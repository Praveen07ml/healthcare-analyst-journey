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12a4f0da8943f55f/Data Science Journey/healthcare-analyst-journey/Excel Files/"/>
    </mc:Choice>
  </mc:AlternateContent>
  <xr:revisionPtr revIDLastSave="744" documentId="8_{81ED1081-3B98-4755-9142-84CD073A59F2}" xr6:coauthVersionLast="47" xr6:coauthVersionMax="47" xr10:uidLastSave="{247D1692-8F91-434D-AAF3-F121E3A39F6D}"/>
  <bookViews>
    <workbookView xWindow="-108" yWindow="-108" windowWidth="23256" windowHeight="12456" activeTab="4" xr2:uid="{403159BF-C07F-43BD-B738-8B94E852A4E4}"/>
  </bookViews>
  <sheets>
    <sheet name="Hospital_raw_data" sheetId="5" r:id="rId1"/>
    <sheet name="Working_raw_data" sheetId="7" r:id="rId2"/>
    <sheet name="Working_data" sheetId="4" r:id="rId3"/>
    <sheet name="Cleaned_data" sheetId="8" r:id="rId4"/>
    <sheet name="Report + Instructions" sheetId="6" r:id="rId5"/>
  </sheets>
  <definedNames>
    <definedName name="_xlnm._FilterDatabase" localSheetId="3" hidden="1">Cleaned_data!$A$1:$L$1877</definedName>
    <definedName name="_xlnm._FilterDatabase" localSheetId="0" hidden="1">Hospital_raw_data!$A$3:$O$4</definedName>
    <definedName name="_xlnm._FilterDatabase" localSheetId="1" hidden="1">Working_raw_data!$A$3:$AC$1879</definedName>
  </definedNames>
  <calcPr calcId="191029"/>
  <pivotCaches>
    <pivotCache cacheId="4" r:id="rId6"/>
    <pivotCache cacheId="1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A4" i="7" l="1"/>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8"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3"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700" i="7"/>
  <c r="AA701" i="7"/>
  <c r="AA702" i="7"/>
  <c r="AA703" i="7"/>
  <c r="AA704" i="7"/>
  <c r="AA705" i="7"/>
  <c r="AA706" i="7"/>
  <c r="AA707" i="7"/>
  <c r="AA708" i="7"/>
  <c r="AA709" i="7"/>
  <c r="AA710" i="7"/>
  <c r="AA711" i="7"/>
  <c r="AA712" i="7"/>
  <c r="AA713" i="7"/>
  <c r="AA714" i="7"/>
  <c r="AA715" i="7"/>
  <c r="AA716" i="7"/>
  <c r="AA717" i="7"/>
  <c r="AA718" i="7"/>
  <c r="AA719" i="7"/>
  <c r="AA720" i="7"/>
  <c r="AA721" i="7"/>
  <c r="AA722" i="7"/>
  <c r="AA723" i="7"/>
  <c r="AA724" i="7"/>
  <c r="AA725" i="7"/>
  <c r="AA726" i="7"/>
  <c r="AA727" i="7"/>
  <c r="AA728" i="7"/>
  <c r="AA729" i="7"/>
  <c r="AA730" i="7"/>
  <c r="AA731" i="7"/>
  <c r="AA732" i="7"/>
  <c r="AA733" i="7"/>
  <c r="AA734" i="7"/>
  <c r="AA735" i="7"/>
  <c r="AA736" i="7"/>
  <c r="AA737" i="7"/>
  <c r="AA738" i="7"/>
  <c r="AA739" i="7"/>
  <c r="AA740" i="7"/>
  <c r="AA741" i="7"/>
  <c r="AA742" i="7"/>
  <c r="AA743" i="7"/>
  <c r="AA744" i="7"/>
  <c r="AA745" i="7"/>
  <c r="AA746" i="7"/>
  <c r="AA747" i="7"/>
  <c r="AA748" i="7"/>
  <c r="AA749" i="7"/>
  <c r="AA750" i="7"/>
  <c r="AA751" i="7"/>
  <c r="AA752" i="7"/>
  <c r="AA753" i="7"/>
  <c r="AA754" i="7"/>
  <c r="AA755" i="7"/>
  <c r="AA756" i="7"/>
  <c r="AA757" i="7"/>
  <c r="AA758" i="7"/>
  <c r="AA759" i="7"/>
  <c r="AA760" i="7"/>
  <c r="AA761" i="7"/>
  <c r="AA762" i="7"/>
  <c r="AA763" i="7"/>
  <c r="AA764" i="7"/>
  <c r="AA765" i="7"/>
  <c r="AA766" i="7"/>
  <c r="AA767" i="7"/>
  <c r="AA768" i="7"/>
  <c r="AA769" i="7"/>
  <c r="AA770" i="7"/>
  <c r="AA771" i="7"/>
  <c r="AA772" i="7"/>
  <c r="AA773" i="7"/>
  <c r="AA774" i="7"/>
  <c r="AA775" i="7"/>
  <c r="AA776" i="7"/>
  <c r="AA777" i="7"/>
  <c r="AA778" i="7"/>
  <c r="AA779" i="7"/>
  <c r="AA780" i="7"/>
  <c r="AA781" i="7"/>
  <c r="AA782" i="7"/>
  <c r="AA783" i="7"/>
  <c r="AA784" i="7"/>
  <c r="AA785" i="7"/>
  <c r="AA786" i="7"/>
  <c r="AA787" i="7"/>
  <c r="AA788" i="7"/>
  <c r="AA789" i="7"/>
  <c r="AA790" i="7"/>
  <c r="AA791" i="7"/>
  <c r="AA792" i="7"/>
  <c r="AA793" i="7"/>
  <c r="AA794" i="7"/>
  <c r="AA795" i="7"/>
  <c r="AA796" i="7"/>
  <c r="AA797" i="7"/>
  <c r="AA798" i="7"/>
  <c r="AA799" i="7"/>
  <c r="AA800" i="7"/>
  <c r="AA801" i="7"/>
  <c r="AA802" i="7"/>
  <c r="AA803" i="7"/>
  <c r="AA804" i="7"/>
  <c r="AA805" i="7"/>
  <c r="AA806" i="7"/>
  <c r="AA807" i="7"/>
  <c r="AA808" i="7"/>
  <c r="AA809" i="7"/>
  <c r="AA810" i="7"/>
  <c r="AA811" i="7"/>
  <c r="AA812" i="7"/>
  <c r="AA813" i="7"/>
  <c r="AA814" i="7"/>
  <c r="AA815" i="7"/>
  <c r="AA816" i="7"/>
  <c r="AA817" i="7"/>
  <c r="AA818" i="7"/>
  <c r="AA819" i="7"/>
  <c r="AA820" i="7"/>
  <c r="AA821" i="7"/>
  <c r="AA822" i="7"/>
  <c r="AA823" i="7"/>
  <c r="AA824" i="7"/>
  <c r="AA825" i="7"/>
  <c r="AA826" i="7"/>
  <c r="AA827" i="7"/>
  <c r="AA828" i="7"/>
  <c r="AA829" i="7"/>
  <c r="AA830" i="7"/>
  <c r="AA831" i="7"/>
  <c r="AA832" i="7"/>
  <c r="AA833" i="7"/>
  <c r="AA834" i="7"/>
  <c r="AA835" i="7"/>
  <c r="AA836" i="7"/>
  <c r="AA837" i="7"/>
  <c r="AA838" i="7"/>
  <c r="AA839" i="7"/>
  <c r="AA840" i="7"/>
  <c r="AA841" i="7"/>
  <c r="AA842" i="7"/>
  <c r="AA843" i="7"/>
  <c r="AA844" i="7"/>
  <c r="AA845" i="7"/>
  <c r="AA846" i="7"/>
  <c r="AA847" i="7"/>
  <c r="AA848" i="7"/>
  <c r="AA849" i="7"/>
  <c r="AA850" i="7"/>
  <c r="AA851" i="7"/>
  <c r="AA852" i="7"/>
  <c r="AA853" i="7"/>
  <c r="AA854" i="7"/>
  <c r="AA855" i="7"/>
  <c r="AA856" i="7"/>
  <c r="AA857" i="7"/>
  <c r="AA858" i="7"/>
  <c r="AA859" i="7"/>
  <c r="AA860" i="7"/>
  <c r="AA861" i="7"/>
  <c r="AA862" i="7"/>
  <c r="AA863" i="7"/>
  <c r="AA864" i="7"/>
  <c r="AA865" i="7"/>
  <c r="AA866" i="7"/>
  <c r="AA867" i="7"/>
  <c r="AA868" i="7"/>
  <c r="AA869" i="7"/>
  <c r="AA870" i="7"/>
  <c r="AA871" i="7"/>
  <c r="AA872" i="7"/>
  <c r="AA873" i="7"/>
  <c r="AA874" i="7"/>
  <c r="AA875" i="7"/>
  <c r="AA876" i="7"/>
  <c r="AA877" i="7"/>
  <c r="AA878" i="7"/>
  <c r="AA879" i="7"/>
  <c r="AA880" i="7"/>
  <c r="AA881" i="7"/>
  <c r="AA882" i="7"/>
  <c r="AA883" i="7"/>
  <c r="AA884" i="7"/>
  <c r="AA885" i="7"/>
  <c r="AA886" i="7"/>
  <c r="AA887" i="7"/>
  <c r="AA888" i="7"/>
  <c r="AA889" i="7"/>
  <c r="AA890" i="7"/>
  <c r="AA891" i="7"/>
  <c r="AA892" i="7"/>
  <c r="AA893" i="7"/>
  <c r="AA894" i="7"/>
  <c r="AA895" i="7"/>
  <c r="AA896" i="7"/>
  <c r="AA897" i="7"/>
  <c r="AA898" i="7"/>
  <c r="AA899" i="7"/>
  <c r="AA900" i="7"/>
  <c r="AA901" i="7"/>
  <c r="AA902" i="7"/>
  <c r="AA903" i="7"/>
  <c r="AA904" i="7"/>
  <c r="AA905" i="7"/>
  <c r="AA906" i="7"/>
  <c r="AA907" i="7"/>
  <c r="AA908" i="7"/>
  <c r="AA909" i="7"/>
  <c r="AA910" i="7"/>
  <c r="AA911" i="7"/>
  <c r="AA912" i="7"/>
  <c r="AA913" i="7"/>
  <c r="AA914" i="7"/>
  <c r="AA915" i="7"/>
  <c r="AA916" i="7"/>
  <c r="AA917" i="7"/>
  <c r="AA918" i="7"/>
  <c r="AA919" i="7"/>
  <c r="AA920" i="7"/>
  <c r="AA921" i="7"/>
  <c r="AA922" i="7"/>
  <c r="AA923" i="7"/>
  <c r="AA924" i="7"/>
  <c r="AA925" i="7"/>
  <c r="AA926" i="7"/>
  <c r="AA927" i="7"/>
  <c r="AA928" i="7"/>
  <c r="AA929" i="7"/>
  <c r="AA930" i="7"/>
  <c r="AA931" i="7"/>
  <c r="AA932" i="7"/>
  <c r="AA933" i="7"/>
  <c r="AA934" i="7"/>
  <c r="AA935" i="7"/>
  <c r="AA936" i="7"/>
  <c r="AA937" i="7"/>
  <c r="AA938" i="7"/>
  <c r="AA939" i="7"/>
  <c r="AA940" i="7"/>
  <c r="AA941" i="7"/>
  <c r="AA942" i="7"/>
  <c r="AA943" i="7"/>
  <c r="AA944" i="7"/>
  <c r="AA945" i="7"/>
  <c r="AA946" i="7"/>
  <c r="AA947" i="7"/>
  <c r="AA948" i="7"/>
  <c r="AA949" i="7"/>
  <c r="AA950" i="7"/>
  <c r="AA951" i="7"/>
  <c r="AA952" i="7"/>
  <c r="AA953" i="7"/>
  <c r="AA954" i="7"/>
  <c r="AA955" i="7"/>
  <c r="AA956" i="7"/>
  <c r="AA957" i="7"/>
  <c r="AA958" i="7"/>
  <c r="AA959" i="7"/>
  <c r="AA960" i="7"/>
  <c r="AA961" i="7"/>
  <c r="AA962" i="7"/>
  <c r="AA963" i="7"/>
  <c r="AA964" i="7"/>
  <c r="AA965" i="7"/>
  <c r="AA966" i="7"/>
  <c r="AA967" i="7"/>
  <c r="AA968" i="7"/>
  <c r="AA969" i="7"/>
  <c r="AA970" i="7"/>
  <c r="AA971" i="7"/>
  <c r="AA972" i="7"/>
  <c r="AA973" i="7"/>
  <c r="AA974" i="7"/>
  <c r="AA975" i="7"/>
  <c r="AA976" i="7"/>
  <c r="AA977" i="7"/>
  <c r="AA978" i="7"/>
  <c r="AA979" i="7"/>
  <c r="AA980" i="7"/>
  <c r="AA981" i="7"/>
  <c r="AA982" i="7"/>
  <c r="AA983" i="7"/>
  <c r="AA984" i="7"/>
  <c r="AA985" i="7"/>
  <c r="AA986" i="7"/>
  <c r="AA987" i="7"/>
  <c r="AA988" i="7"/>
  <c r="AA989" i="7"/>
  <c r="AA990" i="7"/>
  <c r="AA991" i="7"/>
  <c r="AA992" i="7"/>
  <c r="AA993" i="7"/>
  <c r="AA994" i="7"/>
  <c r="AA995" i="7"/>
  <c r="AA996" i="7"/>
  <c r="AA997" i="7"/>
  <c r="AA998" i="7"/>
  <c r="AA999" i="7"/>
  <c r="AA1000" i="7"/>
  <c r="AA1001" i="7"/>
  <c r="AA1002" i="7"/>
  <c r="AA1003" i="7"/>
  <c r="AA1004" i="7"/>
  <c r="AA1005" i="7"/>
  <c r="AA1006" i="7"/>
  <c r="AA1007" i="7"/>
  <c r="AA1008" i="7"/>
  <c r="AA1009" i="7"/>
  <c r="AA1010" i="7"/>
  <c r="AA1011" i="7"/>
  <c r="AA1012" i="7"/>
  <c r="AA1013" i="7"/>
  <c r="AA1014" i="7"/>
  <c r="AA1015" i="7"/>
  <c r="AA1016" i="7"/>
  <c r="AA1017" i="7"/>
  <c r="AA1018" i="7"/>
  <c r="AA1019" i="7"/>
  <c r="AA1020" i="7"/>
  <c r="AA1021" i="7"/>
  <c r="AA1022" i="7"/>
  <c r="AA1023" i="7"/>
  <c r="AA1024" i="7"/>
  <c r="AA1025" i="7"/>
  <c r="AA1026" i="7"/>
  <c r="AA1027" i="7"/>
  <c r="AA1028" i="7"/>
  <c r="AA1029" i="7"/>
  <c r="AA1030" i="7"/>
  <c r="AA1031" i="7"/>
  <c r="AA1032" i="7"/>
  <c r="AA1033" i="7"/>
  <c r="AA1034" i="7"/>
  <c r="AA1035" i="7"/>
  <c r="AA1036" i="7"/>
  <c r="AA1037" i="7"/>
  <c r="AA1038" i="7"/>
  <c r="AA1039" i="7"/>
  <c r="AA1040" i="7"/>
  <c r="AA1041" i="7"/>
  <c r="AA1042" i="7"/>
  <c r="AA1043" i="7"/>
  <c r="AA1044" i="7"/>
  <c r="AA1045" i="7"/>
  <c r="AA1046" i="7"/>
  <c r="AA1047" i="7"/>
  <c r="AA1048" i="7"/>
  <c r="AA1049" i="7"/>
  <c r="AA1050" i="7"/>
  <c r="AA1051" i="7"/>
  <c r="AA1052" i="7"/>
  <c r="AA1053" i="7"/>
  <c r="AA1054" i="7"/>
  <c r="AA1055" i="7"/>
  <c r="AA1056" i="7"/>
  <c r="AA1057" i="7"/>
  <c r="AA1058" i="7"/>
  <c r="AA1059" i="7"/>
  <c r="AA1060" i="7"/>
  <c r="AA1061" i="7"/>
  <c r="AA1062" i="7"/>
  <c r="AA1063" i="7"/>
  <c r="AA1064" i="7"/>
  <c r="AA1065" i="7"/>
  <c r="AA1066" i="7"/>
  <c r="AA1067" i="7"/>
  <c r="AA1068" i="7"/>
  <c r="AA1069" i="7"/>
  <c r="AA1070" i="7"/>
  <c r="AA1071" i="7"/>
  <c r="AA1072" i="7"/>
  <c r="AA1073" i="7"/>
  <c r="AA1074" i="7"/>
  <c r="AA1075" i="7"/>
  <c r="AA1076" i="7"/>
  <c r="AA1077" i="7"/>
  <c r="AA1078" i="7"/>
  <c r="AA1079" i="7"/>
  <c r="AA1080" i="7"/>
  <c r="AA1081" i="7"/>
  <c r="AA1082" i="7"/>
  <c r="AA1083" i="7"/>
  <c r="AA1084" i="7"/>
  <c r="AA1085" i="7"/>
  <c r="AA1086" i="7"/>
  <c r="AA1087" i="7"/>
  <c r="AA1088" i="7"/>
  <c r="AA1089" i="7"/>
  <c r="AA1090" i="7"/>
  <c r="AA1091" i="7"/>
  <c r="AA1092" i="7"/>
  <c r="AA1093" i="7"/>
  <c r="AA1094" i="7"/>
  <c r="AA1095" i="7"/>
  <c r="AA1096" i="7"/>
  <c r="AA1097" i="7"/>
  <c r="AA1098" i="7"/>
  <c r="AA1099" i="7"/>
  <c r="AA1100" i="7"/>
  <c r="AA1101" i="7"/>
  <c r="AA1102" i="7"/>
  <c r="AA1103" i="7"/>
  <c r="AA1104" i="7"/>
  <c r="AA1105" i="7"/>
  <c r="AA1106" i="7"/>
  <c r="AA1107" i="7"/>
  <c r="AA1108" i="7"/>
  <c r="AA1109" i="7"/>
  <c r="AA1110" i="7"/>
  <c r="AA1111" i="7"/>
  <c r="AA1112" i="7"/>
  <c r="AA1113" i="7"/>
  <c r="AA1114" i="7"/>
  <c r="AA1115" i="7"/>
  <c r="AA1116" i="7"/>
  <c r="AA1117" i="7"/>
  <c r="AA1118" i="7"/>
  <c r="AA1119" i="7"/>
  <c r="AA1120" i="7"/>
  <c r="AA1121" i="7"/>
  <c r="AA1122" i="7"/>
  <c r="AA1123" i="7"/>
  <c r="AA1124" i="7"/>
  <c r="AA1125" i="7"/>
  <c r="AA1126" i="7"/>
  <c r="AA1127" i="7"/>
  <c r="AA1128" i="7"/>
  <c r="AA1129" i="7"/>
  <c r="AA1130" i="7"/>
  <c r="AA1131" i="7"/>
  <c r="AA1132" i="7"/>
  <c r="AA1133" i="7"/>
  <c r="AA1134" i="7"/>
  <c r="AA1135" i="7"/>
  <c r="AA1136" i="7"/>
  <c r="AA1137" i="7"/>
  <c r="AA1138" i="7"/>
  <c r="AA1139" i="7"/>
  <c r="AA1140" i="7"/>
  <c r="AA1141" i="7"/>
  <c r="AA1142" i="7"/>
  <c r="AA1143" i="7"/>
  <c r="AA1144" i="7"/>
  <c r="AA1145" i="7"/>
  <c r="AA1146" i="7"/>
  <c r="AA1147" i="7"/>
  <c r="AA1148" i="7"/>
  <c r="AA1149" i="7"/>
  <c r="AA1150" i="7"/>
  <c r="AA1151" i="7"/>
  <c r="AA1152" i="7"/>
  <c r="AA1153" i="7"/>
  <c r="AA1154" i="7"/>
  <c r="AA1155" i="7"/>
  <c r="AA1156" i="7"/>
  <c r="AA1157" i="7"/>
  <c r="AA1158" i="7"/>
  <c r="AA1159" i="7"/>
  <c r="AA1160" i="7"/>
  <c r="AA1161" i="7"/>
  <c r="AA1162" i="7"/>
  <c r="AA1163" i="7"/>
  <c r="AA1164" i="7"/>
  <c r="AA1165" i="7"/>
  <c r="AA1166" i="7"/>
  <c r="AA1167" i="7"/>
  <c r="AA1168" i="7"/>
  <c r="AA1169" i="7"/>
  <c r="AA1170" i="7"/>
  <c r="AA1171" i="7"/>
  <c r="AA1172" i="7"/>
  <c r="AA1173" i="7"/>
  <c r="AA1174" i="7"/>
  <c r="AA1175" i="7"/>
  <c r="AA1176" i="7"/>
  <c r="AA1177" i="7"/>
  <c r="AA1178" i="7"/>
  <c r="AA1179" i="7"/>
  <c r="AA1180" i="7"/>
  <c r="AA1181" i="7"/>
  <c r="AA1182" i="7"/>
  <c r="AA1183" i="7"/>
  <c r="AA1184" i="7"/>
  <c r="AA1185" i="7"/>
  <c r="AA1186" i="7"/>
  <c r="AA1187" i="7"/>
  <c r="AA1188" i="7"/>
  <c r="AA1189" i="7"/>
  <c r="AA1190" i="7"/>
  <c r="AA1191" i="7"/>
  <c r="AA1192" i="7"/>
  <c r="AA1193" i="7"/>
  <c r="AA1194" i="7"/>
  <c r="AA1195" i="7"/>
  <c r="AA1196" i="7"/>
  <c r="AA1197" i="7"/>
  <c r="AA1198" i="7"/>
  <c r="AA1199" i="7"/>
  <c r="AA1200" i="7"/>
  <c r="AA1201" i="7"/>
  <c r="AA1202" i="7"/>
  <c r="AA1203" i="7"/>
  <c r="AA1204" i="7"/>
  <c r="AA1205" i="7"/>
  <c r="AA1206" i="7"/>
  <c r="AA1207" i="7"/>
  <c r="AA1208" i="7"/>
  <c r="AA1209" i="7"/>
  <c r="AA1210" i="7"/>
  <c r="AA1211" i="7"/>
  <c r="AA1212" i="7"/>
  <c r="AA1213" i="7"/>
  <c r="AA1214" i="7"/>
  <c r="AA1215" i="7"/>
  <c r="AA1216" i="7"/>
  <c r="AA1217" i="7"/>
  <c r="AA1218" i="7"/>
  <c r="AA1219" i="7"/>
  <c r="AA1220" i="7"/>
  <c r="AA1221" i="7"/>
  <c r="AA1222" i="7"/>
  <c r="AA1223" i="7"/>
  <c r="AA1224" i="7"/>
  <c r="AA1225" i="7"/>
  <c r="AA1226" i="7"/>
  <c r="AA1227" i="7"/>
  <c r="AA1228" i="7"/>
  <c r="AA1229" i="7"/>
  <c r="AA1230" i="7"/>
  <c r="AA1231" i="7"/>
  <c r="AA1232" i="7"/>
  <c r="AA1233" i="7"/>
  <c r="AA1234" i="7"/>
  <c r="AA1235" i="7"/>
  <c r="AA1236" i="7"/>
  <c r="AA1237" i="7"/>
  <c r="AA1238" i="7"/>
  <c r="AA1239" i="7"/>
  <c r="AA1240" i="7"/>
  <c r="AA1241" i="7"/>
  <c r="AA1242" i="7"/>
  <c r="AA1243" i="7"/>
  <c r="AA1244" i="7"/>
  <c r="AA1245" i="7"/>
  <c r="AA1246" i="7"/>
  <c r="AA1247" i="7"/>
  <c r="AA1248" i="7"/>
  <c r="AA1249" i="7"/>
  <c r="AA1250" i="7"/>
  <c r="AA1251" i="7"/>
  <c r="AA1252" i="7"/>
  <c r="AA1253" i="7"/>
  <c r="AA1254" i="7"/>
  <c r="AA1255" i="7"/>
  <c r="AA1256" i="7"/>
  <c r="AA1257" i="7"/>
  <c r="AA1258" i="7"/>
  <c r="AA1259" i="7"/>
  <c r="AA1260" i="7"/>
  <c r="AA1261" i="7"/>
  <c r="AA1262" i="7"/>
  <c r="AA1263" i="7"/>
  <c r="AA1264" i="7"/>
  <c r="AA1265" i="7"/>
  <c r="AA1266" i="7"/>
  <c r="AA1267" i="7"/>
  <c r="AA1268" i="7"/>
  <c r="AA1269" i="7"/>
  <c r="AA1270" i="7"/>
  <c r="AA1271" i="7"/>
  <c r="AA1272" i="7"/>
  <c r="AA1273" i="7"/>
  <c r="AA1274" i="7"/>
  <c r="AA1275" i="7"/>
  <c r="AA1276" i="7"/>
  <c r="AA1277" i="7"/>
  <c r="AA1278" i="7"/>
  <c r="AA1279" i="7"/>
  <c r="AA1280" i="7"/>
  <c r="AA1281" i="7"/>
  <c r="AA1282" i="7"/>
  <c r="AA1283" i="7"/>
  <c r="AA1284" i="7"/>
  <c r="AA1285" i="7"/>
  <c r="AA1286" i="7"/>
  <c r="AA1287" i="7"/>
  <c r="AA1288" i="7"/>
  <c r="AA1289" i="7"/>
  <c r="AA1290" i="7"/>
  <c r="AA1291" i="7"/>
  <c r="AA1292" i="7"/>
  <c r="AA1293" i="7"/>
  <c r="AA1294" i="7"/>
  <c r="AA1295" i="7"/>
  <c r="AA1296" i="7"/>
  <c r="AA1297" i="7"/>
  <c r="AA1298" i="7"/>
  <c r="AA1299" i="7"/>
  <c r="AA1300" i="7"/>
  <c r="AA1301" i="7"/>
  <c r="AA1302" i="7"/>
  <c r="AA1303" i="7"/>
  <c r="AA1304" i="7"/>
  <c r="AA1305" i="7"/>
  <c r="AA1306" i="7"/>
  <c r="AA1307" i="7"/>
  <c r="AA1308" i="7"/>
  <c r="AA1309" i="7"/>
  <c r="AA1310" i="7"/>
  <c r="AA1311" i="7"/>
  <c r="AA1312" i="7"/>
  <c r="AA1313" i="7"/>
  <c r="AA1314" i="7"/>
  <c r="AA1315" i="7"/>
  <c r="AA1316" i="7"/>
  <c r="AA1317" i="7"/>
  <c r="AA1318" i="7"/>
  <c r="AA1319" i="7"/>
  <c r="AA1320" i="7"/>
  <c r="AA1321" i="7"/>
  <c r="AA1322" i="7"/>
  <c r="AA1323" i="7"/>
  <c r="AA1324" i="7"/>
  <c r="AA1325" i="7"/>
  <c r="AA1326" i="7"/>
  <c r="AA1327" i="7"/>
  <c r="AA1328" i="7"/>
  <c r="AA1329" i="7"/>
  <c r="AA1330" i="7"/>
  <c r="AA1331" i="7"/>
  <c r="AA1332" i="7"/>
  <c r="AA1333" i="7"/>
  <c r="AA1334" i="7"/>
  <c r="AA1335" i="7"/>
  <c r="AA1336" i="7"/>
  <c r="AA1337" i="7"/>
  <c r="AA1338" i="7"/>
  <c r="AA1339" i="7"/>
  <c r="AA1340" i="7"/>
  <c r="AA1341" i="7"/>
  <c r="AA1342" i="7"/>
  <c r="AA1343" i="7"/>
  <c r="AA1344" i="7"/>
  <c r="AA1345" i="7"/>
  <c r="AA1346" i="7"/>
  <c r="AA1347" i="7"/>
  <c r="AA1348" i="7"/>
  <c r="AA1349" i="7"/>
  <c r="AA1350" i="7"/>
  <c r="AA1351" i="7"/>
  <c r="AA1352" i="7"/>
  <c r="AA1353" i="7"/>
  <c r="AA1354" i="7"/>
  <c r="AA1355" i="7"/>
  <c r="AA1356" i="7"/>
  <c r="AA1357" i="7"/>
  <c r="AA1358" i="7"/>
  <c r="AA1359" i="7"/>
  <c r="AA1360" i="7"/>
  <c r="AA1361" i="7"/>
  <c r="AA1362" i="7"/>
  <c r="AA1363" i="7"/>
  <c r="AA1364" i="7"/>
  <c r="AA1365" i="7"/>
  <c r="AA1366" i="7"/>
  <c r="AA1367" i="7"/>
  <c r="AA1368" i="7"/>
  <c r="AA1369" i="7"/>
  <c r="AA1370" i="7"/>
  <c r="AA1371" i="7"/>
  <c r="AA1372" i="7"/>
  <c r="AA1373" i="7"/>
  <c r="AA1374" i="7"/>
  <c r="AA1375" i="7"/>
  <c r="AA1376" i="7"/>
  <c r="AA1377" i="7"/>
  <c r="AA1378" i="7"/>
  <c r="AA1379" i="7"/>
  <c r="AA1380" i="7"/>
  <c r="AA1381" i="7"/>
  <c r="AA1382" i="7"/>
  <c r="AA1383" i="7"/>
  <c r="AA1384" i="7"/>
  <c r="AA1385" i="7"/>
  <c r="AA1386" i="7"/>
  <c r="AA1387" i="7"/>
  <c r="AA1388" i="7"/>
  <c r="AA1389" i="7"/>
  <c r="AA1390" i="7"/>
  <c r="AA1391" i="7"/>
  <c r="AA1392" i="7"/>
  <c r="AA1393" i="7"/>
  <c r="AA1394" i="7"/>
  <c r="AA1395" i="7"/>
  <c r="AA1396" i="7"/>
  <c r="AA1397" i="7"/>
  <c r="AA1398" i="7"/>
  <c r="AA1399" i="7"/>
  <c r="AA1400" i="7"/>
  <c r="AA1401" i="7"/>
  <c r="AA1402" i="7"/>
  <c r="AA1403" i="7"/>
  <c r="AA1404" i="7"/>
  <c r="AA1405" i="7"/>
  <c r="AA1406" i="7"/>
  <c r="AA1407" i="7"/>
  <c r="AA1408" i="7"/>
  <c r="AA1409" i="7"/>
  <c r="AA1410" i="7"/>
  <c r="AA1411" i="7"/>
  <c r="AA1412" i="7"/>
  <c r="AA1413" i="7"/>
  <c r="AA1414" i="7"/>
  <c r="AA1415" i="7"/>
  <c r="AA1416" i="7"/>
  <c r="AA1417" i="7"/>
  <c r="AA1418" i="7"/>
  <c r="AA1419" i="7"/>
  <c r="AA1420" i="7"/>
  <c r="AA1421" i="7"/>
  <c r="AA1422" i="7"/>
  <c r="AA1423" i="7"/>
  <c r="AA1424" i="7"/>
  <c r="AA1425" i="7"/>
  <c r="AA1426" i="7"/>
  <c r="AA1427" i="7"/>
  <c r="AA1428" i="7"/>
  <c r="AA1429" i="7"/>
  <c r="AA1430" i="7"/>
  <c r="AA1431" i="7"/>
  <c r="AA1432" i="7"/>
  <c r="AA1433" i="7"/>
  <c r="AA1434" i="7"/>
  <c r="AA1435" i="7"/>
  <c r="AA1436" i="7"/>
  <c r="AA1437" i="7"/>
  <c r="AA1438" i="7"/>
  <c r="AA1439" i="7"/>
  <c r="AA1440" i="7"/>
  <c r="AA1441" i="7"/>
  <c r="AA1442" i="7"/>
  <c r="AA1443" i="7"/>
  <c r="AA1444" i="7"/>
  <c r="AA1445" i="7"/>
  <c r="AA1446" i="7"/>
  <c r="AA1447" i="7"/>
  <c r="AA1448" i="7"/>
  <c r="AA1449" i="7"/>
  <c r="AA1450" i="7"/>
  <c r="AA1451" i="7"/>
  <c r="AA1452" i="7"/>
  <c r="AA1453" i="7"/>
  <c r="AA1454" i="7"/>
  <c r="AA1455" i="7"/>
  <c r="AA1456" i="7"/>
  <c r="AA1457" i="7"/>
  <c r="AA1458" i="7"/>
  <c r="AA1459" i="7"/>
  <c r="AA1460" i="7"/>
  <c r="AA1461" i="7"/>
  <c r="AA1462" i="7"/>
  <c r="AA1463" i="7"/>
  <c r="AA1464" i="7"/>
  <c r="AA1465" i="7"/>
  <c r="AA1466" i="7"/>
  <c r="AA1467" i="7"/>
  <c r="AA1468" i="7"/>
  <c r="AA1469" i="7"/>
  <c r="AA1470" i="7"/>
  <c r="AA1471" i="7"/>
  <c r="AA1472" i="7"/>
  <c r="AA1473" i="7"/>
  <c r="AA1474" i="7"/>
  <c r="AA1475" i="7"/>
  <c r="AA1476" i="7"/>
  <c r="AA1477" i="7"/>
  <c r="AA1478" i="7"/>
  <c r="AA1479" i="7"/>
  <c r="AA1480" i="7"/>
  <c r="AA1481" i="7"/>
  <c r="AA1482" i="7"/>
  <c r="AA1483" i="7"/>
  <c r="AA1484" i="7"/>
  <c r="AA1485" i="7"/>
  <c r="AA1486" i="7"/>
  <c r="AA1487" i="7"/>
  <c r="AA1488" i="7"/>
  <c r="AA1489" i="7"/>
  <c r="AA1490" i="7"/>
  <c r="AA1491" i="7"/>
  <c r="AA1492" i="7"/>
  <c r="AA1493" i="7"/>
  <c r="AA1494" i="7"/>
  <c r="AA1495" i="7"/>
  <c r="AA1496" i="7"/>
  <c r="AA1497" i="7"/>
  <c r="AA1498" i="7"/>
  <c r="AA1499" i="7"/>
  <c r="AA1500" i="7"/>
  <c r="AA1501" i="7"/>
  <c r="AA1502" i="7"/>
  <c r="AA1503" i="7"/>
  <c r="AA1504" i="7"/>
  <c r="AA1505" i="7"/>
  <c r="AA1506" i="7"/>
  <c r="AA1507" i="7"/>
  <c r="AA1508" i="7"/>
  <c r="AA1509" i="7"/>
  <c r="AA1510" i="7"/>
  <c r="AA1511" i="7"/>
  <c r="AA1512" i="7"/>
  <c r="AA1513" i="7"/>
  <c r="AA1514" i="7"/>
  <c r="AA1515" i="7"/>
  <c r="AA1516" i="7"/>
  <c r="AA1517" i="7"/>
  <c r="AA1518" i="7"/>
  <c r="AA1519" i="7"/>
  <c r="AA1520" i="7"/>
  <c r="AA1521" i="7"/>
  <c r="AA1522" i="7"/>
  <c r="AA1523" i="7"/>
  <c r="AA1524" i="7"/>
  <c r="AA1525" i="7"/>
  <c r="AA1526" i="7"/>
  <c r="AA1527" i="7"/>
  <c r="AA1528" i="7"/>
  <c r="AA1529" i="7"/>
  <c r="AA1530" i="7"/>
  <c r="AA1531" i="7"/>
  <c r="AA1532" i="7"/>
  <c r="AA1533" i="7"/>
  <c r="AA1534" i="7"/>
  <c r="AA1535" i="7"/>
  <c r="AA1536" i="7"/>
  <c r="AA1537" i="7"/>
  <c r="AA1538" i="7"/>
  <c r="AA1539" i="7"/>
  <c r="AA1540" i="7"/>
  <c r="AA1541" i="7"/>
  <c r="AA1542" i="7"/>
  <c r="AA1543" i="7"/>
  <c r="AA1544" i="7"/>
  <c r="AA1545" i="7"/>
  <c r="AA1546" i="7"/>
  <c r="AA1547" i="7"/>
  <c r="AA1548" i="7"/>
  <c r="AA1549" i="7"/>
  <c r="AA1550" i="7"/>
  <c r="AA1551" i="7"/>
  <c r="AA1552" i="7"/>
  <c r="AA1553" i="7"/>
  <c r="AA1554" i="7"/>
  <c r="AA1555" i="7"/>
  <c r="AA1556" i="7"/>
  <c r="AA1557" i="7"/>
  <c r="AA1558" i="7"/>
  <c r="AA1559" i="7"/>
  <c r="AA1560" i="7"/>
  <c r="AA1561" i="7"/>
  <c r="AA1562" i="7"/>
  <c r="AA1563" i="7"/>
  <c r="AA1564" i="7"/>
  <c r="AA1565" i="7"/>
  <c r="AA1566" i="7"/>
  <c r="AA1567" i="7"/>
  <c r="AA1568" i="7"/>
  <c r="AA1569" i="7"/>
  <c r="AA1570" i="7"/>
  <c r="AA1571" i="7"/>
  <c r="AA1572" i="7"/>
  <c r="AA1573" i="7"/>
  <c r="AA1574" i="7"/>
  <c r="AA1575" i="7"/>
  <c r="AA1576" i="7"/>
  <c r="AA1577" i="7"/>
  <c r="AA1578" i="7"/>
  <c r="AA1579" i="7"/>
  <c r="AA1580" i="7"/>
  <c r="AA1581" i="7"/>
  <c r="AA1582" i="7"/>
  <c r="AA1583" i="7"/>
  <c r="AA1584" i="7"/>
  <c r="AA1585" i="7"/>
  <c r="AA1586" i="7"/>
  <c r="AA1587" i="7"/>
  <c r="AA1588" i="7"/>
  <c r="AA1589" i="7"/>
  <c r="AA1590" i="7"/>
  <c r="AA1591" i="7"/>
  <c r="AA1592" i="7"/>
  <c r="AA1593" i="7"/>
  <c r="AA1594" i="7"/>
  <c r="AA1595" i="7"/>
  <c r="AA1596" i="7"/>
  <c r="AA1597" i="7"/>
  <c r="AA1598" i="7"/>
  <c r="AA1599" i="7"/>
  <c r="AA1600" i="7"/>
  <c r="AA1601" i="7"/>
  <c r="AA1602" i="7"/>
  <c r="AA1603" i="7"/>
  <c r="AA1604" i="7"/>
  <c r="AA1605" i="7"/>
  <c r="AA1606" i="7"/>
  <c r="AA1607" i="7"/>
  <c r="AA1608" i="7"/>
  <c r="AA1609" i="7"/>
  <c r="AA1610" i="7"/>
  <c r="AA1611" i="7"/>
  <c r="AA1612" i="7"/>
  <c r="AA1613" i="7"/>
  <c r="AA1614" i="7"/>
  <c r="AA1615" i="7"/>
  <c r="AA1616" i="7"/>
  <c r="AA1617" i="7"/>
  <c r="AA1618" i="7"/>
  <c r="AA1619" i="7"/>
  <c r="AA1620" i="7"/>
  <c r="AA1621" i="7"/>
  <c r="AA1622" i="7"/>
  <c r="AA1623" i="7"/>
  <c r="AA1624" i="7"/>
  <c r="AA1625" i="7"/>
  <c r="AA1626" i="7"/>
  <c r="AA1627" i="7"/>
  <c r="AA1628" i="7"/>
  <c r="AA1629" i="7"/>
  <c r="AA1630" i="7"/>
  <c r="AA1631" i="7"/>
  <c r="AA1632" i="7"/>
  <c r="AA1633" i="7"/>
  <c r="AA1634" i="7"/>
  <c r="AA1635" i="7"/>
  <c r="AA1636" i="7"/>
  <c r="AA1637" i="7"/>
  <c r="AA1638" i="7"/>
  <c r="AA1639" i="7"/>
  <c r="AA1640" i="7"/>
  <c r="AA1641" i="7"/>
  <c r="AA1642" i="7"/>
  <c r="AA1643" i="7"/>
  <c r="AA1644" i="7"/>
  <c r="AA1645" i="7"/>
  <c r="AA1646" i="7"/>
  <c r="AA1647" i="7"/>
  <c r="AA1648" i="7"/>
  <c r="AA1649" i="7"/>
  <c r="AA1650" i="7"/>
  <c r="AA1651" i="7"/>
  <c r="AA1652" i="7"/>
  <c r="AA1653" i="7"/>
  <c r="AA1654" i="7"/>
  <c r="AA1655" i="7"/>
  <c r="AA1656" i="7"/>
  <c r="AA1657" i="7"/>
  <c r="AA1658" i="7"/>
  <c r="AA1659" i="7"/>
  <c r="AA1660" i="7"/>
  <c r="AA1661" i="7"/>
  <c r="AA1662" i="7"/>
  <c r="AA1663" i="7"/>
  <c r="AA1664" i="7"/>
  <c r="AA1665" i="7"/>
  <c r="AA1666" i="7"/>
  <c r="AA1667" i="7"/>
  <c r="AA1668" i="7"/>
  <c r="AA1669" i="7"/>
  <c r="AA1670" i="7"/>
  <c r="AA1671" i="7"/>
  <c r="AA1672" i="7"/>
  <c r="AA1673" i="7"/>
  <c r="AA1674" i="7"/>
  <c r="AA1675" i="7"/>
  <c r="AA1676" i="7"/>
  <c r="AA1677" i="7"/>
  <c r="AA1678" i="7"/>
  <c r="AA1679" i="7"/>
  <c r="AA1680" i="7"/>
  <c r="AA1681" i="7"/>
  <c r="AA1682" i="7"/>
  <c r="AA1683" i="7"/>
  <c r="AA1684" i="7"/>
  <c r="AA1685" i="7"/>
  <c r="AA1686" i="7"/>
  <c r="AA1687" i="7"/>
  <c r="AA1688" i="7"/>
  <c r="AA1689" i="7"/>
  <c r="AA1690" i="7"/>
  <c r="AA1691" i="7"/>
  <c r="AA1692" i="7"/>
  <c r="AA1693" i="7"/>
  <c r="AA1694" i="7"/>
  <c r="AA1695" i="7"/>
  <c r="AA1696" i="7"/>
  <c r="AA1697" i="7"/>
  <c r="AA1698" i="7"/>
  <c r="AA1699" i="7"/>
  <c r="AA1700" i="7"/>
  <c r="AA1701" i="7"/>
  <c r="AA1702" i="7"/>
  <c r="AA1703" i="7"/>
  <c r="AA1704" i="7"/>
  <c r="AA1705" i="7"/>
  <c r="AA1706" i="7"/>
  <c r="AA1707" i="7"/>
  <c r="AA1708" i="7"/>
  <c r="AA1709" i="7"/>
  <c r="AA1710" i="7"/>
  <c r="AA1711" i="7"/>
  <c r="AA1712" i="7"/>
  <c r="AA1713" i="7"/>
  <c r="AA1714" i="7"/>
  <c r="AA1715" i="7"/>
  <c r="AA1716" i="7"/>
  <c r="AA1717" i="7"/>
  <c r="AA1718" i="7"/>
  <c r="AA1719" i="7"/>
  <c r="AA1720" i="7"/>
  <c r="AA1721" i="7"/>
  <c r="AA1722" i="7"/>
  <c r="AA1723" i="7"/>
  <c r="AA1724" i="7"/>
  <c r="AA1725" i="7"/>
  <c r="AA1726" i="7"/>
  <c r="AA1727" i="7"/>
  <c r="AA1728" i="7"/>
  <c r="AA1729" i="7"/>
  <c r="AA1730" i="7"/>
  <c r="AA1731" i="7"/>
  <c r="AA1732" i="7"/>
  <c r="AA1733" i="7"/>
  <c r="AA1734" i="7"/>
  <c r="AA1735" i="7"/>
  <c r="AA1736" i="7"/>
  <c r="AA1737" i="7"/>
  <c r="AA1738" i="7"/>
  <c r="AA1739" i="7"/>
  <c r="AA1740" i="7"/>
  <c r="AA1741" i="7"/>
  <c r="AA1742" i="7"/>
  <c r="AA1743" i="7"/>
  <c r="AA1744" i="7"/>
  <c r="AA1745" i="7"/>
  <c r="AA1746" i="7"/>
  <c r="AA1747" i="7"/>
  <c r="AA1748" i="7"/>
  <c r="AA1749" i="7"/>
  <c r="AA1750" i="7"/>
  <c r="AA1751" i="7"/>
  <c r="AA1752" i="7"/>
  <c r="AA1753" i="7"/>
  <c r="AA1754" i="7"/>
  <c r="AA1755" i="7"/>
  <c r="AA1756" i="7"/>
  <c r="AA1757" i="7"/>
  <c r="AA1758" i="7"/>
  <c r="AA1759" i="7"/>
  <c r="AA1760" i="7"/>
  <c r="AA1761" i="7"/>
  <c r="AA1762" i="7"/>
  <c r="AA1763" i="7"/>
  <c r="AA1764" i="7"/>
  <c r="AA1765" i="7"/>
  <c r="AA1766" i="7"/>
  <c r="AA1767" i="7"/>
  <c r="AA1768" i="7"/>
  <c r="AA1769" i="7"/>
  <c r="AA1770" i="7"/>
  <c r="AA1771" i="7"/>
  <c r="AA1772" i="7"/>
  <c r="AA1773" i="7"/>
  <c r="AA1774" i="7"/>
  <c r="AA1775" i="7"/>
  <c r="AA1776" i="7"/>
  <c r="AA1777" i="7"/>
  <c r="AA1778" i="7"/>
  <c r="AA1779" i="7"/>
  <c r="AA1780" i="7"/>
  <c r="AA1781" i="7"/>
  <c r="AA1782" i="7"/>
  <c r="AA1783" i="7"/>
  <c r="AA1784" i="7"/>
  <c r="AA1785" i="7"/>
  <c r="AA1786" i="7"/>
  <c r="AA1787" i="7"/>
  <c r="AA1788" i="7"/>
  <c r="AA1789" i="7"/>
  <c r="AA1790" i="7"/>
  <c r="AA1791" i="7"/>
  <c r="AA1792" i="7"/>
  <c r="AA1793" i="7"/>
  <c r="AA1794" i="7"/>
  <c r="AA1795" i="7"/>
  <c r="AA1796" i="7"/>
  <c r="AA1797" i="7"/>
  <c r="AA1798" i="7"/>
  <c r="AA1799" i="7"/>
  <c r="AA1800" i="7"/>
  <c r="AA1801" i="7"/>
  <c r="AA1802" i="7"/>
  <c r="AA1803" i="7"/>
  <c r="AA1804" i="7"/>
  <c r="AA1805" i="7"/>
  <c r="AA1806" i="7"/>
  <c r="AA1807" i="7"/>
  <c r="AA1808" i="7"/>
  <c r="AA1809" i="7"/>
  <c r="AA1810" i="7"/>
  <c r="AA1811" i="7"/>
  <c r="AA1812" i="7"/>
  <c r="AA1813" i="7"/>
  <c r="AA1814" i="7"/>
  <c r="AA1815" i="7"/>
  <c r="AA1816" i="7"/>
  <c r="AA1817" i="7"/>
  <c r="AA1818" i="7"/>
  <c r="AA1819" i="7"/>
  <c r="AA1820" i="7"/>
  <c r="AA1821" i="7"/>
  <c r="AA1822" i="7"/>
  <c r="AA1823" i="7"/>
  <c r="AA1824" i="7"/>
  <c r="AA1825" i="7"/>
  <c r="AA1826" i="7"/>
  <c r="AA1827" i="7"/>
  <c r="AA1828" i="7"/>
  <c r="AA1829" i="7"/>
  <c r="AA1830" i="7"/>
  <c r="AA1831" i="7"/>
  <c r="AA1832" i="7"/>
  <c r="AA1833" i="7"/>
  <c r="AA1834" i="7"/>
  <c r="AA1835" i="7"/>
  <c r="AA1836" i="7"/>
  <c r="AA1837" i="7"/>
  <c r="AA1838" i="7"/>
  <c r="AA1839" i="7"/>
  <c r="AA1840" i="7"/>
  <c r="AA1841" i="7"/>
  <c r="AA1842" i="7"/>
  <c r="AA1843" i="7"/>
  <c r="AA1844" i="7"/>
  <c r="AA1845" i="7"/>
  <c r="AA1846" i="7"/>
  <c r="AA1847" i="7"/>
  <c r="AA1848" i="7"/>
  <c r="AA1849" i="7"/>
  <c r="AA1850" i="7"/>
  <c r="AA1851" i="7"/>
  <c r="AA1852" i="7"/>
  <c r="AA1853" i="7"/>
  <c r="AA1854" i="7"/>
  <c r="AA1855" i="7"/>
  <c r="AA1856" i="7"/>
  <c r="AA1857" i="7"/>
  <c r="AA1858" i="7"/>
  <c r="AA1859" i="7"/>
  <c r="AA1860" i="7"/>
  <c r="AA1861" i="7"/>
  <c r="AA1862" i="7"/>
  <c r="AA1863" i="7"/>
  <c r="AA1864" i="7"/>
  <c r="AA1865" i="7"/>
  <c r="AA1866" i="7"/>
  <c r="AA1867" i="7"/>
  <c r="AA1868" i="7"/>
  <c r="AA1869" i="7"/>
  <c r="AA1870" i="7"/>
  <c r="AA1871" i="7"/>
  <c r="AA1872" i="7"/>
  <c r="AA1873" i="7"/>
  <c r="AA1874" i="7"/>
  <c r="AA1875" i="7"/>
  <c r="AA1876" i="7"/>
  <c r="AA1877" i="7"/>
  <c r="AA1878" i="7"/>
  <c r="AA1879" i="7"/>
  <c r="S1454" i="7"/>
  <c r="Q5" i="7"/>
  <c r="R5" i="7" s="1"/>
  <c r="S5" i="7" s="1"/>
  <c r="Q6" i="7"/>
  <c r="R6" i="7" s="1"/>
  <c r="S6" i="7" s="1"/>
  <c r="Q7" i="7"/>
  <c r="R7" i="7" s="1"/>
  <c r="S7" i="7" s="1"/>
  <c r="Q8" i="7"/>
  <c r="R8" i="7" s="1"/>
  <c r="S8" i="7" s="1"/>
  <c r="Q9" i="7"/>
  <c r="R9" i="7" s="1"/>
  <c r="S9" i="7" s="1"/>
  <c r="Q10" i="7"/>
  <c r="R10" i="7" s="1"/>
  <c r="S10" i="7" s="1"/>
  <c r="Q11" i="7"/>
  <c r="R11" i="7" s="1"/>
  <c r="S11" i="7" s="1"/>
  <c r="Q12" i="7"/>
  <c r="R12" i="7" s="1"/>
  <c r="S12" i="7" s="1"/>
  <c r="Q13" i="7"/>
  <c r="R13" i="7" s="1"/>
  <c r="S13" i="7" s="1"/>
  <c r="Q14" i="7"/>
  <c r="R14" i="7" s="1"/>
  <c r="S14" i="7" s="1"/>
  <c r="Q15" i="7"/>
  <c r="R15" i="7" s="1"/>
  <c r="S15" i="7" s="1"/>
  <c r="Q16" i="7"/>
  <c r="R16" i="7" s="1"/>
  <c r="S16" i="7" s="1"/>
  <c r="Q17" i="7"/>
  <c r="R17" i="7" s="1"/>
  <c r="S17" i="7" s="1"/>
  <c r="Q18" i="7"/>
  <c r="R18" i="7" s="1"/>
  <c r="S18" i="7" s="1"/>
  <c r="Q19" i="7"/>
  <c r="R19" i="7" s="1"/>
  <c r="S19" i="7" s="1"/>
  <c r="Q20" i="7"/>
  <c r="R20" i="7" s="1"/>
  <c r="S20" i="7" s="1"/>
  <c r="Q21" i="7"/>
  <c r="R21" i="7" s="1"/>
  <c r="S21" i="7" s="1"/>
  <c r="Q22" i="7"/>
  <c r="R22" i="7" s="1"/>
  <c r="S22" i="7" s="1"/>
  <c r="Q23" i="7"/>
  <c r="R23" i="7" s="1"/>
  <c r="S23" i="7" s="1"/>
  <c r="Q24" i="7"/>
  <c r="R24" i="7" s="1"/>
  <c r="S24" i="7" s="1"/>
  <c r="Q25" i="7"/>
  <c r="R25" i="7" s="1"/>
  <c r="S25" i="7" s="1"/>
  <c r="Q26" i="7"/>
  <c r="R26" i="7" s="1"/>
  <c r="S26" i="7" s="1"/>
  <c r="Q27" i="7"/>
  <c r="R27" i="7" s="1"/>
  <c r="S27" i="7" s="1"/>
  <c r="Q28" i="7"/>
  <c r="R28" i="7" s="1"/>
  <c r="S28" i="7" s="1"/>
  <c r="Q29" i="7"/>
  <c r="R29" i="7" s="1"/>
  <c r="S29" i="7" s="1"/>
  <c r="Q30" i="7"/>
  <c r="R30" i="7" s="1"/>
  <c r="S30" i="7" s="1"/>
  <c r="Q31" i="7"/>
  <c r="R31" i="7" s="1"/>
  <c r="S31" i="7" s="1"/>
  <c r="Q32" i="7"/>
  <c r="R32" i="7" s="1"/>
  <c r="S32" i="7" s="1"/>
  <c r="Q33" i="7"/>
  <c r="R33" i="7" s="1"/>
  <c r="S33" i="7" s="1"/>
  <c r="Q34" i="7"/>
  <c r="R34" i="7" s="1"/>
  <c r="S34" i="7" s="1"/>
  <c r="Q35" i="7"/>
  <c r="R35" i="7" s="1"/>
  <c r="S35" i="7" s="1"/>
  <c r="Q36" i="7"/>
  <c r="R36" i="7" s="1"/>
  <c r="S36" i="7" s="1"/>
  <c r="Q37" i="7"/>
  <c r="R37" i="7" s="1"/>
  <c r="S37" i="7" s="1"/>
  <c r="Q38" i="7"/>
  <c r="R38" i="7" s="1"/>
  <c r="S38" i="7" s="1"/>
  <c r="Q39" i="7"/>
  <c r="R39" i="7" s="1"/>
  <c r="S39" i="7" s="1"/>
  <c r="Q40" i="7"/>
  <c r="R40" i="7" s="1"/>
  <c r="S40" i="7" s="1"/>
  <c r="Q41" i="7"/>
  <c r="R41" i="7" s="1"/>
  <c r="S41" i="7" s="1"/>
  <c r="Q42" i="7"/>
  <c r="R42" i="7" s="1"/>
  <c r="S42" i="7" s="1"/>
  <c r="Q43" i="7"/>
  <c r="R43" i="7" s="1"/>
  <c r="S43" i="7" s="1"/>
  <c r="Q44" i="7"/>
  <c r="R44" i="7" s="1"/>
  <c r="S44" i="7" s="1"/>
  <c r="Q45" i="7"/>
  <c r="R45" i="7" s="1"/>
  <c r="S45" i="7" s="1"/>
  <c r="Q46" i="7"/>
  <c r="R46" i="7" s="1"/>
  <c r="S46" i="7" s="1"/>
  <c r="Q47" i="7"/>
  <c r="R47" i="7" s="1"/>
  <c r="S47" i="7" s="1"/>
  <c r="Q48" i="7"/>
  <c r="R48" i="7" s="1"/>
  <c r="S48" i="7" s="1"/>
  <c r="Q49" i="7"/>
  <c r="R49" i="7" s="1"/>
  <c r="S49" i="7" s="1"/>
  <c r="Q50" i="7"/>
  <c r="R50" i="7" s="1"/>
  <c r="S50" i="7" s="1"/>
  <c r="Q51" i="7"/>
  <c r="R51" i="7" s="1"/>
  <c r="S51" i="7" s="1"/>
  <c r="Q52" i="7"/>
  <c r="R52" i="7" s="1"/>
  <c r="S52" i="7" s="1"/>
  <c r="Q53" i="7"/>
  <c r="R53" i="7" s="1"/>
  <c r="S53" i="7" s="1"/>
  <c r="Q54" i="7"/>
  <c r="R54" i="7" s="1"/>
  <c r="S54" i="7" s="1"/>
  <c r="Q55" i="7"/>
  <c r="R55" i="7" s="1"/>
  <c r="S55" i="7" s="1"/>
  <c r="Q56" i="7"/>
  <c r="R56" i="7" s="1"/>
  <c r="S56" i="7" s="1"/>
  <c r="Q57" i="7"/>
  <c r="R57" i="7" s="1"/>
  <c r="S57" i="7" s="1"/>
  <c r="Q58" i="7"/>
  <c r="R58" i="7" s="1"/>
  <c r="S58" i="7" s="1"/>
  <c r="Q59" i="7"/>
  <c r="R59" i="7" s="1"/>
  <c r="S59" i="7" s="1"/>
  <c r="Q60" i="7"/>
  <c r="R60" i="7" s="1"/>
  <c r="S60" i="7" s="1"/>
  <c r="Q61" i="7"/>
  <c r="R61" i="7" s="1"/>
  <c r="S61" i="7" s="1"/>
  <c r="Q62" i="7"/>
  <c r="R62" i="7" s="1"/>
  <c r="S62" i="7" s="1"/>
  <c r="Q63" i="7"/>
  <c r="R63" i="7" s="1"/>
  <c r="S63" i="7" s="1"/>
  <c r="Q64" i="7"/>
  <c r="R64" i="7" s="1"/>
  <c r="S64" i="7" s="1"/>
  <c r="Q65" i="7"/>
  <c r="R65" i="7" s="1"/>
  <c r="S65" i="7" s="1"/>
  <c r="Q66" i="7"/>
  <c r="R66" i="7" s="1"/>
  <c r="S66" i="7" s="1"/>
  <c r="Q67" i="7"/>
  <c r="R67" i="7" s="1"/>
  <c r="S67" i="7" s="1"/>
  <c r="Q68" i="7"/>
  <c r="R68" i="7" s="1"/>
  <c r="S68" i="7" s="1"/>
  <c r="Q69" i="7"/>
  <c r="R69" i="7" s="1"/>
  <c r="S69" i="7" s="1"/>
  <c r="Q70" i="7"/>
  <c r="R70" i="7" s="1"/>
  <c r="S70" i="7" s="1"/>
  <c r="Q71" i="7"/>
  <c r="R71" i="7" s="1"/>
  <c r="S71" i="7" s="1"/>
  <c r="Q72" i="7"/>
  <c r="R72" i="7" s="1"/>
  <c r="S72" i="7" s="1"/>
  <c r="Q73" i="7"/>
  <c r="R73" i="7" s="1"/>
  <c r="S73" i="7" s="1"/>
  <c r="Q74" i="7"/>
  <c r="R74" i="7" s="1"/>
  <c r="S74" i="7" s="1"/>
  <c r="Q75" i="7"/>
  <c r="R75" i="7" s="1"/>
  <c r="S75" i="7" s="1"/>
  <c r="Q76" i="7"/>
  <c r="R76" i="7" s="1"/>
  <c r="S76" i="7" s="1"/>
  <c r="Q77" i="7"/>
  <c r="R77" i="7" s="1"/>
  <c r="S77" i="7" s="1"/>
  <c r="Q78" i="7"/>
  <c r="R78" i="7" s="1"/>
  <c r="S78" i="7" s="1"/>
  <c r="Q79" i="7"/>
  <c r="R79" i="7" s="1"/>
  <c r="S79" i="7" s="1"/>
  <c r="Q80" i="7"/>
  <c r="R80" i="7" s="1"/>
  <c r="S80" i="7" s="1"/>
  <c r="Q81" i="7"/>
  <c r="R81" i="7" s="1"/>
  <c r="S81" i="7" s="1"/>
  <c r="Q82" i="7"/>
  <c r="R82" i="7" s="1"/>
  <c r="S82" i="7" s="1"/>
  <c r="Q83" i="7"/>
  <c r="R83" i="7" s="1"/>
  <c r="S83" i="7" s="1"/>
  <c r="Q84" i="7"/>
  <c r="R84" i="7" s="1"/>
  <c r="S84" i="7" s="1"/>
  <c r="Q85" i="7"/>
  <c r="R85" i="7" s="1"/>
  <c r="S85" i="7" s="1"/>
  <c r="Q86" i="7"/>
  <c r="R86" i="7" s="1"/>
  <c r="S86" i="7" s="1"/>
  <c r="Q87" i="7"/>
  <c r="R87" i="7" s="1"/>
  <c r="S87" i="7" s="1"/>
  <c r="Q88" i="7"/>
  <c r="R88" i="7" s="1"/>
  <c r="S88" i="7" s="1"/>
  <c r="Q89" i="7"/>
  <c r="R89" i="7" s="1"/>
  <c r="S89" i="7" s="1"/>
  <c r="Q90" i="7"/>
  <c r="R90" i="7" s="1"/>
  <c r="S90" i="7" s="1"/>
  <c r="Q91" i="7"/>
  <c r="R91" i="7" s="1"/>
  <c r="S91" i="7" s="1"/>
  <c r="Q92" i="7"/>
  <c r="R92" i="7" s="1"/>
  <c r="S92" i="7" s="1"/>
  <c r="Q93" i="7"/>
  <c r="R93" i="7" s="1"/>
  <c r="S93" i="7" s="1"/>
  <c r="Q94" i="7"/>
  <c r="R94" i="7" s="1"/>
  <c r="S94" i="7" s="1"/>
  <c r="Q95" i="7"/>
  <c r="R95" i="7" s="1"/>
  <c r="S95" i="7" s="1"/>
  <c r="Q96" i="7"/>
  <c r="R96" i="7" s="1"/>
  <c r="S96" i="7" s="1"/>
  <c r="Q97" i="7"/>
  <c r="R97" i="7" s="1"/>
  <c r="S97" i="7" s="1"/>
  <c r="Q98" i="7"/>
  <c r="R98" i="7" s="1"/>
  <c r="S98" i="7" s="1"/>
  <c r="Q99" i="7"/>
  <c r="R99" i="7" s="1"/>
  <c r="S99" i="7" s="1"/>
  <c r="Q100" i="7"/>
  <c r="R100" i="7" s="1"/>
  <c r="S100" i="7" s="1"/>
  <c r="Q101" i="7"/>
  <c r="R101" i="7" s="1"/>
  <c r="S101" i="7" s="1"/>
  <c r="Q102" i="7"/>
  <c r="R102" i="7" s="1"/>
  <c r="S102" i="7" s="1"/>
  <c r="Q103" i="7"/>
  <c r="R103" i="7" s="1"/>
  <c r="S103" i="7" s="1"/>
  <c r="Q104" i="7"/>
  <c r="R104" i="7" s="1"/>
  <c r="S104" i="7" s="1"/>
  <c r="Q105" i="7"/>
  <c r="R105" i="7" s="1"/>
  <c r="S105" i="7" s="1"/>
  <c r="Q106" i="7"/>
  <c r="R106" i="7" s="1"/>
  <c r="S106" i="7" s="1"/>
  <c r="Q107" i="7"/>
  <c r="R107" i="7" s="1"/>
  <c r="S107" i="7" s="1"/>
  <c r="Q108" i="7"/>
  <c r="R108" i="7" s="1"/>
  <c r="S108" i="7" s="1"/>
  <c r="Q109" i="7"/>
  <c r="R109" i="7" s="1"/>
  <c r="S109" i="7" s="1"/>
  <c r="Q110" i="7"/>
  <c r="R110" i="7" s="1"/>
  <c r="S110" i="7" s="1"/>
  <c r="Q111" i="7"/>
  <c r="R111" i="7" s="1"/>
  <c r="S111" i="7" s="1"/>
  <c r="Q112" i="7"/>
  <c r="R112" i="7" s="1"/>
  <c r="S112" i="7" s="1"/>
  <c r="Q113" i="7"/>
  <c r="R113" i="7" s="1"/>
  <c r="S113" i="7" s="1"/>
  <c r="Q114" i="7"/>
  <c r="R114" i="7" s="1"/>
  <c r="S114" i="7" s="1"/>
  <c r="Q115" i="7"/>
  <c r="R115" i="7" s="1"/>
  <c r="S115" i="7" s="1"/>
  <c r="Q116" i="7"/>
  <c r="R116" i="7" s="1"/>
  <c r="S116" i="7" s="1"/>
  <c r="Q117" i="7"/>
  <c r="R117" i="7" s="1"/>
  <c r="S117" i="7" s="1"/>
  <c r="Q118" i="7"/>
  <c r="R118" i="7" s="1"/>
  <c r="S118" i="7" s="1"/>
  <c r="Q119" i="7"/>
  <c r="R119" i="7" s="1"/>
  <c r="S119" i="7" s="1"/>
  <c r="Q120" i="7"/>
  <c r="R120" i="7" s="1"/>
  <c r="S120" i="7" s="1"/>
  <c r="Q121" i="7"/>
  <c r="R121" i="7" s="1"/>
  <c r="S121" i="7" s="1"/>
  <c r="Q122" i="7"/>
  <c r="R122" i="7" s="1"/>
  <c r="S122" i="7" s="1"/>
  <c r="Q123" i="7"/>
  <c r="R123" i="7" s="1"/>
  <c r="S123" i="7" s="1"/>
  <c r="Q124" i="7"/>
  <c r="R124" i="7" s="1"/>
  <c r="S124" i="7" s="1"/>
  <c r="Q125" i="7"/>
  <c r="R125" i="7" s="1"/>
  <c r="S125" i="7" s="1"/>
  <c r="Q126" i="7"/>
  <c r="R126" i="7" s="1"/>
  <c r="S126" i="7" s="1"/>
  <c r="Q127" i="7"/>
  <c r="R127" i="7" s="1"/>
  <c r="S127" i="7" s="1"/>
  <c r="Q128" i="7"/>
  <c r="R128" i="7" s="1"/>
  <c r="S128" i="7" s="1"/>
  <c r="Q129" i="7"/>
  <c r="R129" i="7" s="1"/>
  <c r="S129" i="7" s="1"/>
  <c r="Q130" i="7"/>
  <c r="R130" i="7" s="1"/>
  <c r="S130" i="7" s="1"/>
  <c r="Q131" i="7"/>
  <c r="R131" i="7" s="1"/>
  <c r="S131" i="7" s="1"/>
  <c r="Q132" i="7"/>
  <c r="R132" i="7" s="1"/>
  <c r="S132" i="7" s="1"/>
  <c r="Q133" i="7"/>
  <c r="R133" i="7" s="1"/>
  <c r="S133" i="7" s="1"/>
  <c r="Q134" i="7"/>
  <c r="R134" i="7" s="1"/>
  <c r="S134" i="7" s="1"/>
  <c r="Q135" i="7"/>
  <c r="R135" i="7" s="1"/>
  <c r="S135" i="7" s="1"/>
  <c r="Q136" i="7"/>
  <c r="R136" i="7" s="1"/>
  <c r="S136" i="7" s="1"/>
  <c r="Q137" i="7"/>
  <c r="R137" i="7" s="1"/>
  <c r="S137" i="7" s="1"/>
  <c r="Q138" i="7"/>
  <c r="R138" i="7" s="1"/>
  <c r="S138" i="7" s="1"/>
  <c r="Q139" i="7"/>
  <c r="R139" i="7" s="1"/>
  <c r="S139" i="7" s="1"/>
  <c r="Q140" i="7"/>
  <c r="R140" i="7" s="1"/>
  <c r="S140" i="7" s="1"/>
  <c r="Q141" i="7"/>
  <c r="R141" i="7" s="1"/>
  <c r="S141" i="7" s="1"/>
  <c r="Q142" i="7"/>
  <c r="R142" i="7" s="1"/>
  <c r="S142" i="7" s="1"/>
  <c r="Q143" i="7"/>
  <c r="R143" i="7" s="1"/>
  <c r="S143" i="7" s="1"/>
  <c r="Q144" i="7"/>
  <c r="R144" i="7" s="1"/>
  <c r="S144" i="7" s="1"/>
  <c r="Q145" i="7"/>
  <c r="R145" i="7" s="1"/>
  <c r="S145" i="7" s="1"/>
  <c r="Q146" i="7"/>
  <c r="R146" i="7" s="1"/>
  <c r="S146" i="7" s="1"/>
  <c r="Q147" i="7"/>
  <c r="R147" i="7" s="1"/>
  <c r="S147" i="7" s="1"/>
  <c r="Q148" i="7"/>
  <c r="R148" i="7" s="1"/>
  <c r="S148" i="7" s="1"/>
  <c r="Q149" i="7"/>
  <c r="R149" i="7" s="1"/>
  <c r="S149" i="7" s="1"/>
  <c r="Q150" i="7"/>
  <c r="R150" i="7" s="1"/>
  <c r="S150" i="7" s="1"/>
  <c r="Q151" i="7"/>
  <c r="R151" i="7" s="1"/>
  <c r="S151" i="7" s="1"/>
  <c r="Q152" i="7"/>
  <c r="R152" i="7" s="1"/>
  <c r="S152" i="7" s="1"/>
  <c r="Q153" i="7"/>
  <c r="R153" i="7" s="1"/>
  <c r="S153" i="7" s="1"/>
  <c r="Q154" i="7"/>
  <c r="R154" i="7" s="1"/>
  <c r="S154" i="7" s="1"/>
  <c r="Q155" i="7"/>
  <c r="R155" i="7" s="1"/>
  <c r="S155" i="7" s="1"/>
  <c r="Q156" i="7"/>
  <c r="R156" i="7" s="1"/>
  <c r="S156" i="7" s="1"/>
  <c r="Q157" i="7"/>
  <c r="R157" i="7" s="1"/>
  <c r="S157" i="7" s="1"/>
  <c r="Q158" i="7"/>
  <c r="R158" i="7" s="1"/>
  <c r="S158" i="7" s="1"/>
  <c r="Q159" i="7"/>
  <c r="R159" i="7" s="1"/>
  <c r="S159" i="7" s="1"/>
  <c r="Q160" i="7"/>
  <c r="R160" i="7" s="1"/>
  <c r="S160" i="7" s="1"/>
  <c r="Q161" i="7"/>
  <c r="R161" i="7" s="1"/>
  <c r="S161" i="7" s="1"/>
  <c r="Q162" i="7"/>
  <c r="R162" i="7" s="1"/>
  <c r="S162" i="7" s="1"/>
  <c r="Q163" i="7"/>
  <c r="R163" i="7" s="1"/>
  <c r="S163" i="7" s="1"/>
  <c r="Q164" i="7"/>
  <c r="R164" i="7" s="1"/>
  <c r="S164" i="7" s="1"/>
  <c r="Q165" i="7"/>
  <c r="R165" i="7" s="1"/>
  <c r="S165" i="7" s="1"/>
  <c r="Q166" i="7"/>
  <c r="R166" i="7" s="1"/>
  <c r="S166" i="7" s="1"/>
  <c r="Q167" i="7"/>
  <c r="R167" i="7" s="1"/>
  <c r="S167" i="7" s="1"/>
  <c r="Q168" i="7"/>
  <c r="R168" i="7" s="1"/>
  <c r="S168" i="7" s="1"/>
  <c r="Q169" i="7"/>
  <c r="R169" i="7" s="1"/>
  <c r="S169" i="7" s="1"/>
  <c r="Q170" i="7"/>
  <c r="R170" i="7" s="1"/>
  <c r="S170" i="7" s="1"/>
  <c r="Q171" i="7"/>
  <c r="R171" i="7" s="1"/>
  <c r="S171" i="7" s="1"/>
  <c r="Q172" i="7"/>
  <c r="R172" i="7" s="1"/>
  <c r="S172" i="7" s="1"/>
  <c r="Q173" i="7"/>
  <c r="R173" i="7" s="1"/>
  <c r="S173" i="7" s="1"/>
  <c r="Q174" i="7"/>
  <c r="R174" i="7" s="1"/>
  <c r="S174" i="7" s="1"/>
  <c r="Q175" i="7"/>
  <c r="R175" i="7" s="1"/>
  <c r="S175" i="7" s="1"/>
  <c r="Q176" i="7"/>
  <c r="R176" i="7" s="1"/>
  <c r="S176" i="7" s="1"/>
  <c r="Q177" i="7"/>
  <c r="R177" i="7" s="1"/>
  <c r="S177" i="7" s="1"/>
  <c r="Q178" i="7"/>
  <c r="R178" i="7" s="1"/>
  <c r="S178" i="7" s="1"/>
  <c r="Q179" i="7"/>
  <c r="R179" i="7" s="1"/>
  <c r="S179" i="7" s="1"/>
  <c r="Q180" i="7"/>
  <c r="R180" i="7" s="1"/>
  <c r="S180" i="7" s="1"/>
  <c r="Q181" i="7"/>
  <c r="R181" i="7" s="1"/>
  <c r="S181" i="7" s="1"/>
  <c r="Q182" i="7"/>
  <c r="R182" i="7" s="1"/>
  <c r="S182" i="7" s="1"/>
  <c r="Q183" i="7"/>
  <c r="R183" i="7" s="1"/>
  <c r="S183" i="7" s="1"/>
  <c r="Q184" i="7"/>
  <c r="R184" i="7" s="1"/>
  <c r="S184" i="7" s="1"/>
  <c r="Q185" i="7"/>
  <c r="R185" i="7" s="1"/>
  <c r="S185" i="7" s="1"/>
  <c r="Q186" i="7"/>
  <c r="R186" i="7" s="1"/>
  <c r="S186" i="7" s="1"/>
  <c r="Q187" i="7"/>
  <c r="R187" i="7" s="1"/>
  <c r="S187" i="7" s="1"/>
  <c r="Q188" i="7"/>
  <c r="R188" i="7" s="1"/>
  <c r="S188" i="7" s="1"/>
  <c r="Q189" i="7"/>
  <c r="R189" i="7" s="1"/>
  <c r="S189" i="7" s="1"/>
  <c r="Q190" i="7"/>
  <c r="R190" i="7" s="1"/>
  <c r="S190" i="7" s="1"/>
  <c r="Q191" i="7"/>
  <c r="R191" i="7" s="1"/>
  <c r="S191" i="7" s="1"/>
  <c r="Q192" i="7"/>
  <c r="R192" i="7" s="1"/>
  <c r="S192" i="7" s="1"/>
  <c r="Q193" i="7"/>
  <c r="R193" i="7" s="1"/>
  <c r="S193" i="7" s="1"/>
  <c r="Q194" i="7"/>
  <c r="R194" i="7" s="1"/>
  <c r="S194" i="7" s="1"/>
  <c r="Q195" i="7"/>
  <c r="R195" i="7" s="1"/>
  <c r="S195" i="7" s="1"/>
  <c r="Q196" i="7"/>
  <c r="R196" i="7" s="1"/>
  <c r="S196" i="7" s="1"/>
  <c r="Q197" i="7"/>
  <c r="R197" i="7" s="1"/>
  <c r="S197" i="7" s="1"/>
  <c r="Q198" i="7"/>
  <c r="R198" i="7" s="1"/>
  <c r="S198" i="7" s="1"/>
  <c r="Q199" i="7"/>
  <c r="R199" i="7" s="1"/>
  <c r="S199" i="7" s="1"/>
  <c r="Q200" i="7"/>
  <c r="R200" i="7" s="1"/>
  <c r="S200" i="7" s="1"/>
  <c r="Q201" i="7"/>
  <c r="R201" i="7" s="1"/>
  <c r="S201" i="7" s="1"/>
  <c r="Q202" i="7"/>
  <c r="R202" i="7" s="1"/>
  <c r="S202" i="7" s="1"/>
  <c r="Q203" i="7"/>
  <c r="R203" i="7" s="1"/>
  <c r="S203" i="7" s="1"/>
  <c r="Q204" i="7"/>
  <c r="R204" i="7" s="1"/>
  <c r="S204" i="7" s="1"/>
  <c r="Q205" i="7"/>
  <c r="R205" i="7" s="1"/>
  <c r="S205" i="7" s="1"/>
  <c r="Q206" i="7"/>
  <c r="R206" i="7" s="1"/>
  <c r="S206" i="7" s="1"/>
  <c r="Q207" i="7"/>
  <c r="R207" i="7" s="1"/>
  <c r="S207" i="7" s="1"/>
  <c r="Q208" i="7"/>
  <c r="R208" i="7" s="1"/>
  <c r="S208" i="7" s="1"/>
  <c r="Q209" i="7"/>
  <c r="R209" i="7" s="1"/>
  <c r="S209" i="7" s="1"/>
  <c r="Q210" i="7"/>
  <c r="R210" i="7" s="1"/>
  <c r="S210" i="7" s="1"/>
  <c r="Q211" i="7"/>
  <c r="R211" i="7" s="1"/>
  <c r="S211" i="7" s="1"/>
  <c r="Q212" i="7"/>
  <c r="R212" i="7" s="1"/>
  <c r="S212" i="7" s="1"/>
  <c r="Q213" i="7"/>
  <c r="R213" i="7" s="1"/>
  <c r="S213" i="7" s="1"/>
  <c r="Q214" i="7"/>
  <c r="R214" i="7" s="1"/>
  <c r="S214" i="7" s="1"/>
  <c r="Q215" i="7"/>
  <c r="R215" i="7" s="1"/>
  <c r="S215" i="7" s="1"/>
  <c r="Q216" i="7"/>
  <c r="R216" i="7" s="1"/>
  <c r="S216" i="7" s="1"/>
  <c r="Q217" i="7"/>
  <c r="R217" i="7" s="1"/>
  <c r="S217" i="7" s="1"/>
  <c r="Q218" i="7"/>
  <c r="R218" i="7" s="1"/>
  <c r="S218" i="7" s="1"/>
  <c r="Q219" i="7"/>
  <c r="R219" i="7" s="1"/>
  <c r="S219" i="7" s="1"/>
  <c r="Q220" i="7"/>
  <c r="R220" i="7" s="1"/>
  <c r="S220" i="7" s="1"/>
  <c r="Q221" i="7"/>
  <c r="R221" i="7" s="1"/>
  <c r="S221" i="7" s="1"/>
  <c r="Q222" i="7"/>
  <c r="R222" i="7" s="1"/>
  <c r="S222" i="7" s="1"/>
  <c r="Q223" i="7"/>
  <c r="R223" i="7" s="1"/>
  <c r="S223" i="7" s="1"/>
  <c r="Q224" i="7"/>
  <c r="R224" i="7" s="1"/>
  <c r="S224" i="7" s="1"/>
  <c r="Q225" i="7"/>
  <c r="R225" i="7" s="1"/>
  <c r="S225" i="7" s="1"/>
  <c r="Q226" i="7"/>
  <c r="R226" i="7" s="1"/>
  <c r="S226" i="7" s="1"/>
  <c r="Q227" i="7"/>
  <c r="R227" i="7" s="1"/>
  <c r="S227" i="7" s="1"/>
  <c r="Q228" i="7"/>
  <c r="R228" i="7" s="1"/>
  <c r="S228" i="7" s="1"/>
  <c r="Q229" i="7"/>
  <c r="R229" i="7" s="1"/>
  <c r="S229" i="7" s="1"/>
  <c r="Q230" i="7"/>
  <c r="R230" i="7" s="1"/>
  <c r="S230" i="7" s="1"/>
  <c r="Q231" i="7"/>
  <c r="R231" i="7" s="1"/>
  <c r="S231" i="7" s="1"/>
  <c r="Q232" i="7"/>
  <c r="R232" i="7" s="1"/>
  <c r="S232" i="7" s="1"/>
  <c r="Q233" i="7"/>
  <c r="R233" i="7" s="1"/>
  <c r="S233" i="7" s="1"/>
  <c r="Q234" i="7"/>
  <c r="R234" i="7" s="1"/>
  <c r="S234" i="7" s="1"/>
  <c r="Q235" i="7"/>
  <c r="R235" i="7" s="1"/>
  <c r="S235" i="7" s="1"/>
  <c r="Q236" i="7"/>
  <c r="R236" i="7" s="1"/>
  <c r="S236" i="7" s="1"/>
  <c r="Q237" i="7"/>
  <c r="R237" i="7" s="1"/>
  <c r="S237" i="7" s="1"/>
  <c r="Q238" i="7"/>
  <c r="R238" i="7" s="1"/>
  <c r="S238" i="7" s="1"/>
  <c r="Q239" i="7"/>
  <c r="R239" i="7" s="1"/>
  <c r="S239" i="7" s="1"/>
  <c r="Q240" i="7"/>
  <c r="R240" i="7" s="1"/>
  <c r="S240" i="7" s="1"/>
  <c r="Q241" i="7"/>
  <c r="R241" i="7" s="1"/>
  <c r="S241" i="7" s="1"/>
  <c r="Q242" i="7"/>
  <c r="R242" i="7" s="1"/>
  <c r="S242" i="7" s="1"/>
  <c r="Q243" i="7"/>
  <c r="R243" i="7" s="1"/>
  <c r="S243" i="7" s="1"/>
  <c r="Q244" i="7"/>
  <c r="R244" i="7" s="1"/>
  <c r="S244" i="7" s="1"/>
  <c r="Q245" i="7"/>
  <c r="R245" i="7" s="1"/>
  <c r="S245" i="7" s="1"/>
  <c r="Q246" i="7"/>
  <c r="R246" i="7" s="1"/>
  <c r="S246" i="7" s="1"/>
  <c r="Q247" i="7"/>
  <c r="R247" i="7" s="1"/>
  <c r="S247" i="7" s="1"/>
  <c r="Q248" i="7"/>
  <c r="R248" i="7" s="1"/>
  <c r="S248" i="7" s="1"/>
  <c r="Q249" i="7"/>
  <c r="R249" i="7" s="1"/>
  <c r="S249" i="7" s="1"/>
  <c r="Q250" i="7"/>
  <c r="R250" i="7" s="1"/>
  <c r="S250" i="7" s="1"/>
  <c r="Q251" i="7"/>
  <c r="R251" i="7" s="1"/>
  <c r="S251" i="7" s="1"/>
  <c r="Q252" i="7"/>
  <c r="R252" i="7" s="1"/>
  <c r="S252" i="7" s="1"/>
  <c r="Q253" i="7"/>
  <c r="R253" i="7" s="1"/>
  <c r="S253" i="7" s="1"/>
  <c r="Q254" i="7"/>
  <c r="R254" i="7" s="1"/>
  <c r="S254" i="7" s="1"/>
  <c r="Q255" i="7"/>
  <c r="R255" i="7" s="1"/>
  <c r="S255" i="7" s="1"/>
  <c r="Q256" i="7"/>
  <c r="R256" i="7" s="1"/>
  <c r="S256" i="7" s="1"/>
  <c r="Q257" i="7"/>
  <c r="R257" i="7" s="1"/>
  <c r="S257" i="7" s="1"/>
  <c r="Q258" i="7"/>
  <c r="R258" i="7" s="1"/>
  <c r="S258" i="7" s="1"/>
  <c r="Q259" i="7"/>
  <c r="R259" i="7" s="1"/>
  <c r="S259" i="7" s="1"/>
  <c r="Q260" i="7"/>
  <c r="R260" i="7" s="1"/>
  <c r="S260" i="7" s="1"/>
  <c r="Q261" i="7"/>
  <c r="R261" i="7" s="1"/>
  <c r="S261" i="7" s="1"/>
  <c r="Q262" i="7"/>
  <c r="R262" i="7" s="1"/>
  <c r="S262" i="7" s="1"/>
  <c r="Q263" i="7"/>
  <c r="R263" i="7" s="1"/>
  <c r="S263" i="7" s="1"/>
  <c r="Q264" i="7"/>
  <c r="R264" i="7" s="1"/>
  <c r="S264" i="7" s="1"/>
  <c r="Q265" i="7"/>
  <c r="R265" i="7" s="1"/>
  <c r="S265" i="7" s="1"/>
  <c r="Q266" i="7"/>
  <c r="R266" i="7" s="1"/>
  <c r="S266" i="7" s="1"/>
  <c r="Q267" i="7"/>
  <c r="R267" i="7" s="1"/>
  <c r="S267" i="7" s="1"/>
  <c r="Q268" i="7"/>
  <c r="R268" i="7" s="1"/>
  <c r="S268" i="7" s="1"/>
  <c r="Q269" i="7"/>
  <c r="R269" i="7" s="1"/>
  <c r="S269" i="7" s="1"/>
  <c r="Q270" i="7"/>
  <c r="R270" i="7" s="1"/>
  <c r="S270" i="7" s="1"/>
  <c r="Q271" i="7"/>
  <c r="R271" i="7" s="1"/>
  <c r="S271" i="7" s="1"/>
  <c r="Q272" i="7"/>
  <c r="R272" i="7" s="1"/>
  <c r="S272" i="7" s="1"/>
  <c r="Q273" i="7"/>
  <c r="R273" i="7" s="1"/>
  <c r="S273" i="7" s="1"/>
  <c r="Q274" i="7"/>
  <c r="R274" i="7" s="1"/>
  <c r="S274" i="7" s="1"/>
  <c r="Q275" i="7"/>
  <c r="R275" i="7" s="1"/>
  <c r="S275" i="7" s="1"/>
  <c r="Q276" i="7"/>
  <c r="R276" i="7" s="1"/>
  <c r="S276" i="7" s="1"/>
  <c r="Q277" i="7"/>
  <c r="R277" i="7" s="1"/>
  <c r="S277" i="7" s="1"/>
  <c r="Q278" i="7"/>
  <c r="R278" i="7" s="1"/>
  <c r="S278" i="7" s="1"/>
  <c r="Q279" i="7"/>
  <c r="R279" i="7" s="1"/>
  <c r="S279" i="7" s="1"/>
  <c r="Q280" i="7"/>
  <c r="R280" i="7" s="1"/>
  <c r="S280" i="7" s="1"/>
  <c r="Q281" i="7"/>
  <c r="R281" i="7" s="1"/>
  <c r="S281" i="7" s="1"/>
  <c r="Q282" i="7"/>
  <c r="R282" i="7" s="1"/>
  <c r="S282" i="7" s="1"/>
  <c r="Q283" i="7"/>
  <c r="R283" i="7" s="1"/>
  <c r="S283" i="7" s="1"/>
  <c r="Q284" i="7"/>
  <c r="R284" i="7" s="1"/>
  <c r="S284" i="7" s="1"/>
  <c r="Q285" i="7"/>
  <c r="R285" i="7" s="1"/>
  <c r="S285" i="7" s="1"/>
  <c r="Q286" i="7"/>
  <c r="R286" i="7" s="1"/>
  <c r="S286" i="7" s="1"/>
  <c r="Q287" i="7"/>
  <c r="R287" i="7" s="1"/>
  <c r="S287" i="7" s="1"/>
  <c r="Q288" i="7"/>
  <c r="R288" i="7" s="1"/>
  <c r="S288" i="7" s="1"/>
  <c r="Q289" i="7"/>
  <c r="R289" i="7" s="1"/>
  <c r="S289" i="7" s="1"/>
  <c r="Q290" i="7"/>
  <c r="R290" i="7" s="1"/>
  <c r="S290" i="7" s="1"/>
  <c r="Q291" i="7"/>
  <c r="R291" i="7" s="1"/>
  <c r="S291" i="7" s="1"/>
  <c r="Q292" i="7"/>
  <c r="R292" i="7" s="1"/>
  <c r="S292" i="7" s="1"/>
  <c r="Q293" i="7"/>
  <c r="R293" i="7" s="1"/>
  <c r="S293" i="7" s="1"/>
  <c r="Q294" i="7"/>
  <c r="R294" i="7" s="1"/>
  <c r="S294" i="7" s="1"/>
  <c r="Q295" i="7"/>
  <c r="R295" i="7" s="1"/>
  <c r="S295" i="7" s="1"/>
  <c r="Q296" i="7"/>
  <c r="R296" i="7" s="1"/>
  <c r="S296" i="7" s="1"/>
  <c r="Q297" i="7"/>
  <c r="R297" i="7" s="1"/>
  <c r="S297" i="7" s="1"/>
  <c r="Q298" i="7"/>
  <c r="R298" i="7" s="1"/>
  <c r="S298" i="7" s="1"/>
  <c r="Q299" i="7"/>
  <c r="R299" i="7" s="1"/>
  <c r="S299" i="7" s="1"/>
  <c r="Q300" i="7"/>
  <c r="R300" i="7" s="1"/>
  <c r="S300" i="7" s="1"/>
  <c r="Q301" i="7"/>
  <c r="R301" i="7" s="1"/>
  <c r="S301" i="7" s="1"/>
  <c r="Q302" i="7"/>
  <c r="R302" i="7" s="1"/>
  <c r="S302" i="7" s="1"/>
  <c r="Q303" i="7"/>
  <c r="R303" i="7" s="1"/>
  <c r="S303" i="7" s="1"/>
  <c r="Q304" i="7"/>
  <c r="R304" i="7" s="1"/>
  <c r="S304" i="7" s="1"/>
  <c r="Q305" i="7"/>
  <c r="R305" i="7" s="1"/>
  <c r="S305" i="7" s="1"/>
  <c r="Q306" i="7"/>
  <c r="R306" i="7" s="1"/>
  <c r="S306" i="7" s="1"/>
  <c r="Q307" i="7"/>
  <c r="R307" i="7" s="1"/>
  <c r="S307" i="7" s="1"/>
  <c r="Q308" i="7"/>
  <c r="R308" i="7" s="1"/>
  <c r="S308" i="7" s="1"/>
  <c r="Q309" i="7"/>
  <c r="R309" i="7" s="1"/>
  <c r="S309" i="7" s="1"/>
  <c r="Q310" i="7"/>
  <c r="R310" i="7" s="1"/>
  <c r="S310" i="7" s="1"/>
  <c r="Q311" i="7"/>
  <c r="R311" i="7" s="1"/>
  <c r="S311" i="7" s="1"/>
  <c r="Q312" i="7"/>
  <c r="R312" i="7" s="1"/>
  <c r="S312" i="7" s="1"/>
  <c r="Q313" i="7"/>
  <c r="R313" i="7" s="1"/>
  <c r="S313" i="7" s="1"/>
  <c r="Q314" i="7"/>
  <c r="R314" i="7" s="1"/>
  <c r="S314" i="7" s="1"/>
  <c r="Q315" i="7"/>
  <c r="R315" i="7" s="1"/>
  <c r="S315" i="7" s="1"/>
  <c r="Q316" i="7"/>
  <c r="R316" i="7" s="1"/>
  <c r="S316" i="7" s="1"/>
  <c r="Q317" i="7"/>
  <c r="R317" i="7" s="1"/>
  <c r="S317" i="7" s="1"/>
  <c r="Q318" i="7"/>
  <c r="R318" i="7" s="1"/>
  <c r="S318" i="7" s="1"/>
  <c r="Q319" i="7"/>
  <c r="R319" i="7" s="1"/>
  <c r="S319" i="7" s="1"/>
  <c r="Q320" i="7"/>
  <c r="R320" i="7" s="1"/>
  <c r="S320" i="7" s="1"/>
  <c r="Q321" i="7"/>
  <c r="R321" i="7" s="1"/>
  <c r="S321" i="7" s="1"/>
  <c r="Q322" i="7"/>
  <c r="R322" i="7" s="1"/>
  <c r="S322" i="7" s="1"/>
  <c r="Q323" i="7"/>
  <c r="R323" i="7" s="1"/>
  <c r="S323" i="7" s="1"/>
  <c r="Q324" i="7"/>
  <c r="R324" i="7" s="1"/>
  <c r="S324" i="7" s="1"/>
  <c r="Q325" i="7"/>
  <c r="R325" i="7" s="1"/>
  <c r="S325" i="7" s="1"/>
  <c r="Q326" i="7"/>
  <c r="R326" i="7" s="1"/>
  <c r="S326" i="7" s="1"/>
  <c r="Q327" i="7"/>
  <c r="R327" i="7" s="1"/>
  <c r="S327" i="7" s="1"/>
  <c r="Q328" i="7"/>
  <c r="R328" i="7" s="1"/>
  <c r="S328" i="7" s="1"/>
  <c r="Q329" i="7"/>
  <c r="R329" i="7" s="1"/>
  <c r="S329" i="7" s="1"/>
  <c r="Q330" i="7"/>
  <c r="R330" i="7" s="1"/>
  <c r="S330" i="7" s="1"/>
  <c r="Q331" i="7"/>
  <c r="R331" i="7" s="1"/>
  <c r="S331" i="7" s="1"/>
  <c r="Q332" i="7"/>
  <c r="R332" i="7" s="1"/>
  <c r="S332" i="7" s="1"/>
  <c r="Q333" i="7"/>
  <c r="R333" i="7" s="1"/>
  <c r="S333" i="7" s="1"/>
  <c r="Q334" i="7"/>
  <c r="R334" i="7" s="1"/>
  <c r="S334" i="7" s="1"/>
  <c r="Q335" i="7"/>
  <c r="R335" i="7" s="1"/>
  <c r="S335" i="7" s="1"/>
  <c r="Q336" i="7"/>
  <c r="R336" i="7" s="1"/>
  <c r="S336" i="7" s="1"/>
  <c r="Q337" i="7"/>
  <c r="R337" i="7" s="1"/>
  <c r="S337" i="7" s="1"/>
  <c r="Q338" i="7"/>
  <c r="R338" i="7" s="1"/>
  <c r="S338" i="7" s="1"/>
  <c r="Q339" i="7"/>
  <c r="R339" i="7" s="1"/>
  <c r="S339" i="7" s="1"/>
  <c r="Q340" i="7"/>
  <c r="R340" i="7" s="1"/>
  <c r="S340" i="7" s="1"/>
  <c r="Q341" i="7"/>
  <c r="R341" i="7" s="1"/>
  <c r="S341" i="7" s="1"/>
  <c r="Q342" i="7"/>
  <c r="R342" i="7" s="1"/>
  <c r="S342" i="7" s="1"/>
  <c r="Q343" i="7"/>
  <c r="R343" i="7" s="1"/>
  <c r="S343" i="7" s="1"/>
  <c r="Q344" i="7"/>
  <c r="R344" i="7" s="1"/>
  <c r="S344" i="7" s="1"/>
  <c r="Q345" i="7"/>
  <c r="R345" i="7" s="1"/>
  <c r="S345" i="7" s="1"/>
  <c r="Q346" i="7"/>
  <c r="R346" i="7" s="1"/>
  <c r="S346" i="7" s="1"/>
  <c r="Q347" i="7"/>
  <c r="R347" i="7" s="1"/>
  <c r="S347" i="7" s="1"/>
  <c r="Q348" i="7"/>
  <c r="R348" i="7" s="1"/>
  <c r="S348" i="7" s="1"/>
  <c r="Q349" i="7"/>
  <c r="R349" i="7" s="1"/>
  <c r="S349" i="7" s="1"/>
  <c r="Q350" i="7"/>
  <c r="R350" i="7" s="1"/>
  <c r="S350" i="7" s="1"/>
  <c r="Q351" i="7"/>
  <c r="R351" i="7" s="1"/>
  <c r="S351" i="7" s="1"/>
  <c r="Q352" i="7"/>
  <c r="R352" i="7" s="1"/>
  <c r="S352" i="7" s="1"/>
  <c r="Q353" i="7"/>
  <c r="R353" i="7" s="1"/>
  <c r="S353" i="7" s="1"/>
  <c r="Q354" i="7"/>
  <c r="R354" i="7" s="1"/>
  <c r="S354" i="7" s="1"/>
  <c r="Q355" i="7"/>
  <c r="R355" i="7" s="1"/>
  <c r="S355" i="7" s="1"/>
  <c r="Q356" i="7"/>
  <c r="R356" i="7" s="1"/>
  <c r="S356" i="7" s="1"/>
  <c r="Q357" i="7"/>
  <c r="R357" i="7" s="1"/>
  <c r="S357" i="7" s="1"/>
  <c r="Q358" i="7"/>
  <c r="R358" i="7" s="1"/>
  <c r="S358" i="7" s="1"/>
  <c r="Q359" i="7"/>
  <c r="R359" i="7" s="1"/>
  <c r="S359" i="7" s="1"/>
  <c r="Q360" i="7"/>
  <c r="R360" i="7" s="1"/>
  <c r="S360" i="7" s="1"/>
  <c r="Q361" i="7"/>
  <c r="R361" i="7" s="1"/>
  <c r="S361" i="7" s="1"/>
  <c r="Q362" i="7"/>
  <c r="R362" i="7" s="1"/>
  <c r="S362" i="7" s="1"/>
  <c r="Q363" i="7"/>
  <c r="R363" i="7" s="1"/>
  <c r="S363" i="7" s="1"/>
  <c r="Q364" i="7"/>
  <c r="R364" i="7" s="1"/>
  <c r="S364" i="7" s="1"/>
  <c r="Q365" i="7"/>
  <c r="R365" i="7" s="1"/>
  <c r="S365" i="7" s="1"/>
  <c r="Q366" i="7"/>
  <c r="R366" i="7" s="1"/>
  <c r="S366" i="7" s="1"/>
  <c r="Q367" i="7"/>
  <c r="R367" i="7" s="1"/>
  <c r="S367" i="7" s="1"/>
  <c r="Q368" i="7"/>
  <c r="R368" i="7" s="1"/>
  <c r="S368" i="7" s="1"/>
  <c r="Q369" i="7"/>
  <c r="R369" i="7" s="1"/>
  <c r="S369" i="7" s="1"/>
  <c r="Q370" i="7"/>
  <c r="R370" i="7" s="1"/>
  <c r="S370" i="7" s="1"/>
  <c r="Q371" i="7"/>
  <c r="R371" i="7" s="1"/>
  <c r="S371" i="7" s="1"/>
  <c r="Q372" i="7"/>
  <c r="R372" i="7" s="1"/>
  <c r="S372" i="7" s="1"/>
  <c r="Q373" i="7"/>
  <c r="R373" i="7" s="1"/>
  <c r="S373" i="7" s="1"/>
  <c r="Q374" i="7"/>
  <c r="R374" i="7" s="1"/>
  <c r="S374" i="7" s="1"/>
  <c r="Q375" i="7"/>
  <c r="R375" i="7" s="1"/>
  <c r="S375" i="7" s="1"/>
  <c r="Q376" i="7"/>
  <c r="R376" i="7" s="1"/>
  <c r="S376" i="7" s="1"/>
  <c r="Q377" i="7"/>
  <c r="R377" i="7" s="1"/>
  <c r="S377" i="7" s="1"/>
  <c r="Q378" i="7"/>
  <c r="R378" i="7" s="1"/>
  <c r="S378" i="7" s="1"/>
  <c r="Q379" i="7"/>
  <c r="R379" i="7" s="1"/>
  <c r="S379" i="7" s="1"/>
  <c r="Q380" i="7"/>
  <c r="R380" i="7" s="1"/>
  <c r="S380" i="7" s="1"/>
  <c r="Q381" i="7"/>
  <c r="R381" i="7" s="1"/>
  <c r="S381" i="7" s="1"/>
  <c r="Q382" i="7"/>
  <c r="R382" i="7" s="1"/>
  <c r="S382" i="7" s="1"/>
  <c r="Q383" i="7"/>
  <c r="R383" i="7" s="1"/>
  <c r="S383" i="7" s="1"/>
  <c r="Q384" i="7"/>
  <c r="R384" i="7" s="1"/>
  <c r="S384" i="7" s="1"/>
  <c r="Q385" i="7"/>
  <c r="R385" i="7" s="1"/>
  <c r="S385" i="7" s="1"/>
  <c r="Q386" i="7"/>
  <c r="R386" i="7" s="1"/>
  <c r="S386" i="7" s="1"/>
  <c r="Q387" i="7"/>
  <c r="R387" i="7" s="1"/>
  <c r="S387" i="7" s="1"/>
  <c r="Q388" i="7"/>
  <c r="R388" i="7" s="1"/>
  <c r="S388" i="7" s="1"/>
  <c r="Q389" i="7"/>
  <c r="R389" i="7" s="1"/>
  <c r="S389" i="7" s="1"/>
  <c r="Q390" i="7"/>
  <c r="R390" i="7" s="1"/>
  <c r="S390" i="7" s="1"/>
  <c r="Q391" i="7"/>
  <c r="R391" i="7" s="1"/>
  <c r="S391" i="7" s="1"/>
  <c r="Q392" i="7"/>
  <c r="R392" i="7" s="1"/>
  <c r="S392" i="7" s="1"/>
  <c r="Q393" i="7"/>
  <c r="R393" i="7" s="1"/>
  <c r="S393" i="7" s="1"/>
  <c r="Q394" i="7"/>
  <c r="R394" i="7" s="1"/>
  <c r="S394" i="7" s="1"/>
  <c r="Q395" i="7"/>
  <c r="R395" i="7" s="1"/>
  <c r="S395" i="7" s="1"/>
  <c r="Q396" i="7"/>
  <c r="R396" i="7" s="1"/>
  <c r="S396" i="7" s="1"/>
  <c r="Q397" i="7"/>
  <c r="R397" i="7" s="1"/>
  <c r="S397" i="7" s="1"/>
  <c r="Q398" i="7"/>
  <c r="R398" i="7" s="1"/>
  <c r="S398" i="7" s="1"/>
  <c r="Q399" i="7"/>
  <c r="R399" i="7" s="1"/>
  <c r="S399" i="7" s="1"/>
  <c r="Q400" i="7"/>
  <c r="R400" i="7" s="1"/>
  <c r="S400" i="7" s="1"/>
  <c r="Q401" i="7"/>
  <c r="R401" i="7" s="1"/>
  <c r="S401" i="7" s="1"/>
  <c r="Q402" i="7"/>
  <c r="R402" i="7" s="1"/>
  <c r="S402" i="7" s="1"/>
  <c r="Q403" i="7"/>
  <c r="R403" i="7" s="1"/>
  <c r="S403" i="7" s="1"/>
  <c r="Q404" i="7"/>
  <c r="R404" i="7" s="1"/>
  <c r="S404" i="7" s="1"/>
  <c r="Q405" i="7"/>
  <c r="R405" i="7" s="1"/>
  <c r="S405" i="7" s="1"/>
  <c r="Q406" i="7"/>
  <c r="R406" i="7" s="1"/>
  <c r="S406" i="7" s="1"/>
  <c r="Q407" i="7"/>
  <c r="R407" i="7" s="1"/>
  <c r="S407" i="7" s="1"/>
  <c r="Q408" i="7"/>
  <c r="R408" i="7" s="1"/>
  <c r="S408" i="7" s="1"/>
  <c r="Q409" i="7"/>
  <c r="R409" i="7" s="1"/>
  <c r="S409" i="7" s="1"/>
  <c r="Q410" i="7"/>
  <c r="R410" i="7" s="1"/>
  <c r="S410" i="7" s="1"/>
  <c r="Q411" i="7"/>
  <c r="R411" i="7" s="1"/>
  <c r="S411" i="7" s="1"/>
  <c r="Q412" i="7"/>
  <c r="R412" i="7" s="1"/>
  <c r="S412" i="7" s="1"/>
  <c r="Q413" i="7"/>
  <c r="R413" i="7" s="1"/>
  <c r="S413" i="7" s="1"/>
  <c r="Q414" i="7"/>
  <c r="R414" i="7" s="1"/>
  <c r="S414" i="7" s="1"/>
  <c r="Q415" i="7"/>
  <c r="R415" i="7" s="1"/>
  <c r="S415" i="7" s="1"/>
  <c r="Q416" i="7"/>
  <c r="R416" i="7" s="1"/>
  <c r="S416" i="7" s="1"/>
  <c r="Q417" i="7"/>
  <c r="R417" i="7" s="1"/>
  <c r="S417" i="7" s="1"/>
  <c r="Q418" i="7"/>
  <c r="R418" i="7" s="1"/>
  <c r="S418" i="7" s="1"/>
  <c r="Q419" i="7"/>
  <c r="R419" i="7" s="1"/>
  <c r="S419" i="7" s="1"/>
  <c r="Q420" i="7"/>
  <c r="R420" i="7" s="1"/>
  <c r="S420" i="7" s="1"/>
  <c r="Q421" i="7"/>
  <c r="R421" i="7" s="1"/>
  <c r="S421" i="7" s="1"/>
  <c r="Q422" i="7"/>
  <c r="R422" i="7" s="1"/>
  <c r="S422" i="7" s="1"/>
  <c r="Q423" i="7"/>
  <c r="R423" i="7" s="1"/>
  <c r="S423" i="7" s="1"/>
  <c r="Q424" i="7"/>
  <c r="R424" i="7" s="1"/>
  <c r="S424" i="7" s="1"/>
  <c r="Q425" i="7"/>
  <c r="R425" i="7" s="1"/>
  <c r="S425" i="7" s="1"/>
  <c r="Q426" i="7"/>
  <c r="R426" i="7" s="1"/>
  <c r="S426" i="7" s="1"/>
  <c r="Q427" i="7"/>
  <c r="R427" i="7" s="1"/>
  <c r="S427" i="7" s="1"/>
  <c r="Q428" i="7"/>
  <c r="R428" i="7" s="1"/>
  <c r="S428" i="7" s="1"/>
  <c r="Q429" i="7"/>
  <c r="R429" i="7" s="1"/>
  <c r="S429" i="7" s="1"/>
  <c r="Q430" i="7"/>
  <c r="R430" i="7" s="1"/>
  <c r="S430" i="7" s="1"/>
  <c r="Q431" i="7"/>
  <c r="R431" i="7" s="1"/>
  <c r="S431" i="7" s="1"/>
  <c r="Q432" i="7"/>
  <c r="R432" i="7" s="1"/>
  <c r="S432" i="7" s="1"/>
  <c r="Q433" i="7"/>
  <c r="R433" i="7" s="1"/>
  <c r="S433" i="7" s="1"/>
  <c r="Q434" i="7"/>
  <c r="R434" i="7" s="1"/>
  <c r="S434" i="7" s="1"/>
  <c r="Q435" i="7"/>
  <c r="R435" i="7" s="1"/>
  <c r="S435" i="7" s="1"/>
  <c r="Q436" i="7"/>
  <c r="R436" i="7" s="1"/>
  <c r="S436" i="7" s="1"/>
  <c r="Q437" i="7"/>
  <c r="R437" i="7" s="1"/>
  <c r="S437" i="7" s="1"/>
  <c r="Q438" i="7"/>
  <c r="R438" i="7" s="1"/>
  <c r="S438" i="7" s="1"/>
  <c r="Q439" i="7"/>
  <c r="R439" i="7" s="1"/>
  <c r="S439" i="7" s="1"/>
  <c r="Q440" i="7"/>
  <c r="R440" i="7" s="1"/>
  <c r="S440" i="7" s="1"/>
  <c r="Q441" i="7"/>
  <c r="R441" i="7" s="1"/>
  <c r="S441" i="7" s="1"/>
  <c r="Q442" i="7"/>
  <c r="R442" i="7" s="1"/>
  <c r="S442" i="7" s="1"/>
  <c r="Q443" i="7"/>
  <c r="R443" i="7" s="1"/>
  <c r="S443" i="7" s="1"/>
  <c r="Q444" i="7"/>
  <c r="R444" i="7" s="1"/>
  <c r="S444" i="7" s="1"/>
  <c r="Q445" i="7"/>
  <c r="R445" i="7" s="1"/>
  <c r="S445" i="7" s="1"/>
  <c r="Q446" i="7"/>
  <c r="R446" i="7" s="1"/>
  <c r="S446" i="7" s="1"/>
  <c r="Q447" i="7"/>
  <c r="R447" i="7" s="1"/>
  <c r="S447" i="7" s="1"/>
  <c r="Q448" i="7"/>
  <c r="R448" i="7" s="1"/>
  <c r="S448" i="7" s="1"/>
  <c r="Q449" i="7"/>
  <c r="R449" i="7" s="1"/>
  <c r="S449" i="7" s="1"/>
  <c r="Q450" i="7"/>
  <c r="R450" i="7" s="1"/>
  <c r="S450" i="7" s="1"/>
  <c r="Q451" i="7"/>
  <c r="R451" i="7" s="1"/>
  <c r="S451" i="7" s="1"/>
  <c r="Q452" i="7"/>
  <c r="R452" i="7" s="1"/>
  <c r="S452" i="7" s="1"/>
  <c r="Q453" i="7"/>
  <c r="R453" i="7" s="1"/>
  <c r="S453" i="7" s="1"/>
  <c r="Q454" i="7"/>
  <c r="R454" i="7" s="1"/>
  <c r="S454" i="7" s="1"/>
  <c r="Q455" i="7"/>
  <c r="R455" i="7" s="1"/>
  <c r="S455" i="7" s="1"/>
  <c r="Q456" i="7"/>
  <c r="R456" i="7" s="1"/>
  <c r="S456" i="7" s="1"/>
  <c r="Q457" i="7"/>
  <c r="R457" i="7" s="1"/>
  <c r="S457" i="7" s="1"/>
  <c r="Q458" i="7"/>
  <c r="R458" i="7" s="1"/>
  <c r="S458" i="7" s="1"/>
  <c r="Q459" i="7"/>
  <c r="R459" i="7" s="1"/>
  <c r="S459" i="7" s="1"/>
  <c r="Q460" i="7"/>
  <c r="R460" i="7" s="1"/>
  <c r="S460" i="7" s="1"/>
  <c r="Q461" i="7"/>
  <c r="R461" i="7" s="1"/>
  <c r="S461" i="7" s="1"/>
  <c r="Q462" i="7"/>
  <c r="R462" i="7" s="1"/>
  <c r="S462" i="7" s="1"/>
  <c r="Q463" i="7"/>
  <c r="R463" i="7" s="1"/>
  <c r="S463" i="7" s="1"/>
  <c r="Q464" i="7"/>
  <c r="R464" i="7" s="1"/>
  <c r="S464" i="7" s="1"/>
  <c r="Q465" i="7"/>
  <c r="R465" i="7" s="1"/>
  <c r="S465" i="7" s="1"/>
  <c r="Q466" i="7"/>
  <c r="R466" i="7" s="1"/>
  <c r="S466" i="7" s="1"/>
  <c r="Q467" i="7"/>
  <c r="R467" i="7" s="1"/>
  <c r="S467" i="7" s="1"/>
  <c r="Q468" i="7"/>
  <c r="R468" i="7" s="1"/>
  <c r="S468" i="7" s="1"/>
  <c r="Q469" i="7"/>
  <c r="R469" i="7" s="1"/>
  <c r="S469" i="7" s="1"/>
  <c r="Q470" i="7"/>
  <c r="R470" i="7" s="1"/>
  <c r="S470" i="7" s="1"/>
  <c r="Q471" i="7"/>
  <c r="R471" i="7" s="1"/>
  <c r="S471" i="7" s="1"/>
  <c r="Q472" i="7"/>
  <c r="R472" i="7" s="1"/>
  <c r="S472" i="7" s="1"/>
  <c r="Q473" i="7"/>
  <c r="R473" i="7" s="1"/>
  <c r="S473" i="7" s="1"/>
  <c r="Q474" i="7"/>
  <c r="R474" i="7" s="1"/>
  <c r="S474" i="7" s="1"/>
  <c r="Q475" i="7"/>
  <c r="R475" i="7" s="1"/>
  <c r="S475" i="7" s="1"/>
  <c r="Q476" i="7"/>
  <c r="R476" i="7" s="1"/>
  <c r="S476" i="7" s="1"/>
  <c r="Q477" i="7"/>
  <c r="R477" i="7" s="1"/>
  <c r="S477" i="7" s="1"/>
  <c r="Q478" i="7"/>
  <c r="R478" i="7" s="1"/>
  <c r="S478" i="7" s="1"/>
  <c r="Q479" i="7"/>
  <c r="R479" i="7" s="1"/>
  <c r="S479" i="7" s="1"/>
  <c r="Q480" i="7"/>
  <c r="R480" i="7" s="1"/>
  <c r="S480" i="7" s="1"/>
  <c r="Q481" i="7"/>
  <c r="R481" i="7" s="1"/>
  <c r="S481" i="7" s="1"/>
  <c r="Q482" i="7"/>
  <c r="R482" i="7" s="1"/>
  <c r="S482" i="7" s="1"/>
  <c r="Q483" i="7"/>
  <c r="R483" i="7" s="1"/>
  <c r="S483" i="7" s="1"/>
  <c r="Q484" i="7"/>
  <c r="R484" i="7" s="1"/>
  <c r="S484" i="7" s="1"/>
  <c r="Q485" i="7"/>
  <c r="R485" i="7" s="1"/>
  <c r="S485" i="7" s="1"/>
  <c r="Q486" i="7"/>
  <c r="R486" i="7" s="1"/>
  <c r="S486" i="7" s="1"/>
  <c r="Q487" i="7"/>
  <c r="R487" i="7" s="1"/>
  <c r="S487" i="7" s="1"/>
  <c r="Q488" i="7"/>
  <c r="R488" i="7" s="1"/>
  <c r="S488" i="7" s="1"/>
  <c r="Q489" i="7"/>
  <c r="R489" i="7" s="1"/>
  <c r="S489" i="7" s="1"/>
  <c r="Q490" i="7"/>
  <c r="R490" i="7" s="1"/>
  <c r="S490" i="7" s="1"/>
  <c r="Q491" i="7"/>
  <c r="R491" i="7" s="1"/>
  <c r="S491" i="7" s="1"/>
  <c r="Q492" i="7"/>
  <c r="R492" i="7" s="1"/>
  <c r="S492" i="7" s="1"/>
  <c r="Q493" i="7"/>
  <c r="R493" i="7" s="1"/>
  <c r="S493" i="7" s="1"/>
  <c r="Q494" i="7"/>
  <c r="R494" i="7" s="1"/>
  <c r="S494" i="7" s="1"/>
  <c r="Q495" i="7"/>
  <c r="R495" i="7" s="1"/>
  <c r="S495" i="7" s="1"/>
  <c r="Q496" i="7"/>
  <c r="R496" i="7" s="1"/>
  <c r="S496" i="7" s="1"/>
  <c r="Q497" i="7"/>
  <c r="R497" i="7" s="1"/>
  <c r="S497" i="7" s="1"/>
  <c r="Q498" i="7"/>
  <c r="R498" i="7" s="1"/>
  <c r="S498" i="7" s="1"/>
  <c r="Q499" i="7"/>
  <c r="R499" i="7" s="1"/>
  <c r="S499" i="7" s="1"/>
  <c r="Q500" i="7"/>
  <c r="R500" i="7" s="1"/>
  <c r="S500" i="7" s="1"/>
  <c r="Q501" i="7"/>
  <c r="R501" i="7" s="1"/>
  <c r="S501" i="7" s="1"/>
  <c r="Q502" i="7"/>
  <c r="R502" i="7" s="1"/>
  <c r="S502" i="7" s="1"/>
  <c r="Q503" i="7"/>
  <c r="R503" i="7" s="1"/>
  <c r="S503" i="7" s="1"/>
  <c r="Q504" i="7"/>
  <c r="R504" i="7" s="1"/>
  <c r="S504" i="7" s="1"/>
  <c r="Q505" i="7"/>
  <c r="R505" i="7" s="1"/>
  <c r="S505" i="7" s="1"/>
  <c r="Q506" i="7"/>
  <c r="R506" i="7" s="1"/>
  <c r="S506" i="7" s="1"/>
  <c r="Q507" i="7"/>
  <c r="R507" i="7" s="1"/>
  <c r="S507" i="7" s="1"/>
  <c r="Q508" i="7"/>
  <c r="R508" i="7" s="1"/>
  <c r="S508" i="7" s="1"/>
  <c r="Q509" i="7"/>
  <c r="R509" i="7" s="1"/>
  <c r="S509" i="7" s="1"/>
  <c r="Q510" i="7"/>
  <c r="R510" i="7" s="1"/>
  <c r="S510" i="7" s="1"/>
  <c r="Q511" i="7"/>
  <c r="R511" i="7" s="1"/>
  <c r="S511" i="7" s="1"/>
  <c r="Q512" i="7"/>
  <c r="R512" i="7" s="1"/>
  <c r="S512" i="7" s="1"/>
  <c r="Q513" i="7"/>
  <c r="R513" i="7" s="1"/>
  <c r="S513" i="7" s="1"/>
  <c r="Q514" i="7"/>
  <c r="R514" i="7" s="1"/>
  <c r="S514" i="7" s="1"/>
  <c r="Q515" i="7"/>
  <c r="R515" i="7" s="1"/>
  <c r="S515" i="7" s="1"/>
  <c r="Q516" i="7"/>
  <c r="R516" i="7" s="1"/>
  <c r="S516" i="7" s="1"/>
  <c r="Q517" i="7"/>
  <c r="R517" i="7" s="1"/>
  <c r="S517" i="7" s="1"/>
  <c r="Q518" i="7"/>
  <c r="R518" i="7" s="1"/>
  <c r="S518" i="7" s="1"/>
  <c r="Q519" i="7"/>
  <c r="R519" i="7" s="1"/>
  <c r="S519" i="7" s="1"/>
  <c r="Q520" i="7"/>
  <c r="R520" i="7" s="1"/>
  <c r="S520" i="7" s="1"/>
  <c r="Q521" i="7"/>
  <c r="R521" i="7" s="1"/>
  <c r="S521" i="7" s="1"/>
  <c r="Q522" i="7"/>
  <c r="R522" i="7" s="1"/>
  <c r="S522" i="7" s="1"/>
  <c r="Q523" i="7"/>
  <c r="R523" i="7" s="1"/>
  <c r="S523" i="7" s="1"/>
  <c r="Q524" i="7"/>
  <c r="R524" i="7" s="1"/>
  <c r="S524" i="7" s="1"/>
  <c r="Q525" i="7"/>
  <c r="R525" i="7" s="1"/>
  <c r="S525" i="7" s="1"/>
  <c r="Q526" i="7"/>
  <c r="R526" i="7" s="1"/>
  <c r="S526" i="7" s="1"/>
  <c r="Q527" i="7"/>
  <c r="R527" i="7" s="1"/>
  <c r="S527" i="7" s="1"/>
  <c r="Q528" i="7"/>
  <c r="R528" i="7" s="1"/>
  <c r="S528" i="7" s="1"/>
  <c r="Q529" i="7"/>
  <c r="R529" i="7" s="1"/>
  <c r="S529" i="7" s="1"/>
  <c r="Q530" i="7"/>
  <c r="R530" i="7" s="1"/>
  <c r="S530" i="7" s="1"/>
  <c r="Q531" i="7"/>
  <c r="R531" i="7" s="1"/>
  <c r="S531" i="7" s="1"/>
  <c r="Q532" i="7"/>
  <c r="R532" i="7" s="1"/>
  <c r="S532" i="7" s="1"/>
  <c r="Q533" i="7"/>
  <c r="R533" i="7" s="1"/>
  <c r="S533" i="7" s="1"/>
  <c r="Q534" i="7"/>
  <c r="R534" i="7" s="1"/>
  <c r="S534" i="7" s="1"/>
  <c r="Q535" i="7"/>
  <c r="R535" i="7" s="1"/>
  <c r="S535" i="7" s="1"/>
  <c r="Q536" i="7"/>
  <c r="R536" i="7" s="1"/>
  <c r="S536" i="7" s="1"/>
  <c r="Q537" i="7"/>
  <c r="R537" i="7" s="1"/>
  <c r="S537" i="7" s="1"/>
  <c r="Q538" i="7"/>
  <c r="R538" i="7" s="1"/>
  <c r="S538" i="7" s="1"/>
  <c r="Q539" i="7"/>
  <c r="R539" i="7" s="1"/>
  <c r="S539" i="7" s="1"/>
  <c r="Q540" i="7"/>
  <c r="R540" i="7" s="1"/>
  <c r="S540" i="7" s="1"/>
  <c r="Q541" i="7"/>
  <c r="R541" i="7" s="1"/>
  <c r="S541" i="7" s="1"/>
  <c r="Q542" i="7"/>
  <c r="R542" i="7" s="1"/>
  <c r="S542" i="7" s="1"/>
  <c r="Q543" i="7"/>
  <c r="R543" i="7" s="1"/>
  <c r="S543" i="7" s="1"/>
  <c r="Q544" i="7"/>
  <c r="R544" i="7" s="1"/>
  <c r="S544" i="7" s="1"/>
  <c r="Q545" i="7"/>
  <c r="R545" i="7" s="1"/>
  <c r="S545" i="7" s="1"/>
  <c r="Q546" i="7"/>
  <c r="R546" i="7" s="1"/>
  <c r="S546" i="7" s="1"/>
  <c r="Q547" i="7"/>
  <c r="R547" i="7" s="1"/>
  <c r="S547" i="7" s="1"/>
  <c r="Q548" i="7"/>
  <c r="R548" i="7" s="1"/>
  <c r="S548" i="7" s="1"/>
  <c r="Q549" i="7"/>
  <c r="R549" i="7" s="1"/>
  <c r="S549" i="7" s="1"/>
  <c r="Q550" i="7"/>
  <c r="R550" i="7" s="1"/>
  <c r="S550" i="7" s="1"/>
  <c r="Q551" i="7"/>
  <c r="R551" i="7" s="1"/>
  <c r="S551" i="7" s="1"/>
  <c r="Q552" i="7"/>
  <c r="R552" i="7" s="1"/>
  <c r="S552" i="7" s="1"/>
  <c r="Q553" i="7"/>
  <c r="R553" i="7" s="1"/>
  <c r="S553" i="7" s="1"/>
  <c r="Q554" i="7"/>
  <c r="R554" i="7" s="1"/>
  <c r="S554" i="7" s="1"/>
  <c r="Q555" i="7"/>
  <c r="R555" i="7" s="1"/>
  <c r="S555" i="7" s="1"/>
  <c r="Q556" i="7"/>
  <c r="R556" i="7" s="1"/>
  <c r="S556" i="7" s="1"/>
  <c r="Q557" i="7"/>
  <c r="R557" i="7" s="1"/>
  <c r="S557" i="7" s="1"/>
  <c r="Q558" i="7"/>
  <c r="R558" i="7" s="1"/>
  <c r="S558" i="7" s="1"/>
  <c r="Q559" i="7"/>
  <c r="R559" i="7" s="1"/>
  <c r="S559" i="7" s="1"/>
  <c r="Q560" i="7"/>
  <c r="R560" i="7" s="1"/>
  <c r="S560" i="7" s="1"/>
  <c r="Q561" i="7"/>
  <c r="R561" i="7" s="1"/>
  <c r="S561" i="7" s="1"/>
  <c r="Q562" i="7"/>
  <c r="R562" i="7" s="1"/>
  <c r="S562" i="7" s="1"/>
  <c r="Q563" i="7"/>
  <c r="R563" i="7" s="1"/>
  <c r="S563" i="7" s="1"/>
  <c r="Q564" i="7"/>
  <c r="R564" i="7" s="1"/>
  <c r="S564" i="7" s="1"/>
  <c r="Q565" i="7"/>
  <c r="R565" i="7" s="1"/>
  <c r="S565" i="7" s="1"/>
  <c r="Q566" i="7"/>
  <c r="R566" i="7" s="1"/>
  <c r="S566" i="7" s="1"/>
  <c r="Q567" i="7"/>
  <c r="R567" i="7" s="1"/>
  <c r="S567" i="7" s="1"/>
  <c r="Q568" i="7"/>
  <c r="R568" i="7" s="1"/>
  <c r="S568" i="7" s="1"/>
  <c r="Q569" i="7"/>
  <c r="R569" i="7" s="1"/>
  <c r="S569" i="7" s="1"/>
  <c r="Q570" i="7"/>
  <c r="R570" i="7" s="1"/>
  <c r="S570" i="7" s="1"/>
  <c r="Q571" i="7"/>
  <c r="R571" i="7" s="1"/>
  <c r="S571" i="7" s="1"/>
  <c r="Q572" i="7"/>
  <c r="R572" i="7" s="1"/>
  <c r="S572" i="7" s="1"/>
  <c r="Q573" i="7"/>
  <c r="R573" i="7" s="1"/>
  <c r="S573" i="7" s="1"/>
  <c r="Q574" i="7"/>
  <c r="R574" i="7" s="1"/>
  <c r="S574" i="7" s="1"/>
  <c r="Q575" i="7"/>
  <c r="R575" i="7" s="1"/>
  <c r="S575" i="7" s="1"/>
  <c r="Q576" i="7"/>
  <c r="R576" i="7" s="1"/>
  <c r="S576" i="7" s="1"/>
  <c r="Q577" i="7"/>
  <c r="R577" i="7" s="1"/>
  <c r="S577" i="7" s="1"/>
  <c r="Q578" i="7"/>
  <c r="R578" i="7" s="1"/>
  <c r="S578" i="7" s="1"/>
  <c r="Q579" i="7"/>
  <c r="R579" i="7" s="1"/>
  <c r="S579" i="7" s="1"/>
  <c r="Q580" i="7"/>
  <c r="R580" i="7" s="1"/>
  <c r="S580" i="7" s="1"/>
  <c r="Q581" i="7"/>
  <c r="R581" i="7" s="1"/>
  <c r="S581" i="7" s="1"/>
  <c r="Q582" i="7"/>
  <c r="R582" i="7" s="1"/>
  <c r="S582" i="7" s="1"/>
  <c r="Q583" i="7"/>
  <c r="R583" i="7" s="1"/>
  <c r="S583" i="7" s="1"/>
  <c r="Q584" i="7"/>
  <c r="R584" i="7" s="1"/>
  <c r="S584" i="7" s="1"/>
  <c r="Q585" i="7"/>
  <c r="R585" i="7" s="1"/>
  <c r="S585" i="7" s="1"/>
  <c r="Q586" i="7"/>
  <c r="R586" i="7" s="1"/>
  <c r="S586" i="7" s="1"/>
  <c r="Q587" i="7"/>
  <c r="R587" i="7" s="1"/>
  <c r="S587" i="7" s="1"/>
  <c r="Q588" i="7"/>
  <c r="R588" i="7" s="1"/>
  <c r="S588" i="7" s="1"/>
  <c r="Q589" i="7"/>
  <c r="R589" i="7" s="1"/>
  <c r="S589" i="7" s="1"/>
  <c r="Q590" i="7"/>
  <c r="R590" i="7" s="1"/>
  <c r="S590" i="7" s="1"/>
  <c r="Q591" i="7"/>
  <c r="R591" i="7" s="1"/>
  <c r="S591" i="7" s="1"/>
  <c r="Q592" i="7"/>
  <c r="R592" i="7" s="1"/>
  <c r="S592" i="7" s="1"/>
  <c r="Q593" i="7"/>
  <c r="R593" i="7" s="1"/>
  <c r="S593" i="7" s="1"/>
  <c r="Q594" i="7"/>
  <c r="R594" i="7" s="1"/>
  <c r="S594" i="7" s="1"/>
  <c r="Q595" i="7"/>
  <c r="R595" i="7" s="1"/>
  <c r="S595" i="7" s="1"/>
  <c r="Q596" i="7"/>
  <c r="R596" i="7" s="1"/>
  <c r="S596" i="7" s="1"/>
  <c r="Q597" i="7"/>
  <c r="R597" i="7" s="1"/>
  <c r="S597" i="7" s="1"/>
  <c r="Q598" i="7"/>
  <c r="R598" i="7" s="1"/>
  <c r="S598" i="7" s="1"/>
  <c r="Q599" i="7"/>
  <c r="R599" i="7" s="1"/>
  <c r="S599" i="7" s="1"/>
  <c r="Q600" i="7"/>
  <c r="R600" i="7" s="1"/>
  <c r="S600" i="7" s="1"/>
  <c r="Q601" i="7"/>
  <c r="R601" i="7" s="1"/>
  <c r="S601" i="7" s="1"/>
  <c r="Q602" i="7"/>
  <c r="R602" i="7" s="1"/>
  <c r="S602" i="7" s="1"/>
  <c r="Q603" i="7"/>
  <c r="R603" i="7" s="1"/>
  <c r="S603" i="7" s="1"/>
  <c r="Q604" i="7"/>
  <c r="R604" i="7" s="1"/>
  <c r="S604" i="7" s="1"/>
  <c r="Q605" i="7"/>
  <c r="R605" i="7" s="1"/>
  <c r="S605" i="7" s="1"/>
  <c r="Q606" i="7"/>
  <c r="R606" i="7" s="1"/>
  <c r="S606" i="7" s="1"/>
  <c r="Q607" i="7"/>
  <c r="R607" i="7" s="1"/>
  <c r="S607" i="7" s="1"/>
  <c r="Q608" i="7"/>
  <c r="R608" i="7" s="1"/>
  <c r="S608" i="7" s="1"/>
  <c r="Q609" i="7"/>
  <c r="R609" i="7" s="1"/>
  <c r="S609" i="7" s="1"/>
  <c r="Q610" i="7"/>
  <c r="R610" i="7" s="1"/>
  <c r="S610" i="7" s="1"/>
  <c r="Q611" i="7"/>
  <c r="R611" i="7" s="1"/>
  <c r="S611" i="7" s="1"/>
  <c r="Q612" i="7"/>
  <c r="R612" i="7" s="1"/>
  <c r="S612" i="7" s="1"/>
  <c r="Q613" i="7"/>
  <c r="R613" i="7" s="1"/>
  <c r="S613" i="7" s="1"/>
  <c r="Q614" i="7"/>
  <c r="R614" i="7" s="1"/>
  <c r="S614" i="7" s="1"/>
  <c r="Q615" i="7"/>
  <c r="R615" i="7" s="1"/>
  <c r="S615" i="7" s="1"/>
  <c r="Q616" i="7"/>
  <c r="R616" i="7" s="1"/>
  <c r="S616" i="7" s="1"/>
  <c r="Q617" i="7"/>
  <c r="R617" i="7" s="1"/>
  <c r="S617" i="7" s="1"/>
  <c r="Q618" i="7"/>
  <c r="R618" i="7" s="1"/>
  <c r="S618" i="7" s="1"/>
  <c r="Q619" i="7"/>
  <c r="R619" i="7" s="1"/>
  <c r="S619" i="7" s="1"/>
  <c r="Q620" i="7"/>
  <c r="R620" i="7" s="1"/>
  <c r="S620" i="7" s="1"/>
  <c r="Q621" i="7"/>
  <c r="R621" i="7" s="1"/>
  <c r="S621" i="7" s="1"/>
  <c r="Q622" i="7"/>
  <c r="R622" i="7" s="1"/>
  <c r="S622" i="7" s="1"/>
  <c r="Q623" i="7"/>
  <c r="R623" i="7" s="1"/>
  <c r="S623" i="7" s="1"/>
  <c r="Q624" i="7"/>
  <c r="R624" i="7" s="1"/>
  <c r="S624" i="7" s="1"/>
  <c r="Q625" i="7"/>
  <c r="R625" i="7" s="1"/>
  <c r="S625" i="7" s="1"/>
  <c r="Q626" i="7"/>
  <c r="R626" i="7" s="1"/>
  <c r="S626" i="7" s="1"/>
  <c r="Q627" i="7"/>
  <c r="R627" i="7" s="1"/>
  <c r="S627" i="7" s="1"/>
  <c r="Q628" i="7"/>
  <c r="R628" i="7" s="1"/>
  <c r="S628" i="7" s="1"/>
  <c r="Q629" i="7"/>
  <c r="R629" i="7" s="1"/>
  <c r="S629" i="7" s="1"/>
  <c r="Q630" i="7"/>
  <c r="R630" i="7" s="1"/>
  <c r="S630" i="7" s="1"/>
  <c r="Q631" i="7"/>
  <c r="R631" i="7" s="1"/>
  <c r="S631" i="7" s="1"/>
  <c r="Q632" i="7"/>
  <c r="R632" i="7" s="1"/>
  <c r="S632" i="7" s="1"/>
  <c r="Q633" i="7"/>
  <c r="R633" i="7" s="1"/>
  <c r="S633" i="7" s="1"/>
  <c r="Q634" i="7"/>
  <c r="R634" i="7" s="1"/>
  <c r="S634" i="7" s="1"/>
  <c r="Q635" i="7"/>
  <c r="R635" i="7" s="1"/>
  <c r="S635" i="7" s="1"/>
  <c r="Q636" i="7"/>
  <c r="R636" i="7" s="1"/>
  <c r="S636" i="7" s="1"/>
  <c r="Q637" i="7"/>
  <c r="R637" i="7" s="1"/>
  <c r="S637" i="7" s="1"/>
  <c r="Q638" i="7"/>
  <c r="R638" i="7" s="1"/>
  <c r="S638" i="7" s="1"/>
  <c r="Q639" i="7"/>
  <c r="R639" i="7" s="1"/>
  <c r="S639" i="7" s="1"/>
  <c r="Q640" i="7"/>
  <c r="R640" i="7" s="1"/>
  <c r="S640" i="7" s="1"/>
  <c r="Q641" i="7"/>
  <c r="R641" i="7" s="1"/>
  <c r="S641" i="7" s="1"/>
  <c r="Q642" i="7"/>
  <c r="R642" i="7" s="1"/>
  <c r="S642" i="7" s="1"/>
  <c r="Q643" i="7"/>
  <c r="R643" i="7" s="1"/>
  <c r="S643" i="7" s="1"/>
  <c r="Q644" i="7"/>
  <c r="R644" i="7" s="1"/>
  <c r="S644" i="7" s="1"/>
  <c r="Q645" i="7"/>
  <c r="R645" i="7" s="1"/>
  <c r="S645" i="7" s="1"/>
  <c r="Q646" i="7"/>
  <c r="R646" i="7" s="1"/>
  <c r="S646" i="7" s="1"/>
  <c r="Q647" i="7"/>
  <c r="R647" i="7" s="1"/>
  <c r="S647" i="7" s="1"/>
  <c r="Q648" i="7"/>
  <c r="R648" i="7" s="1"/>
  <c r="S648" i="7" s="1"/>
  <c r="Q649" i="7"/>
  <c r="R649" i="7" s="1"/>
  <c r="S649" i="7" s="1"/>
  <c r="Q650" i="7"/>
  <c r="R650" i="7" s="1"/>
  <c r="S650" i="7" s="1"/>
  <c r="Q651" i="7"/>
  <c r="R651" i="7" s="1"/>
  <c r="S651" i="7" s="1"/>
  <c r="Q652" i="7"/>
  <c r="R652" i="7" s="1"/>
  <c r="S652" i="7" s="1"/>
  <c r="Q653" i="7"/>
  <c r="R653" i="7" s="1"/>
  <c r="S653" i="7" s="1"/>
  <c r="Q654" i="7"/>
  <c r="R654" i="7" s="1"/>
  <c r="S654" i="7" s="1"/>
  <c r="Q655" i="7"/>
  <c r="R655" i="7" s="1"/>
  <c r="S655" i="7" s="1"/>
  <c r="Q656" i="7"/>
  <c r="R656" i="7" s="1"/>
  <c r="S656" i="7" s="1"/>
  <c r="Q657" i="7"/>
  <c r="R657" i="7" s="1"/>
  <c r="S657" i="7" s="1"/>
  <c r="Q658" i="7"/>
  <c r="R658" i="7" s="1"/>
  <c r="S658" i="7" s="1"/>
  <c r="Q659" i="7"/>
  <c r="R659" i="7" s="1"/>
  <c r="S659" i="7" s="1"/>
  <c r="Q660" i="7"/>
  <c r="R660" i="7" s="1"/>
  <c r="S660" i="7" s="1"/>
  <c r="Q661" i="7"/>
  <c r="R661" i="7" s="1"/>
  <c r="S661" i="7" s="1"/>
  <c r="Q662" i="7"/>
  <c r="R662" i="7" s="1"/>
  <c r="S662" i="7" s="1"/>
  <c r="Q663" i="7"/>
  <c r="R663" i="7" s="1"/>
  <c r="S663" i="7" s="1"/>
  <c r="Q664" i="7"/>
  <c r="R664" i="7" s="1"/>
  <c r="S664" i="7" s="1"/>
  <c r="Q665" i="7"/>
  <c r="R665" i="7" s="1"/>
  <c r="S665" i="7" s="1"/>
  <c r="Q666" i="7"/>
  <c r="R666" i="7" s="1"/>
  <c r="S666" i="7" s="1"/>
  <c r="Q667" i="7"/>
  <c r="R667" i="7" s="1"/>
  <c r="S667" i="7" s="1"/>
  <c r="Q668" i="7"/>
  <c r="R668" i="7" s="1"/>
  <c r="S668" i="7" s="1"/>
  <c r="Q669" i="7"/>
  <c r="R669" i="7" s="1"/>
  <c r="S669" i="7" s="1"/>
  <c r="Q670" i="7"/>
  <c r="R670" i="7" s="1"/>
  <c r="S670" i="7" s="1"/>
  <c r="Q671" i="7"/>
  <c r="R671" i="7" s="1"/>
  <c r="S671" i="7" s="1"/>
  <c r="Q672" i="7"/>
  <c r="R672" i="7" s="1"/>
  <c r="S672" i="7" s="1"/>
  <c r="Q673" i="7"/>
  <c r="R673" i="7" s="1"/>
  <c r="S673" i="7" s="1"/>
  <c r="Q674" i="7"/>
  <c r="R674" i="7" s="1"/>
  <c r="S674" i="7" s="1"/>
  <c r="Q675" i="7"/>
  <c r="R675" i="7" s="1"/>
  <c r="S675" i="7" s="1"/>
  <c r="Q676" i="7"/>
  <c r="R676" i="7" s="1"/>
  <c r="S676" i="7" s="1"/>
  <c r="Q677" i="7"/>
  <c r="R677" i="7" s="1"/>
  <c r="S677" i="7" s="1"/>
  <c r="Q678" i="7"/>
  <c r="R678" i="7" s="1"/>
  <c r="S678" i="7" s="1"/>
  <c r="Q679" i="7"/>
  <c r="R679" i="7" s="1"/>
  <c r="S679" i="7" s="1"/>
  <c r="Q680" i="7"/>
  <c r="R680" i="7" s="1"/>
  <c r="S680" i="7" s="1"/>
  <c r="Q681" i="7"/>
  <c r="R681" i="7" s="1"/>
  <c r="S681" i="7" s="1"/>
  <c r="Q682" i="7"/>
  <c r="R682" i="7" s="1"/>
  <c r="S682" i="7" s="1"/>
  <c r="Q683" i="7"/>
  <c r="R683" i="7" s="1"/>
  <c r="S683" i="7" s="1"/>
  <c r="Q684" i="7"/>
  <c r="R684" i="7" s="1"/>
  <c r="S684" i="7" s="1"/>
  <c r="Q685" i="7"/>
  <c r="R685" i="7" s="1"/>
  <c r="S685" i="7" s="1"/>
  <c r="Q686" i="7"/>
  <c r="R686" i="7" s="1"/>
  <c r="S686" i="7" s="1"/>
  <c r="Q687" i="7"/>
  <c r="R687" i="7" s="1"/>
  <c r="S687" i="7" s="1"/>
  <c r="Q688" i="7"/>
  <c r="R688" i="7" s="1"/>
  <c r="S688" i="7" s="1"/>
  <c r="Q689" i="7"/>
  <c r="R689" i="7" s="1"/>
  <c r="S689" i="7" s="1"/>
  <c r="Q690" i="7"/>
  <c r="R690" i="7" s="1"/>
  <c r="S690" i="7" s="1"/>
  <c r="Q691" i="7"/>
  <c r="R691" i="7" s="1"/>
  <c r="S691" i="7" s="1"/>
  <c r="Q692" i="7"/>
  <c r="R692" i="7" s="1"/>
  <c r="S692" i="7" s="1"/>
  <c r="Q693" i="7"/>
  <c r="R693" i="7" s="1"/>
  <c r="S693" i="7" s="1"/>
  <c r="Q694" i="7"/>
  <c r="R694" i="7" s="1"/>
  <c r="S694" i="7" s="1"/>
  <c r="Q695" i="7"/>
  <c r="R695" i="7" s="1"/>
  <c r="S695" i="7" s="1"/>
  <c r="Q696" i="7"/>
  <c r="R696" i="7" s="1"/>
  <c r="S696" i="7" s="1"/>
  <c r="Q697" i="7"/>
  <c r="R697" i="7" s="1"/>
  <c r="S697" i="7" s="1"/>
  <c r="Q698" i="7"/>
  <c r="R698" i="7" s="1"/>
  <c r="S698" i="7" s="1"/>
  <c r="Q699" i="7"/>
  <c r="R699" i="7" s="1"/>
  <c r="S699" i="7" s="1"/>
  <c r="Q700" i="7"/>
  <c r="R700" i="7" s="1"/>
  <c r="S700" i="7" s="1"/>
  <c r="Q701" i="7"/>
  <c r="R701" i="7" s="1"/>
  <c r="S701" i="7" s="1"/>
  <c r="Q702" i="7"/>
  <c r="R702" i="7" s="1"/>
  <c r="S702" i="7" s="1"/>
  <c r="Q703" i="7"/>
  <c r="R703" i="7" s="1"/>
  <c r="S703" i="7" s="1"/>
  <c r="Q704" i="7"/>
  <c r="R704" i="7" s="1"/>
  <c r="S704" i="7" s="1"/>
  <c r="Q705" i="7"/>
  <c r="R705" i="7" s="1"/>
  <c r="S705" i="7" s="1"/>
  <c r="Q706" i="7"/>
  <c r="R706" i="7" s="1"/>
  <c r="S706" i="7" s="1"/>
  <c r="Q707" i="7"/>
  <c r="R707" i="7" s="1"/>
  <c r="S707" i="7" s="1"/>
  <c r="Q708" i="7"/>
  <c r="R708" i="7" s="1"/>
  <c r="S708" i="7" s="1"/>
  <c r="Q709" i="7"/>
  <c r="R709" i="7" s="1"/>
  <c r="S709" i="7" s="1"/>
  <c r="Q710" i="7"/>
  <c r="R710" i="7" s="1"/>
  <c r="S710" i="7" s="1"/>
  <c r="Q711" i="7"/>
  <c r="R711" i="7" s="1"/>
  <c r="S711" i="7" s="1"/>
  <c r="Q712" i="7"/>
  <c r="R712" i="7" s="1"/>
  <c r="S712" i="7" s="1"/>
  <c r="Q713" i="7"/>
  <c r="R713" i="7" s="1"/>
  <c r="S713" i="7" s="1"/>
  <c r="Q714" i="7"/>
  <c r="R714" i="7" s="1"/>
  <c r="S714" i="7" s="1"/>
  <c r="Q715" i="7"/>
  <c r="R715" i="7" s="1"/>
  <c r="S715" i="7" s="1"/>
  <c r="Q716" i="7"/>
  <c r="R716" i="7" s="1"/>
  <c r="S716" i="7" s="1"/>
  <c r="Q717" i="7"/>
  <c r="R717" i="7" s="1"/>
  <c r="S717" i="7" s="1"/>
  <c r="Q718" i="7"/>
  <c r="R718" i="7" s="1"/>
  <c r="S718" i="7" s="1"/>
  <c r="Q719" i="7"/>
  <c r="R719" i="7" s="1"/>
  <c r="S719" i="7" s="1"/>
  <c r="Q720" i="7"/>
  <c r="R720" i="7" s="1"/>
  <c r="S720" i="7" s="1"/>
  <c r="Q721" i="7"/>
  <c r="R721" i="7" s="1"/>
  <c r="S721" i="7" s="1"/>
  <c r="Q722" i="7"/>
  <c r="R722" i="7" s="1"/>
  <c r="S722" i="7" s="1"/>
  <c r="Q723" i="7"/>
  <c r="R723" i="7" s="1"/>
  <c r="S723" i="7" s="1"/>
  <c r="Q724" i="7"/>
  <c r="R724" i="7" s="1"/>
  <c r="S724" i="7" s="1"/>
  <c r="Q725" i="7"/>
  <c r="R725" i="7" s="1"/>
  <c r="S725" i="7" s="1"/>
  <c r="Q726" i="7"/>
  <c r="R726" i="7" s="1"/>
  <c r="S726" i="7" s="1"/>
  <c r="Q727" i="7"/>
  <c r="R727" i="7" s="1"/>
  <c r="S727" i="7" s="1"/>
  <c r="Q728" i="7"/>
  <c r="R728" i="7" s="1"/>
  <c r="S728" i="7" s="1"/>
  <c r="Q729" i="7"/>
  <c r="R729" i="7" s="1"/>
  <c r="S729" i="7" s="1"/>
  <c r="Q730" i="7"/>
  <c r="R730" i="7" s="1"/>
  <c r="S730" i="7" s="1"/>
  <c r="Q731" i="7"/>
  <c r="R731" i="7" s="1"/>
  <c r="S731" i="7" s="1"/>
  <c r="Q732" i="7"/>
  <c r="R732" i="7" s="1"/>
  <c r="S732" i="7" s="1"/>
  <c r="Q733" i="7"/>
  <c r="R733" i="7" s="1"/>
  <c r="S733" i="7" s="1"/>
  <c r="Q734" i="7"/>
  <c r="R734" i="7" s="1"/>
  <c r="S734" i="7" s="1"/>
  <c r="Q735" i="7"/>
  <c r="R735" i="7" s="1"/>
  <c r="S735" i="7" s="1"/>
  <c r="Q736" i="7"/>
  <c r="R736" i="7" s="1"/>
  <c r="S736" i="7" s="1"/>
  <c r="Q737" i="7"/>
  <c r="R737" i="7" s="1"/>
  <c r="S737" i="7" s="1"/>
  <c r="Q738" i="7"/>
  <c r="R738" i="7" s="1"/>
  <c r="S738" i="7" s="1"/>
  <c r="Q739" i="7"/>
  <c r="R739" i="7" s="1"/>
  <c r="S739" i="7" s="1"/>
  <c r="Q740" i="7"/>
  <c r="R740" i="7" s="1"/>
  <c r="S740" i="7" s="1"/>
  <c r="Q741" i="7"/>
  <c r="R741" i="7" s="1"/>
  <c r="S741" i="7" s="1"/>
  <c r="Q742" i="7"/>
  <c r="R742" i="7" s="1"/>
  <c r="S742" i="7" s="1"/>
  <c r="Q743" i="7"/>
  <c r="R743" i="7" s="1"/>
  <c r="S743" i="7" s="1"/>
  <c r="Q744" i="7"/>
  <c r="R744" i="7" s="1"/>
  <c r="S744" i="7" s="1"/>
  <c r="Q745" i="7"/>
  <c r="R745" i="7" s="1"/>
  <c r="S745" i="7" s="1"/>
  <c r="Q746" i="7"/>
  <c r="R746" i="7" s="1"/>
  <c r="S746" i="7" s="1"/>
  <c r="Q747" i="7"/>
  <c r="R747" i="7" s="1"/>
  <c r="S747" i="7" s="1"/>
  <c r="Q748" i="7"/>
  <c r="R748" i="7" s="1"/>
  <c r="S748" i="7" s="1"/>
  <c r="Q749" i="7"/>
  <c r="R749" i="7" s="1"/>
  <c r="S749" i="7" s="1"/>
  <c r="Q750" i="7"/>
  <c r="R750" i="7" s="1"/>
  <c r="S750" i="7" s="1"/>
  <c r="Q751" i="7"/>
  <c r="R751" i="7" s="1"/>
  <c r="S751" i="7" s="1"/>
  <c r="Q752" i="7"/>
  <c r="R752" i="7" s="1"/>
  <c r="S752" i="7" s="1"/>
  <c r="Q753" i="7"/>
  <c r="R753" i="7" s="1"/>
  <c r="S753" i="7" s="1"/>
  <c r="Q754" i="7"/>
  <c r="R754" i="7" s="1"/>
  <c r="S754" i="7" s="1"/>
  <c r="Q755" i="7"/>
  <c r="R755" i="7" s="1"/>
  <c r="S755" i="7" s="1"/>
  <c r="Q756" i="7"/>
  <c r="R756" i="7" s="1"/>
  <c r="S756" i="7" s="1"/>
  <c r="Q757" i="7"/>
  <c r="R757" i="7" s="1"/>
  <c r="S757" i="7" s="1"/>
  <c r="Q758" i="7"/>
  <c r="R758" i="7" s="1"/>
  <c r="S758" i="7" s="1"/>
  <c r="Q759" i="7"/>
  <c r="R759" i="7" s="1"/>
  <c r="S759" i="7" s="1"/>
  <c r="Q760" i="7"/>
  <c r="R760" i="7" s="1"/>
  <c r="S760" i="7" s="1"/>
  <c r="Q761" i="7"/>
  <c r="R761" i="7" s="1"/>
  <c r="S761" i="7" s="1"/>
  <c r="Q762" i="7"/>
  <c r="R762" i="7" s="1"/>
  <c r="S762" i="7" s="1"/>
  <c r="Q763" i="7"/>
  <c r="R763" i="7" s="1"/>
  <c r="S763" i="7" s="1"/>
  <c r="Q764" i="7"/>
  <c r="R764" i="7" s="1"/>
  <c r="S764" i="7" s="1"/>
  <c r="Q765" i="7"/>
  <c r="R765" i="7" s="1"/>
  <c r="S765" i="7" s="1"/>
  <c r="Q766" i="7"/>
  <c r="R766" i="7" s="1"/>
  <c r="S766" i="7" s="1"/>
  <c r="Q767" i="7"/>
  <c r="R767" i="7" s="1"/>
  <c r="S767" i="7" s="1"/>
  <c r="Q768" i="7"/>
  <c r="R768" i="7" s="1"/>
  <c r="S768" i="7" s="1"/>
  <c r="Q769" i="7"/>
  <c r="R769" i="7" s="1"/>
  <c r="S769" i="7" s="1"/>
  <c r="Q770" i="7"/>
  <c r="R770" i="7" s="1"/>
  <c r="S770" i="7" s="1"/>
  <c r="Q771" i="7"/>
  <c r="R771" i="7" s="1"/>
  <c r="S771" i="7" s="1"/>
  <c r="Q772" i="7"/>
  <c r="R772" i="7" s="1"/>
  <c r="S772" i="7" s="1"/>
  <c r="Q773" i="7"/>
  <c r="R773" i="7" s="1"/>
  <c r="S773" i="7" s="1"/>
  <c r="Q774" i="7"/>
  <c r="R774" i="7" s="1"/>
  <c r="S774" i="7" s="1"/>
  <c r="Q775" i="7"/>
  <c r="R775" i="7" s="1"/>
  <c r="S775" i="7" s="1"/>
  <c r="Q776" i="7"/>
  <c r="R776" i="7" s="1"/>
  <c r="S776" i="7" s="1"/>
  <c r="Q777" i="7"/>
  <c r="R777" i="7" s="1"/>
  <c r="S777" i="7" s="1"/>
  <c r="Q778" i="7"/>
  <c r="R778" i="7" s="1"/>
  <c r="S778" i="7" s="1"/>
  <c r="Q779" i="7"/>
  <c r="R779" i="7" s="1"/>
  <c r="S779" i="7" s="1"/>
  <c r="Q780" i="7"/>
  <c r="R780" i="7" s="1"/>
  <c r="S780" i="7" s="1"/>
  <c r="Q781" i="7"/>
  <c r="R781" i="7" s="1"/>
  <c r="S781" i="7" s="1"/>
  <c r="Q782" i="7"/>
  <c r="R782" i="7" s="1"/>
  <c r="S782" i="7" s="1"/>
  <c r="Q783" i="7"/>
  <c r="R783" i="7" s="1"/>
  <c r="S783" i="7" s="1"/>
  <c r="Q784" i="7"/>
  <c r="R784" i="7" s="1"/>
  <c r="S784" i="7" s="1"/>
  <c r="Q785" i="7"/>
  <c r="R785" i="7" s="1"/>
  <c r="S785" i="7" s="1"/>
  <c r="Q786" i="7"/>
  <c r="R786" i="7" s="1"/>
  <c r="S786" i="7" s="1"/>
  <c r="Q787" i="7"/>
  <c r="R787" i="7" s="1"/>
  <c r="S787" i="7" s="1"/>
  <c r="Q788" i="7"/>
  <c r="R788" i="7" s="1"/>
  <c r="S788" i="7" s="1"/>
  <c r="Q789" i="7"/>
  <c r="R789" i="7" s="1"/>
  <c r="S789" i="7" s="1"/>
  <c r="Q790" i="7"/>
  <c r="R790" i="7" s="1"/>
  <c r="S790" i="7" s="1"/>
  <c r="Q791" i="7"/>
  <c r="R791" i="7" s="1"/>
  <c r="S791" i="7" s="1"/>
  <c r="Q792" i="7"/>
  <c r="R792" i="7" s="1"/>
  <c r="S792" i="7" s="1"/>
  <c r="Q793" i="7"/>
  <c r="R793" i="7" s="1"/>
  <c r="S793" i="7" s="1"/>
  <c r="Q794" i="7"/>
  <c r="R794" i="7" s="1"/>
  <c r="S794" i="7" s="1"/>
  <c r="Q795" i="7"/>
  <c r="R795" i="7" s="1"/>
  <c r="S795" i="7" s="1"/>
  <c r="Q796" i="7"/>
  <c r="R796" i="7" s="1"/>
  <c r="S796" i="7" s="1"/>
  <c r="Q797" i="7"/>
  <c r="R797" i="7" s="1"/>
  <c r="S797" i="7" s="1"/>
  <c r="Q798" i="7"/>
  <c r="R798" i="7" s="1"/>
  <c r="S798" i="7" s="1"/>
  <c r="Q799" i="7"/>
  <c r="R799" i="7" s="1"/>
  <c r="S799" i="7" s="1"/>
  <c r="Q800" i="7"/>
  <c r="R800" i="7" s="1"/>
  <c r="S800" i="7" s="1"/>
  <c r="Q801" i="7"/>
  <c r="R801" i="7" s="1"/>
  <c r="S801" i="7" s="1"/>
  <c r="Q802" i="7"/>
  <c r="R802" i="7" s="1"/>
  <c r="S802" i="7" s="1"/>
  <c r="Q803" i="7"/>
  <c r="R803" i="7" s="1"/>
  <c r="S803" i="7" s="1"/>
  <c r="Q804" i="7"/>
  <c r="R804" i="7" s="1"/>
  <c r="S804" i="7" s="1"/>
  <c r="Q805" i="7"/>
  <c r="R805" i="7" s="1"/>
  <c r="S805" i="7" s="1"/>
  <c r="Q806" i="7"/>
  <c r="R806" i="7" s="1"/>
  <c r="S806" i="7" s="1"/>
  <c r="Q807" i="7"/>
  <c r="R807" i="7" s="1"/>
  <c r="S807" i="7" s="1"/>
  <c r="Q808" i="7"/>
  <c r="R808" i="7" s="1"/>
  <c r="S808" i="7" s="1"/>
  <c r="Q809" i="7"/>
  <c r="R809" i="7" s="1"/>
  <c r="S809" i="7" s="1"/>
  <c r="Q810" i="7"/>
  <c r="R810" i="7" s="1"/>
  <c r="S810" i="7" s="1"/>
  <c r="Q811" i="7"/>
  <c r="R811" i="7" s="1"/>
  <c r="S811" i="7" s="1"/>
  <c r="Q812" i="7"/>
  <c r="R812" i="7" s="1"/>
  <c r="S812" i="7" s="1"/>
  <c r="Q813" i="7"/>
  <c r="R813" i="7" s="1"/>
  <c r="S813" i="7" s="1"/>
  <c r="Q814" i="7"/>
  <c r="R814" i="7" s="1"/>
  <c r="S814" i="7" s="1"/>
  <c r="Q815" i="7"/>
  <c r="R815" i="7" s="1"/>
  <c r="S815" i="7" s="1"/>
  <c r="Q816" i="7"/>
  <c r="R816" i="7" s="1"/>
  <c r="S816" i="7" s="1"/>
  <c r="Q817" i="7"/>
  <c r="R817" i="7" s="1"/>
  <c r="S817" i="7" s="1"/>
  <c r="Q818" i="7"/>
  <c r="R818" i="7" s="1"/>
  <c r="S818" i="7" s="1"/>
  <c r="Q819" i="7"/>
  <c r="R819" i="7" s="1"/>
  <c r="S819" i="7" s="1"/>
  <c r="Q820" i="7"/>
  <c r="R820" i="7" s="1"/>
  <c r="S820" i="7" s="1"/>
  <c r="Q821" i="7"/>
  <c r="R821" i="7" s="1"/>
  <c r="S821" i="7" s="1"/>
  <c r="Q822" i="7"/>
  <c r="R822" i="7" s="1"/>
  <c r="S822" i="7" s="1"/>
  <c r="Q823" i="7"/>
  <c r="R823" i="7" s="1"/>
  <c r="S823" i="7" s="1"/>
  <c r="Q824" i="7"/>
  <c r="R824" i="7" s="1"/>
  <c r="S824" i="7" s="1"/>
  <c r="Q825" i="7"/>
  <c r="R825" i="7" s="1"/>
  <c r="S825" i="7" s="1"/>
  <c r="Q826" i="7"/>
  <c r="R826" i="7" s="1"/>
  <c r="S826" i="7" s="1"/>
  <c r="Q827" i="7"/>
  <c r="R827" i="7" s="1"/>
  <c r="S827" i="7" s="1"/>
  <c r="Q828" i="7"/>
  <c r="R828" i="7" s="1"/>
  <c r="S828" i="7" s="1"/>
  <c r="Q829" i="7"/>
  <c r="R829" i="7" s="1"/>
  <c r="S829" i="7" s="1"/>
  <c r="Q830" i="7"/>
  <c r="R830" i="7" s="1"/>
  <c r="S830" i="7" s="1"/>
  <c r="Q831" i="7"/>
  <c r="R831" i="7" s="1"/>
  <c r="S831" i="7" s="1"/>
  <c r="Q832" i="7"/>
  <c r="R832" i="7" s="1"/>
  <c r="S832" i="7" s="1"/>
  <c r="Q833" i="7"/>
  <c r="R833" i="7" s="1"/>
  <c r="S833" i="7" s="1"/>
  <c r="Q834" i="7"/>
  <c r="R834" i="7" s="1"/>
  <c r="S834" i="7" s="1"/>
  <c r="Q835" i="7"/>
  <c r="R835" i="7" s="1"/>
  <c r="S835" i="7" s="1"/>
  <c r="Q836" i="7"/>
  <c r="R836" i="7" s="1"/>
  <c r="S836" i="7" s="1"/>
  <c r="Q837" i="7"/>
  <c r="R837" i="7" s="1"/>
  <c r="S837" i="7" s="1"/>
  <c r="Q838" i="7"/>
  <c r="R838" i="7" s="1"/>
  <c r="S838" i="7" s="1"/>
  <c r="Q839" i="7"/>
  <c r="R839" i="7" s="1"/>
  <c r="S839" i="7" s="1"/>
  <c r="Q840" i="7"/>
  <c r="R840" i="7" s="1"/>
  <c r="S840" i="7" s="1"/>
  <c r="Q841" i="7"/>
  <c r="R841" i="7" s="1"/>
  <c r="S841" i="7" s="1"/>
  <c r="Q842" i="7"/>
  <c r="R842" i="7" s="1"/>
  <c r="S842" i="7" s="1"/>
  <c r="Q843" i="7"/>
  <c r="R843" i="7" s="1"/>
  <c r="S843" i="7" s="1"/>
  <c r="Q844" i="7"/>
  <c r="R844" i="7" s="1"/>
  <c r="S844" i="7" s="1"/>
  <c r="Q845" i="7"/>
  <c r="R845" i="7" s="1"/>
  <c r="S845" i="7" s="1"/>
  <c r="Q846" i="7"/>
  <c r="R846" i="7" s="1"/>
  <c r="S846" i="7" s="1"/>
  <c r="Q847" i="7"/>
  <c r="R847" i="7" s="1"/>
  <c r="S847" i="7" s="1"/>
  <c r="Q848" i="7"/>
  <c r="R848" i="7" s="1"/>
  <c r="S848" i="7" s="1"/>
  <c r="Q849" i="7"/>
  <c r="R849" i="7" s="1"/>
  <c r="S849" i="7" s="1"/>
  <c r="Q850" i="7"/>
  <c r="R850" i="7" s="1"/>
  <c r="S850" i="7" s="1"/>
  <c r="Q851" i="7"/>
  <c r="R851" i="7" s="1"/>
  <c r="S851" i="7" s="1"/>
  <c r="Q852" i="7"/>
  <c r="R852" i="7" s="1"/>
  <c r="S852" i="7" s="1"/>
  <c r="Q853" i="7"/>
  <c r="R853" i="7" s="1"/>
  <c r="S853" i="7" s="1"/>
  <c r="Q854" i="7"/>
  <c r="R854" i="7" s="1"/>
  <c r="S854" i="7" s="1"/>
  <c r="Q855" i="7"/>
  <c r="R855" i="7" s="1"/>
  <c r="S855" i="7" s="1"/>
  <c r="Q856" i="7"/>
  <c r="R856" i="7" s="1"/>
  <c r="S856" i="7" s="1"/>
  <c r="Q857" i="7"/>
  <c r="R857" i="7" s="1"/>
  <c r="S857" i="7" s="1"/>
  <c r="Q858" i="7"/>
  <c r="R858" i="7" s="1"/>
  <c r="S858" i="7" s="1"/>
  <c r="Q859" i="7"/>
  <c r="R859" i="7" s="1"/>
  <c r="S859" i="7" s="1"/>
  <c r="Q860" i="7"/>
  <c r="R860" i="7" s="1"/>
  <c r="S860" i="7" s="1"/>
  <c r="Q861" i="7"/>
  <c r="R861" i="7" s="1"/>
  <c r="S861" i="7" s="1"/>
  <c r="Q862" i="7"/>
  <c r="R862" i="7" s="1"/>
  <c r="S862" i="7" s="1"/>
  <c r="Q863" i="7"/>
  <c r="R863" i="7" s="1"/>
  <c r="S863" i="7" s="1"/>
  <c r="Q864" i="7"/>
  <c r="R864" i="7" s="1"/>
  <c r="S864" i="7" s="1"/>
  <c r="Q865" i="7"/>
  <c r="R865" i="7" s="1"/>
  <c r="S865" i="7" s="1"/>
  <c r="Q866" i="7"/>
  <c r="R866" i="7" s="1"/>
  <c r="S866" i="7" s="1"/>
  <c r="Q867" i="7"/>
  <c r="R867" i="7" s="1"/>
  <c r="S867" i="7" s="1"/>
  <c r="Q868" i="7"/>
  <c r="R868" i="7" s="1"/>
  <c r="S868" i="7" s="1"/>
  <c r="Q869" i="7"/>
  <c r="R869" i="7" s="1"/>
  <c r="S869" i="7" s="1"/>
  <c r="Q870" i="7"/>
  <c r="R870" i="7" s="1"/>
  <c r="S870" i="7" s="1"/>
  <c r="Q871" i="7"/>
  <c r="R871" i="7" s="1"/>
  <c r="S871" i="7" s="1"/>
  <c r="Q872" i="7"/>
  <c r="R872" i="7" s="1"/>
  <c r="S872" i="7" s="1"/>
  <c r="Q873" i="7"/>
  <c r="R873" i="7" s="1"/>
  <c r="S873" i="7" s="1"/>
  <c r="Q874" i="7"/>
  <c r="R874" i="7" s="1"/>
  <c r="S874" i="7" s="1"/>
  <c r="Q875" i="7"/>
  <c r="R875" i="7" s="1"/>
  <c r="S875" i="7" s="1"/>
  <c r="Q876" i="7"/>
  <c r="R876" i="7" s="1"/>
  <c r="S876" i="7" s="1"/>
  <c r="Q877" i="7"/>
  <c r="R877" i="7" s="1"/>
  <c r="S877" i="7" s="1"/>
  <c r="Q878" i="7"/>
  <c r="R878" i="7" s="1"/>
  <c r="S878" i="7" s="1"/>
  <c r="Q879" i="7"/>
  <c r="R879" i="7" s="1"/>
  <c r="S879" i="7" s="1"/>
  <c r="Q880" i="7"/>
  <c r="R880" i="7" s="1"/>
  <c r="S880" i="7" s="1"/>
  <c r="Q881" i="7"/>
  <c r="R881" i="7" s="1"/>
  <c r="S881" i="7" s="1"/>
  <c r="Q882" i="7"/>
  <c r="R882" i="7" s="1"/>
  <c r="S882" i="7" s="1"/>
  <c r="Q883" i="7"/>
  <c r="R883" i="7" s="1"/>
  <c r="S883" i="7" s="1"/>
  <c r="Q884" i="7"/>
  <c r="R884" i="7" s="1"/>
  <c r="S884" i="7" s="1"/>
  <c r="Q885" i="7"/>
  <c r="R885" i="7" s="1"/>
  <c r="S885" i="7" s="1"/>
  <c r="Q886" i="7"/>
  <c r="R886" i="7" s="1"/>
  <c r="S886" i="7" s="1"/>
  <c r="Q887" i="7"/>
  <c r="R887" i="7" s="1"/>
  <c r="S887" i="7" s="1"/>
  <c r="Q888" i="7"/>
  <c r="R888" i="7" s="1"/>
  <c r="S888" i="7" s="1"/>
  <c r="Q889" i="7"/>
  <c r="R889" i="7" s="1"/>
  <c r="S889" i="7" s="1"/>
  <c r="Q890" i="7"/>
  <c r="R890" i="7" s="1"/>
  <c r="S890" i="7" s="1"/>
  <c r="Q891" i="7"/>
  <c r="R891" i="7" s="1"/>
  <c r="S891" i="7" s="1"/>
  <c r="Q892" i="7"/>
  <c r="R892" i="7" s="1"/>
  <c r="S892" i="7" s="1"/>
  <c r="Q893" i="7"/>
  <c r="R893" i="7" s="1"/>
  <c r="S893" i="7" s="1"/>
  <c r="Q894" i="7"/>
  <c r="R894" i="7" s="1"/>
  <c r="S894" i="7" s="1"/>
  <c r="Q895" i="7"/>
  <c r="R895" i="7" s="1"/>
  <c r="S895" i="7" s="1"/>
  <c r="Q896" i="7"/>
  <c r="R896" i="7" s="1"/>
  <c r="S896" i="7" s="1"/>
  <c r="Q897" i="7"/>
  <c r="R897" i="7" s="1"/>
  <c r="S897" i="7" s="1"/>
  <c r="Q898" i="7"/>
  <c r="R898" i="7" s="1"/>
  <c r="S898" i="7" s="1"/>
  <c r="Q899" i="7"/>
  <c r="R899" i="7" s="1"/>
  <c r="S899" i="7" s="1"/>
  <c r="Q900" i="7"/>
  <c r="R900" i="7" s="1"/>
  <c r="S900" i="7" s="1"/>
  <c r="Q901" i="7"/>
  <c r="R901" i="7" s="1"/>
  <c r="S901" i="7" s="1"/>
  <c r="Q902" i="7"/>
  <c r="R902" i="7" s="1"/>
  <c r="S902" i="7" s="1"/>
  <c r="Q903" i="7"/>
  <c r="R903" i="7" s="1"/>
  <c r="S903" i="7" s="1"/>
  <c r="Q904" i="7"/>
  <c r="R904" i="7" s="1"/>
  <c r="S904" i="7" s="1"/>
  <c r="Q905" i="7"/>
  <c r="R905" i="7" s="1"/>
  <c r="S905" i="7" s="1"/>
  <c r="Q906" i="7"/>
  <c r="R906" i="7" s="1"/>
  <c r="S906" i="7" s="1"/>
  <c r="Q907" i="7"/>
  <c r="R907" i="7" s="1"/>
  <c r="S907" i="7" s="1"/>
  <c r="Q908" i="7"/>
  <c r="R908" i="7" s="1"/>
  <c r="S908" i="7" s="1"/>
  <c r="Q909" i="7"/>
  <c r="R909" i="7" s="1"/>
  <c r="S909" i="7" s="1"/>
  <c r="Q910" i="7"/>
  <c r="R910" i="7" s="1"/>
  <c r="S910" i="7" s="1"/>
  <c r="Q911" i="7"/>
  <c r="R911" i="7" s="1"/>
  <c r="S911" i="7" s="1"/>
  <c r="Q912" i="7"/>
  <c r="R912" i="7" s="1"/>
  <c r="S912" i="7" s="1"/>
  <c r="Q913" i="7"/>
  <c r="R913" i="7" s="1"/>
  <c r="S913" i="7" s="1"/>
  <c r="Q914" i="7"/>
  <c r="R914" i="7" s="1"/>
  <c r="S914" i="7" s="1"/>
  <c r="Q915" i="7"/>
  <c r="R915" i="7" s="1"/>
  <c r="S915" i="7" s="1"/>
  <c r="Q916" i="7"/>
  <c r="R916" i="7" s="1"/>
  <c r="S916" i="7" s="1"/>
  <c r="Q917" i="7"/>
  <c r="R917" i="7" s="1"/>
  <c r="S917" i="7" s="1"/>
  <c r="Q918" i="7"/>
  <c r="R918" i="7" s="1"/>
  <c r="S918" i="7" s="1"/>
  <c r="Q919" i="7"/>
  <c r="R919" i="7" s="1"/>
  <c r="S919" i="7" s="1"/>
  <c r="Q920" i="7"/>
  <c r="R920" i="7" s="1"/>
  <c r="S920" i="7" s="1"/>
  <c r="Q921" i="7"/>
  <c r="R921" i="7" s="1"/>
  <c r="S921" i="7" s="1"/>
  <c r="Q922" i="7"/>
  <c r="R922" i="7" s="1"/>
  <c r="S922" i="7" s="1"/>
  <c r="Q923" i="7"/>
  <c r="R923" i="7" s="1"/>
  <c r="S923" i="7" s="1"/>
  <c r="Q924" i="7"/>
  <c r="R924" i="7" s="1"/>
  <c r="S924" i="7" s="1"/>
  <c r="Q925" i="7"/>
  <c r="R925" i="7" s="1"/>
  <c r="S925" i="7" s="1"/>
  <c r="Q926" i="7"/>
  <c r="R926" i="7" s="1"/>
  <c r="S926" i="7" s="1"/>
  <c r="Q927" i="7"/>
  <c r="R927" i="7" s="1"/>
  <c r="S927" i="7" s="1"/>
  <c r="Q928" i="7"/>
  <c r="R928" i="7" s="1"/>
  <c r="S928" i="7" s="1"/>
  <c r="Q929" i="7"/>
  <c r="R929" i="7" s="1"/>
  <c r="S929" i="7" s="1"/>
  <c r="Q930" i="7"/>
  <c r="R930" i="7" s="1"/>
  <c r="S930" i="7" s="1"/>
  <c r="Q931" i="7"/>
  <c r="R931" i="7" s="1"/>
  <c r="S931" i="7" s="1"/>
  <c r="Q932" i="7"/>
  <c r="R932" i="7" s="1"/>
  <c r="S932" i="7" s="1"/>
  <c r="Q933" i="7"/>
  <c r="R933" i="7" s="1"/>
  <c r="S933" i="7" s="1"/>
  <c r="Q934" i="7"/>
  <c r="R934" i="7" s="1"/>
  <c r="S934" i="7" s="1"/>
  <c r="Q935" i="7"/>
  <c r="R935" i="7" s="1"/>
  <c r="S935" i="7" s="1"/>
  <c r="Q936" i="7"/>
  <c r="R936" i="7" s="1"/>
  <c r="S936" i="7" s="1"/>
  <c r="Q937" i="7"/>
  <c r="R937" i="7" s="1"/>
  <c r="S937" i="7" s="1"/>
  <c r="Q938" i="7"/>
  <c r="R938" i="7" s="1"/>
  <c r="S938" i="7" s="1"/>
  <c r="Q939" i="7"/>
  <c r="R939" i="7" s="1"/>
  <c r="S939" i="7" s="1"/>
  <c r="Q940" i="7"/>
  <c r="R940" i="7" s="1"/>
  <c r="S940" i="7" s="1"/>
  <c r="Q941" i="7"/>
  <c r="R941" i="7" s="1"/>
  <c r="S941" i="7" s="1"/>
  <c r="Q942" i="7"/>
  <c r="R942" i="7" s="1"/>
  <c r="S942" i="7" s="1"/>
  <c r="Q943" i="7"/>
  <c r="R943" i="7" s="1"/>
  <c r="S943" i="7" s="1"/>
  <c r="Q944" i="7"/>
  <c r="R944" i="7" s="1"/>
  <c r="S944" i="7" s="1"/>
  <c r="Q945" i="7"/>
  <c r="R945" i="7" s="1"/>
  <c r="S945" i="7" s="1"/>
  <c r="Q946" i="7"/>
  <c r="R946" i="7" s="1"/>
  <c r="S946" i="7" s="1"/>
  <c r="Q947" i="7"/>
  <c r="R947" i="7" s="1"/>
  <c r="S947" i="7" s="1"/>
  <c r="Q948" i="7"/>
  <c r="R948" i="7" s="1"/>
  <c r="S948" i="7" s="1"/>
  <c r="Q949" i="7"/>
  <c r="R949" i="7" s="1"/>
  <c r="S949" i="7" s="1"/>
  <c r="Q950" i="7"/>
  <c r="R950" i="7" s="1"/>
  <c r="S950" i="7" s="1"/>
  <c r="Q951" i="7"/>
  <c r="R951" i="7" s="1"/>
  <c r="S951" i="7" s="1"/>
  <c r="Q952" i="7"/>
  <c r="R952" i="7" s="1"/>
  <c r="S952" i="7" s="1"/>
  <c r="Q953" i="7"/>
  <c r="R953" i="7" s="1"/>
  <c r="S953" i="7" s="1"/>
  <c r="Q954" i="7"/>
  <c r="R954" i="7" s="1"/>
  <c r="S954" i="7" s="1"/>
  <c r="Q955" i="7"/>
  <c r="R955" i="7" s="1"/>
  <c r="S955" i="7" s="1"/>
  <c r="Q956" i="7"/>
  <c r="R956" i="7" s="1"/>
  <c r="S956" i="7" s="1"/>
  <c r="Q957" i="7"/>
  <c r="R957" i="7" s="1"/>
  <c r="S957" i="7" s="1"/>
  <c r="Q958" i="7"/>
  <c r="R958" i="7" s="1"/>
  <c r="S958" i="7" s="1"/>
  <c r="Q959" i="7"/>
  <c r="R959" i="7" s="1"/>
  <c r="S959" i="7" s="1"/>
  <c r="Q960" i="7"/>
  <c r="R960" i="7" s="1"/>
  <c r="S960" i="7" s="1"/>
  <c r="Q961" i="7"/>
  <c r="R961" i="7" s="1"/>
  <c r="S961" i="7" s="1"/>
  <c r="Q962" i="7"/>
  <c r="R962" i="7" s="1"/>
  <c r="S962" i="7" s="1"/>
  <c r="Q963" i="7"/>
  <c r="R963" i="7" s="1"/>
  <c r="S963" i="7" s="1"/>
  <c r="Q964" i="7"/>
  <c r="R964" i="7" s="1"/>
  <c r="S964" i="7" s="1"/>
  <c r="Q965" i="7"/>
  <c r="R965" i="7" s="1"/>
  <c r="S965" i="7" s="1"/>
  <c r="Q966" i="7"/>
  <c r="R966" i="7" s="1"/>
  <c r="S966" i="7" s="1"/>
  <c r="Q967" i="7"/>
  <c r="R967" i="7" s="1"/>
  <c r="S967" i="7" s="1"/>
  <c r="Q968" i="7"/>
  <c r="R968" i="7" s="1"/>
  <c r="S968" i="7" s="1"/>
  <c r="Q969" i="7"/>
  <c r="R969" i="7" s="1"/>
  <c r="S969" i="7" s="1"/>
  <c r="Q970" i="7"/>
  <c r="R970" i="7" s="1"/>
  <c r="S970" i="7" s="1"/>
  <c r="Q971" i="7"/>
  <c r="R971" i="7" s="1"/>
  <c r="S971" i="7" s="1"/>
  <c r="Q972" i="7"/>
  <c r="R972" i="7" s="1"/>
  <c r="S972" i="7" s="1"/>
  <c r="Q973" i="7"/>
  <c r="R973" i="7" s="1"/>
  <c r="S973" i="7" s="1"/>
  <c r="Q974" i="7"/>
  <c r="R974" i="7" s="1"/>
  <c r="S974" i="7" s="1"/>
  <c r="Q975" i="7"/>
  <c r="R975" i="7" s="1"/>
  <c r="S975" i="7" s="1"/>
  <c r="Q976" i="7"/>
  <c r="R976" i="7" s="1"/>
  <c r="S976" i="7" s="1"/>
  <c r="Q977" i="7"/>
  <c r="R977" i="7" s="1"/>
  <c r="S977" i="7" s="1"/>
  <c r="Q978" i="7"/>
  <c r="R978" i="7" s="1"/>
  <c r="S978" i="7" s="1"/>
  <c r="Q979" i="7"/>
  <c r="R979" i="7" s="1"/>
  <c r="S979" i="7" s="1"/>
  <c r="Q980" i="7"/>
  <c r="R980" i="7" s="1"/>
  <c r="S980" i="7" s="1"/>
  <c r="Q981" i="7"/>
  <c r="R981" i="7" s="1"/>
  <c r="S981" i="7" s="1"/>
  <c r="Q982" i="7"/>
  <c r="R982" i="7" s="1"/>
  <c r="S982" i="7" s="1"/>
  <c r="Q983" i="7"/>
  <c r="R983" i="7" s="1"/>
  <c r="S983" i="7" s="1"/>
  <c r="Q984" i="7"/>
  <c r="R984" i="7" s="1"/>
  <c r="S984" i="7" s="1"/>
  <c r="Q985" i="7"/>
  <c r="R985" i="7" s="1"/>
  <c r="S985" i="7" s="1"/>
  <c r="Q986" i="7"/>
  <c r="R986" i="7" s="1"/>
  <c r="S986" i="7" s="1"/>
  <c r="Q987" i="7"/>
  <c r="R987" i="7" s="1"/>
  <c r="S987" i="7" s="1"/>
  <c r="Q988" i="7"/>
  <c r="R988" i="7" s="1"/>
  <c r="S988" i="7" s="1"/>
  <c r="Q989" i="7"/>
  <c r="R989" i="7" s="1"/>
  <c r="S989" i="7" s="1"/>
  <c r="Q990" i="7"/>
  <c r="R990" i="7" s="1"/>
  <c r="S990" i="7" s="1"/>
  <c r="Q991" i="7"/>
  <c r="R991" i="7" s="1"/>
  <c r="S991" i="7" s="1"/>
  <c r="Q992" i="7"/>
  <c r="R992" i="7" s="1"/>
  <c r="S992" i="7" s="1"/>
  <c r="Q993" i="7"/>
  <c r="R993" i="7" s="1"/>
  <c r="S993" i="7" s="1"/>
  <c r="Q994" i="7"/>
  <c r="R994" i="7" s="1"/>
  <c r="S994" i="7" s="1"/>
  <c r="Q995" i="7"/>
  <c r="R995" i="7" s="1"/>
  <c r="S995" i="7" s="1"/>
  <c r="Q996" i="7"/>
  <c r="R996" i="7" s="1"/>
  <c r="S996" i="7" s="1"/>
  <c r="Q997" i="7"/>
  <c r="R997" i="7" s="1"/>
  <c r="S997" i="7" s="1"/>
  <c r="Q998" i="7"/>
  <c r="R998" i="7" s="1"/>
  <c r="S998" i="7" s="1"/>
  <c r="Q999" i="7"/>
  <c r="R999" i="7" s="1"/>
  <c r="S999" i="7" s="1"/>
  <c r="Q1000" i="7"/>
  <c r="R1000" i="7" s="1"/>
  <c r="S1000" i="7" s="1"/>
  <c r="Q1001" i="7"/>
  <c r="R1001" i="7" s="1"/>
  <c r="S1001" i="7" s="1"/>
  <c r="Q1002" i="7"/>
  <c r="R1002" i="7" s="1"/>
  <c r="S1002" i="7" s="1"/>
  <c r="Q1003" i="7"/>
  <c r="R1003" i="7" s="1"/>
  <c r="S1003" i="7" s="1"/>
  <c r="Q1004" i="7"/>
  <c r="R1004" i="7" s="1"/>
  <c r="S1004" i="7" s="1"/>
  <c r="Q1005" i="7"/>
  <c r="R1005" i="7" s="1"/>
  <c r="S1005" i="7" s="1"/>
  <c r="Q1006" i="7"/>
  <c r="R1006" i="7" s="1"/>
  <c r="S1006" i="7" s="1"/>
  <c r="Q1007" i="7"/>
  <c r="R1007" i="7" s="1"/>
  <c r="S1007" i="7" s="1"/>
  <c r="Q1008" i="7"/>
  <c r="R1008" i="7" s="1"/>
  <c r="S1008" i="7" s="1"/>
  <c r="Q1009" i="7"/>
  <c r="R1009" i="7" s="1"/>
  <c r="S1009" i="7" s="1"/>
  <c r="Q1010" i="7"/>
  <c r="R1010" i="7" s="1"/>
  <c r="S1010" i="7" s="1"/>
  <c r="Q1011" i="7"/>
  <c r="R1011" i="7" s="1"/>
  <c r="S1011" i="7" s="1"/>
  <c r="Q1012" i="7"/>
  <c r="R1012" i="7" s="1"/>
  <c r="S1012" i="7" s="1"/>
  <c r="Q1013" i="7"/>
  <c r="R1013" i="7" s="1"/>
  <c r="S1013" i="7" s="1"/>
  <c r="Q1014" i="7"/>
  <c r="R1014" i="7" s="1"/>
  <c r="S1014" i="7" s="1"/>
  <c r="Q1015" i="7"/>
  <c r="R1015" i="7" s="1"/>
  <c r="S1015" i="7" s="1"/>
  <c r="Q1016" i="7"/>
  <c r="R1016" i="7" s="1"/>
  <c r="S1016" i="7" s="1"/>
  <c r="Q1017" i="7"/>
  <c r="R1017" i="7" s="1"/>
  <c r="S1017" i="7" s="1"/>
  <c r="Q1018" i="7"/>
  <c r="R1018" i="7" s="1"/>
  <c r="S1018" i="7" s="1"/>
  <c r="Q1019" i="7"/>
  <c r="R1019" i="7" s="1"/>
  <c r="S1019" i="7" s="1"/>
  <c r="Q1020" i="7"/>
  <c r="R1020" i="7" s="1"/>
  <c r="S1020" i="7" s="1"/>
  <c r="Q1021" i="7"/>
  <c r="R1021" i="7" s="1"/>
  <c r="S1021" i="7" s="1"/>
  <c r="Q1022" i="7"/>
  <c r="R1022" i="7" s="1"/>
  <c r="S1022" i="7" s="1"/>
  <c r="Q1023" i="7"/>
  <c r="R1023" i="7" s="1"/>
  <c r="S1023" i="7" s="1"/>
  <c r="Q1024" i="7"/>
  <c r="R1024" i="7" s="1"/>
  <c r="S1024" i="7" s="1"/>
  <c r="Q1025" i="7"/>
  <c r="R1025" i="7" s="1"/>
  <c r="S1025" i="7" s="1"/>
  <c r="Q1026" i="7"/>
  <c r="R1026" i="7" s="1"/>
  <c r="S1026" i="7" s="1"/>
  <c r="Q1027" i="7"/>
  <c r="R1027" i="7" s="1"/>
  <c r="S1027" i="7" s="1"/>
  <c r="Q1028" i="7"/>
  <c r="R1028" i="7" s="1"/>
  <c r="S1028" i="7" s="1"/>
  <c r="Q1029" i="7"/>
  <c r="R1029" i="7" s="1"/>
  <c r="S1029" i="7" s="1"/>
  <c r="Q1030" i="7"/>
  <c r="R1030" i="7" s="1"/>
  <c r="S1030" i="7" s="1"/>
  <c r="Q1031" i="7"/>
  <c r="R1031" i="7" s="1"/>
  <c r="S1031" i="7" s="1"/>
  <c r="Q1032" i="7"/>
  <c r="R1032" i="7" s="1"/>
  <c r="S1032" i="7" s="1"/>
  <c r="Q1033" i="7"/>
  <c r="R1033" i="7" s="1"/>
  <c r="S1033" i="7" s="1"/>
  <c r="Q1034" i="7"/>
  <c r="R1034" i="7" s="1"/>
  <c r="S1034" i="7" s="1"/>
  <c r="Q1035" i="7"/>
  <c r="R1035" i="7" s="1"/>
  <c r="S1035" i="7" s="1"/>
  <c r="Q1036" i="7"/>
  <c r="R1036" i="7" s="1"/>
  <c r="S1036" i="7" s="1"/>
  <c r="Q1037" i="7"/>
  <c r="R1037" i="7" s="1"/>
  <c r="S1037" i="7" s="1"/>
  <c r="Q1038" i="7"/>
  <c r="R1038" i="7" s="1"/>
  <c r="S1038" i="7" s="1"/>
  <c r="Q1039" i="7"/>
  <c r="R1039" i="7" s="1"/>
  <c r="S1039" i="7" s="1"/>
  <c r="Q1040" i="7"/>
  <c r="R1040" i="7" s="1"/>
  <c r="S1040" i="7" s="1"/>
  <c r="Q1041" i="7"/>
  <c r="R1041" i="7" s="1"/>
  <c r="S1041" i="7" s="1"/>
  <c r="Q1042" i="7"/>
  <c r="R1042" i="7" s="1"/>
  <c r="S1042" i="7" s="1"/>
  <c r="Q1043" i="7"/>
  <c r="R1043" i="7" s="1"/>
  <c r="S1043" i="7" s="1"/>
  <c r="Q1044" i="7"/>
  <c r="R1044" i="7" s="1"/>
  <c r="S1044" i="7" s="1"/>
  <c r="Q1045" i="7"/>
  <c r="R1045" i="7" s="1"/>
  <c r="S1045" i="7" s="1"/>
  <c r="Q1046" i="7"/>
  <c r="R1046" i="7" s="1"/>
  <c r="S1046" i="7" s="1"/>
  <c r="Q1047" i="7"/>
  <c r="R1047" i="7" s="1"/>
  <c r="S1047" i="7" s="1"/>
  <c r="Q1048" i="7"/>
  <c r="R1048" i="7" s="1"/>
  <c r="S1048" i="7" s="1"/>
  <c r="Q1049" i="7"/>
  <c r="R1049" i="7" s="1"/>
  <c r="S1049" i="7" s="1"/>
  <c r="Q1050" i="7"/>
  <c r="R1050" i="7" s="1"/>
  <c r="S1050" i="7" s="1"/>
  <c r="Q1051" i="7"/>
  <c r="R1051" i="7" s="1"/>
  <c r="S1051" i="7" s="1"/>
  <c r="Q1052" i="7"/>
  <c r="R1052" i="7" s="1"/>
  <c r="S1052" i="7" s="1"/>
  <c r="Q1053" i="7"/>
  <c r="R1053" i="7" s="1"/>
  <c r="S1053" i="7" s="1"/>
  <c r="Q1054" i="7"/>
  <c r="R1054" i="7" s="1"/>
  <c r="S1054" i="7" s="1"/>
  <c r="Q1055" i="7"/>
  <c r="R1055" i="7" s="1"/>
  <c r="S1055" i="7" s="1"/>
  <c r="Q1056" i="7"/>
  <c r="R1056" i="7" s="1"/>
  <c r="S1056" i="7" s="1"/>
  <c r="Q1057" i="7"/>
  <c r="R1057" i="7" s="1"/>
  <c r="S1057" i="7" s="1"/>
  <c r="Q1058" i="7"/>
  <c r="R1058" i="7" s="1"/>
  <c r="S1058" i="7" s="1"/>
  <c r="Q1059" i="7"/>
  <c r="R1059" i="7" s="1"/>
  <c r="S1059" i="7" s="1"/>
  <c r="Q1060" i="7"/>
  <c r="R1060" i="7" s="1"/>
  <c r="S1060" i="7" s="1"/>
  <c r="Q1061" i="7"/>
  <c r="R1061" i="7" s="1"/>
  <c r="S1061" i="7" s="1"/>
  <c r="Q1062" i="7"/>
  <c r="R1062" i="7" s="1"/>
  <c r="S1062" i="7" s="1"/>
  <c r="Q1063" i="7"/>
  <c r="R1063" i="7" s="1"/>
  <c r="S1063" i="7" s="1"/>
  <c r="Q1064" i="7"/>
  <c r="R1064" i="7" s="1"/>
  <c r="S1064" i="7" s="1"/>
  <c r="Q1065" i="7"/>
  <c r="R1065" i="7" s="1"/>
  <c r="S1065" i="7" s="1"/>
  <c r="Q1066" i="7"/>
  <c r="R1066" i="7" s="1"/>
  <c r="S1066" i="7" s="1"/>
  <c r="Q1067" i="7"/>
  <c r="R1067" i="7" s="1"/>
  <c r="S1067" i="7" s="1"/>
  <c r="Q1068" i="7"/>
  <c r="R1068" i="7" s="1"/>
  <c r="S1068" i="7" s="1"/>
  <c r="Q1069" i="7"/>
  <c r="R1069" i="7" s="1"/>
  <c r="S1069" i="7" s="1"/>
  <c r="Q1070" i="7"/>
  <c r="R1070" i="7" s="1"/>
  <c r="S1070" i="7" s="1"/>
  <c r="Q1071" i="7"/>
  <c r="R1071" i="7" s="1"/>
  <c r="S1071" i="7" s="1"/>
  <c r="Q1072" i="7"/>
  <c r="R1072" i="7" s="1"/>
  <c r="S1072" i="7" s="1"/>
  <c r="Q1073" i="7"/>
  <c r="R1073" i="7" s="1"/>
  <c r="S1073" i="7" s="1"/>
  <c r="Q1074" i="7"/>
  <c r="R1074" i="7" s="1"/>
  <c r="S1074" i="7" s="1"/>
  <c r="Q1075" i="7"/>
  <c r="R1075" i="7" s="1"/>
  <c r="S1075" i="7" s="1"/>
  <c r="Q1076" i="7"/>
  <c r="R1076" i="7" s="1"/>
  <c r="S1076" i="7" s="1"/>
  <c r="Q1077" i="7"/>
  <c r="R1077" i="7" s="1"/>
  <c r="S1077" i="7" s="1"/>
  <c r="Q1078" i="7"/>
  <c r="R1078" i="7" s="1"/>
  <c r="S1078" i="7" s="1"/>
  <c r="Q1079" i="7"/>
  <c r="R1079" i="7" s="1"/>
  <c r="S1079" i="7" s="1"/>
  <c r="Q1080" i="7"/>
  <c r="R1080" i="7" s="1"/>
  <c r="S1080" i="7" s="1"/>
  <c r="Q1081" i="7"/>
  <c r="R1081" i="7" s="1"/>
  <c r="S1081" i="7" s="1"/>
  <c r="Q1082" i="7"/>
  <c r="R1082" i="7" s="1"/>
  <c r="S1082" i="7" s="1"/>
  <c r="Q1083" i="7"/>
  <c r="R1083" i="7" s="1"/>
  <c r="S1083" i="7" s="1"/>
  <c r="Q1084" i="7"/>
  <c r="R1084" i="7" s="1"/>
  <c r="S1084" i="7" s="1"/>
  <c r="Q1085" i="7"/>
  <c r="R1085" i="7" s="1"/>
  <c r="S1085" i="7" s="1"/>
  <c r="Q1086" i="7"/>
  <c r="R1086" i="7" s="1"/>
  <c r="S1086" i="7" s="1"/>
  <c r="Q1087" i="7"/>
  <c r="R1087" i="7" s="1"/>
  <c r="S1087" i="7" s="1"/>
  <c r="Q1088" i="7"/>
  <c r="R1088" i="7" s="1"/>
  <c r="S1088" i="7" s="1"/>
  <c r="Q1089" i="7"/>
  <c r="R1089" i="7" s="1"/>
  <c r="S1089" i="7" s="1"/>
  <c r="Q1090" i="7"/>
  <c r="R1090" i="7" s="1"/>
  <c r="S1090" i="7" s="1"/>
  <c r="Q1091" i="7"/>
  <c r="R1091" i="7" s="1"/>
  <c r="S1091" i="7" s="1"/>
  <c r="Q1092" i="7"/>
  <c r="R1092" i="7" s="1"/>
  <c r="S1092" i="7" s="1"/>
  <c r="Q1093" i="7"/>
  <c r="R1093" i="7" s="1"/>
  <c r="S1093" i="7" s="1"/>
  <c r="Q1094" i="7"/>
  <c r="R1094" i="7" s="1"/>
  <c r="S1094" i="7" s="1"/>
  <c r="Q1095" i="7"/>
  <c r="R1095" i="7" s="1"/>
  <c r="S1095" i="7" s="1"/>
  <c r="Q1096" i="7"/>
  <c r="R1096" i="7" s="1"/>
  <c r="S1096" i="7" s="1"/>
  <c r="Q1097" i="7"/>
  <c r="R1097" i="7" s="1"/>
  <c r="S1097" i="7" s="1"/>
  <c r="Q1098" i="7"/>
  <c r="R1098" i="7" s="1"/>
  <c r="S1098" i="7" s="1"/>
  <c r="Q1099" i="7"/>
  <c r="R1099" i="7" s="1"/>
  <c r="S1099" i="7" s="1"/>
  <c r="Q1100" i="7"/>
  <c r="R1100" i="7" s="1"/>
  <c r="S1100" i="7" s="1"/>
  <c r="Q1101" i="7"/>
  <c r="R1101" i="7" s="1"/>
  <c r="S1101" i="7" s="1"/>
  <c r="Q1102" i="7"/>
  <c r="R1102" i="7" s="1"/>
  <c r="S1102" i="7" s="1"/>
  <c r="Q1103" i="7"/>
  <c r="R1103" i="7" s="1"/>
  <c r="S1103" i="7" s="1"/>
  <c r="Q1104" i="7"/>
  <c r="R1104" i="7" s="1"/>
  <c r="S1104" i="7" s="1"/>
  <c r="Q1105" i="7"/>
  <c r="R1105" i="7" s="1"/>
  <c r="S1105" i="7" s="1"/>
  <c r="Q1106" i="7"/>
  <c r="R1106" i="7" s="1"/>
  <c r="S1106" i="7" s="1"/>
  <c r="Q1107" i="7"/>
  <c r="R1107" i="7" s="1"/>
  <c r="S1107" i="7" s="1"/>
  <c r="Q1108" i="7"/>
  <c r="R1108" i="7" s="1"/>
  <c r="S1108" i="7" s="1"/>
  <c r="Q1109" i="7"/>
  <c r="R1109" i="7" s="1"/>
  <c r="S1109" i="7" s="1"/>
  <c r="Q1110" i="7"/>
  <c r="R1110" i="7" s="1"/>
  <c r="S1110" i="7" s="1"/>
  <c r="Q1111" i="7"/>
  <c r="R1111" i="7" s="1"/>
  <c r="S1111" i="7" s="1"/>
  <c r="Q1112" i="7"/>
  <c r="R1112" i="7" s="1"/>
  <c r="S1112" i="7" s="1"/>
  <c r="Q1113" i="7"/>
  <c r="R1113" i="7" s="1"/>
  <c r="S1113" i="7" s="1"/>
  <c r="Q1114" i="7"/>
  <c r="R1114" i="7" s="1"/>
  <c r="S1114" i="7" s="1"/>
  <c r="Q1115" i="7"/>
  <c r="R1115" i="7" s="1"/>
  <c r="S1115" i="7" s="1"/>
  <c r="Q1116" i="7"/>
  <c r="R1116" i="7" s="1"/>
  <c r="S1116" i="7" s="1"/>
  <c r="Q1117" i="7"/>
  <c r="R1117" i="7" s="1"/>
  <c r="S1117" i="7" s="1"/>
  <c r="Q1118" i="7"/>
  <c r="R1118" i="7" s="1"/>
  <c r="S1118" i="7" s="1"/>
  <c r="Q1119" i="7"/>
  <c r="R1119" i="7" s="1"/>
  <c r="S1119" i="7" s="1"/>
  <c r="Q1120" i="7"/>
  <c r="R1120" i="7" s="1"/>
  <c r="S1120" i="7" s="1"/>
  <c r="Q1121" i="7"/>
  <c r="R1121" i="7" s="1"/>
  <c r="S1121" i="7" s="1"/>
  <c r="Q1122" i="7"/>
  <c r="R1122" i="7" s="1"/>
  <c r="S1122" i="7" s="1"/>
  <c r="Q1123" i="7"/>
  <c r="R1123" i="7" s="1"/>
  <c r="S1123" i="7" s="1"/>
  <c r="Q1124" i="7"/>
  <c r="R1124" i="7" s="1"/>
  <c r="S1124" i="7" s="1"/>
  <c r="Q1125" i="7"/>
  <c r="R1125" i="7" s="1"/>
  <c r="S1125" i="7" s="1"/>
  <c r="Q1126" i="7"/>
  <c r="R1126" i="7" s="1"/>
  <c r="S1126" i="7" s="1"/>
  <c r="Q1127" i="7"/>
  <c r="R1127" i="7" s="1"/>
  <c r="S1127" i="7" s="1"/>
  <c r="Q1128" i="7"/>
  <c r="R1128" i="7" s="1"/>
  <c r="S1128" i="7" s="1"/>
  <c r="Q1129" i="7"/>
  <c r="R1129" i="7" s="1"/>
  <c r="S1129" i="7" s="1"/>
  <c r="Q1130" i="7"/>
  <c r="R1130" i="7" s="1"/>
  <c r="S1130" i="7" s="1"/>
  <c r="Q1131" i="7"/>
  <c r="R1131" i="7" s="1"/>
  <c r="S1131" i="7" s="1"/>
  <c r="Q1132" i="7"/>
  <c r="R1132" i="7" s="1"/>
  <c r="S1132" i="7" s="1"/>
  <c r="Q1133" i="7"/>
  <c r="R1133" i="7" s="1"/>
  <c r="S1133" i="7" s="1"/>
  <c r="Q1134" i="7"/>
  <c r="R1134" i="7" s="1"/>
  <c r="S1134" i="7" s="1"/>
  <c r="Q1135" i="7"/>
  <c r="R1135" i="7" s="1"/>
  <c r="S1135" i="7" s="1"/>
  <c r="Q1136" i="7"/>
  <c r="R1136" i="7" s="1"/>
  <c r="S1136" i="7" s="1"/>
  <c r="Q1137" i="7"/>
  <c r="R1137" i="7" s="1"/>
  <c r="S1137" i="7" s="1"/>
  <c r="Q1138" i="7"/>
  <c r="R1138" i="7" s="1"/>
  <c r="S1138" i="7" s="1"/>
  <c r="Q1139" i="7"/>
  <c r="R1139" i="7" s="1"/>
  <c r="S1139" i="7" s="1"/>
  <c r="Q1140" i="7"/>
  <c r="R1140" i="7" s="1"/>
  <c r="S1140" i="7" s="1"/>
  <c r="Q1141" i="7"/>
  <c r="R1141" i="7" s="1"/>
  <c r="S1141" i="7" s="1"/>
  <c r="Q1142" i="7"/>
  <c r="R1142" i="7" s="1"/>
  <c r="S1142" i="7" s="1"/>
  <c r="Q1143" i="7"/>
  <c r="R1143" i="7" s="1"/>
  <c r="S1143" i="7" s="1"/>
  <c r="Q1144" i="7"/>
  <c r="R1144" i="7" s="1"/>
  <c r="S1144" i="7" s="1"/>
  <c r="Q1145" i="7"/>
  <c r="R1145" i="7" s="1"/>
  <c r="S1145" i="7" s="1"/>
  <c r="Q1146" i="7"/>
  <c r="R1146" i="7" s="1"/>
  <c r="S1146" i="7" s="1"/>
  <c r="Q1147" i="7"/>
  <c r="R1147" i="7" s="1"/>
  <c r="S1147" i="7" s="1"/>
  <c r="Q1148" i="7"/>
  <c r="R1148" i="7" s="1"/>
  <c r="S1148" i="7" s="1"/>
  <c r="Q1149" i="7"/>
  <c r="R1149" i="7" s="1"/>
  <c r="S1149" i="7" s="1"/>
  <c r="Q1150" i="7"/>
  <c r="R1150" i="7" s="1"/>
  <c r="S1150" i="7" s="1"/>
  <c r="Q1151" i="7"/>
  <c r="R1151" i="7" s="1"/>
  <c r="S1151" i="7" s="1"/>
  <c r="Q1152" i="7"/>
  <c r="R1152" i="7" s="1"/>
  <c r="S1152" i="7" s="1"/>
  <c r="Q1153" i="7"/>
  <c r="R1153" i="7" s="1"/>
  <c r="S1153" i="7" s="1"/>
  <c r="Q1154" i="7"/>
  <c r="R1154" i="7" s="1"/>
  <c r="S1154" i="7" s="1"/>
  <c r="Q1155" i="7"/>
  <c r="R1155" i="7" s="1"/>
  <c r="S1155" i="7" s="1"/>
  <c r="Q1156" i="7"/>
  <c r="R1156" i="7" s="1"/>
  <c r="S1156" i="7" s="1"/>
  <c r="Q1157" i="7"/>
  <c r="R1157" i="7" s="1"/>
  <c r="S1157" i="7" s="1"/>
  <c r="Q1158" i="7"/>
  <c r="R1158" i="7" s="1"/>
  <c r="S1158" i="7" s="1"/>
  <c r="Q1159" i="7"/>
  <c r="R1159" i="7" s="1"/>
  <c r="S1159" i="7" s="1"/>
  <c r="Q1160" i="7"/>
  <c r="R1160" i="7" s="1"/>
  <c r="S1160" i="7" s="1"/>
  <c r="Q1161" i="7"/>
  <c r="R1161" i="7" s="1"/>
  <c r="S1161" i="7" s="1"/>
  <c r="Q1162" i="7"/>
  <c r="R1162" i="7" s="1"/>
  <c r="S1162" i="7" s="1"/>
  <c r="Q1163" i="7"/>
  <c r="R1163" i="7" s="1"/>
  <c r="S1163" i="7" s="1"/>
  <c r="Q1164" i="7"/>
  <c r="R1164" i="7" s="1"/>
  <c r="S1164" i="7" s="1"/>
  <c r="Q1165" i="7"/>
  <c r="R1165" i="7" s="1"/>
  <c r="S1165" i="7" s="1"/>
  <c r="Q1166" i="7"/>
  <c r="R1166" i="7" s="1"/>
  <c r="S1166" i="7" s="1"/>
  <c r="Q1167" i="7"/>
  <c r="R1167" i="7" s="1"/>
  <c r="S1167" i="7" s="1"/>
  <c r="Q1168" i="7"/>
  <c r="R1168" i="7" s="1"/>
  <c r="S1168" i="7" s="1"/>
  <c r="Q1169" i="7"/>
  <c r="R1169" i="7" s="1"/>
  <c r="S1169" i="7" s="1"/>
  <c r="Q1170" i="7"/>
  <c r="R1170" i="7" s="1"/>
  <c r="S1170" i="7" s="1"/>
  <c r="Q1171" i="7"/>
  <c r="R1171" i="7" s="1"/>
  <c r="S1171" i="7" s="1"/>
  <c r="Q1172" i="7"/>
  <c r="R1172" i="7" s="1"/>
  <c r="S1172" i="7" s="1"/>
  <c r="Q1173" i="7"/>
  <c r="R1173" i="7" s="1"/>
  <c r="S1173" i="7" s="1"/>
  <c r="Q1174" i="7"/>
  <c r="R1174" i="7" s="1"/>
  <c r="S1174" i="7" s="1"/>
  <c r="Q1175" i="7"/>
  <c r="R1175" i="7" s="1"/>
  <c r="S1175" i="7" s="1"/>
  <c r="Q1176" i="7"/>
  <c r="R1176" i="7" s="1"/>
  <c r="S1176" i="7" s="1"/>
  <c r="Q1177" i="7"/>
  <c r="R1177" i="7" s="1"/>
  <c r="S1177" i="7" s="1"/>
  <c r="Q1178" i="7"/>
  <c r="R1178" i="7" s="1"/>
  <c r="S1178" i="7" s="1"/>
  <c r="Q1179" i="7"/>
  <c r="R1179" i="7" s="1"/>
  <c r="S1179" i="7" s="1"/>
  <c r="Q1180" i="7"/>
  <c r="R1180" i="7" s="1"/>
  <c r="S1180" i="7" s="1"/>
  <c r="Q1181" i="7"/>
  <c r="R1181" i="7" s="1"/>
  <c r="S1181" i="7" s="1"/>
  <c r="Q1182" i="7"/>
  <c r="R1182" i="7" s="1"/>
  <c r="S1182" i="7" s="1"/>
  <c r="Q1183" i="7"/>
  <c r="R1183" i="7" s="1"/>
  <c r="S1183" i="7" s="1"/>
  <c r="Q1184" i="7"/>
  <c r="R1184" i="7" s="1"/>
  <c r="S1184" i="7" s="1"/>
  <c r="Q1185" i="7"/>
  <c r="R1185" i="7" s="1"/>
  <c r="S1185" i="7" s="1"/>
  <c r="Q1186" i="7"/>
  <c r="R1186" i="7" s="1"/>
  <c r="S1186" i="7" s="1"/>
  <c r="Q1187" i="7"/>
  <c r="R1187" i="7" s="1"/>
  <c r="S1187" i="7" s="1"/>
  <c r="Q1188" i="7"/>
  <c r="R1188" i="7" s="1"/>
  <c r="S1188" i="7" s="1"/>
  <c r="Q1189" i="7"/>
  <c r="R1189" i="7" s="1"/>
  <c r="S1189" i="7" s="1"/>
  <c r="Q1190" i="7"/>
  <c r="R1190" i="7" s="1"/>
  <c r="S1190" i="7" s="1"/>
  <c r="Q1191" i="7"/>
  <c r="R1191" i="7" s="1"/>
  <c r="S1191" i="7" s="1"/>
  <c r="Q1192" i="7"/>
  <c r="R1192" i="7" s="1"/>
  <c r="S1192" i="7" s="1"/>
  <c r="Q1193" i="7"/>
  <c r="R1193" i="7" s="1"/>
  <c r="S1193" i="7" s="1"/>
  <c r="Q1194" i="7"/>
  <c r="R1194" i="7" s="1"/>
  <c r="S1194" i="7" s="1"/>
  <c r="Q1195" i="7"/>
  <c r="R1195" i="7" s="1"/>
  <c r="S1195" i="7" s="1"/>
  <c r="Q1196" i="7"/>
  <c r="R1196" i="7" s="1"/>
  <c r="S1196" i="7" s="1"/>
  <c r="Q1197" i="7"/>
  <c r="R1197" i="7" s="1"/>
  <c r="S1197" i="7" s="1"/>
  <c r="Q1198" i="7"/>
  <c r="R1198" i="7" s="1"/>
  <c r="S1198" i="7" s="1"/>
  <c r="Q1199" i="7"/>
  <c r="R1199" i="7" s="1"/>
  <c r="S1199" i="7" s="1"/>
  <c r="Q1200" i="7"/>
  <c r="R1200" i="7" s="1"/>
  <c r="S1200" i="7" s="1"/>
  <c r="Q1201" i="7"/>
  <c r="R1201" i="7" s="1"/>
  <c r="S1201" i="7" s="1"/>
  <c r="Q1202" i="7"/>
  <c r="R1202" i="7" s="1"/>
  <c r="S1202" i="7" s="1"/>
  <c r="Q1203" i="7"/>
  <c r="R1203" i="7" s="1"/>
  <c r="S1203" i="7" s="1"/>
  <c r="Q1204" i="7"/>
  <c r="R1204" i="7" s="1"/>
  <c r="S1204" i="7" s="1"/>
  <c r="Q1205" i="7"/>
  <c r="R1205" i="7" s="1"/>
  <c r="S1205" i="7" s="1"/>
  <c r="Q1206" i="7"/>
  <c r="R1206" i="7" s="1"/>
  <c r="S1206" i="7" s="1"/>
  <c r="Q1207" i="7"/>
  <c r="R1207" i="7" s="1"/>
  <c r="S1207" i="7" s="1"/>
  <c r="Q1208" i="7"/>
  <c r="R1208" i="7" s="1"/>
  <c r="S1208" i="7" s="1"/>
  <c r="Q1209" i="7"/>
  <c r="R1209" i="7" s="1"/>
  <c r="S1209" i="7" s="1"/>
  <c r="Q1210" i="7"/>
  <c r="R1210" i="7" s="1"/>
  <c r="S1210" i="7" s="1"/>
  <c r="Q1211" i="7"/>
  <c r="R1211" i="7" s="1"/>
  <c r="S1211" i="7" s="1"/>
  <c r="Q1212" i="7"/>
  <c r="R1212" i="7" s="1"/>
  <c r="S1212" i="7" s="1"/>
  <c r="Q1213" i="7"/>
  <c r="R1213" i="7" s="1"/>
  <c r="S1213" i="7" s="1"/>
  <c r="Q1214" i="7"/>
  <c r="R1214" i="7" s="1"/>
  <c r="S1214" i="7" s="1"/>
  <c r="Q1215" i="7"/>
  <c r="R1215" i="7" s="1"/>
  <c r="S1215" i="7" s="1"/>
  <c r="Q1216" i="7"/>
  <c r="R1216" i="7" s="1"/>
  <c r="S1216" i="7" s="1"/>
  <c r="Q1217" i="7"/>
  <c r="R1217" i="7" s="1"/>
  <c r="S1217" i="7" s="1"/>
  <c r="Q1218" i="7"/>
  <c r="R1218" i="7" s="1"/>
  <c r="S1218" i="7" s="1"/>
  <c r="Q1219" i="7"/>
  <c r="R1219" i="7" s="1"/>
  <c r="S1219" i="7" s="1"/>
  <c r="Q1220" i="7"/>
  <c r="R1220" i="7" s="1"/>
  <c r="S1220" i="7" s="1"/>
  <c r="Q1221" i="7"/>
  <c r="R1221" i="7" s="1"/>
  <c r="S1221" i="7" s="1"/>
  <c r="Q1222" i="7"/>
  <c r="R1222" i="7" s="1"/>
  <c r="S1222" i="7" s="1"/>
  <c r="Q1223" i="7"/>
  <c r="R1223" i="7" s="1"/>
  <c r="S1223" i="7" s="1"/>
  <c r="Q1224" i="7"/>
  <c r="R1224" i="7" s="1"/>
  <c r="S1224" i="7" s="1"/>
  <c r="Q1225" i="7"/>
  <c r="R1225" i="7" s="1"/>
  <c r="S1225" i="7" s="1"/>
  <c r="Q1226" i="7"/>
  <c r="R1226" i="7" s="1"/>
  <c r="S1226" i="7" s="1"/>
  <c r="Q1227" i="7"/>
  <c r="R1227" i="7" s="1"/>
  <c r="S1227" i="7" s="1"/>
  <c r="Q1228" i="7"/>
  <c r="R1228" i="7" s="1"/>
  <c r="S1228" i="7" s="1"/>
  <c r="Q1229" i="7"/>
  <c r="R1229" i="7" s="1"/>
  <c r="S1229" i="7" s="1"/>
  <c r="Q1230" i="7"/>
  <c r="R1230" i="7" s="1"/>
  <c r="S1230" i="7" s="1"/>
  <c r="Q1231" i="7"/>
  <c r="R1231" i="7" s="1"/>
  <c r="S1231" i="7" s="1"/>
  <c r="Q1232" i="7"/>
  <c r="R1232" i="7" s="1"/>
  <c r="S1232" i="7" s="1"/>
  <c r="Q1233" i="7"/>
  <c r="R1233" i="7" s="1"/>
  <c r="S1233" i="7" s="1"/>
  <c r="Q1234" i="7"/>
  <c r="R1234" i="7" s="1"/>
  <c r="S1234" i="7" s="1"/>
  <c r="Q1235" i="7"/>
  <c r="R1235" i="7" s="1"/>
  <c r="S1235" i="7" s="1"/>
  <c r="Q1236" i="7"/>
  <c r="R1236" i="7" s="1"/>
  <c r="S1236" i="7" s="1"/>
  <c r="Q1237" i="7"/>
  <c r="R1237" i="7" s="1"/>
  <c r="S1237" i="7" s="1"/>
  <c r="Q1238" i="7"/>
  <c r="R1238" i="7" s="1"/>
  <c r="S1238" i="7" s="1"/>
  <c r="Q1239" i="7"/>
  <c r="R1239" i="7" s="1"/>
  <c r="S1239" i="7" s="1"/>
  <c r="Q1240" i="7"/>
  <c r="R1240" i="7" s="1"/>
  <c r="S1240" i="7" s="1"/>
  <c r="Q1241" i="7"/>
  <c r="R1241" i="7" s="1"/>
  <c r="S1241" i="7" s="1"/>
  <c r="Q1242" i="7"/>
  <c r="R1242" i="7" s="1"/>
  <c r="S1242" i="7" s="1"/>
  <c r="Q1243" i="7"/>
  <c r="R1243" i="7" s="1"/>
  <c r="S1243" i="7" s="1"/>
  <c r="Q1244" i="7"/>
  <c r="R1244" i="7" s="1"/>
  <c r="S1244" i="7" s="1"/>
  <c r="Q1245" i="7"/>
  <c r="R1245" i="7" s="1"/>
  <c r="S1245" i="7" s="1"/>
  <c r="Q1246" i="7"/>
  <c r="R1246" i="7" s="1"/>
  <c r="S1246" i="7" s="1"/>
  <c r="Q1247" i="7"/>
  <c r="R1247" i="7" s="1"/>
  <c r="S1247" i="7" s="1"/>
  <c r="Q1248" i="7"/>
  <c r="R1248" i="7" s="1"/>
  <c r="S1248" i="7" s="1"/>
  <c r="Q1249" i="7"/>
  <c r="R1249" i="7" s="1"/>
  <c r="S1249" i="7" s="1"/>
  <c r="Q1250" i="7"/>
  <c r="R1250" i="7" s="1"/>
  <c r="S1250" i="7" s="1"/>
  <c r="Q1251" i="7"/>
  <c r="R1251" i="7" s="1"/>
  <c r="S1251" i="7" s="1"/>
  <c r="Q1252" i="7"/>
  <c r="R1252" i="7" s="1"/>
  <c r="S1252" i="7" s="1"/>
  <c r="Q1253" i="7"/>
  <c r="R1253" i="7" s="1"/>
  <c r="S1253" i="7" s="1"/>
  <c r="Q1254" i="7"/>
  <c r="R1254" i="7" s="1"/>
  <c r="S1254" i="7" s="1"/>
  <c r="Q1255" i="7"/>
  <c r="R1255" i="7" s="1"/>
  <c r="S1255" i="7" s="1"/>
  <c r="Q1256" i="7"/>
  <c r="R1256" i="7" s="1"/>
  <c r="S1256" i="7" s="1"/>
  <c r="Q1257" i="7"/>
  <c r="R1257" i="7" s="1"/>
  <c r="S1257" i="7" s="1"/>
  <c r="Q1258" i="7"/>
  <c r="R1258" i="7" s="1"/>
  <c r="S1258" i="7" s="1"/>
  <c r="Q1259" i="7"/>
  <c r="R1259" i="7" s="1"/>
  <c r="S1259" i="7" s="1"/>
  <c r="Q1260" i="7"/>
  <c r="R1260" i="7" s="1"/>
  <c r="S1260" i="7" s="1"/>
  <c r="Q1261" i="7"/>
  <c r="R1261" i="7" s="1"/>
  <c r="S1261" i="7" s="1"/>
  <c r="Q1262" i="7"/>
  <c r="R1262" i="7" s="1"/>
  <c r="S1262" i="7" s="1"/>
  <c r="Q1263" i="7"/>
  <c r="R1263" i="7" s="1"/>
  <c r="S1263" i="7" s="1"/>
  <c r="Q1264" i="7"/>
  <c r="R1264" i="7" s="1"/>
  <c r="S1264" i="7" s="1"/>
  <c r="Q1265" i="7"/>
  <c r="R1265" i="7" s="1"/>
  <c r="S1265" i="7" s="1"/>
  <c r="Q1266" i="7"/>
  <c r="R1266" i="7" s="1"/>
  <c r="S1266" i="7" s="1"/>
  <c r="Q1267" i="7"/>
  <c r="R1267" i="7" s="1"/>
  <c r="S1267" i="7" s="1"/>
  <c r="Q1268" i="7"/>
  <c r="R1268" i="7" s="1"/>
  <c r="S1268" i="7" s="1"/>
  <c r="Q1269" i="7"/>
  <c r="R1269" i="7" s="1"/>
  <c r="S1269" i="7" s="1"/>
  <c r="Q1270" i="7"/>
  <c r="R1270" i="7" s="1"/>
  <c r="S1270" i="7" s="1"/>
  <c r="Q1271" i="7"/>
  <c r="R1271" i="7" s="1"/>
  <c r="S1271" i="7" s="1"/>
  <c r="Q1272" i="7"/>
  <c r="R1272" i="7" s="1"/>
  <c r="S1272" i="7" s="1"/>
  <c r="Q1273" i="7"/>
  <c r="R1273" i="7" s="1"/>
  <c r="S1273" i="7" s="1"/>
  <c r="Q1274" i="7"/>
  <c r="R1274" i="7" s="1"/>
  <c r="S1274" i="7" s="1"/>
  <c r="Q1275" i="7"/>
  <c r="R1275" i="7" s="1"/>
  <c r="S1275" i="7" s="1"/>
  <c r="Q1276" i="7"/>
  <c r="R1276" i="7" s="1"/>
  <c r="S1276" i="7" s="1"/>
  <c r="Q1277" i="7"/>
  <c r="R1277" i="7" s="1"/>
  <c r="S1277" i="7" s="1"/>
  <c r="Q1278" i="7"/>
  <c r="R1278" i="7" s="1"/>
  <c r="S1278" i="7" s="1"/>
  <c r="Q1279" i="7"/>
  <c r="R1279" i="7" s="1"/>
  <c r="S1279" i="7" s="1"/>
  <c r="Q1280" i="7"/>
  <c r="R1280" i="7" s="1"/>
  <c r="S1280" i="7" s="1"/>
  <c r="Q1281" i="7"/>
  <c r="R1281" i="7" s="1"/>
  <c r="S1281" i="7" s="1"/>
  <c r="Q1282" i="7"/>
  <c r="R1282" i="7" s="1"/>
  <c r="S1282" i="7" s="1"/>
  <c r="Q1283" i="7"/>
  <c r="R1283" i="7" s="1"/>
  <c r="S1283" i="7" s="1"/>
  <c r="Q1284" i="7"/>
  <c r="R1284" i="7" s="1"/>
  <c r="S1284" i="7" s="1"/>
  <c r="Q1285" i="7"/>
  <c r="R1285" i="7" s="1"/>
  <c r="S1285" i="7" s="1"/>
  <c r="Q1286" i="7"/>
  <c r="R1286" i="7" s="1"/>
  <c r="S1286" i="7" s="1"/>
  <c r="Q1287" i="7"/>
  <c r="R1287" i="7" s="1"/>
  <c r="S1287" i="7" s="1"/>
  <c r="Q1288" i="7"/>
  <c r="R1288" i="7" s="1"/>
  <c r="S1288" i="7" s="1"/>
  <c r="Q1289" i="7"/>
  <c r="R1289" i="7" s="1"/>
  <c r="S1289" i="7" s="1"/>
  <c r="Q1290" i="7"/>
  <c r="R1290" i="7" s="1"/>
  <c r="S1290" i="7" s="1"/>
  <c r="Q1291" i="7"/>
  <c r="R1291" i="7" s="1"/>
  <c r="S1291" i="7" s="1"/>
  <c r="Q1292" i="7"/>
  <c r="R1292" i="7" s="1"/>
  <c r="S1292" i="7" s="1"/>
  <c r="Q1293" i="7"/>
  <c r="R1293" i="7" s="1"/>
  <c r="S1293" i="7" s="1"/>
  <c r="Q1294" i="7"/>
  <c r="R1294" i="7" s="1"/>
  <c r="S1294" i="7" s="1"/>
  <c r="Q1295" i="7"/>
  <c r="R1295" i="7" s="1"/>
  <c r="S1295" i="7" s="1"/>
  <c r="Q1296" i="7"/>
  <c r="R1296" i="7" s="1"/>
  <c r="S1296" i="7" s="1"/>
  <c r="Q1297" i="7"/>
  <c r="R1297" i="7" s="1"/>
  <c r="S1297" i="7" s="1"/>
  <c r="Q1298" i="7"/>
  <c r="R1298" i="7" s="1"/>
  <c r="S1298" i="7" s="1"/>
  <c r="Q1299" i="7"/>
  <c r="R1299" i="7" s="1"/>
  <c r="S1299" i="7" s="1"/>
  <c r="Q1300" i="7"/>
  <c r="R1300" i="7" s="1"/>
  <c r="S1300" i="7" s="1"/>
  <c r="Q1301" i="7"/>
  <c r="R1301" i="7" s="1"/>
  <c r="S1301" i="7" s="1"/>
  <c r="Q1302" i="7"/>
  <c r="R1302" i="7" s="1"/>
  <c r="S1302" i="7" s="1"/>
  <c r="Q1303" i="7"/>
  <c r="R1303" i="7" s="1"/>
  <c r="S1303" i="7" s="1"/>
  <c r="Q1304" i="7"/>
  <c r="R1304" i="7" s="1"/>
  <c r="S1304" i="7" s="1"/>
  <c r="Q1305" i="7"/>
  <c r="R1305" i="7" s="1"/>
  <c r="S1305" i="7" s="1"/>
  <c r="Q1306" i="7"/>
  <c r="R1306" i="7" s="1"/>
  <c r="S1306" i="7" s="1"/>
  <c r="Q1307" i="7"/>
  <c r="R1307" i="7" s="1"/>
  <c r="S1307" i="7" s="1"/>
  <c r="Q1308" i="7"/>
  <c r="R1308" i="7" s="1"/>
  <c r="S1308" i="7" s="1"/>
  <c r="Q1309" i="7"/>
  <c r="R1309" i="7" s="1"/>
  <c r="S1309" i="7" s="1"/>
  <c r="Q1310" i="7"/>
  <c r="R1310" i="7" s="1"/>
  <c r="S1310" i="7" s="1"/>
  <c r="Q1311" i="7"/>
  <c r="R1311" i="7" s="1"/>
  <c r="S1311" i="7" s="1"/>
  <c r="Q1312" i="7"/>
  <c r="R1312" i="7" s="1"/>
  <c r="S1312" i="7" s="1"/>
  <c r="Q1313" i="7"/>
  <c r="R1313" i="7" s="1"/>
  <c r="S1313" i="7" s="1"/>
  <c r="Q1314" i="7"/>
  <c r="R1314" i="7" s="1"/>
  <c r="S1314" i="7" s="1"/>
  <c r="Q1315" i="7"/>
  <c r="R1315" i="7" s="1"/>
  <c r="S1315" i="7" s="1"/>
  <c r="Q1316" i="7"/>
  <c r="R1316" i="7" s="1"/>
  <c r="S1316" i="7" s="1"/>
  <c r="Q1317" i="7"/>
  <c r="R1317" i="7" s="1"/>
  <c r="S1317" i="7" s="1"/>
  <c r="Q1318" i="7"/>
  <c r="R1318" i="7" s="1"/>
  <c r="S1318" i="7" s="1"/>
  <c r="Q1319" i="7"/>
  <c r="R1319" i="7" s="1"/>
  <c r="S1319" i="7" s="1"/>
  <c r="Q1320" i="7"/>
  <c r="R1320" i="7" s="1"/>
  <c r="S1320" i="7" s="1"/>
  <c r="Q1321" i="7"/>
  <c r="R1321" i="7" s="1"/>
  <c r="S1321" i="7" s="1"/>
  <c r="Q1322" i="7"/>
  <c r="R1322" i="7" s="1"/>
  <c r="S1322" i="7" s="1"/>
  <c r="Q1323" i="7"/>
  <c r="R1323" i="7" s="1"/>
  <c r="S1323" i="7" s="1"/>
  <c r="Q1324" i="7"/>
  <c r="R1324" i="7" s="1"/>
  <c r="S1324" i="7" s="1"/>
  <c r="Q1325" i="7"/>
  <c r="R1325" i="7" s="1"/>
  <c r="S1325" i="7" s="1"/>
  <c r="Q1326" i="7"/>
  <c r="R1326" i="7" s="1"/>
  <c r="S1326" i="7" s="1"/>
  <c r="Q1327" i="7"/>
  <c r="R1327" i="7" s="1"/>
  <c r="S1327" i="7" s="1"/>
  <c r="Q1328" i="7"/>
  <c r="R1328" i="7" s="1"/>
  <c r="S1328" i="7" s="1"/>
  <c r="Q1329" i="7"/>
  <c r="R1329" i="7" s="1"/>
  <c r="S1329" i="7" s="1"/>
  <c r="Q1330" i="7"/>
  <c r="R1330" i="7" s="1"/>
  <c r="S1330" i="7" s="1"/>
  <c r="Q1331" i="7"/>
  <c r="R1331" i="7" s="1"/>
  <c r="S1331" i="7" s="1"/>
  <c r="Q1332" i="7"/>
  <c r="R1332" i="7" s="1"/>
  <c r="S1332" i="7" s="1"/>
  <c r="Q1333" i="7"/>
  <c r="R1333" i="7" s="1"/>
  <c r="S1333" i="7" s="1"/>
  <c r="Q1334" i="7"/>
  <c r="R1334" i="7" s="1"/>
  <c r="S1334" i="7" s="1"/>
  <c r="Q1335" i="7"/>
  <c r="R1335" i="7" s="1"/>
  <c r="S1335" i="7" s="1"/>
  <c r="Q1336" i="7"/>
  <c r="R1336" i="7" s="1"/>
  <c r="S1336" i="7" s="1"/>
  <c r="Q1337" i="7"/>
  <c r="R1337" i="7" s="1"/>
  <c r="S1337" i="7" s="1"/>
  <c r="Q1338" i="7"/>
  <c r="R1338" i="7" s="1"/>
  <c r="S1338" i="7" s="1"/>
  <c r="Q1339" i="7"/>
  <c r="R1339" i="7" s="1"/>
  <c r="S1339" i="7" s="1"/>
  <c r="Q1340" i="7"/>
  <c r="R1340" i="7" s="1"/>
  <c r="S1340" i="7" s="1"/>
  <c r="Q1341" i="7"/>
  <c r="R1341" i="7" s="1"/>
  <c r="S1341" i="7" s="1"/>
  <c r="Q1342" i="7"/>
  <c r="R1342" i="7" s="1"/>
  <c r="S1342" i="7" s="1"/>
  <c r="Q1343" i="7"/>
  <c r="R1343" i="7" s="1"/>
  <c r="S1343" i="7" s="1"/>
  <c r="Q1344" i="7"/>
  <c r="R1344" i="7" s="1"/>
  <c r="S1344" i="7" s="1"/>
  <c r="Q1345" i="7"/>
  <c r="R1345" i="7" s="1"/>
  <c r="S1345" i="7" s="1"/>
  <c r="Q1346" i="7"/>
  <c r="R1346" i="7" s="1"/>
  <c r="S1346" i="7" s="1"/>
  <c r="Q1347" i="7"/>
  <c r="R1347" i="7" s="1"/>
  <c r="S1347" i="7" s="1"/>
  <c r="Q1348" i="7"/>
  <c r="R1348" i="7" s="1"/>
  <c r="S1348" i="7" s="1"/>
  <c r="Q1349" i="7"/>
  <c r="R1349" i="7" s="1"/>
  <c r="S1349" i="7" s="1"/>
  <c r="Q1350" i="7"/>
  <c r="R1350" i="7" s="1"/>
  <c r="S1350" i="7" s="1"/>
  <c r="Q1351" i="7"/>
  <c r="R1351" i="7" s="1"/>
  <c r="S1351" i="7" s="1"/>
  <c r="Q1352" i="7"/>
  <c r="R1352" i="7" s="1"/>
  <c r="S1352" i="7" s="1"/>
  <c r="Q1353" i="7"/>
  <c r="R1353" i="7" s="1"/>
  <c r="S1353" i="7" s="1"/>
  <c r="Q1354" i="7"/>
  <c r="R1354" i="7" s="1"/>
  <c r="S1354" i="7" s="1"/>
  <c r="Q1355" i="7"/>
  <c r="R1355" i="7" s="1"/>
  <c r="S1355" i="7" s="1"/>
  <c r="Q1356" i="7"/>
  <c r="R1356" i="7" s="1"/>
  <c r="S1356" i="7" s="1"/>
  <c r="Q1357" i="7"/>
  <c r="R1357" i="7" s="1"/>
  <c r="S1357" i="7" s="1"/>
  <c r="Q1358" i="7"/>
  <c r="R1358" i="7" s="1"/>
  <c r="S1358" i="7" s="1"/>
  <c r="Q1359" i="7"/>
  <c r="R1359" i="7" s="1"/>
  <c r="S1359" i="7" s="1"/>
  <c r="Q1360" i="7"/>
  <c r="R1360" i="7" s="1"/>
  <c r="S1360" i="7" s="1"/>
  <c r="Q1361" i="7"/>
  <c r="R1361" i="7" s="1"/>
  <c r="S1361" i="7" s="1"/>
  <c r="Q1362" i="7"/>
  <c r="R1362" i="7" s="1"/>
  <c r="S1362" i="7" s="1"/>
  <c r="Q1363" i="7"/>
  <c r="R1363" i="7" s="1"/>
  <c r="S1363" i="7" s="1"/>
  <c r="Q1364" i="7"/>
  <c r="R1364" i="7" s="1"/>
  <c r="S1364" i="7" s="1"/>
  <c r="Q1365" i="7"/>
  <c r="R1365" i="7" s="1"/>
  <c r="S1365" i="7" s="1"/>
  <c r="Q1366" i="7"/>
  <c r="R1366" i="7" s="1"/>
  <c r="S1366" i="7" s="1"/>
  <c r="Q1367" i="7"/>
  <c r="R1367" i="7" s="1"/>
  <c r="S1367" i="7" s="1"/>
  <c r="Q1368" i="7"/>
  <c r="R1368" i="7" s="1"/>
  <c r="S1368" i="7" s="1"/>
  <c r="Q1369" i="7"/>
  <c r="R1369" i="7" s="1"/>
  <c r="S1369" i="7" s="1"/>
  <c r="Q1370" i="7"/>
  <c r="R1370" i="7" s="1"/>
  <c r="S1370" i="7" s="1"/>
  <c r="Q1371" i="7"/>
  <c r="R1371" i="7" s="1"/>
  <c r="S1371" i="7" s="1"/>
  <c r="Q1372" i="7"/>
  <c r="R1372" i="7" s="1"/>
  <c r="S1372" i="7" s="1"/>
  <c r="Q1373" i="7"/>
  <c r="R1373" i="7" s="1"/>
  <c r="S1373" i="7" s="1"/>
  <c r="Q1374" i="7"/>
  <c r="R1374" i="7" s="1"/>
  <c r="S1374" i="7" s="1"/>
  <c r="Q1375" i="7"/>
  <c r="R1375" i="7" s="1"/>
  <c r="S1375" i="7" s="1"/>
  <c r="Q1376" i="7"/>
  <c r="R1376" i="7" s="1"/>
  <c r="S1376" i="7" s="1"/>
  <c r="Q1377" i="7"/>
  <c r="R1377" i="7" s="1"/>
  <c r="S1377" i="7" s="1"/>
  <c r="Q1378" i="7"/>
  <c r="R1378" i="7" s="1"/>
  <c r="S1378" i="7" s="1"/>
  <c r="Q1379" i="7"/>
  <c r="R1379" i="7" s="1"/>
  <c r="S1379" i="7" s="1"/>
  <c r="Q1380" i="7"/>
  <c r="R1380" i="7" s="1"/>
  <c r="S1380" i="7" s="1"/>
  <c r="Q1381" i="7"/>
  <c r="R1381" i="7" s="1"/>
  <c r="S1381" i="7" s="1"/>
  <c r="Q1382" i="7"/>
  <c r="R1382" i="7" s="1"/>
  <c r="S1382" i="7" s="1"/>
  <c r="Q1383" i="7"/>
  <c r="R1383" i="7" s="1"/>
  <c r="S1383" i="7" s="1"/>
  <c r="Q1384" i="7"/>
  <c r="R1384" i="7" s="1"/>
  <c r="S1384" i="7" s="1"/>
  <c r="Q1385" i="7"/>
  <c r="R1385" i="7" s="1"/>
  <c r="S1385" i="7" s="1"/>
  <c r="Q1386" i="7"/>
  <c r="R1386" i="7" s="1"/>
  <c r="S1386" i="7" s="1"/>
  <c r="Q1387" i="7"/>
  <c r="R1387" i="7" s="1"/>
  <c r="S1387" i="7" s="1"/>
  <c r="Q1388" i="7"/>
  <c r="R1388" i="7" s="1"/>
  <c r="S1388" i="7" s="1"/>
  <c r="Q1389" i="7"/>
  <c r="R1389" i="7" s="1"/>
  <c r="S1389" i="7" s="1"/>
  <c r="Q1390" i="7"/>
  <c r="R1390" i="7" s="1"/>
  <c r="S1390" i="7" s="1"/>
  <c r="Q1391" i="7"/>
  <c r="R1391" i="7" s="1"/>
  <c r="S1391" i="7" s="1"/>
  <c r="Q1392" i="7"/>
  <c r="R1392" i="7" s="1"/>
  <c r="S1392" i="7" s="1"/>
  <c r="Q1393" i="7"/>
  <c r="R1393" i="7" s="1"/>
  <c r="S1393" i="7" s="1"/>
  <c r="Q1394" i="7"/>
  <c r="R1394" i="7" s="1"/>
  <c r="S1394" i="7" s="1"/>
  <c r="Q1395" i="7"/>
  <c r="R1395" i="7" s="1"/>
  <c r="S1395" i="7" s="1"/>
  <c r="Q1396" i="7"/>
  <c r="R1396" i="7" s="1"/>
  <c r="S1396" i="7" s="1"/>
  <c r="Q1397" i="7"/>
  <c r="R1397" i="7" s="1"/>
  <c r="S1397" i="7" s="1"/>
  <c r="Q1398" i="7"/>
  <c r="R1398" i="7" s="1"/>
  <c r="S1398" i="7" s="1"/>
  <c r="Q1399" i="7"/>
  <c r="R1399" i="7" s="1"/>
  <c r="S1399" i="7" s="1"/>
  <c r="Q1400" i="7"/>
  <c r="R1400" i="7" s="1"/>
  <c r="S1400" i="7" s="1"/>
  <c r="Q1401" i="7"/>
  <c r="R1401" i="7" s="1"/>
  <c r="S1401" i="7" s="1"/>
  <c r="Q1402" i="7"/>
  <c r="R1402" i="7" s="1"/>
  <c r="S1402" i="7" s="1"/>
  <c r="Q1403" i="7"/>
  <c r="R1403" i="7" s="1"/>
  <c r="S1403" i="7" s="1"/>
  <c r="Q1404" i="7"/>
  <c r="R1404" i="7" s="1"/>
  <c r="S1404" i="7" s="1"/>
  <c r="Q1405" i="7"/>
  <c r="R1405" i="7" s="1"/>
  <c r="S1405" i="7" s="1"/>
  <c r="Q1406" i="7"/>
  <c r="R1406" i="7" s="1"/>
  <c r="S1406" i="7" s="1"/>
  <c r="Q1407" i="7"/>
  <c r="R1407" i="7" s="1"/>
  <c r="S1407" i="7" s="1"/>
  <c r="Q1408" i="7"/>
  <c r="R1408" i="7" s="1"/>
  <c r="S1408" i="7" s="1"/>
  <c r="Q1409" i="7"/>
  <c r="R1409" i="7" s="1"/>
  <c r="S1409" i="7" s="1"/>
  <c r="Q1410" i="7"/>
  <c r="R1410" i="7" s="1"/>
  <c r="S1410" i="7" s="1"/>
  <c r="Q1411" i="7"/>
  <c r="R1411" i="7" s="1"/>
  <c r="S1411" i="7" s="1"/>
  <c r="Q1412" i="7"/>
  <c r="R1412" i="7" s="1"/>
  <c r="S1412" i="7" s="1"/>
  <c r="Q1413" i="7"/>
  <c r="R1413" i="7" s="1"/>
  <c r="S1413" i="7" s="1"/>
  <c r="Q1414" i="7"/>
  <c r="R1414" i="7" s="1"/>
  <c r="S1414" i="7" s="1"/>
  <c r="Q1415" i="7"/>
  <c r="R1415" i="7" s="1"/>
  <c r="S1415" i="7" s="1"/>
  <c r="Q1416" i="7"/>
  <c r="R1416" i="7" s="1"/>
  <c r="S1416" i="7" s="1"/>
  <c r="Q1417" i="7"/>
  <c r="R1417" i="7" s="1"/>
  <c r="S1417" i="7" s="1"/>
  <c r="Q1418" i="7"/>
  <c r="R1418" i="7" s="1"/>
  <c r="S1418" i="7" s="1"/>
  <c r="Q1419" i="7"/>
  <c r="R1419" i="7" s="1"/>
  <c r="S1419" i="7" s="1"/>
  <c r="Q1420" i="7"/>
  <c r="R1420" i="7" s="1"/>
  <c r="S1420" i="7" s="1"/>
  <c r="Q1421" i="7"/>
  <c r="R1421" i="7" s="1"/>
  <c r="S1421" i="7" s="1"/>
  <c r="Q1422" i="7"/>
  <c r="R1422" i="7" s="1"/>
  <c r="S1422" i="7" s="1"/>
  <c r="Q1423" i="7"/>
  <c r="R1423" i="7" s="1"/>
  <c r="S1423" i="7" s="1"/>
  <c r="Q1424" i="7"/>
  <c r="R1424" i="7" s="1"/>
  <c r="S1424" i="7" s="1"/>
  <c r="Q1425" i="7"/>
  <c r="R1425" i="7" s="1"/>
  <c r="S1425" i="7" s="1"/>
  <c r="Q1426" i="7"/>
  <c r="R1426" i="7" s="1"/>
  <c r="S1426" i="7" s="1"/>
  <c r="Q1427" i="7"/>
  <c r="R1427" i="7" s="1"/>
  <c r="S1427" i="7" s="1"/>
  <c r="Q1428" i="7"/>
  <c r="R1428" i="7" s="1"/>
  <c r="S1428" i="7" s="1"/>
  <c r="Q1429" i="7"/>
  <c r="R1429" i="7" s="1"/>
  <c r="S1429" i="7" s="1"/>
  <c r="Q1430" i="7"/>
  <c r="R1430" i="7" s="1"/>
  <c r="S1430" i="7" s="1"/>
  <c r="Q1431" i="7"/>
  <c r="R1431" i="7" s="1"/>
  <c r="S1431" i="7" s="1"/>
  <c r="Q1432" i="7"/>
  <c r="R1432" i="7" s="1"/>
  <c r="S1432" i="7" s="1"/>
  <c r="Q1433" i="7"/>
  <c r="R1433" i="7" s="1"/>
  <c r="S1433" i="7" s="1"/>
  <c r="Q1434" i="7"/>
  <c r="R1434" i="7" s="1"/>
  <c r="S1434" i="7" s="1"/>
  <c r="Q1435" i="7"/>
  <c r="R1435" i="7" s="1"/>
  <c r="S1435" i="7" s="1"/>
  <c r="Q1436" i="7"/>
  <c r="R1436" i="7" s="1"/>
  <c r="S1436" i="7" s="1"/>
  <c r="Q1437" i="7"/>
  <c r="R1437" i="7" s="1"/>
  <c r="S1437" i="7" s="1"/>
  <c r="Q1438" i="7"/>
  <c r="R1438" i="7" s="1"/>
  <c r="S1438" i="7" s="1"/>
  <c r="Q1439" i="7"/>
  <c r="R1439" i="7" s="1"/>
  <c r="S1439" i="7" s="1"/>
  <c r="Q1440" i="7"/>
  <c r="R1440" i="7" s="1"/>
  <c r="S1440" i="7" s="1"/>
  <c r="Q1441" i="7"/>
  <c r="R1441" i="7" s="1"/>
  <c r="S1441" i="7" s="1"/>
  <c r="Q1442" i="7"/>
  <c r="R1442" i="7" s="1"/>
  <c r="S1442" i="7" s="1"/>
  <c r="Q1443" i="7"/>
  <c r="R1443" i="7" s="1"/>
  <c r="S1443" i="7" s="1"/>
  <c r="Q1444" i="7"/>
  <c r="R1444" i="7" s="1"/>
  <c r="S1444" i="7" s="1"/>
  <c r="Q1445" i="7"/>
  <c r="R1445" i="7" s="1"/>
  <c r="S1445" i="7" s="1"/>
  <c r="Q1446" i="7"/>
  <c r="R1446" i="7" s="1"/>
  <c r="S1446" i="7" s="1"/>
  <c r="Q1447" i="7"/>
  <c r="R1447" i="7" s="1"/>
  <c r="S1447" i="7" s="1"/>
  <c r="Q1448" i="7"/>
  <c r="R1448" i="7" s="1"/>
  <c r="S1448" i="7" s="1"/>
  <c r="Q1449" i="7"/>
  <c r="R1449" i="7" s="1"/>
  <c r="S1449" i="7" s="1"/>
  <c r="Q1450" i="7"/>
  <c r="R1450" i="7" s="1"/>
  <c r="S1450" i="7" s="1"/>
  <c r="Q1451" i="7"/>
  <c r="R1451" i="7" s="1"/>
  <c r="S1451" i="7" s="1"/>
  <c r="Q1452" i="7"/>
  <c r="R1452" i="7" s="1"/>
  <c r="S1452" i="7" s="1"/>
  <c r="Q1453" i="7"/>
  <c r="R1453" i="7" s="1"/>
  <c r="S1453" i="7" s="1"/>
  <c r="Q1454" i="7"/>
  <c r="R1454" i="7" s="1"/>
  <c r="Q1455" i="7"/>
  <c r="R1455" i="7" s="1"/>
  <c r="S1455" i="7" s="1"/>
  <c r="Q1456" i="7"/>
  <c r="R1456" i="7" s="1"/>
  <c r="S1456" i="7" s="1"/>
  <c r="Q1457" i="7"/>
  <c r="R1457" i="7" s="1"/>
  <c r="S1457" i="7" s="1"/>
  <c r="Q1458" i="7"/>
  <c r="R1458" i="7" s="1"/>
  <c r="S1458" i="7" s="1"/>
  <c r="Q1459" i="7"/>
  <c r="R1459" i="7" s="1"/>
  <c r="S1459" i="7" s="1"/>
  <c r="Q1460" i="7"/>
  <c r="R1460" i="7" s="1"/>
  <c r="S1460" i="7" s="1"/>
  <c r="Q1461" i="7"/>
  <c r="R1461" i="7" s="1"/>
  <c r="S1461" i="7" s="1"/>
  <c r="Q1462" i="7"/>
  <c r="R1462" i="7" s="1"/>
  <c r="S1462" i="7" s="1"/>
  <c r="Q1463" i="7"/>
  <c r="R1463" i="7" s="1"/>
  <c r="S1463" i="7" s="1"/>
  <c r="Q1464" i="7"/>
  <c r="R1464" i="7" s="1"/>
  <c r="S1464" i="7" s="1"/>
  <c r="Q1465" i="7"/>
  <c r="R1465" i="7" s="1"/>
  <c r="S1465" i="7" s="1"/>
  <c r="Q1466" i="7"/>
  <c r="R1466" i="7" s="1"/>
  <c r="S1466" i="7" s="1"/>
  <c r="Q1467" i="7"/>
  <c r="R1467" i="7" s="1"/>
  <c r="S1467" i="7" s="1"/>
  <c r="Q1468" i="7"/>
  <c r="R1468" i="7" s="1"/>
  <c r="S1468" i="7" s="1"/>
  <c r="Q1469" i="7"/>
  <c r="R1469" i="7" s="1"/>
  <c r="S1469" i="7" s="1"/>
  <c r="Q1470" i="7"/>
  <c r="R1470" i="7" s="1"/>
  <c r="S1470" i="7" s="1"/>
  <c r="Q1471" i="7"/>
  <c r="R1471" i="7" s="1"/>
  <c r="S1471" i="7" s="1"/>
  <c r="Q1472" i="7"/>
  <c r="R1472" i="7" s="1"/>
  <c r="S1472" i="7" s="1"/>
  <c r="Q1473" i="7"/>
  <c r="R1473" i="7" s="1"/>
  <c r="S1473" i="7" s="1"/>
  <c r="Q1474" i="7"/>
  <c r="R1474" i="7" s="1"/>
  <c r="S1474" i="7" s="1"/>
  <c r="Q1475" i="7"/>
  <c r="R1475" i="7" s="1"/>
  <c r="S1475" i="7" s="1"/>
  <c r="Q1476" i="7"/>
  <c r="R1476" i="7" s="1"/>
  <c r="S1476" i="7" s="1"/>
  <c r="Q1477" i="7"/>
  <c r="R1477" i="7" s="1"/>
  <c r="S1477" i="7" s="1"/>
  <c r="Q1478" i="7"/>
  <c r="R1478" i="7" s="1"/>
  <c r="S1478" i="7" s="1"/>
  <c r="Q1479" i="7"/>
  <c r="R1479" i="7" s="1"/>
  <c r="S1479" i="7" s="1"/>
  <c r="Q1480" i="7"/>
  <c r="R1480" i="7" s="1"/>
  <c r="S1480" i="7" s="1"/>
  <c r="Q1481" i="7"/>
  <c r="R1481" i="7" s="1"/>
  <c r="S1481" i="7" s="1"/>
  <c r="Q1482" i="7"/>
  <c r="R1482" i="7" s="1"/>
  <c r="S1482" i="7" s="1"/>
  <c r="Q1483" i="7"/>
  <c r="R1483" i="7" s="1"/>
  <c r="S1483" i="7" s="1"/>
  <c r="Q1484" i="7"/>
  <c r="R1484" i="7" s="1"/>
  <c r="S1484" i="7" s="1"/>
  <c r="Q1485" i="7"/>
  <c r="R1485" i="7" s="1"/>
  <c r="S1485" i="7" s="1"/>
  <c r="Q1486" i="7"/>
  <c r="R1486" i="7" s="1"/>
  <c r="S1486" i="7" s="1"/>
  <c r="Q1487" i="7"/>
  <c r="R1487" i="7" s="1"/>
  <c r="S1487" i="7" s="1"/>
  <c r="Q1488" i="7"/>
  <c r="R1488" i="7" s="1"/>
  <c r="S1488" i="7" s="1"/>
  <c r="Q1489" i="7"/>
  <c r="R1489" i="7" s="1"/>
  <c r="S1489" i="7" s="1"/>
  <c r="Q1490" i="7"/>
  <c r="R1490" i="7" s="1"/>
  <c r="S1490" i="7" s="1"/>
  <c r="Q1491" i="7"/>
  <c r="R1491" i="7" s="1"/>
  <c r="S1491" i="7" s="1"/>
  <c r="Q1492" i="7"/>
  <c r="R1492" i="7" s="1"/>
  <c r="S1492" i="7" s="1"/>
  <c r="Q1493" i="7"/>
  <c r="R1493" i="7" s="1"/>
  <c r="S1493" i="7" s="1"/>
  <c r="Q1494" i="7"/>
  <c r="R1494" i="7" s="1"/>
  <c r="S1494" i="7" s="1"/>
  <c r="Q1495" i="7"/>
  <c r="R1495" i="7" s="1"/>
  <c r="S1495" i="7" s="1"/>
  <c r="Q1496" i="7"/>
  <c r="R1496" i="7" s="1"/>
  <c r="S1496" i="7" s="1"/>
  <c r="Q1497" i="7"/>
  <c r="R1497" i="7" s="1"/>
  <c r="S1497" i="7" s="1"/>
  <c r="Q1498" i="7"/>
  <c r="R1498" i="7" s="1"/>
  <c r="S1498" i="7" s="1"/>
  <c r="Q1499" i="7"/>
  <c r="R1499" i="7" s="1"/>
  <c r="S1499" i="7" s="1"/>
  <c r="Q1500" i="7"/>
  <c r="R1500" i="7" s="1"/>
  <c r="S1500" i="7" s="1"/>
  <c r="Q1501" i="7"/>
  <c r="R1501" i="7" s="1"/>
  <c r="S1501" i="7" s="1"/>
  <c r="Q1502" i="7"/>
  <c r="R1502" i="7" s="1"/>
  <c r="S1502" i="7" s="1"/>
  <c r="Q1503" i="7"/>
  <c r="R1503" i="7" s="1"/>
  <c r="S1503" i="7" s="1"/>
  <c r="Q1504" i="7"/>
  <c r="R1504" i="7" s="1"/>
  <c r="S1504" i="7" s="1"/>
  <c r="Q1505" i="7"/>
  <c r="R1505" i="7" s="1"/>
  <c r="S1505" i="7" s="1"/>
  <c r="Q1506" i="7"/>
  <c r="R1506" i="7" s="1"/>
  <c r="S1506" i="7" s="1"/>
  <c r="Q1507" i="7"/>
  <c r="R1507" i="7" s="1"/>
  <c r="S1507" i="7" s="1"/>
  <c r="Q1508" i="7"/>
  <c r="R1508" i="7" s="1"/>
  <c r="S1508" i="7" s="1"/>
  <c r="Q1509" i="7"/>
  <c r="R1509" i="7" s="1"/>
  <c r="S1509" i="7" s="1"/>
  <c r="Q1510" i="7"/>
  <c r="R1510" i="7" s="1"/>
  <c r="S1510" i="7" s="1"/>
  <c r="Q1511" i="7"/>
  <c r="R1511" i="7" s="1"/>
  <c r="S1511" i="7" s="1"/>
  <c r="Q1512" i="7"/>
  <c r="R1512" i="7" s="1"/>
  <c r="S1512" i="7" s="1"/>
  <c r="Q1513" i="7"/>
  <c r="R1513" i="7" s="1"/>
  <c r="S1513" i="7" s="1"/>
  <c r="Q1514" i="7"/>
  <c r="R1514" i="7" s="1"/>
  <c r="S1514" i="7" s="1"/>
  <c r="Q1515" i="7"/>
  <c r="R1515" i="7" s="1"/>
  <c r="S1515" i="7" s="1"/>
  <c r="Q1516" i="7"/>
  <c r="R1516" i="7" s="1"/>
  <c r="S1516" i="7" s="1"/>
  <c r="Q1517" i="7"/>
  <c r="R1517" i="7" s="1"/>
  <c r="S1517" i="7" s="1"/>
  <c r="Q1518" i="7"/>
  <c r="R1518" i="7" s="1"/>
  <c r="S1518" i="7" s="1"/>
  <c r="Q1519" i="7"/>
  <c r="R1519" i="7" s="1"/>
  <c r="S1519" i="7" s="1"/>
  <c r="Q1520" i="7"/>
  <c r="R1520" i="7" s="1"/>
  <c r="S1520" i="7" s="1"/>
  <c r="Q1521" i="7"/>
  <c r="R1521" i="7" s="1"/>
  <c r="S1521" i="7" s="1"/>
  <c r="Q1522" i="7"/>
  <c r="R1522" i="7" s="1"/>
  <c r="S1522" i="7" s="1"/>
  <c r="Q1523" i="7"/>
  <c r="R1523" i="7" s="1"/>
  <c r="S1523" i="7" s="1"/>
  <c r="Q1524" i="7"/>
  <c r="R1524" i="7" s="1"/>
  <c r="S1524" i="7" s="1"/>
  <c r="Q1525" i="7"/>
  <c r="R1525" i="7" s="1"/>
  <c r="S1525" i="7" s="1"/>
  <c r="Q1526" i="7"/>
  <c r="R1526" i="7" s="1"/>
  <c r="S1526" i="7" s="1"/>
  <c r="Q1527" i="7"/>
  <c r="R1527" i="7" s="1"/>
  <c r="S1527" i="7" s="1"/>
  <c r="Q1528" i="7"/>
  <c r="R1528" i="7" s="1"/>
  <c r="S1528" i="7" s="1"/>
  <c r="Q1529" i="7"/>
  <c r="R1529" i="7" s="1"/>
  <c r="S1529" i="7" s="1"/>
  <c r="Q1530" i="7"/>
  <c r="R1530" i="7" s="1"/>
  <c r="S1530" i="7" s="1"/>
  <c r="Q1531" i="7"/>
  <c r="R1531" i="7" s="1"/>
  <c r="S1531" i="7" s="1"/>
  <c r="Q1532" i="7"/>
  <c r="R1532" i="7" s="1"/>
  <c r="S1532" i="7" s="1"/>
  <c r="Q1533" i="7"/>
  <c r="R1533" i="7" s="1"/>
  <c r="S1533" i="7" s="1"/>
  <c r="Q1534" i="7"/>
  <c r="R1534" i="7" s="1"/>
  <c r="S1534" i="7" s="1"/>
  <c r="Q1535" i="7"/>
  <c r="R1535" i="7" s="1"/>
  <c r="S1535" i="7" s="1"/>
  <c r="Q1536" i="7"/>
  <c r="R1536" i="7" s="1"/>
  <c r="S1536" i="7" s="1"/>
  <c r="Q1537" i="7"/>
  <c r="R1537" i="7" s="1"/>
  <c r="S1537" i="7" s="1"/>
  <c r="Q1538" i="7"/>
  <c r="R1538" i="7" s="1"/>
  <c r="S1538" i="7" s="1"/>
  <c r="Q1539" i="7"/>
  <c r="R1539" i="7" s="1"/>
  <c r="S1539" i="7" s="1"/>
  <c r="Q1540" i="7"/>
  <c r="R1540" i="7" s="1"/>
  <c r="S1540" i="7" s="1"/>
  <c r="Q1541" i="7"/>
  <c r="R1541" i="7" s="1"/>
  <c r="S1541" i="7" s="1"/>
  <c r="Q1542" i="7"/>
  <c r="R1542" i="7" s="1"/>
  <c r="S1542" i="7" s="1"/>
  <c r="Q1543" i="7"/>
  <c r="R1543" i="7" s="1"/>
  <c r="S1543" i="7" s="1"/>
  <c r="Q1544" i="7"/>
  <c r="R1544" i="7" s="1"/>
  <c r="S1544" i="7" s="1"/>
  <c r="Q1545" i="7"/>
  <c r="R1545" i="7" s="1"/>
  <c r="S1545" i="7" s="1"/>
  <c r="Q1546" i="7"/>
  <c r="R1546" i="7" s="1"/>
  <c r="S1546" i="7" s="1"/>
  <c r="Q1547" i="7"/>
  <c r="R1547" i="7" s="1"/>
  <c r="S1547" i="7" s="1"/>
  <c r="Q1548" i="7"/>
  <c r="R1548" i="7" s="1"/>
  <c r="S1548" i="7" s="1"/>
  <c r="Q1549" i="7"/>
  <c r="R1549" i="7" s="1"/>
  <c r="S1549" i="7" s="1"/>
  <c r="Q1550" i="7"/>
  <c r="R1550" i="7" s="1"/>
  <c r="S1550" i="7" s="1"/>
  <c r="Q1551" i="7"/>
  <c r="R1551" i="7" s="1"/>
  <c r="S1551" i="7" s="1"/>
  <c r="Q1552" i="7"/>
  <c r="R1552" i="7" s="1"/>
  <c r="S1552" i="7" s="1"/>
  <c r="Q1553" i="7"/>
  <c r="R1553" i="7" s="1"/>
  <c r="S1553" i="7" s="1"/>
  <c r="Q1554" i="7"/>
  <c r="R1554" i="7" s="1"/>
  <c r="S1554" i="7" s="1"/>
  <c r="Q1555" i="7"/>
  <c r="R1555" i="7" s="1"/>
  <c r="S1555" i="7" s="1"/>
  <c r="Q1556" i="7"/>
  <c r="R1556" i="7" s="1"/>
  <c r="S1556" i="7" s="1"/>
  <c r="Q1557" i="7"/>
  <c r="R1557" i="7" s="1"/>
  <c r="S1557" i="7" s="1"/>
  <c r="Q1558" i="7"/>
  <c r="R1558" i="7" s="1"/>
  <c r="S1558" i="7" s="1"/>
  <c r="Q1559" i="7"/>
  <c r="R1559" i="7" s="1"/>
  <c r="S1559" i="7" s="1"/>
  <c r="Q1560" i="7"/>
  <c r="R1560" i="7" s="1"/>
  <c r="S1560" i="7" s="1"/>
  <c r="Q1561" i="7"/>
  <c r="R1561" i="7" s="1"/>
  <c r="S1561" i="7" s="1"/>
  <c r="Q1562" i="7"/>
  <c r="R1562" i="7" s="1"/>
  <c r="S1562" i="7" s="1"/>
  <c r="Q1563" i="7"/>
  <c r="R1563" i="7" s="1"/>
  <c r="S1563" i="7" s="1"/>
  <c r="Q1564" i="7"/>
  <c r="R1564" i="7" s="1"/>
  <c r="S1564" i="7" s="1"/>
  <c r="Q1565" i="7"/>
  <c r="R1565" i="7" s="1"/>
  <c r="S1565" i="7" s="1"/>
  <c r="Q1566" i="7"/>
  <c r="R1566" i="7" s="1"/>
  <c r="S1566" i="7" s="1"/>
  <c r="Q1567" i="7"/>
  <c r="R1567" i="7" s="1"/>
  <c r="S1567" i="7" s="1"/>
  <c r="Q1568" i="7"/>
  <c r="R1568" i="7" s="1"/>
  <c r="S1568" i="7" s="1"/>
  <c r="Q1569" i="7"/>
  <c r="R1569" i="7" s="1"/>
  <c r="S1569" i="7" s="1"/>
  <c r="Q1570" i="7"/>
  <c r="R1570" i="7" s="1"/>
  <c r="S1570" i="7" s="1"/>
  <c r="Q1571" i="7"/>
  <c r="R1571" i="7" s="1"/>
  <c r="S1571" i="7" s="1"/>
  <c r="Q1572" i="7"/>
  <c r="R1572" i="7" s="1"/>
  <c r="S1572" i="7" s="1"/>
  <c r="Q1573" i="7"/>
  <c r="R1573" i="7" s="1"/>
  <c r="S1573" i="7" s="1"/>
  <c r="Q1574" i="7"/>
  <c r="R1574" i="7" s="1"/>
  <c r="S1574" i="7" s="1"/>
  <c r="Q1575" i="7"/>
  <c r="R1575" i="7" s="1"/>
  <c r="S1575" i="7" s="1"/>
  <c r="Q1576" i="7"/>
  <c r="R1576" i="7" s="1"/>
  <c r="S1576" i="7" s="1"/>
  <c r="Q1577" i="7"/>
  <c r="R1577" i="7" s="1"/>
  <c r="S1577" i="7" s="1"/>
  <c r="Q1578" i="7"/>
  <c r="R1578" i="7" s="1"/>
  <c r="S1578" i="7" s="1"/>
  <c r="Q1579" i="7"/>
  <c r="R1579" i="7" s="1"/>
  <c r="S1579" i="7" s="1"/>
  <c r="Q1580" i="7"/>
  <c r="R1580" i="7" s="1"/>
  <c r="S1580" i="7" s="1"/>
  <c r="Q1581" i="7"/>
  <c r="R1581" i="7" s="1"/>
  <c r="S1581" i="7" s="1"/>
  <c r="Q1582" i="7"/>
  <c r="R1582" i="7" s="1"/>
  <c r="S1582" i="7" s="1"/>
  <c r="Q1583" i="7"/>
  <c r="R1583" i="7" s="1"/>
  <c r="S1583" i="7" s="1"/>
  <c r="Q1584" i="7"/>
  <c r="R1584" i="7" s="1"/>
  <c r="S1584" i="7" s="1"/>
  <c r="Q1585" i="7"/>
  <c r="R1585" i="7" s="1"/>
  <c r="S1585" i="7" s="1"/>
  <c r="Q1586" i="7"/>
  <c r="R1586" i="7" s="1"/>
  <c r="S1586" i="7" s="1"/>
  <c r="Q1587" i="7"/>
  <c r="R1587" i="7" s="1"/>
  <c r="S1587" i="7" s="1"/>
  <c r="Q1588" i="7"/>
  <c r="R1588" i="7" s="1"/>
  <c r="S1588" i="7" s="1"/>
  <c r="Q1589" i="7"/>
  <c r="R1589" i="7" s="1"/>
  <c r="S1589" i="7" s="1"/>
  <c r="Q1590" i="7"/>
  <c r="R1590" i="7" s="1"/>
  <c r="S1590" i="7" s="1"/>
  <c r="Q1591" i="7"/>
  <c r="R1591" i="7" s="1"/>
  <c r="S1591" i="7" s="1"/>
  <c r="Q1592" i="7"/>
  <c r="R1592" i="7" s="1"/>
  <c r="S1592" i="7" s="1"/>
  <c r="Q1593" i="7"/>
  <c r="R1593" i="7" s="1"/>
  <c r="S1593" i="7" s="1"/>
  <c r="Q1594" i="7"/>
  <c r="R1594" i="7" s="1"/>
  <c r="S1594" i="7" s="1"/>
  <c r="Q1595" i="7"/>
  <c r="R1595" i="7" s="1"/>
  <c r="S1595" i="7" s="1"/>
  <c r="Q1596" i="7"/>
  <c r="R1596" i="7" s="1"/>
  <c r="S1596" i="7" s="1"/>
  <c r="Q1597" i="7"/>
  <c r="R1597" i="7" s="1"/>
  <c r="S1597" i="7" s="1"/>
  <c r="Q1598" i="7"/>
  <c r="R1598" i="7" s="1"/>
  <c r="S1598" i="7" s="1"/>
  <c r="Q1599" i="7"/>
  <c r="R1599" i="7" s="1"/>
  <c r="S1599" i="7" s="1"/>
  <c r="Q1600" i="7"/>
  <c r="R1600" i="7" s="1"/>
  <c r="S1600" i="7" s="1"/>
  <c r="Q1601" i="7"/>
  <c r="R1601" i="7" s="1"/>
  <c r="S1601" i="7" s="1"/>
  <c r="Q1602" i="7"/>
  <c r="R1602" i="7" s="1"/>
  <c r="S1602" i="7" s="1"/>
  <c r="Q1603" i="7"/>
  <c r="R1603" i="7" s="1"/>
  <c r="S1603" i="7" s="1"/>
  <c r="Q1604" i="7"/>
  <c r="R1604" i="7" s="1"/>
  <c r="S1604" i="7" s="1"/>
  <c r="Q1605" i="7"/>
  <c r="R1605" i="7" s="1"/>
  <c r="S1605" i="7" s="1"/>
  <c r="Q1606" i="7"/>
  <c r="R1606" i="7" s="1"/>
  <c r="S1606" i="7" s="1"/>
  <c r="Q1607" i="7"/>
  <c r="R1607" i="7" s="1"/>
  <c r="S1607" i="7" s="1"/>
  <c r="Q1608" i="7"/>
  <c r="R1608" i="7" s="1"/>
  <c r="S1608" i="7" s="1"/>
  <c r="Q1609" i="7"/>
  <c r="R1609" i="7" s="1"/>
  <c r="S1609" i="7" s="1"/>
  <c r="Q1610" i="7"/>
  <c r="R1610" i="7" s="1"/>
  <c r="S1610" i="7" s="1"/>
  <c r="Q1611" i="7"/>
  <c r="R1611" i="7" s="1"/>
  <c r="S1611" i="7" s="1"/>
  <c r="Q1612" i="7"/>
  <c r="R1612" i="7" s="1"/>
  <c r="S1612" i="7" s="1"/>
  <c r="Q1613" i="7"/>
  <c r="R1613" i="7" s="1"/>
  <c r="S1613" i="7" s="1"/>
  <c r="Q1614" i="7"/>
  <c r="R1614" i="7" s="1"/>
  <c r="S1614" i="7" s="1"/>
  <c r="Q1615" i="7"/>
  <c r="R1615" i="7" s="1"/>
  <c r="S1615" i="7" s="1"/>
  <c r="Q1616" i="7"/>
  <c r="R1616" i="7" s="1"/>
  <c r="S1616" i="7" s="1"/>
  <c r="Q1617" i="7"/>
  <c r="R1617" i="7" s="1"/>
  <c r="S1617" i="7" s="1"/>
  <c r="Q1618" i="7"/>
  <c r="R1618" i="7" s="1"/>
  <c r="S1618" i="7" s="1"/>
  <c r="Q1619" i="7"/>
  <c r="R1619" i="7" s="1"/>
  <c r="S1619" i="7" s="1"/>
  <c r="Q1620" i="7"/>
  <c r="R1620" i="7" s="1"/>
  <c r="S1620" i="7" s="1"/>
  <c r="Q1621" i="7"/>
  <c r="R1621" i="7" s="1"/>
  <c r="S1621" i="7" s="1"/>
  <c r="Q1622" i="7"/>
  <c r="R1622" i="7" s="1"/>
  <c r="S1622" i="7" s="1"/>
  <c r="Q1623" i="7"/>
  <c r="R1623" i="7" s="1"/>
  <c r="S1623" i="7" s="1"/>
  <c r="Q1624" i="7"/>
  <c r="R1624" i="7" s="1"/>
  <c r="S1624" i="7" s="1"/>
  <c r="Q1625" i="7"/>
  <c r="R1625" i="7" s="1"/>
  <c r="S1625" i="7" s="1"/>
  <c r="Q1626" i="7"/>
  <c r="R1626" i="7" s="1"/>
  <c r="S1626" i="7" s="1"/>
  <c r="Q1627" i="7"/>
  <c r="R1627" i="7" s="1"/>
  <c r="S1627" i="7" s="1"/>
  <c r="Q1628" i="7"/>
  <c r="R1628" i="7" s="1"/>
  <c r="S1628" i="7" s="1"/>
  <c r="Q1629" i="7"/>
  <c r="R1629" i="7" s="1"/>
  <c r="S1629" i="7" s="1"/>
  <c r="Q1630" i="7"/>
  <c r="R1630" i="7" s="1"/>
  <c r="S1630" i="7" s="1"/>
  <c r="Q1631" i="7"/>
  <c r="R1631" i="7" s="1"/>
  <c r="S1631" i="7" s="1"/>
  <c r="Q1632" i="7"/>
  <c r="R1632" i="7" s="1"/>
  <c r="S1632" i="7" s="1"/>
  <c r="Q1633" i="7"/>
  <c r="R1633" i="7" s="1"/>
  <c r="S1633" i="7" s="1"/>
  <c r="Q1634" i="7"/>
  <c r="R1634" i="7" s="1"/>
  <c r="S1634" i="7" s="1"/>
  <c r="Q1635" i="7"/>
  <c r="R1635" i="7" s="1"/>
  <c r="S1635" i="7" s="1"/>
  <c r="Q1636" i="7"/>
  <c r="R1636" i="7" s="1"/>
  <c r="S1636" i="7" s="1"/>
  <c r="Q1637" i="7"/>
  <c r="R1637" i="7" s="1"/>
  <c r="S1637" i="7" s="1"/>
  <c r="Q1638" i="7"/>
  <c r="R1638" i="7" s="1"/>
  <c r="S1638" i="7" s="1"/>
  <c r="Q1639" i="7"/>
  <c r="R1639" i="7" s="1"/>
  <c r="S1639" i="7" s="1"/>
  <c r="Q1640" i="7"/>
  <c r="R1640" i="7" s="1"/>
  <c r="S1640" i="7" s="1"/>
  <c r="Q1641" i="7"/>
  <c r="R1641" i="7" s="1"/>
  <c r="S1641" i="7" s="1"/>
  <c r="Q1642" i="7"/>
  <c r="R1642" i="7" s="1"/>
  <c r="S1642" i="7" s="1"/>
  <c r="Q1643" i="7"/>
  <c r="R1643" i="7" s="1"/>
  <c r="S1643" i="7" s="1"/>
  <c r="Q1644" i="7"/>
  <c r="R1644" i="7" s="1"/>
  <c r="S1644" i="7" s="1"/>
  <c r="Q1645" i="7"/>
  <c r="R1645" i="7" s="1"/>
  <c r="S1645" i="7" s="1"/>
  <c r="Q1646" i="7"/>
  <c r="R1646" i="7" s="1"/>
  <c r="S1646" i="7" s="1"/>
  <c r="Q1647" i="7"/>
  <c r="R1647" i="7" s="1"/>
  <c r="S1647" i="7" s="1"/>
  <c r="Q1648" i="7"/>
  <c r="R1648" i="7" s="1"/>
  <c r="S1648" i="7" s="1"/>
  <c r="Q1649" i="7"/>
  <c r="R1649" i="7" s="1"/>
  <c r="S1649" i="7" s="1"/>
  <c r="Q1650" i="7"/>
  <c r="R1650" i="7" s="1"/>
  <c r="S1650" i="7" s="1"/>
  <c r="Q1651" i="7"/>
  <c r="R1651" i="7" s="1"/>
  <c r="S1651" i="7" s="1"/>
  <c r="Q1652" i="7"/>
  <c r="R1652" i="7" s="1"/>
  <c r="S1652" i="7" s="1"/>
  <c r="Q1653" i="7"/>
  <c r="R1653" i="7" s="1"/>
  <c r="S1653" i="7" s="1"/>
  <c r="Q1654" i="7"/>
  <c r="R1654" i="7" s="1"/>
  <c r="S1654" i="7" s="1"/>
  <c r="Q1655" i="7"/>
  <c r="R1655" i="7" s="1"/>
  <c r="S1655" i="7" s="1"/>
  <c r="Q1656" i="7"/>
  <c r="R1656" i="7" s="1"/>
  <c r="S1656" i="7" s="1"/>
  <c r="Q1657" i="7"/>
  <c r="R1657" i="7" s="1"/>
  <c r="S1657" i="7" s="1"/>
  <c r="Q1658" i="7"/>
  <c r="R1658" i="7" s="1"/>
  <c r="S1658" i="7" s="1"/>
  <c r="Q1659" i="7"/>
  <c r="R1659" i="7" s="1"/>
  <c r="S1659" i="7" s="1"/>
  <c r="Q1660" i="7"/>
  <c r="R1660" i="7" s="1"/>
  <c r="S1660" i="7" s="1"/>
  <c r="Q1661" i="7"/>
  <c r="R1661" i="7" s="1"/>
  <c r="S1661" i="7" s="1"/>
  <c r="Q1662" i="7"/>
  <c r="R1662" i="7" s="1"/>
  <c r="S1662" i="7" s="1"/>
  <c r="Q1663" i="7"/>
  <c r="R1663" i="7" s="1"/>
  <c r="S1663" i="7" s="1"/>
  <c r="Q1664" i="7"/>
  <c r="R1664" i="7" s="1"/>
  <c r="S1664" i="7" s="1"/>
  <c r="Q1665" i="7"/>
  <c r="R1665" i="7" s="1"/>
  <c r="S1665" i="7" s="1"/>
  <c r="Q1666" i="7"/>
  <c r="R1666" i="7" s="1"/>
  <c r="S1666" i="7" s="1"/>
  <c r="Q1667" i="7"/>
  <c r="R1667" i="7" s="1"/>
  <c r="S1667" i="7" s="1"/>
  <c r="Q1668" i="7"/>
  <c r="R1668" i="7" s="1"/>
  <c r="S1668" i="7" s="1"/>
  <c r="Q1669" i="7"/>
  <c r="R1669" i="7" s="1"/>
  <c r="S1669" i="7" s="1"/>
  <c r="Q1670" i="7"/>
  <c r="R1670" i="7" s="1"/>
  <c r="S1670" i="7" s="1"/>
  <c r="Q1671" i="7"/>
  <c r="R1671" i="7" s="1"/>
  <c r="S1671" i="7" s="1"/>
  <c r="Q1672" i="7"/>
  <c r="R1672" i="7" s="1"/>
  <c r="S1672" i="7" s="1"/>
  <c r="Q1673" i="7"/>
  <c r="R1673" i="7" s="1"/>
  <c r="S1673" i="7" s="1"/>
  <c r="Q1674" i="7"/>
  <c r="R1674" i="7" s="1"/>
  <c r="S1674" i="7" s="1"/>
  <c r="Q1675" i="7"/>
  <c r="R1675" i="7" s="1"/>
  <c r="S1675" i="7" s="1"/>
  <c r="Q1676" i="7"/>
  <c r="R1676" i="7" s="1"/>
  <c r="S1676" i="7" s="1"/>
  <c r="Q1677" i="7"/>
  <c r="R1677" i="7" s="1"/>
  <c r="S1677" i="7" s="1"/>
  <c r="Q1678" i="7"/>
  <c r="R1678" i="7" s="1"/>
  <c r="S1678" i="7" s="1"/>
  <c r="Q1679" i="7"/>
  <c r="R1679" i="7" s="1"/>
  <c r="S1679" i="7" s="1"/>
  <c r="Q1680" i="7"/>
  <c r="R1680" i="7" s="1"/>
  <c r="S1680" i="7" s="1"/>
  <c r="Q1681" i="7"/>
  <c r="R1681" i="7" s="1"/>
  <c r="S1681" i="7" s="1"/>
  <c r="Q1682" i="7"/>
  <c r="R1682" i="7" s="1"/>
  <c r="S1682" i="7" s="1"/>
  <c r="Q1683" i="7"/>
  <c r="R1683" i="7" s="1"/>
  <c r="S1683" i="7" s="1"/>
  <c r="Q1684" i="7"/>
  <c r="R1684" i="7" s="1"/>
  <c r="S1684" i="7" s="1"/>
  <c r="Q1685" i="7"/>
  <c r="R1685" i="7" s="1"/>
  <c r="S1685" i="7" s="1"/>
  <c r="Q1686" i="7"/>
  <c r="R1686" i="7" s="1"/>
  <c r="S1686" i="7" s="1"/>
  <c r="Q1687" i="7"/>
  <c r="R1687" i="7" s="1"/>
  <c r="S1687" i="7" s="1"/>
  <c r="Q1688" i="7"/>
  <c r="R1688" i="7" s="1"/>
  <c r="S1688" i="7" s="1"/>
  <c r="Q1689" i="7"/>
  <c r="R1689" i="7" s="1"/>
  <c r="S1689" i="7" s="1"/>
  <c r="Q1690" i="7"/>
  <c r="R1690" i="7" s="1"/>
  <c r="S1690" i="7" s="1"/>
  <c r="Q1691" i="7"/>
  <c r="R1691" i="7" s="1"/>
  <c r="S1691" i="7" s="1"/>
  <c r="Q1692" i="7"/>
  <c r="R1692" i="7" s="1"/>
  <c r="S1692" i="7" s="1"/>
  <c r="Q1693" i="7"/>
  <c r="R1693" i="7" s="1"/>
  <c r="S1693" i="7" s="1"/>
  <c r="Q1694" i="7"/>
  <c r="R1694" i="7" s="1"/>
  <c r="S1694" i="7" s="1"/>
  <c r="Q1695" i="7"/>
  <c r="R1695" i="7" s="1"/>
  <c r="S1695" i="7" s="1"/>
  <c r="Q1696" i="7"/>
  <c r="R1696" i="7" s="1"/>
  <c r="S1696" i="7" s="1"/>
  <c r="Q1697" i="7"/>
  <c r="R1697" i="7" s="1"/>
  <c r="S1697" i="7" s="1"/>
  <c r="Q1698" i="7"/>
  <c r="R1698" i="7" s="1"/>
  <c r="S1698" i="7" s="1"/>
  <c r="Q1699" i="7"/>
  <c r="R1699" i="7" s="1"/>
  <c r="S1699" i="7" s="1"/>
  <c r="Q1700" i="7"/>
  <c r="R1700" i="7" s="1"/>
  <c r="S1700" i="7" s="1"/>
  <c r="Q1701" i="7"/>
  <c r="R1701" i="7" s="1"/>
  <c r="S1701" i="7" s="1"/>
  <c r="Q1702" i="7"/>
  <c r="R1702" i="7" s="1"/>
  <c r="S1702" i="7" s="1"/>
  <c r="Q1703" i="7"/>
  <c r="R1703" i="7" s="1"/>
  <c r="S1703" i="7" s="1"/>
  <c r="Q1704" i="7"/>
  <c r="R1704" i="7" s="1"/>
  <c r="S1704" i="7" s="1"/>
  <c r="Q1705" i="7"/>
  <c r="R1705" i="7" s="1"/>
  <c r="S1705" i="7" s="1"/>
  <c r="Q1706" i="7"/>
  <c r="R1706" i="7" s="1"/>
  <c r="S1706" i="7" s="1"/>
  <c r="Q1707" i="7"/>
  <c r="R1707" i="7" s="1"/>
  <c r="S1707" i="7" s="1"/>
  <c r="Q1708" i="7"/>
  <c r="R1708" i="7" s="1"/>
  <c r="S1708" i="7" s="1"/>
  <c r="Q1709" i="7"/>
  <c r="R1709" i="7" s="1"/>
  <c r="S1709" i="7" s="1"/>
  <c r="Q1710" i="7"/>
  <c r="R1710" i="7" s="1"/>
  <c r="S1710" i="7" s="1"/>
  <c r="Q1711" i="7"/>
  <c r="R1711" i="7" s="1"/>
  <c r="S1711" i="7" s="1"/>
  <c r="Q1712" i="7"/>
  <c r="R1712" i="7" s="1"/>
  <c r="S1712" i="7" s="1"/>
  <c r="Q1713" i="7"/>
  <c r="R1713" i="7" s="1"/>
  <c r="S1713" i="7" s="1"/>
  <c r="Q1714" i="7"/>
  <c r="R1714" i="7" s="1"/>
  <c r="S1714" i="7" s="1"/>
  <c r="Q1715" i="7"/>
  <c r="R1715" i="7" s="1"/>
  <c r="S1715" i="7" s="1"/>
  <c r="Q1716" i="7"/>
  <c r="R1716" i="7" s="1"/>
  <c r="S1716" i="7" s="1"/>
  <c r="Q1717" i="7"/>
  <c r="R1717" i="7" s="1"/>
  <c r="S1717" i="7" s="1"/>
  <c r="Q1718" i="7"/>
  <c r="R1718" i="7" s="1"/>
  <c r="S1718" i="7" s="1"/>
  <c r="Q1719" i="7"/>
  <c r="R1719" i="7" s="1"/>
  <c r="S1719" i="7" s="1"/>
  <c r="Q1720" i="7"/>
  <c r="R1720" i="7" s="1"/>
  <c r="S1720" i="7" s="1"/>
  <c r="Q1721" i="7"/>
  <c r="R1721" i="7" s="1"/>
  <c r="S1721" i="7" s="1"/>
  <c r="Q1722" i="7"/>
  <c r="R1722" i="7" s="1"/>
  <c r="S1722" i="7" s="1"/>
  <c r="Q1723" i="7"/>
  <c r="R1723" i="7" s="1"/>
  <c r="S1723" i="7" s="1"/>
  <c r="Q1724" i="7"/>
  <c r="R1724" i="7" s="1"/>
  <c r="S1724" i="7" s="1"/>
  <c r="Q1725" i="7"/>
  <c r="R1725" i="7" s="1"/>
  <c r="S1725" i="7" s="1"/>
  <c r="Q1726" i="7"/>
  <c r="R1726" i="7" s="1"/>
  <c r="S1726" i="7" s="1"/>
  <c r="Q1727" i="7"/>
  <c r="R1727" i="7" s="1"/>
  <c r="S1727" i="7" s="1"/>
  <c r="Q1728" i="7"/>
  <c r="R1728" i="7" s="1"/>
  <c r="S1728" i="7" s="1"/>
  <c r="Q1729" i="7"/>
  <c r="R1729" i="7" s="1"/>
  <c r="S1729" i="7" s="1"/>
  <c r="Q1730" i="7"/>
  <c r="R1730" i="7" s="1"/>
  <c r="S1730" i="7" s="1"/>
  <c r="Q1731" i="7"/>
  <c r="R1731" i="7" s="1"/>
  <c r="S1731" i="7" s="1"/>
  <c r="Q1732" i="7"/>
  <c r="R1732" i="7" s="1"/>
  <c r="S1732" i="7" s="1"/>
  <c r="Q1733" i="7"/>
  <c r="R1733" i="7" s="1"/>
  <c r="S1733" i="7" s="1"/>
  <c r="Q1734" i="7"/>
  <c r="R1734" i="7" s="1"/>
  <c r="S1734" i="7" s="1"/>
  <c r="Q1735" i="7"/>
  <c r="R1735" i="7" s="1"/>
  <c r="S1735" i="7" s="1"/>
  <c r="Q1736" i="7"/>
  <c r="R1736" i="7" s="1"/>
  <c r="S1736" i="7" s="1"/>
  <c r="Q1737" i="7"/>
  <c r="R1737" i="7" s="1"/>
  <c r="S1737" i="7" s="1"/>
  <c r="Q1738" i="7"/>
  <c r="R1738" i="7" s="1"/>
  <c r="S1738" i="7" s="1"/>
  <c r="Q1739" i="7"/>
  <c r="R1739" i="7" s="1"/>
  <c r="S1739" i="7" s="1"/>
  <c r="Q1740" i="7"/>
  <c r="R1740" i="7" s="1"/>
  <c r="S1740" i="7" s="1"/>
  <c r="Q1741" i="7"/>
  <c r="R1741" i="7" s="1"/>
  <c r="S1741" i="7" s="1"/>
  <c r="Q1742" i="7"/>
  <c r="R1742" i="7" s="1"/>
  <c r="S1742" i="7" s="1"/>
  <c r="Q1743" i="7"/>
  <c r="R1743" i="7" s="1"/>
  <c r="S1743" i="7" s="1"/>
  <c r="Q1744" i="7"/>
  <c r="R1744" i="7" s="1"/>
  <c r="S1744" i="7" s="1"/>
  <c r="Q1745" i="7"/>
  <c r="R1745" i="7" s="1"/>
  <c r="S1745" i="7" s="1"/>
  <c r="Q1746" i="7"/>
  <c r="R1746" i="7" s="1"/>
  <c r="S1746" i="7" s="1"/>
  <c r="Q1747" i="7"/>
  <c r="R1747" i="7" s="1"/>
  <c r="S1747" i="7" s="1"/>
  <c r="Q1748" i="7"/>
  <c r="R1748" i="7" s="1"/>
  <c r="S1748" i="7" s="1"/>
  <c r="Q1749" i="7"/>
  <c r="R1749" i="7" s="1"/>
  <c r="S1749" i="7" s="1"/>
  <c r="Q1750" i="7"/>
  <c r="R1750" i="7" s="1"/>
  <c r="S1750" i="7" s="1"/>
  <c r="Q1751" i="7"/>
  <c r="R1751" i="7" s="1"/>
  <c r="S1751" i="7" s="1"/>
  <c r="Q1752" i="7"/>
  <c r="R1752" i="7" s="1"/>
  <c r="S1752" i="7" s="1"/>
  <c r="Q1753" i="7"/>
  <c r="R1753" i="7" s="1"/>
  <c r="S1753" i="7" s="1"/>
  <c r="Q1754" i="7"/>
  <c r="R1754" i="7" s="1"/>
  <c r="S1754" i="7" s="1"/>
  <c r="Q1755" i="7"/>
  <c r="R1755" i="7" s="1"/>
  <c r="S1755" i="7" s="1"/>
  <c r="Q1756" i="7"/>
  <c r="R1756" i="7" s="1"/>
  <c r="S1756" i="7" s="1"/>
  <c r="Q1757" i="7"/>
  <c r="R1757" i="7" s="1"/>
  <c r="S1757" i="7" s="1"/>
  <c r="Q1758" i="7"/>
  <c r="R1758" i="7" s="1"/>
  <c r="S1758" i="7" s="1"/>
  <c r="Q1759" i="7"/>
  <c r="R1759" i="7" s="1"/>
  <c r="S1759" i="7" s="1"/>
  <c r="Q1760" i="7"/>
  <c r="R1760" i="7" s="1"/>
  <c r="S1760" i="7" s="1"/>
  <c r="Q1761" i="7"/>
  <c r="R1761" i="7" s="1"/>
  <c r="S1761" i="7" s="1"/>
  <c r="Q1762" i="7"/>
  <c r="R1762" i="7" s="1"/>
  <c r="S1762" i="7" s="1"/>
  <c r="Q1763" i="7"/>
  <c r="R1763" i="7" s="1"/>
  <c r="S1763" i="7" s="1"/>
  <c r="Q1764" i="7"/>
  <c r="R1764" i="7" s="1"/>
  <c r="S1764" i="7" s="1"/>
  <c r="Q1765" i="7"/>
  <c r="R1765" i="7" s="1"/>
  <c r="S1765" i="7" s="1"/>
  <c r="Q1766" i="7"/>
  <c r="R1766" i="7" s="1"/>
  <c r="S1766" i="7" s="1"/>
  <c r="Q1767" i="7"/>
  <c r="R1767" i="7" s="1"/>
  <c r="S1767" i="7" s="1"/>
  <c r="Q1768" i="7"/>
  <c r="R1768" i="7" s="1"/>
  <c r="S1768" i="7" s="1"/>
  <c r="Q1769" i="7"/>
  <c r="R1769" i="7" s="1"/>
  <c r="S1769" i="7" s="1"/>
  <c r="Q1770" i="7"/>
  <c r="R1770" i="7" s="1"/>
  <c r="S1770" i="7" s="1"/>
  <c r="Q1771" i="7"/>
  <c r="R1771" i="7" s="1"/>
  <c r="S1771" i="7" s="1"/>
  <c r="Q1772" i="7"/>
  <c r="R1772" i="7" s="1"/>
  <c r="S1772" i="7" s="1"/>
  <c r="Q1773" i="7"/>
  <c r="R1773" i="7" s="1"/>
  <c r="S1773" i="7" s="1"/>
  <c r="Q1774" i="7"/>
  <c r="R1774" i="7" s="1"/>
  <c r="S1774" i="7" s="1"/>
  <c r="Q1775" i="7"/>
  <c r="R1775" i="7" s="1"/>
  <c r="S1775" i="7" s="1"/>
  <c r="Q1776" i="7"/>
  <c r="R1776" i="7" s="1"/>
  <c r="S1776" i="7" s="1"/>
  <c r="Q1777" i="7"/>
  <c r="R1777" i="7" s="1"/>
  <c r="S1777" i="7" s="1"/>
  <c r="Q1778" i="7"/>
  <c r="R1778" i="7" s="1"/>
  <c r="S1778" i="7" s="1"/>
  <c r="Q1779" i="7"/>
  <c r="R1779" i="7" s="1"/>
  <c r="S1779" i="7" s="1"/>
  <c r="Q1780" i="7"/>
  <c r="R1780" i="7" s="1"/>
  <c r="S1780" i="7" s="1"/>
  <c r="Q1781" i="7"/>
  <c r="R1781" i="7" s="1"/>
  <c r="S1781" i="7" s="1"/>
  <c r="Q1782" i="7"/>
  <c r="R1782" i="7" s="1"/>
  <c r="S1782" i="7" s="1"/>
  <c r="Q1783" i="7"/>
  <c r="R1783" i="7" s="1"/>
  <c r="S1783" i="7" s="1"/>
  <c r="Q1784" i="7"/>
  <c r="R1784" i="7" s="1"/>
  <c r="S1784" i="7" s="1"/>
  <c r="Q1785" i="7"/>
  <c r="R1785" i="7" s="1"/>
  <c r="S1785" i="7" s="1"/>
  <c r="Q1786" i="7"/>
  <c r="R1786" i="7" s="1"/>
  <c r="S1786" i="7" s="1"/>
  <c r="Q1787" i="7"/>
  <c r="R1787" i="7" s="1"/>
  <c r="S1787" i="7" s="1"/>
  <c r="Q1788" i="7"/>
  <c r="R1788" i="7" s="1"/>
  <c r="S1788" i="7" s="1"/>
  <c r="Q1789" i="7"/>
  <c r="R1789" i="7" s="1"/>
  <c r="S1789" i="7" s="1"/>
  <c r="Q1790" i="7"/>
  <c r="R1790" i="7" s="1"/>
  <c r="S1790" i="7" s="1"/>
  <c r="Q1791" i="7"/>
  <c r="R1791" i="7" s="1"/>
  <c r="S1791" i="7" s="1"/>
  <c r="Q1792" i="7"/>
  <c r="R1792" i="7" s="1"/>
  <c r="S1792" i="7" s="1"/>
  <c r="Q1793" i="7"/>
  <c r="R1793" i="7" s="1"/>
  <c r="S1793" i="7" s="1"/>
  <c r="Q1794" i="7"/>
  <c r="R1794" i="7" s="1"/>
  <c r="S1794" i="7" s="1"/>
  <c r="Q1795" i="7"/>
  <c r="R1795" i="7" s="1"/>
  <c r="S1795" i="7" s="1"/>
  <c r="Q1796" i="7"/>
  <c r="R1796" i="7" s="1"/>
  <c r="S1796" i="7" s="1"/>
  <c r="Q1797" i="7"/>
  <c r="R1797" i="7" s="1"/>
  <c r="S1797" i="7" s="1"/>
  <c r="Q1798" i="7"/>
  <c r="R1798" i="7" s="1"/>
  <c r="S1798" i="7" s="1"/>
  <c r="Q1799" i="7"/>
  <c r="R1799" i="7" s="1"/>
  <c r="S1799" i="7" s="1"/>
  <c r="Q1800" i="7"/>
  <c r="R1800" i="7" s="1"/>
  <c r="S1800" i="7" s="1"/>
  <c r="Q1801" i="7"/>
  <c r="R1801" i="7" s="1"/>
  <c r="S1801" i="7" s="1"/>
  <c r="Q1802" i="7"/>
  <c r="R1802" i="7" s="1"/>
  <c r="S1802" i="7" s="1"/>
  <c r="Q1803" i="7"/>
  <c r="R1803" i="7" s="1"/>
  <c r="S1803" i="7" s="1"/>
  <c r="Q1804" i="7"/>
  <c r="R1804" i="7" s="1"/>
  <c r="S1804" i="7" s="1"/>
  <c r="Q1805" i="7"/>
  <c r="R1805" i="7" s="1"/>
  <c r="S1805" i="7" s="1"/>
  <c r="Q1806" i="7"/>
  <c r="R1806" i="7" s="1"/>
  <c r="S1806" i="7" s="1"/>
  <c r="Q1807" i="7"/>
  <c r="R1807" i="7" s="1"/>
  <c r="S1807" i="7" s="1"/>
  <c r="Q1808" i="7"/>
  <c r="R1808" i="7" s="1"/>
  <c r="S1808" i="7" s="1"/>
  <c r="Q1809" i="7"/>
  <c r="R1809" i="7" s="1"/>
  <c r="S1809" i="7" s="1"/>
  <c r="Q1810" i="7"/>
  <c r="R1810" i="7" s="1"/>
  <c r="S1810" i="7" s="1"/>
  <c r="Q1811" i="7"/>
  <c r="R1811" i="7" s="1"/>
  <c r="S1811" i="7" s="1"/>
  <c r="Q1812" i="7"/>
  <c r="R1812" i="7" s="1"/>
  <c r="S1812" i="7" s="1"/>
  <c r="Q1813" i="7"/>
  <c r="R1813" i="7" s="1"/>
  <c r="S1813" i="7" s="1"/>
  <c r="Q1814" i="7"/>
  <c r="R1814" i="7" s="1"/>
  <c r="S1814" i="7" s="1"/>
  <c r="Q1815" i="7"/>
  <c r="R1815" i="7" s="1"/>
  <c r="S1815" i="7" s="1"/>
  <c r="Q1816" i="7"/>
  <c r="R1816" i="7" s="1"/>
  <c r="S1816" i="7" s="1"/>
  <c r="Q1817" i="7"/>
  <c r="R1817" i="7" s="1"/>
  <c r="S1817" i="7" s="1"/>
  <c r="Q1818" i="7"/>
  <c r="R1818" i="7" s="1"/>
  <c r="S1818" i="7" s="1"/>
  <c r="Q1819" i="7"/>
  <c r="R1819" i="7" s="1"/>
  <c r="S1819" i="7" s="1"/>
  <c r="Q1820" i="7"/>
  <c r="R1820" i="7" s="1"/>
  <c r="S1820" i="7" s="1"/>
  <c r="Q1821" i="7"/>
  <c r="R1821" i="7" s="1"/>
  <c r="S1821" i="7" s="1"/>
  <c r="Q1822" i="7"/>
  <c r="R1822" i="7" s="1"/>
  <c r="S1822" i="7" s="1"/>
  <c r="Q1823" i="7"/>
  <c r="R1823" i="7" s="1"/>
  <c r="S1823" i="7" s="1"/>
  <c r="Q1824" i="7"/>
  <c r="R1824" i="7" s="1"/>
  <c r="S1824" i="7" s="1"/>
  <c r="Q1825" i="7"/>
  <c r="R1825" i="7" s="1"/>
  <c r="S1825" i="7" s="1"/>
  <c r="Q1826" i="7"/>
  <c r="R1826" i="7" s="1"/>
  <c r="S1826" i="7" s="1"/>
  <c r="Q1827" i="7"/>
  <c r="R1827" i="7" s="1"/>
  <c r="S1827" i="7" s="1"/>
  <c r="Q1828" i="7"/>
  <c r="R1828" i="7" s="1"/>
  <c r="S1828" i="7" s="1"/>
  <c r="Q1829" i="7"/>
  <c r="R1829" i="7" s="1"/>
  <c r="S1829" i="7" s="1"/>
  <c r="Q1830" i="7"/>
  <c r="R1830" i="7" s="1"/>
  <c r="S1830" i="7" s="1"/>
  <c r="Q1831" i="7"/>
  <c r="R1831" i="7" s="1"/>
  <c r="S1831" i="7" s="1"/>
  <c r="Q1832" i="7"/>
  <c r="R1832" i="7" s="1"/>
  <c r="S1832" i="7" s="1"/>
  <c r="Q1833" i="7"/>
  <c r="R1833" i="7" s="1"/>
  <c r="S1833" i="7" s="1"/>
  <c r="Q1834" i="7"/>
  <c r="R1834" i="7" s="1"/>
  <c r="S1834" i="7" s="1"/>
  <c r="Q1835" i="7"/>
  <c r="R1835" i="7" s="1"/>
  <c r="S1835" i="7" s="1"/>
  <c r="Q1836" i="7"/>
  <c r="R1836" i="7" s="1"/>
  <c r="S1836" i="7" s="1"/>
  <c r="Q1837" i="7"/>
  <c r="R1837" i="7" s="1"/>
  <c r="S1837" i="7" s="1"/>
  <c r="Q1838" i="7"/>
  <c r="R1838" i="7" s="1"/>
  <c r="S1838" i="7" s="1"/>
  <c r="Q1839" i="7"/>
  <c r="R1839" i="7" s="1"/>
  <c r="S1839" i="7" s="1"/>
  <c r="Q1840" i="7"/>
  <c r="R1840" i="7" s="1"/>
  <c r="S1840" i="7" s="1"/>
  <c r="Q1841" i="7"/>
  <c r="R1841" i="7" s="1"/>
  <c r="S1841" i="7" s="1"/>
  <c r="Q1842" i="7"/>
  <c r="R1842" i="7" s="1"/>
  <c r="S1842" i="7" s="1"/>
  <c r="Q1843" i="7"/>
  <c r="R1843" i="7" s="1"/>
  <c r="S1843" i="7" s="1"/>
  <c r="Q1844" i="7"/>
  <c r="R1844" i="7" s="1"/>
  <c r="S1844" i="7" s="1"/>
  <c r="Q1845" i="7"/>
  <c r="R1845" i="7" s="1"/>
  <c r="S1845" i="7" s="1"/>
  <c r="Q1846" i="7"/>
  <c r="R1846" i="7" s="1"/>
  <c r="S1846" i="7" s="1"/>
  <c r="Q1847" i="7"/>
  <c r="R1847" i="7" s="1"/>
  <c r="S1847" i="7" s="1"/>
  <c r="Q1848" i="7"/>
  <c r="R1848" i="7" s="1"/>
  <c r="S1848" i="7" s="1"/>
  <c r="Q1849" i="7"/>
  <c r="R1849" i="7" s="1"/>
  <c r="S1849" i="7" s="1"/>
  <c r="Q1850" i="7"/>
  <c r="R1850" i="7" s="1"/>
  <c r="S1850" i="7" s="1"/>
  <c r="Q1851" i="7"/>
  <c r="R1851" i="7" s="1"/>
  <c r="S1851" i="7" s="1"/>
  <c r="Q1852" i="7"/>
  <c r="R1852" i="7" s="1"/>
  <c r="S1852" i="7" s="1"/>
  <c r="Q1853" i="7"/>
  <c r="R1853" i="7" s="1"/>
  <c r="S1853" i="7" s="1"/>
  <c r="Q1854" i="7"/>
  <c r="R1854" i="7" s="1"/>
  <c r="S1854" i="7" s="1"/>
  <c r="Q1855" i="7"/>
  <c r="R1855" i="7" s="1"/>
  <c r="S1855" i="7" s="1"/>
  <c r="Q1856" i="7"/>
  <c r="R1856" i="7" s="1"/>
  <c r="S1856" i="7" s="1"/>
  <c r="Q1857" i="7"/>
  <c r="R1857" i="7" s="1"/>
  <c r="S1857" i="7" s="1"/>
  <c r="Q1858" i="7"/>
  <c r="R1858" i="7" s="1"/>
  <c r="S1858" i="7" s="1"/>
  <c r="Q1859" i="7"/>
  <c r="R1859" i="7" s="1"/>
  <c r="S1859" i="7" s="1"/>
  <c r="Q1860" i="7"/>
  <c r="R1860" i="7" s="1"/>
  <c r="S1860" i="7" s="1"/>
  <c r="Q1861" i="7"/>
  <c r="R1861" i="7" s="1"/>
  <c r="S1861" i="7" s="1"/>
  <c r="Q1862" i="7"/>
  <c r="R1862" i="7" s="1"/>
  <c r="S1862" i="7" s="1"/>
  <c r="Q1863" i="7"/>
  <c r="R1863" i="7" s="1"/>
  <c r="S1863" i="7" s="1"/>
  <c r="Q1864" i="7"/>
  <c r="R1864" i="7" s="1"/>
  <c r="S1864" i="7" s="1"/>
  <c r="Q1865" i="7"/>
  <c r="R1865" i="7" s="1"/>
  <c r="S1865" i="7" s="1"/>
  <c r="Q1866" i="7"/>
  <c r="R1866" i="7" s="1"/>
  <c r="S1866" i="7" s="1"/>
  <c r="Q1867" i="7"/>
  <c r="R1867" i="7" s="1"/>
  <c r="S1867" i="7" s="1"/>
  <c r="Q1868" i="7"/>
  <c r="R1868" i="7" s="1"/>
  <c r="S1868" i="7" s="1"/>
  <c r="Q1869" i="7"/>
  <c r="R1869" i="7" s="1"/>
  <c r="S1869" i="7" s="1"/>
  <c r="Q1870" i="7"/>
  <c r="R1870" i="7" s="1"/>
  <c r="S1870" i="7" s="1"/>
  <c r="Q1871" i="7"/>
  <c r="R1871" i="7" s="1"/>
  <c r="S1871" i="7" s="1"/>
  <c r="Q1872" i="7"/>
  <c r="R1872" i="7" s="1"/>
  <c r="S1872" i="7" s="1"/>
  <c r="Q1873" i="7"/>
  <c r="R1873" i="7" s="1"/>
  <c r="S1873" i="7" s="1"/>
  <c r="Q1874" i="7"/>
  <c r="R1874" i="7" s="1"/>
  <c r="S1874" i="7" s="1"/>
  <c r="Q1875" i="7"/>
  <c r="R1875" i="7" s="1"/>
  <c r="S1875" i="7" s="1"/>
  <c r="Q1876" i="7"/>
  <c r="R1876" i="7" s="1"/>
  <c r="S1876" i="7" s="1"/>
  <c r="Q1877" i="7"/>
  <c r="R1877" i="7" s="1"/>
  <c r="S1877" i="7" s="1"/>
  <c r="Q1878" i="7"/>
  <c r="R1878" i="7" s="1"/>
  <c r="S1878" i="7" s="1"/>
  <c r="Q1879" i="7"/>
  <c r="R1879" i="7" s="1"/>
  <c r="S1879" i="7" s="1"/>
  <c r="Q4" i="7"/>
  <c r="R4" i="7" s="1"/>
  <c r="S4" i="7" s="1"/>
  <c r="D2" i="4"/>
  <c r="B2" i="4"/>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4" i="7"/>
</calcChain>
</file>

<file path=xl/sharedStrings.xml><?xml version="1.0" encoding="utf-8"?>
<sst xmlns="http://schemas.openxmlformats.org/spreadsheetml/2006/main" count="61944" uniqueCount="9955">
  <si>
    <t>M</t>
  </si>
  <si>
    <t>F</t>
  </si>
  <si>
    <t>XYZ</t>
  </si>
  <si>
    <t>none</t>
  </si>
  <si>
    <t>perhaps</t>
  </si>
  <si>
    <t>NaN</t>
  </si>
  <si>
    <t>maybe</t>
  </si>
  <si>
    <t>@@</t>
  </si>
  <si>
    <t>PHONE</t>
  </si>
  <si>
    <t>NULL</t>
  </si>
  <si>
    <t>not_a_date</t>
  </si>
  <si>
    <t>??</t>
  </si>
  <si>
    <t>abc</t>
  </si>
  <si>
    <t>123</t>
  </si>
  <si>
    <t>###</t>
  </si>
  <si>
    <t>TEXT_ERROR</t>
  </si>
  <si>
    <t>M54</t>
  </si>
  <si>
    <t>NO</t>
  </si>
  <si>
    <t>nkhalsa@hotmail.com</t>
  </si>
  <si>
    <t>02529548496</t>
  </si>
  <si>
    <t>Dr Mehta</t>
  </si>
  <si>
    <t>Pediatrics</t>
  </si>
  <si>
    <t>male</t>
  </si>
  <si>
    <t>Lagan Tailor</t>
  </si>
  <si>
    <t>P2999</t>
  </si>
  <si>
    <t>C34</t>
  </si>
  <si>
    <t>Y</t>
  </si>
  <si>
    <t>Yes</t>
  </si>
  <si>
    <t>inaaya-61@srivastava.com</t>
  </si>
  <si>
    <t>7100506700</t>
  </si>
  <si>
    <t>Dr. Sharma</t>
  </si>
  <si>
    <t>ENT</t>
  </si>
  <si>
    <t>Alisha Sehgal</t>
  </si>
  <si>
    <t>P2998</t>
  </si>
  <si>
    <t>A09</t>
  </si>
  <si>
    <t>YES</t>
  </si>
  <si>
    <t>msama@roy.com</t>
  </si>
  <si>
    <t>6251069348</t>
  </si>
  <si>
    <t>DR SHARMA</t>
  </si>
  <si>
    <t>Orthopedics</t>
  </si>
  <si>
    <t>Male</t>
  </si>
  <si>
    <t>Aradhya Sidhu</t>
  </si>
  <si>
    <t>P2997</t>
  </si>
  <si>
    <t>J20</t>
  </si>
  <si>
    <t>jhayre@basu.com</t>
  </si>
  <si>
    <t>9407646597</t>
  </si>
  <si>
    <t>Dr Rao</t>
  </si>
  <si>
    <t>Cardiology</t>
  </si>
  <si>
    <t>Riaan Zacharia</t>
  </si>
  <si>
    <t>P2996</t>
  </si>
  <si>
    <t>K21</t>
  </si>
  <si>
    <t>lagansandhu@hotmail.com</t>
  </si>
  <si>
    <t>0737961476</t>
  </si>
  <si>
    <t>dr mehta</t>
  </si>
  <si>
    <t>Dermatology</t>
  </si>
  <si>
    <t>Mishti Deshpande</t>
  </si>
  <si>
    <t>P2995</t>
  </si>
  <si>
    <t>N</t>
  </si>
  <si>
    <t>kalavritika@dugar.info</t>
  </si>
  <si>
    <t>+919797759994</t>
  </si>
  <si>
    <t>female</t>
  </si>
  <si>
    <t>Amira Gera</t>
  </si>
  <si>
    <t>P2994</t>
  </si>
  <si>
    <t>yes</t>
  </si>
  <si>
    <t>No</t>
  </si>
  <si>
    <t>purab91@dora-kuruvilla.com</t>
  </si>
  <si>
    <t>3133717073</t>
  </si>
  <si>
    <t>Dr Priya</t>
  </si>
  <si>
    <t>General Medicine</t>
  </si>
  <si>
    <t>Taimur Seshadri</t>
  </si>
  <si>
    <t>P2993</t>
  </si>
  <si>
    <t>E11</t>
  </si>
  <si>
    <t>paribera@hotmail.com</t>
  </si>
  <si>
    <t>+914811214223</t>
  </si>
  <si>
    <t>Female</t>
  </si>
  <si>
    <t>Umang Shenoy</t>
  </si>
  <si>
    <t>P2992</t>
  </si>
  <si>
    <t>I10</t>
  </si>
  <si>
    <t>kademiraya@yahoo.com</t>
  </si>
  <si>
    <t>3432018775</t>
  </si>
  <si>
    <t>Neurology</t>
  </si>
  <si>
    <t>Mamooty Goda</t>
  </si>
  <si>
    <t>P2991</t>
  </si>
  <si>
    <t>manjaribhasin@mahajan.com</t>
  </si>
  <si>
    <t>08466985894</t>
  </si>
  <si>
    <t>Dr Khan</t>
  </si>
  <si>
    <t>Rhea Rao</t>
  </si>
  <si>
    <t>P2990</t>
  </si>
  <si>
    <t>srandhawa@yahoo.com</t>
  </si>
  <si>
    <t>7684706374</t>
  </si>
  <si>
    <t>dr priya</t>
  </si>
  <si>
    <t>Aradhya Trivedi</t>
  </si>
  <si>
    <t>P2989</t>
  </si>
  <si>
    <t>qbuch@vora-balan.info</t>
  </si>
  <si>
    <t>00812996730</t>
  </si>
  <si>
    <t>Ranbir Aggarwal</t>
  </si>
  <si>
    <t>P2988</t>
  </si>
  <si>
    <t>yuvraj-sule@gmail.com</t>
  </si>
  <si>
    <t>8795720348</t>
  </si>
  <si>
    <t>Mahika Swamy</t>
  </si>
  <si>
    <t>P2987</t>
  </si>
  <si>
    <t>tarini65@sachdeva-dalal.biz</t>
  </si>
  <si>
    <t>06219869796</t>
  </si>
  <si>
    <t>Ehsaan Bhardwaj</t>
  </si>
  <si>
    <t>P2986</t>
  </si>
  <si>
    <t>bhagatpurab@hotmail.com</t>
  </si>
  <si>
    <t>+910950257122</t>
  </si>
  <si>
    <t>Uthkarsh Barman</t>
  </si>
  <si>
    <t>P2985</t>
  </si>
  <si>
    <t>indranil67@hotmail.com</t>
  </si>
  <si>
    <t>3235657345</t>
  </si>
  <si>
    <t>Taran Dass</t>
  </si>
  <si>
    <t>P2984</t>
  </si>
  <si>
    <t>hrishitasachdeva@kalla-magar.com</t>
  </si>
  <si>
    <t>06093884567</t>
  </si>
  <si>
    <t>Armaan Kapur</t>
  </si>
  <si>
    <t>P2983</t>
  </si>
  <si>
    <t>aniruddhsawhney@gmail.com</t>
  </si>
  <si>
    <t>+918445048640</t>
  </si>
  <si>
    <t>Tushar Apte</t>
  </si>
  <si>
    <t>P2982</t>
  </si>
  <si>
    <t>shlokdeshmukh@baria.org</t>
  </si>
  <si>
    <t>2866331707</t>
  </si>
  <si>
    <t>Unknown</t>
  </si>
  <si>
    <t>Vaibhav Sood</t>
  </si>
  <si>
    <t>P2981</t>
  </si>
  <si>
    <t>divyanshram@wason-subramanian.info</t>
  </si>
  <si>
    <t>+916376166996</t>
  </si>
  <si>
    <t xml:space="preserve">  Zoya Koshy </t>
  </si>
  <si>
    <t>P2980</t>
  </si>
  <si>
    <t>madhupgaba@chand.com</t>
  </si>
  <si>
    <t>04327115517</t>
  </si>
  <si>
    <t>Oncology</t>
  </si>
  <si>
    <t>Nirvi Raj</t>
  </si>
  <si>
    <t>P2979</t>
  </si>
  <si>
    <t>navya02@kumer-vora.biz</t>
  </si>
  <si>
    <t>+919185560263</t>
  </si>
  <si>
    <t>Drishya Gill</t>
  </si>
  <si>
    <t>P2978</t>
  </si>
  <si>
    <t>ranganathandishani@buch.com</t>
  </si>
  <si>
    <t>7320699199</t>
  </si>
  <si>
    <t>Mahika Krishna</t>
  </si>
  <si>
    <t>P2977</t>
  </si>
  <si>
    <t>eshanivarkey@yahoo.com</t>
  </si>
  <si>
    <t>04033220894</t>
  </si>
  <si>
    <t>Nirvaan Gandhi</t>
  </si>
  <si>
    <t>P2976</t>
  </si>
  <si>
    <t>aayushvohra@hotmail.com</t>
  </si>
  <si>
    <t>07713312340</t>
  </si>
  <si>
    <t>Darshit Sabharwal</t>
  </si>
  <si>
    <t>P2975</t>
  </si>
  <si>
    <t>sacharkashvi@suresh-koshy.com</t>
  </si>
  <si>
    <t>9619514849</t>
  </si>
  <si>
    <t>Ritvik Bal</t>
  </si>
  <si>
    <t>P2974</t>
  </si>
  <si>
    <t>vihaanbasak@agate.biz</t>
  </si>
  <si>
    <t>03639536221</t>
  </si>
  <si>
    <t>Amira Wason</t>
  </si>
  <si>
    <t>P2973</t>
  </si>
  <si>
    <t>nirvaankorpal@gmail.com</t>
  </si>
  <si>
    <t>09069855603</t>
  </si>
  <si>
    <t>Jiya Lad</t>
  </si>
  <si>
    <t>P2972</t>
  </si>
  <si>
    <t>gsura@hotmail.com</t>
  </si>
  <si>
    <t>2073640022</t>
  </si>
  <si>
    <t>Dhruv Walia</t>
  </si>
  <si>
    <t>P2971</t>
  </si>
  <si>
    <t>myra55@hotmail.com</t>
  </si>
  <si>
    <t>09076856503</t>
  </si>
  <si>
    <t>Kavya Contractor</t>
  </si>
  <si>
    <t>P2970</t>
  </si>
  <si>
    <t>aayush01@mammen.com</t>
  </si>
  <si>
    <t>00036796423</t>
  </si>
  <si>
    <t>Divij Luthra</t>
  </si>
  <si>
    <t>P2969</t>
  </si>
  <si>
    <t>trivedimehul@konda.com</t>
  </si>
  <si>
    <t>+918696662289</t>
  </si>
  <si>
    <t>Mahika Buch</t>
  </si>
  <si>
    <t>P2968</t>
  </si>
  <si>
    <t>sairagara@sarna.org</t>
  </si>
  <si>
    <t>+914017332296</t>
  </si>
  <si>
    <t>Tarini Kara</t>
  </si>
  <si>
    <t>P2967</t>
  </si>
  <si>
    <t>sidhurati@yahoo.com</t>
  </si>
  <si>
    <t>+916457096711</t>
  </si>
  <si>
    <t>Khushi Saini</t>
  </si>
  <si>
    <t>P2966</t>
  </si>
  <si>
    <t>waliadira@yahoo.com</t>
  </si>
  <si>
    <t>08361574207</t>
  </si>
  <si>
    <t>Kaira Ahuja</t>
  </si>
  <si>
    <t>P2965</t>
  </si>
  <si>
    <t>chauhanshaan@yahoo.com</t>
  </si>
  <si>
    <t>09692256009</t>
  </si>
  <si>
    <t>Yashvi Dhillon</t>
  </si>
  <si>
    <t>P2964</t>
  </si>
  <si>
    <t>anyahans@hotmail.com</t>
  </si>
  <si>
    <t>+914980404156</t>
  </si>
  <si>
    <t>Hrishita Sandal</t>
  </si>
  <si>
    <t>P2963</t>
  </si>
  <si>
    <t>tsawhney@gmail.com</t>
  </si>
  <si>
    <t>+918281850869</t>
  </si>
  <si>
    <t>Veer Mannan</t>
  </si>
  <si>
    <t>P2962</t>
  </si>
  <si>
    <t>dhanuk09@gmail.com</t>
  </si>
  <si>
    <t>03435886461</t>
  </si>
  <si>
    <t>Bhamini Mand</t>
  </si>
  <si>
    <t>P2961</t>
  </si>
  <si>
    <t>nirvidave@ray.org</t>
  </si>
  <si>
    <t>+915048982833</t>
  </si>
  <si>
    <t>Dhanush Contractor</t>
  </si>
  <si>
    <t>P2960</t>
  </si>
  <si>
    <t>bsoman@hotmail.com</t>
  </si>
  <si>
    <t>+915576008755</t>
  </si>
  <si>
    <t>Siya Lad</t>
  </si>
  <si>
    <t>P2959</t>
  </si>
  <si>
    <t>khushizachariah@hotmail.com</t>
  </si>
  <si>
    <t>2861636992</t>
  </si>
  <si>
    <t>Tara Dhillon</t>
  </si>
  <si>
    <t>P2958</t>
  </si>
  <si>
    <t>gdoshi@barad.com</t>
  </si>
  <si>
    <t>5633737859</t>
  </si>
  <si>
    <t>Rania Bassi</t>
  </si>
  <si>
    <t>P2957</t>
  </si>
  <si>
    <t>chandranyakshit@gmail.com</t>
  </si>
  <si>
    <t>02457892908</t>
  </si>
  <si>
    <t>Nehmat Sekhon</t>
  </si>
  <si>
    <t>P2956</t>
  </si>
  <si>
    <t>nakul68@datta.com</t>
  </si>
  <si>
    <t>00039704700</t>
  </si>
  <si>
    <t>Riya Rajagopal</t>
  </si>
  <si>
    <t>P2955</t>
  </si>
  <si>
    <t>gababaiju@gmail.com</t>
  </si>
  <si>
    <t>6744437586</t>
  </si>
  <si>
    <t>Vaibhav Konda</t>
  </si>
  <si>
    <t>P2954</t>
  </si>
  <si>
    <t>rati22@ram.biz</t>
  </si>
  <si>
    <t>04616195673</t>
  </si>
  <si>
    <t>Piya Zachariah</t>
  </si>
  <si>
    <t>P2953</t>
  </si>
  <si>
    <t>kgrewal@cheema-sarin.biz</t>
  </si>
  <si>
    <t>00494940963</t>
  </si>
  <si>
    <t>Miraya Kar</t>
  </si>
  <si>
    <t>P2952</t>
  </si>
  <si>
    <t>bhallasahil@gmail.com</t>
  </si>
  <si>
    <t>+912250708263</t>
  </si>
  <si>
    <t>Lavanya Sengupta</t>
  </si>
  <si>
    <t>P2951</t>
  </si>
  <si>
    <t>myrabansal@yahoo.com</t>
  </si>
  <si>
    <t>3410252679</t>
  </si>
  <si>
    <t>Khushi Bhat</t>
  </si>
  <si>
    <t>P2950</t>
  </si>
  <si>
    <t>parinaaz26@mander.biz</t>
  </si>
  <si>
    <t>+915670504163</t>
  </si>
  <si>
    <t>Sahil Tailor</t>
  </si>
  <si>
    <t>P2949</t>
  </si>
  <si>
    <t>cgoyal@thakur.info</t>
  </si>
  <si>
    <t>3880235726</t>
  </si>
  <si>
    <t>Hrishita Kulkarni</t>
  </si>
  <si>
    <t>P2948</t>
  </si>
  <si>
    <t>lallaarmaan@hotmail.com</t>
  </si>
  <si>
    <t>5593091372</t>
  </si>
  <si>
    <t>Mishti Sabharwal</t>
  </si>
  <si>
    <t>P2947</t>
  </si>
  <si>
    <t>lganesan@lad.com</t>
  </si>
  <si>
    <t>2568783491</t>
  </si>
  <si>
    <t>Chirag Brar</t>
  </si>
  <si>
    <t>P2946</t>
  </si>
  <si>
    <t>ranganathanreyansh@hotmail.com</t>
  </si>
  <si>
    <t>+915500790992</t>
  </si>
  <si>
    <t>Seher Borah</t>
  </si>
  <si>
    <t>P2945</t>
  </si>
  <si>
    <t>sdua@hora-deol.com</t>
  </si>
  <si>
    <t>0441975196</t>
  </si>
  <si>
    <t>Ivana Sule</t>
  </si>
  <si>
    <t>P2944</t>
  </si>
  <si>
    <t>deepsumer@hotmail.com</t>
  </si>
  <si>
    <t>6703492972</t>
  </si>
  <si>
    <t>Divit Luthra</t>
  </si>
  <si>
    <t>P2943</t>
  </si>
  <si>
    <t>khushiramachandran@hotmail.com</t>
  </si>
  <si>
    <t>+915640055222</t>
  </si>
  <si>
    <t>Nitara Bhatti</t>
  </si>
  <si>
    <t>P2942</t>
  </si>
  <si>
    <t>anaybhagat@balan.com</t>
  </si>
  <si>
    <t>9246492832</t>
  </si>
  <si>
    <t>Divyansh Sheth</t>
  </si>
  <si>
    <t>P2941</t>
  </si>
  <si>
    <t>saira11@gmail.com</t>
  </si>
  <si>
    <t>04472707166</t>
  </si>
  <si>
    <t>Shalv Chakraborty</t>
  </si>
  <si>
    <t>P2940</t>
  </si>
  <si>
    <t>sureshojas@gmail.com</t>
  </si>
  <si>
    <t>3140179064</t>
  </si>
  <si>
    <t>Nitya Trivedi</t>
  </si>
  <si>
    <t>P2939</t>
  </si>
  <si>
    <t>lakshitgolla@yahoo.com</t>
  </si>
  <si>
    <t>+910705956146</t>
  </si>
  <si>
    <t>Vritika Babu</t>
  </si>
  <si>
    <t>P2938</t>
  </si>
  <si>
    <t>jsharaf@gmail.com</t>
  </si>
  <si>
    <t>6278303548</t>
  </si>
  <si>
    <t>Elakshi Bhatia</t>
  </si>
  <si>
    <t>P2937</t>
  </si>
  <si>
    <t>kabirsom@hotmail.com</t>
  </si>
  <si>
    <t>+915955797212</t>
  </si>
  <si>
    <t>Kiaan Thakkar</t>
  </si>
  <si>
    <t>P2936</t>
  </si>
  <si>
    <t>adahkrishnan@hotmail.com</t>
  </si>
  <si>
    <t>2922537309</t>
  </si>
  <si>
    <t>Pranay Master</t>
  </si>
  <si>
    <t>P2935</t>
  </si>
  <si>
    <t>aaryahiagrawal@bhatia.info</t>
  </si>
  <si>
    <t>03497088491</t>
  </si>
  <si>
    <t>Nakul Uppal</t>
  </si>
  <si>
    <t>P2934</t>
  </si>
  <si>
    <t>ssridhar@hotmail.com</t>
  </si>
  <si>
    <t>08033970659</t>
  </si>
  <si>
    <t>Yashvi Madan</t>
  </si>
  <si>
    <t>P2933</t>
  </si>
  <si>
    <t>hridaan63@banerjee-swaminathan.biz</t>
  </si>
  <si>
    <t>04379609633</t>
  </si>
  <si>
    <t>Inaaya  Grewal</t>
  </si>
  <si>
    <t>P2932</t>
  </si>
  <si>
    <t>sana39@gmail.com</t>
  </si>
  <si>
    <t>04136747083</t>
  </si>
  <si>
    <t>Vritika Talwar</t>
  </si>
  <si>
    <t>P2931</t>
  </si>
  <si>
    <t>gbir@gmail.com</t>
  </si>
  <si>
    <t>1051494436</t>
  </si>
  <si>
    <t>Vivaan Trivedi</t>
  </si>
  <si>
    <t>P2930</t>
  </si>
  <si>
    <t>dsami@zachariah.biz</t>
  </si>
  <si>
    <t>04934974680</t>
  </si>
  <si>
    <t>Vaibhav Chandra</t>
  </si>
  <si>
    <t>P2929</t>
  </si>
  <si>
    <t>sureshjhanvi@yahoo.com</t>
  </si>
  <si>
    <t>+917359513632</t>
  </si>
  <si>
    <t>Sara Sangha</t>
  </si>
  <si>
    <t>P2928</t>
  </si>
  <si>
    <t>tbedi@ghose-mangal.com</t>
  </si>
  <si>
    <t>4151375267</t>
  </si>
  <si>
    <t>Madhup Chaudry</t>
  </si>
  <si>
    <t>P2927</t>
  </si>
  <si>
    <t>shankeraarush@yahoo.com</t>
  </si>
  <si>
    <t>6047300101</t>
  </si>
  <si>
    <t>Samarth Sunder</t>
  </si>
  <si>
    <t>P2926</t>
  </si>
  <si>
    <t>Room-X</t>
  </si>
  <si>
    <t>jbora@chaudry.biz</t>
  </si>
  <si>
    <t>+916121809483</t>
  </si>
  <si>
    <t>Bhamini Reddy</t>
  </si>
  <si>
    <t>P2925</t>
  </si>
  <si>
    <t>mannanvedika@gmail.com</t>
  </si>
  <si>
    <t>07819822604</t>
  </si>
  <si>
    <t>Yasmin Chada</t>
  </si>
  <si>
    <t>P2924</t>
  </si>
  <si>
    <t>lakshay75@gmail.com</t>
  </si>
  <si>
    <t>07021652197</t>
  </si>
  <si>
    <t>Zaina Thaman</t>
  </si>
  <si>
    <t>P2923</t>
  </si>
  <si>
    <t>mishtigopal@mane.org</t>
  </si>
  <si>
    <t>+915284682787</t>
  </si>
  <si>
    <t>Advika Sastry</t>
  </si>
  <si>
    <t>P2922</t>
  </si>
  <si>
    <t>kapurdhanush@raju.com</t>
  </si>
  <si>
    <t>02159631728</t>
  </si>
  <si>
    <t>Raghav Bahri</t>
  </si>
  <si>
    <t>P2921</t>
  </si>
  <si>
    <t>+917463560758</t>
  </si>
  <si>
    <t>dermatology</t>
  </si>
  <si>
    <t>Lavanya Varughese</t>
  </si>
  <si>
    <t>P2920</t>
  </si>
  <si>
    <t>seherbanik@sinha.com</t>
  </si>
  <si>
    <t>2707795379</t>
  </si>
  <si>
    <t>Samarth Varughese</t>
  </si>
  <si>
    <t>P2919</t>
  </si>
  <si>
    <t>nirvikalla@yahoo.com</t>
  </si>
  <si>
    <t>3356447100</t>
  </si>
  <si>
    <t>Advik Bhatt</t>
  </si>
  <si>
    <t>P2918</t>
  </si>
  <si>
    <t>advikvenkatesh@khare-buch.net</t>
  </si>
  <si>
    <t>+910130386970</t>
  </si>
  <si>
    <t>Myra Dasgupta</t>
  </si>
  <si>
    <t>P2917</t>
  </si>
  <si>
    <t>dixitpranay@khalsa-dugar.com</t>
  </si>
  <si>
    <t>09542572837</t>
  </si>
  <si>
    <t>Elakshi Venkatesh</t>
  </si>
  <si>
    <t>P2916</t>
  </si>
  <si>
    <t>ganesharnav@dey.com</t>
  </si>
  <si>
    <t>6149696834</t>
  </si>
  <si>
    <t>Ivan Sabharwal</t>
  </si>
  <si>
    <t>P2915</t>
  </si>
  <si>
    <t>bhallalavanya@yahoo.com</t>
  </si>
  <si>
    <t>05878920517</t>
  </si>
  <si>
    <t>Indrajit Lalla</t>
  </si>
  <si>
    <t>P2914</t>
  </si>
  <si>
    <t>tiyagill@gmail.com</t>
  </si>
  <si>
    <t>0741836392</t>
  </si>
  <si>
    <t>Manjari Sama</t>
  </si>
  <si>
    <t>P2913</t>
  </si>
  <si>
    <t>subramaniamvedika@sidhu.com</t>
  </si>
  <si>
    <t>+919769004774</t>
  </si>
  <si>
    <t>Veer Lala</t>
  </si>
  <si>
    <t>P2912</t>
  </si>
  <si>
    <t>xraju@uppal.com</t>
  </si>
  <si>
    <t>+913038407891</t>
  </si>
  <si>
    <t>Krish Kothari</t>
  </si>
  <si>
    <t>P2911</t>
  </si>
  <si>
    <t>samiha50@gmail.com</t>
  </si>
  <si>
    <t>09865129062</t>
  </si>
  <si>
    <t>Pihu Mander</t>
  </si>
  <si>
    <t>P2910</t>
  </si>
  <si>
    <t>oorjasarma@rajan.org</t>
  </si>
  <si>
    <t>2384218047</t>
  </si>
  <si>
    <t>Kanav Vohra</t>
  </si>
  <si>
    <t>P2909</t>
  </si>
  <si>
    <t>jmann@grover.com</t>
  </si>
  <si>
    <t>06363637757</t>
  </si>
  <si>
    <t>Nirvi Bir</t>
  </si>
  <si>
    <t>P2908</t>
  </si>
  <si>
    <t>rsubramanian@gmail.com</t>
  </si>
  <si>
    <t>0493138981</t>
  </si>
  <si>
    <t>Miraya Rajagopal</t>
  </si>
  <si>
    <t>P2907</t>
  </si>
  <si>
    <t>advik51@hotmail.com</t>
  </si>
  <si>
    <t>06125438383</t>
  </si>
  <si>
    <t>Saanvi Andra</t>
  </si>
  <si>
    <t>P2906</t>
  </si>
  <si>
    <t>esachdev@sidhu.com</t>
  </si>
  <si>
    <t>3703662198</t>
  </si>
  <si>
    <t>Myra Sanghvi</t>
  </si>
  <si>
    <t>P2905</t>
  </si>
  <si>
    <t>ramakrishnanuthkarsh@yahoo.com</t>
  </si>
  <si>
    <t>03706838682</t>
  </si>
  <si>
    <t>Kabir Lad</t>
  </si>
  <si>
    <t>P2904</t>
  </si>
  <si>
    <t>drishya58@butala.biz</t>
  </si>
  <si>
    <t>7750018115</t>
  </si>
  <si>
    <t>Shayak Soni</t>
  </si>
  <si>
    <t>P2903</t>
  </si>
  <si>
    <t>wchandran@dugar.com</t>
  </si>
  <si>
    <t>07686440809</t>
  </si>
  <si>
    <t>Nirvaan Hari</t>
  </si>
  <si>
    <t>P2902</t>
  </si>
  <si>
    <t>keya99@gmail.com</t>
  </si>
  <si>
    <t>2372398265</t>
  </si>
  <si>
    <t>Ela Varughese</t>
  </si>
  <si>
    <t>P2901</t>
  </si>
  <si>
    <t>miraan11@hotmail.com</t>
  </si>
  <si>
    <t>6397607564</t>
  </si>
  <si>
    <t>Divij Kunda</t>
  </si>
  <si>
    <t>P2900</t>
  </si>
  <si>
    <t>aradhya82@khanna.net</t>
  </si>
  <si>
    <t>1056739054</t>
  </si>
  <si>
    <t>Rohan Shroff</t>
  </si>
  <si>
    <t>P2899</t>
  </si>
  <si>
    <t>tailorumang@keer.com</t>
  </si>
  <si>
    <t>9117006826</t>
  </si>
  <si>
    <t>Lakshit Sarma</t>
  </si>
  <si>
    <t>P2898</t>
  </si>
  <si>
    <t>anaytandon@hotmail.com</t>
  </si>
  <si>
    <t>01624761166</t>
  </si>
  <si>
    <t>Parinaaz Chaudhary</t>
  </si>
  <si>
    <t>P2897</t>
  </si>
  <si>
    <t>tara64@yahoo.com</t>
  </si>
  <si>
    <t>08439781715</t>
  </si>
  <si>
    <t>Kanav Bhardwaj</t>
  </si>
  <si>
    <t>P2896</t>
  </si>
  <si>
    <t>ldeshmukh@khosla.info</t>
  </si>
  <si>
    <t>5985700906</t>
  </si>
  <si>
    <t>Rasha Trivedi</t>
  </si>
  <si>
    <t>P2895</t>
  </si>
  <si>
    <t>vanand@saini.info</t>
  </si>
  <si>
    <t>3955441703</t>
  </si>
  <si>
    <t>Ryan Varty</t>
  </si>
  <si>
    <t>P2894</t>
  </si>
  <si>
    <t>chahaldhanush@sahota-srivastava.com</t>
  </si>
  <si>
    <t>+918244305251</t>
  </si>
  <si>
    <t>Diya Gopal</t>
  </si>
  <si>
    <t>P2893</t>
  </si>
  <si>
    <t>saxenamahika@hegde.com</t>
  </si>
  <si>
    <t>+913509122468</t>
  </si>
  <si>
    <t>Ivana Bajaj</t>
  </si>
  <si>
    <t>P2892</t>
  </si>
  <si>
    <t>tandoneva@kala-jaggi.com</t>
  </si>
  <si>
    <t>3007472307</t>
  </si>
  <si>
    <t>Bhavin Suresh</t>
  </si>
  <si>
    <t>P2891</t>
  </si>
  <si>
    <t>twenty thousand</t>
  </si>
  <si>
    <t>gsachdeva@hotmail.com</t>
  </si>
  <si>
    <t>+914490437073</t>
  </si>
  <si>
    <t xml:space="preserve">  Nakul Chaudhari </t>
  </si>
  <si>
    <t>P2890</t>
  </si>
  <si>
    <t>rbassi@yahoo.com</t>
  </si>
  <si>
    <t>04844223202</t>
  </si>
  <si>
    <t>Zaina Bhavsar</t>
  </si>
  <si>
    <t>P2889</t>
  </si>
  <si>
    <t>adhillon@bhatt.biz</t>
  </si>
  <si>
    <t>9806689644</t>
  </si>
  <si>
    <t>Advik Gara</t>
  </si>
  <si>
    <t>P2888</t>
  </si>
  <si>
    <t>emir89@sachdev-cherian.com</t>
  </si>
  <si>
    <t>+919611523878</t>
  </si>
  <si>
    <t>Tara Dass</t>
  </si>
  <si>
    <t>P2887</t>
  </si>
  <si>
    <t>akarsh79@yahoo.com</t>
  </si>
  <si>
    <t>+910403050477</t>
  </si>
  <si>
    <t>Mehul Bawa</t>
  </si>
  <si>
    <t>P2886</t>
  </si>
  <si>
    <t>dugalojas@gmail.com</t>
  </si>
  <si>
    <t>12345</t>
  </si>
  <si>
    <t>Kartik Ramakrishnan</t>
  </si>
  <si>
    <t>P2885</t>
  </si>
  <si>
    <t>jayant40@hotmail.com</t>
  </si>
  <si>
    <t>05257606656</t>
  </si>
  <si>
    <t>Lakshay Sodhi</t>
  </si>
  <si>
    <t>P2884</t>
  </si>
  <si>
    <t>shanaya56@yahoo.com</t>
  </si>
  <si>
    <t>+916785841496</t>
  </si>
  <si>
    <t>Nishith Lad</t>
  </si>
  <si>
    <t>P2883</t>
  </si>
  <si>
    <t>prishakar@yahoo.com</t>
  </si>
  <si>
    <t>0156302880</t>
  </si>
  <si>
    <t>Shlok Buch</t>
  </si>
  <si>
    <t>P2882</t>
  </si>
  <si>
    <t>mandtaimur@kalita.com</t>
  </si>
  <si>
    <t>8406267785</t>
  </si>
  <si>
    <t>Piya Sachdeva</t>
  </si>
  <si>
    <t>P2881</t>
  </si>
  <si>
    <t>esama@gmail.com</t>
  </si>
  <si>
    <t>7348610054</t>
  </si>
  <si>
    <t>Adira Saha</t>
  </si>
  <si>
    <t>P2880</t>
  </si>
  <si>
    <t>nayantara59@bhattacharyya-goda.biz</t>
  </si>
  <si>
    <t>00786429675</t>
  </si>
  <si>
    <t>Vritika Ravel</t>
  </si>
  <si>
    <t>P2879</t>
  </si>
  <si>
    <t>ranbirchaudry@hotmail.com</t>
  </si>
  <si>
    <t>07522667043</t>
  </si>
  <si>
    <t>Advika Kata</t>
  </si>
  <si>
    <t>P2878</t>
  </si>
  <si>
    <t>pihu72@hotmail.com</t>
  </si>
  <si>
    <t>+910766494046</t>
  </si>
  <si>
    <t>Vivaan Chauhan</t>
  </si>
  <si>
    <t>P2877</t>
  </si>
  <si>
    <t>vanya68@yahoo.com</t>
  </si>
  <si>
    <t>+912100969046</t>
  </si>
  <si>
    <t>Ira Khosla</t>
  </si>
  <si>
    <t>P2876</t>
  </si>
  <si>
    <t>ayeshasachdev@gmail.com</t>
  </si>
  <si>
    <t>3636721934</t>
  </si>
  <si>
    <t>Aniruddh Bhagat</t>
  </si>
  <si>
    <t>P2875</t>
  </si>
  <si>
    <t>vmane@sahni-taneja.com</t>
  </si>
  <si>
    <t>+910332626440</t>
  </si>
  <si>
    <t>Dharmajan Kata</t>
  </si>
  <si>
    <t>P2874</t>
  </si>
  <si>
    <t>ddass@sehgal.com</t>
  </si>
  <si>
    <t>9096812120</t>
  </si>
  <si>
    <t>Eshani Kumar</t>
  </si>
  <si>
    <t>P2873</t>
  </si>
  <si>
    <t>lakshit89@yahoo.com</t>
  </si>
  <si>
    <t>6874295426</t>
  </si>
  <si>
    <t>Bhamini Majumdar</t>
  </si>
  <si>
    <t>P2872</t>
  </si>
  <si>
    <t>rameshsaksham@krishna.info</t>
  </si>
  <si>
    <t>07180580759</t>
  </si>
  <si>
    <t>Divit Krishnamurthy</t>
  </si>
  <si>
    <t>P2871</t>
  </si>
  <si>
    <t>aaravdara@yadav.info</t>
  </si>
  <si>
    <t>08602135380</t>
  </si>
  <si>
    <t>Kashvi Bhasin</t>
  </si>
  <si>
    <t>P1050</t>
  </si>
  <si>
    <t>pkaul@hari.com</t>
  </si>
  <si>
    <t>+914480728908</t>
  </si>
  <si>
    <t>Baiju Venkataraman</t>
  </si>
  <si>
    <t>P2869</t>
  </si>
  <si>
    <t>dasguptaalia@divan-iyengar.com</t>
  </si>
  <si>
    <t>4841536811</t>
  </si>
  <si>
    <t>Sara Madan</t>
  </si>
  <si>
    <t>P2868</t>
  </si>
  <si>
    <t>ahana-86@venkataraman.com</t>
  </si>
  <si>
    <t>+918176621680</t>
  </si>
  <si>
    <t>Shanaya Saini</t>
  </si>
  <si>
    <t>P2867</t>
  </si>
  <si>
    <t>qyadav@yahoo.com</t>
  </si>
  <si>
    <t>+913726580732</t>
  </si>
  <si>
    <t>Prerak Mani</t>
  </si>
  <si>
    <t>P2866</t>
  </si>
  <si>
    <t>divitchowdhury@gmail.com</t>
  </si>
  <si>
    <t>+917138635533</t>
  </si>
  <si>
    <t>Riya Manda</t>
  </si>
  <si>
    <t>P2865</t>
  </si>
  <si>
    <t>tsubramaniam@vala.net</t>
  </si>
  <si>
    <t>00332182996</t>
  </si>
  <si>
    <t>Aarush Srinivas</t>
  </si>
  <si>
    <t>P2864</t>
  </si>
  <si>
    <t>darshitbrar@kant-goel.com</t>
  </si>
  <si>
    <t>08180589914</t>
  </si>
  <si>
    <t>Aarav Karan</t>
  </si>
  <si>
    <t>P2863</t>
  </si>
  <si>
    <t>sdatta@manda.biz</t>
  </si>
  <si>
    <t>+918212110499</t>
  </si>
  <si>
    <t>Dhruv Kapur</t>
  </si>
  <si>
    <t>P2862</t>
  </si>
  <si>
    <t>chandraarhaan@gmail.com</t>
  </si>
  <si>
    <t>3757821873</t>
  </si>
  <si>
    <t>Elakshi Bassi</t>
  </si>
  <si>
    <t>P2861</t>
  </si>
  <si>
    <t>jayansen@yahoo.com</t>
  </si>
  <si>
    <t>+913820452758</t>
  </si>
  <si>
    <t>Reyansh Bhalla</t>
  </si>
  <si>
    <t>P2860</t>
  </si>
  <si>
    <t>sdeshmukh@hotmail.com</t>
  </si>
  <si>
    <t>05277370164</t>
  </si>
  <si>
    <t>Suhana Wable</t>
  </si>
  <si>
    <t>P2859</t>
  </si>
  <si>
    <t>sdixit@sarraf-lalla.org</t>
  </si>
  <si>
    <t>07737289198</t>
  </si>
  <si>
    <t>Faiyaz Yadav</t>
  </si>
  <si>
    <t>P2858</t>
  </si>
  <si>
    <t>dishanisaran@batta.com</t>
  </si>
  <si>
    <t>+917390629952</t>
  </si>
  <si>
    <t>Hiran Garg</t>
  </si>
  <si>
    <t>P2857</t>
  </si>
  <si>
    <t>zeeshan77@gmail.com</t>
  </si>
  <si>
    <t>+914809276820</t>
  </si>
  <si>
    <t>Fateh Shetty</t>
  </si>
  <si>
    <t>P2856</t>
  </si>
  <si>
    <t>taran02@gmail.com</t>
  </si>
  <si>
    <t>06580159279</t>
  </si>
  <si>
    <t>Saanvi Vohra</t>
  </si>
  <si>
    <t>P2855</t>
  </si>
  <si>
    <t>mamooty54@gill.org</t>
  </si>
  <si>
    <t>+914191985684</t>
  </si>
  <si>
    <t>Romil Ben</t>
  </si>
  <si>
    <t>P2854</t>
  </si>
  <si>
    <t>fdeshpande@gmail.com</t>
  </si>
  <si>
    <t>8863741069</t>
  </si>
  <si>
    <t>Dharmajan Dani</t>
  </si>
  <si>
    <t>P2853</t>
  </si>
  <si>
    <t>okunda@yahoo.com</t>
  </si>
  <si>
    <t>6073206161</t>
  </si>
  <si>
    <t>Yasmin Soni</t>
  </si>
  <si>
    <t>P2852</t>
  </si>
  <si>
    <t>anaya87@ghosh-chacko.biz</t>
  </si>
  <si>
    <t>9442017535</t>
  </si>
  <si>
    <t>Aarna Mall</t>
  </si>
  <si>
    <t>P2851</t>
  </si>
  <si>
    <t>devansh19@chaudhari.biz</t>
  </si>
  <si>
    <t>+911839201141</t>
  </si>
  <si>
    <t>Ranbir Basak</t>
  </si>
  <si>
    <t>P2850</t>
  </si>
  <si>
    <t>abram68@arora.com</t>
  </si>
  <si>
    <t>8561971514</t>
  </si>
  <si>
    <t>Divit Bhattacharyya</t>
  </si>
  <si>
    <t>P2849</t>
  </si>
  <si>
    <t>jhanvidhillon@sehgal-dalal.info</t>
  </si>
  <si>
    <t>+918966100002</t>
  </si>
  <si>
    <t>Indrajit Tailor</t>
  </si>
  <si>
    <t>P2848</t>
  </si>
  <si>
    <t>dhanuk17@yahoo.com</t>
  </si>
  <si>
    <t>09328275875</t>
  </si>
  <si>
    <t>Fateh Deshpande</t>
  </si>
  <si>
    <t>P2847</t>
  </si>
  <si>
    <t>ryan22@chada-bhakta.com</t>
  </si>
  <si>
    <t>+919442601687</t>
  </si>
  <si>
    <t>Oorja Sethi</t>
  </si>
  <si>
    <t>P2846</t>
  </si>
  <si>
    <t>shlokbath@hotmail.com</t>
  </si>
  <si>
    <t>00062569375</t>
  </si>
  <si>
    <t>Jhanvi Choudhary</t>
  </si>
  <si>
    <t>P2845</t>
  </si>
  <si>
    <t>ratikoshy@grover.com</t>
  </si>
  <si>
    <t>+917986551418</t>
  </si>
  <si>
    <t>Jiya Baria</t>
  </si>
  <si>
    <t>P2844</t>
  </si>
  <si>
    <t>ksen@sani-soman.org</t>
  </si>
  <si>
    <t>09774396116</t>
  </si>
  <si>
    <t>Yakshit Venkatesh</t>
  </si>
  <si>
    <t>P2843</t>
  </si>
  <si>
    <t>sahapihu@bhat.net</t>
  </si>
  <si>
    <t>+911102182396</t>
  </si>
  <si>
    <t>Nishith Saha</t>
  </si>
  <si>
    <t>P2842</t>
  </si>
  <si>
    <t>edwinishita@dubey-wable.com</t>
  </si>
  <si>
    <t>0208098283</t>
  </si>
  <si>
    <t>Jhanvi Bera</t>
  </si>
  <si>
    <t>P2841</t>
  </si>
  <si>
    <t>+915632364869</t>
  </si>
  <si>
    <t>Khushi Dara</t>
  </si>
  <si>
    <t>P2840</t>
  </si>
  <si>
    <t>kotharikeya@saha.com</t>
  </si>
  <si>
    <t>06399375979</t>
  </si>
  <si>
    <t>Saanvi Rajagopal</t>
  </si>
  <si>
    <t>P2839</t>
  </si>
  <si>
    <t>aaravdalal@shukla.com</t>
  </si>
  <si>
    <t>+911914688211</t>
  </si>
  <si>
    <t>Arnav Ahluwalia</t>
  </si>
  <si>
    <t>P2838</t>
  </si>
  <si>
    <t>sanetanya@chatterjee.info</t>
  </si>
  <si>
    <t>+911970011731</t>
  </si>
  <si>
    <t>Shray Hayer</t>
  </si>
  <si>
    <t>P2837</t>
  </si>
  <si>
    <t>udeep@hotmail.com</t>
  </si>
  <si>
    <t>+913574781911</t>
  </si>
  <si>
    <t>Ranbir Varty</t>
  </si>
  <si>
    <t>P2836</t>
  </si>
  <si>
    <t>rania94@hotmail.com</t>
  </si>
  <si>
    <t>+911507951637</t>
  </si>
  <si>
    <t>Nirvaan Saini</t>
  </si>
  <si>
    <t>P2835</t>
  </si>
  <si>
    <t>surikashvi@saraf-vig.info</t>
  </si>
  <si>
    <t>2928046915</t>
  </si>
  <si>
    <t>Kismat Kala</t>
  </si>
  <si>
    <t>P2834</t>
  </si>
  <si>
    <t>valaahana@gmail.com</t>
  </si>
  <si>
    <t>9907584324</t>
  </si>
  <si>
    <t>Tejas Dhillon</t>
  </si>
  <si>
    <t>P2833</t>
  </si>
  <si>
    <t>xbumb@gmail.com</t>
  </si>
  <si>
    <t>+914207179850</t>
  </si>
  <si>
    <t>Jiya Borah</t>
  </si>
  <si>
    <t>P2832</t>
  </si>
  <si>
    <t>yuvaan17@bhakta.com</t>
  </si>
  <si>
    <t>03966420692</t>
  </si>
  <si>
    <t>Anahi Krishna</t>
  </si>
  <si>
    <t>P2831</t>
  </si>
  <si>
    <t>kartikbassi@apte.biz</t>
  </si>
  <si>
    <t>00389930992</t>
  </si>
  <si>
    <t>Aarna Barman</t>
  </si>
  <si>
    <t>P2830</t>
  </si>
  <si>
    <t>zchhabra@yahoo.com</t>
  </si>
  <si>
    <t>02800969320</t>
  </si>
  <si>
    <t>Diya Sinha</t>
  </si>
  <si>
    <t>P2829</t>
  </si>
  <si>
    <t>ddada@gmail.com</t>
  </si>
  <si>
    <t>5726657839</t>
  </si>
  <si>
    <t>Dhanush Kanda</t>
  </si>
  <si>
    <t>P2828</t>
  </si>
  <si>
    <t>adah18@sur-bakshi.org</t>
  </si>
  <si>
    <t>3622016246</t>
  </si>
  <si>
    <t>Abram Kothari</t>
  </si>
  <si>
    <t>P2827</t>
  </si>
  <si>
    <t>ikeer@krishnan.biz</t>
  </si>
  <si>
    <t>7013429237</t>
  </si>
  <si>
    <t>Neelofar Agrawal</t>
  </si>
  <si>
    <t>P2826</t>
  </si>
  <si>
    <t>srinivasanazad@kota.com</t>
  </si>
  <si>
    <t>+917988879033</t>
  </si>
  <si>
    <t>Hazel Gill</t>
  </si>
  <si>
    <t>P2825</t>
  </si>
  <si>
    <t>cmane@yahoo.com</t>
  </si>
  <si>
    <t>5510196297</t>
  </si>
  <si>
    <t>Tarini Tandon</t>
  </si>
  <si>
    <t>P2824</t>
  </si>
  <si>
    <t>nishith56@bhatia.com</t>
  </si>
  <si>
    <t>8186916452</t>
  </si>
  <si>
    <t>Samaira Sibal</t>
  </si>
  <si>
    <t>P2823</t>
  </si>
  <si>
    <t>miraansem@mall.com</t>
  </si>
  <si>
    <t>07185674405</t>
  </si>
  <si>
    <t>Bhavin Rattan</t>
  </si>
  <si>
    <t>P2822</t>
  </si>
  <si>
    <t>rsibal@chakrabarti-yadav.com</t>
  </si>
  <si>
    <t>+911969740056</t>
  </si>
  <si>
    <t>Oorja Dani</t>
  </si>
  <si>
    <t>P2821</t>
  </si>
  <si>
    <t>gmallick@shere-bava.com</t>
  </si>
  <si>
    <t>04347240033</t>
  </si>
  <si>
    <t>Kabir Ramanathan</t>
  </si>
  <si>
    <t>P2820</t>
  </si>
  <si>
    <t>dhanush28@talwar.com</t>
  </si>
  <si>
    <t>6529967762</t>
  </si>
  <si>
    <t>Keya Raval</t>
  </si>
  <si>
    <t>P2819</t>
  </si>
  <si>
    <t>dasguptaarmaan@agarwal.info</t>
  </si>
  <si>
    <t>7945863100</t>
  </si>
  <si>
    <t>Vritika Sagar</t>
  </si>
  <si>
    <t>P2818</t>
  </si>
  <si>
    <t>zkoshy@yahoo.com</t>
  </si>
  <si>
    <t>06077906114</t>
  </si>
  <si>
    <t>Anahi Dixit</t>
  </si>
  <si>
    <t>P2817</t>
  </si>
  <si>
    <t>sahil06@mani.info</t>
  </si>
  <si>
    <t>+910238171700</t>
  </si>
  <si>
    <t>Arnav Deo</t>
  </si>
  <si>
    <t>P2816</t>
  </si>
  <si>
    <t>kartikbalan@basak.com</t>
  </si>
  <si>
    <t>+913886976844</t>
  </si>
  <si>
    <t>Yasmin Vig</t>
  </si>
  <si>
    <t>P2815</t>
  </si>
  <si>
    <t>kairasur@kari.com</t>
  </si>
  <si>
    <t>03062530459</t>
  </si>
  <si>
    <t>Jiya Kar</t>
  </si>
  <si>
    <t>P2814</t>
  </si>
  <si>
    <t>shalvswaminathan@hotmail.com</t>
  </si>
  <si>
    <t>+916451589757</t>
  </si>
  <si>
    <t>Yakshit Goswami</t>
  </si>
  <si>
    <t>P2813</t>
  </si>
  <si>
    <t>damini83@lal-bhasin.com</t>
  </si>
  <si>
    <t>+913365561483</t>
  </si>
  <si>
    <t>Mamooty Tripathi</t>
  </si>
  <si>
    <t>P2812</t>
  </si>
  <si>
    <t>elakhare@dass-basak.com</t>
  </si>
  <si>
    <t>9573995878</t>
  </si>
  <si>
    <t>Aarna Brahmbhatt</t>
  </si>
  <si>
    <t>P2811</t>
  </si>
  <si>
    <t>nupadhyay@gmail.com</t>
  </si>
  <si>
    <t>02856066257</t>
  </si>
  <si>
    <t>Tarini Shankar</t>
  </si>
  <si>
    <t>P2810</t>
  </si>
  <si>
    <t>suhana48@hotmail.com</t>
  </si>
  <si>
    <t>+910330939665</t>
  </si>
  <si>
    <t>Tiya Mammen</t>
  </si>
  <si>
    <t>P2809</t>
  </si>
  <si>
    <t>uguha@goswami-hegde.com</t>
  </si>
  <si>
    <t>+918519870939</t>
  </si>
  <si>
    <t>Adira Chakraborty</t>
  </si>
  <si>
    <t>P2808</t>
  </si>
  <si>
    <t>rwadhwa@batta.net</t>
  </si>
  <si>
    <t>02807775232</t>
  </si>
  <si>
    <t>Parinaaz Walia</t>
  </si>
  <si>
    <t>P2807</t>
  </si>
  <si>
    <t>rgill@yahoo.com</t>
  </si>
  <si>
    <t>08979655633</t>
  </si>
  <si>
    <t>Pranay Gandhi</t>
  </si>
  <si>
    <t>P2806</t>
  </si>
  <si>
    <t>shenoyvanya@ahuja.com</t>
  </si>
  <si>
    <t>5508354379</t>
  </si>
  <si>
    <t>Shayak Dalal</t>
  </si>
  <si>
    <t>P2805</t>
  </si>
  <si>
    <t>senguptadrishya@magar.com</t>
  </si>
  <si>
    <t>03231981487</t>
  </si>
  <si>
    <t>Oorja Thaker</t>
  </si>
  <si>
    <t>P2804</t>
  </si>
  <si>
    <t>aayushbehl@yahoo.com</t>
  </si>
  <si>
    <t>+911678021464</t>
  </si>
  <si>
    <t>Mishti Dube</t>
  </si>
  <si>
    <t>P2803</t>
  </si>
  <si>
    <t>yuvaanghosh@chakraborty.com</t>
  </si>
  <si>
    <t>03272494784</t>
  </si>
  <si>
    <t>Parinaaz Shanker</t>
  </si>
  <si>
    <t>P2802</t>
  </si>
  <si>
    <t>lkhosla@yahoo.com</t>
  </si>
  <si>
    <t>6703099421</t>
  </si>
  <si>
    <t>Jiya Yadav</t>
  </si>
  <si>
    <t>P2801</t>
  </si>
  <si>
    <t>chackoshalv@gmail.com</t>
  </si>
  <si>
    <t>03330373440</t>
  </si>
  <si>
    <t>oncology</t>
  </si>
  <si>
    <t xml:space="preserve">  Advika Handa </t>
  </si>
  <si>
    <t>P2800</t>
  </si>
  <si>
    <t>vkhosla@rajan.info</t>
  </si>
  <si>
    <t>08568548402</t>
  </si>
  <si>
    <t>Ehsaan Shukla</t>
  </si>
  <si>
    <t>P2799</t>
  </si>
  <si>
    <t>mannankhushi@yahoo.com</t>
  </si>
  <si>
    <t>+910222541894</t>
  </si>
  <si>
    <t>Divyansh Sarraf</t>
  </si>
  <si>
    <t>P2798</t>
  </si>
  <si>
    <t>cwali@yahoo.com</t>
  </si>
  <si>
    <t>+912680862057</t>
  </si>
  <si>
    <t>Advik Sathe</t>
  </si>
  <si>
    <t>P2797</t>
  </si>
  <si>
    <t>indranilgoel@dugal-singhal.info</t>
  </si>
  <si>
    <t>01881517601</t>
  </si>
  <si>
    <t>Arnav Bansal</t>
  </si>
  <si>
    <t>P2796</t>
  </si>
  <si>
    <t>kartik44@gmail.com</t>
  </si>
  <si>
    <t>05725712749</t>
  </si>
  <si>
    <t>Veer Bhatti</t>
  </si>
  <si>
    <t>P2795</t>
  </si>
  <si>
    <t>baradsiya@lata.com</t>
  </si>
  <si>
    <t>+910914809599</t>
  </si>
  <si>
    <t>Nitya Mand</t>
  </si>
  <si>
    <t>P2794</t>
  </si>
  <si>
    <t>advikray@gmail.com</t>
  </si>
  <si>
    <t>+918121179854</t>
  </si>
  <si>
    <t>Stuvan Sunder</t>
  </si>
  <si>
    <t>P2793</t>
  </si>
  <si>
    <t>bumbtanya@dhar-bahl.com</t>
  </si>
  <si>
    <t>05016373527</t>
  </si>
  <si>
    <t>Divit Varghese</t>
  </si>
  <si>
    <t>P2792</t>
  </si>
  <si>
    <t>farhan01@mann-dhar.com</t>
  </si>
  <si>
    <t>+910749956744</t>
  </si>
  <si>
    <t>Vardaniya Jha</t>
  </si>
  <si>
    <t>P2791</t>
  </si>
  <si>
    <t>tarachaudhry@yahoo.com</t>
  </si>
  <si>
    <t>00232175642</t>
  </si>
  <si>
    <t>Nakul Mand</t>
  </si>
  <si>
    <t>P2790</t>
  </si>
  <si>
    <t>zwason@dada.info</t>
  </si>
  <si>
    <t>+911568334317</t>
  </si>
  <si>
    <t>Kavya Chad</t>
  </si>
  <si>
    <t>P2789</t>
  </si>
  <si>
    <t>devanshaggarwal@gala.com</t>
  </si>
  <si>
    <t>+919356153258</t>
  </si>
  <si>
    <t>Zaina Sheth</t>
  </si>
  <si>
    <t>P2788</t>
  </si>
  <si>
    <t>ddutt@hotmail.com</t>
  </si>
  <si>
    <t>+915810300117</t>
  </si>
  <si>
    <t>Ivan Mangal</t>
  </si>
  <si>
    <t>P2787</t>
  </si>
  <si>
    <t>sulekiara@yahoo.com</t>
  </si>
  <si>
    <t>+915207572497</t>
  </si>
  <si>
    <t>Dhruv Borah</t>
  </si>
  <si>
    <t>P2786</t>
  </si>
  <si>
    <t>chaudhryvidur@gmail.com</t>
  </si>
  <si>
    <t>09435198265</t>
  </si>
  <si>
    <t>Ehsaan Upadhyay</t>
  </si>
  <si>
    <t>P2785</t>
  </si>
  <si>
    <t>yasminbahri@kala.com</t>
  </si>
  <si>
    <t>02510982145</t>
  </si>
  <si>
    <t>Neelofar Bains</t>
  </si>
  <si>
    <t>P2784</t>
  </si>
  <si>
    <t>oagate@yahoo.com</t>
  </si>
  <si>
    <t>0422865211</t>
  </si>
  <si>
    <t>Indrajit Bobal</t>
  </si>
  <si>
    <t>P2783</t>
  </si>
  <si>
    <t>rayahana@khurana.com</t>
  </si>
  <si>
    <t>+918359334957</t>
  </si>
  <si>
    <t>Anahita Ramachandran</t>
  </si>
  <si>
    <t>P2782</t>
  </si>
  <si>
    <t>dsandal@yahoo.com</t>
  </si>
  <si>
    <t>+916480938844</t>
  </si>
  <si>
    <t>Eva Kara</t>
  </si>
  <si>
    <t>P2781</t>
  </si>
  <si>
    <t>kbath@hotmail.com</t>
  </si>
  <si>
    <t>00362555980</t>
  </si>
  <si>
    <t>Hridaan Mani</t>
  </si>
  <si>
    <t>P2780</t>
  </si>
  <si>
    <t>gatik62@gmail.com</t>
  </si>
  <si>
    <t>3252109197</t>
  </si>
  <si>
    <t>Urvi Zachariah</t>
  </si>
  <si>
    <t>P2779</t>
  </si>
  <si>
    <t>tara11@lalla.info</t>
  </si>
  <si>
    <t>7698762801</t>
  </si>
  <si>
    <t>Indrans Vora</t>
  </si>
  <si>
    <t>P2778</t>
  </si>
  <si>
    <t>tejas48@gmail.com</t>
  </si>
  <si>
    <t>09866724147</t>
  </si>
  <si>
    <t>Advika Mann</t>
  </si>
  <si>
    <t>P2777</t>
  </si>
  <si>
    <t>kismattalwar@yahoo.com</t>
  </si>
  <si>
    <t>3471178036</t>
  </si>
  <si>
    <t>Kimaya Sridhar</t>
  </si>
  <si>
    <t>P2776</t>
  </si>
  <si>
    <t>bahriprisha@chaudhuri-gole.com</t>
  </si>
  <si>
    <t>+914525864250</t>
  </si>
  <si>
    <t>Keya Barad</t>
  </si>
  <si>
    <t>P2775</t>
  </si>
  <si>
    <t>biju41@sanghvi-mand.com</t>
  </si>
  <si>
    <t>+913576596775</t>
  </si>
  <si>
    <t>Fateh Sha</t>
  </si>
  <si>
    <t>P2774</t>
  </si>
  <si>
    <t>seherdayal@gmail.com</t>
  </si>
  <si>
    <t>2649662373</t>
  </si>
  <si>
    <t>Ivan Roy</t>
  </si>
  <si>
    <t>P2773</t>
  </si>
  <si>
    <t>ekrish@kala.net</t>
  </si>
  <si>
    <t>01993836663</t>
  </si>
  <si>
    <t>Badal Lal</t>
  </si>
  <si>
    <t>P2772</t>
  </si>
  <si>
    <t>zaina70@joshi.com</t>
  </si>
  <si>
    <t>03566208156</t>
  </si>
  <si>
    <t>Aarush Bansal</t>
  </si>
  <si>
    <t>P2771</t>
  </si>
  <si>
    <t>mannmanjari@gmail.com</t>
  </si>
  <si>
    <t>0154160130</t>
  </si>
  <si>
    <t>Arnav Vala</t>
  </si>
  <si>
    <t>P2770</t>
  </si>
  <si>
    <t>ivanaarora@deshmukh.com</t>
  </si>
  <si>
    <t>3549687377</t>
  </si>
  <si>
    <t>Dhanuk Wable</t>
  </si>
  <si>
    <t>P2769</t>
  </si>
  <si>
    <t>malhotrasaanvi@hotmail.com</t>
  </si>
  <si>
    <t>09823272037</t>
  </si>
  <si>
    <t>Ira Mandal</t>
  </si>
  <si>
    <t>P2768</t>
  </si>
  <si>
    <t>drishya76@yahoo.com</t>
  </si>
  <si>
    <t>06725753710</t>
  </si>
  <si>
    <t>Hrishita Gola</t>
  </si>
  <si>
    <t>P2767</t>
  </si>
  <si>
    <t>aarush99@bhagat.com</t>
  </si>
  <si>
    <t>6636177083</t>
  </si>
  <si>
    <t>Heer Sarin</t>
  </si>
  <si>
    <t>P2766</t>
  </si>
  <si>
    <t>yadavarhaan@yahoo.com</t>
  </si>
  <si>
    <t>+918937601854</t>
  </si>
  <si>
    <t>Vanya Mandal</t>
  </si>
  <si>
    <t>P2765</t>
  </si>
  <si>
    <t>senguptaryan@hotmail.com</t>
  </si>
  <si>
    <t>01688316286</t>
  </si>
  <si>
    <t>Hiran Sastry</t>
  </si>
  <si>
    <t>P2764</t>
  </si>
  <si>
    <t>bajwahansh@baria.com</t>
  </si>
  <si>
    <t>7097226644</t>
  </si>
  <si>
    <t>Charvi Walia</t>
  </si>
  <si>
    <t>P2763</t>
  </si>
  <si>
    <t>rashashere@garg-sridhar.info</t>
  </si>
  <si>
    <t>0511331888</t>
  </si>
  <si>
    <t>Ojas Dube</t>
  </si>
  <si>
    <t>P2762</t>
  </si>
  <si>
    <t>divit27@mann.com</t>
  </si>
  <si>
    <t>4719183941</t>
  </si>
  <si>
    <t>Shaan Tella</t>
  </si>
  <si>
    <t>P2761</t>
  </si>
  <si>
    <t>+912144231695</t>
  </si>
  <si>
    <t>Vihaan Barman</t>
  </si>
  <si>
    <t>P2760</t>
  </si>
  <si>
    <t>bajajbhavin@yahoo.com</t>
  </si>
  <si>
    <t>+910162553287</t>
  </si>
  <si>
    <t>Shanaya Sarkar</t>
  </si>
  <si>
    <t>P2759</t>
  </si>
  <si>
    <t>venkataramanishita@sabharwal-dey.net</t>
  </si>
  <si>
    <t>02129281303</t>
  </si>
  <si>
    <t>Azad Vig</t>
  </si>
  <si>
    <t>P2758</t>
  </si>
  <si>
    <t>heerrajan@yahoo.com</t>
  </si>
  <si>
    <t>0680261454</t>
  </si>
  <si>
    <t>Charvi Sura</t>
  </si>
  <si>
    <t>P2757</t>
  </si>
  <si>
    <t>lakshay92@hotmail.com</t>
  </si>
  <si>
    <t>+917636856482</t>
  </si>
  <si>
    <t>Advik Wason</t>
  </si>
  <si>
    <t>P2756</t>
  </si>
  <si>
    <t>ehsaankarpe@chandran.org</t>
  </si>
  <si>
    <t>+916375344856</t>
  </si>
  <si>
    <t>Yasmin Gara</t>
  </si>
  <si>
    <t>P2755</t>
  </si>
  <si>
    <t>ggala@hotmail.com</t>
  </si>
  <si>
    <t>06555583529</t>
  </si>
  <si>
    <t>Tanya Bandi</t>
  </si>
  <si>
    <t>P2754</t>
  </si>
  <si>
    <t>ndayal@gmail.com</t>
  </si>
  <si>
    <t>5177972445</t>
  </si>
  <si>
    <t>Neysa Mangat</t>
  </si>
  <si>
    <t>P2753</t>
  </si>
  <si>
    <t>qramaswamy@hotmail.com</t>
  </si>
  <si>
    <t>7454119106</t>
  </si>
  <si>
    <t>Priyansh Saini</t>
  </si>
  <si>
    <t>P2752</t>
  </si>
  <si>
    <t>prishabhandari@yahoo.com</t>
  </si>
  <si>
    <t>0563580750</t>
  </si>
  <si>
    <t>Yuvaan Dhillon</t>
  </si>
  <si>
    <t>P2751</t>
  </si>
  <si>
    <t>kimaya67@gmail.com</t>
  </si>
  <si>
    <t>3281408203</t>
  </si>
  <si>
    <t>Adah Thakkar</t>
  </si>
  <si>
    <t>P2750</t>
  </si>
  <si>
    <t>mahika15@dora-singh.com</t>
  </si>
  <si>
    <t>+919927447542</t>
  </si>
  <si>
    <t>Vivaan Rout</t>
  </si>
  <si>
    <t>P2749</t>
  </si>
  <si>
    <t>shalvupadhyay@dara.com</t>
  </si>
  <si>
    <t>+919352902480</t>
  </si>
  <si>
    <t>Kanav Tata</t>
  </si>
  <si>
    <t>P2748</t>
  </si>
  <si>
    <t>talwarparinaaz@bhatnagar.com</t>
  </si>
  <si>
    <t>3938829940</t>
  </si>
  <si>
    <t>Aarush Verma</t>
  </si>
  <si>
    <t>P2747</t>
  </si>
  <si>
    <t>indrans17@gmail.com</t>
  </si>
  <si>
    <t>8305492270</t>
  </si>
  <si>
    <t>Faiyaz Dewan</t>
  </si>
  <si>
    <t>P2746</t>
  </si>
  <si>
    <t>anahirastogi@keer-kata.com</t>
  </si>
  <si>
    <t>+914299712385</t>
  </si>
  <si>
    <t>Saksham Ram</t>
  </si>
  <si>
    <t>P2745</t>
  </si>
  <si>
    <t>sankaranpurab@hotmail.com</t>
  </si>
  <si>
    <t>+914614708031</t>
  </si>
  <si>
    <t>Hrishita Bandi</t>
  </si>
  <si>
    <t>P2744</t>
  </si>
  <si>
    <t>kiara49@yahoo.com</t>
  </si>
  <si>
    <t>2214449271</t>
  </si>
  <si>
    <t>Mehul Walia</t>
  </si>
  <si>
    <t>P2743</t>
  </si>
  <si>
    <t>hunarsule@hotmail.com</t>
  </si>
  <si>
    <t>+917394415959</t>
  </si>
  <si>
    <t>Hazel Bahl</t>
  </si>
  <si>
    <t>P2742</t>
  </si>
  <si>
    <t>achokshi@bhat.com</t>
  </si>
  <si>
    <t>08359850687</t>
  </si>
  <si>
    <t>Ela Char</t>
  </si>
  <si>
    <t>P2741</t>
  </si>
  <si>
    <t>nayantaramani@goswami.org</t>
  </si>
  <si>
    <t>Ojas Rajan</t>
  </si>
  <si>
    <t>P2740</t>
  </si>
  <si>
    <t>xtata@yahoo.com</t>
  </si>
  <si>
    <t>3614206289</t>
  </si>
  <si>
    <t>Amani Chahal</t>
  </si>
  <si>
    <t>P2739</t>
  </si>
  <si>
    <t>manneahana@soni.com</t>
  </si>
  <si>
    <t>8890901561</t>
  </si>
  <si>
    <t>Jhanvi Chander</t>
  </si>
  <si>
    <t>P2738</t>
  </si>
  <si>
    <t>darshit89@venkatesh-chander.biz</t>
  </si>
  <si>
    <t>+915198399807</t>
  </si>
  <si>
    <t>Adira Thakkar</t>
  </si>
  <si>
    <t>P2737</t>
  </si>
  <si>
    <t>hegdeprisha@gmail.com</t>
  </si>
  <si>
    <t>1138790156</t>
  </si>
  <si>
    <t>Charvi Bala</t>
  </si>
  <si>
    <t>P2736</t>
  </si>
  <si>
    <t>jamble@deshpande-sehgal.com</t>
  </si>
  <si>
    <t>+916496488083</t>
  </si>
  <si>
    <t>Umang Dixit</t>
  </si>
  <si>
    <t>P2735</t>
  </si>
  <si>
    <t>pmangal@hotmail.com</t>
  </si>
  <si>
    <t>05715219217</t>
  </si>
  <si>
    <t>Seher Sant</t>
  </si>
  <si>
    <t>P2734</t>
  </si>
  <si>
    <t>renee02@hotmail.com</t>
  </si>
  <si>
    <t>00783568483</t>
  </si>
  <si>
    <t>Urvi Krish</t>
  </si>
  <si>
    <t>P2733</t>
  </si>
  <si>
    <t>sampathinaaya@hotmail.com</t>
  </si>
  <si>
    <t>+912901094626</t>
  </si>
  <si>
    <t>Adah Boase</t>
  </si>
  <si>
    <t>P2732</t>
  </si>
  <si>
    <t>bhaktaayesha@hotmail.com</t>
  </si>
  <si>
    <t>04717117968</t>
  </si>
  <si>
    <t>Mannat Mandal</t>
  </si>
  <si>
    <t>P2731</t>
  </si>
  <si>
    <t>barmanabram@hotmail.com</t>
  </si>
  <si>
    <t>08516426682</t>
  </si>
  <si>
    <t>Taran Borra</t>
  </si>
  <si>
    <t>P2730</t>
  </si>
  <si>
    <t>udyal@hotmail.com</t>
  </si>
  <si>
    <t>06864086140</t>
  </si>
  <si>
    <t>Saira Walla</t>
  </si>
  <si>
    <t>P2729</t>
  </si>
  <si>
    <t>tiyayogi@bath-thaker.biz</t>
  </si>
  <si>
    <t>0117393497</t>
  </si>
  <si>
    <t>Anvi Sathe</t>
  </si>
  <si>
    <t>P2728</t>
  </si>
  <si>
    <t>faiyazdeep@hotmail.com</t>
  </si>
  <si>
    <t>1649333324</t>
  </si>
  <si>
    <t>Ela Hora</t>
  </si>
  <si>
    <t>P2727</t>
  </si>
  <si>
    <t>buchrasha@gmail.com</t>
  </si>
  <si>
    <t>04062275299</t>
  </si>
  <si>
    <t>Purab Zacharia</t>
  </si>
  <si>
    <t>P2726</t>
  </si>
  <si>
    <t>kibesumer@sehgal.biz</t>
  </si>
  <si>
    <t>04448445423</t>
  </si>
  <si>
    <t>P2725</t>
  </si>
  <si>
    <t>tanejajayant@yahoo.com</t>
  </si>
  <si>
    <t>+918345613683</t>
  </si>
  <si>
    <t>Ayesha Tandon</t>
  </si>
  <si>
    <t>P2724</t>
  </si>
  <si>
    <t>shuklaadah@gmail.com</t>
  </si>
  <si>
    <t>6439011507</t>
  </si>
  <si>
    <t>Siya Bail</t>
  </si>
  <si>
    <t>P2723</t>
  </si>
  <si>
    <t>hrishitachar@yahoo.com</t>
  </si>
  <si>
    <t>+918751906394</t>
  </si>
  <si>
    <t>Fateh Luthra</t>
  </si>
  <si>
    <t>P2722</t>
  </si>
  <si>
    <t>mgola@bakshi-dora.net</t>
  </si>
  <si>
    <t>+912211392118</t>
  </si>
  <si>
    <t>Zara Kara</t>
  </si>
  <si>
    <t>P2721</t>
  </si>
  <si>
    <t>ikar@comar.info</t>
  </si>
  <si>
    <t>03904964444</t>
  </si>
  <si>
    <t>Divyansh Lata</t>
  </si>
  <si>
    <t>P2720</t>
  </si>
  <si>
    <t>aaryahi37@bhatt.info</t>
  </si>
  <si>
    <t>1991683721</t>
  </si>
  <si>
    <t>Eva Shenoy</t>
  </si>
  <si>
    <t>P2719</t>
  </si>
  <si>
    <t>vlad@hotmail.com</t>
  </si>
  <si>
    <t>1537395868</t>
  </si>
  <si>
    <t>Uthkarsh Toor</t>
  </si>
  <si>
    <t>P2718</t>
  </si>
  <si>
    <t>dharmajan35@khatri.com</t>
  </si>
  <si>
    <t>4432118885</t>
  </si>
  <si>
    <t>Rati Kota</t>
  </si>
  <si>
    <t>P2717</t>
  </si>
  <si>
    <t>kalaaaina@yahoo.com</t>
  </si>
  <si>
    <t>1582970501</t>
  </si>
  <si>
    <t>Bhavin Hayre</t>
  </si>
  <si>
    <t>P2716</t>
  </si>
  <si>
    <t>rheatalwar@yahoo.com</t>
  </si>
  <si>
    <t>5333255559</t>
  </si>
  <si>
    <t>Tarini Bal</t>
  </si>
  <si>
    <t>P2715</t>
  </si>
  <si>
    <t>ldevi@korpal.com</t>
  </si>
  <si>
    <t>09063065683</t>
  </si>
  <si>
    <t>Samar Koshy</t>
  </si>
  <si>
    <t>P2714</t>
  </si>
  <si>
    <t>tbajwa@gmail.com</t>
  </si>
  <si>
    <t>+916709016210</t>
  </si>
  <si>
    <t>Armaan Rajagopal</t>
  </si>
  <si>
    <t>P2713</t>
  </si>
  <si>
    <t>srivastavaaayush@khare.com</t>
  </si>
  <si>
    <t>0940721651</t>
  </si>
  <si>
    <t>Sara Kashyap</t>
  </si>
  <si>
    <t>P2712</t>
  </si>
  <si>
    <t>yasminsethi@gmail.com</t>
  </si>
  <si>
    <t>02414908041</t>
  </si>
  <si>
    <t>Yuvraj  Mani</t>
  </si>
  <si>
    <t>P2711</t>
  </si>
  <si>
    <t>shankardharmajan@hotmail.com</t>
  </si>
  <si>
    <t>05565282095</t>
  </si>
  <si>
    <t xml:space="preserve">  Vedika Tak </t>
  </si>
  <si>
    <t>P2710</t>
  </si>
  <si>
    <t>hmahajan@kaur.com</t>
  </si>
  <si>
    <t>9326631313</t>
  </si>
  <si>
    <t>Ranbir Dubey</t>
  </si>
  <si>
    <t>P2709</t>
  </si>
  <si>
    <t>gokulchanda@gmail.com</t>
  </si>
  <si>
    <t>+916204125323</t>
  </si>
  <si>
    <t>Siya Chad</t>
  </si>
  <si>
    <t>P2708</t>
  </si>
  <si>
    <t>boseyuvaan@gmail.com</t>
  </si>
  <si>
    <t>+910560658035</t>
  </si>
  <si>
    <t>Myra Dixit</t>
  </si>
  <si>
    <t>P2707</t>
  </si>
  <si>
    <t>rajaaaina@hotmail.com</t>
  </si>
  <si>
    <t>1470906932</t>
  </si>
  <si>
    <t>Pihu Bali</t>
  </si>
  <si>
    <t>P2706</t>
  </si>
  <si>
    <t>hbalay@yahoo.com</t>
  </si>
  <si>
    <t>3145116313</t>
  </si>
  <si>
    <t>Sara Basak</t>
  </si>
  <si>
    <t>P2705</t>
  </si>
  <si>
    <t>kavyadhar@gmail.com</t>
  </si>
  <si>
    <t>08176691249</t>
  </si>
  <si>
    <t>Miraan Sahni</t>
  </si>
  <si>
    <t>P2704</t>
  </si>
  <si>
    <t>baijubumb@yahoo.com</t>
  </si>
  <si>
    <t>01852531240</t>
  </si>
  <si>
    <t>Ehsaan Swamy</t>
  </si>
  <si>
    <t>P2703</t>
  </si>
  <si>
    <t>ravelryan@upadhyay.com</t>
  </si>
  <si>
    <t>8906068945</t>
  </si>
  <si>
    <t>Indrajit Soni</t>
  </si>
  <si>
    <t>P2702</t>
  </si>
  <si>
    <t>zain64@sarraf-jayaraman.com</t>
  </si>
  <si>
    <t>03379992977</t>
  </si>
  <si>
    <t>Nishith Bobal</t>
  </si>
  <si>
    <t>P2701</t>
  </si>
  <si>
    <t>nsarin@hotmail.com</t>
  </si>
  <si>
    <t>9979300767</t>
  </si>
  <si>
    <t>Umang Jayaraman</t>
  </si>
  <si>
    <t>ishita28@iyengar.com</t>
  </si>
  <si>
    <t>+915746255154</t>
  </si>
  <si>
    <t>Jhanvi Zachariah</t>
  </si>
  <si>
    <t>P2699</t>
  </si>
  <si>
    <t>sahil69@yahoo.com</t>
  </si>
  <si>
    <t>1095754494</t>
  </si>
  <si>
    <t>Kabir Dhar</t>
  </si>
  <si>
    <t>P2698</t>
  </si>
  <si>
    <t>jvarma@bhakta-sengupta.com</t>
  </si>
  <si>
    <t>+916788664356</t>
  </si>
  <si>
    <t>Ojas Wagle</t>
  </si>
  <si>
    <t>P2697</t>
  </si>
  <si>
    <t>nishithbhargava@bains.com</t>
  </si>
  <si>
    <t>+914522410511</t>
  </si>
  <si>
    <t>Mannat Raju</t>
  </si>
  <si>
    <t>P2696</t>
  </si>
  <si>
    <t>hayreanaya@chana.com</t>
  </si>
  <si>
    <t>08900899205</t>
  </si>
  <si>
    <t>Tara Raman</t>
  </si>
  <si>
    <t>P2695</t>
  </si>
  <si>
    <t>nirvaansarkar@sagar.net</t>
  </si>
  <si>
    <t>6755241675</t>
  </si>
  <si>
    <t>Mannat Vig</t>
  </si>
  <si>
    <t>P2694</t>
  </si>
  <si>
    <t>riya05@hotmail.com</t>
  </si>
  <si>
    <t>9807561772</t>
  </si>
  <si>
    <t>Biju Bose</t>
  </si>
  <si>
    <t>P2693</t>
  </si>
  <si>
    <t>gokul40@divan.com</t>
  </si>
  <si>
    <t>04146698095</t>
  </si>
  <si>
    <t>Gatik Khosla</t>
  </si>
  <si>
    <t>P2692</t>
  </si>
  <si>
    <t>jsom@hotmail.com</t>
  </si>
  <si>
    <t>+911253570592</t>
  </si>
  <si>
    <t>Ivan Randhawa</t>
  </si>
  <si>
    <t>P2691</t>
  </si>
  <si>
    <t>rajagopaldrishya@virk.com</t>
  </si>
  <si>
    <t>4155841015</t>
  </si>
  <si>
    <t>Samaira Biswas</t>
  </si>
  <si>
    <t>P2690</t>
  </si>
  <si>
    <t>miraya84@chaudhary.com</t>
  </si>
  <si>
    <t>+914281023778</t>
  </si>
  <si>
    <t>Veer Khalsa</t>
  </si>
  <si>
    <t>P2689</t>
  </si>
  <si>
    <t>arhaan41@hotmail.com</t>
  </si>
  <si>
    <t>08299109004</t>
  </si>
  <si>
    <t>Rati Korpal</t>
  </si>
  <si>
    <t>P2688</t>
  </si>
  <si>
    <t>nakulverma@yahoo.com</t>
  </si>
  <si>
    <t>09578206644</t>
  </si>
  <si>
    <t>Jivika Bath</t>
  </si>
  <si>
    <t>P2687</t>
  </si>
  <si>
    <t>golachirag@gmail.com</t>
  </si>
  <si>
    <t>04170291726</t>
  </si>
  <si>
    <t>Stuvan Issac</t>
  </si>
  <si>
    <t>P2686</t>
  </si>
  <si>
    <t>jbajaj@gmail.com</t>
  </si>
  <si>
    <t>4999395421</t>
  </si>
  <si>
    <t>Nayantara Raj</t>
  </si>
  <si>
    <t>P2685</t>
  </si>
  <si>
    <t>bgera@kibe.org</t>
  </si>
  <si>
    <t>6309924193</t>
  </si>
  <si>
    <t>Priyansh Kalita</t>
  </si>
  <si>
    <t>P2684</t>
  </si>
  <si>
    <t>qchad@dixit-dar.com</t>
  </si>
  <si>
    <t>+919324090108</t>
  </si>
  <si>
    <t>Jhanvi Sehgal</t>
  </si>
  <si>
    <t>P2683</t>
  </si>
  <si>
    <t>kairatata@gmail.com</t>
  </si>
  <si>
    <t>08767467316</t>
  </si>
  <si>
    <t>Krish Sura</t>
  </si>
  <si>
    <t>P2682</t>
  </si>
  <si>
    <t>zbhardwaj@yahoo.com</t>
  </si>
  <si>
    <t>6003349670</t>
  </si>
  <si>
    <t>Ryan Ratta</t>
  </si>
  <si>
    <t>P2681</t>
  </si>
  <si>
    <t>04944432608</t>
  </si>
  <si>
    <t>pediatrics</t>
  </si>
  <si>
    <t>Ivana Chand</t>
  </si>
  <si>
    <t>P2680</t>
  </si>
  <si>
    <t>wrama@tripathi.biz</t>
  </si>
  <si>
    <t>3244477597</t>
  </si>
  <si>
    <t>Miraya Raman</t>
  </si>
  <si>
    <t>P2679</t>
  </si>
  <si>
    <t>ganesankashvi@yahoo.com</t>
  </si>
  <si>
    <t>3441177430</t>
  </si>
  <si>
    <t>Tanya Singhal</t>
  </si>
  <si>
    <t>P2678</t>
  </si>
  <si>
    <t>hridaan39@gmail.com</t>
  </si>
  <si>
    <t>+917725079142</t>
  </si>
  <si>
    <t>Diya Rout</t>
  </si>
  <si>
    <t>P2677</t>
  </si>
  <si>
    <t>vwalla@lad.com</t>
  </si>
  <si>
    <t>+913342183540</t>
  </si>
  <si>
    <t>Ranbir Dada</t>
  </si>
  <si>
    <t>P2676</t>
  </si>
  <si>
    <t>suhanakapadia@gmail.com</t>
  </si>
  <si>
    <t>08042150449</t>
  </si>
  <si>
    <t>Nehmat Zacharia</t>
  </si>
  <si>
    <t>P2675</t>
  </si>
  <si>
    <t>advik90@yahoo.com</t>
  </si>
  <si>
    <t>+914131867260</t>
  </si>
  <si>
    <t>Trisha Vasa</t>
  </si>
  <si>
    <t>P2674</t>
  </si>
  <si>
    <t>yshenoy@gmail.com</t>
  </si>
  <si>
    <t>05231749789</t>
  </si>
  <si>
    <t>Azad Shenoy</t>
  </si>
  <si>
    <t>P2673</t>
  </si>
  <si>
    <t>cheriankavya@gmail.com</t>
  </si>
  <si>
    <t>07566737656</t>
  </si>
  <si>
    <t>Kiaan Gulati</t>
  </si>
  <si>
    <t>P2672</t>
  </si>
  <si>
    <t>echandra@hotmail.com</t>
  </si>
  <si>
    <t>0681245082</t>
  </si>
  <si>
    <t>Lagan Bawa</t>
  </si>
  <si>
    <t>P2671</t>
  </si>
  <si>
    <t>kanavramakrishnan@gmail.com</t>
  </si>
  <si>
    <t>09174153839</t>
  </si>
  <si>
    <t>Rhea Chand</t>
  </si>
  <si>
    <t>P2670</t>
  </si>
  <si>
    <t>indranskohli@yahoo.com</t>
  </si>
  <si>
    <t>+912993580359</t>
  </si>
  <si>
    <t>Dharmajan Shukla</t>
  </si>
  <si>
    <t>P2669</t>
  </si>
  <si>
    <t>reyansh49@hotmail.com</t>
  </si>
  <si>
    <t>+914895806368</t>
  </si>
  <si>
    <t>Anaya Sandhu</t>
  </si>
  <si>
    <t>P2668</t>
  </si>
  <si>
    <t>zrajan@banik.com</t>
  </si>
  <si>
    <t>9789752900</t>
  </si>
  <si>
    <t>Zoya Deol</t>
  </si>
  <si>
    <t>P2667</t>
  </si>
  <si>
    <t>madhup78@yahoo.com</t>
  </si>
  <si>
    <t>1191383893</t>
  </si>
  <si>
    <t>Riya Mammen</t>
  </si>
  <si>
    <t>P2666</t>
  </si>
  <si>
    <t>purab03@gmail.com</t>
  </si>
  <si>
    <t>05510783440</t>
  </si>
  <si>
    <t>Hridaan Hans</t>
  </si>
  <si>
    <t>P2665</t>
  </si>
  <si>
    <t>akhurana@varkey-wagle.net</t>
  </si>
  <si>
    <t>01498600045</t>
  </si>
  <si>
    <t>Kavya Zachariah</t>
  </si>
  <si>
    <t>P2664</t>
  </si>
  <si>
    <t>kabir00@yahoo.com</t>
  </si>
  <si>
    <t>+914901473761</t>
  </si>
  <si>
    <t>Jayant Balakrishnan</t>
  </si>
  <si>
    <t>P2663</t>
  </si>
  <si>
    <t>trivedineysa@warrior-chowdhury.com</t>
  </si>
  <si>
    <t>02528490309</t>
  </si>
  <si>
    <t>Miraan Madan</t>
  </si>
  <si>
    <t>P2662</t>
  </si>
  <si>
    <t>farhanmammen@din.net</t>
  </si>
  <si>
    <t>02742035217</t>
  </si>
  <si>
    <t>Manikya Deol</t>
  </si>
  <si>
    <t>P2661</t>
  </si>
  <si>
    <t>ntandon@goel.com</t>
  </si>
  <si>
    <t>01696926282</t>
  </si>
  <si>
    <t>Adira Bhasin</t>
  </si>
  <si>
    <t>P2660</t>
  </si>
  <si>
    <t>riyaarora@yahoo.com</t>
  </si>
  <si>
    <t>1400213079</t>
  </si>
  <si>
    <t>Pranay Chanda</t>
  </si>
  <si>
    <t>P2659</t>
  </si>
  <si>
    <t>ochanda@yahoo.com</t>
  </si>
  <si>
    <t>+913470286160</t>
  </si>
  <si>
    <t>Divij Mander</t>
  </si>
  <si>
    <t>P2658</t>
  </si>
  <si>
    <t>heerkala@hotmail.com</t>
  </si>
  <si>
    <t>1676085264</t>
  </si>
  <si>
    <t>Siya Golla</t>
  </si>
  <si>
    <t>P2657</t>
  </si>
  <si>
    <t>shayakgoda@hotmail.com</t>
  </si>
  <si>
    <t>+918741363946</t>
  </si>
  <si>
    <t>Devansh Deshmukh</t>
  </si>
  <si>
    <t>P2656</t>
  </si>
  <si>
    <t>janishanaya@upadhyay.com</t>
  </si>
  <si>
    <t>02745679153</t>
  </si>
  <si>
    <t>Adira Baria</t>
  </si>
  <si>
    <t>P2655</t>
  </si>
  <si>
    <t>chakrabartiazad@bhasin-dubey.com</t>
  </si>
  <si>
    <t>1045308850</t>
  </si>
  <si>
    <t>Mahika Kala</t>
  </si>
  <si>
    <t>P2654</t>
  </si>
  <si>
    <t>ykaur@ahuja-saraf.org</t>
  </si>
  <si>
    <t>3190884871</t>
  </si>
  <si>
    <t>Prisha Kade</t>
  </si>
  <si>
    <t>P2653</t>
  </si>
  <si>
    <t>anaysant@divan.com</t>
  </si>
  <si>
    <t>09383803883</t>
  </si>
  <si>
    <t>Anahita Lall</t>
  </si>
  <si>
    <t>P2652</t>
  </si>
  <si>
    <t>madhup75@gmail.com</t>
  </si>
  <si>
    <t>06653495960</t>
  </si>
  <si>
    <t>Bhavin Bakshi</t>
  </si>
  <si>
    <t>P2651</t>
  </si>
  <si>
    <t>raunakwason@sachar.com</t>
  </si>
  <si>
    <t>3355595569</t>
  </si>
  <si>
    <t>Vanya Dixit</t>
  </si>
  <si>
    <t>P2650</t>
  </si>
  <si>
    <t>dhaliwalemir@iyer.com</t>
  </si>
  <si>
    <t>4943795601</t>
  </si>
  <si>
    <t>Mohanlal Koshy</t>
  </si>
  <si>
    <t>P2649</t>
  </si>
  <si>
    <t>advik86@gmail.com</t>
  </si>
  <si>
    <t>+916406923503</t>
  </si>
  <si>
    <t>Taran Biswas</t>
  </si>
  <si>
    <t>P2648</t>
  </si>
  <si>
    <t>tbail@yahoo.com</t>
  </si>
  <si>
    <t>05849168838</t>
  </si>
  <si>
    <t>Ira Borra</t>
  </si>
  <si>
    <t>P2647</t>
  </si>
  <si>
    <t>khatriira@dey-rattan.biz</t>
  </si>
  <si>
    <t>+914817833033</t>
  </si>
  <si>
    <t>Emir Kadakia</t>
  </si>
  <si>
    <t>P2646</t>
  </si>
  <si>
    <t>achawla@chaudhary.biz</t>
  </si>
  <si>
    <t>+918356596984</t>
  </si>
  <si>
    <t>Ranbir Sibal</t>
  </si>
  <si>
    <t>P2645</t>
  </si>
  <si>
    <t>arorasumer@gmail.com</t>
  </si>
  <si>
    <t>05904751475</t>
  </si>
  <si>
    <t>Anaya Dewan</t>
  </si>
  <si>
    <t>P2644</t>
  </si>
  <si>
    <t>santaarna@wali-bobal.com</t>
  </si>
  <si>
    <t>07549993813</t>
  </si>
  <si>
    <t>Anika Kaul</t>
  </si>
  <si>
    <t>P2643</t>
  </si>
  <si>
    <t>ranbirapte@chandran.com</t>
  </si>
  <si>
    <t>09630348644</t>
  </si>
  <si>
    <t>Prisha Soni</t>
  </si>
  <si>
    <t>P2642</t>
  </si>
  <si>
    <t>horakiara@bandi.com</t>
  </si>
  <si>
    <t>08246084188</t>
  </si>
  <si>
    <t>Ela Dass</t>
  </si>
  <si>
    <t>P2641</t>
  </si>
  <si>
    <t>nishith13@dasgupta.org</t>
  </si>
  <si>
    <t>06516483424</t>
  </si>
  <si>
    <t>Taimur Aurora</t>
  </si>
  <si>
    <t>P2640</t>
  </si>
  <si>
    <t>chadseher@deshpande.net</t>
  </si>
  <si>
    <t>5823380236</t>
  </si>
  <si>
    <t>Shayak Dubey</t>
  </si>
  <si>
    <t>P2639</t>
  </si>
  <si>
    <t>baradmadhav@seth-varty.biz</t>
  </si>
  <si>
    <t>+912272444833</t>
  </si>
  <si>
    <t>Navya Chhabra</t>
  </si>
  <si>
    <t>P2638</t>
  </si>
  <si>
    <t>ivana14@madan-vasa.net</t>
  </si>
  <si>
    <t>9820725486</t>
  </si>
  <si>
    <t>Nirvi Deshpande</t>
  </si>
  <si>
    <t>P2637</t>
  </si>
  <si>
    <t>jyohannan@bail.com</t>
  </si>
  <si>
    <t>+915346243066</t>
  </si>
  <si>
    <t>Shaan Dyal</t>
  </si>
  <si>
    <t>P2636</t>
  </si>
  <si>
    <t>sagrawal@venkatesh-loke.com</t>
  </si>
  <si>
    <t>03817094611</t>
  </si>
  <si>
    <t>Jiya Aurora</t>
  </si>
  <si>
    <t>P2635</t>
  </si>
  <si>
    <t>swaminathanfarhan@devan-baria.com</t>
  </si>
  <si>
    <t>00660414702</t>
  </si>
  <si>
    <t>Elakshi Borde</t>
  </si>
  <si>
    <t>P2634</t>
  </si>
  <si>
    <t>nityachahal@soni.net</t>
  </si>
  <si>
    <t>06267218002</t>
  </si>
  <si>
    <t>Heer Rattan</t>
  </si>
  <si>
    <t>P2633</t>
  </si>
  <si>
    <t>divit32@dugal.com</t>
  </si>
  <si>
    <t>+911006650153</t>
  </si>
  <si>
    <t>Mahika Gandhi</t>
  </si>
  <si>
    <t>P2632</t>
  </si>
  <si>
    <t>seher86@sankar.com</t>
  </si>
  <si>
    <t>07827390679</t>
  </si>
  <si>
    <t>Eva Date</t>
  </si>
  <si>
    <t>P2631</t>
  </si>
  <si>
    <t>ganeshtrisha@hotmail.com</t>
  </si>
  <si>
    <t>09674364852</t>
  </si>
  <si>
    <t>Pari Kalla</t>
  </si>
  <si>
    <t>P2630</t>
  </si>
  <si>
    <t>sharafanay@rao.net</t>
  </si>
  <si>
    <t>0433883607</t>
  </si>
  <si>
    <t>Vanya Soman</t>
  </si>
  <si>
    <t>P2629</t>
  </si>
  <si>
    <t>shayakrajagopal@hotmail.com</t>
  </si>
  <si>
    <t>06641417029</t>
  </si>
  <si>
    <t>Dhruv Seth</t>
  </si>
  <si>
    <t>P2628</t>
  </si>
  <si>
    <t>dsubramaniam@butala-handa.info</t>
  </si>
  <si>
    <t>+910414257383</t>
  </si>
  <si>
    <t>Aaryahi Khanna</t>
  </si>
  <si>
    <t>P2627</t>
  </si>
  <si>
    <t>kashvi28@krishna-bail.info</t>
  </si>
  <si>
    <t>+910104766895</t>
  </si>
  <si>
    <t>Nirvi Kar</t>
  </si>
  <si>
    <t>P2626</t>
  </si>
  <si>
    <t>gdeo@contractor.com</t>
  </si>
  <si>
    <t>9139997631</t>
  </si>
  <si>
    <t>Taimur Chowdhury</t>
  </si>
  <si>
    <t>P2625</t>
  </si>
  <si>
    <t>mallryan@korpal.com</t>
  </si>
  <si>
    <t>07953739563</t>
  </si>
  <si>
    <t>Misha Bajwa</t>
  </si>
  <si>
    <t>P2624</t>
  </si>
  <si>
    <t>fshenoy@chawla.com</t>
  </si>
  <si>
    <t>+912005968396</t>
  </si>
  <si>
    <t>Yashvi Ramanathan</t>
  </si>
  <si>
    <t>P2623</t>
  </si>
  <si>
    <t>arnavmandal@kumar.com</t>
  </si>
  <si>
    <t>08621448394</t>
  </si>
  <si>
    <t>Tiya Devan</t>
  </si>
  <si>
    <t>P2622</t>
  </si>
  <si>
    <t>subramaniamnakul@hotmail.com</t>
  </si>
  <si>
    <t>+918418915031</t>
  </si>
  <si>
    <t>Krish Ratta</t>
  </si>
  <si>
    <t>P2621</t>
  </si>
  <si>
    <t>aniruddh64@yahoo.com</t>
  </si>
  <si>
    <t>9454745273</t>
  </si>
  <si>
    <t xml:space="preserve">  Bhavin Mani </t>
  </si>
  <si>
    <t>P2620</t>
  </si>
  <si>
    <t>dhanushmani@johal.com</t>
  </si>
  <si>
    <t>00589385462</t>
  </si>
  <si>
    <t>Armaan Sathe</t>
  </si>
  <si>
    <t>P2619</t>
  </si>
  <si>
    <t>sinhatejas@yahoo.com</t>
  </si>
  <si>
    <t>7059238825</t>
  </si>
  <si>
    <t>Rati Som</t>
  </si>
  <si>
    <t>P2618</t>
  </si>
  <si>
    <t>mishashanker@datta.com</t>
  </si>
  <si>
    <t>+919192435426</t>
  </si>
  <si>
    <t>Jayant Sekhon</t>
  </si>
  <si>
    <t>P2617</t>
  </si>
  <si>
    <t>drishya23@tandon.com</t>
  </si>
  <si>
    <t>+917505233106</t>
  </si>
  <si>
    <t>Yakshit Goel</t>
  </si>
  <si>
    <t>P2616</t>
  </si>
  <si>
    <t>bsidhu@wable-khanna.com</t>
  </si>
  <si>
    <t>02773502290</t>
  </si>
  <si>
    <t>P2615</t>
  </si>
  <si>
    <t>bmanda@gmail.com</t>
  </si>
  <si>
    <t>+913157858461</t>
  </si>
  <si>
    <t>Rania Bhakta</t>
  </si>
  <si>
    <t>P2614</t>
  </si>
  <si>
    <t>wbali@gmail.com</t>
  </si>
  <si>
    <t>+912410657842</t>
  </si>
  <si>
    <t>Sara Barad</t>
  </si>
  <si>
    <t>P2613</t>
  </si>
  <si>
    <t>kramachandran@gmail.com</t>
  </si>
  <si>
    <t>04460439555</t>
  </si>
  <si>
    <t>Yuvraj  Cheema</t>
  </si>
  <si>
    <t>P2612</t>
  </si>
  <si>
    <t>settymyra@yahoo.com</t>
  </si>
  <si>
    <t>2327344384</t>
  </si>
  <si>
    <t>Prerak Virk</t>
  </si>
  <si>
    <t>P2611</t>
  </si>
  <si>
    <t>hridaangade@gmail.com</t>
  </si>
  <si>
    <t>7656939802</t>
  </si>
  <si>
    <t>Yashvi Maharaj</t>
  </si>
  <si>
    <t>P2610</t>
  </si>
  <si>
    <t>tiyabahl@aurora.biz</t>
  </si>
  <si>
    <t>3015689057</t>
  </si>
  <si>
    <t>Drishya Goyal</t>
  </si>
  <si>
    <t>P2609</t>
  </si>
  <si>
    <t>kismatsankar@wali.biz</t>
  </si>
  <si>
    <t>1008665384</t>
  </si>
  <si>
    <t>Pari Bhagat</t>
  </si>
  <si>
    <t>P2608</t>
  </si>
  <si>
    <t>samarrajan@hotmail.com</t>
  </si>
  <si>
    <t>+916043662065</t>
  </si>
  <si>
    <t>Ojas Arya</t>
  </si>
  <si>
    <t>P2607</t>
  </si>
  <si>
    <t>auroragatik@sarma-sampath.com</t>
  </si>
  <si>
    <t>08776119318</t>
  </si>
  <si>
    <t>Lagan Boase</t>
  </si>
  <si>
    <t>P2606</t>
  </si>
  <si>
    <t>gollariya@gera-maharaj.com</t>
  </si>
  <si>
    <t>7617910672</t>
  </si>
  <si>
    <t>Vaibhav Sachdeva</t>
  </si>
  <si>
    <t>P2605</t>
  </si>
  <si>
    <t>hrishita83@yahoo.com</t>
  </si>
  <si>
    <t>+914502911921</t>
  </si>
  <si>
    <t>Myra Buch</t>
  </si>
  <si>
    <t>P2604</t>
  </si>
  <si>
    <t>bhavsarivan@chahal.com</t>
  </si>
  <si>
    <t>07946463020</t>
  </si>
  <si>
    <t>Pranay Desai</t>
  </si>
  <si>
    <t>P2603</t>
  </si>
  <si>
    <t>pihu42@lall.com</t>
  </si>
  <si>
    <t>06506936991</t>
  </si>
  <si>
    <t>Urvi Yadav</t>
  </si>
  <si>
    <t>P2602</t>
  </si>
  <si>
    <t>suhanadada@gmail.com</t>
  </si>
  <si>
    <t>04079195034</t>
  </si>
  <si>
    <t>Indranil Bal</t>
  </si>
  <si>
    <t>P2601</t>
  </si>
  <si>
    <t>9840390474</t>
  </si>
  <si>
    <t>Drishya Roy</t>
  </si>
  <si>
    <t>P2600</t>
  </si>
  <si>
    <t>jbhavsar@yahoo.com</t>
  </si>
  <si>
    <t>6130858327</t>
  </si>
  <si>
    <t>Tejas Ganesan</t>
  </si>
  <si>
    <t>P2599</t>
  </si>
  <si>
    <t>hupadhyay@gmail.com</t>
  </si>
  <si>
    <t>04726493924</t>
  </si>
  <si>
    <t>Jayant Brahmbhatt</t>
  </si>
  <si>
    <t>P2598</t>
  </si>
  <si>
    <t>prishahayer@yahoo.com</t>
  </si>
  <si>
    <t>9189029736</t>
  </si>
  <si>
    <t>Madhup Verma</t>
  </si>
  <si>
    <t>P2597</t>
  </si>
  <si>
    <t>qdoshi@yahoo.com</t>
  </si>
  <si>
    <t>2498852957</t>
  </si>
  <si>
    <t>Jiya Kant</t>
  </si>
  <si>
    <t>P2596</t>
  </si>
  <si>
    <t>odash@yahoo.com</t>
  </si>
  <si>
    <t>Tushar Chandran</t>
  </si>
  <si>
    <t>P2595</t>
  </si>
  <si>
    <t>neysa77@yahoo.com</t>
  </si>
  <si>
    <t>03147377292</t>
  </si>
  <si>
    <t>Lagan Varughese</t>
  </si>
  <si>
    <t>P2594</t>
  </si>
  <si>
    <t>vsuri@yahoo.com</t>
  </si>
  <si>
    <t>04598765686</t>
  </si>
  <si>
    <t>Vidur Comar</t>
  </si>
  <si>
    <t>P2593</t>
  </si>
  <si>
    <t>bhaminimalhotra@rout-ahluwalia.com</t>
  </si>
  <si>
    <t>2946504690</t>
  </si>
  <si>
    <t>Gatik Banerjee</t>
  </si>
  <si>
    <t>P2592</t>
  </si>
  <si>
    <t>siya69@hotmail.com</t>
  </si>
  <si>
    <t>03900143616</t>
  </si>
  <si>
    <t>Keya Sarna</t>
  </si>
  <si>
    <t>P2591</t>
  </si>
  <si>
    <t>shray27@hotmail.com</t>
  </si>
  <si>
    <t>01186852587</t>
  </si>
  <si>
    <t>Seher Kothari</t>
  </si>
  <si>
    <t>P2590</t>
  </si>
  <si>
    <t>yakshitchoudhury@ghose-lad.com</t>
  </si>
  <si>
    <t>+914362173932</t>
  </si>
  <si>
    <t>Adah Kade</t>
  </si>
  <si>
    <t>P2589</t>
  </si>
  <si>
    <t>jayandada@yahoo.com</t>
  </si>
  <si>
    <t>+917257440468</t>
  </si>
  <si>
    <t>Neelofar Bansal</t>
  </si>
  <si>
    <t>P2588</t>
  </si>
  <si>
    <t>xsundaram@hotmail.com</t>
  </si>
  <si>
    <t>+916531591804</t>
  </si>
  <si>
    <t>Anya Gour</t>
  </si>
  <si>
    <t>P2587</t>
  </si>
  <si>
    <t>xbora@gmail.com</t>
  </si>
  <si>
    <t>0681336677</t>
  </si>
  <si>
    <t>Sara Raju</t>
  </si>
  <si>
    <t>P2586</t>
  </si>
  <si>
    <t>lakshit23@gmail.com</t>
  </si>
  <si>
    <t>+911090383206</t>
  </si>
  <si>
    <t>Aayush Brar</t>
  </si>
  <si>
    <t>P2585</t>
  </si>
  <si>
    <t>zain63@hotmail.com</t>
  </si>
  <si>
    <t>0847135828</t>
  </si>
  <si>
    <t>Renee Kannan</t>
  </si>
  <si>
    <t>P2584</t>
  </si>
  <si>
    <t>dishanigola@hotmail.com</t>
  </si>
  <si>
    <t>6517401641</t>
  </si>
  <si>
    <t>Eshani Seshadri</t>
  </si>
  <si>
    <t>P2583</t>
  </si>
  <si>
    <t>keermohanlal@yahoo.com</t>
  </si>
  <si>
    <t>+915275647369</t>
  </si>
  <si>
    <t>Damini Hayre</t>
  </si>
  <si>
    <t>P2582</t>
  </si>
  <si>
    <t>mishagola@kapoor-dara.biz</t>
  </si>
  <si>
    <t>03677856457</t>
  </si>
  <si>
    <t>Aradhya Shukla</t>
  </si>
  <si>
    <t>P2581</t>
  </si>
  <si>
    <t>jsuresh@warrior.net</t>
  </si>
  <si>
    <t>04915650453</t>
  </si>
  <si>
    <t>Jayesh Gokhale</t>
  </si>
  <si>
    <t>P2580</t>
  </si>
  <si>
    <t>qbhasin@yahoo.com</t>
  </si>
  <si>
    <t>+918435394582</t>
  </si>
  <si>
    <t>Sumer Bhatnagar</t>
  </si>
  <si>
    <t>P2579</t>
  </si>
  <si>
    <t>ayesha41@badal.com</t>
  </si>
  <si>
    <t>04209940884</t>
  </si>
  <si>
    <t>Dhruv Goda</t>
  </si>
  <si>
    <t>P2578</t>
  </si>
  <si>
    <t>dugalishaan@yahoo.com</t>
  </si>
  <si>
    <t>08228878356</t>
  </si>
  <si>
    <t>P2577</t>
  </si>
  <si>
    <t>jverma@sahota-ahluwalia.com</t>
  </si>
  <si>
    <t>07280744947</t>
  </si>
  <si>
    <t>Ahana  Sawhney</t>
  </si>
  <si>
    <t>P2576</t>
  </si>
  <si>
    <t>taran19@dar.org</t>
  </si>
  <si>
    <t>4056553394</t>
  </si>
  <si>
    <t>Dhanush Jayaraman</t>
  </si>
  <si>
    <t>P2575</t>
  </si>
  <si>
    <t>mishtichadha@chandran.com</t>
  </si>
  <si>
    <t>07807711689</t>
  </si>
  <si>
    <t>Gatik Bera</t>
  </si>
  <si>
    <t>P2574</t>
  </si>
  <si>
    <t>xgokhale@gmail.com</t>
  </si>
  <si>
    <t>09224994723</t>
  </si>
  <si>
    <t>Divyansh Din</t>
  </si>
  <si>
    <t>P2573</t>
  </si>
  <si>
    <t>evadey@sawhney.org</t>
  </si>
  <si>
    <t>3609739344</t>
  </si>
  <si>
    <t>Sumer Dixit</t>
  </si>
  <si>
    <t>P2572</t>
  </si>
  <si>
    <t>rdutta@kala-gopal.com</t>
  </si>
  <si>
    <t>00834509153</t>
  </si>
  <si>
    <t>Azad Dash</t>
  </si>
  <si>
    <t>P2571</t>
  </si>
  <si>
    <t>nwalla@hotmail.com</t>
  </si>
  <si>
    <t>+912099146541</t>
  </si>
  <si>
    <t>Indrans Batra</t>
  </si>
  <si>
    <t>P2570</t>
  </si>
  <si>
    <t>beraseher@gmail.com</t>
  </si>
  <si>
    <t>07131421536</t>
  </si>
  <si>
    <t>Lakshay Setty</t>
  </si>
  <si>
    <t>P2569</t>
  </si>
  <si>
    <t>dchawla@hotmail.com</t>
  </si>
  <si>
    <t>4878075272</t>
  </si>
  <si>
    <t>Vanya Sami</t>
  </si>
  <si>
    <t>P2568</t>
  </si>
  <si>
    <t>bijugole@ramanathan-ramesh.com</t>
  </si>
  <si>
    <t>+911387652151</t>
  </si>
  <si>
    <t>Miraan Golla</t>
  </si>
  <si>
    <t>P2567</t>
  </si>
  <si>
    <t>manjari51@yahoo.com</t>
  </si>
  <si>
    <t>05514197594</t>
  </si>
  <si>
    <t>Bhavin Verma</t>
  </si>
  <si>
    <t>P2566</t>
  </si>
  <si>
    <t>armaangaba@yahoo.com</t>
  </si>
  <si>
    <t>6516955123</t>
  </si>
  <si>
    <t>Samiha Virk</t>
  </si>
  <si>
    <t>P2565</t>
  </si>
  <si>
    <t>aaina68@gmail.com</t>
  </si>
  <si>
    <t>+910125809003</t>
  </si>
  <si>
    <t>Jayant Hegde</t>
  </si>
  <si>
    <t>P2564</t>
  </si>
  <si>
    <t>samratara@gmail.com</t>
  </si>
  <si>
    <t>05260560769</t>
  </si>
  <si>
    <t>Vidur Sachar</t>
  </si>
  <si>
    <t>P2563</t>
  </si>
  <si>
    <t>vkapur@yahoo.com</t>
  </si>
  <si>
    <t>+914956862287</t>
  </si>
  <si>
    <t>Aarush Tara</t>
  </si>
  <si>
    <t>P2562</t>
  </si>
  <si>
    <t>vram@talwar.org</t>
  </si>
  <si>
    <t>02276454901</t>
  </si>
  <si>
    <t>Veer Salvi</t>
  </si>
  <si>
    <t>P2561</t>
  </si>
  <si>
    <t>parisrinivas@chaudhry.com</t>
  </si>
  <si>
    <t>0088518877</t>
  </si>
  <si>
    <t>general medicine</t>
  </si>
  <si>
    <t>Myra Rao</t>
  </si>
  <si>
    <t>P2560</t>
  </si>
  <si>
    <t>uben@kannan-garde.com</t>
  </si>
  <si>
    <t>03098529169</t>
  </si>
  <si>
    <t>Raghav Dhar</t>
  </si>
  <si>
    <t>P2559</t>
  </si>
  <si>
    <t>wloyal@yahoo.com</t>
  </si>
  <si>
    <t>00141851757</t>
  </si>
  <si>
    <t>Anay Chander</t>
  </si>
  <si>
    <t>P2558</t>
  </si>
  <si>
    <t>malhotrapriyansh@karpe.info</t>
  </si>
  <si>
    <t>07873609405</t>
  </si>
  <si>
    <t>Ahana  Balasubramanian</t>
  </si>
  <si>
    <t>P2557</t>
  </si>
  <si>
    <t>rohan09@hotmail.com</t>
  </si>
  <si>
    <t>+911149808139</t>
  </si>
  <si>
    <t>Samar Warrior</t>
  </si>
  <si>
    <t>P2556</t>
  </si>
  <si>
    <t>manikya98@mani.net</t>
  </si>
  <si>
    <t>08687290624</t>
  </si>
  <si>
    <t>Neelofar Joshi</t>
  </si>
  <si>
    <t>P2555</t>
  </si>
  <si>
    <t>groverkrish@swamy-saha.info</t>
  </si>
  <si>
    <t>02627597192</t>
  </si>
  <si>
    <t>Aarna Sharaf</t>
  </si>
  <si>
    <t>P2554</t>
  </si>
  <si>
    <t>loyalneysa@tank-singhal.com</t>
  </si>
  <si>
    <t>1320906767</t>
  </si>
  <si>
    <t>Myra Barman</t>
  </si>
  <si>
    <t>P2553</t>
  </si>
  <si>
    <t>dubemadhup@grewal.com</t>
  </si>
  <si>
    <t>6833129406</t>
  </si>
  <si>
    <t>Advik Aurora</t>
  </si>
  <si>
    <t>P2552</t>
  </si>
  <si>
    <t>hridaan21@gmail.com</t>
  </si>
  <si>
    <t>1815802258</t>
  </si>
  <si>
    <t>Samarth Ratti</t>
  </si>
  <si>
    <t>P2551</t>
  </si>
  <si>
    <t>bdasgupta@saxena.info</t>
  </si>
  <si>
    <t>03519430766</t>
  </si>
  <si>
    <t>Rhea Loke</t>
  </si>
  <si>
    <t>P2550</t>
  </si>
  <si>
    <t>reneeshukla@yahoo.com</t>
  </si>
  <si>
    <t>+914426307750</t>
  </si>
  <si>
    <t>Uthkarsh Varty</t>
  </si>
  <si>
    <t>P2549</t>
  </si>
  <si>
    <t>psawhney@boase-dyal.biz</t>
  </si>
  <si>
    <t>01884018503</t>
  </si>
  <si>
    <t>Rania Balakrishnan</t>
  </si>
  <si>
    <t>P2548</t>
  </si>
  <si>
    <t>sethpurab@gmail.com</t>
  </si>
  <si>
    <t>+917814642866</t>
  </si>
  <si>
    <t>Raunak Bajwa</t>
  </si>
  <si>
    <t>P2547</t>
  </si>
  <si>
    <t>dhanush15@khare.com</t>
  </si>
  <si>
    <t>+912079700108</t>
  </si>
  <si>
    <t>Baiju Gandhi</t>
  </si>
  <si>
    <t>P2546</t>
  </si>
  <si>
    <t>emir38@bali.com</t>
  </si>
  <si>
    <t>+910000975564</t>
  </si>
  <si>
    <t>Myra Dass</t>
  </si>
  <si>
    <t>P2545</t>
  </si>
  <si>
    <t>ryan73@kuruvilla-sant.com</t>
  </si>
  <si>
    <t>7103754412</t>
  </si>
  <si>
    <t>Nitya Mahajan</t>
  </si>
  <si>
    <t>P2544</t>
  </si>
  <si>
    <t>shalv71@sethi.com</t>
  </si>
  <si>
    <t>7263194144</t>
  </si>
  <si>
    <t>Jivika Dar</t>
  </si>
  <si>
    <t>P2543</t>
  </si>
  <si>
    <t>aaravbassi@hotmail.com</t>
  </si>
  <si>
    <t>+912149770766</t>
  </si>
  <si>
    <t>Shaan Koshy</t>
  </si>
  <si>
    <t>P2542</t>
  </si>
  <si>
    <t>nayantara26@yahoo.com</t>
  </si>
  <si>
    <t>3157761802</t>
  </si>
  <si>
    <t>Pari Gour</t>
  </si>
  <si>
    <t>P2541</t>
  </si>
  <si>
    <t>abram06@ratti.net</t>
  </si>
  <si>
    <t>2655278261</t>
  </si>
  <si>
    <t>Kartik Bhatti</t>
  </si>
  <si>
    <t>P2540</t>
  </si>
  <si>
    <t>ubakshi@jani-dubey.org</t>
  </si>
  <si>
    <t>6819566581</t>
  </si>
  <si>
    <t>Indrajit Mannan</t>
  </si>
  <si>
    <t>P2539</t>
  </si>
  <si>
    <t>tara89@hotmail.com</t>
  </si>
  <si>
    <t>05225971908</t>
  </si>
  <si>
    <t>Drishya Karan</t>
  </si>
  <si>
    <t>P2538</t>
  </si>
  <si>
    <t>aniruddh51@andra.info</t>
  </si>
  <si>
    <t>01628949256</t>
  </si>
  <si>
    <t>Trisha Contractor</t>
  </si>
  <si>
    <t>P2537</t>
  </si>
  <si>
    <t>ayesha17@arya.com</t>
  </si>
  <si>
    <t>+914503932160</t>
  </si>
  <si>
    <t>Farhan Hans</t>
  </si>
  <si>
    <t>P2536</t>
  </si>
  <si>
    <t>ybera@bora.com</t>
  </si>
  <si>
    <t>0336159066</t>
  </si>
  <si>
    <t>Tarini Goswami</t>
  </si>
  <si>
    <t>P2535</t>
  </si>
  <si>
    <t>kanav39@raja.com</t>
  </si>
  <si>
    <t>+911402951192</t>
  </si>
  <si>
    <t>Kashvi Ahluwalia</t>
  </si>
  <si>
    <t>P2534</t>
  </si>
  <si>
    <t>vritika18@hotmail.com</t>
  </si>
  <si>
    <t>03177550382</t>
  </si>
  <si>
    <t>Tiya Atwal</t>
  </si>
  <si>
    <t>P2533</t>
  </si>
  <si>
    <t>bawatushar@yahoo.com</t>
  </si>
  <si>
    <t>+910107628489</t>
  </si>
  <si>
    <t>Samaira Gala</t>
  </si>
  <si>
    <t>P2532</t>
  </si>
  <si>
    <t>hkurian@ranganathan.com</t>
  </si>
  <si>
    <t>7980529570</t>
  </si>
  <si>
    <t>Raghav Talwar</t>
  </si>
  <si>
    <t>P2531</t>
  </si>
  <si>
    <t>pranay83@hotmail.com</t>
  </si>
  <si>
    <t>09073617392</t>
  </si>
  <si>
    <t xml:space="preserve">  Sahil Singhal </t>
  </si>
  <si>
    <t>asabharwal@yahoo.com</t>
  </si>
  <si>
    <t>08728501393</t>
  </si>
  <si>
    <t>Hridaan Loke</t>
  </si>
  <si>
    <t>P2529</t>
  </si>
  <si>
    <t>kismatdalia@sahni-devi.info</t>
  </si>
  <si>
    <t>03772946897</t>
  </si>
  <si>
    <t>Lavanya Uppal</t>
  </si>
  <si>
    <t>P2528</t>
  </si>
  <si>
    <t>shayak21@hotmail.com</t>
  </si>
  <si>
    <t>03786590231</t>
  </si>
  <si>
    <t>Baiju Sami</t>
  </si>
  <si>
    <t>P2527</t>
  </si>
  <si>
    <t>harirhea@deep-bhattacharyya.com</t>
  </si>
  <si>
    <t>07234314025</t>
  </si>
  <si>
    <t>Raghav Tandon</t>
  </si>
  <si>
    <t>P2526</t>
  </si>
  <si>
    <t>jivin45@mangat.net</t>
  </si>
  <si>
    <t>4663771558</t>
  </si>
  <si>
    <t>Aarush Sarkar</t>
  </si>
  <si>
    <t>P2525</t>
  </si>
  <si>
    <t>vedika26@yahoo.com</t>
  </si>
  <si>
    <t>02034912947</t>
  </si>
  <si>
    <t>Nayantara Johal</t>
  </si>
  <si>
    <t>P2524</t>
  </si>
  <si>
    <t>pihu85@hotmail.com</t>
  </si>
  <si>
    <t>7746049211</t>
  </si>
  <si>
    <t>Madhav Sandal</t>
  </si>
  <si>
    <t>P2523</t>
  </si>
  <si>
    <t>anahi50@hotmail.com</t>
  </si>
  <si>
    <t>4159811302</t>
  </si>
  <si>
    <t>Kimaya Chada</t>
  </si>
  <si>
    <t>P2522</t>
  </si>
  <si>
    <t>zdate@raju.info</t>
  </si>
  <si>
    <t>02629790122</t>
  </si>
  <si>
    <t>Mishti Ganesh</t>
  </si>
  <si>
    <t>P2521</t>
  </si>
  <si>
    <t>09553495823</t>
  </si>
  <si>
    <t>Kabir Magar</t>
  </si>
  <si>
    <t>P2520</t>
  </si>
  <si>
    <t>biju92@hotmail.com</t>
  </si>
  <si>
    <t>+911949314517</t>
  </si>
  <si>
    <t>P2519</t>
  </si>
  <si>
    <t>nitarasrinivasan@walia.com</t>
  </si>
  <si>
    <t>08810760788</t>
  </si>
  <si>
    <t>Jayan Chaudhry</t>
  </si>
  <si>
    <t>P2518</t>
  </si>
  <si>
    <t>daminikapur@gmail.com</t>
  </si>
  <si>
    <t>2751141871</t>
  </si>
  <si>
    <t>Tejas Malhotra</t>
  </si>
  <si>
    <t>P2517</t>
  </si>
  <si>
    <t>pihumaharaj@hotmail.com</t>
  </si>
  <si>
    <t>4788889938</t>
  </si>
  <si>
    <t>Ishita Dayal</t>
  </si>
  <si>
    <t>P2516</t>
  </si>
  <si>
    <t>shavedika@agarwal-gokhale.info</t>
  </si>
  <si>
    <t>+914951465253</t>
  </si>
  <si>
    <t>Yasmin Sule</t>
  </si>
  <si>
    <t>P2515</t>
  </si>
  <si>
    <t>ldeshpande@basu.com</t>
  </si>
  <si>
    <t>4678400836</t>
  </si>
  <si>
    <t>Parinaaz Chandra</t>
  </si>
  <si>
    <t>P2514</t>
  </si>
  <si>
    <t>jkarnik@hotmail.com</t>
  </si>
  <si>
    <t>+912987351544</t>
  </si>
  <si>
    <t>Zeeshan Gokhale</t>
  </si>
  <si>
    <t>P2513</t>
  </si>
  <si>
    <t>ishaan50@hotmail.com</t>
  </si>
  <si>
    <t>01429612676</t>
  </si>
  <si>
    <t>Mahika Ratti</t>
  </si>
  <si>
    <t>P2512</t>
  </si>
  <si>
    <t>anviram@goyal-dara.com</t>
  </si>
  <si>
    <t>8996889186</t>
  </si>
  <si>
    <t>Aaina Jhaveri</t>
  </si>
  <si>
    <t>P2511</t>
  </si>
  <si>
    <t>lakshay08@soni.info</t>
  </si>
  <si>
    <t>03402987103</t>
  </si>
  <si>
    <t>Ishaan Tata</t>
  </si>
  <si>
    <t>P2510</t>
  </si>
  <si>
    <t>mkonda@hotmail.com</t>
  </si>
  <si>
    <t>9294822480</t>
  </si>
  <si>
    <t>Devansh Datta</t>
  </si>
  <si>
    <t>P2509</t>
  </si>
  <si>
    <t>osekhon@zacharia-handa.com</t>
  </si>
  <si>
    <t>9760427024</t>
  </si>
  <si>
    <t>Divyansh Trivedi</t>
  </si>
  <si>
    <t>P2508</t>
  </si>
  <si>
    <t>tarasengupta@guha.com</t>
  </si>
  <si>
    <t>6603126038</t>
  </si>
  <si>
    <t>Arnav Kapur</t>
  </si>
  <si>
    <t>P2507</t>
  </si>
  <si>
    <t>skunda@karnik-bhasin.com</t>
  </si>
  <si>
    <t>07526430735</t>
  </si>
  <si>
    <t>P2506</t>
  </si>
  <si>
    <t>akarsh47@batta-tailor.net</t>
  </si>
  <si>
    <t>6334441494</t>
  </si>
  <si>
    <t>Sana Sarraf</t>
  </si>
  <si>
    <t>P2505</t>
  </si>
  <si>
    <t>emirreddy@hotmail.com</t>
  </si>
  <si>
    <t>5961891372</t>
  </si>
  <si>
    <t>Jivika Sanghvi</t>
  </si>
  <si>
    <t>P2504</t>
  </si>
  <si>
    <t>pbarman@kari.com</t>
  </si>
  <si>
    <t>04487763810</t>
  </si>
  <si>
    <t>Rhea Bobal</t>
  </si>
  <si>
    <t>P2503</t>
  </si>
  <si>
    <t>purabmann@wable-vig.com</t>
  </si>
  <si>
    <t>07180776468</t>
  </si>
  <si>
    <t>Jhanvi Kara</t>
  </si>
  <si>
    <t>P2502</t>
  </si>
  <si>
    <t>mamooty44@dhar.com</t>
  </si>
  <si>
    <t>06301445736</t>
  </si>
  <si>
    <t>Divij Chandra</t>
  </si>
  <si>
    <t>P2501</t>
  </si>
  <si>
    <t>divij81@hotmail.com</t>
  </si>
  <si>
    <t>+917614701878</t>
  </si>
  <si>
    <t>Samaira Banerjee</t>
  </si>
  <si>
    <t>P2500</t>
  </si>
  <si>
    <t>katatara@gmail.com</t>
  </si>
  <si>
    <t>02875090257</t>
  </si>
  <si>
    <t>Ritvik Sunder</t>
  </si>
  <si>
    <t>P2499</t>
  </si>
  <si>
    <t>urvidewan@mannan.com</t>
  </si>
  <si>
    <t>08699084242</t>
  </si>
  <si>
    <t>Hrishita Anne</t>
  </si>
  <si>
    <t>P2498</t>
  </si>
  <si>
    <t>soodjayan@gara-dhar.com</t>
  </si>
  <si>
    <t>1115557499</t>
  </si>
  <si>
    <t>Samar Chacko</t>
  </si>
  <si>
    <t>P2497</t>
  </si>
  <si>
    <t>anvibath@yahoo.com</t>
  </si>
  <si>
    <t>+912077042733</t>
  </si>
  <si>
    <t>Eva Basu</t>
  </si>
  <si>
    <t>P2496</t>
  </si>
  <si>
    <t>iyerpiya@hotmail.com</t>
  </si>
  <si>
    <t>+915837320521</t>
  </si>
  <si>
    <t>Zain Rastogi</t>
  </si>
  <si>
    <t>P2495</t>
  </si>
  <si>
    <t>neelofar25@hotmail.com</t>
  </si>
  <si>
    <t>3201475795</t>
  </si>
  <si>
    <t>Taran Gill</t>
  </si>
  <si>
    <t>P2494</t>
  </si>
  <si>
    <t>nakul97@sachdeva.com</t>
  </si>
  <si>
    <t>5355821760</t>
  </si>
  <si>
    <t>Jayant Singh</t>
  </si>
  <si>
    <t>P2493</t>
  </si>
  <si>
    <t>stuvan13@gulati.com</t>
  </si>
  <si>
    <t>+913748353003</t>
  </si>
  <si>
    <t>Yakshit Chaudry</t>
  </si>
  <si>
    <t>P2492</t>
  </si>
  <si>
    <t>dhanuk76@hotmail.com</t>
  </si>
  <si>
    <t>06520715153</t>
  </si>
  <si>
    <t>Shaan Bir</t>
  </si>
  <si>
    <t>P2491</t>
  </si>
  <si>
    <t>lavanyachacko@yahoo.com</t>
  </si>
  <si>
    <t>00532080055</t>
  </si>
  <si>
    <t>Lavanya Dada</t>
  </si>
  <si>
    <t>P2490</t>
  </si>
  <si>
    <t>priyansh04@vora-gole.com</t>
  </si>
  <si>
    <t>+911526676519</t>
  </si>
  <si>
    <t>Badal Kade</t>
  </si>
  <si>
    <t>P2489</t>
  </si>
  <si>
    <t>shethmadhup@ramesh-goyal.com</t>
  </si>
  <si>
    <t>+917889387692</t>
  </si>
  <si>
    <t>Zoya Venkatesh</t>
  </si>
  <si>
    <t>P2488</t>
  </si>
  <si>
    <t>rashasastry@hotmail.com</t>
  </si>
  <si>
    <t>+910827744150</t>
  </si>
  <si>
    <t>Dhanuk Chacko</t>
  </si>
  <si>
    <t>P2487</t>
  </si>
  <si>
    <t>eshani06@gmail.com</t>
  </si>
  <si>
    <t>+913141815417</t>
  </si>
  <si>
    <t>Mehul Sangha</t>
  </si>
  <si>
    <t>P2486</t>
  </si>
  <si>
    <t>dharindranil@yahoo.com</t>
  </si>
  <si>
    <t>07590477611</t>
  </si>
  <si>
    <t>Inaaya  Kalita</t>
  </si>
  <si>
    <t>P2485</t>
  </si>
  <si>
    <t>karpiya@hotmail.com</t>
  </si>
  <si>
    <t>01809945724</t>
  </si>
  <si>
    <t>Shaan Sabharwal</t>
  </si>
  <si>
    <t>P2484</t>
  </si>
  <si>
    <t>jayesh69@yahoo.com</t>
  </si>
  <si>
    <t>+915467199415</t>
  </si>
  <si>
    <t>Yuvaan Raj</t>
  </si>
  <si>
    <t>P2483</t>
  </si>
  <si>
    <t>samar20@dutta-manne.net</t>
  </si>
  <si>
    <t>6922012138</t>
  </si>
  <si>
    <t>Aniruddh Krishnan</t>
  </si>
  <si>
    <t>P2482</t>
  </si>
  <si>
    <t>glall@hotmail.com</t>
  </si>
  <si>
    <t>4375221498</t>
  </si>
  <si>
    <t>Miraan Kadakia</t>
  </si>
  <si>
    <t>P2481</t>
  </si>
  <si>
    <t>dmahal@dara.com</t>
  </si>
  <si>
    <t>5591815604</t>
  </si>
  <si>
    <t>Ritvik Hora</t>
  </si>
  <si>
    <t>P2480</t>
  </si>
  <si>
    <t>ahujauthkarsh@sandhu-jani.biz</t>
  </si>
  <si>
    <t>09505205067</t>
  </si>
  <si>
    <t>Misha Mall</t>
  </si>
  <si>
    <t>P2479</t>
  </si>
  <si>
    <t>zaravarty@hotmail.com</t>
  </si>
  <si>
    <t>3497567969</t>
  </si>
  <si>
    <t>Miraya Sha</t>
  </si>
  <si>
    <t>P2478</t>
  </si>
  <si>
    <t>mahikadave@chandra.com</t>
  </si>
  <si>
    <t>05840820049</t>
  </si>
  <si>
    <t>Ryan Grewal</t>
  </si>
  <si>
    <t>P2477</t>
  </si>
  <si>
    <t>asandal@ahluwalia-tailor.org</t>
  </si>
  <si>
    <t>01991198086</t>
  </si>
  <si>
    <t>Sana Mander</t>
  </si>
  <si>
    <t>P2476</t>
  </si>
  <si>
    <t>paribhavsar@khurana.com</t>
  </si>
  <si>
    <t>05161315327</t>
  </si>
  <si>
    <t>Reyansh Malhotra</t>
  </si>
  <si>
    <t>P2475</t>
  </si>
  <si>
    <t>piyabanerjee@hotmail.com</t>
  </si>
  <si>
    <t>09723134324</t>
  </si>
  <si>
    <t>Keya Bedi</t>
  </si>
  <si>
    <t>P2474</t>
  </si>
  <si>
    <t>ckeer@lall.net</t>
  </si>
  <si>
    <t>4062564218</t>
  </si>
  <si>
    <t>Emir Banik</t>
  </si>
  <si>
    <t>P2473</t>
  </si>
  <si>
    <t>jayanrege@srinivas.com</t>
  </si>
  <si>
    <t>08001787788</t>
  </si>
  <si>
    <t>Arhaan Subramaniam</t>
  </si>
  <si>
    <t>P2472</t>
  </si>
  <si>
    <t>heer77@yahoo.com</t>
  </si>
  <si>
    <t>8779199869</t>
  </si>
  <si>
    <t>Armaan Datta</t>
  </si>
  <si>
    <t>P2471</t>
  </si>
  <si>
    <t>romilgoda@vora.com</t>
  </si>
  <si>
    <t>06212014644</t>
  </si>
  <si>
    <t>Himmat Dayal</t>
  </si>
  <si>
    <t>P2470</t>
  </si>
  <si>
    <t>riaansekhon@mand.com</t>
  </si>
  <si>
    <t>5534395110</t>
  </si>
  <si>
    <t>Yashvi Lanka</t>
  </si>
  <si>
    <t>P2469</t>
  </si>
  <si>
    <t>bhavsarmamooty@gmail.com</t>
  </si>
  <si>
    <t>2324660839</t>
  </si>
  <si>
    <t>Mohanlal Sathe</t>
  </si>
  <si>
    <t>P2468</t>
  </si>
  <si>
    <t>saira74@kohli.com</t>
  </si>
  <si>
    <t>+917530606495</t>
  </si>
  <si>
    <t>Ehsaan Madan</t>
  </si>
  <si>
    <t>P2467</t>
  </si>
  <si>
    <t>neysachanda@gmail.com</t>
  </si>
  <si>
    <t>4356940274</t>
  </si>
  <si>
    <t>Samar Bansal</t>
  </si>
  <si>
    <t>P2466</t>
  </si>
  <si>
    <t>bbuch@yahoo.com</t>
  </si>
  <si>
    <t>6924918273</t>
  </si>
  <si>
    <t>Yashvi Sahota</t>
  </si>
  <si>
    <t>P2465</t>
  </si>
  <si>
    <t>tarazeeshan@tak-kulkarni.net</t>
  </si>
  <si>
    <t>06251209082</t>
  </si>
  <si>
    <t>Jayesh Sachdeva</t>
  </si>
  <si>
    <t>P2464</t>
  </si>
  <si>
    <t>aggarwalsamaira@yahoo.com</t>
  </si>
  <si>
    <t>03354629123</t>
  </si>
  <si>
    <t>Yuvaan Dugal</t>
  </si>
  <si>
    <t>P2463</t>
  </si>
  <si>
    <t>bhaminisaxena@hotmail.com</t>
  </si>
  <si>
    <t>+912617057625</t>
  </si>
  <si>
    <t>Anahita Vala</t>
  </si>
  <si>
    <t>P2462</t>
  </si>
  <si>
    <t>amirasule@hotmail.com</t>
  </si>
  <si>
    <t>+912846640115</t>
  </si>
  <si>
    <t>Divij Bir</t>
  </si>
  <si>
    <t>P2461</t>
  </si>
  <si>
    <t>madhupbumb@yahoo.com</t>
  </si>
  <si>
    <t>06169735074</t>
  </si>
  <si>
    <t>Zara Banik</t>
  </si>
  <si>
    <t>P2460</t>
  </si>
  <si>
    <t>hsundaram@issac.com</t>
  </si>
  <si>
    <t>7775075629</t>
  </si>
  <si>
    <t>Anahi Yadav</t>
  </si>
  <si>
    <t>P2459</t>
  </si>
  <si>
    <t>fsehgal@gmail.com</t>
  </si>
  <si>
    <t>00750909852</t>
  </si>
  <si>
    <t>Shayak Brar</t>
  </si>
  <si>
    <t>P2458</t>
  </si>
  <si>
    <t>ivan78@johal.com</t>
  </si>
  <si>
    <t>01727419299</t>
  </si>
  <si>
    <t>Lakshay Bobal</t>
  </si>
  <si>
    <t>P2457</t>
  </si>
  <si>
    <t>evaratta@gokhale.org</t>
  </si>
  <si>
    <t>09461557051</t>
  </si>
  <si>
    <t>Ehsaan Virk</t>
  </si>
  <si>
    <t>P2456</t>
  </si>
  <si>
    <t>keyarastogi@trivedi.com</t>
  </si>
  <si>
    <t>+910934440733</t>
  </si>
  <si>
    <t>Eva Lanka</t>
  </si>
  <si>
    <t>P2455</t>
  </si>
  <si>
    <t>skala@hotmail.com</t>
  </si>
  <si>
    <t>+910582215911</t>
  </si>
  <si>
    <t>Kashvi Bal</t>
  </si>
  <si>
    <t>P2454</t>
  </si>
  <si>
    <t>rameshoorja@yahoo.com</t>
  </si>
  <si>
    <t>03002137130</t>
  </si>
  <si>
    <t>Taimur Ganesan</t>
  </si>
  <si>
    <t>P2453</t>
  </si>
  <si>
    <t>deolbhamini@borra.info</t>
  </si>
  <si>
    <t>06212229131</t>
  </si>
  <si>
    <t>Taimur Rama</t>
  </si>
  <si>
    <t>P2452</t>
  </si>
  <si>
    <t>zain30@gmail.com</t>
  </si>
  <si>
    <t>+917899018108</t>
  </si>
  <si>
    <t>Tushar Sheth</t>
  </si>
  <si>
    <t>P2451</t>
  </si>
  <si>
    <t>sridharzeeshan@bhatti.info</t>
  </si>
  <si>
    <t>Anahita Raval</t>
  </si>
  <si>
    <t>P2450</t>
  </si>
  <si>
    <t>reneekala@sha-batra.com</t>
  </si>
  <si>
    <t>0520601983</t>
  </si>
  <si>
    <t>Shray Kumer</t>
  </si>
  <si>
    <t>P2449</t>
  </si>
  <si>
    <t>mamootymadan@yahoo.com</t>
  </si>
  <si>
    <t>3273914486</t>
  </si>
  <si>
    <t>Bhavin Chaudhary</t>
  </si>
  <si>
    <t>P2448</t>
  </si>
  <si>
    <t>kiaandara@thakur.net</t>
  </si>
  <si>
    <t>03798453215</t>
  </si>
  <si>
    <t>Saanvi Bhat</t>
  </si>
  <si>
    <t>P2447</t>
  </si>
  <si>
    <t>raniagoda@wable.biz</t>
  </si>
  <si>
    <t>7819854296</t>
  </si>
  <si>
    <t>Dhanush Bains</t>
  </si>
  <si>
    <t>P2446</t>
  </si>
  <si>
    <t>varmazara@hotmail.com</t>
  </si>
  <si>
    <t>+917280321816</t>
  </si>
  <si>
    <t>Kanav Khanna</t>
  </si>
  <si>
    <t>P2445</t>
  </si>
  <si>
    <t>bhatnagarjhanvi@yahoo.com</t>
  </si>
  <si>
    <t>+914060758005</t>
  </si>
  <si>
    <t>Aayush Varma</t>
  </si>
  <si>
    <t>P2444</t>
  </si>
  <si>
    <t>khareelakshi@zacharia-sahota.info</t>
  </si>
  <si>
    <t>2317725512</t>
  </si>
  <si>
    <t>Diya Mane</t>
  </si>
  <si>
    <t>P2443</t>
  </si>
  <si>
    <t>bvarty@singhal.org</t>
  </si>
  <si>
    <t>03787726104</t>
  </si>
  <si>
    <t>Aarna Chaudhari</t>
  </si>
  <si>
    <t>P2442</t>
  </si>
  <si>
    <t>ishita11@rastogi.com</t>
  </si>
  <si>
    <t>+915950877303</t>
  </si>
  <si>
    <t>Piya Rege</t>
  </si>
  <si>
    <t>P2441</t>
  </si>
  <si>
    <t>09997891454</t>
  </si>
  <si>
    <t>ent</t>
  </si>
  <si>
    <t xml:space="preserve">  Amira Kumer </t>
  </si>
  <si>
    <t>P2440</t>
  </si>
  <si>
    <t>hazelrajagopal@hotmail.com</t>
  </si>
  <si>
    <t>2299111904</t>
  </si>
  <si>
    <t>Emir Bhatt</t>
  </si>
  <si>
    <t>P2439</t>
  </si>
  <si>
    <t>raunakkota@yahoo.com</t>
  </si>
  <si>
    <t>3575733948</t>
  </si>
  <si>
    <t>Yuvaan Ganguly</t>
  </si>
  <si>
    <t>P2438</t>
  </si>
  <si>
    <t>swamyritvik@vaidya.com</t>
  </si>
  <si>
    <t>6504151723</t>
  </si>
  <si>
    <t>Drishya Chadha</t>
  </si>
  <si>
    <t>P2437</t>
  </si>
  <si>
    <t>aayushsabharwal@ravel-mander.com</t>
  </si>
  <si>
    <t>2794273618</t>
  </si>
  <si>
    <t>Bhavin Korpal</t>
  </si>
  <si>
    <t>P2436</t>
  </si>
  <si>
    <t>igupta@gmail.com</t>
  </si>
  <si>
    <t>01114985962</t>
  </si>
  <si>
    <t>Jiya Edwin</t>
  </si>
  <si>
    <t>P2435</t>
  </si>
  <si>
    <t>vanyakunda@hotmail.com</t>
  </si>
  <si>
    <t>03484308152</t>
  </si>
  <si>
    <t>Abram Srinivasan</t>
  </si>
  <si>
    <t>P2434</t>
  </si>
  <si>
    <t>ramakrishnansuhana@gmail.com</t>
  </si>
  <si>
    <t>04436419438</t>
  </si>
  <si>
    <t>Elakshi Dhar</t>
  </si>
  <si>
    <t>P2433</t>
  </si>
  <si>
    <t>shlokbiswas@hotmail.com</t>
  </si>
  <si>
    <t>03674179423</t>
  </si>
  <si>
    <t>Kartik Chawla</t>
  </si>
  <si>
    <t>P2432</t>
  </si>
  <si>
    <t>bhaktadrishya@gmail.com</t>
  </si>
  <si>
    <t>+912814042697</t>
  </si>
  <si>
    <t>Yuvaan Kanda</t>
  </si>
  <si>
    <t>P2431</t>
  </si>
  <si>
    <t>krishraunak@gmail.com</t>
  </si>
  <si>
    <t>02813147969</t>
  </si>
  <si>
    <t>Anya Sheth</t>
  </si>
  <si>
    <t>P2430</t>
  </si>
  <si>
    <t>khushi34@hotmail.com</t>
  </si>
  <si>
    <t>+914933081495</t>
  </si>
  <si>
    <t>Sumer Suri</t>
  </si>
  <si>
    <t>P2429</t>
  </si>
  <si>
    <t>ishaanchopra@hotmail.com</t>
  </si>
  <si>
    <t>6969449223</t>
  </si>
  <si>
    <t>Shanaya Mander</t>
  </si>
  <si>
    <t>P2428</t>
  </si>
  <si>
    <t>dtiwari@yahoo.com</t>
  </si>
  <si>
    <t>+912465252313</t>
  </si>
  <si>
    <t>Ranbir Buch</t>
  </si>
  <si>
    <t>P2427</t>
  </si>
  <si>
    <t>sara97@tank.biz</t>
  </si>
  <si>
    <t>+910682981409</t>
  </si>
  <si>
    <t>Adah Batta</t>
  </si>
  <si>
    <t>P2426</t>
  </si>
  <si>
    <t>anikadube@hotmail.com</t>
  </si>
  <si>
    <t>01810204802</t>
  </si>
  <si>
    <t>Himmat Sundaram</t>
  </si>
  <si>
    <t>P2425</t>
  </si>
  <si>
    <t>bhallazara@yahoo.com</t>
  </si>
  <si>
    <t>03724372948</t>
  </si>
  <si>
    <t>Hunar Mander</t>
  </si>
  <si>
    <t>P2424</t>
  </si>
  <si>
    <t>alisha55@amble.org</t>
  </si>
  <si>
    <t>+915013892478</t>
  </si>
  <si>
    <t>Kavya Ganesh</t>
  </si>
  <si>
    <t>P2423</t>
  </si>
  <si>
    <t>chandranishith@gmail.com</t>
  </si>
  <si>
    <t>+918860868901</t>
  </si>
  <si>
    <t>Jiya Varughese</t>
  </si>
  <si>
    <t>P2422</t>
  </si>
  <si>
    <t>hgolla@krishna.com</t>
  </si>
  <si>
    <t>06666984914</t>
  </si>
  <si>
    <t>Nayantara Dua</t>
  </si>
  <si>
    <t>P2421</t>
  </si>
  <si>
    <t>walijiya@hotmail.com</t>
  </si>
  <si>
    <t>7778028901</t>
  </si>
  <si>
    <t>Diya Ganesh</t>
  </si>
  <si>
    <t>P2420</t>
  </si>
  <si>
    <t>shethzara@yahoo.com</t>
  </si>
  <si>
    <t>1094365929</t>
  </si>
  <si>
    <t>Zoya Ray</t>
  </si>
  <si>
    <t>P2419</t>
  </si>
  <si>
    <t>advik91@hotmail.com</t>
  </si>
  <si>
    <t>4974265411</t>
  </si>
  <si>
    <t>Oorja Savant</t>
  </si>
  <si>
    <t>P2418</t>
  </si>
  <si>
    <t>vritikabanerjee@gmail.com</t>
  </si>
  <si>
    <t>02943653564</t>
  </si>
  <si>
    <t>Kaira Venkatesh</t>
  </si>
  <si>
    <t>P2417</t>
  </si>
  <si>
    <t>taimur40@bhandari.info</t>
  </si>
  <si>
    <t>05045171757</t>
  </si>
  <si>
    <t>Abram Madan</t>
  </si>
  <si>
    <t>P2416</t>
  </si>
  <si>
    <t>krish52@tiwari.com</t>
  </si>
  <si>
    <t>+918176096144</t>
  </si>
  <si>
    <t>Nakul Kulkarni</t>
  </si>
  <si>
    <t>P2415</t>
  </si>
  <si>
    <t>golladharmajan@chadha.com</t>
  </si>
  <si>
    <t>+916208945897</t>
  </si>
  <si>
    <t>Rohan Bath</t>
  </si>
  <si>
    <t>P2414</t>
  </si>
  <si>
    <t>comararadhya@chakraborty.com</t>
  </si>
  <si>
    <t>5641020094</t>
  </si>
  <si>
    <t>Kanav Kumar</t>
  </si>
  <si>
    <t>P2413</t>
  </si>
  <si>
    <t>arhaanrau@rau.com</t>
  </si>
  <si>
    <t>+911372729932</t>
  </si>
  <si>
    <t>Aarna Toor</t>
  </si>
  <si>
    <t>P2412</t>
  </si>
  <si>
    <t>aradhyadalia@gmail.com</t>
  </si>
  <si>
    <t>4838016260</t>
  </si>
  <si>
    <t>Miraan Bassi</t>
  </si>
  <si>
    <t>P2411</t>
  </si>
  <si>
    <t>oraja@gmail.com</t>
  </si>
  <si>
    <t>09164231724</t>
  </si>
  <si>
    <t>Samiha Kala</t>
  </si>
  <si>
    <t>P2410</t>
  </si>
  <si>
    <t>borareyansh@deo-gole.com</t>
  </si>
  <si>
    <t>6237805727</t>
  </si>
  <si>
    <t>Kismat Yadav</t>
  </si>
  <si>
    <t>P2409</t>
  </si>
  <si>
    <t>tarini74@roy.net</t>
  </si>
  <si>
    <t>5420622823</t>
  </si>
  <si>
    <t>Romil Saha</t>
  </si>
  <si>
    <t>P2408</t>
  </si>
  <si>
    <t>chanderkiaan@kara-ray.biz</t>
  </si>
  <si>
    <t>+916778837693</t>
  </si>
  <si>
    <t>Khushi Sodhi</t>
  </si>
  <si>
    <t>P2407</t>
  </si>
  <si>
    <t>nirvaansawhney@contractor-raju.org</t>
  </si>
  <si>
    <t>9023949348</t>
  </si>
  <si>
    <t>Yuvaan Bandi</t>
  </si>
  <si>
    <t>P2406</t>
  </si>
  <si>
    <t>bmander@yahoo.com</t>
  </si>
  <si>
    <t>08579346522</t>
  </si>
  <si>
    <t>Shamik Devan</t>
  </si>
  <si>
    <t>P2405</t>
  </si>
  <si>
    <t>hansh35@yahoo.com</t>
  </si>
  <si>
    <t>02102529933</t>
  </si>
  <si>
    <t>Inaaya  Sahota</t>
  </si>
  <si>
    <t>P2404</t>
  </si>
  <si>
    <t>raghav69@master.com</t>
  </si>
  <si>
    <t>03616193618</t>
  </si>
  <si>
    <t>Divit Deshmukh</t>
  </si>
  <si>
    <t>P2403</t>
  </si>
  <si>
    <t>jbalakrishnan@gmail.com</t>
  </si>
  <si>
    <t>+914377947880</t>
  </si>
  <si>
    <t>Jayan Kunda</t>
  </si>
  <si>
    <t>P2402</t>
  </si>
  <si>
    <t>zeeshanhegde@chopra.com</t>
  </si>
  <si>
    <t>1921884409</t>
  </si>
  <si>
    <t>Hazel Raju</t>
  </si>
  <si>
    <t>P2401</t>
  </si>
  <si>
    <t>hrishita10@boase-wable.com</t>
  </si>
  <si>
    <t>+911776181710</t>
  </si>
  <si>
    <t>Rohan Gokhale</t>
  </si>
  <si>
    <t>P2400</t>
  </si>
  <si>
    <t>hsodhi@gmail.com</t>
  </si>
  <si>
    <t>01442909434</t>
  </si>
  <si>
    <t>Divyansh Balasubramanian</t>
  </si>
  <si>
    <t>P2399</t>
  </si>
  <si>
    <t>hrishita03@hotmail.com</t>
  </si>
  <si>
    <t>+914752543470</t>
  </si>
  <si>
    <t>Tiya Mani</t>
  </si>
  <si>
    <t>P2398</t>
  </si>
  <si>
    <t>vanya94@yahoo.com</t>
  </si>
  <si>
    <t>01177232031</t>
  </si>
  <si>
    <t>Mahika Bora</t>
  </si>
  <si>
    <t>P2397</t>
  </si>
  <si>
    <t>anahitabumb@yahoo.com</t>
  </si>
  <si>
    <t>05423772905</t>
  </si>
  <si>
    <t>Nirvaan Dua</t>
  </si>
  <si>
    <t>P2396</t>
  </si>
  <si>
    <t>zchatterjee@yahoo.com</t>
  </si>
  <si>
    <t>+912724468400</t>
  </si>
  <si>
    <t>Madhav Hayre</t>
  </si>
  <si>
    <t>P2395</t>
  </si>
  <si>
    <t>owali@golla-mangal.com</t>
  </si>
  <si>
    <t>2929213127</t>
  </si>
  <si>
    <t>Shalv Sem</t>
  </si>
  <si>
    <t>P2394</t>
  </si>
  <si>
    <t>himmatsani@yahoo.com</t>
  </si>
  <si>
    <t>09895915335</t>
  </si>
  <si>
    <t>Darshit Joshi</t>
  </si>
  <si>
    <t>P2393</t>
  </si>
  <si>
    <t>hirandoctor@tiwari.net</t>
  </si>
  <si>
    <t>+918746898976</t>
  </si>
  <si>
    <t>Madhav Issac</t>
  </si>
  <si>
    <t>P2392</t>
  </si>
  <si>
    <t>anahi07@hotmail.com</t>
  </si>
  <si>
    <t>03302651243</t>
  </si>
  <si>
    <t>Gatik Bala</t>
  </si>
  <si>
    <t>P2391</t>
  </si>
  <si>
    <t>ytalwar@gmail.com</t>
  </si>
  <si>
    <t>04941044625</t>
  </si>
  <si>
    <t>Pranay Kari</t>
  </si>
  <si>
    <t>P2390</t>
  </si>
  <si>
    <t>chiragsuri@saxena.net</t>
  </si>
  <si>
    <t>0308907223</t>
  </si>
  <si>
    <t>Prerak Yadav</t>
  </si>
  <si>
    <t>P2389</t>
  </si>
  <si>
    <t>jiyajohal@yahoo.com</t>
  </si>
  <si>
    <t>+914043183372</t>
  </si>
  <si>
    <t>Ritvik Chaudhari</t>
  </si>
  <si>
    <t>P2388</t>
  </si>
  <si>
    <t>ulala@ravel-sibal.com</t>
  </si>
  <si>
    <t>01010081225</t>
  </si>
  <si>
    <t>Elakshi Sangha</t>
  </si>
  <si>
    <t>P2387</t>
  </si>
  <si>
    <t>piya25@shukla-deo.info</t>
  </si>
  <si>
    <t>7112165942</t>
  </si>
  <si>
    <t>Eva Sibal</t>
  </si>
  <si>
    <t>P2386</t>
  </si>
  <si>
    <t>zaintripathi@suresh.com</t>
  </si>
  <si>
    <t>+913217356934</t>
  </si>
  <si>
    <t>Aarush Seshadri</t>
  </si>
  <si>
    <t>P2385</t>
  </si>
  <si>
    <t>dishani71@bath.com</t>
  </si>
  <si>
    <t>7814178051</t>
  </si>
  <si>
    <t>Nehmat Bakshi</t>
  </si>
  <si>
    <t>P2384</t>
  </si>
  <si>
    <t>adahkannan@gmail.com</t>
  </si>
  <si>
    <t>06851075869</t>
  </si>
  <si>
    <t>Jiya Wable</t>
  </si>
  <si>
    <t>P2383</t>
  </si>
  <si>
    <t>csarna@yahoo.com</t>
  </si>
  <si>
    <t>03851112838</t>
  </si>
  <si>
    <t>Tushar Babu</t>
  </si>
  <si>
    <t>P2382</t>
  </si>
  <si>
    <t>aainashroff@kakar-mangal.com</t>
  </si>
  <si>
    <t>2141618585</t>
  </si>
  <si>
    <t>Chirag Chaudry</t>
  </si>
  <si>
    <t>P2381</t>
  </si>
  <si>
    <t>sarinaarush@datta.com</t>
  </si>
  <si>
    <t>0257516915</t>
  </si>
  <si>
    <t>P2380</t>
  </si>
  <si>
    <t>bhattkabir@sharaf-chadha.com</t>
  </si>
  <si>
    <t>7978867494</t>
  </si>
  <si>
    <t>Ishita Mall</t>
  </si>
  <si>
    <t>P2379</t>
  </si>
  <si>
    <t>broy@chauhan.com</t>
  </si>
  <si>
    <t>+919697325224</t>
  </si>
  <si>
    <t>Lavanya Deo</t>
  </si>
  <si>
    <t>P2378</t>
  </si>
  <si>
    <t>jivin75@suresh-master.com</t>
  </si>
  <si>
    <t>01684146594</t>
  </si>
  <si>
    <t>Adira Raman</t>
  </si>
  <si>
    <t>P2377</t>
  </si>
  <si>
    <t>himmatthakur@hotmail.com</t>
  </si>
  <si>
    <t>8735729534</t>
  </si>
  <si>
    <t>Samar Basak</t>
  </si>
  <si>
    <t>P2376</t>
  </si>
  <si>
    <t>pyohannan@bhatti.com</t>
  </si>
  <si>
    <t>09781562985</t>
  </si>
  <si>
    <t>Mahika Lall</t>
  </si>
  <si>
    <t>P2375</t>
  </si>
  <si>
    <t>rati73@baral.biz</t>
  </si>
  <si>
    <t>06404925861</t>
  </si>
  <si>
    <t>Krish Choudhary</t>
  </si>
  <si>
    <t>P2374</t>
  </si>
  <si>
    <t>choudhuryraghav@yahoo.com</t>
  </si>
  <si>
    <t>4495186785</t>
  </si>
  <si>
    <t>Amani Bhakta</t>
  </si>
  <si>
    <t>P2373</t>
  </si>
  <si>
    <t>daminichokshi@yahoo.com</t>
  </si>
  <si>
    <t>+913059997141</t>
  </si>
  <si>
    <t>Parinaaz Varty</t>
  </si>
  <si>
    <t>P2372</t>
  </si>
  <si>
    <t>vsengupta@gmail.com</t>
  </si>
  <si>
    <t>06243428744</t>
  </si>
  <si>
    <t>Nitya Varghese</t>
  </si>
  <si>
    <t>P2371</t>
  </si>
  <si>
    <t>deshmukheshani@hotmail.com</t>
  </si>
  <si>
    <t>+913045162481</t>
  </si>
  <si>
    <t>Yashvi Hari</t>
  </si>
  <si>
    <t>P2370</t>
  </si>
  <si>
    <t>samarth28@gulati.net</t>
  </si>
  <si>
    <t>07052683459</t>
  </si>
  <si>
    <t>Samarth Acharya</t>
  </si>
  <si>
    <t>P2369</t>
  </si>
  <si>
    <t>trisha46@yahoo.com</t>
  </si>
  <si>
    <t>07999777970</t>
  </si>
  <si>
    <t>Elakshi Bajwa</t>
  </si>
  <si>
    <t>P2368</t>
  </si>
  <si>
    <t>kartik05@chanda-bali.info</t>
  </si>
  <si>
    <t>6845013014</t>
  </si>
  <si>
    <t>Dhruv Ghosh</t>
  </si>
  <si>
    <t>P2367</t>
  </si>
  <si>
    <t>aryazaina@bandi.com</t>
  </si>
  <si>
    <t>01671741102</t>
  </si>
  <si>
    <t>Mehul Keer</t>
  </si>
  <si>
    <t>P2366</t>
  </si>
  <si>
    <t>biju50@gmail.com</t>
  </si>
  <si>
    <t>0429258961</t>
  </si>
  <si>
    <t>Azad Kale</t>
  </si>
  <si>
    <t>P2365</t>
  </si>
  <si>
    <t>ryan45@sant.com</t>
  </si>
  <si>
    <t>+914590800690</t>
  </si>
  <si>
    <t>Ritvik Dhingra</t>
  </si>
  <si>
    <t>P2364</t>
  </si>
  <si>
    <t>pkhare@sanghvi.biz</t>
  </si>
  <si>
    <t>9121545137</t>
  </si>
  <si>
    <t>Pihu Din</t>
  </si>
  <si>
    <t>P2363</t>
  </si>
  <si>
    <t>fateh79@badami.com</t>
  </si>
  <si>
    <t>6169376648</t>
  </si>
  <si>
    <t>Riya Aggarwal</t>
  </si>
  <si>
    <t>P2362</t>
  </si>
  <si>
    <t>nirvi38@grewal.com</t>
  </si>
  <si>
    <t>+912987396195</t>
  </si>
  <si>
    <t>Kimaya Lad</t>
  </si>
  <si>
    <t>P2361</t>
  </si>
  <si>
    <t>05497316213</t>
  </si>
  <si>
    <t>Ivana Bobal</t>
  </si>
  <si>
    <t>chiragdesai@gmail.com</t>
  </si>
  <si>
    <t>5986646612</t>
  </si>
  <si>
    <t>Indrajit Sachdeva</t>
  </si>
  <si>
    <t>P2359</t>
  </si>
  <si>
    <t>agatejhanvi@gmail.com</t>
  </si>
  <si>
    <t>00271702365</t>
  </si>
  <si>
    <t>Renee Hayer</t>
  </si>
  <si>
    <t>P2358</t>
  </si>
  <si>
    <t>romil69@hotmail.com</t>
  </si>
  <si>
    <t>8146441484</t>
  </si>
  <si>
    <t>Krish Sibal</t>
  </si>
  <si>
    <t>P2357</t>
  </si>
  <si>
    <t>yakshitbalakrishnan@sant.org</t>
  </si>
  <si>
    <t>+914473451199</t>
  </si>
  <si>
    <t>Indrans Rama</t>
  </si>
  <si>
    <t>P2356</t>
  </si>
  <si>
    <t>lalaaryahi@yahoo.com</t>
  </si>
  <si>
    <t>+917105749129</t>
  </si>
  <si>
    <t>Neelofar Krish</t>
  </si>
  <si>
    <t>P2355</t>
  </si>
  <si>
    <t>yuvraj-86@mani-borra.info</t>
  </si>
  <si>
    <t>+913284730036</t>
  </si>
  <si>
    <t>Aaina Bakshi</t>
  </si>
  <si>
    <t>P2354</t>
  </si>
  <si>
    <t>darlagan@raman.biz</t>
  </si>
  <si>
    <t>3522274365</t>
  </si>
  <si>
    <t>Indranil Warrior</t>
  </si>
  <si>
    <t>P2353</t>
  </si>
  <si>
    <t>yakshit43@borde.com</t>
  </si>
  <si>
    <t>+917719031188</t>
  </si>
  <si>
    <t>Kavya Soni</t>
  </si>
  <si>
    <t>P2352</t>
  </si>
  <si>
    <t>ibava@khare.biz</t>
  </si>
  <si>
    <t>+911987700993</t>
  </si>
  <si>
    <t>Zoya Khanna</t>
  </si>
  <si>
    <t>P2351</t>
  </si>
  <si>
    <t>elakshivora@gade-agarwal.biz</t>
  </si>
  <si>
    <t>08802012842</t>
  </si>
  <si>
    <t xml:space="preserve">  Anvi Kannan </t>
  </si>
  <si>
    <t>P2350</t>
  </si>
  <si>
    <t>drishya43@gmail.com</t>
  </si>
  <si>
    <t>05402203180</t>
  </si>
  <si>
    <t>Vidur Sundaram</t>
  </si>
  <si>
    <t>P2349</t>
  </si>
  <si>
    <t>rohansathe@gmail.com</t>
  </si>
  <si>
    <t>03306195490</t>
  </si>
  <si>
    <t>Jayant Shah</t>
  </si>
  <si>
    <t>P2348</t>
  </si>
  <si>
    <t>useshadri@gmail.com</t>
  </si>
  <si>
    <t>6617003929</t>
  </si>
  <si>
    <t>Prerak Tata</t>
  </si>
  <si>
    <t>P2347</t>
  </si>
  <si>
    <t>sbatta@bansal.com</t>
  </si>
  <si>
    <t>1858144879</t>
  </si>
  <si>
    <t>Advika Zachariah</t>
  </si>
  <si>
    <t>P2346</t>
  </si>
  <si>
    <t>manikya22@yahoo.com</t>
  </si>
  <si>
    <t>04818808810</t>
  </si>
  <si>
    <t>Aarna Bhattacharyya</t>
  </si>
  <si>
    <t>P2345</t>
  </si>
  <si>
    <t>zthaman@hotmail.com</t>
  </si>
  <si>
    <t>00769681487</t>
  </si>
  <si>
    <t>Lagan Dasgupta</t>
  </si>
  <si>
    <t>P2344</t>
  </si>
  <si>
    <t>thanda@bhatti.biz</t>
  </si>
  <si>
    <t>+916678296260</t>
  </si>
  <si>
    <t>Anahi Kamdar</t>
  </si>
  <si>
    <t>P2343</t>
  </si>
  <si>
    <t>ramanyasmin@hotmail.com</t>
  </si>
  <si>
    <t>09680105327</t>
  </si>
  <si>
    <t>Divij Kuruvilla</t>
  </si>
  <si>
    <t>P2342</t>
  </si>
  <si>
    <t>dhegde@gmail.com</t>
  </si>
  <si>
    <t>09677252574</t>
  </si>
  <si>
    <t>Stuvan Dixit</t>
  </si>
  <si>
    <t>P2341</t>
  </si>
  <si>
    <t>krishjivika@gmail.com</t>
  </si>
  <si>
    <t>5583994314</t>
  </si>
  <si>
    <t>Vardaniya Gour</t>
  </si>
  <si>
    <t>P2340</t>
  </si>
  <si>
    <t>wsarraf@hotmail.com</t>
  </si>
  <si>
    <t>1588448023</t>
  </si>
  <si>
    <t>Mamooty Ganguly</t>
  </si>
  <si>
    <t>P2339</t>
  </si>
  <si>
    <t>senguptajivika@sur-tripathi.com</t>
  </si>
  <si>
    <t>0856902886</t>
  </si>
  <si>
    <t>Kavya Deep</t>
  </si>
  <si>
    <t>P2338</t>
  </si>
  <si>
    <t>zkonda@gmail.com</t>
  </si>
  <si>
    <t>02386990313</t>
  </si>
  <si>
    <t>Ela Lad</t>
  </si>
  <si>
    <t>P2337</t>
  </si>
  <si>
    <t>uchaudhuri@loke.com</t>
  </si>
  <si>
    <t>9831913578</t>
  </si>
  <si>
    <t>Ritvik Ganesh</t>
  </si>
  <si>
    <t>P2336</t>
  </si>
  <si>
    <t>korpaldarshit@venkatesh.com</t>
  </si>
  <si>
    <t>+911458566490</t>
  </si>
  <si>
    <t>Ayesha Bains</t>
  </si>
  <si>
    <t>P2335</t>
  </si>
  <si>
    <t>trishabhagat@gmail.com</t>
  </si>
  <si>
    <t>02384269742</t>
  </si>
  <si>
    <t>Nehmat Chaudhary</t>
  </si>
  <si>
    <t>P2334</t>
  </si>
  <si>
    <t>tejas75@shah-baral.com</t>
  </si>
  <si>
    <t>08037332130</t>
  </si>
  <si>
    <t>Aarush Virk</t>
  </si>
  <si>
    <t>P2333</t>
  </si>
  <si>
    <t>zaradar@hotmail.com</t>
  </si>
  <si>
    <t>+919811974782</t>
  </si>
  <si>
    <t>Khushi Shenoy</t>
  </si>
  <si>
    <t>P2332</t>
  </si>
  <si>
    <t>obose@karpe.com</t>
  </si>
  <si>
    <t>09016314158</t>
  </si>
  <si>
    <t>Piya Chawla</t>
  </si>
  <si>
    <t>P2331</t>
  </si>
  <si>
    <t>lagan03@rastogi.com</t>
  </si>
  <si>
    <t>1572843078</t>
  </si>
  <si>
    <t>Indranil Ahluwalia</t>
  </si>
  <si>
    <t>P2330</t>
  </si>
  <si>
    <t>deepnirvaan@chaudry.com</t>
  </si>
  <si>
    <t>2596095011</t>
  </si>
  <si>
    <t>Ishita Gill</t>
  </si>
  <si>
    <t>P2329</t>
  </si>
  <si>
    <t>ojasdubey@mane.com</t>
  </si>
  <si>
    <t>2029721046</t>
  </si>
  <si>
    <t>Dharmajan Tandon</t>
  </si>
  <si>
    <t>P2328</t>
  </si>
  <si>
    <t>bhattiyuvraj@sen.com</t>
  </si>
  <si>
    <t>+914091973361</t>
  </si>
  <si>
    <t>Stuvan Soni</t>
  </si>
  <si>
    <t>P2327</t>
  </si>
  <si>
    <t>ughosh@gmail.com</t>
  </si>
  <si>
    <t>09644303187</t>
  </si>
  <si>
    <t>Taimur Sani</t>
  </si>
  <si>
    <t>P2326</t>
  </si>
  <si>
    <t>ajaggi@bali.com</t>
  </si>
  <si>
    <t>2898776823</t>
  </si>
  <si>
    <t>Misha Kari</t>
  </si>
  <si>
    <t>P2325</t>
  </si>
  <si>
    <t>purabkulkarni@banerjee.biz</t>
  </si>
  <si>
    <t>0981729875</t>
  </si>
  <si>
    <t>Nitara Tank</t>
  </si>
  <si>
    <t>P2324</t>
  </si>
  <si>
    <t>reneerastogi@gola-rau.com</t>
  </si>
  <si>
    <t>04013459038</t>
  </si>
  <si>
    <t>Ehsaan Halder</t>
  </si>
  <si>
    <t>P2323</t>
  </si>
  <si>
    <t>xshere@gmail.com</t>
  </si>
  <si>
    <t>2607162349</t>
  </si>
  <si>
    <t>Armaan Gera</t>
  </si>
  <si>
    <t>P2322</t>
  </si>
  <si>
    <t>kanav85@master.com</t>
  </si>
  <si>
    <t>06033132278</t>
  </si>
  <si>
    <t>Ishita Master</t>
  </si>
  <si>
    <t>P2321</t>
  </si>
  <si>
    <t>kabir27@gmail.com</t>
  </si>
  <si>
    <t>+911894186245</t>
  </si>
  <si>
    <t>Heer Suri</t>
  </si>
  <si>
    <t>P2320</t>
  </si>
  <si>
    <t>ramachandranbiju@gmail.com</t>
  </si>
  <si>
    <t>+915309426691</t>
  </si>
  <si>
    <t>Anay Kapoor</t>
  </si>
  <si>
    <t>P2319</t>
  </si>
  <si>
    <t>myra26@tank-rao.com</t>
  </si>
  <si>
    <t>7257313966</t>
  </si>
  <si>
    <t>Darshit Vig</t>
  </si>
  <si>
    <t>P2318</t>
  </si>
  <si>
    <t>anaya37@yahoo.com</t>
  </si>
  <si>
    <t>0431900451</t>
  </si>
  <si>
    <t>Indrajit Batta</t>
  </si>
  <si>
    <t>P2317</t>
  </si>
  <si>
    <t>pchokshi@dayal.net</t>
  </si>
  <si>
    <t>4065873055</t>
  </si>
  <si>
    <t>Indranil Chakraborty</t>
  </si>
  <si>
    <t>P2316</t>
  </si>
  <si>
    <t>vagarwal@keer-kapur.com</t>
  </si>
  <si>
    <t>07713337047</t>
  </si>
  <si>
    <t>Anya Dash</t>
  </si>
  <si>
    <t>P2315</t>
  </si>
  <si>
    <t>armaangulati@tara.net</t>
  </si>
  <si>
    <t>+914272533983</t>
  </si>
  <si>
    <t>Nakul Varkey</t>
  </si>
  <si>
    <t>P2314</t>
  </si>
  <si>
    <t>mtara@mane.biz</t>
  </si>
  <si>
    <t>+910610488943</t>
  </si>
  <si>
    <t>Advika Divan</t>
  </si>
  <si>
    <t>P2313</t>
  </si>
  <si>
    <t>bathdrishya@hotmail.com</t>
  </si>
  <si>
    <t>05869670999</t>
  </si>
  <si>
    <t>Vaibhav Ratta</t>
  </si>
  <si>
    <t>P2312</t>
  </si>
  <si>
    <t>manjarighose@iyengar.com</t>
  </si>
  <si>
    <t>09388076660</t>
  </si>
  <si>
    <t>Samaira Babu</t>
  </si>
  <si>
    <t>P2311</t>
  </si>
  <si>
    <t>eva38@chhabra-srivastava.com</t>
  </si>
  <si>
    <t>0991987878</t>
  </si>
  <si>
    <t>Neelofar Gola</t>
  </si>
  <si>
    <t>P2310</t>
  </si>
  <si>
    <t>idutta@hotmail.com</t>
  </si>
  <si>
    <t>+913611827483</t>
  </si>
  <si>
    <t>Lagan Sagar</t>
  </si>
  <si>
    <t>P2309</t>
  </si>
  <si>
    <t>vkamdar@yahoo.com</t>
  </si>
  <si>
    <t>03610271287</t>
  </si>
  <si>
    <t>Kavya Saini</t>
  </si>
  <si>
    <t>P2308</t>
  </si>
  <si>
    <t>ira81@manda.com</t>
  </si>
  <si>
    <t>03107488248</t>
  </si>
  <si>
    <t>Lakshit Sachdeva</t>
  </si>
  <si>
    <t>P2307</t>
  </si>
  <si>
    <t>umangmallick@hegde-mani.info</t>
  </si>
  <si>
    <t>4907610409</t>
  </si>
  <si>
    <t>Tiya Arya</t>
  </si>
  <si>
    <t>P2306</t>
  </si>
  <si>
    <t>akarsh63@ben-srinivas.com</t>
  </si>
  <si>
    <t>Ehsaan Buch</t>
  </si>
  <si>
    <t>P2305</t>
  </si>
  <si>
    <t>piyabandi@hotmail.com</t>
  </si>
  <si>
    <t>+913523298765</t>
  </si>
  <si>
    <t>Lavanya Bhatti</t>
  </si>
  <si>
    <t>P2304</t>
  </si>
  <si>
    <t>gsingh@vaidya-thaker.net</t>
  </si>
  <si>
    <t>08799479934</t>
  </si>
  <si>
    <t>Uthkarsh Wable</t>
  </si>
  <si>
    <t>P2303</t>
  </si>
  <si>
    <t>vanyavenkatesh@jain.net</t>
  </si>
  <si>
    <t>+919380188290</t>
  </si>
  <si>
    <t>Lakshay Dixit</t>
  </si>
  <si>
    <t>P2302</t>
  </si>
  <si>
    <t>advikasarkar@sengupta.org</t>
  </si>
  <si>
    <t>09950729293</t>
  </si>
  <si>
    <t>Madhup Arora</t>
  </si>
  <si>
    <t>P2301</t>
  </si>
  <si>
    <t>azaddewan@bains.com</t>
  </si>
  <si>
    <t>4149665947</t>
  </si>
  <si>
    <t>Mohanlal Sarkar</t>
  </si>
  <si>
    <t>P2300</t>
  </si>
  <si>
    <t>mannatbhardwaj@boase.org</t>
  </si>
  <si>
    <t>5001947444</t>
  </si>
  <si>
    <t>Miraya Issac</t>
  </si>
  <si>
    <t>P2299</t>
  </si>
  <si>
    <t>ritviksandhu@sethi.com</t>
  </si>
  <si>
    <t>2272925141</t>
  </si>
  <si>
    <t>Jayesh Sharma</t>
  </si>
  <si>
    <t>P2298</t>
  </si>
  <si>
    <t>hridaanjaggi@hotmail.com</t>
  </si>
  <si>
    <t>+917310223386</t>
  </si>
  <si>
    <t>Adira Sani</t>
  </si>
  <si>
    <t>P2297</t>
  </si>
  <si>
    <t>walisuhana@basu-toor.info</t>
  </si>
  <si>
    <t>04181114675</t>
  </si>
  <si>
    <t>Dharmajan Kota</t>
  </si>
  <si>
    <t>P2296</t>
  </si>
  <si>
    <t>goelonkar@khosla.com</t>
  </si>
  <si>
    <t>03477670554</t>
  </si>
  <si>
    <t>Akarsh Ramesh</t>
  </si>
  <si>
    <t>P2295</t>
  </si>
  <si>
    <t>zaina38@goda-dhawan.com</t>
  </si>
  <si>
    <t>+918906114159</t>
  </si>
  <si>
    <t>Madhup Som</t>
  </si>
  <si>
    <t>P2294</t>
  </si>
  <si>
    <t>navya71@gmail.com</t>
  </si>
  <si>
    <t>+913015464935</t>
  </si>
  <si>
    <t>Ahana  Ben</t>
  </si>
  <si>
    <t>P2293</t>
  </si>
  <si>
    <t>thari@gmail.com</t>
  </si>
  <si>
    <t>+912670588093</t>
  </si>
  <si>
    <t>Aaryahi Ramaswamy</t>
  </si>
  <si>
    <t>P2292</t>
  </si>
  <si>
    <t>fkeer@yahoo.com</t>
  </si>
  <si>
    <t>+917267462581</t>
  </si>
  <si>
    <t>Zaina Varma</t>
  </si>
  <si>
    <t>P2291</t>
  </si>
  <si>
    <t>daminiagarwal@hotmail.com</t>
  </si>
  <si>
    <t>01375563116</t>
  </si>
  <si>
    <t>Pari Dubey</t>
  </si>
  <si>
    <t>P2290</t>
  </si>
  <si>
    <t>samar56@sant-chaudhary.info</t>
  </si>
  <si>
    <t>+919465120156</t>
  </si>
  <si>
    <t>Ivana Goswami</t>
  </si>
  <si>
    <t>P2289</t>
  </si>
  <si>
    <t>bahriheer@yogi-rout.net</t>
  </si>
  <si>
    <t>09783315443</t>
  </si>
  <si>
    <t>Zara Krishnamurthy</t>
  </si>
  <si>
    <t>P2288</t>
  </si>
  <si>
    <t>devanshtoor@hayer.com</t>
  </si>
  <si>
    <t>+918014370455</t>
  </si>
  <si>
    <t>Ranbir Bhat</t>
  </si>
  <si>
    <t>P2287</t>
  </si>
  <si>
    <t>bsuri@hari.com</t>
  </si>
  <si>
    <t>6449663948</t>
  </si>
  <si>
    <t>Hunar Seth</t>
  </si>
  <si>
    <t>P2286</t>
  </si>
  <si>
    <t>dsengupta@yahoo.com</t>
  </si>
  <si>
    <t>+915917234639</t>
  </si>
  <si>
    <t>Darshit Raval</t>
  </si>
  <si>
    <t>P2285</t>
  </si>
  <si>
    <t>raghav52@gmail.com</t>
  </si>
  <si>
    <t>7703216860</t>
  </si>
  <si>
    <t>Kanav Batta</t>
  </si>
  <si>
    <t>P2284</t>
  </si>
  <si>
    <t>vidur26@hotmail.com</t>
  </si>
  <si>
    <t>04928012159</t>
  </si>
  <si>
    <t>Hridaan Wali</t>
  </si>
  <si>
    <t>P2283</t>
  </si>
  <si>
    <t>shayakdeshpande@chatterjee-bhattacharyya.com</t>
  </si>
  <si>
    <t>+916197613704</t>
  </si>
  <si>
    <t>Arhaan Goyal</t>
  </si>
  <si>
    <t>P2282</t>
  </si>
  <si>
    <t>shalvhegde@walia.com</t>
  </si>
  <si>
    <t>06509288338</t>
  </si>
  <si>
    <t>Zeeshan Bail</t>
  </si>
  <si>
    <t>P2281</t>
  </si>
  <si>
    <t>+919445252249</t>
  </si>
  <si>
    <t>Vidur Kapadia</t>
  </si>
  <si>
    <t>P2280</t>
  </si>
  <si>
    <t>gatiksem@yahoo.com</t>
  </si>
  <si>
    <t>+918393480958</t>
  </si>
  <si>
    <t>Chirag Dada</t>
  </si>
  <si>
    <t>P2279</t>
  </si>
  <si>
    <t>mtailor@gmail.com</t>
  </si>
  <si>
    <t>7824411765</t>
  </si>
  <si>
    <t>Kanav Chana</t>
  </si>
  <si>
    <t>P2278</t>
  </si>
  <si>
    <t>rkota@seshadri-gill.info</t>
  </si>
  <si>
    <t>06032131558</t>
  </si>
  <si>
    <t>Veer Sule</t>
  </si>
  <si>
    <t>P2277</t>
  </si>
  <si>
    <t>yasmin19@kala-baria.com</t>
  </si>
  <si>
    <t>8000209677</t>
  </si>
  <si>
    <t>Advika Savant</t>
  </si>
  <si>
    <t>P2276</t>
  </si>
  <si>
    <t>anikaupadhyay@yahoo.com</t>
  </si>
  <si>
    <t>05313317336</t>
  </si>
  <si>
    <t>Ojas Yadav</t>
  </si>
  <si>
    <t>P2275</t>
  </si>
  <si>
    <t>zjoshi@yohannan.org</t>
  </si>
  <si>
    <t>05058637648</t>
  </si>
  <si>
    <t>Jivika Chahal</t>
  </si>
  <si>
    <t>P2274</t>
  </si>
  <si>
    <t>parichar@hotmail.com</t>
  </si>
  <si>
    <t>03491128593</t>
  </si>
  <si>
    <t>Vritika Dutt</t>
  </si>
  <si>
    <t>P2273</t>
  </si>
  <si>
    <t>manikyasarna@hotmail.com</t>
  </si>
  <si>
    <t>5865543293</t>
  </si>
  <si>
    <t>Anika Boase</t>
  </si>
  <si>
    <t>P2272</t>
  </si>
  <si>
    <t>kartikbaria@gmail.com</t>
  </si>
  <si>
    <t>1849925221</t>
  </si>
  <si>
    <t>Romil Bansal</t>
  </si>
  <si>
    <t>P2271</t>
  </si>
  <si>
    <t>udhingra@hotmail.com</t>
  </si>
  <si>
    <t>8751238813</t>
  </si>
  <si>
    <t>Shanaya Raja</t>
  </si>
  <si>
    <t>P2270</t>
  </si>
  <si>
    <t>shray54@yahoo.com</t>
  </si>
  <si>
    <t>+911384726668</t>
  </si>
  <si>
    <t>Lagan Deshmukh</t>
  </si>
  <si>
    <t>P2269</t>
  </si>
  <si>
    <t>prerak17@kothari-jain.biz</t>
  </si>
  <si>
    <t>+917415510271</t>
  </si>
  <si>
    <t>Ivan Rana</t>
  </si>
  <si>
    <t>P2268</t>
  </si>
  <si>
    <t>xbedi@chaudhuri-sharaf.com</t>
  </si>
  <si>
    <t>00523140912</t>
  </si>
  <si>
    <t>Adah Walla</t>
  </si>
  <si>
    <t>P2267</t>
  </si>
  <si>
    <t>dhanushkamdar@hotmail.com</t>
  </si>
  <si>
    <t>+912608673334</t>
  </si>
  <si>
    <t>Miraan Mannan</t>
  </si>
  <si>
    <t>P2266</t>
  </si>
  <si>
    <t>kartik19@andra-manne.net</t>
  </si>
  <si>
    <t>4257767544</t>
  </si>
  <si>
    <t>Shlok Kapoor</t>
  </si>
  <si>
    <t>P2265</t>
  </si>
  <si>
    <t>kimayasrinivasan@hotmail.com</t>
  </si>
  <si>
    <t>3401854967</t>
  </si>
  <si>
    <t>Baiju Chopra</t>
  </si>
  <si>
    <t>P2264</t>
  </si>
  <si>
    <t>kohlinitara@hotmail.com</t>
  </si>
  <si>
    <t>09369403302</t>
  </si>
  <si>
    <t>Nehmat Saxena</t>
  </si>
  <si>
    <t>P2263</t>
  </si>
  <si>
    <t>rajagopalsamarth@gmail.com</t>
  </si>
  <si>
    <t>9437153273</t>
  </si>
  <si>
    <t>Eshani Balan</t>
  </si>
  <si>
    <t>P2262</t>
  </si>
  <si>
    <t>lakshitdin@hotmail.com</t>
  </si>
  <si>
    <t>3265287718</t>
  </si>
  <si>
    <t>Shalv Bir</t>
  </si>
  <si>
    <t>P2261</t>
  </si>
  <si>
    <t>nchad@hotmail.com</t>
  </si>
  <si>
    <t>07941733911</t>
  </si>
  <si>
    <t xml:space="preserve">  Anya Wadhwa </t>
  </si>
  <si>
    <t>P2260</t>
  </si>
  <si>
    <t>kiaan18@dewan-balasubramanian.com</t>
  </si>
  <si>
    <t>04415564689</t>
  </si>
  <si>
    <t>Romil Ramanathan</t>
  </si>
  <si>
    <t>P2259</t>
  </si>
  <si>
    <t>handahimmat@baral-kamdar.com</t>
  </si>
  <si>
    <t>00043970214</t>
  </si>
  <si>
    <t>Tushar Jaggi</t>
  </si>
  <si>
    <t>P2258</t>
  </si>
  <si>
    <t>renee46@dyal.info</t>
  </si>
  <si>
    <t>03117880937</t>
  </si>
  <si>
    <t>P2257</t>
  </si>
  <si>
    <t>bhargavaanaya@dhingra.org</t>
  </si>
  <si>
    <t>03147758955</t>
  </si>
  <si>
    <t>Charvi Anne</t>
  </si>
  <si>
    <t>P2256</t>
  </si>
  <si>
    <t>khuranaindrans@yahoo.com</t>
  </si>
  <si>
    <t>09265029545</t>
  </si>
  <si>
    <t>Prerak Samra</t>
  </si>
  <si>
    <t>P2255</t>
  </si>
  <si>
    <t>zainchacko@rege.net</t>
  </si>
  <si>
    <t>08680573863</t>
  </si>
  <si>
    <t>Nitya Sachdev</t>
  </si>
  <si>
    <t>P2254</t>
  </si>
  <si>
    <t>qchakrabarti@gmail.com</t>
  </si>
  <si>
    <t>1991266705</t>
  </si>
  <si>
    <t>Kanav Randhawa</t>
  </si>
  <si>
    <t>P2253</t>
  </si>
  <si>
    <t>madhup97@yahoo.com</t>
  </si>
  <si>
    <t>03122288891</t>
  </si>
  <si>
    <t>Veer Bal</t>
  </si>
  <si>
    <t>P2252</t>
  </si>
  <si>
    <t>aarna14@gmail.com</t>
  </si>
  <si>
    <t>+916614894683</t>
  </si>
  <si>
    <t>Diya Bala</t>
  </si>
  <si>
    <t>P2251</t>
  </si>
  <si>
    <t>kibeprerak@sheth-agrawal.org</t>
  </si>
  <si>
    <t>8167722781</t>
  </si>
  <si>
    <t>Yuvaan Mall</t>
  </si>
  <si>
    <t>P2250</t>
  </si>
  <si>
    <t>maniamira@yahoo.com</t>
  </si>
  <si>
    <t>+911547896442</t>
  </si>
  <si>
    <t>Vihaan Bajaj</t>
  </si>
  <si>
    <t>P2249</t>
  </si>
  <si>
    <t>vihaanchanda@manda.net</t>
  </si>
  <si>
    <t>03239542865</t>
  </si>
  <si>
    <t>Mishti Dugar</t>
  </si>
  <si>
    <t>P2248</t>
  </si>
  <si>
    <t>qgrover@karnik.com</t>
  </si>
  <si>
    <t>0444800845</t>
  </si>
  <si>
    <t>Trisha Kapadia</t>
  </si>
  <si>
    <t>P2247</t>
  </si>
  <si>
    <t>ygill@raju-sandal.org</t>
  </si>
  <si>
    <t>+913356117664</t>
  </si>
  <si>
    <t>Inaaya  Keer</t>
  </si>
  <si>
    <t>P2246</t>
  </si>
  <si>
    <t>kaulelakshi@kala.com</t>
  </si>
  <si>
    <t>+919644168251</t>
  </si>
  <si>
    <t>Lavanya Char</t>
  </si>
  <si>
    <t>P2245</t>
  </si>
  <si>
    <t>dubevidur@sama.com</t>
  </si>
  <si>
    <t>+913642850397</t>
  </si>
  <si>
    <t>Rhea Barad</t>
  </si>
  <si>
    <t>P2244</t>
  </si>
  <si>
    <t>baiju89@verma-saxena.info</t>
  </si>
  <si>
    <t>2235428765</t>
  </si>
  <si>
    <t>P2243</t>
  </si>
  <si>
    <t>chandasahil@gmail.com</t>
  </si>
  <si>
    <t>0871995426</t>
  </si>
  <si>
    <t>Hridaan Srinivas</t>
  </si>
  <si>
    <t>P2242</t>
  </si>
  <si>
    <t>fatehbalasubramanian@yahoo.com</t>
  </si>
  <si>
    <t>3872451595</t>
  </si>
  <si>
    <t>Abram Gokhale</t>
  </si>
  <si>
    <t>P2241</t>
  </si>
  <si>
    <t>wsant@char.net</t>
  </si>
  <si>
    <t>+917151102454</t>
  </si>
  <si>
    <t>Shayak Saxena</t>
  </si>
  <si>
    <t>P2240</t>
  </si>
  <si>
    <t>aainasani@ganguly.com</t>
  </si>
  <si>
    <t>02417740745</t>
  </si>
  <si>
    <t>Dharmajan Zachariah</t>
  </si>
  <si>
    <t>P2239</t>
  </si>
  <si>
    <t>latanehmat@gill.org</t>
  </si>
  <si>
    <t>02660193883</t>
  </si>
  <si>
    <t>Zaina Dora</t>
  </si>
  <si>
    <t>P2238</t>
  </si>
  <si>
    <t>gshetty@hotmail.com</t>
  </si>
  <si>
    <t>06670141908</t>
  </si>
  <si>
    <t>Pari Hari</t>
  </si>
  <si>
    <t>P2237</t>
  </si>
  <si>
    <t>hrishita15@gala.com</t>
  </si>
  <si>
    <t>03716167667</t>
  </si>
  <si>
    <t>Vritika Bose</t>
  </si>
  <si>
    <t>P2236</t>
  </si>
  <si>
    <t>madhav72@yahoo.com</t>
  </si>
  <si>
    <t>05891207857</t>
  </si>
  <si>
    <t>Yakshit Chatterjee</t>
  </si>
  <si>
    <t>P2235</t>
  </si>
  <si>
    <t>shaan15@bhat.com</t>
  </si>
  <si>
    <t>+913000001895</t>
  </si>
  <si>
    <t>Jhanvi Borde</t>
  </si>
  <si>
    <t>P2234</t>
  </si>
  <si>
    <t>ela94@khare.info</t>
  </si>
  <si>
    <t>01899826107</t>
  </si>
  <si>
    <t>Siya Krishnamurthy</t>
  </si>
  <si>
    <t>P2233</t>
  </si>
  <si>
    <t>armaan83@lala.com</t>
  </si>
  <si>
    <t>1273724037</t>
  </si>
  <si>
    <t>Arhaan Deo</t>
  </si>
  <si>
    <t>P2232</t>
  </si>
  <si>
    <t>onkar85@hotmail.com</t>
  </si>
  <si>
    <t>09896940944</t>
  </si>
  <si>
    <t>Ryan Khatri</t>
  </si>
  <si>
    <t>P2231</t>
  </si>
  <si>
    <t>handaanya@yahoo.com</t>
  </si>
  <si>
    <t>+917712776407</t>
  </si>
  <si>
    <t>Aarna Buch</t>
  </si>
  <si>
    <t>P2230</t>
  </si>
  <si>
    <t>jivika73@yahoo.com</t>
  </si>
  <si>
    <t>+919037738305</t>
  </si>
  <si>
    <t>Vritika Chakraborty</t>
  </si>
  <si>
    <t>P2229</t>
  </si>
  <si>
    <t>buchnehmat@gmail.com</t>
  </si>
  <si>
    <t>+914748529609</t>
  </si>
  <si>
    <t>Zeeshan Kulkarni</t>
  </si>
  <si>
    <t>P2228</t>
  </si>
  <si>
    <t>yuvaan65@hotmail.com</t>
  </si>
  <si>
    <t>+914063659091</t>
  </si>
  <si>
    <t>Rania Chander</t>
  </si>
  <si>
    <t>P2227</t>
  </si>
  <si>
    <t>tushar84@sood-golla.com</t>
  </si>
  <si>
    <t>+914202367587</t>
  </si>
  <si>
    <t>Shaan Bawa</t>
  </si>
  <si>
    <t>P2226</t>
  </si>
  <si>
    <t>ahana-singh@yahoo.com</t>
  </si>
  <si>
    <t>4095736096</t>
  </si>
  <si>
    <t>Elakshi Walla</t>
  </si>
  <si>
    <t>P2225</t>
  </si>
  <si>
    <t>etella@hotmail.com</t>
  </si>
  <si>
    <t>7966495979</t>
  </si>
  <si>
    <t>Pari Kapadia</t>
  </si>
  <si>
    <t>P2224</t>
  </si>
  <si>
    <t>anviatwal@hotmail.com</t>
  </si>
  <si>
    <t>07959633846</t>
  </si>
  <si>
    <t>Hrishita Lal</t>
  </si>
  <si>
    <t>P2223</t>
  </si>
  <si>
    <t>geracharvi@gmail.com</t>
  </si>
  <si>
    <t>06118732298</t>
  </si>
  <si>
    <t>Parinaaz Deep</t>
  </si>
  <si>
    <t>P2222</t>
  </si>
  <si>
    <t>rheavohra@raju.com</t>
  </si>
  <si>
    <t>08400605285</t>
  </si>
  <si>
    <t>Nitya Keer</t>
  </si>
  <si>
    <t>P2221</t>
  </si>
  <si>
    <t>rania47@dora.com</t>
  </si>
  <si>
    <t>0832775299</t>
  </si>
  <si>
    <t>Fateh Agate</t>
  </si>
  <si>
    <t>P2220</t>
  </si>
  <si>
    <t>goswamivedika@yahoo.com</t>
  </si>
  <si>
    <t>6451539348</t>
  </si>
  <si>
    <t>Samarth Agarwal</t>
  </si>
  <si>
    <t>P2219</t>
  </si>
  <si>
    <t>dchowdhury@gmail.com</t>
  </si>
  <si>
    <t>9664344706</t>
  </si>
  <si>
    <t>Mahika Yohannan</t>
  </si>
  <si>
    <t>P2218</t>
  </si>
  <si>
    <t>yogiaaina@gmail.com</t>
  </si>
  <si>
    <t>7326096426</t>
  </si>
  <si>
    <t>Damini Hora</t>
  </si>
  <si>
    <t>P2217</t>
  </si>
  <si>
    <t>dugaradvik@sachdev.com</t>
  </si>
  <si>
    <t>+913264210121</t>
  </si>
  <si>
    <t>Arhaan Kibe</t>
  </si>
  <si>
    <t>P2216</t>
  </si>
  <si>
    <t>vivaanganesh@hotmail.com</t>
  </si>
  <si>
    <t>05180539659</t>
  </si>
  <si>
    <t>Hridaan Mahajan</t>
  </si>
  <si>
    <t>P2215</t>
  </si>
  <si>
    <t>sumerdora@yahoo.com</t>
  </si>
  <si>
    <t>4418735947</t>
  </si>
  <si>
    <t>Indrajit Kari</t>
  </si>
  <si>
    <t>P2214</t>
  </si>
  <si>
    <t>biswasishaan@mahajan.com</t>
  </si>
  <si>
    <t>06769225157</t>
  </si>
  <si>
    <t>Tanya Bala</t>
  </si>
  <si>
    <t>P2213</t>
  </si>
  <si>
    <t>rasha28@gmail.com</t>
  </si>
  <si>
    <t>03106052402</t>
  </si>
  <si>
    <t>Rati Sami</t>
  </si>
  <si>
    <t>P2212</t>
  </si>
  <si>
    <t>chhabrabaiju@soman.com</t>
  </si>
  <si>
    <t>6922466372</t>
  </si>
  <si>
    <t>Prerak Sabharwal</t>
  </si>
  <si>
    <t>P2211</t>
  </si>
  <si>
    <t>buchnirvaan@hotmail.com</t>
  </si>
  <si>
    <t>+912708977456</t>
  </si>
  <si>
    <t>Diya Bir</t>
  </si>
  <si>
    <t>P2210</t>
  </si>
  <si>
    <t>tripathiarnav@gmail.com</t>
  </si>
  <si>
    <t>+919130497379</t>
  </si>
  <si>
    <t>Kanav Devi</t>
  </si>
  <si>
    <t>P2209</t>
  </si>
  <si>
    <t>ngolla@kade.com</t>
  </si>
  <si>
    <t>06184233065</t>
  </si>
  <si>
    <t>Riya Gour</t>
  </si>
  <si>
    <t>P2208</t>
  </si>
  <si>
    <t>jmalhotra@gmail.com</t>
  </si>
  <si>
    <t>04619709700</t>
  </si>
  <si>
    <t>Pari Chana</t>
  </si>
  <si>
    <t>P2207</t>
  </si>
  <si>
    <t>ojas70@hotmail.com</t>
  </si>
  <si>
    <t>+919397281919</t>
  </si>
  <si>
    <t>Anika Shukla</t>
  </si>
  <si>
    <t>P2206</t>
  </si>
  <si>
    <t>hayreshayak@dhillon.com</t>
  </si>
  <si>
    <t>7283369397</t>
  </si>
  <si>
    <t>Amira Raj</t>
  </si>
  <si>
    <t>P2205</t>
  </si>
  <si>
    <t>sabharwalakarsh@gole.com</t>
  </si>
  <si>
    <t>00044523680</t>
  </si>
  <si>
    <t>Hridaan Chana</t>
  </si>
  <si>
    <t>P2204</t>
  </si>
  <si>
    <t>dekrish@dara-varkey.info</t>
  </si>
  <si>
    <t>02458067735</t>
  </si>
  <si>
    <t>Zeeshan Chanda</t>
  </si>
  <si>
    <t>P2203</t>
  </si>
  <si>
    <t>choudhryrhea@gmail.com</t>
  </si>
  <si>
    <t>5267543290</t>
  </si>
  <si>
    <t>Umang Loke</t>
  </si>
  <si>
    <t>P2202</t>
  </si>
  <si>
    <t>yuvaan77@srinivas-sami.com</t>
  </si>
  <si>
    <t>04544180053</t>
  </si>
  <si>
    <t>Shalv Thaker</t>
  </si>
  <si>
    <t>P2201</t>
  </si>
  <si>
    <t>+915668833507</t>
  </si>
  <si>
    <t>Anahi Sane</t>
  </si>
  <si>
    <t>P2200</t>
  </si>
  <si>
    <t>ritvik17@sood.com</t>
  </si>
  <si>
    <t>+914128583522</t>
  </si>
  <si>
    <t>Ivana Dubey</t>
  </si>
  <si>
    <t>P2199</t>
  </si>
  <si>
    <t>priyansh93@hotmail.com</t>
  </si>
  <si>
    <t>03964561949</t>
  </si>
  <si>
    <t>Hrishita Sharma</t>
  </si>
  <si>
    <t>P2198</t>
  </si>
  <si>
    <t>kdutta@yahoo.com</t>
  </si>
  <si>
    <t>4386796731</t>
  </si>
  <si>
    <t>Prisha Shetty</t>
  </si>
  <si>
    <t>P2197</t>
  </si>
  <si>
    <t>heer41@seshadri.net</t>
  </si>
  <si>
    <t>8148360842</t>
  </si>
  <si>
    <t>Aaina Sundaram</t>
  </si>
  <si>
    <t>P2196</t>
  </si>
  <si>
    <t>diya01@yahoo.com</t>
  </si>
  <si>
    <t>04096683021</t>
  </si>
  <si>
    <t>Keya Wadhwa</t>
  </si>
  <si>
    <t>P2195</t>
  </si>
  <si>
    <t>nishithmagar@din-sachar.com</t>
  </si>
  <si>
    <t>02796711373</t>
  </si>
  <si>
    <t>Seher Kohli</t>
  </si>
  <si>
    <t>P2194</t>
  </si>
  <si>
    <t>balasana@hotmail.com</t>
  </si>
  <si>
    <t>+913158193485</t>
  </si>
  <si>
    <t>Armaan Wali</t>
  </si>
  <si>
    <t>P2193</t>
  </si>
  <si>
    <t>siya44@yahoo.com</t>
  </si>
  <si>
    <t>+910434819560</t>
  </si>
  <si>
    <t>Dhanuk Gill</t>
  </si>
  <si>
    <t>P2192</t>
  </si>
  <si>
    <t>zviswanathan@yahoo.com</t>
  </si>
  <si>
    <t>5315750077</t>
  </si>
  <si>
    <t>Tanya Kibe</t>
  </si>
  <si>
    <t>P2191</t>
  </si>
  <si>
    <t>arnav51@dixit.info</t>
  </si>
  <si>
    <t>+910088762018</t>
  </si>
  <si>
    <t>Umang Sengupta</t>
  </si>
  <si>
    <t>mwadhwa@barad.com</t>
  </si>
  <si>
    <t>8119271474</t>
  </si>
  <si>
    <t>Mohanlal Kapoor</t>
  </si>
  <si>
    <t>P2189</t>
  </si>
  <si>
    <t>sehgalromil@hotmail.com</t>
  </si>
  <si>
    <t>+918008393394</t>
  </si>
  <si>
    <t>Himmat Sibal</t>
  </si>
  <si>
    <t>P2188</t>
  </si>
  <si>
    <t>vaidyashray@hotmail.com</t>
  </si>
  <si>
    <t>+916839488081</t>
  </si>
  <si>
    <t>Siya Dasgupta</t>
  </si>
  <si>
    <t>P2187</t>
  </si>
  <si>
    <t>sumerchakraborty@hotmail.com</t>
  </si>
  <si>
    <t>07542978097</t>
  </si>
  <si>
    <t>Shalv Saha</t>
  </si>
  <si>
    <t>P2186</t>
  </si>
  <si>
    <t>nkar@gmail.com</t>
  </si>
  <si>
    <t>7525184978</t>
  </si>
  <si>
    <t>Chirag Dutta</t>
  </si>
  <si>
    <t>P2185</t>
  </si>
  <si>
    <t>kaulsara@yahoo.com</t>
  </si>
  <si>
    <t>+912103922719</t>
  </si>
  <si>
    <t>Faiyaz Butala</t>
  </si>
  <si>
    <t>P2184</t>
  </si>
  <si>
    <t>prishalad@yahoo.com</t>
  </si>
  <si>
    <t>1561807062</t>
  </si>
  <si>
    <t>Vihaan Kadakia</t>
  </si>
  <si>
    <t>P2183</t>
  </si>
  <si>
    <t>diya02@yahoo.com</t>
  </si>
  <si>
    <t>04384027696</t>
  </si>
  <si>
    <t>Sumer Virk</t>
  </si>
  <si>
    <t>P2182</t>
  </si>
  <si>
    <t>schada@hotmail.com</t>
  </si>
  <si>
    <t>2305296489</t>
  </si>
  <si>
    <t>Dhanuk Bakshi</t>
  </si>
  <si>
    <t>P2181</t>
  </si>
  <si>
    <t>ahana-84@yahoo.com</t>
  </si>
  <si>
    <t>03137310686</t>
  </si>
  <si>
    <t>Tarini Saini</t>
  </si>
  <si>
    <t>P2180</t>
  </si>
  <si>
    <t>bedilakshit@yahoo.com</t>
  </si>
  <si>
    <t>00973414635</t>
  </si>
  <si>
    <t>Darshit Bava</t>
  </si>
  <si>
    <t>P2179</t>
  </si>
  <si>
    <t>soodfaiyaz@gmail.com</t>
  </si>
  <si>
    <t>+914567237361</t>
  </si>
  <si>
    <t>Mamooty Char</t>
  </si>
  <si>
    <t>P2178</t>
  </si>
  <si>
    <t>mchakrabarti@hotmail.com</t>
  </si>
  <si>
    <t>8306001388</t>
  </si>
  <si>
    <t>Aarna Shankar</t>
  </si>
  <si>
    <t>P2177</t>
  </si>
  <si>
    <t>baijusharma@yahoo.com</t>
  </si>
  <si>
    <t>+910854153750</t>
  </si>
  <si>
    <t>Amira Joshi</t>
  </si>
  <si>
    <t>P2176</t>
  </si>
  <si>
    <t>uvala@yahoo.com</t>
  </si>
  <si>
    <t>04414689183</t>
  </si>
  <si>
    <t>Baiju De</t>
  </si>
  <si>
    <t>P2175</t>
  </si>
  <si>
    <t>lakshay21@gmail.com</t>
  </si>
  <si>
    <t>0718419040</t>
  </si>
  <si>
    <t>Vritika Kapoor</t>
  </si>
  <si>
    <t>P2174</t>
  </si>
  <si>
    <t>ishaangoda@yahoo.com</t>
  </si>
  <si>
    <t>8929058175</t>
  </si>
  <si>
    <t>Neelofar Manne</t>
  </si>
  <si>
    <t>P2173</t>
  </si>
  <si>
    <t>ghoseurvi@sachdev-raju.com</t>
  </si>
  <si>
    <t>+917103333690</t>
  </si>
  <si>
    <t>Elakshi Lala</t>
  </si>
  <si>
    <t>P2172</t>
  </si>
  <si>
    <t>akarshkibe@goyal.net</t>
  </si>
  <si>
    <t>04922570680</t>
  </si>
  <si>
    <t>Manikya Agrawal</t>
  </si>
  <si>
    <t>P2171</t>
  </si>
  <si>
    <t>daminichanda@wason-koshy.com</t>
  </si>
  <si>
    <t>04546118129</t>
  </si>
  <si>
    <t xml:space="preserve">  Uthkarsh Boase </t>
  </si>
  <si>
    <t>P2170</t>
  </si>
  <si>
    <t>aarnavig@kaur.net</t>
  </si>
  <si>
    <t>2429475209</t>
  </si>
  <si>
    <t>Piya Gole</t>
  </si>
  <si>
    <t>P2169</t>
  </si>
  <si>
    <t>hsachdeva@gmail.com</t>
  </si>
  <si>
    <t>04880699937</t>
  </si>
  <si>
    <t>Madhav Warrior</t>
  </si>
  <si>
    <t>P2168</t>
  </si>
  <si>
    <t>myrakakar@hotmail.com</t>
  </si>
  <si>
    <t>08428214359</t>
  </si>
  <si>
    <t>Navya Bhatia</t>
  </si>
  <si>
    <t>P2167</t>
  </si>
  <si>
    <t>galakavya@kaul.com</t>
  </si>
  <si>
    <t>+918397644650</t>
  </si>
  <si>
    <t>Ahana  Vyas</t>
  </si>
  <si>
    <t>P2166</t>
  </si>
  <si>
    <t>tanyaseshadri@gmail.com</t>
  </si>
  <si>
    <t>0176201077</t>
  </si>
  <si>
    <t>Shalv Dara</t>
  </si>
  <si>
    <t>P2165</t>
  </si>
  <si>
    <t>agarwalkiaan@hotmail.com</t>
  </si>
  <si>
    <t>08527681609</t>
  </si>
  <si>
    <t>Azad Ravel</t>
  </si>
  <si>
    <t>P2164</t>
  </si>
  <si>
    <t>eshanichadha@hotmail.com</t>
  </si>
  <si>
    <t>+912037843942</t>
  </si>
  <si>
    <t>Tejas Luthra</t>
  </si>
  <si>
    <t>P2163</t>
  </si>
  <si>
    <t>sahaarmaan@gmail.com</t>
  </si>
  <si>
    <t>9830476764</t>
  </si>
  <si>
    <t>Dishani Lad</t>
  </si>
  <si>
    <t>P2162</t>
  </si>
  <si>
    <t>nayantara31@brahmbhatt-keer.info</t>
  </si>
  <si>
    <t>+910423872244</t>
  </si>
  <si>
    <t>Ivan Srinivasan</t>
  </si>
  <si>
    <t>P2161</t>
  </si>
  <si>
    <t>chopraumang@soni-srinivas.com</t>
  </si>
  <si>
    <t>Urvi Vig</t>
  </si>
  <si>
    <t>P2160</t>
  </si>
  <si>
    <t>kismatrattan@dayal-wadhwa.info</t>
  </si>
  <si>
    <t>04406297637</t>
  </si>
  <si>
    <t>Aniruddh Ahluwalia</t>
  </si>
  <si>
    <t>P2159</t>
  </si>
  <si>
    <t>kapurzeeshan@deshpande.com</t>
  </si>
  <si>
    <t>07977281695</t>
  </si>
  <si>
    <t>Jayesh Varma</t>
  </si>
  <si>
    <t>P2158</t>
  </si>
  <si>
    <t>charvi64@gala.biz</t>
  </si>
  <si>
    <t>01759052197</t>
  </si>
  <si>
    <t>Rasha Maharaj</t>
  </si>
  <si>
    <t>P2157</t>
  </si>
  <si>
    <t>pihudhawan@garde.com</t>
  </si>
  <si>
    <t>08330868876</t>
  </si>
  <si>
    <t>Ivan Chaudhuri</t>
  </si>
  <si>
    <t>P2156</t>
  </si>
  <si>
    <t>galataran@hotmail.com</t>
  </si>
  <si>
    <t>5906890113</t>
  </si>
  <si>
    <t>Ryan Ramanathan</t>
  </si>
  <si>
    <t>P2155</t>
  </si>
  <si>
    <t>rheawarrior@yahoo.com</t>
  </si>
  <si>
    <t>1381549318</t>
  </si>
  <si>
    <t>Kiara Dyal</t>
  </si>
  <si>
    <t>P2154</t>
  </si>
  <si>
    <t>vritikagera@yahoo.com</t>
  </si>
  <si>
    <t>+914019206396</t>
  </si>
  <si>
    <t>Eshani Sengupta</t>
  </si>
  <si>
    <t>P2153</t>
  </si>
  <si>
    <t>anahikrish@gmail.com</t>
  </si>
  <si>
    <t>+916404054080</t>
  </si>
  <si>
    <t>Pari Karnik</t>
  </si>
  <si>
    <t>P2152</t>
  </si>
  <si>
    <t>bhardwajmyra@ray.info</t>
  </si>
  <si>
    <t>5672624602</t>
  </si>
  <si>
    <t>Eshani Jani</t>
  </si>
  <si>
    <t>P2151</t>
  </si>
  <si>
    <t>tarini28@ramachandran-kannan.com</t>
  </si>
  <si>
    <t>+918266138949</t>
  </si>
  <si>
    <t>Kiaan Basak</t>
  </si>
  <si>
    <t>P2150</t>
  </si>
  <si>
    <t>krish79@yahoo.com</t>
  </si>
  <si>
    <t>05546115681</t>
  </si>
  <si>
    <t>Piya Dutta</t>
  </si>
  <si>
    <t>P2149</t>
  </si>
  <si>
    <t>bhasingokul@sachar-amble.com</t>
  </si>
  <si>
    <t>2230310422</t>
  </si>
  <si>
    <t>Vihaan Soman</t>
  </si>
  <si>
    <t>P2148</t>
  </si>
  <si>
    <t>rheadube@krishnan.info</t>
  </si>
  <si>
    <t>+916370404939</t>
  </si>
  <si>
    <t>Zeeshan Sampath</t>
  </si>
  <si>
    <t>P2147</t>
  </si>
  <si>
    <t>ssolanki@hotmail.com</t>
  </si>
  <si>
    <t>+911681093260</t>
  </si>
  <si>
    <t>Elakshi Basu</t>
  </si>
  <si>
    <t>P2146</t>
  </si>
  <si>
    <t>fateh14@sem.com</t>
  </si>
  <si>
    <t>+919580324190</t>
  </si>
  <si>
    <t>Nirvi Din</t>
  </si>
  <si>
    <t>P2145</t>
  </si>
  <si>
    <t>chakrabartiaaina@bhavsar.info</t>
  </si>
  <si>
    <t>+919161245002</t>
  </si>
  <si>
    <t>Ayesha Gupta</t>
  </si>
  <si>
    <t>P2144</t>
  </si>
  <si>
    <t>hbaria@hotmail.com</t>
  </si>
  <si>
    <t>00604374140</t>
  </si>
  <si>
    <t>Manjari Soni</t>
  </si>
  <si>
    <t>P2143</t>
  </si>
  <si>
    <t>vsha@hotmail.com</t>
  </si>
  <si>
    <t>6086660256</t>
  </si>
  <si>
    <t>Kaira Sharaf</t>
  </si>
  <si>
    <t>P2142</t>
  </si>
  <si>
    <t>baiju42@sinha.info</t>
  </si>
  <si>
    <t>+919172240295</t>
  </si>
  <si>
    <t>Aayush Chaudhary</t>
  </si>
  <si>
    <t>P2141</t>
  </si>
  <si>
    <t>gatik80@chaudhuri.com</t>
  </si>
  <si>
    <t>+915243154637</t>
  </si>
  <si>
    <t>Himmat Bajwa</t>
  </si>
  <si>
    <t>P2140</t>
  </si>
  <si>
    <t>odewan@yahoo.com</t>
  </si>
  <si>
    <t>+913782250981</t>
  </si>
  <si>
    <t>Rhea Tata</t>
  </si>
  <si>
    <t>P2139</t>
  </si>
  <si>
    <t>subramanianadvika@chaudhary.net</t>
  </si>
  <si>
    <t>06422855898</t>
  </si>
  <si>
    <t>Ranbir Sankar</t>
  </si>
  <si>
    <t>P2138</t>
  </si>
  <si>
    <t>kiaanagate@wadhwa-zachariah.com</t>
  </si>
  <si>
    <t>+916458148488</t>
  </si>
  <si>
    <t>Urvi Sankaran</t>
  </si>
  <si>
    <t>P2137</t>
  </si>
  <si>
    <t>alishabail@hotmail.com</t>
  </si>
  <si>
    <t>+915182675786</t>
  </si>
  <si>
    <t>Kashvi Bahl</t>
  </si>
  <si>
    <t>P2136</t>
  </si>
  <si>
    <t>lshetty@jha.com</t>
  </si>
  <si>
    <t>2896750647</t>
  </si>
  <si>
    <t>Adah Chaudhry</t>
  </si>
  <si>
    <t>P2135</t>
  </si>
  <si>
    <t>ishita60@lala.com</t>
  </si>
  <si>
    <t>07271802702</t>
  </si>
  <si>
    <t>Hunar Ramachandran</t>
  </si>
  <si>
    <t>P2134</t>
  </si>
  <si>
    <t>parinaaz89@koshy-sachdev.org</t>
  </si>
  <si>
    <t>+915232543377</t>
  </si>
  <si>
    <t>Dharmajan Manda</t>
  </si>
  <si>
    <t>P2133</t>
  </si>
  <si>
    <t>jvala@kapur.com</t>
  </si>
  <si>
    <t>4577524955</t>
  </si>
  <si>
    <t>Purab Reddy</t>
  </si>
  <si>
    <t>P2132</t>
  </si>
  <si>
    <t>khannauthkarsh@chada-chada.com</t>
  </si>
  <si>
    <t>5911411450</t>
  </si>
  <si>
    <t>Vritika Raja</t>
  </si>
  <si>
    <t>P2131</t>
  </si>
  <si>
    <t>cbalay@devi-rama.org</t>
  </si>
  <si>
    <t>+915060441158</t>
  </si>
  <si>
    <t>Krish Dutta</t>
  </si>
  <si>
    <t>P2130</t>
  </si>
  <si>
    <t>dugalsara@datta.com</t>
  </si>
  <si>
    <t>4440492661</t>
  </si>
  <si>
    <t>Gokul Ghose</t>
  </si>
  <si>
    <t>P2129</t>
  </si>
  <si>
    <t>aradhya31@hotmail.com</t>
  </si>
  <si>
    <t>5288546945</t>
  </si>
  <si>
    <t>Shlok Sane</t>
  </si>
  <si>
    <t>P2128</t>
  </si>
  <si>
    <t>yasmin66@hotmail.com</t>
  </si>
  <si>
    <t>+919613502561</t>
  </si>
  <si>
    <t>Anahita Mall</t>
  </si>
  <si>
    <t>P2127</t>
  </si>
  <si>
    <t>tushar73@yahoo.com</t>
  </si>
  <si>
    <t>+912531434910</t>
  </si>
  <si>
    <t>Umang Mallick</t>
  </si>
  <si>
    <t>P2126</t>
  </si>
  <si>
    <t>ritvik74@gmail.com</t>
  </si>
  <si>
    <t>0927567874</t>
  </si>
  <si>
    <t>Divit Vora</t>
  </si>
  <si>
    <t>P2125</t>
  </si>
  <si>
    <t>shaandoctor@gmail.com</t>
  </si>
  <si>
    <t>4029180277</t>
  </si>
  <si>
    <t>Adira Saran</t>
  </si>
  <si>
    <t>P2124</t>
  </si>
  <si>
    <t>ahana-dave@yahoo.com</t>
  </si>
  <si>
    <t>+914913450420</t>
  </si>
  <si>
    <t>Misha Dutta</t>
  </si>
  <si>
    <t>P2123</t>
  </si>
  <si>
    <t>gokul32@dutt.com</t>
  </si>
  <si>
    <t>+919558987889</t>
  </si>
  <si>
    <t>Sana Chauhan</t>
  </si>
  <si>
    <t>P2122</t>
  </si>
  <si>
    <t>ojasganesan@gmail.com</t>
  </si>
  <si>
    <t>+918705229853</t>
  </si>
  <si>
    <t>Gokul Varkey</t>
  </si>
  <si>
    <t>P2121</t>
  </si>
  <si>
    <t>02228141479</t>
  </si>
  <si>
    <t>Keya Bhagat</t>
  </si>
  <si>
    <t>P2120</t>
  </si>
  <si>
    <t>jivinsarna@borah.biz</t>
  </si>
  <si>
    <t>06179366536</t>
  </si>
  <si>
    <t>Prisha Kannan</t>
  </si>
  <si>
    <t>P2119</t>
  </si>
  <si>
    <t>saira04@kapadia-johal.org</t>
  </si>
  <si>
    <t>+913026080395</t>
  </si>
  <si>
    <t>Azad Tripathi</t>
  </si>
  <si>
    <t>P2118</t>
  </si>
  <si>
    <t>khalsaraghav@gokhale-johal.biz</t>
  </si>
  <si>
    <t>+919741377310</t>
  </si>
  <si>
    <t>Taran Doshi</t>
  </si>
  <si>
    <t>P2117</t>
  </si>
  <si>
    <t>dashmadhav@konda-dugar.org</t>
  </si>
  <si>
    <t>07844279749</t>
  </si>
  <si>
    <t>Renee Lalla</t>
  </si>
  <si>
    <t>P2116</t>
  </si>
  <si>
    <t>ekonda@andra.com</t>
  </si>
  <si>
    <t>5986185671</t>
  </si>
  <si>
    <t>Vidur Mallick</t>
  </si>
  <si>
    <t>P2115</t>
  </si>
  <si>
    <t>fwason@vohra.com</t>
  </si>
  <si>
    <t>5909333792</t>
  </si>
  <si>
    <t>Tarini Vyas</t>
  </si>
  <si>
    <t>P2114</t>
  </si>
  <si>
    <t>vartynishith@sankaran-butala.com</t>
  </si>
  <si>
    <t>03062251629</t>
  </si>
  <si>
    <t>Baiju Johal</t>
  </si>
  <si>
    <t>P2113</t>
  </si>
  <si>
    <t>kanavbanerjee@yahoo.com</t>
  </si>
  <si>
    <t>2747569809</t>
  </si>
  <si>
    <t>Sumer Rajan</t>
  </si>
  <si>
    <t>P2112</t>
  </si>
  <si>
    <t>nakulguha@yahoo.com</t>
  </si>
  <si>
    <t>+919221884655</t>
  </si>
  <si>
    <t>Hridaan Kashyap</t>
  </si>
  <si>
    <t>P2111</t>
  </si>
  <si>
    <t>groverehsaan@hotmail.com</t>
  </si>
  <si>
    <t>5341295080</t>
  </si>
  <si>
    <t>Divit Gokhale</t>
  </si>
  <si>
    <t>P2110</t>
  </si>
  <si>
    <t>lavanyabath@bali.biz</t>
  </si>
  <si>
    <t>3477591025</t>
  </si>
  <si>
    <t>Ojas Savant</t>
  </si>
  <si>
    <t>P2109</t>
  </si>
  <si>
    <t>rati98@yahoo.com</t>
  </si>
  <si>
    <t>+916233869077</t>
  </si>
  <si>
    <t>Farhan Chhabra</t>
  </si>
  <si>
    <t>P2108</t>
  </si>
  <si>
    <t>qchahal@aggarwal.org</t>
  </si>
  <si>
    <t>7085238699</t>
  </si>
  <si>
    <t>Adah Krishnamurthy</t>
  </si>
  <si>
    <t>P2107</t>
  </si>
  <si>
    <t>ekade@hotmail.com</t>
  </si>
  <si>
    <t>08618773868</t>
  </si>
  <si>
    <t>Heer Mahal</t>
  </si>
  <si>
    <t>P2106</t>
  </si>
  <si>
    <t>somkimaya@hotmail.com</t>
  </si>
  <si>
    <t>3628000332</t>
  </si>
  <si>
    <t>Darshit Subramanian</t>
  </si>
  <si>
    <t>P2105</t>
  </si>
  <si>
    <t>anay11@gmail.com</t>
  </si>
  <si>
    <t>2446752881</t>
  </si>
  <si>
    <t>Dhruv Saraf</t>
  </si>
  <si>
    <t>P2104</t>
  </si>
  <si>
    <t>sanidamini@yahoo.com</t>
  </si>
  <si>
    <t>5391152225</t>
  </si>
  <si>
    <t>Mannat Kohli</t>
  </si>
  <si>
    <t>P2103</t>
  </si>
  <si>
    <t>vanya77@hotmail.com</t>
  </si>
  <si>
    <t>4039042433</t>
  </si>
  <si>
    <t>Fateh Trivedi</t>
  </si>
  <si>
    <t>P2102</t>
  </si>
  <si>
    <t>nirvaan30@hotmail.com</t>
  </si>
  <si>
    <t>02850752240</t>
  </si>
  <si>
    <t>Yashvi Chauhan</t>
  </si>
  <si>
    <t>P2101</t>
  </si>
  <si>
    <t>uthkarshchandra@hotmail.com</t>
  </si>
  <si>
    <t>3693024703</t>
  </si>
  <si>
    <t>Zain Sidhu</t>
  </si>
  <si>
    <t>P2100</t>
  </si>
  <si>
    <t>nitya04@hotmail.com</t>
  </si>
  <si>
    <t>3008441599</t>
  </si>
  <si>
    <t>Prisha Chandra</t>
  </si>
  <si>
    <t>P2099</t>
  </si>
  <si>
    <t>purab47@yahoo.com</t>
  </si>
  <si>
    <t>2888597947</t>
  </si>
  <si>
    <t>Anahita Jaggi</t>
  </si>
  <si>
    <t>P2098</t>
  </si>
  <si>
    <t>tarakuruvilla@kadakia.com</t>
  </si>
  <si>
    <t>3970982823</t>
  </si>
  <si>
    <t>Armaan Garde</t>
  </si>
  <si>
    <t>P2097</t>
  </si>
  <si>
    <t>nirvaan70@gmail.com</t>
  </si>
  <si>
    <t>08222664220</t>
  </si>
  <si>
    <t>Aniruddh Kurian</t>
  </si>
  <si>
    <t>P2096</t>
  </si>
  <si>
    <t>imannan@agarwal.com</t>
  </si>
  <si>
    <t>04425654971</t>
  </si>
  <si>
    <t>Yuvraj  Raj</t>
  </si>
  <si>
    <t>P2095</t>
  </si>
  <si>
    <t>okulkarni@kulkarni.com</t>
  </si>
  <si>
    <t>03745910029</t>
  </si>
  <si>
    <t>Inaaya  Sen</t>
  </si>
  <si>
    <t>P2094</t>
  </si>
  <si>
    <t>fdhawan@kalla.com</t>
  </si>
  <si>
    <t>+914265046961</t>
  </si>
  <si>
    <t>Elakshi Sawhney</t>
  </si>
  <si>
    <t>P2093</t>
  </si>
  <si>
    <t>kiara97@gmail.com</t>
  </si>
  <si>
    <t>3703350099</t>
  </si>
  <si>
    <t>Jiya Kale</t>
  </si>
  <si>
    <t>P2092</t>
  </si>
  <si>
    <t>anviagate@sankar.biz</t>
  </si>
  <si>
    <t>00743383478</t>
  </si>
  <si>
    <t>Alia Vora</t>
  </si>
  <si>
    <t>P2091</t>
  </si>
  <si>
    <t>mehulchauhan@hotmail.com</t>
  </si>
  <si>
    <t>2989717242</t>
  </si>
  <si>
    <t>Dhanuk Master</t>
  </si>
  <si>
    <t>P2090</t>
  </si>
  <si>
    <t>auroranitara@seth-choudhary.com</t>
  </si>
  <si>
    <t>8821908730</t>
  </si>
  <si>
    <t>Drishya Agrawal</t>
  </si>
  <si>
    <t>P2089</t>
  </si>
  <si>
    <t>shayakhanda@kade.net</t>
  </si>
  <si>
    <t>+917516060642</t>
  </si>
  <si>
    <t>Nirvaan Zacharia</t>
  </si>
  <si>
    <t>P2088</t>
  </si>
  <si>
    <t>glad@hotmail.com</t>
  </si>
  <si>
    <t>1090695959</t>
  </si>
  <si>
    <t>Arhaan Balasubramanian</t>
  </si>
  <si>
    <t>P2087</t>
  </si>
  <si>
    <t>uraju@hotmail.com</t>
  </si>
  <si>
    <t>8116734796</t>
  </si>
  <si>
    <t>Advika Halder</t>
  </si>
  <si>
    <t>P2086</t>
  </si>
  <si>
    <t>siyakaul@hotmail.com</t>
  </si>
  <si>
    <t>05902860694</t>
  </si>
  <si>
    <t>Armaan Gole</t>
  </si>
  <si>
    <t>P2085</t>
  </si>
  <si>
    <t>kabir64@shan.com</t>
  </si>
  <si>
    <t>+916452818167</t>
  </si>
  <si>
    <t>Saira Handa</t>
  </si>
  <si>
    <t>P2084</t>
  </si>
  <si>
    <t>veer37@sangha.net</t>
  </si>
  <si>
    <t>9479334483</t>
  </si>
  <si>
    <t>Ryan Bhat</t>
  </si>
  <si>
    <t>P2083</t>
  </si>
  <si>
    <t>bdugar@khurana.com</t>
  </si>
  <si>
    <t>1531881648</t>
  </si>
  <si>
    <t>Advika Gade</t>
  </si>
  <si>
    <t>P2082</t>
  </si>
  <si>
    <t>samiha96@guha.com</t>
  </si>
  <si>
    <t>3963545883</t>
  </si>
  <si>
    <t>Rania Dey</t>
  </si>
  <si>
    <t>P2081</t>
  </si>
  <si>
    <t>mallickanahi@yahoo.com</t>
  </si>
  <si>
    <t>05335065232</t>
  </si>
  <si>
    <t>cardiology</t>
  </si>
  <si>
    <t xml:space="preserve">  Jhanvi Gala </t>
  </si>
  <si>
    <t>P2080</t>
  </si>
  <si>
    <t>venkateshsamarth@hotmail.com</t>
  </si>
  <si>
    <t>01062541013</t>
  </si>
  <si>
    <t>Miraan Desai</t>
  </si>
  <si>
    <t>P2079</t>
  </si>
  <si>
    <t>mkhalsa@mani.net</t>
  </si>
  <si>
    <t>8365821949</t>
  </si>
  <si>
    <t>Lakshit Maharaj</t>
  </si>
  <si>
    <t>P2078</t>
  </si>
  <si>
    <t>aggarwalyakshit@hotmail.com</t>
  </si>
  <si>
    <t>03391161613</t>
  </si>
  <si>
    <t>Reyansh Atwal</t>
  </si>
  <si>
    <t>P2077</t>
  </si>
  <si>
    <t>lgoda@gmail.com</t>
  </si>
  <si>
    <t>+911102234605</t>
  </si>
  <si>
    <t>Alia Dugal</t>
  </si>
  <si>
    <t>P2076</t>
  </si>
  <si>
    <t>vsampath@randhawa.org</t>
  </si>
  <si>
    <t>+918409516332</t>
  </si>
  <si>
    <t>Vanya Issac</t>
  </si>
  <si>
    <t>P2075</t>
  </si>
  <si>
    <t>choprasuhana@hayre.org</t>
  </si>
  <si>
    <t>09403260145</t>
  </si>
  <si>
    <t>Tiya Bir</t>
  </si>
  <si>
    <t>P2074</t>
  </si>
  <si>
    <t>neysadayal@yahoo.com</t>
  </si>
  <si>
    <t>+911773336981</t>
  </si>
  <si>
    <t>Aniruddh Vohra</t>
  </si>
  <si>
    <t>P2073</t>
  </si>
  <si>
    <t>umanggill@hotmail.com</t>
  </si>
  <si>
    <t>00108405943</t>
  </si>
  <si>
    <t>Raghav Koshy</t>
  </si>
  <si>
    <t>P2072</t>
  </si>
  <si>
    <t>pranay59@rau.com</t>
  </si>
  <si>
    <t>+916211604235</t>
  </si>
  <si>
    <t>Indranil Joshi</t>
  </si>
  <si>
    <t>P2071</t>
  </si>
  <si>
    <t>zkhosla@bhagat.biz</t>
  </si>
  <si>
    <t>05893226798</t>
  </si>
  <si>
    <t>Taran Wason</t>
  </si>
  <si>
    <t>P2070</t>
  </si>
  <si>
    <t>dhanuksawhney@hotmail.com</t>
  </si>
  <si>
    <t>+916901118964</t>
  </si>
  <si>
    <t>Shanaya Randhawa</t>
  </si>
  <si>
    <t>P2069</t>
  </si>
  <si>
    <t>fkarnik@sem.biz</t>
  </si>
  <si>
    <t>02711683424</t>
  </si>
  <si>
    <t>Dharmajan Lanka</t>
  </si>
  <si>
    <t>P2068</t>
  </si>
  <si>
    <t>nkari@batra.com</t>
  </si>
  <si>
    <t>00418730057</t>
  </si>
  <si>
    <t>Jayant Bajaj</t>
  </si>
  <si>
    <t>P2067</t>
  </si>
  <si>
    <t>samaira40@basu.com</t>
  </si>
  <si>
    <t>+916083586367</t>
  </si>
  <si>
    <t>Parinaaz Madan</t>
  </si>
  <si>
    <t>P2066</t>
  </si>
  <si>
    <t>traja@yahoo.com</t>
  </si>
  <si>
    <t>5368939095</t>
  </si>
  <si>
    <t>Anvi Cherian</t>
  </si>
  <si>
    <t>P2065</t>
  </si>
  <si>
    <t>goelshalv@hotmail.com</t>
  </si>
  <si>
    <t>6352863387</t>
  </si>
  <si>
    <t>Raunak Chauhan</t>
  </si>
  <si>
    <t>P2064</t>
  </si>
  <si>
    <t>kharedhanuk@sridhar.biz</t>
  </si>
  <si>
    <t>00610441180</t>
  </si>
  <si>
    <t>Samiha Rama</t>
  </si>
  <si>
    <t>P2063</t>
  </si>
  <si>
    <t>hrishitadass@yahoo.com</t>
  </si>
  <si>
    <t>08799254912</t>
  </si>
  <si>
    <t>Siya Reddy</t>
  </si>
  <si>
    <t>P2062</t>
  </si>
  <si>
    <t>fdas@gmail.com</t>
  </si>
  <si>
    <t>7763551430</t>
  </si>
  <si>
    <t>Adira Ghose</t>
  </si>
  <si>
    <t>P2061</t>
  </si>
  <si>
    <t>pranaykala@kadakia.com</t>
  </si>
  <si>
    <t>+917962730480</t>
  </si>
  <si>
    <t>Riya Ramesh</t>
  </si>
  <si>
    <t>P2060</t>
  </si>
  <si>
    <t>ubutala@yahoo.com</t>
  </si>
  <si>
    <t>04457489183</t>
  </si>
  <si>
    <t>Saira Uppal</t>
  </si>
  <si>
    <t>P2059</t>
  </si>
  <si>
    <t>anneseher@hotmail.com</t>
  </si>
  <si>
    <t>02701755101</t>
  </si>
  <si>
    <t>Shayak Tak</t>
  </si>
  <si>
    <t>P2058</t>
  </si>
  <si>
    <t>vshankar@hotmail.com</t>
  </si>
  <si>
    <t>+915252904998</t>
  </si>
  <si>
    <t>Jivin Dass</t>
  </si>
  <si>
    <t>P2057</t>
  </si>
  <si>
    <t>waliavivaan@gmail.com</t>
  </si>
  <si>
    <t>3178409759</t>
  </si>
  <si>
    <t>Yasmin Anne</t>
  </si>
  <si>
    <t>P2056</t>
  </si>
  <si>
    <t>vaidyabhamini@yahoo.com</t>
  </si>
  <si>
    <t>6221418128</t>
  </si>
  <si>
    <t>Charvi Kaur</t>
  </si>
  <si>
    <t>P2055</t>
  </si>
  <si>
    <t>yasminsavant@gulati.com</t>
  </si>
  <si>
    <t>6908966057</t>
  </si>
  <si>
    <t>Anay Barad</t>
  </si>
  <si>
    <t>P2054</t>
  </si>
  <si>
    <t>aurorasaksham@zachariah-kamdar.org</t>
  </si>
  <si>
    <t>07010183185</t>
  </si>
  <si>
    <t>Anvi Dasgupta</t>
  </si>
  <si>
    <t>P2053</t>
  </si>
  <si>
    <t>qdeep@hotmail.com</t>
  </si>
  <si>
    <t>6259907094</t>
  </si>
  <si>
    <t>Sana Batra</t>
  </si>
  <si>
    <t>P2052</t>
  </si>
  <si>
    <t>nitara77@gmail.com</t>
  </si>
  <si>
    <t>04917593585</t>
  </si>
  <si>
    <t>Raghav Saini</t>
  </si>
  <si>
    <t>P2051</t>
  </si>
  <si>
    <t>oaggarwal@deshpande-chaudhari.info</t>
  </si>
  <si>
    <t>07194390327</t>
  </si>
  <si>
    <t>Krish Dar</t>
  </si>
  <si>
    <t>P2050</t>
  </si>
  <si>
    <t>xdevan@yahoo.com</t>
  </si>
  <si>
    <t>+916512028767</t>
  </si>
  <si>
    <t>Samaira Soman</t>
  </si>
  <si>
    <t>P2049</t>
  </si>
  <si>
    <t>aayushsathe@gmail.com</t>
  </si>
  <si>
    <t>04912840758</t>
  </si>
  <si>
    <t>Ira Singh</t>
  </si>
  <si>
    <t>P2048</t>
  </si>
  <si>
    <t>faiyazde@hotmail.com</t>
  </si>
  <si>
    <t>3954961585</t>
  </si>
  <si>
    <t>Pihu Lall</t>
  </si>
  <si>
    <t>P2047</t>
  </si>
  <si>
    <t>sanachawla@hotmail.com</t>
  </si>
  <si>
    <t>05074420033</t>
  </si>
  <si>
    <t>Zaina Sant</t>
  </si>
  <si>
    <t>P2046</t>
  </si>
  <si>
    <t>luthraalia@ramachandran.com</t>
  </si>
  <si>
    <t>6934346490</t>
  </si>
  <si>
    <t>Aarav Sarma</t>
  </si>
  <si>
    <t>P2045</t>
  </si>
  <si>
    <t>xsolanki@mann.net</t>
  </si>
  <si>
    <t>+918814240007</t>
  </si>
  <si>
    <t>Rohan Saxena</t>
  </si>
  <si>
    <t>P2044</t>
  </si>
  <si>
    <t>vivaantaneja@dewan.info</t>
  </si>
  <si>
    <t>8329216080</t>
  </si>
  <si>
    <t>Charvi Badami</t>
  </si>
  <si>
    <t>P2043</t>
  </si>
  <si>
    <t>dasguptaishaan@yahoo.com</t>
  </si>
  <si>
    <t>4211413529</t>
  </si>
  <si>
    <t>Jivika Tripathi</t>
  </si>
  <si>
    <t>P2042</t>
  </si>
  <si>
    <t>ndivan@gmail.com</t>
  </si>
  <si>
    <t>+912762179692</t>
  </si>
  <si>
    <t>Jiya Sha</t>
  </si>
  <si>
    <t>P2041</t>
  </si>
  <si>
    <t>+911584752821</t>
  </si>
  <si>
    <t>Sumer Bera</t>
  </si>
  <si>
    <t>P2040</t>
  </si>
  <si>
    <t>chadasamiha@korpal.info</t>
  </si>
  <si>
    <t>02809203832</t>
  </si>
  <si>
    <t>P2039</t>
  </si>
  <si>
    <t>divijmadan@banik-sarraf.com</t>
  </si>
  <si>
    <t>+915715165797</t>
  </si>
  <si>
    <t>Jiya Swamy</t>
  </si>
  <si>
    <t>P2038</t>
  </si>
  <si>
    <t>jbhatti@hotmail.com</t>
  </si>
  <si>
    <t>+919868560133</t>
  </si>
  <si>
    <t>Jhanvi Swamy</t>
  </si>
  <si>
    <t>P2037</t>
  </si>
  <si>
    <t>sethnitya@hotmail.com</t>
  </si>
  <si>
    <t>3207744536</t>
  </si>
  <si>
    <t>Suhana Dhar</t>
  </si>
  <si>
    <t>P2036</t>
  </si>
  <si>
    <t>sundaramyasmin@sampath.biz</t>
  </si>
  <si>
    <t>+918487502372</t>
  </si>
  <si>
    <t>Tanya Loyal</t>
  </si>
  <si>
    <t>P2035</t>
  </si>
  <si>
    <t>xchanda@yohannan-sandhu.biz</t>
  </si>
  <si>
    <t>7984376988</t>
  </si>
  <si>
    <t>Vidur Mani</t>
  </si>
  <si>
    <t>P2034</t>
  </si>
  <si>
    <t>akala@tank.com</t>
  </si>
  <si>
    <t>+911355735011</t>
  </si>
  <si>
    <t>Ela Dutta</t>
  </si>
  <si>
    <t>P2033</t>
  </si>
  <si>
    <t>bainsmannat@bhardwaj-lall.com</t>
  </si>
  <si>
    <t>04308843804</t>
  </si>
  <si>
    <t>Bhamini Setty</t>
  </si>
  <si>
    <t>P2032</t>
  </si>
  <si>
    <t>shethtarini@yahoo.com</t>
  </si>
  <si>
    <t>+916007189550</t>
  </si>
  <si>
    <t>Uthkarsh Kapur</t>
  </si>
  <si>
    <t>P2031</t>
  </si>
  <si>
    <t>sahnitara@gmail.com</t>
  </si>
  <si>
    <t>+919688846532</t>
  </si>
  <si>
    <t>Seher Sahni</t>
  </si>
  <si>
    <t>P2030</t>
  </si>
  <si>
    <t>sridharumang@baral.com</t>
  </si>
  <si>
    <t>0762692864</t>
  </si>
  <si>
    <t>Gokul Lanka</t>
  </si>
  <si>
    <t>P2029</t>
  </si>
  <si>
    <t>tara87@thakkar.com</t>
  </si>
  <si>
    <t>+914472720803</t>
  </si>
  <si>
    <t>Chirag Sibal</t>
  </si>
  <si>
    <t>P2028</t>
  </si>
  <si>
    <t>bhattacharyyakismat@dugar.com</t>
  </si>
  <si>
    <t>+917850687657</t>
  </si>
  <si>
    <t>Kimaya Sanghvi</t>
  </si>
  <si>
    <t>P2027</t>
  </si>
  <si>
    <t>shaanbhatia@hotmail.com</t>
  </si>
  <si>
    <t>7298016429</t>
  </si>
  <si>
    <t>Vardaniya Bose</t>
  </si>
  <si>
    <t>P2026</t>
  </si>
  <si>
    <t>dhruv94@garde-agarwal.info</t>
  </si>
  <si>
    <t>05839191603</t>
  </si>
  <si>
    <t>Saanvi Hari</t>
  </si>
  <si>
    <t>P2025</t>
  </si>
  <si>
    <t>xdugar@rao.com</t>
  </si>
  <si>
    <t>04922734686</t>
  </si>
  <si>
    <t>Dhanush Bhattacharyya</t>
  </si>
  <si>
    <t>P2024</t>
  </si>
  <si>
    <t>ehsaangrover@yahoo.com</t>
  </si>
  <si>
    <t>+918372814091</t>
  </si>
  <si>
    <t>Anahi Kale</t>
  </si>
  <si>
    <t>P2023</t>
  </si>
  <si>
    <t>fatehvarghese@yahoo.com</t>
  </si>
  <si>
    <t>04201535713</t>
  </si>
  <si>
    <t>Uthkarsh Doshi</t>
  </si>
  <si>
    <t>P2022</t>
  </si>
  <si>
    <t>himmat64@yahoo.com</t>
  </si>
  <si>
    <t>07041425516</t>
  </si>
  <si>
    <t>Bhamini Bahl</t>
  </si>
  <si>
    <t>P2021</t>
  </si>
  <si>
    <t>dhruv96@sarkar.org</t>
  </si>
  <si>
    <t>07130117081</t>
  </si>
  <si>
    <t>Hrishita Andra</t>
  </si>
  <si>
    <t>jayaramanhiran@joshi.com</t>
  </si>
  <si>
    <t>01027368229</t>
  </si>
  <si>
    <t>Madhav Kala</t>
  </si>
  <si>
    <t>P2019</t>
  </si>
  <si>
    <t>voramishti@lal.com</t>
  </si>
  <si>
    <t>7904575340</t>
  </si>
  <si>
    <t>Dishani Kurian</t>
  </si>
  <si>
    <t>P2018</t>
  </si>
  <si>
    <t>korpaldivij@hotmail.com</t>
  </si>
  <si>
    <t>08464570622</t>
  </si>
  <si>
    <t>Darshit Kari</t>
  </si>
  <si>
    <t>P2017</t>
  </si>
  <si>
    <t>biju12@yahoo.com</t>
  </si>
  <si>
    <t>6338327272</t>
  </si>
  <si>
    <t>Dishani Kota</t>
  </si>
  <si>
    <t>P2016</t>
  </si>
  <si>
    <t>mannatsethi@khurana.biz</t>
  </si>
  <si>
    <t>Kabir Ramaswamy</t>
  </si>
  <si>
    <t>P2015</t>
  </si>
  <si>
    <t>zsagar@shere-dugar.info</t>
  </si>
  <si>
    <t>+918437379337</t>
  </si>
  <si>
    <t>Arnav Lanka</t>
  </si>
  <si>
    <t>P2014</t>
  </si>
  <si>
    <t>ygupta@andra-bail.com</t>
  </si>
  <si>
    <t>+915921132202</t>
  </si>
  <si>
    <t>Krish Sha</t>
  </si>
  <si>
    <t>P2013</t>
  </si>
  <si>
    <t>bijutella@kapadia.net</t>
  </si>
  <si>
    <t>0808941296</t>
  </si>
  <si>
    <t>Ritvik Kurian</t>
  </si>
  <si>
    <t>P2012</t>
  </si>
  <si>
    <t>aainabasu@toor.org</t>
  </si>
  <si>
    <t>+910784498078</t>
  </si>
  <si>
    <t>Tanya Vyas</t>
  </si>
  <si>
    <t>P2011</t>
  </si>
  <si>
    <t>ivanasidhu@hotmail.com</t>
  </si>
  <si>
    <t>4111083259</t>
  </si>
  <si>
    <t>Kismat Dalal</t>
  </si>
  <si>
    <t>P2010</t>
  </si>
  <si>
    <t>asachar@hotmail.com</t>
  </si>
  <si>
    <t>05556437645</t>
  </si>
  <si>
    <t>Aaryahi Dubey</t>
  </si>
  <si>
    <t>P2009</t>
  </si>
  <si>
    <t>vgarg@vala.com</t>
  </si>
  <si>
    <t>0070025256</t>
  </si>
  <si>
    <t>Saira Raman</t>
  </si>
  <si>
    <t>P2008</t>
  </si>
  <si>
    <t>baliamani@hotmail.com</t>
  </si>
  <si>
    <t>00072927338</t>
  </si>
  <si>
    <t>Vritika Khurana</t>
  </si>
  <si>
    <t>P2007</t>
  </si>
  <si>
    <t>brahmbhattela@ramanathan.com</t>
  </si>
  <si>
    <t>+913597869992</t>
  </si>
  <si>
    <t>Aarush Sant</t>
  </si>
  <si>
    <t>P2006</t>
  </si>
  <si>
    <t>vritika34@ratta.com</t>
  </si>
  <si>
    <t>+919016251720</t>
  </si>
  <si>
    <t>Hrishita Vora</t>
  </si>
  <si>
    <t>P2005</t>
  </si>
  <si>
    <t>gillpihu@yahoo.com</t>
  </si>
  <si>
    <t>6175337366</t>
  </si>
  <si>
    <t>Jivika Shah</t>
  </si>
  <si>
    <t>P2004</t>
  </si>
  <si>
    <t>fdewan@sarma-shroff.info</t>
  </si>
  <si>
    <t>05250882702</t>
  </si>
  <si>
    <t>Bhamini Bajwa</t>
  </si>
  <si>
    <t>P2003</t>
  </si>
  <si>
    <t>swamyzain@hotmail.com</t>
  </si>
  <si>
    <t>+918649838528</t>
  </si>
  <si>
    <t>Prerak Sahota</t>
  </si>
  <si>
    <t>P2002</t>
  </si>
  <si>
    <t>dgokhale@gmail.com</t>
  </si>
  <si>
    <t>9621844967</t>
  </si>
  <si>
    <t>Sana Chawla</t>
  </si>
  <si>
    <t>P2001</t>
  </si>
  <si>
    <t>samaira26@hotmail.com</t>
  </si>
  <si>
    <t>+913179638749</t>
  </si>
  <si>
    <t>Adah Barad</t>
  </si>
  <si>
    <t>P2000</t>
  </si>
  <si>
    <t>shayakchoudhry@bhattacharyya-kibe.com</t>
  </si>
  <si>
    <t>00560221981</t>
  </si>
  <si>
    <t>Dhanush Arya</t>
  </si>
  <si>
    <t>P1999</t>
  </si>
  <si>
    <t>neelofar65@chakrabarti-sankaran.com</t>
  </si>
  <si>
    <t>+919264941056</t>
  </si>
  <si>
    <t>Mehul Kashyap</t>
  </si>
  <si>
    <t>P1998</t>
  </si>
  <si>
    <t>saranshlok@hotmail.com</t>
  </si>
  <si>
    <t>+917542095639</t>
  </si>
  <si>
    <t>Rania Sehgal</t>
  </si>
  <si>
    <t>P1997</t>
  </si>
  <si>
    <t>varmarasha@gmail.com</t>
  </si>
  <si>
    <t>+914635554251</t>
  </si>
  <si>
    <t>Raghav Thakkar</t>
  </si>
  <si>
    <t>P1996</t>
  </si>
  <si>
    <t>bariashayak@yahoo.com</t>
  </si>
  <si>
    <t>07388851554</t>
  </si>
  <si>
    <t>Mohanlal Kakar</t>
  </si>
  <si>
    <t>P1995</t>
  </si>
  <si>
    <t>subramanianrohan@gala.org</t>
  </si>
  <si>
    <t>05184616515</t>
  </si>
  <si>
    <t>Oorja Balay</t>
  </si>
  <si>
    <t>P1994</t>
  </si>
  <si>
    <t>krishnanaarav@viswanathan.biz</t>
  </si>
  <si>
    <t>7862989845</t>
  </si>
  <si>
    <t>Ivan Yogi</t>
  </si>
  <si>
    <t>P1993</t>
  </si>
  <si>
    <t>sumerbalasubramanian@yahoo.com</t>
  </si>
  <si>
    <t>0003504482</t>
  </si>
  <si>
    <t>Jivin Barman</t>
  </si>
  <si>
    <t>P1992</t>
  </si>
  <si>
    <t>taratalwar@hotmail.com</t>
  </si>
  <si>
    <t>09945844361</t>
  </si>
  <si>
    <t>Adira Cherian</t>
  </si>
  <si>
    <t>P1991</t>
  </si>
  <si>
    <t>mishti35@gmail.com</t>
  </si>
  <si>
    <t>+911540387046</t>
  </si>
  <si>
    <t xml:space="preserve">  Sahil Sarraf </t>
  </si>
  <si>
    <t>P1990</t>
  </si>
  <si>
    <t>idesai@bhalla.com</t>
  </si>
  <si>
    <t>+918649951831</t>
  </si>
  <si>
    <t>Ira Kapur</t>
  </si>
  <si>
    <t>P1989</t>
  </si>
  <si>
    <t>gokulravi@gmail.com</t>
  </si>
  <si>
    <t>7257671139</t>
  </si>
  <si>
    <t>Jhanvi Krish</t>
  </si>
  <si>
    <t>P1988</t>
  </si>
  <si>
    <t>kgade@yahoo.com</t>
  </si>
  <si>
    <t>+912245481746</t>
  </si>
  <si>
    <t>Faiyaz Yohannan</t>
  </si>
  <si>
    <t>P1987</t>
  </si>
  <si>
    <t>bhavinatwal@bhatti.com</t>
  </si>
  <si>
    <t>+916251878470</t>
  </si>
  <si>
    <t>Aaina Walia</t>
  </si>
  <si>
    <t>P1986</t>
  </si>
  <si>
    <t>sastrychirag@hotmail.com</t>
  </si>
  <si>
    <t>+910022861500</t>
  </si>
  <si>
    <t>Tanya Kota</t>
  </si>
  <si>
    <t>P1985</t>
  </si>
  <si>
    <t>jiya57@wason.com</t>
  </si>
  <si>
    <t>02019099379</t>
  </si>
  <si>
    <t>Aarna Vyas</t>
  </si>
  <si>
    <t>P1984</t>
  </si>
  <si>
    <t>bsawhney@yahoo.com</t>
  </si>
  <si>
    <t>0323955447</t>
  </si>
  <si>
    <t>Stuvan Bhakta</t>
  </si>
  <si>
    <t>P1983</t>
  </si>
  <si>
    <t>sjha@sama.org</t>
  </si>
  <si>
    <t>09104289127</t>
  </si>
  <si>
    <t>Amira Aurora</t>
  </si>
  <si>
    <t>P1982</t>
  </si>
  <si>
    <t>mishtihalder@kar.com</t>
  </si>
  <si>
    <t>00309654923</t>
  </si>
  <si>
    <t>Raunak Lanka</t>
  </si>
  <si>
    <t>P1981</t>
  </si>
  <si>
    <t>shalvtandon@hotmail.com</t>
  </si>
  <si>
    <t>2345110566</t>
  </si>
  <si>
    <t>Adira Saxena</t>
  </si>
  <si>
    <t>P1980</t>
  </si>
  <si>
    <t>dhruv39@hotmail.com</t>
  </si>
  <si>
    <t>00547051255</t>
  </si>
  <si>
    <t>Misha Kara</t>
  </si>
  <si>
    <t>P1979</t>
  </si>
  <si>
    <t>jbalay@borde-uppal.info</t>
  </si>
  <si>
    <t>+913413608833</t>
  </si>
  <si>
    <t>Priyansh Kari</t>
  </si>
  <si>
    <t>P1978</t>
  </si>
  <si>
    <t>batrashray@yahoo.com</t>
  </si>
  <si>
    <t>01888525076</t>
  </si>
  <si>
    <t>Veer Das</t>
  </si>
  <si>
    <t>P1977</t>
  </si>
  <si>
    <t>xgrover@edwin-kulkarni.org</t>
  </si>
  <si>
    <t>9521741742</t>
  </si>
  <si>
    <t>Ivana Bains</t>
  </si>
  <si>
    <t>P1976</t>
  </si>
  <si>
    <t>xbala@walia.net</t>
  </si>
  <si>
    <t>+917645883887</t>
  </si>
  <si>
    <t>Aradhya Yohannan</t>
  </si>
  <si>
    <t>P1975</t>
  </si>
  <si>
    <t>raghav79@ghosh.com</t>
  </si>
  <si>
    <t>06959097840</t>
  </si>
  <si>
    <t>Hunar Tiwari</t>
  </si>
  <si>
    <t>P1974</t>
  </si>
  <si>
    <t>devanshkrishnamurthy@hotmail.com</t>
  </si>
  <si>
    <t>03891341273</t>
  </si>
  <si>
    <t>Advika Banerjee</t>
  </si>
  <si>
    <t>P1973</t>
  </si>
  <si>
    <t>gbatra@dhingra.biz</t>
  </si>
  <si>
    <t>04319045600</t>
  </si>
  <si>
    <t>Zain Jaggi</t>
  </si>
  <si>
    <t>P1972</t>
  </si>
  <si>
    <t>mbath@yahoo.com</t>
  </si>
  <si>
    <t>8297639633</t>
  </si>
  <si>
    <t>Tanya Rout</t>
  </si>
  <si>
    <t>P1971</t>
  </si>
  <si>
    <t>rania69@yahoo.com</t>
  </si>
  <si>
    <t>09409949966</t>
  </si>
  <si>
    <t>Lakshay Chana</t>
  </si>
  <si>
    <t>P1970</t>
  </si>
  <si>
    <t>mangalshalv@upadhyay-upadhyay.info</t>
  </si>
  <si>
    <t>6245595848</t>
  </si>
  <si>
    <t>Vidur Saini</t>
  </si>
  <si>
    <t>P1969</t>
  </si>
  <si>
    <t>oacharya@gmail.com</t>
  </si>
  <si>
    <t>+912914361189</t>
  </si>
  <si>
    <t>Abram Rattan</t>
  </si>
  <si>
    <t>P1968</t>
  </si>
  <si>
    <t>saksham04@hotmail.com</t>
  </si>
  <si>
    <t>7415692208</t>
  </si>
  <si>
    <t>Jayant Bhagat</t>
  </si>
  <si>
    <t>P1967</t>
  </si>
  <si>
    <t>aradhyamane@hotmail.com</t>
  </si>
  <si>
    <t>04233855803</t>
  </si>
  <si>
    <t>Anahi Kanda</t>
  </si>
  <si>
    <t>P1966</t>
  </si>
  <si>
    <t>miraya61@yahoo.com</t>
  </si>
  <si>
    <t>+917290558396</t>
  </si>
  <si>
    <t>Urvi Mahal</t>
  </si>
  <si>
    <t>P1965</t>
  </si>
  <si>
    <t>kapoorromil@gmail.com</t>
  </si>
  <si>
    <t>7142142509</t>
  </si>
  <si>
    <t>Abram Ratta</t>
  </si>
  <si>
    <t>P1964</t>
  </si>
  <si>
    <t>rohan14@gmail.com</t>
  </si>
  <si>
    <t>+916450467735</t>
  </si>
  <si>
    <t>Divit Mangat</t>
  </si>
  <si>
    <t>P1963</t>
  </si>
  <si>
    <t>nkale@kashyap-goel.biz</t>
  </si>
  <si>
    <t>04073270267</t>
  </si>
  <si>
    <t>Zoya Balakrishnan</t>
  </si>
  <si>
    <t>P1962</t>
  </si>
  <si>
    <t>mehulchopra@baria.com</t>
  </si>
  <si>
    <t>4251423487</t>
  </si>
  <si>
    <t>Pihu Ahuja</t>
  </si>
  <si>
    <t>P1961</t>
  </si>
  <si>
    <t>+916054714035</t>
  </si>
  <si>
    <t>Keya Gala</t>
  </si>
  <si>
    <t>P1960</t>
  </si>
  <si>
    <t>vaidyamamooty@sachdeva-srinivas.biz</t>
  </si>
  <si>
    <t>03517952085</t>
  </si>
  <si>
    <t>Riya Gera</t>
  </si>
  <si>
    <t>P1959</t>
  </si>
  <si>
    <t>devansh95@gmail.com</t>
  </si>
  <si>
    <t>+917855670510</t>
  </si>
  <si>
    <t>Shalv Agate</t>
  </si>
  <si>
    <t>P1958</t>
  </si>
  <si>
    <t>ramakrishnanehsaan@bhatia-dhar.info</t>
  </si>
  <si>
    <t>+917757353448</t>
  </si>
  <si>
    <t>Shlok De</t>
  </si>
  <si>
    <t>P1957</t>
  </si>
  <si>
    <t>ranbir79@yahoo.com</t>
  </si>
  <si>
    <t>+916114411405</t>
  </si>
  <si>
    <t>Anaya Uppal</t>
  </si>
  <si>
    <t>P1956</t>
  </si>
  <si>
    <t>latadrishya@sharma.info</t>
  </si>
  <si>
    <t>7076815594</t>
  </si>
  <si>
    <t>Ivan Lanka</t>
  </si>
  <si>
    <t>P1955</t>
  </si>
  <si>
    <t>keerbiju@bandi.com</t>
  </si>
  <si>
    <t>+914890147030</t>
  </si>
  <si>
    <t>Madhav Andra</t>
  </si>
  <si>
    <t>P1954</t>
  </si>
  <si>
    <t>mishti90@bansal.com</t>
  </si>
  <si>
    <t>08824763397</t>
  </si>
  <si>
    <t>Anya Srinivas</t>
  </si>
  <si>
    <t>P1953</t>
  </si>
  <si>
    <t>elakshi25@gandhi-bedi.net</t>
  </si>
  <si>
    <t>7871151062</t>
  </si>
  <si>
    <t>Arnav Aurora</t>
  </si>
  <si>
    <t>P1952</t>
  </si>
  <si>
    <t>wvora@hotmail.com</t>
  </si>
  <si>
    <t>01626662312</t>
  </si>
  <si>
    <t>Ishaan Devan</t>
  </si>
  <si>
    <t>P1951</t>
  </si>
  <si>
    <t>ira07@kohli.com</t>
  </si>
  <si>
    <t>01304012708</t>
  </si>
  <si>
    <t>Rania Lalla</t>
  </si>
  <si>
    <t>P1950</t>
  </si>
  <si>
    <t>ghoshvritika@gmail.com</t>
  </si>
  <si>
    <t>+913186135085</t>
  </si>
  <si>
    <t>Raunak Borah</t>
  </si>
  <si>
    <t>P1949</t>
  </si>
  <si>
    <t>semmehul@dalal.com</t>
  </si>
  <si>
    <t>+916995976467</t>
  </si>
  <si>
    <t>Shray Talwar</t>
  </si>
  <si>
    <t>P1948</t>
  </si>
  <si>
    <t>korpalmiraan@gmail.com</t>
  </si>
  <si>
    <t>+911798073999</t>
  </si>
  <si>
    <t>Oorja Dutta</t>
  </si>
  <si>
    <t>P1947</t>
  </si>
  <si>
    <t>manjari63@kar-chaudhry.org</t>
  </si>
  <si>
    <t>+917348496772</t>
  </si>
  <si>
    <t>Anay Ghosh</t>
  </si>
  <si>
    <t>P1946</t>
  </si>
  <si>
    <t>hayreneelofar@hotmail.com</t>
  </si>
  <si>
    <t>2319703283</t>
  </si>
  <si>
    <t>Madhup Sarna</t>
  </si>
  <si>
    <t>P1945</t>
  </si>
  <si>
    <t>hrishitasastry@mani-som.com</t>
  </si>
  <si>
    <t>03181393333</t>
  </si>
  <si>
    <t>Samaira Ratti</t>
  </si>
  <si>
    <t>P1944</t>
  </si>
  <si>
    <t>lbhavsar@gmail.com</t>
  </si>
  <si>
    <t>01528683574</t>
  </si>
  <si>
    <t>Hansh Gade</t>
  </si>
  <si>
    <t>P1943</t>
  </si>
  <si>
    <t>alisha95@wable-kale.com</t>
  </si>
  <si>
    <t>+916443921863</t>
  </si>
  <si>
    <t>Vedika Setty</t>
  </si>
  <si>
    <t>P1942</t>
  </si>
  <si>
    <t>tanyakar@walia.com</t>
  </si>
  <si>
    <t>00337612730</t>
  </si>
  <si>
    <t>Mishti Arora</t>
  </si>
  <si>
    <t>P1941</t>
  </si>
  <si>
    <t>gswaminathan@gmail.com</t>
  </si>
  <si>
    <t>6119441559</t>
  </si>
  <si>
    <t>Lakshit Jani</t>
  </si>
  <si>
    <t>P1940</t>
  </si>
  <si>
    <t>ywadhwa@anne.com</t>
  </si>
  <si>
    <t>08809071866</t>
  </si>
  <si>
    <t>Reyansh Mall</t>
  </si>
  <si>
    <t>P1939</t>
  </si>
  <si>
    <t>samairabalay@tak.net</t>
  </si>
  <si>
    <t>+919224154305</t>
  </si>
  <si>
    <t>Nirvi Seshadri</t>
  </si>
  <si>
    <t>P1938</t>
  </si>
  <si>
    <t>mamooty54@yahoo.com</t>
  </si>
  <si>
    <t>+917724412766</t>
  </si>
  <si>
    <t>Stuvan Dugal</t>
  </si>
  <si>
    <t>P1937</t>
  </si>
  <si>
    <t>zshah@sehgal-mangal.net</t>
  </si>
  <si>
    <t>00263684234</t>
  </si>
  <si>
    <t>Elakshi Trivedi</t>
  </si>
  <si>
    <t>P1936</t>
  </si>
  <si>
    <t>singhprisha@gmail.com</t>
  </si>
  <si>
    <t>05788096535</t>
  </si>
  <si>
    <t>Abram Bandi</t>
  </si>
  <si>
    <t>P1935</t>
  </si>
  <si>
    <t>shaantoor@khosla.com</t>
  </si>
  <si>
    <t>8033806563</t>
  </si>
  <si>
    <t>Veer Kalita</t>
  </si>
  <si>
    <t>P1934</t>
  </si>
  <si>
    <t>kabirbir@gmail.com</t>
  </si>
  <si>
    <t>02457702056</t>
  </si>
  <si>
    <t>Rhea Mammen</t>
  </si>
  <si>
    <t>P1933</t>
  </si>
  <si>
    <t>shamiksule@hegde.com</t>
  </si>
  <si>
    <t>7989037221</t>
  </si>
  <si>
    <t>Anay Gulati</t>
  </si>
  <si>
    <t>P1932</t>
  </si>
  <si>
    <t>veerde@reddy.info</t>
  </si>
  <si>
    <t>+919545712832</t>
  </si>
  <si>
    <t>Samiha Bhargava</t>
  </si>
  <si>
    <t>P1931</t>
  </si>
  <si>
    <t>krishgopal@hotmail.com</t>
  </si>
  <si>
    <t>+919275256266</t>
  </si>
  <si>
    <t>Alisha Vora</t>
  </si>
  <si>
    <t>P1930</t>
  </si>
  <si>
    <t>gourkiara@gmail.com</t>
  </si>
  <si>
    <t>09100219392</t>
  </si>
  <si>
    <t>Saira Bansal</t>
  </si>
  <si>
    <t>P1929</t>
  </si>
  <si>
    <t>zoya97@hotmail.com</t>
  </si>
  <si>
    <t>9634515512</t>
  </si>
  <si>
    <t>Oorja Suresh</t>
  </si>
  <si>
    <t>P1928</t>
  </si>
  <si>
    <t>suleparinaaz@yahoo.com</t>
  </si>
  <si>
    <t>6715918305</t>
  </si>
  <si>
    <t>Riaan Buch</t>
  </si>
  <si>
    <t>P1927</t>
  </si>
  <si>
    <t>prishadara@gmail.com</t>
  </si>
  <si>
    <t>+916235695083</t>
  </si>
  <si>
    <t>Nirvi Balay</t>
  </si>
  <si>
    <t>P1926</t>
  </si>
  <si>
    <t>sawhneyarnav@chandra-singh.com</t>
  </si>
  <si>
    <t>7000015244</t>
  </si>
  <si>
    <t>Taran Kohli</t>
  </si>
  <si>
    <t>P1925</t>
  </si>
  <si>
    <t>settymahika@chahal.info</t>
  </si>
  <si>
    <t>06489084001</t>
  </si>
  <si>
    <t>Elakshi Ranganathan</t>
  </si>
  <si>
    <t>P1924</t>
  </si>
  <si>
    <t>mannanbadal@chokshi.biz</t>
  </si>
  <si>
    <t>08993944623</t>
  </si>
  <si>
    <t>Saira Chokshi</t>
  </si>
  <si>
    <t>P1923</t>
  </si>
  <si>
    <t>duashayak@gmail.com</t>
  </si>
  <si>
    <t>3111112936</t>
  </si>
  <si>
    <t>Sumer Kari</t>
  </si>
  <si>
    <t>P1922</t>
  </si>
  <si>
    <t>heershere@gmail.com</t>
  </si>
  <si>
    <t>+911757766368</t>
  </si>
  <si>
    <t>Elakshi Chakrabarti</t>
  </si>
  <si>
    <t>P1921</t>
  </si>
  <si>
    <t>rajashanaya@divan-kapadia.net</t>
  </si>
  <si>
    <t>+916634347298</t>
  </si>
  <si>
    <t>Samaira Chacko</t>
  </si>
  <si>
    <t>P1920</t>
  </si>
  <si>
    <t>dadashalv@buch.com</t>
  </si>
  <si>
    <t>06179994933</t>
  </si>
  <si>
    <t>Anaya Ravi</t>
  </si>
  <si>
    <t>P1919</t>
  </si>
  <si>
    <t>zara71@kohli.com</t>
  </si>
  <si>
    <t>08072680527</t>
  </si>
  <si>
    <t>Bhavin Saha</t>
  </si>
  <si>
    <t>P1918</t>
  </si>
  <si>
    <t>aaggarwal@kannan.com</t>
  </si>
  <si>
    <t>2959708819</t>
  </si>
  <si>
    <t>Charvi Lal</t>
  </si>
  <si>
    <t>P1917</t>
  </si>
  <si>
    <t>mannatgour@verma.com</t>
  </si>
  <si>
    <t>+911076462848</t>
  </si>
  <si>
    <t>Jayesh Kaul</t>
  </si>
  <si>
    <t>P1916</t>
  </si>
  <si>
    <t>qbadal@gmail.com</t>
  </si>
  <si>
    <t>03667012213</t>
  </si>
  <si>
    <t>Yuvraj  Luthra</t>
  </si>
  <si>
    <t>P1915</t>
  </si>
  <si>
    <t>yashvi68@gmail.com</t>
  </si>
  <si>
    <t>04108555823</t>
  </si>
  <si>
    <t>Anvi Shere</t>
  </si>
  <si>
    <t>P1914</t>
  </si>
  <si>
    <t>slal@dave.biz</t>
  </si>
  <si>
    <t>4163851415</t>
  </si>
  <si>
    <t>Krish Bains</t>
  </si>
  <si>
    <t>P1913</t>
  </si>
  <si>
    <t>gcheema@hotmail.com</t>
  </si>
  <si>
    <t>2277347822</t>
  </si>
  <si>
    <t>Heer Dhar</t>
  </si>
  <si>
    <t>P1912</t>
  </si>
  <si>
    <t>aradhyababu@master.com</t>
  </si>
  <si>
    <t>+918755798149</t>
  </si>
  <si>
    <t>Umang Mahal</t>
  </si>
  <si>
    <t>P1911</t>
  </si>
  <si>
    <t>keerjivika@virk.biz</t>
  </si>
  <si>
    <t>03225529675</t>
  </si>
  <si>
    <t>Akarsh Hayer</t>
  </si>
  <si>
    <t>P1910</t>
  </si>
  <si>
    <t>darshitmagar@gmail.com</t>
  </si>
  <si>
    <t>5631629013</t>
  </si>
  <si>
    <t>Manjari Guha</t>
  </si>
  <si>
    <t>P1909</t>
  </si>
  <si>
    <t>nehmat19@mangal-lala.com</t>
  </si>
  <si>
    <t>07791567603</t>
  </si>
  <si>
    <t>Ira Mallick</t>
  </si>
  <si>
    <t>P1908</t>
  </si>
  <si>
    <t>btrivedi@yahoo.com</t>
  </si>
  <si>
    <t>5404125695</t>
  </si>
  <si>
    <t>Shayak Rana</t>
  </si>
  <si>
    <t>P1907</t>
  </si>
  <si>
    <t>rajubhavin@hotmail.com</t>
  </si>
  <si>
    <t>05614320046</t>
  </si>
  <si>
    <t>Nitara Bobal</t>
  </si>
  <si>
    <t>P1906</t>
  </si>
  <si>
    <t>yakshitdalia@goel-sachdeva.com</t>
  </si>
  <si>
    <t>07264184036</t>
  </si>
  <si>
    <t>Ahana  Shah</t>
  </si>
  <si>
    <t>P1905</t>
  </si>
  <si>
    <t>reddymadhup@gmail.com</t>
  </si>
  <si>
    <t>+910967248506</t>
  </si>
  <si>
    <t>Samiha Doctor</t>
  </si>
  <si>
    <t>P1904</t>
  </si>
  <si>
    <t>lalaishita@bhargava.com</t>
  </si>
  <si>
    <t>+916917576194</t>
  </si>
  <si>
    <t>Diya Chowdhury</t>
  </si>
  <si>
    <t>P1903</t>
  </si>
  <si>
    <t>tchoudhury@hotmail.com</t>
  </si>
  <si>
    <t>+912969817701</t>
  </si>
  <si>
    <t>Navya Taneja</t>
  </si>
  <si>
    <t>P1902</t>
  </si>
  <si>
    <t>fvohra@yahoo.com</t>
  </si>
  <si>
    <t>+918360964300</t>
  </si>
  <si>
    <t>Samar Lalla</t>
  </si>
  <si>
    <t>P1901</t>
  </si>
  <si>
    <t>fjani@yahoo.com</t>
  </si>
  <si>
    <t>+916621928279</t>
  </si>
  <si>
    <t xml:space="preserve">  Piya Vaidya </t>
  </si>
  <si>
    <t>P1900</t>
  </si>
  <si>
    <t>purabvarughese@bal-sood.net</t>
  </si>
  <si>
    <t>6822244500</t>
  </si>
  <si>
    <t>Adira Cheema</t>
  </si>
  <si>
    <t>P1899</t>
  </si>
  <si>
    <t>trivediadah@rajan.com</t>
  </si>
  <si>
    <t>06267103955</t>
  </si>
  <si>
    <t>Keya Kapadia</t>
  </si>
  <si>
    <t>P1898</t>
  </si>
  <si>
    <t>abram01@gmail.com</t>
  </si>
  <si>
    <t>+919461141514</t>
  </si>
  <si>
    <t>Ojas Kant</t>
  </si>
  <si>
    <t>P1897</t>
  </si>
  <si>
    <t>gjohal@sabharwal.com</t>
  </si>
  <si>
    <t>0129551913</t>
  </si>
  <si>
    <t>Yashvi Apte</t>
  </si>
  <si>
    <t>P1896</t>
  </si>
  <si>
    <t>arnav64@gmail.com</t>
  </si>
  <si>
    <t>3617387085</t>
  </si>
  <si>
    <t>Heer Saran</t>
  </si>
  <si>
    <t>P1895</t>
  </si>
  <si>
    <t>kalabaiju@seshadri.com</t>
  </si>
  <si>
    <t>+912682175426</t>
  </si>
  <si>
    <t>Mishti Manda</t>
  </si>
  <si>
    <t>P1894</t>
  </si>
  <si>
    <t>grewallakshay@shankar.com</t>
  </si>
  <si>
    <t>+917595164610</t>
  </si>
  <si>
    <t>Kavya Rout</t>
  </si>
  <si>
    <t>P1893</t>
  </si>
  <si>
    <t>rvarkey@yahoo.com</t>
  </si>
  <si>
    <t>1515109442</t>
  </si>
  <si>
    <t>Saksham Behl</t>
  </si>
  <si>
    <t>P1892</t>
  </si>
  <si>
    <t>pdeep@sandhu.com</t>
  </si>
  <si>
    <t>+919717970793</t>
  </si>
  <si>
    <t>Anvi Sastry</t>
  </si>
  <si>
    <t>P1891</t>
  </si>
  <si>
    <t>hiran19@gmail.com</t>
  </si>
  <si>
    <t>3776498944</t>
  </si>
  <si>
    <t>Badal Handa</t>
  </si>
  <si>
    <t>P1890</t>
  </si>
  <si>
    <t>vanyabhandari@bali-chaudry.com</t>
  </si>
  <si>
    <t>+913235442482</t>
  </si>
  <si>
    <t>Kismat Sidhu</t>
  </si>
  <si>
    <t>P1889</t>
  </si>
  <si>
    <t>zvarghese@sheth.net</t>
  </si>
  <si>
    <t>+911015857577</t>
  </si>
  <si>
    <t>Sumer Din</t>
  </si>
  <si>
    <t>P1888</t>
  </si>
  <si>
    <t>sidhuira@shukla.biz</t>
  </si>
  <si>
    <t>5120387227</t>
  </si>
  <si>
    <t>Myra Banik</t>
  </si>
  <si>
    <t>P1887</t>
  </si>
  <si>
    <t>gbera@sani-madan.com</t>
  </si>
  <si>
    <t>4695202262</t>
  </si>
  <si>
    <t>Parinaaz Barad</t>
  </si>
  <si>
    <t>P1886</t>
  </si>
  <si>
    <t>prishakalla@yohannan-hegde.com</t>
  </si>
  <si>
    <t>+918902494735</t>
  </si>
  <si>
    <t>Chirag Tara</t>
  </si>
  <si>
    <t>P1885</t>
  </si>
  <si>
    <t>arhaanborah@manne-borah.com</t>
  </si>
  <si>
    <t>+910558172262</t>
  </si>
  <si>
    <t>Raunak Kar</t>
  </si>
  <si>
    <t>P1884</t>
  </si>
  <si>
    <t>ddey@gmail.com</t>
  </si>
  <si>
    <t>+918544049700</t>
  </si>
  <si>
    <t>Lagan Raval</t>
  </si>
  <si>
    <t>P1883</t>
  </si>
  <si>
    <t>anahi50@yahoo.com</t>
  </si>
  <si>
    <t>+916145057479</t>
  </si>
  <si>
    <t>Neysa Bava</t>
  </si>
  <si>
    <t>P1882</t>
  </si>
  <si>
    <t>wableraunak@gmail.com</t>
  </si>
  <si>
    <t>+919835549658</t>
  </si>
  <si>
    <t>Nayantara Iyer</t>
  </si>
  <si>
    <t>P1881</t>
  </si>
  <si>
    <t>01534138884</t>
  </si>
  <si>
    <t>Manjari Deep</t>
  </si>
  <si>
    <t>P1880</t>
  </si>
  <si>
    <t>chaudhurisaira@gmail.com</t>
  </si>
  <si>
    <t>00900351538</t>
  </si>
  <si>
    <t>Faiyaz Din</t>
  </si>
  <si>
    <t>P1879</t>
  </si>
  <si>
    <t>nsarna@hotmail.com</t>
  </si>
  <si>
    <t>01987800812</t>
  </si>
  <si>
    <t>Taimur Manne</t>
  </si>
  <si>
    <t>P1878</t>
  </si>
  <si>
    <t>kohlianvi@yogi-master.net</t>
  </si>
  <si>
    <t>09220372303</t>
  </si>
  <si>
    <t>Anay Dugar</t>
  </si>
  <si>
    <t>P1877</t>
  </si>
  <si>
    <t>aradhya47@gmail.com</t>
  </si>
  <si>
    <t>+918609976851</t>
  </si>
  <si>
    <t>Navya Mand</t>
  </si>
  <si>
    <t>P1876</t>
  </si>
  <si>
    <t>shalv82@yahoo.com</t>
  </si>
  <si>
    <t>+918600651837</t>
  </si>
  <si>
    <t>Rhea Shetty</t>
  </si>
  <si>
    <t>P1875</t>
  </si>
  <si>
    <t>veersamra@mander-loyal.biz</t>
  </si>
  <si>
    <t>2534964184</t>
  </si>
  <si>
    <t>Gatik Randhawa</t>
  </si>
  <si>
    <t>P1874</t>
  </si>
  <si>
    <t>oorja57@gmail.com</t>
  </si>
  <si>
    <t>07398090396</t>
  </si>
  <si>
    <t>Vedika Dugar</t>
  </si>
  <si>
    <t>P1873</t>
  </si>
  <si>
    <t>aradhya53@yahoo.com</t>
  </si>
  <si>
    <t>+910642417890</t>
  </si>
  <si>
    <t>Akarsh Issac</t>
  </si>
  <si>
    <t>P1872</t>
  </si>
  <si>
    <t>krishtella@ganesan.com</t>
  </si>
  <si>
    <t>+915757535547</t>
  </si>
  <si>
    <t>Ishita Kibe</t>
  </si>
  <si>
    <t>P1871</t>
  </si>
  <si>
    <t>kondaelakshi@hotmail.com</t>
  </si>
  <si>
    <t>Ryan Bakshi</t>
  </si>
  <si>
    <t>P1870</t>
  </si>
  <si>
    <t>samairawalia@hotmail.com</t>
  </si>
  <si>
    <t>1520657991</t>
  </si>
  <si>
    <t>Vanya Suri</t>
  </si>
  <si>
    <t>P1869</t>
  </si>
  <si>
    <t>edhar@yahoo.com</t>
  </si>
  <si>
    <t>+916010819930</t>
  </si>
  <si>
    <t>Nishith Bhavsar</t>
  </si>
  <si>
    <t>P1868</t>
  </si>
  <si>
    <t>nbahl@yahoo.com</t>
  </si>
  <si>
    <t>03358512982</t>
  </si>
  <si>
    <t>Pranay Dube</t>
  </si>
  <si>
    <t>P1867</t>
  </si>
  <si>
    <t>nakul91@trivedi.org</t>
  </si>
  <si>
    <t>+911138744646</t>
  </si>
  <si>
    <t>Shray Gupta</t>
  </si>
  <si>
    <t>P1866</t>
  </si>
  <si>
    <t>valakashvi@gmail.com</t>
  </si>
  <si>
    <t>+914402409793</t>
  </si>
  <si>
    <t>Vivaan Bora</t>
  </si>
  <si>
    <t>P1865</t>
  </si>
  <si>
    <t>jkhalsa@gmail.com</t>
  </si>
  <si>
    <t>+917369352724</t>
  </si>
  <si>
    <t>Kartik Mannan</t>
  </si>
  <si>
    <t>P1864</t>
  </si>
  <si>
    <t>wadhwaneysa@chanda-vora.info</t>
  </si>
  <si>
    <t>5604127413</t>
  </si>
  <si>
    <t>Aaryahi Kaur</t>
  </si>
  <si>
    <t>P1863</t>
  </si>
  <si>
    <t>mishachanda@hotmail.com</t>
  </si>
  <si>
    <t>5954916809</t>
  </si>
  <si>
    <t>Reyansh Lata</t>
  </si>
  <si>
    <t>P1862</t>
  </si>
  <si>
    <t>alisha46@yahoo.com</t>
  </si>
  <si>
    <t>1470310986</t>
  </si>
  <si>
    <t>Saksham Sood</t>
  </si>
  <si>
    <t>P1861</t>
  </si>
  <si>
    <t>himmat31@yahoo.com</t>
  </si>
  <si>
    <t>+912223617937</t>
  </si>
  <si>
    <t>Mannat Madan</t>
  </si>
  <si>
    <t>P1860</t>
  </si>
  <si>
    <t>mirayabail@golla.com</t>
  </si>
  <si>
    <t>+915971170235</t>
  </si>
  <si>
    <t>Umang Ramachandran</t>
  </si>
  <si>
    <t>P1859</t>
  </si>
  <si>
    <t>nityadhar@gmail.com</t>
  </si>
  <si>
    <t>05119084581</t>
  </si>
  <si>
    <t>Vidur Lala</t>
  </si>
  <si>
    <t>P1858</t>
  </si>
  <si>
    <t>qvyas@yahoo.com</t>
  </si>
  <si>
    <t>02138508430</t>
  </si>
  <si>
    <t>Hazel Chaudhry</t>
  </si>
  <si>
    <t>P1857</t>
  </si>
  <si>
    <t>tsandhu@gmail.com</t>
  </si>
  <si>
    <t>+916904477813</t>
  </si>
  <si>
    <t>Riaan Mallick</t>
  </si>
  <si>
    <t>P1856</t>
  </si>
  <si>
    <t>sharmastuvan@hotmail.com</t>
  </si>
  <si>
    <t>+914387197632</t>
  </si>
  <si>
    <t>Hansh Dugar</t>
  </si>
  <si>
    <t>P1855</t>
  </si>
  <si>
    <t>ayeshakarnik@gmail.com</t>
  </si>
  <si>
    <t>+917653208502</t>
  </si>
  <si>
    <t>Ranbir Walia</t>
  </si>
  <si>
    <t>P1854</t>
  </si>
  <si>
    <t>dinvivaan@yahoo.com</t>
  </si>
  <si>
    <t>+915390854322</t>
  </si>
  <si>
    <t>Akarsh Karan</t>
  </si>
  <si>
    <t>P1853</t>
  </si>
  <si>
    <t>piyabawa@mann.com</t>
  </si>
  <si>
    <t>+911992491664</t>
  </si>
  <si>
    <t>Prisha Goda</t>
  </si>
  <si>
    <t>P1852</t>
  </si>
  <si>
    <t>vyasarnav@balasubramanian-chopra.com</t>
  </si>
  <si>
    <t>2024507162</t>
  </si>
  <si>
    <t>Nayantara Raju</t>
  </si>
  <si>
    <t>P1851</t>
  </si>
  <si>
    <t>agarwalprisha@agrawal-dhawan.biz</t>
  </si>
  <si>
    <t>9643288266</t>
  </si>
  <si>
    <t>Anahita Goel</t>
  </si>
  <si>
    <t>samiha88@sankaran.com</t>
  </si>
  <si>
    <t>8641158424</t>
  </si>
  <si>
    <t>Nirvaan Bhakta</t>
  </si>
  <si>
    <t>P1849</t>
  </si>
  <si>
    <t>kulkarniazad@gmail.com</t>
  </si>
  <si>
    <t>7193482358</t>
  </si>
  <si>
    <t>Lavanya Golla</t>
  </si>
  <si>
    <t>P1848</t>
  </si>
  <si>
    <t>akarshbhalla@garg.biz</t>
  </si>
  <si>
    <t>+913877918360</t>
  </si>
  <si>
    <t>Aaina Randhawa</t>
  </si>
  <si>
    <t>P1847</t>
  </si>
  <si>
    <t>jayan58@agrawal.com</t>
  </si>
  <si>
    <t>03629450243</t>
  </si>
  <si>
    <t>Shray Agrawal</t>
  </si>
  <si>
    <t>P1846</t>
  </si>
  <si>
    <t>vyasanvi@chaudry.com</t>
  </si>
  <si>
    <t>+912049796512</t>
  </si>
  <si>
    <t>Renee Biswas</t>
  </si>
  <si>
    <t>P1845</t>
  </si>
  <si>
    <t>bhaminiaurora@yahoo.com</t>
  </si>
  <si>
    <t>+913784696920</t>
  </si>
  <si>
    <t>Prerak Shroff</t>
  </si>
  <si>
    <t>P1844</t>
  </si>
  <si>
    <t>bailadvika@gmail.com</t>
  </si>
  <si>
    <t>09710694788</t>
  </si>
  <si>
    <t>Shaan Bala</t>
  </si>
  <si>
    <t>P1843</t>
  </si>
  <si>
    <t>qmangat@gmail.com</t>
  </si>
  <si>
    <t>8960354124</t>
  </si>
  <si>
    <t>Ishita Brahmbhatt</t>
  </si>
  <si>
    <t>P1842</t>
  </si>
  <si>
    <t>fateh39@ratta.net</t>
  </si>
  <si>
    <t>9671778878</t>
  </si>
  <si>
    <t>Tiya Mallick</t>
  </si>
  <si>
    <t>P1841</t>
  </si>
  <si>
    <t>cherianmamooty@hotmail.com</t>
  </si>
  <si>
    <t>+918811110527</t>
  </si>
  <si>
    <t>Arhaan Kota</t>
  </si>
  <si>
    <t>P1840</t>
  </si>
  <si>
    <t>tarinihora@dewan-kohli.com</t>
  </si>
  <si>
    <t>00373222219</t>
  </si>
  <si>
    <t>Indrajit Sankaran</t>
  </si>
  <si>
    <t>P1839</t>
  </si>
  <si>
    <t>htripathi@hotmail.com</t>
  </si>
  <si>
    <t>+917341694517</t>
  </si>
  <si>
    <t>Hunar Kakar</t>
  </si>
  <si>
    <t>P1838</t>
  </si>
  <si>
    <t>subramanianshalv@gmail.com</t>
  </si>
  <si>
    <t>09258627857</t>
  </si>
  <si>
    <t>Shray Salvi</t>
  </si>
  <si>
    <t>P1837</t>
  </si>
  <si>
    <t>varkeyaarav@hotmail.com</t>
  </si>
  <si>
    <t>03320293484</t>
  </si>
  <si>
    <t>Indrans Boase</t>
  </si>
  <si>
    <t>P1836</t>
  </si>
  <si>
    <t>aarav53@gupta.info</t>
  </si>
  <si>
    <t>00595672977</t>
  </si>
  <si>
    <t>Advik Bose</t>
  </si>
  <si>
    <t>P1835</t>
  </si>
  <si>
    <t>ramaswamyjhanvi@hotmail.com</t>
  </si>
  <si>
    <t>6904056157</t>
  </si>
  <si>
    <t>Uthkarsh Chadha</t>
  </si>
  <si>
    <t>P1834</t>
  </si>
  <si>
    <t>krish87@ratta.info</t>
  </si>
  <si>
    <t>06412308410</t>
  </si>
  <si>
    <t>Riya Trivedi</t>
  </si>
  <si>
    <t>P1833</t>
  </si>
  <si>
    <t>pacharya@yohannan-tella.com</t>
  </si>
  <si>
    <t>+918508196762</t>
  </si>
  <si>
    <t>Taran Choudhry</t>
  </si>
  <si>
    <t>P1832</t>
  </si>
  <si>
    <t>tanya38@gulati-som.com</t>
  </si>
  <si>
    <t>1002570658</t>
  </si>
  <si>
    <t>Indrajit Tak</t>
  </si>
  <si>
    <t>P1831</t>
  </si>
  <si>
    <t>jayeshkunda@kapur-krish.com</t>
  </si>
  <si>
    <t>+911681959736</t>
  </si>
  <si>
    <t>Damini Wali</t>
  </si>
  <si>
    <t>P1830</t>
  </si>
  <si>
    <t>kimayadube@gmail.com</t>
  </si>
  <si>
    <t>+911624492488</t>
  </si>
  <si>
    <t>Rania Sane</t>
  </si>
  <si>
    <t>P1829</t>
  </si>
  <si>
    <t>ehsaanagarwal@yahoo.com</t>
  </si>
  <si>
    <t>5701173758</t>
  </si>
  <si>
    <t>Kavya Goswami</t>
  </si>
  <si>
    <t>P1828</t>
  </si>
  <si>
    <t>korpalpiya@yahoo.com</t>
  </si>
  <si>
    <t>1396906779</t>
  </si>
  <si>
    <t>Anika Dugal</t>
  </si>
  <si>
    <t>P1827</t>
  </si>
  <si>
    <t>madantejas@kapadia.com</t>
  </si>
  <si>
    <t>+911383854234</t>
  </si>
  <si>
    <t>Tiya Shah</t>
  </si>
  <si>
    <t>P1826</t>
  </si>
  <si>
    <t>dhruv82@korpal-saini.com</t>
  </si>
  <si>
    <t>03098173467</t>
  </si>
  <si>
    <t>Shalv Soman</t>
  </si>
  <si>
    <t>P1825</t>
  </si>
  <si>
    <t>shlok56@edwin.com</t>
  </si>
  <si>
    <t>+918134091496</t>
  </si>
  <si>
    <t>Siya Das</t>
  </si>
  <si>
    <t>P1824</t>
  </si>
  <si>
    <t>lgala@dave.info</t>
  </si>
  <si>
    <t>+914981919233</t>
  </si>
  <si>
    <t>Chirag Sodhi</t>
  </si>
  <si>
    <t>P1823</t>
  </si>
  <si>
    <t>jivikajain@chopra.info</t>
  </si>
  <si>
    <t>09581520644</t>
  </si>
  <si>
    <t>Ivan Malhotra</t>
  </si>
  <si>
    <t>P1822</t>
  </si>
  <si>
    <t>xkaran@gmail.com</t>
  </si>
  <si>
    <t>04533329148</t>
  </si>
  <si>
    <t>Shamik Gulati</t>
  </si>
  <si>
    <t>P1821</t>
  </si>
  <si>
    <t>hbajaj@yahoo.com</t>
  </si>
  <si>
    <t>4111836831</t>
  </si>
  <si>
    <t>Lakshit Choudhury</t>
  </si>
  <si>
    <t>P1820</t>
  </si>
  <si>
    <t>wchoudhary@gmail.com</t>
  </si>
  <si>
    <t>+912289887809</t>
  </si>
  <si>
    <t>Purab Gulati</t>
  </si>
  <si>
    <t>P1819</t>
  </si>
  <si>
    <t>saksham10@gmail.com</t>
  </si>
  <si>
    <t>04609805376</t>
  </si>
  <si>
    <t>Pihu Suri</t>
  </si>
  <si>
    <t>P1818</t>
  </si>
  <si>
    <t>wablealisha@shan.com</t>
  </si>
  <si>
    <t>3511838794</t>
  </si>
  <si>
    <t>Veer Saraf</t>
  </si>
  <si>
    <t>P1817</t>
  </si>
  <si>
    <t>elakshisastry@bassi.com</t>
  </si>
  <si>
    <t>+910149185401</t>
  </si>
  <si>
    <t>Drishya Shankar</t>
  </si>
  <si>
    <t>P1816</t>
  </si>
  <si>
    <t>ivan21@hotmail.com</t>
  </si>
  <si>
    <t>+916960371198</t>
  </si>
  <si>
    <t>Myra Saxena</t>
  </si>
  <si>
    <t>P1815</t>
  </si>
  <si>
    <t>tiya04@hotmail.com</t>
  </si>
  <si>
    <t>+911404944561</t>
  </si>
  <si>
    <t>Emir Jayaraman</t>
  </si>
  <si>
    <t>P1814</t>
  </si>
  <si>
    <t>qbhavsar@yahoo.com</t>
  </si>
  <si>
    <t>9702794044</t>
  </si>
  <si>
    <t>Divij Sampath</t>
  </si>
  <si>
    <t>P1813</t>
  </si>
  <si>
    <t>bhattacharyyavihaan@hotmail.com</t>
  </si>
  <si>
    <t>9762871484</t>
  </si>
  <si>
    <t>Dhanush Khatri</t>
  </si>
  <si>
    <t>P1812</t>
  </si>
  <si>
    <t>aayush03@gmail.com</t>
  </si>
  <si>
    <t>06860155089</t>
  </si>
  <si>
    <t>Navya Chahal</t>
  </si>
  <si>
    <t>P1811</t>
  </si>
  <si>
    <t>kkamdar@arora-yohannan.net</t>
  </si>
  <si>
    <t>+915431934838</t>
  </si>
  <si>
    <t xml:space="preserve">  Kanav Ram </t>
  </si>
  <si>
    <t>P1810</t>
  </si>
  <si>
    <t>heerkale@wali.biz</t>
  </si>
  <si>
    <t>05215523084</t>
  </si>
  <si>
    <t>Hunar Yohannan</t>
  </si>
  <si>
    <t>P1809</t>
  </si>
  <si>
    <t>kkalla@seshadri.com</t>
  </si>
  <si>
    <t>+918450880725</t>
  </si>
  <si>
    <t>Jiya Sem</t>
  </si>
  <si>
    <t>P1808</t>
  </si>
  <si>
    <t>brahmbhattbadal@sankaran-chanda.biz</t>
  </si>
  <si>
    <t>+910562089731</t>
  </si>
  <si>
    <t>Akarsh Chandran</t>
  </si>
  <si>
    <t>P1807</t>
  </si>
  <si>
    <t>pramesh@yahoo.com</t>
  </si>
  <si>
    <t>0278852990</t>
  </si>
  <si>
    <t>Ira Brahmbhatt</t>
  </si>
  <si>
    <t>P1806</t>
  </si>
  <si>
    <t>kiara83@kunda.info</t>
  </si>
  <si>
    <t>0563830522</t>
  </si>
  <si>
    <t>Mahika Borde</t>
  </si>
  <si>
    <t>P1805</t>
  </si>
  <si>
    <t>mtella@hotmail.com</t>
  </si>
  <si>
    <t>7690471670</t>
  </si>
  <si>
    <t>Manikya Gokhale</t>
  </si>
  <si>
    <t>P1804</t>
  </si>
  <si>
    <t>yiyer@gmail.com</t>
  </si>
  <si>
    <t>1571789946</t>
  </si>
  <si>
    <t>Hansh Verma</t>
  </si>
  <si>
    <t>P1803</t>
  </si>
  <si>
    <t>magarranbir@gmail.com</t>
  </si>
  <si>
    <t>+911809872278</t>
  </si>
  <si>
    <t>Aayush Srinivas</t>
  </si>
  <si>
    <t>P1802</t>
  </si>
  <si>
    <t>chanajayant@gmail.com</t>
  </si>
  <si>
    <t>01228817591</t>
  </si>
  <si>
    <t>Anay Sodhi</t>
  </si>
  <si>
    <t>P1801</t>
  </si>
  <si>
    <t>06286063566</t>
  </si>
  <si>
    <t>Miraya Gaba</t>
  </si>
  <si>
    <t>P1800</t>
  </si>
  <si>
    <t>zeeshanjoshi@yahoo.com</t>
  </si>
  <si>
    <t>7278335763</t>
  </si>
  <si>
    <t>Eva Chakraborty</t>
  </si>
  <si>
    <t>P1799</t>
  </si>
  <si>
    <t>kartikchadha@basak.info</t>
  </si>
  <si>
    <t>0243073644</t>
  </si>
  <si>
    <t>Indrajit Toor</t>
  </si>
  <si>
    <t>P1798</t>
  </si>
  <si>
    <t>vedikadani@gala.com</t>
  </si>
  <si>
    <t>2407007029</t>
  </si>
  <si>
    <t>Madhup Bajaj</t>
  </si>
  <si>
    <t>P1797</t>
  </si>
  <si>
    <t>farhansampath@yahoo.com</t>
  </si>
  <si>
    <t>+913414356493</t>
  </si>
  <si>
    <t>Shray Bhasin</t>
  </si>
  <si>
    <t>P1796</t>
  </si>
  <si>
    <t>sakshammaharaj@lala.com</t>
  </si>
  <si>
    <t>+915404946698</t>
  </si>
  <si>
    <t>Bhavin Mand</t>
  </si>
  <si>
    <t>P1795</t>
  </si>
  <si>
    <t>vshankar@yahoo.com</t>
  </si>
  <si>
    <t>+919381091906</t>
  </si>
  <si>
    <t>Hazel Vig</t>
  </si>
  <si>
    <t>P1794</t>
  </si>
  <si>
    <t>bajajdivit@hotmail.com</t>
  </si>
  <si>
    <t>9246634671</t>
  </si>
  <si>
    <t>Zara Bala</t>
  </si>
  <si>
    <t>P1793</t>
  </si>
  <si>
    <t>vchaudhuri@bhat.com</t>
  </si>
  <si>
    <t>7755857093</t>
  </si>
  <si>
    <t>Mohanlal Mannan</t>
  </si>
  <si>
    <t>P1792</t>
  </si>
  <si>
    <t>heer99@sagar-chauhan.info</t>
  </si>
  <si>
    <t>3892383874</t>
  </si>
  <si>
    <t>Eva Banerjee</t>
  </si>
  <si>
    <t>P1791</t>
  </si>
  <si>
    <t>chawlajayesh@gmail.com</t>
  </si>
  <si>
    <t>+916856386385</t>
  </si>
  <si>
    <t>Nirvi Doctor</t>
  </si>
  <si>
    <t>P1790</t>
  </si>
  <si>
    <t>abawa@hotmail.com</t>
  </si>
  <si>
    <t>04786994139</t>
  </si>
  <si>
    <t>Vanya Atwal</t>
  </si>
  <si>
    <t>P1789</t>
  </si>
  <si>
    <t>jchatterjee@yahoo.com</t>
  </si>
  <si>
    <t>04978948916</t>
  </si>
  <si>
    <t>Krish Sachdeva</t>
  </si>
  <si>
    <t>P1788</t>
  </si>
  <si>
    <t>mishtisoman@hotmail.com</t>
  </si>
  <si>
    <t>07065050228</t>
  </si>
  <si>
    <t>Anahita Krishna</t>
  </si>
  <si>
    <t>P1787</t>
  </si>
  <si>
    <t>aradhya34@gmail.com</t>
  </si>
  <si>
    <t>9222585343</t>
  </si>
  <si>
    <t>Indrans Deo</t>
  </si>
  <si>
    <t>P1786</t>
  </si>
  <si>
    <t>fkalita@gaba.org</t>
  </si>
  <si>
    <t>+915661323823</t>
  </si>
  <si>
    <t>Pari Bhattacharyya</t>
  </si>
  <si>
    <t>P1785</t>
  </si>
  <si>
    <t>chahalshlok@gmail.com</t>
  </si>
  <si>
    <t>+919315017549</t>
  </si>
  <si>
    <t>Dharmajan Kohli</t>
  </si>
  <si>
    <t>P1784</t>
  </si>
  <si>
    <t>ishitaamble@gmail.com</t>
  </si>
  <si>
    <t>+914093933934</t>
  </si>
  <si>
    <t>Aarush Balay</t>
  </si>
  <si>
    <t>P1783</t>
  </si>
  <si>
    <t>usura@jain.com</t>
  </si>
  <si>
    <t>+910823101746</t>
  </si>
  <si>
    <t>Hridaan Keer</t>
  </si>
  <si>
    <t>P1782</t>
  </si>
  <si>
    <t>jayeshvirk@das-kata.com</t>
  </si>
  <si>
    <t>08536266390</t>
  </si>
  <si>
    <t>Shray Swamy</t>
  </si>
  <si>
    <t>P1781</t>
  </si>
  <si>
    <t>shanayarattan@seshadri.com</t>
  </si>
  <si>
    <t>8139947121</t>
  </si>
  <si>
    <t>Rohan Bali</t>
  </si>
  <si>
    <t>P1780</t>
  </si>
  <si>
    <t>mohanlalgade@hotmail.com</t>
  </si>
  <si>
    <t>05647939109</t>
  </si>
  <si>
    <t>Nitara Krishnamurthy</t>
  </si>
  <si>
    <t>P1779</t>
  </si>
  <si>
    <t>ravalshaan@gmail.com</t>
  </si>
  <si>
    <t>+912486820596</t>
  </si>
  <si>
    <t>P1778</t>
  </si>
  <si>
    <t>wasonira@gmail.com</t>
  </si>
  <si>
    <t>4235041107</t>
  </si>
  <si>
    <t>Umang Rana</t>
  </si>
  <si>
    <t>P1777</t>
  </si>
  <si>
    <t>taimur98@gmail.com</t>
  </si>
  <si>
    <t>07978338800</t>
  </si>
  <si>
    <t>Nishith Chaudhari</t>
  </si>
  <si>
    <t>P1776</t>
  </si>
  <si>
    <t>vrajagopalan@khare-borde.com</t>
  </si>
  <si>
    <t>05773089829</t>
  </si>
  <si>
    <t>Stuvan Kari</t>
  </si>
  <si>
    <t>P1775</t>
  </si>
  <si>
    <t>anvi69@hotmail.com</t>
  </si>
  <si>
    <t>7779110023</t>
  </si>
  <si>
    <t>Advik Sidhu</t>
  </si>
  <si>
    <t>P1774</t>
  </si>
  <si>
    <t>eshanijayaraman@yahoo.com</t>
  </si>
  <si>
    <t>+918531148606</t>
  </si>
  <si>
    <t>Bhavin Mangat</t>
  </si>
  <si>
    <t>P1773</t>
  </si>
  <si>
    <t>sahniindrans@hotmail.com</t>
  </si>
  <si>
    <t>03436600625</t>
  </si>
  <si>
    <t>Stuvan Suri</t>
  </si>
  <si>
    <t>P1772</t>
  </si>
  <si>
    <t>maharajtara@hotmail.com</t>
  </si>
  <si>
    <t>+916965597942</t>
  </si>
  <si>
    <t>Hiran Kanda</t>
  </si>
  <si>
    <t>P1771</t>
  </si>
  <si>
    <t>mahalnavya@sunder.com</t>
  </si>
  <si>
    <t>08453952156</t>
  </si>
  <si>
    <t>Ivan Gola</t>
  </si>
  <si>
    <t>P1770</t>
  </si>
  <si>
    <t>amani57@dua-chopra.com</t>
  </si>
  <si>
    <t>2897685941</t>
  </si>
  <si>
    <t>Aarav Ramachandran</t>
  </si>
  <si>
    <t>P1769</t>
  </si>
  <si>
    <t>bhaminisolanki@hotmail.com</t>
  </si>
  <si>
    <t>5047247078</t>
  </si>
  <si>
    <t>Faiyaz Kuruvilla</t>
  </si>
  <si>
    <t>P1768</t>
  </si>
  <si>
    <t>jaggiadah@yahoo.com</t>
  </si>
  <si>
    <t>3256049810</t>
  </si>
  <si>
    <t>Saanvi Dani</t>
  </si>
  <si>
    <t>P1767</t>
  </si>
  <si>
    <t>hridaan87@din-soman.info</t>
  </si>
  <si>
    <t>+911678497722</t>
  </si>
  <si>
    <t>Krish Toor</t>
  </si>
  <si>
    <t>P1766</t>
  </si>
  <si>
    <t>vivaanmangal@hotmail.com</t>
  </si>
  <si>
    <t>03681025465</t>
  </si>
  <si>
    <t>Aayush Thakur</t>
  </si>
  <si>
    <t>P1765</t>
  </si>
  <si>
    <t>damini48@chawla.info</t>
  </si>
  <si>
    <t>5408280165</t>
  </si>
  <si>
    <t>Shray Lad</t>
  </si>
  <si>
    <t>P1764</t>
  </si>
  <si>
    <t>yasmindivan@hotmail.com</t>
  </si>
  <si>
    <t>8013249753</t>
  </si>
  <si>
    <t>Drishya Gokhale</t>
  </si>
  <si>
    <t>P1763</t>
  </si>
  <si>
    <t>keya13@kapoor-srinivas.com</t>
  </si>
  <si>
    <t>0984872589</t>
  </si>
  <si>
    <t>Shalv Ram</t>
  </si>
  <si>
    <t>P1762</t>
  </si>
  <si>
    <t>jayansanghvi@wali.com</t>
  </si>
  <si>
    <t>02152507402</t>
  </si>
  <si>
    <t>Rania Bora</t>
  </si>
  <si>
    <t>P1761</t>
  </si>
  <si>
    <t>balitejas@khanna.net</t>
  </si>
  <si>
    <t>01404233654</t>
  </si>
  <si>
    <t>Jivin Raval</t>
  </si>
  <si>
    <t>P1760</t>
  </si>
  <si>
    <t>bahrijiya@gmail.com</t>
  </si>
  <si>
    <t>3423302956</t>
  </si>
  <si>
    <t>Jayesh Bassi</t>
  </si>
  <si>
    <t>P1759</t>
  </si>
  <si>
    <t>oratti@shukla.info</t>
  </si>
  <si>
    <t>+911668137245</t>
  </si>
  <si>
    <t>Jayant Gera</t>
  </si>
  <si>
    <t>P1758</t>
  </si>
  <si>
    <t>ojas13@gmail.com</t>
  </si>
  <si>
    <t>2418864620</t>
  </si>
  <si>
    <t>Alia Sarkar</t>
  </si>
  <si>
    <t>P1757</t>
  </si>
  <si>
    <t>yakshit78@yahoo.com</t>
  </si>
  <si>
    <t>+919816934830</t>
  </si>
  <si>
    <t>Samar Rajan</t>
  </si>
  <si>
    <t>P1756</t>
  </si>
  <si>
    <t>pjani@hotmail.com</t>
  </si>
  <si>
    <t>02050131840</t>
  </si>
  <si>
    <t>Kavya Kibe</t>
  </si>
  <si>
    <t>P1755</t>
  </si>
  <si>
    <t>egulati@yahoo.com</t>
  </si>
  <si>
    <t>1129240311</t>
  </si>
  <si>
    <t>Anya Bahri</t>
  </si>
  <si>
    <t>P1754</t>
  </si>
  <si>
    <t>bediyakshit@yahoo.com</t>
  </si>
  <si>
    <t>4512992343</t>
  </si>
  <si>
    <t>Tara Bahri</t>
  </si>
  <si>
    <t>P1753</t>
  </si>
  <si>
    <t>ivohra@chaudhuri-gera.com</t>
  </si>
  <si>
    <t>7234198105</t>
  </si>
  <si>
    <t>Ivana Kashyap</t>
  </si>
  <si>
    <t>P1752</t>
  </si>
  <si>
    <t>bahlparinaaz@tara.com</t>
  </si>
  <si>
    <t>02049113694</t>
  </si>
  <si>
    <t>Aarav Barman</t>
  </si>
  <si>
    <t>P1751</t>
  </si>
  <si>
    <t>zhalder@gmail.com</t>
  </si>
  <si>
    <t>4008751178</t>
  </si>
  <si>
    <t>Yasmin Zachariah</t>
  </si>
  <si>
    <t>P1750</t>
  </si>
  <si>
    <t>kvala@gmail.com</t>
  </si>
  <si>
    <t>02120981155</t>
  </si>
  <si>
    <t>Indranil Ahuja</t>
  </si>
  <si>
    <t>P1749</t>
  </si>
  <si>
    <t>zchoudhury@yahoo.com</t>
  </si>
  <si>
    <t>3945363161</t>
  </si>
  <si>
    <t>Eva Gera</t>
  </si>
  <si>
    <t>P1748</t>
  </si>
  <si>
    <t>lakshitrout@gmail.com</t>
  </si>
  <si>
    <t>07991313219</t>
  </si>
  <si>
    <t>Renee Keer</t>
  </si>
  <si>
    <t>P1747</t>
  </si>
  <si>
    <t>mohanlalmander@guha.org</t>
  </si>
  <si>
    <t>+911063992343</t>
  </si>
  <si>
    <t>Lakshit Mallick</t>
  </si>
  <si>
    <t>P1746</t>
  </si>
  <si>
    <t>samrakaira@bhalla-singhal.com</t>
  </si>
  <si>
    <t>+914786757377</t>
  </si>
  <si>
    <t>Adah Chowdhury</t>
  </si>
  <si>
    <t>P1745</t>
  </si>
  <si>
    <t>myra68@hotmail.com</t>
  </si>
  <si>
    <t>5452965840</t>
  </si>
  <si>
    <t>Yashvi Master</t>
  </si>
  <si>
    <t>P1744</t>
  </si>
  <si>
    <t>dkhurana@kadakia-mand.net</t>
  </si>
  <si>
    <t>5412693673</t>
  </si>
  <si>
    <t>Indrans Chana</t>
  </si>
  <si>
    <t>P1743</t>
  </si>
  <si>
    <t>yuvraj-63@vasa.net</t>
  </si>
  <si>
    <t>9436398484</t>
  </si>
  <si>
    <t>Navya Roy</t>
  </si>
  <si>
    <t>P1742</t>
  </si>
  <si>
    <t>sbaria@gmail.com</t>
  </si>
  <si>
    <t>00353123416</t>
  </si>
  <si>
    <t>Saanvi Gade</t>
  </si>
  <si>
    <t>P1741</t>
  </si>
  <si>
    <t>nirviagrawal@gmail.com</t>
  </si>
  <si>
    <t>+913916742222</t>
  </si>
  <si>
    <t>Aarush Grover</t>
  </si>
  <si>
    <t>P1740</t>
  </si>
  <si>
    <t>emirde@kulkarni.com</t>
  </si>
  <si>
    <t>+911083778454</t>
  </si>
  <si>
    <t>Miraya Sheth</t>
  </si>
  <si>
    <t>P1739</t>
  </si>
  <si>
    <t>ojas23@ahluwalia.biz</t>
  </si>
  <si>
    <t>01575571698</t>
  </si>
  <si>
    <t>Ela Goel</t>
  </si>
  <si>
    <t>P1738</t>
  </si>
  <si>
    <t>myra21@shetty.com</t>
  </si>
  <si>
    <t>07369657689</t>
  </si>
  <si>
    <t>Pari Kaur</t>
  </si>
  <si>
    <t>P1737</t>
  </si>
  <si>
    <t>ishitadyal@jain.net</t>
  </si>
  <si>
    <t>7291193100</t>
  </si>
  <si>
    <t>Kaira Swamy</t>
  </si>
  <si>
    <t>P1736</t>
  </si>
  <si>
    <t>yuvaan33@yahoo.com</t>
  </si>
  <si>
    <t>09759993293</t>
  </si>
  <si>
    <t>Miraya Walia</t>
  </si>
  <si>
    <t>P1735</t>
  </si>
  <si>
    <t>ranbirgopal@hotmail.com</t>
  </si>
  <si>
    <t>+919650815418</t>
  </si>
  <si>
    <t>Badal Soni</t>
  </si>
  <si>
    <t>P1734</t>
  </si>
  <si>
    <t>kalarania@hotmail.com</t>
  </si>
  <si>
    <t>+911669214430</t>
  </si>
  <si>
    <t>Myra Gour</t>
  </si>
  <si>
    <t>P1733</t>
  </si>
  <si>
    <t>kabir42@hotmail.com</t>
  </si>
  <si>
    <t>8709371704</t>
  </si>
  <si>
    <t>Sumer Arora</t>
  </si>
  <si>
    <t>P1732</t>
  </si>
  <si>
    <t>nitya91@varkey.com</t>
  </si>
  <si>
    <t>5447994639</t>
  </si>
  <si>
    <t>Vaibhav Aurora</t>
  </si>
  <si>
    <t>P1731</t>
  </si>
  <si>
    <t>farhankorpal@hotmail.com</t>
  </si>
  <si>
    <t>01823613679</t>
  </si>
  <si>
    <t>Seher Sathe</t>
  </si>
  <si>
    <t>P1730</t>
  </si>
  <si>
    <t>johalsamaira@halder.net</t>
  </si>
  <si>
    <t>03891332697</t>
  </si>
  <si>
    <t>Hunar Ranganathan</t>
  </si>
  <si>
    <t>P1729</t>
  </si>
  <si>
    <t>karavedika@mall.info</t>
  </si>
  <si>
    <t>08244066523</t>
  </si>
  <si>
    <t>Rohan Chand</t>
  </si>
  <si>
    <t>P1728</t>
  </si>
  <si>
    <t>sarkarkeya@yahoo.com</t>
  </si>
  <si>
    <t>+916001614661</t>
  </si>
  <si>
    <t>Drishya Zacharia</t>
  </si>
  <si>
    <t>P1727</t>
  </si>
  <si>
    <t>kaira10@gmail.com</t>
  </si>
  <si>
    <t>1070769903</t>
  </si>
  <si>
    <t>Stuvan Batra</t>
  </si>
  <si>
    <t>P1726</t>
  </si>
  <si>
    <t>apteanahita@gmail.com</t>
  </si>
  <si>
    <t>Divij Gara</t>
  </si>
  <si>
    <t>P1725</t>
  </si>
  <si>
    <t>rohan48@sarkar.com</t>
  </si>
  <si>
    <t>03511359787</t>
  </si>
  <si>
    <t>Saksham Rajan</t>
  </si>
  <si>
    <t>P1724</t>
  </si>
  <si>
    <t>chiragamble@gmail.com</t>
  </si>
  <si>
    <t>+912111173773</t>
  </si>
  <si>
    <t>Anvi Bora</t>
  </si>
  <si>
    <t>P1723</t>
  </si>
  <si>
    <t>mamootyraval@chakrabarti.org</t>
  </si>
  <si>
    <t>+916462288350</t>
  </si>
  <si>
    <t>Nirvaan Mannan</t>
  </si>
  <si>
    <t>P1722</t>
  </si>
  <si>
    <t>jayant05@kanda.com</t>
  </si>
  <si>
    <t>+913050153787</t>
  </si>
  <si>
    <t>Sumer Kashyap</t>
  </si>
  <si>
    <t>P1721</t>
  </si>
  <si>
    <t>8832068803</t>
  </si>
  <si>
    <t>neurology</t>
  </si>
  <si>
    <t xml:space="preserve">  Krish Dubey </t>
  </si>
  <si>
    <t>P1720</t>
  </si>
  <si>
    <t>dhillonprerak@raja.com</t>
  </si>
  <si>
    <t>8680917150</t>
  </si>
  <si>
    <t>Hridaan Sridhar</t>
  </si>
  <si>
    <t>P1719</t>
  </si>
  <si>
    <t>gatik54@dhar.com</t>
  </si>
  <si>
    <t>09754732185</t>
  </si>
  <si>
    <t>Samarth Deshmukh</t>
  </si>
  <si>
    <t>P1718</t>
  </si>
  <si>
    <t>amiragrover@hotmail.com</t>
  </si>
  <si>
    <t>+917212205099</t>
  </si>
  <si>
    <t>Vivaan Chaudhary</t>
  </si>
  <si>
    <t>P1717</t>
  </si>
  <si>
    <t>vdhingra@hari-rout.com</t>
  </si>
  <si>
    <t>07923792081</t>
  </si>
  <si>
    <t>Gatik Savant</t>
  </si>
  <si>
    <t>P1716</t>
  </si>
  <si>
    <t>dhanuk90@hotmail.com</t>
  </si>
  <si>
    <t>02303767307</t>
  </si>
  <si>
    <t>Nehmat Wali</t>
  </si>
  <si>
    <t>P1715</t>
  </si>
  <si>
    <t>emaharaj@johal-atwal.com</t>
  </si>
  <si>
    <t>+910040661721</t>
  </si>
  <si>
    <t>Dishani Sha</t>
  </si>
  <si>
    <t>P1714</t>
  </si>
  <si>
    <t>anahi11@tara.biz</t>
  </si>
  <si>
    <t>07318984031</t>
  </si>
  <si>
    <t>Pari Bhargava</t>
  </si>
  <si>
    <t>P1713</t>
  </si>
  <si>
    <t>neysa06@gmail.com</t>
  </si>
  <si>
    <t>6130740120</t>
  </si>
  <si>
    <t>Lagan Khurana</t>
  </si>
  <si>
    <t>P1712</t>
  </si>
  <si>
    <t>parinaaz39@gmail.com</t>
  </si>
  <si>
    <t>+917872977699</t>
  </si>
  <si>
    <t>Yakshit Bhasin</t>
  </si>
  <si>
    <t>P1711</t>
  </si>
  <si>
    <t>tejassaha@hotmail.com</t>
  </si>
  <si>
    <t>+914145369146</t>
  </si>
  <si>
    <t>Akarsh Balakrishnan</t>
  </si>
  <si>
    <t>P1710</t>
  </si>
  <si>
    <t>ravidhanuk@walla.com</t>
  </si>
  <si>
    <t>06043227943</t>
  </si>
  <si>
    <t>Darshit Uppal</t>
  </si>
  <si>
    <t>P1709</t>
  </si>
  <si>
    <t>sgala@gmail.com</t>
  </si>
  <si>
    <t>01164203429</t>
  </si>
  <si>
    <t>Ojas Dutta</t>
  </si>
  <si>
    <t>P1708</t>
  </si>
  <si>
    <t>vihaanhans@sur-gole.com</t>
  </si>
  <si>
    <t>09915727013</t>
  </si>
  <si>
    <t>Kabir Basak</t>
  </si>
  <si>
    <t>P1707</t>
  </si>
  <si>
    <t>sbail@chad-goel.com</t>
  </si>
  <si>
    <t>7740782055</t>
  </si>
  <si>
    <t>Urvi Chokshi</t>
  </si>
  <si>
    <t>P1706</t>
  </si>
  <si>
    <t>msavant@bera-sandal.org</t>
  </si>
  <si>
    <t>+914526147551</t>
  </si>
  <si>
    <t>Ishaan Srivastava</t>
  </si>
  <si>
    <t>P1705</t>
  </si>
  <si>
    <t>ramanathanjayant@koshy-bath.com</t>
  </si>
  <si>
    <t>9855287115</t>
  </si>
  <si>
    <t>Charvi Datta</t>
  </si>
  <si>
    <t>P1704</t>
  </si>
  <si>
    <t>kaulaarna@hotmail.com</t>
  </si>
  <si>
    <t>2325321959</t>
  </si>
  <si>
    <t>Saira Kibe</t>
  </si>
  <si>
    <t>P1703</t>
  </si>
  <si>
    <t>wableazad@gandhi-bhavsar.biz</t>
  </si>
  <si>
    <t>0487868103</t>
  </si>
  <si>
    <t>Tarini Gaba</t>
  </si>
  <si>
    <t>P1702</t>
  </si>
  <si>
    <t>eanand@bhagat.com</t>
  </si>
  <si>
    <t>+913855111685</t>
  </si>
  <si>
    <t>Sumer Bhakta</t>
  </si>
  <si>
    <t>P1701</t>
  </si>
  <si>
    <t>anayzachariah@doshi.com</t>
  </si>
  <si>
    <t>3826963799</t>
  </si>
  <si>
    <t>Bhamini Gupta</t>
  </si>
  <si>
    <t>P1700</t>
  </si>
  <si>
    <t>tara56@khare-anand.net</t>
  </si>
  <si>
    <t>04219171751</t>
  </si>
  <si>
    <t>Shalv Kar</t>
  </si>
  <si>
    <t>P1699</t>
  </si>
  <si>
    <t>nirvaan75@bhagat-banerjee.com</t>
  </si>
  <si>
    <t>0343938875</t>
  </si>
  <si>
    <t>Kimaya Toor</t>
  </si>
  <si>
    <t>P1698</t>
  </si>
  <si>
    <t>chowdhuryyuvraj@yahoo.com</t>
  </si>
  <si>
    <t>1405729456</t>
  </si>
  <si>
    <t>Rohan Koshy</t>
  </si>
  <si>
    <t>P1697</t>
  </si>
  <si>
    <t>lghose@hotmail.com</t>
  </si>
  <si>
    <t>7085556926</t>
  </si>
  <si>
    <t>P1696</t>
  </si>
  <si>
    <t>hirandube@gmail.com</t>
  </si>
  <si>
    <t>9665441874</t>
  </si>
  <si>
    <t>Zaina Randhawa</t>
  </si>
  <si>
    <t>P1695</t>
  </si>
  <si>
    <t>qgera@hotmail.com</t>
  </si>
  <si>
    <t>2734392857</t>
  </si>
  <si>
    <t>Jayesh Lad</t>
  </si>
  <si>
    <t>P1694</t>
  </si>
  <si>
    <t>zchar@hotmail.com</t>
  </si>
  <si>
    <t>4403183011</t>
  </si>
  <si>
    <t>Riya Golla</t>
  </si>
  <si>
    <t>P1693</t>
  </si>
  <si>
    <t>miraya68@hotmail.com</t>
  </si>
  <si>
    <t>+912793416033</t>
  </si>
  <si>
    <t>Kavya Raja</t>
  </si>
  <si>
    <t>P1692</t>
  </si>
  <si>
    <t>hrishitarout@arora.com</t>
  </si>
  <si>
    <t>+912163359923</t>
  </si>
  <si>
    <t>Samarth Agate</t>
  </si>
  <si>
    <t>P1691</t>
  </si>
  <si>
    <t>dwalia@acharya.org</t>
  </si>
  <si>
    <t>+915398463019</t>
  </si>
  <si>
    <t>Khushi Cheema</t>
  </si>
  <si>
    <t>P1690</t>
  </si>
  <si>
    <t>gargsara@grewal.com</t>
  </si>
  <si>
    <t>0699572504</t>
  </si>
  <si>
    <t>Hrishita Bose</t>
  </si>
  <si>
    <t>P1689</t>
  </si>
  <si>
    <t>devivihaan@gmail.com</t>
  </si>
  <si>
    <t>09191580291</t>
  </si>
  <si>
    <t>Aaina Ghosh</t>
  </si>
  <si>
    <t>P1688</t>
  </si>
  <si>
    <t>dchopra@yahoo.com</t>
  </si>
  <si>
    <t>+919710589267</t>
  </si>
  <si>
    <t>Taimur Shankar</t>
  </si>
  <si>
    <t>P1687</t>
  </si>
  <si>
    <t>saanvi08@sandhu.com</t>
  </si>
  <si>
    <t>7886725404</t>
  </si>
  <si>
    <t>Divij Hari</t>
  </si>
  <si>
    <t>P1686</t>
  </si>
  <si>
    <t>mirayakade@sehgal-varma.org</t>
  </si>
  <si>
    <t>05290869855</t>
  </si>
  <si>
    <t>Kartik Dhaliwal</t>
  </si>
  <si>
    <t>P1685</t>
  </si>
  <si>
    <t>kmannan@kala-ram.biz</t>
  </si>
  <si>
    <t>05891973925</t>
  </si>
  <si>
    <t>Alisha Sathe</t>
  </si>
  <si>
    <t>P1684</t>
  </si>
  <si>
    <t>shlok53@gmail.com</t>
  </si>
  <si>
    <t>+915011123327</t>
  </si>
  <si>
    <t>Hiran Balakrishnan</t>
  </si>
  <si>
    <t>P1683</t>
  </si>
  <si>
    <t>echahal@thakkar-dyal.com</t>
  </si>
  <si>
    <t>+917634266715</t>
  </si>
  <si>
    <t>Shray Basak</t>
  </si>
  <si>
    <t>P1682</t>
  </si>
  <si>
    <t>hanshrama@yahoo.com</t>
  </si>
  <si>
    <t>03094988165</t>
  </si>
  <si>
    <t>Lagan Ganesh</t>
  </si>
  <si>
    <t>P1681</t>
  </si>
  <si>
    <t>kalejivin@varty.net</t>
  </si>
  <si>
    <t>+919727699594</t>
  </si>
  <si>
    <t>Tanya Kadakia</t>
  </si>
  <si>
    <t>xbains@hotmail.com</t>
  </si>
  <si>
    <t>+915440755185</t>
  </si>
  <si>
    <t>Aarav Goyal</t>
  </si>
  <si>
    <t>P1679</t>
  </si>
  <si>
    <t>garderaunak@yahoo.com</t>
  </si>
  <si>
    <t>+915154452333</t>
  </si>
  <si>
    <t>Saksham Mani</t>
  </si>
  <si>
    <t>P1678</t>
  </si>
  <si>
    <t>tdasgupta@yahoo.com</t>
  </si>
  <si>
    <t>07618996391</t>
  </si>
  <si>
    <t>Dhanuk Behl</t>
  </si>
  <si>
    <t>P1677</t>
  </si>
  <si>
    <t>paribala@kala.com</t>
  </si>
  <si>
    <t>+910290770736</t>
  </si>
  <si>
    <t>Anya Dani</t>
  </si>
  <si>
    <t>P1676</t>
  </si>
  <si>
    <t>xchandran@sahni.info</t>
  </si>
  <si>
    <t>1835179309</t>
  </si>
  <si>
    <t>Shayak Virk</t>
  </si>
  <si>
    <t>P1675</t>
  </si>
  <si>
    <t>miraanbawa@bath-mane.org</t>
  </si>
  <si>
    <t>01545089617</t>
  </si>
  <si>
    <t>Drishya Brahmbhatt</t>
  </si>
  <si>
    <t>P1674</t>
  </si>
  <si>
    <t>keyabhavsar@saini.com</t>
  </si>
  <si>
    <t>1873189728</t>
  </si>
  <si>
    <t>Riaan Sehgal</t>
  </si>
  <si>
    <t>P1673</t>
  </si>
  <si>
    <t>siya74@aurora-garde.com</t>
  </si>
  <si>
    <t>+911127676524</t>
  </si>
  <si>
    <t>Miraan Bhatia</t>
  </si>
  <si>
    <t>P1672</t>
  </si>
  <si>
    <t>dishanichoudhury@gmail.com</t>
  </si>
  <si>
    <t>01207744708</t>
  </si>
  <si>
    <t>Heer Bobal</t>
  </si>
  <si>
    <t>P1671</t>
  </si>
  <si>
    <t>wgade@hotmail.com</t>
  </si>
  <si>
    <t>+919310981453</t>
  </si>
  <si>
    <t>Manikya Behl</t>
  </si>
  <si>
    <t>P1670</t>
  </si>
  <si>
    <t>bsem@yahoo.com</t>
  </si>
  <si>
    <t>01733872367</t>
  </si>
  <si>
    <t>Advik Dalal</t>
  </si>
  <si>
    <t>P1669</t>
  </si>
  <si>
    <t>anayseth@hotmail.com</t>
  </si>
  <si>
    <t>+912315803075</t>
  </si>
  <si>
    <t>Romil Hayer</t>
  </si>
  <si>
    <t>P1668</t>
  </si>
  <si>
    <t>alia89@gmail.com</t>
  </si>
  <si>
    <t>03278945028</t>
  </si>
  <si>
    <t>Himmat Vohra</t>
  </si>
  <si>
    <t>P1667</t>
  </si>
  <si>
    <t>onkardara@mallick.net</t>
  </si>
  <si>
    <t>1697384866</t>
  </si>
  <si>
    <t>Dhanuk Solanki</t>
  </si>
  <si>
    <t>P1666</t>
  </si>
  <si>
    <t>sharmahrishita@hotmail.com</t>
  </si>
  <si>
    <t>+917710668637</t>
  </si>
  <si>
    <t>Dhruv Thakkar</t>
  </si>
  <si>
    <t>P1665</t>
  </si>
  <si>
    <t>aradhyalal@sunder.info</t>
  </si>
  <si>
    <t>+915691631979</t>
  </si>
  <si>
    <t>Sana Golla</t>
  </si>
  <si>
    <t>P1664</t>
  </si>
  <si>
    <t>ctak@hotmail.com</t>
  </si>
  <si>
    <t>+917075878631</t>
  </si>
  <si>
    <t>Rohan Chandra</t>
  </si>
  <si>
    <t>P1663</t>
  </si>
  <si>
    <t>miraya81@hotmail.com</t>
  </si>
  <si>
    <t>+910059591360</t>
  </si>
  <si>
    <t>Jiya Arora</t>
  </si>
  <si>
    <t>P1662</t>
  </si>
  <si>
    <t>xgarde@tailor-manne.com</t>
  </si>
  <si>
    <t>+912835501294</t>
  </si>
  <si>
    <t>Zaina Tailor</t>
  </si>
  <si>
    <t>P1661</t>
  </si>
  <si>
    <t>anahirau@madan.com</t>
  </si>
  <si>
    <t>+914811272229</t>
  </si>
  <si>
    <t>Aradhya Ahluwalia</t>
  </si>
  <si>
    <t>P1660</t>
  </si>
  <si>
    <t>priyansh79@hotmail.com</t>
  </si>
  <si>
    <t>+919936253556</t>
  </si>
  <si>
    <t>Devansh Sama</t>
  </si>
  <si>
    <t>P1659</t>
  </si>
  <si>
    <t>sampathmyra@sekhon.org</t>
  </si>
  <si>
    <t>8271307389</t>
  </si>
  <si>
    <t>Anvi Saxena</t>
  </si>
  <si>
    <t>P1658</t>
  </si>
  <si>
    <t>nishithgoswami@rajagopalan-sood.biz</t>
  </si>
  <si>
    <t>+918021963074</t>
  </si>
  <si>
    <t>Lagan Mann</t>
  </si>
  <si>
    <t>P1657</t>
  </si>
  <si>
    <t>jsandal@keer.com</t>
  </si>
  <si>
    <t>0633771743</t>
  </si>
  <si>
    <t>Dhanush Chand</t>
  </si>
  <si>
    <t>P1656</t>
  </si>
  <si>
    <t>himmatshroff@gmail.com</t>
  </si>
  <si>
    <t>6718880192</t>
  </si>
  <si>
    <t>Oorja Shah</t>
  </si>
  <si>
    <t>P1655</t>
  </si>
  <si>
    <t>odey@banik.org</t>
  </si>
  <si>
    <t>+918179209102</t>
  </si>
  <si>
    <t>Indrajit Kannan</t>
  </si>
  <si>
    <t>P1654</t>
  </si>
  <si>
    <t>nissac@som.com</t>
  </si>
  <si>
    <t>1459632055</t>
  </si>
  <si>
    <t>Rhea Contractor</t>
  </si>
  <si>
    <t>P1653</t>
  </si>
  <si>
    <t>ochowdhury@chandran.com</t>
  </si>
  <si>
    <t>8071442000</t>
  </si>
  <si>
    <t>Jayesh Tak</t>
  </si>
  <si>
    <t>P1652</t>
  </si>
  <si>
    <t>miraan69@biswas.info</t>
  </si>
  <si>
    <t>+914851071588</t>
  </si>
  <si>
    <t>Kaira Zachariah</t>
  </si>
  <si>
    <t>P1651</t>
  </si>
  <si>
    <t>mde@jhaveri.com</t>
  </si>
  <si>
    <t>+918747212849</t>
  </si>
  <si>
    <t>Gokul Kanda</t>
  </si>
  <si>
    <t>P1650</t>
  </si>
  <si>
    <t>nayantararamanathan@hotmail.com</t>
  </si>
  <si>
    <t>5156533435</t>
  </si>
  <si>
    <t>Yasmin Kadakia</t>
  </si>
  <si>
    <t>P1649</t>
  </si>
  <si>
    <t>hkant@gmail.com</t>
  </si>
  <si>
    <t>+913558708235</t>
  </si>
  <si>
    <t>Dharmajan Rattan</t>
  </si>
  <si>
    <t>P1648</t>
  </si>
  <si>
    <t>taimurmahajan@yahoo.com</t>
  </si>
  <si>
    <t>+919740200924</t>
  </si>
  <si>
    <t>Saksham Balay</t>
  </si>
  <si>
    <t>P1647</t>
  </si>
  <si>
    <t>bhandariarmaan@borah.com</t>
  </si>
  <si>
    <t>+914673165874</t>
  </si>
  <si>
    <t>Mehul Venkatesh</t>
  </si>
  <si>
    <t>P1646</t>
  </si>
  <si>
    <t>lvarma@yahoo.com</t>
  </si>
  <si>
    <t>+918075453720</t>
  </si>
  <si>
    <t>Tushar Magar</t>
  </si>
  <si>
    <t>P1645</t>
  </si>
  <si>
    <t>shadiya@divan-karpe.com</t>
  </si>
  <si>
    <t>+919001739181</t>
  </si>
  <si>
    <t>Damini Sha</t>
  </si>
  <si>
    <t>P1644</t>
  </si>
  <si>
    <t>sara14@mahajan.com</t>
  </si>
  <si>
    <t>06940208188</t>
  </si>
  <si>
    <t>Shamik Srinivasan</t>
  </si>
  <si>
    <t>P1643</t>
  </si>
  <si>
    <t>armaan27@gmail.com</t>
  </si>
  <si>
    <t>05844086906</t>
  </si>
  <si>
    <t>Trisha Das</t>
  </si>
  <si>
    <t>P1642</t>
  </si>
  <si>
    <t>sinhavritika@hotmail.com</t>
  </si>
  <si>
    <t>8971325230</t>
  </si>
  <si>
    <t>Dhruv Vala</t>
  </si>
  <si>
    <t>P1641</t>
  </si>
  <si>
    <t>+910162802018</t>
  </si>
  <si>
    <t>Alia Sarma</t>
  </si>
  <si>
    <t>P1640</t>
  </si>
  <si>
    <t>mohanlal46@wadhwa.com</t>
  </si>
  <si>
    <t>+910356130310</t>
  </si>
  <si>
    <t>Lakshit Aurora</t>
  </si>
  <si>
    <t>P1639</t>
  </si>
  <si>
    <t>hayeranika@gmail.com</t>
  </si>
  <si>
    <t>9301211896</t>
  </si>
  <si>
    <t>Jiya Golla</t>
  </si>
  <si>
    <t>P1638</t>
  </si>
  <si>
    <t>wallaneysa@hotmail.com</t>
  </si>
  <si>
    <t>09065135599</t>
  </si>
  <si>
    <t>Prisha Agate</t>
  </si>
  <si>
    <t>P1637</t>
  </si>
  <si>
    <t>ramavritika@sha-karnik.com</t>
  </si>
  <si>
    <t>04371956553</t>
  </si>
  <si>
    <t>Kiara Borde</t>
  </si>
  <si>
    <t>P1636</t>
  </si>
  <si>
    <t>umangdugar@gmail.com</t>
  </si>
  <si>
    <t>5977216758</t>
  </si>
  <si>
    <t>Aaina Dubey</t>
  </si>
  <si>
    <t>P1635</t>
  </si>
  <si>
    <t>piyakrishna@yahoo.com</t>
  </si>
  <si>
    <t>09003166455</t>
  </si>
  <si>
    <t>Riaan Sen</t>
  </si>
  <si>
    <t>P1634</t>
  </si>
  <si>
    <t>baradshanaya@hotmail.com</t>
  </si>
  <si>
    <t>7914903042</t>
  </si>
  <si>
    <t>Miraan Sant</t>
  </si>
  <si>
    <t>P1633</t>
  </si>
  <si>
    <t>samiha40@barad-savant.com</t>
  </si>
  <si>
    <t>+910225631558</t>
  </si>
  <si>
    <t>Vanya Dani</t>
  </si>
  <si>
    <t>P1632</t>
  </si>
  <si>
    <t>eva64@apte-sem.com</t>
  </si>
  <si>
    <t>1470359032</t>
  </si>
  <si>
    <t>Nitara Divan</t>
  </si>
  <si>
    <t>P1631</t>
  </si>
  <si>
    <t>isoni@hotmail.com</t>
  </si>
  <si>
    <t>09903478868</t>
  </si>
  <si>
    <t xml:space="preserve">  Arnav Anand </t>
  </si>
  <si>
    <t>P1630</t>
  </si>
  <si>
    <t>omajumdar@hotmail.com</t>
  </si>
  <si>
    <t>09330395176</t>
  </si>
  <si>
    <t>Miraan Chacko</t>
  </si>
  <si>
    <t>P1629</t>
  </si>
  <si>
    <t>jayeshbera@hotmail.com</t>
  </si>
  <si>
    <t>09968333692</t>
  </si>
  <si>
    <t>Armaan Ranganathan</t>
  </si>
  <si>
    <t>P1628</t>
  </si>
  <si>
    <t>ybassi@chadha.com</t>
  </si>
  <si>
    <t>00497495991</t>
  </si>
  <si>
    <t>Charvi Bava</t>
  </si>
  <si>
    <t>P1627</t>
  </si>
  <si>
    <t>qkala@yahoo.com</t>
  </si>
  <si>
    <t>07839878858</t>
  </si>
  <si>
    <t>Trisha Dey</t>
  </si>
  <si>
    <t>P1626</t>
  </si>
  <si>
    <t>samar42@yahoo.com</t>
  </si>
  <si>
    <t>8071932500</t>
  </si>
  <si>
    <t>Mehul Saraf</t>
  </si>
  <si>
    <t>P1625</t>
  </si>
  <si>
    <t>zbassi@gera.org</t>
  </si>
  <si>
    <t>+915752072077</t>
  </si>
  <si>
    <t>Dhanuk Kala</t>
  </si>
  <si>
    <t>P1624</t>
  </si>
  <si>
    <t>sangharenee@gmail.com</t>
  </si>
  <si>
    <t>8458453288</t>
  </si>
  <si>
    <t>Anvi Kar</t>
  </si>
  <si>
    <t>P1623</t>
  </si>
  <si>
    <t>farhan31@yahoo.com</t>
  </si>
  <si>
    <t>02561433375</t>
  </si>
  <si>
    <t>Aarav Basak</t>
  </si>
  <si>
    <t>P1622</t>
  </si>
  <si>
    <t>choudharykashvi@yahoo.com</t>
  </si>
  <si>
    <t>+914024422127</t>
  </si>
  <si>
    <t>Aarna Sachdeva</t>
  </si>
  <si>
    <t>P1621</t>
  </si>
  <si>
    <t>khushi01@raj-tara.info</t>
  </si>
  <si>
    <t>+918753671615</t>
  </si>
  <si>
    <t>Parinaaz Kapur</t>
  </si>
  <si>
    <t>P1620</t>
  </si>
  <si>
    <t>trivedilakshit@ahluwalia-walla.com</t>
  </si>
  <si>
    <t>0186910345</t>
  </si>
  <si>
    <t>Zaina Magar</t>
  </si>
  <si>
    <t>P1619</t>
  </si>
  <si>
    <t>mastersaanvi@yahoo.com</t>
  </si>
  <si>
    <t>3484058625</t>
  </si>
  <si>
    <t>Kiaan Biswas</t>
  </si>
  <si>
    <t>P1618</t>
  </si>
  <si>
    <t>taktanya@deshmukh.info</t>
  </si>
  <si>
    <t>03462368808</t>
  </si>
  <si>
    <t>Yuvaan Dhaliwal</t>
  </si>
  <si>
    <t>P1617</t>
  </si>
  <si>
    <t>ubarad@gmail.com</t>
  </si>
  <si>
    <t>05697892374</t>
  </si>
  <si>
    <t>Manikya Kale</t>
  </si>
  <si>
    <t>P1616</t>
  </si>
  <si>
    <t>pkibe@mann.info</t>
  </si>
  <si>
    <t>08883761158</t>
  </si>
  <si>
    <t>Aniruddh Hora</t>
  </si>
  <si>
    <t>P1615</t>
  </si>
  <si>
    <t>shayaksabharwal@hotmail.com</t>
  </si>
  <si>
    <t>07071738415</t>
  </si>
  <si>
    <t>Ivana Bawa</t>
  </si>
  <si>
    <t>P1614</t>
  </si>
  <si>
    <t>wsubramaniam@yahoo.com</t>
  </si>
  <si>
    <t>1790420894</t>
  </si>
  <si>
    <t>Vivaan Char</t>
  </si>
  <si>
    <t>P1613</t>
  </si>
  <si>
    <t>pranaygrewal@yahoo.com</t>
  </si>
  <si>
    <t>7521751800</t>
  </si>
  <si>
    <t>Divit Kibe</t>
  </si>
  <si>
    <t>P1612</t>
  </si>
  <si>
    <t>yashvi70@kapadia.com</t>
  </si>
  <si>
    <t>05651981992</t>
  </si>
  <si>
    <t>Yasmin Hans</t>
  </si>
  <si>
    <t>P1611</t>
  </si>
  <si>
    <t>suhanabehl@singh.info</t>
  </si>
  <si>
    <t>00816126031</t>
  </si>
  <si>
    <t>Kismat Bhandari</t>
  </si>
  <si>
    <t>P1610</t>
  </si>
  <si>
    <t>handazaina@gmail.com</t>
  </si>
  <si>
    <t>0216370988</t>
  </si>
  <si>
    <t>Navya Rajagopalan</t>
  </si>
  <si>
    <t>P1609</t>
  </si>
  <si>
    <t>trege@gmail.com</t>
  </si>
  <si>
    <t>8529975901</t>
  </si>
  <si>
    <t>Kiaan Vasa</t>
  </si>
  <si>
    <t>P1608</t>
  </si>
  <si>
    <t>vaibhavbakshi@yahoo.com</t>
  </si>
  <si>
    <t>5049558708</t>
  </si>
  <si>
    <t>Shaan Dubey</t>
  </si>
  <si>
    <t>P1607</t>
  </si>
  <si>
    <t>qshetty@yahoo.com</t>
  </si>
  <si>
    <t>+913264403739</t>
  </si>
  <si>
    <t>Arnav Loyal</t>
  </si>
  <si>
    <t>P1606</t>
  </si>
  <si>
    <t>vaidyasaanvi@shroff.com</t>
  </si>
  <si>
    <t>2188897979</t>
  </si>
  <si>
    <t>Madhup Jhaveri</t>
  </si>
  <si>
    <t>P1605</t>
  </si>
  <si>
    <t>psidhu@gmail.com</t>
  </si>
  <si>
    <t>+919935328568</t>
  </si>
  <si>
    <t>Fateh Goyal</t>
  </si>
  <si>
    <t>P1604</t>
  </si>
  <si>
    <t>lchopra@divan.com</t>
  </si>
  <si>
    <t>4450563997</t>
  </si>
  <si>
    <t>Aarush Mannan</t>
  </si>
  <si>
    <t>P1603</t>
  </si>
  <si>
    <t>brahmbhattinaaya@yahoo.com</t>
  </si>
  <si>
    <t>07906651888</t>
  </si>
  <si>
    <t>Rania Reddy</t>
  </si>
  <si>
    <t>P1602</t>
  </si>
  <si>
    <t>amani31@bajwa-bora.org</t>
  </si>
  <si>
    <t>+911511349999</t>
  </si>
  <si>
    <t>Aayush Mammen</t>
  </si>
  <si>
    <t>P1601</t>
  </si>
  <si>
    <t>romil82@agrawal-sridhar.com</t>
  </si>
  <si>
    <t>8327630591</t>
  </si>
  <si>
    <t>Romil Bal</t>
  </si>
  <si>
    <t>P1600</t>
  </si>
  <si>
    <t>shayak50@gmail.com</t>
  </si>
  <si>
    <t>+911278101704</t>
  </si>
  <si>
    <t>Jivika Suresh</t>
  </si>
  <si>
    <t>P1599</t>
  </si>
  <si>
    <t>rauhiran@bath.info</t>
  </si>
  <si>
    <t>2038078476</t>
  </si>
  <si>
    <t>Taran Korpal</t>
  </si>
  <si>
    <t>P1598</t>
  </si>
  <si>
    <t>armaan79@butala-kapadia.biz</t>
  </si>
  <si>
    <t>+914379019888</t>
  </si>
  <si>
    <t>Hazel Dara</t>
  </si>
  <si>
    <t>P1597</t>
  </si>
  <si>
    <t>samarthaggarwal@yahoo.com</t>
  </si>
  <si>
    <t>07399139877</t>
  </si>
  <si>
    <t>Anvi Biswas</t>
  </si>
  <si>
    <t>P1596</t>
  </si>
  <si>
    <t>pbiswas@agarwal-chauhan.com</t>
  </si>
  <si>
    <t>+913300860892</t>
  </si>
  <si>
    <t>Dharmajan Hora</t>
  </si>
  <si>
    <t>P1595</t>
  </si>
  <si>
    <t>saneabram@yahoo.com</t>
  </si>
  <si>
    <t>9901575300</t>
  </si>
  <si>
    <t>Zain Ghosh</t>
  </si>
  <si>
    <t>P1594</t>
  </si>
  <si>
    <t>vihaanjayaraman@khosla.com</t>
  </si>
  <si>
    <t>+919349695596</t>
  </si>
  <si>
    <t>Mehul Gupta</t>
  </si>
  <si>
    <t>P1593</t>
  </si>
  <si>
    <t>ghosestuvan@gmail.com</t>
  </si>
  <si>
    <t>+912452121480</t>
  </si>
  <si>
    <t>Zain Gola</t>
  </si>
  <si>
    <t>P1592</t>
  </si>
  <si>
    <t>chakrabartiaayush@bose-dani.biz</t>
  </si>
  <si>
    <t>01418637790</t>
  </si>
  <si>
    <t>Inaaya  Gandhi</t>
  </si>
  <si>
    <t>P1591</t>
  </si>
  <si>
    <t>mchauhan@kapadia.com</t>
  </si>
  <si>
    <t>2007232347</t>
  </si>
  <si>
    <t>Renee Maharaj</t>
  </si>
  <si>
    <t>P1590</t>
  </si>
  <si>
    <t>sacharzain@vig-taneja.com</t>
  </si>
  <si>
    <t>0084751488</t>
  </si>
  <si>
    <t>Romil Sami</t>
  </si>
  <si>
    <t>P1589</t>
  </si>
  <si>
    <t>saira23@chawla.com</t>
  </si>
  <si>
    <t>+911502199480</t>
  </si>
  <si>
    <t>Pari Boase</t>
  </si>
  <si>
    <t>P1588</t>
  </si>
  <si>
    <t>aissac@hotmail.com</t>
  </si>
  <si>
    <t>+917409877545</t>
  </si>
  <si>
    <t>Yuvaan Lad</t>
  </si>
  <si>
    <t>P1587</t>
  </si>
  <si>
    <t>jdara@gmail.com</t>
  </si>
  <si>
    <t>9225318464</t>
  </si>
  <si>
    <t>Jiya Gera</t>
  </si>
  <si>
    <t>P1586</t>
  </si>
  <si>
    <t>sankarnitara@yahoo.com</t>
  </si>
  <si>
    <t>06016875929</t>
  </si>
  <si>
    <t>Renee Seshadri</t>
  </si>
  <si>
    <t>P1585</t>
  </si>
  <si>
    <t>pgarg@dora.info</t>
  </si>
  <si>
    <t>1881234879</t>
  </si>
  <si>
    <t>Taimur Chada</t>
  </si>
  <si>
    <t>P1584</t>
  </si>
  <si>
    <t>chiragbail@hotmail.com</t>
  </si>
  <si>
    <t>6922698095</t>
  </si>
  <si>
    <t>Ojas Dayal</t>
  </si>
  <si>
    <t>P1583</t>
  </si>
  <si>
    <t>mahajanvaibhav@hotmail.com</t>
  </si>
  <si>
    <t>+910506932900</t>
  </si>
  <si>
    <t>Vedika Kara</t>
  </si>
  <si>
    <t>P1582</t>
  </si>
  <si>
    <t>kashviagate@hotmail.com</t>
  </si>
  <si>
    <t>+910494759904</t>
  </si>
  <si>
    <t>Seher Lad</t>
  </si>
  <si>
    <t>P1581</t>
  </si>
  <si>
    <t>shlok96@samra-ganesh.org</t>
  </si>
  <si>
    <t>Ritvik Wali</t>
  </si>
  <si>
    <t>P1580</t>
  </si>
  <si>
    <t>kabir54@gmail.com</t>
  </si>
  <si>
    <t>03017046569</t>
  </si>
  <si>
    <t>Suhana Sawhney</t>
  </si>
  <si>
    <t>P1579</t>
  </si>
  <si>
    <t>dharranbir@yahoo.com</t>
  </si>
  <si>
    <t>+919339541497</t>
  </si>
  <si>
    <t>Zara Goswami</t>
  </si>
  <si>
    <t>P1578</t>
  </si>
  <si>
    <t>myrasandhu@yahoo.com</t>
  </si>
  <si>
    <t>+910755059860</t>
  </si>
  <si>
    <t>Nayantara Walia</t>
  </si>
  <si>
    <t>P1577</t>
  </si>
  <si>
    <t>mishabuch@gara-yohannan.com</t>
  </si>
  <si>
    <t>+917679878147</t>
  </si>
  <si>
    <t>Pari Chander</t>
  </si>
  <si>
    <t>P1576</t>
  </si>
  <si>
    <t>prishakeer@khosla.com</t>
  </si>
  <si>
    <t>+916565657259</t>
  </si>
  <si>
    <t>Tejas Gala</t>
  </si>
  <si>
    <t>P1575</t>
  </si>
  <si>
    <t>somprisha@madan.org</t>
  </si>
  <si>
    <t>8886476818</t>
  </si>
  <si>
    <t>Manikya Sharma</t>
  </si>
  <si>
    <t>P1574</t>
  </si>
  <si>
    <t>qbutala@hotmail.com</t>
  </si>
  <si>
    <t>+910252409711</t>
  </si>
  <si>
    <t>Ela Chopra</t>
  </si>
  <si>
    <t>P1573</t>
  </si>
  <si>
    <t>bandiyashvi@hotmail.com</t>
  </si>
  <si>
    <t>7020252660</t>
  </si>
  <si>
    <t>Ojas Venkataraman</t>
  </si>
  <si>
    <t>P1572</t>
  </si>
  <si>
    <t>bawavidur@mall-arya.com</t>
  </si>
  <si>
    <t>03109277249</t>
  </si>
  <si>
    <t>Elakshi Agarwal</t>
  </si>
  <si>
    <t>P1571</t>
  </si>
  <si>
    <t>anahitaganesan@yahoo.com</t>
  </si>
  <si>
    <t>5495113845</t>
  </si>
  <si>
    <t>Eva Gala</t>
  </si>
  <si>
    <t>P1570</t>
  </si>
  <si>
    <t>sehergarg@hotmail.com</t>
  </si>
  <si>
    <t>05677026638</t>
  </si>
  <si>
    <t>Inaaya  Dhar</t>
  </si>
  <si>
    <t>P1569</t>
  </si>
  <si>
    <t>uthkarsh45@gmail.com</t>
  </si>
  <si>
    <t>4853876298</t>
  </si>
  <si>
    <t>Misha Sekhon</t>
  </si>
  <si>
    <t>P1568</t>
  </si>
  <si>
    <t>pborah@kadakia.com</t>
  </si>
  <si>
    <t>03702858179</t>
  </si>
  <si>
    <t>Khushi Jain</t>
  </si>
  <si>
    <t>P1567</t>
  </si>
  <si>
    <t>mishti15@dyal.com</t>
  </si>
  <si>
    <t>09169264434</t>
  </si>
  <si>
    <t>Anya Ramaswamy</t>
  </si>
  <si>
    <t>P1566</t>
  </si>
  <si>
    <t>adah87@rama.com</t>
  </si>
  <si>
    <t>+913715550136</t>
  </si>
  <si>
    <t>Nirvi Kibe</t>
  </si>
  <si>
    <t>P1565</t>
  </si>
  <si>
    <t>ndutta@sagar.com</t>
  </si>
  <si>
    <t>+914986112227</t>
  </si>
  <si>
    <t>Rhea Sinha</t>
  </si>
  <si>
    <t>P1564</t>
  </si>
  <si>
    <t>vratti@yahoo.com</t>
  </si>
  <si>
    <t>08549422301</t>
  </si>
  <si>
    <t>Jivin Kothari</t>
  </si>
  <si>
    <t>P1563</t>
  </si>
  <si>
    <t>pmall@atwal-gola.net</t>
  </si>
  <si>
    <t>09044822262</t>
  </si>
  <si>
    <t>Mannat Varma</t>
  </si>
  <si>
    <t>P1562</t>
  </si>
  <si>
    <t>zeeshan88@malhotra.com</t>
  </si>
  <si>
    <t>02593585625</t>
  </si>
  <si>
    <t>Advika Basu</t>
  </si>
  <si>
    <t>P1561</t>
  </si>
  <si>
    <t>+917070985442</t>
  </si>
  <si>
    <t>Pranay Bhandari</t>
  </si>
  <si>
    <t>P1560</t>
  </si>
  <si>
    <t>sanghvigokul@yahoo.com</t>
  </si>
  <si>
    <t>3963573855</t>
  </si>
  <si>
    <t>Vedika Divan</t>
  </si>
  <si>
    <t>P1559</t>
  </si>
  <si>
    <t>kavya60@yahoo.com</t>
  </si>
  <si>
    <t>+913844591134</t>
  </si>
  <si>
    <t>Yasmin Sarin</t>
  </si>
  <si>
    <t>P1558</t>
  </si>
  <si>
    <t>waliajivika@yahoo.com</t>
  </si>
  <si>
    <t>+917356016707</t>
  </si>
  <si>
    <t>Tushar Dugar</t>
  </si>
  <si>
    <t>P1557</t>
  </si>
  <si>
    <t>diya53@mani-subramanian.net</t>
  </si>
  <si>
    <t>2709643199</t>
  </si>
  <si>
    <t>Nirvi Verma</t>
  </si>
  <si>
    <t>P1556</t>
  </si>
  <si>
    <t>priyansh78@hotmail.com</t>
  </si>
  <si>
    <t>08153290362</t>
  </si>
  <si>
    <t>Ivan Baria</t>
  </si>
  <si>
    <t>P1555</t>
  </si>
  <si>
    <t>ahana-60@bajwa.com</t>
  </si>
  <si>
    <t>01249042649</t>
  </si>
  <si>
    <t>Zeeshan Dada</t>
  </si>
  <si>
    <t>P1554</t>
  </si>
  <si>
    <t>svarty@yahoo.com</t>
  </si>
  <si>
    <t>02532710802</t>
  </si>
  <si>
    <t>Shayak Banerjee</t>
  </si>
  <si>
    <t>P1553</t>
  </si>
  <si>
    <t>borakismat@rege.com</t>
  </si>
  <si>
    <t>5353229217</t>
  </si>
  <si>
    <t>Veer Rao</t>
  </si>
  <si>
    <t>P1552</t>
  </si>
  <si>
    <t>icherian@datta.com</t>
  </si>
  <si>
    <t>+911996779616</t>
  </si>
  <si>
    <t>Kiaan Gera</t>
  </si>
  <si>
    <t>P1551</t>
  </si>
  <si>
    <t>diyabehl@yahoo.com</t>
  </si>
  <si>
    <t>02076356431</t>
  </si>
  <si>
    <t>Ritvik Rao</t>
  </si>
  <si>
    <t>P1550</t>
  </si>
  <si>
    <t>ghosemanjari@gmail.com</t>
  </si>
  <si>
    <t>00744900381</t>
  </si>
  <si>
    <t>Inaaya  Krishna</t>
  </si>
  <si>
    <t>P1549</t>
  </si>
  <si>
    <t>idevi@yahoo.com</t>
  </si>
  <si>
    <t>06815743886</t>
  </si>
  <si>
    <t>Zara Uppal</t>
  </si>
  <si>
    <t>P1548</t>
  </si>
  <si>
    <t>mraman@sura.com</t>
  </si>
  <si>
    <t>+919652515373</t>
  </si>
  <si>
    <t>Sahil Bhatia</t>
  </si>
  <si>
    <t>P1547</t>
  </si>
  <si>
    <t>mallickmyra@rege.com</t>
  </si>
  <si>
    <t>09831831424</t>
  </si>
  <si>
    <t>Fateh Desai</t>
  </si>
  <si>
    <t>P1546</t>
  </si>
  <si>
    <t>divit46@yahoo.com</t>
  </si>
  <si>
    <t>06763086412</t>
  </si>
  <si>
    <t>Farhan Bath</t>
  </si>
  <si>
    <t>P1545</t>
  </si>
  <si>
    <t>virkaarush@tara.net</t>
  </si>
  <si>
    <t>9426249338</t>
  </si>
  <si>
    <t>Madhav Bora</t>
  </si>
  <si>
    <t>P1544</t>
  </si>
  <si>
    <t>karpecharvi@sodhi.com</t>
  </si>
  <si>
    <t>08776564589</t>
  </si>
  <si>
    <t>Baiju Boase</t>
  </si>
  <si>
    <t>P1543</t>
  </si>
  <si>
    <t>bhatiaehsaan@gmail.com</t>
  </si>
  <si>
    <t>9316897415</t>
  </si>
  <si>
    <t>Vanya Gala</t>
  </si>
  <si>
    <t>P1542</t>
  </si>
  <si>
    <t>krish81@salvi-kannan.com</t>
  </si>
  <si>
    <t>0704174767</t>
  </si>
  <si>
    <t>Indranil Sharma</t>
  </si>
  <si>
    <t>P1541</t>
  </si>
  <si>
    <t>kuppal@yahoo.com</t>
  </si>
  <si>
    <t>07682249268</t>
  </si>
  <si>
    <t xml:space="preserve">  Lagan Chada </t>
  </si>
  <si>
    <t>P1540</t>
  </si>
  <si>
    <t>fbandi@dey.com</t>
  </si>
  <si>
    <t>+915286717185</t>
  </si>
  <si>
    <t>Vihaan Kashyap</t>
  </si>
  <si>
    <t>P1539</t>
  </si>
  <si>
    <t>auroranavya@hotmail.com</t>
  </si>
  <si>
    <t>+912253983711</t>
  </si>
  <si>
    <t>Riaan Loke</t>
  </si>
  <si>
    <t>P1538</t>
  </si>
  <si>
    <t>nitarasalvi@yahoo.com</t>
  </si>
  <si>
    <t>5299036837</t>
  </si>
  <si>
    <t>Pari Chaudhari</t>
  </si>
  <si>
    <t>P1537</t>
  </si>
  <si>
    <t>slall@bahri.info</t>
  </si>
  <si>
    <t>07544551849</t>
  </si>
  <si>
    <t>Aaina Kara</t>
  </si>
  <si>
    <t>P1536</t>
  </si>
  <si>
    <t>azadshah@hotmail.com</t>
  </si>
  <si>
    <t>+918089114581</t>
  </si>
  <si>
    <t>Aarav Loyal</t>
  </si>
  <si>
    <t>P1535</t>
  </si>
  <si>
    <t>chawlasiya@gulati.com</t>
  </si>
  <si>
    <t>07509241138</t>
  </si>
  <si>
    <t>Aarna Dash</t>
  </si>
  <si>
    <t>P1534</t>
  </si>
  <si>
    <t>ela22@kakar-bansal.com</t>
  </si>
  <si>
    <t>9166349906</t>
  </si>
  <si>
    <t>Lakshit Ganguly</t>
  </si>
  <si>
    <t>P1533</t>
  </si>
  <si>
    <t>nirvaansankar@hotmail.com</t>
  </si>
  <si>
    <t>0807279837</t>
  </si>
  <si>
    <t>Azad Chopra</t>
  </si>
  <si>
    <t>P1532</t>
  </si>
  <si>
    <t>akaran@hotmail.com</t>
  </si>
  <si>
    <t>+912937382808</t>
  </si>
  <si>
    <t>Yuvaan Thaman</t>
  </si>
  <si>
    <t>P1531</t>
  </si>
  <si>
    <t>saneadira@wagle-chada.com</t>
  </si>
  <si>
    <t>02064944788</t>
  </si>
  <si>
    <t>Mannat Rattan</t>
  </si>
  <si>
    <t>P1530</t>
  </si>
  <si>
    <t>riya75@gmail.com</t>
  </si>
  <si>
    <t>+911949561580</t>
  </si>
  <si>
    <t>Krish Sule</t>
  </si>
  <si>
    <t>P1529</t>
  </si>
  <si>
    <t>dateahana@hotmail.com</t>
  </si>
  <si>
    <t>01506889564</t>
  </si>
  <si>
    <t>Tejas Dixit</t>
  </si>
  <si>
    <t>P1528</t>
  </si>
  <si>
    <t>osarraf@zachariah-shetty.biz</t>
  </si>
  <si>
    <t>+912963359451</t>
  </si>
  <si>
    <t>Neysa Datta</t>
  </si>
  <si>
    <t>P1527</t>
  </si>
  <si>
    <t>gokul44@yahoo.com</t>
  </si>
  <si>
    <t>02223767089</t>
  </si>
  <si>
    <t>Kismat Mannan</t>
  </si>
  <si>
    <t>P1526</t>
  </si>
  <si>
    <t>gatikravel@kaul.com</t>
  </si>
  <si>
    <t>+911610937484</t>
  </si>
  <si>
    <t>Kaira Sabharwal</t>
  </si>
  <si>
    <t>P1525</t>
  </si>
  <si>
    <t>lcherian@vasa.org</t>
  </si>
  <si>
    <t>3638095149</t>
  </si>
  <si>
    <t>Aarav Kata</t>
  </si>
  <si>
    <t>P1524</t>
  </si>
  <si>
    <t>aaryahi03@balasubramanian-cheema.org</t>
  </si>
  <si>
    <t>6283916268</t>
  </si>
  <si>
    <t>Neysa Sharma</t>
  </si>
  <si>
    <t>P1523</t>
  </si>
  <si>
    <t>sumerdoctor@yahoo.com</t>
  </si>
  <si>
    <t>04499908490</t>
  </si>
  <si>
    <t>Elakshi Hari</t>
  </si>
  <si>
    <t>P1522</t>
  </si>
  <si>
    <t>shamik79@tiwari-zacharia.com</t>
  </si>
  <si>
    <t>0490303941</t>
  </si>
  <si>
    <t>Aniruddh Sankar</t>
  </si>
  <si>
    <t>P1521</t>
  </si>
  <si>
    <t>dhanukmandal@gmail.com</t>
  </si>
  <si>
    <t>+917595763587</t>
  </si>
  <si>
    <t>Raunak Bhavsar</t>
  </si>
  <si>
    <t>P1520</t>
  </si>
  <si>
    <t>tusharrattan@gmail.com</t>
  </si>
  <si>
    <t>+913352603090</t>
  </si>
  <si>
    <t>Hunar Dyal</t>
  </si>
  <si>
    <t>P1519</t>
  </si>
  <si>
    <t>dahluwalia@gmail.com</t>
  </si>
  <si>
    <t>+916490709471</t>
  </si>
  <si>
    <t>Taran Shukla</t>
  </si>
  <si>
    <t>P1518</t>
  </si>
  <si>
    <t>anvi22@gmail.com</t>
  </si>
  <si>
    <t>06314488383</t>
  </si>
  <si>
    <t>Kimaya Wagle</t>
  </si>
  <si>
    <t>P1517</t>
  </si>
  <si>
    <t>raunak99@ravel.org</t>
  </si>
  <si>
    <t>8788329182</t>
  </si>
  <si>
    <t>Anika Choudhary</t>
  </si>
  <si>
    <t>P1516</t>
  </si>
  <si>
    <t>jiyajoshi@yahoo.com</t>
  </si>
  <si>
    <t>1599461982</t>
  </si>
  <si>
    <t>Yuvaan Raval</t>
  </si>
  <si>
    <t>P1515</t>
  </si>
  <si>
    <t>ddhar@lala.com</t>
  </si>
  <si>
    <t>06834324057</t>
  </si>
  <si>
    <t>Seher Sawhney</t>
  </si>
  <si>
    <t>P1514</t>
  </si>
  <si>
    <t>sandhutara@tailor-din.com</t>
  </si>
  <si>
    <t>01003551778</t>
  </si>
  <si>
    <t>Mannat Iyengar</t>
  </si>
  <si>
    <t>P1513</t>
  </si>
  <si>
    <t>mtella@banik.com</t>
  </si>
  <si>
    <t>07969254343</t>
  </si>
  <si>
    <t>Pari Balay</t>
  </si>
  <si>
    <t>P1512</t>
  </si>
  <si>
    <t>adeshmukh@walla-kunda.biz</t>
  </si>
  <si>
    <t>2469705179</t>
  </si>
  <si>
    <t>Adah Sridhar</t>
  </si>
  <si>
    <t>P1511</t>
  </si>
  <si>
    <t>karpeehsaan@badami.com</t>
  </si>
  <si>
    <t>00039089767</t>
  </si>
  <si>
    <t>Anahita Kothari</t>
  </si>
  <si>
    <t>kbarad@sathe-magar.net</t>
  </si>
  <si>
    <t>1606991987</t>
  </si>
  <si>
    <t>Kaira Saraf</t>
  </si>
  <si>
    <t>P1509</t>
  </si>
  <si>
    <t>devanshhegde@gmail.com</t>
  </si>
  <si>
    <t>+917459719648</t>
  </si>
  <si>
    <t>Shray Kunda</t>
  </si>
  <si>
    <t>P1508</t>
  </si>
  <si>
    <t>neelofarseshadri@gmail.com</t>
  </si>
  <si>
    <t>02643145276</t>
  </si>
  <si>
    <t>Adira Raja</t>
  </si>
  <si>
    <t>P1507</t>
  </si>
  <si>
    <t>lthakur@gmail.com</t>
  </si>
  <si>
    <t>02939697367</t>
  </si>
  <si>
    <t>Advika Kalla</t>
  </si>
  <si>
    <t>P1506</t>
  </si>
  <si>
    <t>nishith95@grover.info</t>
  </si>
  <si>
    <t>6226816263</t>
  </si>
  <si>
    <t>Rati Anand</t>
  </si>
  <si>
    <t>P1505</t>
  </si>
  <si>
    <t>hansh09@das.com</t>
  </si>
  <si>
    <t>5320277098</t>
  </si>
  <si>
    <t>Aaina Borah</t>
  </si>
  <si>
    <t>P1504</t>
  </si>
  <si>
    <t>subramaniamyakshit@hotmail.com</t>
  </si>
  <si>
    <t>0272859578</t>
  </si>
  <si>
    <t>Vihaan Bose</t>
  </si>
  <si>
    <t>P1503</t>
  </si>
  <si>
    <t>tarinidoshi@yahoo.com</t>
  </si>
  <si>
    <t>02426420685</t>
  </si>
  <si>
    <t>Saira Som</t>
  </si>
  <si>
    <t>P1502</t>
  </si>
  <si>
    <t>charvi54@chad-wali.com</t>
  </si>
  <si>
    <t>09440606159</t>
  </si>
  <si>
    <t>Vedika Baral</t>
  </si>
  <si>
    <t>P1501</t>
  </si>
  <si>
    <t>amira82@balan.net</t>
  </si>
  <si>
    <t>5021628471</t>
  </si>
  <si>
    <t>Yuvaan Dyal</t>
  </si>
  <si>
    <t>P1500</t>
  </si>
  <si>
    <t>tiwarikiara@bhat.com</t>
  </si>
  <si>
    <t>03158210896</t>
  </si>
  <si>
    <t>Shayak Gaba</t>
  </si>
  <si>
    <t>P1499</t>
  </si>
  <si>
    <t>uvarghese@rajagopal.com</t>
  </si>
  <si>
    <t>05624058615</t>
  </si>
  <si>
    <t>Riya Ganesh</t>
  </si>
  <si>
    <t>P1498</t>
  </si>
  <si>
    <t>samarth59@mangat.org</t>
  </si>
  <si>
    <t>6229984938</t>
  </si>
  <si>
    <t>Armaan Mangal</t>
  </si>
  <si>
    <t>P1497</t>
  </si>
  <si>
    <t>kimaya74@shroff.com</t>
  </si>
  <si>
    <t>+912802959986</t>
  </si>
  <si>
    <t>Aarav Dube</t>
  </si>
  <si>
    <t>P1496</t>
  </si>
  <si>
    <t>sehervirk@gmail.com</t>
  </si>
  <si>
    <t>6760532267</t>
  </si>
  <si>
    <t>Vaibhav Raja</t>
  </si>
  <si>
    <t>P1495</t>
  </si>
  <si>
    <t>nirvibrahmbhatt@yahoo.com</t>
  </si>
  <si>
    <t>+917500010140</t>
  </si>
  <si>
    <t>Yuvaan Brahmbhatt</t>
  </si>
  <si>
    <t>P1494</t>
  </si>
  <si>
    <t>devanshmall@hotmail.com</t>
  </si>
  <si>
    <t>+918990442021</t>
  </si>
  <si>
    <t>Hazel Chaudhari</t>
  </si>
  <si>
    <t>P1493</t>
  </si>
  <si>
    <t>kairasaran@gmail.com</t>
  </si>
  <si>
    <t>+918851479634</t>
  </si>
  <si>
    <t>Anahita Barad</t>
  </si>
  <si>
    <t>P1492</t>
  </si>
  <si>
    <t>babuaradhya@andra.com</t>
  </si>
  <si>
    <t>+915566958380</t>
  </si>
  <si>
    <t>Taran Kannan</t>
  </si>
  <si>
    <t>P1491</t>
  </si>
  <si>
    <t>basupari@samra-grover.info</t>
  </si>
  <si>
    <t>5562320699</t>
  </si>
  <si>
    <t>Urvi Amble</t>
  </si>
  <si>
    <t>P1490</t>
  </si>
  <si>
    <t>dugardharmajan@yahoo.com</t>
  </si>
  <si>
    <t>2671129164</t>
  </si>
  <si>
    <t>Pranay Gera</t>
  </si>
  <si>
    <t>P1489</t>
  </si>
  <si>
    <t>urajagopal@dhar.org</t>
  </si>
  <si>
    <t>+912390568744</t>
  </si>
  <si>
    <t>Tara Mane</t>
  </si>
  <si>
    <t>P1488</t>
  </si>
  <si>
    <t>ddave@yahoo.com</t>
  </si>
  <si>
    <t>00246806804</t>
  </si>
  <si>
    <t>Inaaya  Sachar</t>
  </si>
  <si>
    <t>P1487</t>
  </si>
  <si>
    <t>diyadugar@yahoo.com</t>
  </si>
  <si>
    <t>0641077145</t>
  </si>
  <si>
    <t>Himmat Bava</t>
  </si>
  <si>
    <t>P1486</t>
  </si>
  <si>
    <t>ubalay@gmail.com</t>
  </si>
  <si>
    <t>2475540622</t>
  </si>
  <si>
    <t>Hridaan Desai</t>
  </si>
  <si>
    <t>P1485</t>
  </si>
  <si>
    <t>kkota@sinha.com</t>
  </si>
  <si>
    <t>+918224377042</t>
  </si>
  <si>
    <t>Rohan Chatterjee</t>
  </si>
  <si>
    <t>P1484</t>
  </si>
  <si>
    <t>pkuruvilla@dalal.com</t>
  </si>
  <si>
    <t>1958490211</t>
  </si>
  <si>
    <t>Samiha Kothari</t>
  </si>
  <si>
    <t>P1483</t>
  </si>
  <si>
    <t>ojoshi@sagar.com</t>
  </si>
  <si>
    <t>3637258525</t>
  </si>
  <si>
    <t>Mannat Chand</t>
  </si>
  <si>
    <t>P1482</t>
  </si>
  <si>
    <t>wsahota@singh.com</t>
  </si>
  <si>
    <t>4631037681</t>
  </si>
  <si>
    <t>Mannat Bajaj</t>
  </si>
  <si>
    <t>P1481</t>
  </si>
  <si>
    <t>+910502654694</t>
  </si>
  <si>
    <t>Ela Rama</t>
  </si>
  <si>
    <t>P1480</t>
  </si>
  <si>
    <t>sumer59@lalla.com</t>
  </si>
  <si>
    <t>+913828098285</t>
  </si>
  <si>
    <t>Ryan Bhasin</t>
  </si>
  <si>
    <t>P1479</t>
  </si>
  <si>
    <t>amiraissac@sharma.info</t>
  </si>
  <si>
    <t>02672346003</t>
  </si>
  <si>
    <t>Aarav Jaggi</t>
  </si>
  <si>
    <t>P1478</t>
  </si>
  <si>
    <t>taran64@gmail.com</t>
  </si>
  <si>
    <t>07643043161</t>
  </si>
  <si>
    <t>Manikya Chakrabarti</t>
  </si>
  <si>
    <t>P1477</t>
  </si>
  <si>
    <t>rghosh@yahoo.com</t>
  </si>
  <si>
    <t>0459197491</t>
  </si>
  <si>
    <t>Alia Dewan</t>
  </si>
  <si>
    <t>P1476</t>
  </si>
  <si>
    <t>ggoda@gmail.com</t>
  </si>
  <si>
    <t>1481876103</t>
  </si>
  <si>
    <t>Neysa Bakshi</t>
  </si>
  <si>
    <t>P1475</t>
  </si>
  <si>
    <t>duttdamini@jaggi-dutt.info</t>
  </si>
  <si>
    <t>7575736139</t>
  </si>
  <si>
    <t>Onkar Edwin</t>
  </si>
  <si>
    <t>P1474</t>
  </si>
  <si>
    <t>sridharaaryahi@vora.biz</t>
  </si>
  <si>
    <t>07619473581</t>
  </si>
  <si>
    <t>Shanaya Sura</t>
  </si>
  <si>
    <t>P1473</t>
  </si>
  <si>
    <t>mgour@raman-rattan.com</t>
  </si>
  <si>
    <t>0093678500</t>
  </si>
  <si>
    <t>Amira Mani</t>
  </si>
  <si>
    <t>P1472</t>
  </si>
  <si>
    <t>krout@ahluwalia-varty.com</t>
  </si>
  <si>
    <t>+910321585457</t>
  </si>
  <si>
    <t>Shalv Brahmbhatt</t>
  </si>
  <si>
    <t>P1471</t>
  </si>
  <si>
    <t>stuvanchawla@hotmail.com</t>
  </si>
  <si>
    <t>+918843970463</t>
  </si>
  <si>
    <t>Hunar Bora</t>
  </si>
  <si>
    <t>P1470</t>
  </si>
  <si>
    <t>baiju67@khosla.com</t>
  </si>
  <si>
    <t>+919459529958</t>
  </si>
  <si>
    <t>Kartik Rana</t>
  </si>
  <si>
    <t>P1469</t>
  </si>
  <si>
    <t>deepadvika@hotmail.com</t>
  </si>
  <si>
    <t>8251295586</t>
  </si>
  <si>
    <t>Anvi Kapadia</t>
  </si>
  <si>
    <t>P1468</t>
  </si>
  <si>
    <t>obanik@srinivasan-date.com</t>
  </si>
  <si>
    <t>9331044836</t>
  </si>
  <si>
    <t>Amira Gulati</t>
  </si>
  <si>
    <t>P1467</t>
  </si>
  <si>
    <t>advikagrewal@dhawan-maharaj.com</t>
  </si>
  <si>
    <t>+916329452858</t>
  </si>
  <si>
    <t>Devansh Bhattacharyya</t>
  </si>
  <si>
    <t>P1466</t>
  </si>
  <si>
    <t>sanadesai@gmail.com</t>
  </si>
  <si>
    <t>3397626577</t>
  </si>
  <si>
    <t>Ishita Sathe</t>
  </si>
  <si>
    <t>P1465</t>
  </si>
  <si>
    <t>jshankar@mahal.biz</t>
  </si>
  <si>
    <t>06122437716</t>
  </si>
  <si>
    <t>Khushi Hora</t>
  </si>
  <si>
    <t>P1464</t>
  </si>
  <si>
    <t>aaryahi25@kota-krish.net</t>
  </si>
  <si>
    <t>07042642313</t>
  </si>
  <si>
    <t>Renee Khosla</t>
  </si>
  <si>
    <t>P1463</t>
  </si>
  <si>
    <t>tailoranya@yahoo.com</t>
  </si>
  <si>
    <t>2575819035</t>
  </si>
  <si>
    <t>Zara Dhar</t>
  </si>
  <si>
    <t>P1462</t>
  </si>
  <si>
    <t>zainavarty@wali.com</t>
  </si>
  <si>
    <t>06361967487</t>
  </si>
  <si>
    <t>Tara Walla</t>
  </si>
  <si>
    <t>P1461</t>
  </si>
  <si>
    <t>isavant@saxena-koshy.net</t>
  </si>
  <si>
    <t>0496493863</t>
  </si>
  <si>
    <t>Ehsaan Grover</t>
  </si>
  <si>
    <t>P1460</t>
  </si>
  <si>
    <t>nitarabail@gmail.com</t>
  </si>
  <si>
    <t>+918599779866</t>
  </si>
  <si>
    <t>Aaryahi Dave</t>
  </si>
  <si>
    <t>P1459</t>
  </si>
  <si>
    <t>dugarraunak@hotmail.com</t>
  </si>
  <si>
    <t>+919349765702</t>
  </si>
  <si>
    <t>Tanya Gade</t>
  </si>
  <si>
    <t>P1458</t>
  </si>
  <si>
    <t>mahajananaya@sur.com</t>
  </si>
  <si>
    <t>1346286956</t>
  </si>
  <si>
    <t>Madhup Kalita</t>
  </si>
  <si>
    <t>P1457</t>
  </si>
  <si>
    <t>divyanshdevan@gmail.com</t>
  </si>
  <si>
    <t>7857385223</t>
  </si>
  <si>
    <t>Ivana Sachdev</t>
  </si>
  <si>
    <t>P1456</t>
  </si>
  <si>
    <t>bahlmadhav@yahoo.com</t>
  </si>
  <si>
    <t>+911362296128</t>
  </si>
  <si>
    <t>Shlok Bhatti</t>
  </si>
  <si>
    <t>P1455</t>
  </si>
  <si>
    <t>sekhonhiran@kapur.com</t>
  </si>
  <si>
    <t>+918938085081</t>
  </si>
  <si>
    <t>Mohanlal Maharaj</t>
  </si>
  <si>
    <t>P1454</t>
  </si>
  <si>
    <t>yuvraj-38@kant.com</t>
  </si>
  <si>
    <t>0057106183</t>
  </si>
  <si>
    <t>Onkar Som</t>
  </si>
  <si>
    <t>P1453</t>
  </si>
  <si>
    <t>bhattifarhan@gmail.com</t>
  </si>
  <si>
    <t>5845630641</t>
  </si>
  <si>
    <t>Sana Dash</t>
  </si>
  <si>
    <t>P1452</t>
  </si>
  <si>
    <t>ritvikhayer@yahoo.com</t>
  </si>
  <si>
    <t>03309263740</t>
  </si>
  <si>
    <t>Yasmin Sampath</t>
  </si>
  <si>
    <t>P1451</t>
  </si>
  <si>
    <t>fmann@gmail.com</t>
  </si>
  <si>
    <t>06764856398</t>
  </si>
  <si>
    <t xml:space="preserve">  Kiara Gupta </t>
  </si>
  <si>
    <t>P1450</t>
  </si>
  <si>
    <t>heersodhi@hotmail.com</t>
  </si>
  <si>
    <t>00737221594</t>
  </si>
  <si>
    <t>Navya Garg</t>
  </si>
  <si>
    <t>P1449</t>
  </si>
  <si>
    <t>bedioorja@gmail.com</t>
  </si>
  <si>
    <t>2166907922</t>
  </si>
  <si>
    <t>Hunar Mahajan</t>
  </si>
  <si>
    <t>P1448</t>
  </si>
  <si>
    <t>azad21@yahoo.com</t>
  </si>
  <si>
    <t>3068185990</t>
  </si>
  <si>
    <t>P1447</t>
  </si>
  <si>
    <t>obawa@dugar.net</t>
  </si>
  <si>
    <t>+916208091542</t>
  </si>
  <si>
    <t>Kashvi Tailor</t>
  </si>
  <si>
    <t>P1446</t>
  </si>
  <si>
    <t>buchnavya@hayer.info</t>
  </si>
  <si>
    <t>+919391315794</t>
  </si>
  <si>
    <t>Pari Gade</t>
  </si>
  <si>
    <t>P1445</t>
  </si>
  <si>
    <t>ravalazad@gmail.com</t>
  </si>
  <si>
    <t>4623596451</t>
  </si>
  <si>
    <t>Ojas Setty</t>
  </si>
  <si>
    <t>P1444</t>
  </si>
  <si>
    <t>baradsamaira@gmail.com</t>
  </si>
  <si>
    <t>+915921332258</t>
  </si>
  <si>
    <t>Kiara Som</t>
  </si>
  <si>
    <t>P1443</t>
  </si>
  <si>
    <t>magaralia@gmail.com</t>
  </si>
  <si>
    <t>01579416904</t>
  </si>
  <si>
    <t>Rohan Vaidya</t>
  </si>
  <si>
    <t>P1442</t>
  </si>
  <si>
    <t>riyakhurana@hotmail.com</t>
  </si>
  <si>
    <t>7437264714</t>
  </si>
  <si>
    <t>Anika Khanna</t>
  </si>
  <si>
    <t>P1441</t>
  </si>
  <si>
    <t>surisumer@chokshi.com</t>
  </si>
  <si>
    <t>2668098652</t>
  </si>
  <si>
    <t>Ayesha Karpe</t>
  </si>
  <si>
    <t>P1440</t>
  </si>
  <si>
    <t>boraarmaan@hotmail.com</t>
  </si>
  <si>
    <t>6641348799</t>
  </si>
  <si>
    <t>Taimur Lall</t>
  </si>
  <si>
    <t>P1439</t>
  </si>
  <si>
    <t>xvora@mandal.org</t>
  </si>
  <si>
    <t>8340361184</t>
  </si>
  <si>
    <t>Arhaan Tiwari</t>
  </si>
  <si>
    <t>P1438</t>
  </si>
  <si>
    <t>hbajwa@goswami-chawla.com</t>
  </si>
  <si>
    <t>04683092693</t>
  </si>
  <si>
    <t>Nishith Kapadia</t>
  </si>
  <si>
    <t>P1437</t>
  </si>
  <si>
    <t>lakshaysawhney@yahoo.com</t>
  </si>
  <si>
    <t>03953587351</t>
  </si>
  <si>
    <t>Kismat Ganesan</t>
  </si>
  <si>
    <t>P1436</t>
  </si>
  <si>
    <t>kanav82@yahoo.com</t>
  </si>
  <si>
    <t>Himmat Kuruvilla</t>
  </si>
  <si>
    <t>P1435</t>
  </si>
  <si>
    <t>dixitdharmajan@gokhale-chadha.info</t>
  </si>
  <si>
    <t>+914720389574</t>
  </si>
  <si>
    <t>Tanya Iyer</t>
  </si>
  <si>
    <t>P1434</t>
  </si>
  <si>
    <t>paribalay@gmail.com</t>
  </si>
  <si>
    <t>3968161330</t>
  </si>
  <si>
    <t>Arhaan Bhat</t>
  </si>
  <si>
    <t>P1433</t>
  </si>
  <si>
    <t>qkaran@hotmail.com</t>
  </si>
  <si>
    <t>04382138584</t>
  </si>
  <si>
    <t>Gatik Brahmbhatt</t>
  </si>
  <si>
    <t>P1432</t>
  </si>
  <si>
    <t>vivaanshukla@gmail.com</t>
  </si>
  <si>
    <t>5319467966</t>
  </si>
  <si>
    <t>Jhanvi Bahri</t>
  </si>
  <si>
    <t>P1431</t>
  </si>
  <si>
    <t>okaul@yahoo.com</t>
  </si>
  <si>
    <t>01502687785</t>
  </si>
  <si>
    <t>Vedika Halder</t>
  </si>
  <si>
    <t>P1430</t>
  </si>
  <si>
    <t>azad03@yahoo.com</t>
  </si>
  <si>
    <t>+911511350776</t>
  </si>
  <si>
    <t>Tarini Raja</t>
  </si>
  <si>
    <t>P1429</t>
  </si>
  <si>
    <t>sanawagle@bandi.com</t>
  </si>
  <si>
    <t>2094147594</t>
  </si>
  <si>
    <t>Khushi Bobal</t>
  </si>
  <si>
    <t>P1428</t>
  </si>
  <si>
    <t>azadagarwal@yahoo.com</t>
  </si>
  <si>
    <t>+916785119353</t>
  </si>
  <si>
    <t>Yasmin Badami</t>
  </si>
  <si>
    <t>P1427</t>
  </si>
  <si>
    <t>brana@chanda-rege.com</t>
  </si>
  <si>
    <t>+910383558120</t>
  </si>
  <si>
    <t>Damini Venkatesh</t>
  </si>
  <si>
    <t>P1426</t>
  </si>
  <si>
    <t>riya07@bera-konda.com</t>
  </si>
  <si>
    <t>2899970931</t>
  </si>
  <si>
    <t>Madhav Batra</t>
  </si>
  <si>
    <t>P1425</t>
  </si>
  <si>
    <t>rbhatnagar@dhar.org</t>
  </si>
  <si>
    <t>01851501730</t>
  </si>
  <si>
    <t>Riaan Jayaraman</t>
  </si>
  <si>
    <t>P1424</t>
  </si>
  <si>
    <t>jayesh36@kamdar.com</t>
  </si>
  <si>
    <t>+911931770464</t>
  </si>
  <si>
    <t>Sahil Thakur</t>
  </si>
  <si>
    <t>P1423</t>
  </si>
  <si>
    <t>sharafmadhup@gmail.com</t>
  </si>
  <si>
    <t>+915116212319</t>
  </si>
  <si>
    <t>Drishya Cheema</t>
  </si>
  <si>
    <t>P1422</t>
  </si>
  <si>
    <t>ojas48@yahoo.com</t>
  </si>
  <si>
    <t>+915399839019</t>
  </si>
  <si>
    <t>Vaibhav Arya</t>
  </si>
  <si>
    <t>P1421</t>
  </si>
  <si>
    <t>gokhalevidur@toor.com</t>
  </si>
  <si>
    <t>9551368319</t>
  </si>
  <si>
    <t>Sara Dar</t>
  </si>
  <si>
    <t>P1420</t>
  </si>
  <si>
    <t>inaaya-varma@yahoo.com</t>
  </si>
  <si>
    <t>+918434498242</t>
  </si>
  <si>
    <t>Aarush Chadha</t>
  </si>
  <si>
    <t>P1419</t>
  </si>
  <si>
    <t>taranjoshi@hotmail.com</t>
  </si>
  <si>
    <t>05456212839</t>
  </si>
  <si>
    <t>Urvi Srinivas</t>
  </si>
  <si>
    <t>P1418</t>
  </si>
  <si>
    <t>lalldishani@ben-konda.org</t>
  </si>
  <si>
    <t>8792067432</t>
  </si>
  <si>
    <t>Samiha Bhatt</t>
  </si>
  <si>
    <t>P1417</t>
  </si>
  <si>
    <t>riaan60@hotmail.com</t>
  </si>
  <si>
    <t>05121265419</t>
  </si>
  <si>
    <t>Ishaan Manda</t>
  </si>
  <si>
    <t>P1416</t>
  </si>
  <si>
    <t>evarkey@gmail.com</t>
  </si>
  <si>
    <t>0824909914</t>
  </si>
  <si>
    <t>Nirvaan Wali</t>
  </si>
  <si>
    <t>P1415</t>
  </si>
  <si>
    <t>kimayaramachandran@yahoo.com</t>
  </si>
  <si>
    <t>+918757489777</t>
  </si>
  <si>
    <t>Manikya Shere</t>
  </si>
  <si>
    <t>P1414</t>
  </si>
  <si>
    <t>esuri@yahoo.com</t>
  </si>
  <si>
    <t>02988978995</t>
  </si>
  <si>
    <t>Aarna Wadhwa</t>
  </si>
  <si>
    <t>P1413</t>
  </si>
  <si>
    <t>svarghese@tailor.biz</t>
  </si>
  <si>
    <t>03933501505</t>
  </si>
  <si>
    <t>Veer Gera</t>
  </si>
  <si>
    <t>P1412</t>
  </si>
  <si>
    <t>indrajit84@wagle-de.com</t>
  </si>
  <si>
    <t>6421091151</t>
  </si>
  <si>
    <t>Keya Master</t>
  </si>
  <si>
    <t>P1411</t>
  </si>
  <si>
    <t>miraya78@yahoo.com</t>
  </si>
  <si>
    <t>8302590967</t>
  </si>
  <si>
    <t>Arhaan Khurana</t>
  </si>
  <si>
    <t>P1410</t>
  </si>
  <si>
    <t>ldhawan@gmail.com</t>
  </si>
  <si>
    <t>+910659782552</t>
  </si>
  <si>
    <t>Emir Madan</t>
  </si>
  <si>
    <t>P1409</t>
  </si>
  <si>
    <t>berashamik@savant.biz</t>
  </si>
  <si>
    <t>1061932262</t>
  </si>
  <si>
    <t>Anya Kumer</t>
  </si>
  <si>
    <t>P1408</t>
  </si>
  <si>
    <t>hluthra@chawla.net</t>
  </si>
  <si>
    <t>5067729864</t>
  </si>
  <si>
    <t>Rhea Chawla</t>
  </si>
  <si>
    <t>P1407</t>
  </si>
  <si>
    <t>hlal@gmail.com</t>
  </si>
  <si>
    <t>1323264848</t>
  </si>
  <si>
    <t>Raghav Balan</t>
  </si>
  <si>
    <t>P1406</t>
  </si>
  <si>
    <t>owason@ratta.com</t>
  </si>
  <si>
    <t>+916276994902</t>
  </si>
  <si>
    <t>Mahika Kadakia</t>
  </si>
  <si>
    <t>P1405</t>
  </si>
  <si>
    <t>emadan@rastogi.com</t>
  </si>
  <si>
    <t>+915965817721</t>
  </si>
  <si>
    <t>Shaan Sethi</t>
  </si>
  <si>
    <t>P1404</t>
  </si>
  <si>
    <t>vihaanbarman@yahoo.com</t>
  </si>
  <si>
    <t>+912151559291</t>
  </si>
  <si>
    <t>Veer Master</t>
  </si>
  <si>
    <t>P1403</t>
  </si>
  <si>
    <t>shaankala@shenoy-mannan.net</t>
  </si>
  <si>
    <t>+919659314229</t>
  </si>
  <si>
    <t>Neysa Agate</t>
  </si>
  <si>
    <t>P1402</t>
  </si>
  <si>
    <t>dsachar@yahoo.com</t>
  </si>
  <si>
    <t>1121855763</t>
  </si>
  <si>
    <t>Manikya Dave</t>
  </si>
  <si>
    <t>P1401</t>
  </si>
  <si>
    <t>+917272942636</t>
  </si>
  <si>
    <t>Bhamini Bhavsar</t>
  </si>
  <si>
    <t>P1400</t>
  </si>
  <si>
    <t>vihaangarde@sarkar-singh.com</t>
  </si>
  <si>
    <t>+914253377707</t>
  </si>
  <si>
    <t>Lavanya Thakur</t>
  </si>
  <si>
    <t>P1399</t>
  </si>
  <si>
    <t>kiarasrinivasan@baral.com</t>
  </si>
  <si>
    <t>0869098122</t>
  </si>
  <si>
    <t>Darshit Hora</t>
  </si>
  <si>
    <t>P1398</t>
  </si>
  <si>
    <t>xbail@golla.info</t>
  </si>
  <si>
    <t>0252805653</t>
  </si>
  <si>
    <t>Yuvaan Subramaniam</t>
  </si>
  <si>
    <t>P1397</t>
  </si>
  <si>
    <t>alisha56@gmail.com</t>
  </si>
  <si>
    <t>06228975233</t>
  </si>
  <si>
    <t>Ivan Sengupta</t>
  </si>
  <si>
    <t>P1396</t>
  </si>
  <si>
    <t>kashvikale@dasgupta.com</t>
  </si>
  <si>
    <t>+914913853344</t>
  </si>
  <si>
    <t>Anaya Krishnan</t>
  </si>
  <si>
    <t>P1395</t>
  </si>
  <si>
    <t>krandhawa@barman-viswanathan.com</t>
  </si>
  <si>
    <t>7827158962</t>
  </si>
  <si>
    <t>Dhanuk Chanda</t>
  </si>
  <si>
    <t>P1394</t>
  </si>
  <si>
    <t>divit47@yohannan-bakshi.com</t>
  </si>
  <si>
    <t>+912124262142</t>
  </si>
  <si>
    <t>Yashvi Buch</t>
  </si>
  <si>
    <t>P1393</t>
  </si>
  <si>
    <t>xarya@yahoo.com</t>
  </si>
  <si>
    <t>03431096525</t>
  </si>
  <si>
    <t>Shayak Buch</t>
  </si>
  <si>
    <t>P1392</t>
  </si>
  <si>
    <t>borarania@sidhu-cherian.net</t>
  </si>
  <si>
    <t>0973924395</t>
  </si>
  <si>
    <t>Anay Bhattacharyya</t>
  </si>
  <si>
    <t>P1391</t>
  </si>
  <si>
    <t>zvora@gmail.com</t>
  </si>
  <si>
    <t>1013120939</t>
  </si>
  <si>
    <t>Chirag Lala</t>
  </si>
  <si>
    <t>P1390</t>
  </si>
  <si>
    <t>biju02@kashyap.com</t>
  </si>
  <si>
    <t>3427269489</t>
  </si>
  <si>
    <t>Prisha Soman</t>
  </si>
  <si>
    <t>P1389</t>
  </si>
  <si>
    <t>deepamani@gmail.com</t>
  </si>
  <si>
    <t>07591783801</t>
  </si>
  <si>
    <t>Ehsaan Kaul</t>
  </si>
  <si>
    <t>P1388</t>
  </si>
  <si>
    <t>aratta@gmail.com</t>
  </si>
  <si>
    <t>01877340514</t>
  </si>
  <si>
    <t>P1387</t>
  </si>
  <si>
    <t>akapoor@khanna.com</t>
  </si>
  <si>
    <t>02216699905</t>
  </si>
  <si>
    <t>Adira Ratti</t>
  </si>
  <si>
    <t>P1386</t>
  </si>
  <si>
    <t>manjari73@gmail.com</t>
  </si>
  <si>
    <t>+914651604893</t>
  </si>
  <si>
    <t>Vihaan Hora</t>
  </si>
  <si>
    <t>P1385</t>
  </si>
  <si>
    <t>shalv36@hegde-kala.com</t>
  </si>
  <si>
    <t>01574452835</t>
  </si>
  <si>
    <t>Manjari Kalita</t>
  </si>
  <si>
    <t>P1384</t>
  </si>
  <si>
    <t>farhanchada@hotmail.com</t>
  </si>
  <si>
    <t>05147252697</t>
  </si>
  <si>
    <t>Purab Sangha</t>
  </si>
  <si>
    <t>P1383</t>
  </si>
  <si>
    <t>jhaverigatik@hotmail.com</t>
  </si>
  <si>
    <t>2854495245</t>
  </si>
  <si>
    <t>Hazel Loyal</t>
  </si>
  <si>
    <t>P1382</t>
  </si>
  <si>
    <t>edwineshani@yahoo.com</t>
  </si>
  <si>
    <t>+914164853166</t>
  </si>
  <si>
    <t>Indrans Deol</t>
  </si>
  <si>
    <t>P1381</t>
  </si>
  <si>
    <t>duaadira@dasgupta.com</t>
  </si>
  <si>
    <t>04375517668</t>
  </si>
  <si>
    <t>Mahika Joshi</t>
  </si>
  <si>
    <t>P1380</t>
  </si>
  <si>
    <t>rkaran@sharma.com</t>
  </si>
  <si>
    <t>4589323732</t>
  </si>
  <si>
    <t>Darshit Ramachandran</t>
  </si>
  <si>
    <t>P1379</t>
  </si>
  <si>
    <t>uthkarsh82@yahoo.com</t>
  </si>
  <si>
    <t>9614279105</t>
  </si>
  <si>
    <t>Umang Gokhale</t>
  </si>
  <si>
    <t>P1378</t>
  </si>
  <si>
    <t>rashakhurana@hotmail.com</t>
  </si>
  <si>
    <t>+912723461771</t>
  </si>
  <si>
    <t>Amani Bahl</t>
  </si>
  <si>
    <t>P1377</t>
  </si>
  <si>
    <t>latareyansh@hotmail.com</t>
  </si>
  <si>
    <t>+913440629609</t>
  </si>
  <si>
    <t>Shalv Joshi</t>
  </si>
  <si>
    <t>P1376</t>
  </si>
  <si>
    <t>irabobal@badami.org</t>
  </si>
  <si>
    <t>6645371234</t>
  </si>
  <si>
    <t>Reyansh Babu</t>
  </si>
  <si>
    <t>P1375</t>
  </si>
  <si>
    <t>wsrinivas@hotmail.com</t>
  </si>
  <si>
    <t>1450566785</t>
  </si>
  <si>
    <t>Lakshay Shan</t>
  </si>
  <si>
    <t>P1374</t>
  </si>
  <si>
    <t>johalmishti@hayre.com</t>
  </si>
  <si>
    <t>+913235010123</t>
  </si>
  <si>
    <t>Urvi Bhandari</t>
  </si>
  <si>
    <t>P1373</t>
  </si>
  <si>
    <t>jzacharia@khanna.org</t>
  </si>
  <si>
    <t>+913126317078</t>
  </si>
  <si>
    <t>Indranil Thaman</t>
  </si>
  <si>
    <t>P1372</t>
  </si>
  <si>
    <t>imadan@gmail.com</t>
  </si>
  <si>
    <t>+916196152486</t>
  </si>
  <si>
    <t>Kartik Balay</t>
  </si>
  <si>
    <t>P1371</t>
  </si>
  <si>
    <t>madhavbath@gulati.info</t>
  </si>
  <si>
    <t>02762280077</t>
  </si>
  <si>
    <t>Amira Bumb</t>
  </si>
  <si>
    <t>P1370</t>
  </si>
  <si>
    <t>riyasolanki@bassi.com</t>
  </si>
  <si>
    <t>03476685045</t>
  </si>
  <si>
    <t>Krish Jayaraman</t>
  </si>
  <si>
    <t>P1369</t>
  </si>
  <si>
    <t>rajindranil@lad.org</t>
  </si>
  <si>
    <t>03928903011</t>
  </si>
  <si>
    <t>Riaan Hari</t>
  </si>
  <si>
    <t>P1368</t>
  </si>
  <si>
    <t>vsane@yahoo.com</t>
  </si>
  <si>
    <t>+911199565658</t>
  </si>
  <si>
    <t>Sana Tripathi</t>
  </si>
  <si>
    <t>P1367</t>
  </si>
  <si>
    <t>alia32@yahoo.com</t>
  </si>
  <si>
    <t>+914296721119</t>
  </si>
  <si>
    <t>Rania Varughese</t>
  </si>
  <si>
    <t>P1366</t>
  </si>
  <si>
    <t>lalzaina@gmail.com</t>
  </si>
  <si>
    <t>9432198720</t>
  </si>
  <si>
    <t>Prerak Devi</t>
  </si>
  <si>
    <t>P1365</t>
  </si>
  <si>
    <t>manjari23@hotmail.com</t>
  </si>
  <si>
    <t>4213820814</t>
  </si>
  <si>
    <t>Jivin Amble</t>
  </si>
  <si>
    <t>P1364</t>
  </si>
  <si>
    <t>pranaybhat@hotmail.com</t>
  </si>
  <si>
    <t>+915614450297</t>
  </si>
  <si>
    <t>Akarsh Sarma</t>
  </si>
  <si>
    <t>P1363</t>
  </si>
  <si>
    <t>zrandhawa@gmail.com</t>
  </si>
  <si>
    <t>6009320958</t>
  </si>
  <si>
    <t>Azad Kuruvilla</t>
  </si>
  <si>
    <t>P1362</t>
  </si>
  <si>
    <t>manikya66@yahoo.com</t>
  </si>
  <si>
    <t>0994399784</t>
  </si>
  <si>
    <t>Nitara Gole</t>
  </si>
  <si>
    <t>P1361</t>
  </si>
  <si>
    <t>udas@yahoo.com</t>
  </si>
  <si>
    <t>+910395112787</t>
  </si>
  <si>
    <t xml:space="preserve">  Sahil Dugar </t>
  </si>
  <si>
    <t>P1360</t>
  </si>
  <si>
    <t>ymadan@yahoo.com</t>
  </si>
  <si>
    <t>01291927592</t>
  </si>
  <si>
    <t>Shanaya Iyer</t>
  </si>
  <si>
    <t>P1359</t>
  </si>
  <si>
    <t>anayabanik@gmail.com</t>
  </si>
  <si>
    <t>+912184300138</t>
  </si>
  <si>
    <t>Suhana Dutta</t>
  </si>
  <si>
    <t>P1358</t>
  </si>
  <si>
    <t>golenishith@rajagopalan.net</t>
  </si>
  <si>
    <t>03355975188</t>
  </si>
  <si>
    <t>Aaina Sandhu</t>
  </si>
  <si>
    <t>P1357</t>
  </si>
  <si>
    <t>ssastry@gmail.com</t>
  </si>
  <si>
    <t>+918411584402</t>
  </si>
  <si>
    <t>Nitara Sibal</t>
  </si>
  <si>
    <t>P1356</t>
  </si>
  <si>
    <t>rhea12@apte.org</t>
  </si>
  <si>
    <t>+913719904162</t>
  </si>
  <si>
    <t>Divij Chahal</t>
  </si>
  <si>
    <t>P1355</t>
  </si>
  <si>
    <t>shamik95@gmail.com</t>
  </si>
  <si>
    <t>0268317392</t>
  </si>
  <si>
    <t>Armaan Tella</t>
  </si>
  <si>
    <t>P1354</t>
  </si>
  <si>
    <t>jayan38@yahoo.com</t>
  </si>
  <si>
    <t>02557357578</t>
  </si>
  <si>
    <t>Advik Varughese</t>
  </si>
  <si>
    <t>P1353</t>
  </si>
  <si>
    <t>bahlarhaan@hotmail.com</t>
  </si>
  <si>
    <t>8287499588</t>
  </si>
  <si>
    <t>Tiya Basak</t>
  </si>
  <si>
    <t>P1352</t>
  </si>
  <si>
    <t>biju68@kari-cherian.com</t>
  </si>
  <si>
    <t>02560305329</t>
  </si>
  <si>
    <t>Ivana Agrawal</t>
  </si>
  <si>
    <t>P1351</t>
  </si>
  <si>
    <t>janidivij@gmail.com</t>
  </si>
  <si>
    <t>+915480151740</t>
  </si>
  <si>
    <t>Taran Shankar</t>
  </si>
  <si>
    <t>P1350</t>
  </si>
  <si>
    <t>zara86@yahoo.com</t>
  </si>
  <si>
    <t>5396658388</t>
  </si>
  <si>
    <t>Inaaya  Borde</t>
  </si>
  <si>
    <t>P1349</t>
  </si>
  <si>
    <t>ghoshishaan@gmail.com</t>
  </si>
  <si>
    <t>+913513681822</t>
  </si>
  <si>
    <t>Faiyaz Biswas</t>
  </si>
  <si>
    <t>P1348</t>
  </si>
  <si>
    <t>duttagokul@goda.com</t>
  </si>
  <si>
    <t>8323825378</t>
  </si>
  <si>
    <t>Gatik Soman</t>
  </si>
  <si>
    <t>P1347</t>
  </si>
  <si>
    <t>virkkaira@yahoo.com</t>
  </si>
  <si>
    <t>3346188331</t>
  </si>
  <si>
    <t>Badal Wagle</t>
  </si>
  <si>
    <t>P1346</t>
  </si>
  <si>
    <t>tellazoya@hotmail.com</t>
  </si>
  <si>
    <t>09378393141</t>
  </si>
  <si>
    <t>Kanav Babu</t>
  </si>
  <si>
    <t>P1345</t>
  </si>
  <si>
    <t>hsabharwal@sundaram-bahl.com</t>
  </si>
  <si>
    <t>02460298004</t>
  </si>
  <si>
    <t>Drishya Borde</t>
  </si>
  <si>
    <t>P1344</t>
  </si>
  <si>
    <t>ubhattacharyya@goda.com</t>
  </si>
  <si>
    <t>+918634345383</t>
  </si>
  <si>
    <t>Shray Bhatnagar</t>
  </si>
  <si>
    <t>P1343</t>
  </si>
  <si>
    <t>divit07@grewal.biz</t>
  </si>
  <si>
    <t>9772245493</t>
  </si>
  <si>
    <t>Diya Choudhury</t>
  </si>
  <si>
    <t>P1342</t>
  </si>
  <si>
    <t>ybarad@rama-kurian.com</t>
  </si>
  <si>
    <t>01206305192</t>
  </si>
  <si>
    <t>Seher Kulkarni</t>
  </si>
  <si>
    <t>P1341</t>
  </si>
  <si>
    <t>tarini78@hari.org</t>
  </si>
  <si>
    <t>0745114915</t>
  </si>
  <si>
    <t>Piya Shroff</t>
  </si>
  <si>
    <t>fatehvarty@srinivas.com</t>
  </si>
  <si>
    <t>+912219014071</t>
  </si>
  <si>
    <t>Trisha Jayaraman</t>
  </si>
  <si>
    <t>P1339</t>
  </si>
  <si>
    <t>vritika83@gmail.com</t>
  </si>
  <si>
    <t>00375908066</t>
  </si>
  <si>
    <t>Shalv Setty</t>
  </si>
  <si>
    <t>P1338</t>
  </si>
  <si>
    <t>chiragvarma@kapur.com</t>
  </si>
  <si>
    <t>08357192862</t>
  </si>
  <si>
    <t>Bhamini Dhawan</t>
  </si>
  <si>
    <t>P1337</t>
  </si>
  <si>
    <t>umang14@tank-kala.com</t>
  </si>
  <si>
    <t>+914648688939</t>
  </si>
  <si>
    <t>Saksham Malhotra</t>
  </si>
  <si>
    <t>P1336</t>
  </si>
  <si>
    <t>rhea77@gmail.com</t>
  </si>
  <si>
    <t>08036381310</t>
  </si>
  <si>
    <t>Kiaan Sanghvi</t>
  </si>
  <si>
    <t>P1335</t>
  </si>
  <si>
    <t>aayushbuch@yahoo.com</t>
  </si>
  <si>
    <t>+919016979923</t>
  </si>
  <si>
    <t>Jhanvi Goswami</t>
  </si>
  <si>
    <t>P1334</t>
  </si>
  <si>
    <t>uthkarshshroff@dasgupta.com</t>
  </si>
  <si>
    <t>+917878774765</t>
  </si>
  <si>
    <t>Vedika Bera</t>
  </si>
  <si>
    <t>P1333</t>
  </si>
  <si>
    <t>dkumar@yahoo.com</t>
  </si>
  <si>
    <t>+911740463397</t>
  </si>
  <si>
    <t>Dhanuk Tak</t>
  </si>
  <si>
    <t>P1332</t>
  </si>
  <si>
    <t>mishti19@tella-khosla.com</t>
  </si>
  <si>
    <t>0364878893</t>
  </si>
  <si>
    <t>Divij Raja</t>
  </si>
  <si>
    <t>P1331</t>
  </si>
  <si>
    <t>dharmajansamra@gmail.com</t>
  </si>
  <si>
    <t>00026783589</t>
  </si>
  <si>
    <t>Nehmat Virk</t>
  </si>
  <si>
    <t>P1330</t>
  </si>
  <si>
    <t>advikakurian@bhattacharyya.com</t>
  </si>
  <si>
    <t>8012427907</t>
  </si>
  <si>
    <t>Alisha Dayal</t>
  </si>
  <si>
    <t>P1329</t>
  </si>
  <si>
    <t>yakshit65@hotmail.com</t>
  </si>
  <si>
    <t>05329770579</t>
  </si>
  <si>
    <t>Vedika Jhaveri</t>
  </si>
  <si>
    <t>P1328</t>
  </si>
  <si>
    <t>arnavmaster@mandal-lad.com</t>
  </si>
  <si>
    <t>+912291941679</t>
  </si>
  <si>
    <t>Trisha Walla</t>
  </si>
  <si>
    <t>P1327</t>
  </si>
  <si>
    <t>keya10@dada.com</t>
  </si>
  <si>
    <t>06053384485</t>
  </si>
  <si>
    <t>Saanvi Dutta</t>
  </si>
  <si>
    <t>P1326</t>
  </si>
  <si>
    <t>indrans78@khatri.org</t>
  </si>
  <si>
    <t>04223004278</t>
  </si>
  <si>
    <t>Ira Rau</t>
  </si>
  <si>
    <t>P1325</t>
  </si>
  <si>
    <t>ahana-mahal@halder.com</t>
  </si>
  <si>
    <t>07366393373</t>
  </si>
  <si>
    <t>Sana Keer</t>
  </si>
  <si>
    <t>P1324</t>
  </si>
  <si>
    <t>rhea04@arora.com</t>
  </si>
  <si>
    <t>6215937033</t>
  </si>
  <si>
    <t>Mishti Soni</t>
  </si>
  <si>
    <t>P1323</t>
  </si>
  <si>
    <t>yakshit66@rao.com</t>
  </si>
  <si>
    <t>5184685284</t>
  </si>
  <si>
    <t>Kiara Badami</t>
  </si>
  <si>
    <t>P1322</t>
  </si>
  <si>
    <t>trishasengupta@hotmail.com</t>
  </si>
  <si>
    <t>05406550610</t>
  </si>
  <si>
    <t>Rati Varughese</t>
  </si>
  <si>
    <t>P1321</t>
  </si>
  <si>
    <t>6550398513</t>
  </si>
  <si>
    <t>Jayesh Dara</t>
  </si>
  <si>
    <t>P1320</t>
  </si>
  <si>
    <t>miraan20@rana.info</t>
  </si>
  <si>
    <t>09683420569</t>
  </si>
  <si>
    <t>Yakshit Balakrishnan</t>
  </si>
  <si>
    <t>P1319</t>
  </si>
  <si>
    <t>taimur84@bhandari.com</t>
  </si>
  <si>
    <t>0942217073</t>
  </si>
  <si>
    <t>Nirvaan Sarin</t>
  </si>
  <si>
    <t>P1318</t>
  </si>
  <si>
    <t>3399959340</t>
  </si>
  <si>
    <t>Saira Ghosh</t>
  </si>
  <si>
    <t>P1317</t>
  </si>
  <si>
    <t>ranbir58@raval-chopra.org</t>
  </si>
  <si>
    <t>+914629823559</t>
  </si>
  <si>
    <t>Adira Manne</t>
  </si>
  <si>
    <t>P1316</t>
  </si>
  <si>
    <t>mannat43@bajwa-ramanathan.com</t>
  </si>
  <si>
    <t>+917654323433</t>
  </si>
  <si>
    <t>Reyansh Cheema</t>
  </si>
  <si>
    <t>P1315</t>
  </si>
  <si>
    <t>nrao@hotmail.com</t>
  </si>
  <si>
    <t>+914672213718</t>
  </si>
  <si>
    <t>Rania Upadhyay</t>
  </si>
  <si>
    <t>P1314</t>
  </si>
  <si>
    <t>skari@saini-bhatnagar.com</t>
  </si>
  <si>
    <t>09765746637</t>
  </si>
  <si>
    <t>Zaina Mane</t>
  </si>
  <si>
    <t>P1313</t>
  </si>
  <si>
    <t>divitdada@saraf.com</t>
  </si>
  <si>
    <t>00258083790</t>
  </si>
  <si>
    <t>Seher Kashyap</t>
  </si>
  <si>
    <t>P1312</t>
  </si>
  <si>
    <t>karnikrati@ganguly.com</t>
  </si>
  <si>
    <t>04880252954</t>
  </si>
  <si>
    <t>Priyansh Chandra</t>
  </si>
  <si>
    <t>P1311</t>
  </si>
  <si>
    <t>raoshaan@bala.com</t>
  </si>
  <si>
    <t>5809544303</t>
  </si>
  <si>
    <t>Dharmajan Kapoor</t>
  </si>
  <si>
    <t>P1310</t>
  </si>
  <si>
    <t>sandalyuvraj@yahoo.com</t>
  </si>
  <si>
    <t>9541741902</t>
  </si>
  <si>
    <t>Tarini Bhatt</t>
  </si>
  <si>
    <t>P1309</t>
  </si>
  <si>
    <t>jiyawalia@bandi.net</t>
  </si>
  <si>
    <t>+914352771950</t>
  </si>
  <si>
    <t>Arhaan Talwar</t>
  </si>
  <si>
    <t>P1308</t>
  </si>
  <si>
    <t>sdas@gmail.com</t>
  </si>
  <si>
    <t>+918575348711</t>
  </si>
  <si>
    <t>Rhea Chaudhary</t>
  </si>
  <si>
    <t>P1307</t>
  </si>
  <si>
    <t>madhav43@madan-balay.com</t>
  </si>
  <si>
    <t>+911625384347</t>
  </si>
  <si>
    <t>Anahi Jha</t>
  </si>
  <si>
    <t>P1306</t>
  </si>
  <si>
    <t>himmatsehgal@chanda.com</t>
  </si>
  <si>
    <t>+912123335912</t>
  </si>
  <si>
    <t>Raunak Bose</t>
  </si>
  <si>
    <t>P1305</t>
  </si>
  <si>
    <t>shray42@gandhi.com</t>
  </si>
  <si>
    <t>7158084369</t>
  </si>
  <si>
    <t>Bhavin Bir</t>
  </si>
  <si>
    <t>P1304</t>
  </si>
  <si>
    <t>aarnachaudry@gmail.com</t>
  </si>
  <si>
    <t>3923745916</t>
  </si>
  <si>
    <t>Veer Trivedi</t>
  </si>
  <si>
    <t>P1303</t>
  </si>
  <si>
    <t>riaanbadal@yahoo.com</t>
  </si>
  <si>
    <t>05618680193</t>
  </si>
  <si>
    <t>Damini Dutta</t>
  </si>
  <si>
    <t>P1302</t>
  </si>
  <si>
    <t>aarav60@yahoo.com</t>
  </si>
  <si>
    <t>05670004338</t>
  </si>
  <si>
    <t>Aarav Dayal</t>
  </si>
  <si>
    <t>P1301</t>
  </si>
  <si>
    <t>devansh41@yahoo.com</t>
  </si>
  <si>
    <t>03843157191</t>
  </si>
  <si>
    <t>Jayan Varkey</t>
  </si>
  <si>
    <t>P1300</t>
  </si>
  <si>
    <t>kiara60@shenoy-khare.info</t>
  </si>
  <si>
    <t>+911821682648</t>
  </si>
  <si>
    <t>Kiara Maharaj</t>
  </si>
  <si>
    <t>P1299</t>
  </si>
  <si>
    <t>sumerkaran@hotmail.com</t>
  </si>
  <si>
    <t>+915220065268</t>
  </si>
  <si>
    <t>Armaan Kuruvilla</t>
  </si>
  <si>
    <t>P1298</t>
  </si>
  <si>
    <t>myra00@shukla.com</t>
  </si>
  <si>
    <t>8961186908</t>
  </si>
  <si>
    <t>Amani Gulati</t>
  </si>
  <si>
    <t>P1297</t>
  </si>
  <si>
    <t>mohanlal21@gmail.com</t>
  </si>
  <si>
    <t>+916214411105</t>
  </si>
  <si>
    <t>Misha Kunda</t>
  </si>
  <si>
    <t>P1296</t>
  </si>
  <si>
    <t>kiara52@hotmail.com</t>
  </si>
  <si>
    <t>00802234114</t>
  </si>
  <si>
    <t>Taimur Bhatia</t>
  </si>
  <si>
    <t>P1295</t>
  </si>
  <si>
    <t>urvichar@jain.com</t>
  </si>
  <si>
    <t>9141141540</t>
  </si>
  <si>
    <t>Zaina Bhatt</t>
  </si>
  <si>
    <t>P1294</t>
  </si>
  <si>
    <t>vaibhav07@hotmail.com</t>
  </si>
  <si>
    <t>02291767374</t>
  </si>
  <si>
    <t>Jhanvi Gulati</t>
  </si>
  <si>
    <t>P1293</t>
  </si>
  <si>
    <t>rchaudhary@sathe.org</t>
  </si>
  <si>
    <t>+917529180129</t>
  </si>
  <si>
    <t>Suhana Apte</t>
  </si>
  <si>
    <t>P1292</t>
  </si>
  <si>
    <t>dhanuk07@koshy.com</t>
  </si>
  <si>
    <t>+914048007433</t>
  </si>
  <si>
    <t>Ivan Kibe</t>
  </si>
  <si>
    <t>P1291</t>
  </si>
  <si>
    <t>anahi30@gmail.com</t>
  </si>
  <si>
    <t>Ahana  Soni</t>
  </si>
  <si>
    <t>P1290</t>
  </si>
  <si>
    <t>jguha@hotmail.com</t>
  </si>
  <si>
    <t>2162695003</t>
  </si>
  <si>
    <t>Armaan Comar</t>
  </si>
  <si>
    <t>P1289</t>
  </si>
  <si>
    <t>faiyaz16@kurian-dani.com</t>
  </si>
  <si>
    <t>+915969696681</t>
  </si>
  <si>
    <t>Lakshay Chandra</t>
  </si>
  <si>
    <t>P1288</t>
  </si>
  <si>
    <t>kbasak@bail.com</t>
  </si>
  <si>
    <t>6547085790</t>
  </si>
  <si>
    <t>Jayant Saran</t>
  </si>
  <si>
    <t>P1287</t>
  </si>
  <si>
    <t>raghavanand@khanna.com</t>
  </si>
  <si>
    <t>09649137520</t>
  </si>
  <si>
    <t>Inaaya  Yadav</t>
  </si>
  <si>
    <t>P1286</t>
  </si>
  <si>
    <t>kartiklad@kohli-barman.com</t>
  </si>
  <si>
    <t>+912602679654</t>
  </si>
  <si>
    <t>Kiara Kibe</t>
  </si>
  <si>
    <t>P1285</t>
  </si>
  <si>
    <t>vivaanbarad@hotmail.com</t>
  </si>
  <si>
    <t>07914726325</t>
  </si>
  <si>
    <t>Kaira Tata</t>
  </si>
  <si>
    <t>P1284</t>
  </si>
  <si>
    <t>sankarhazel@cheema-sibal.info</t>
  </si>
  <si>
    <t>03328381759</t>
  </si>
  <si>
    <t>Lagan Yohannan</t>
  </si>
  <si>
    <t>P1283</t>
  </si>
  <si>
    <t>zoya60@yahoo.com</t>
  </si>
  <si>
    <t>05456423066</t>
  </si>
  <si>
    <t>Kimaya Mallick</t>
  </si>
  <si>
    <t>P1282</t>
  </si>
  <si>
    <t>fanand@hotmail.com</t>
  </si>
  <si>
    <t>7216926155</t>
  </si>
  <si>
    <t>Manikya Loke</t>
  </si>
  <si>
    <t>P1281</t>
  </si>
  <si>
    <t>anandumang@vora.net</t>
  </si>
  <si>
    <t>04235991090</t>
  </si>
  <si>
    <t>Manikya Shetty</t>
  </si>
  <si>
    <t>P1280</t>
  </si>
  <si>
    <t>darshit54@yahoo.com</t>
  </si>
  <si>
    <t>06144498275</t>
  </si>
  <si>
    <t>Indranil Lata</t>
  </si>
  <si>
    <t>P1279</t>
  </si>
  <si>
    <t>vaibhav36@luthra-sathe.info</t>
  </si>
  <si>
    <t>05949510501</t>
  </si>
  <si>
    <t>Kashvi Boase</t>
  </si>
  <si>
    <t>P1278</t>
  </si>
  <si>
    <t>vedikakarnik@krish.com</t>
  </si>
  <si>
    <t>04949490784</t>
  </si>
  <si>
    <t>Diya Sarma</t>
  </si>
  <si>
    <t>P1277</t>
  </si>
  <si>
    <t>ldar@sarma.com</t>
  </si>
  <si>
    <t>07575398848</t>
  </si>
  <si>
    <t>Ishita Majumdar</t>
  </si>
  <si>
    <t>P1276</t>
  </si>
  <si>
    <t>pihudasgupta@gmail.com</t>
  </si>
  <si>
    <t>07082855283</t>
  </si>
  <si>
    <t>Lagan Saha</t>
  </si>
  <si>
    <t>P1275</t>
  </si>
  <si>
    <t>bhamini30@yahoo.com</t>
  </si>
  <si>
    <t>2777427473</t>
  </si>
  <si>
    <t>Ahana  Shere</t>
  </si>
  <si>
    <t>P1274</t>
  </si>
  <si>
    <t>manjarichander@dash-lalla.com</t>
  </si>
  <si>
    <t>+917367919453</t>
  </si>
  <si>
    <t>Keya Dara</t>
  </si>
  <si>
    <t>P1273</t>
  </si>
  <si>
    <t>rajananya@hotmail.com</t>
  </si>
  <si>
    <t>08587891860</t>
  </si>
  <si>
    <t>Tara Chawla</t>
  </si>
  <si>
    <t>P1272</t>
  </si>
  <si>
    <t>suhana45@yahoo.com</t>
  </si>
  <si>
    <t>06793266893</t>
  </si>
  <si>
    <t>Ela Tata</t>
  </si>
  <si>
    <t>P1271</t>
  </si>
  <si>
    <t>madhav67@aurora.com</t>
  </si>
  <si>
    <t>+917636069485</t>
  </si>
  <si>
    <t xml:space="preserve">  Nirvaan Gara </t>
  </si>
  <si>
    <t>P1270</t>
  </si>
  <si>
    <t>bsandhu@lalla-bumb.com</t>
  </si>
  <si>
    <t>0132701168</t>
  </si>
  <si>
    <t>Ahana  Sura</t>
  </si>
  <si>
    <t>P1269</t>
  </si>
  <si>
    <t>euppal@hotmail.com</t>
  </si>
  <si>
    <t>03259802810</t>
  </si>
  <si>
    <t>P1268</t>
  </si>
  <si>
    <t>veer38@chandra.info</t>
  </si>
  <si>
    <t>+911627579286</t>
  </si>
  <si>
    <t>Farhan Bhatnagar</t>
  </si>
  <si>
    <t>P1267</t>
  </si>
  <si>
    <t>vritika77@hotmail.com</t>
  </si>
  <si>
    <t>+912737290153</t>
  </si>
  <si>
    <t>Taimur Banerjee</t>
  </si>
  <si>
    <t>P1266</t>
  </si>
  <si>
    <t>sumerlalla@gmail.com</t>
  </si>
  <si>
    <t>+910269483394</t>
  </si>
  <si>
    <t>Trisha Rao</t>
  </si>
  <si>
    <t>P1265</t>
  </si>
  <si>
    <t>cchacko@chauhan.com</t>
  </si>
  <si>
    <t>+919273595787</t>
  </si>
  <si>
    <t>Pari Bhandari</t>
  </si>
  <si>
    <t>P1264</t>
  </si>
  <si>
    <t>rsrinivasan@vasa.info</t>
  </si>
  <si>
    <t>03515887417</t>
  </si>
  <si>
    <t>Kaira Kannan</t>
  </si>
  <si>
    <t>P1263</t>
  </si>
  <si>
    <t>tdesai@thakur.net</t>
  </si>
  <si>
    <t>04133490134</t>
  </si>
  <si>
    <t>Ela Shan</t>
  </si>
  <si>
    <t>P1262</t>
  </si>
  <si>
    <t>faiyaz78@gmail.com</t>
  </si>
  <si>
    <t>+914984337412</t>
  </si>
  <si>
    <t>Mannat Saran</t>
  </si>
  <si>
    <t>P1261</t>
  </si>
  <si>
    <t>raghav58@chowdhury.net</t>
  </si>
  <si>
    <t>05614564873</t>
  </si>
  <si>
    <t>Kaira Char</t>
  </si>
  <si>
    <t>P1260</t>
  </si>
  <si>
    <t>dasadah@swamy-garde.com</t>
  </si>
  <si>
    <t>8793407308</t>
  </si>
  <si>
    <t>Kaira Sura</t>
  </si>
  <si>
    <t>P1259</t>
  </si>
  <si>
    <t>farhan74@dhar-wadhwa.com</t>
  </si>
  <si>
    <t>8718598510</t>
  </si>
  <si>
    <t>Renee Sethi</t>
  </si>
  <si>
    <t>P1258</t>
  </si>
  <si>
    <t>ochopra@yahoo.com</t>
  </si>
  <si>
    <t>+912647025198</t>
  </si>
  <si>
    <t>Raunak Maharaj</t>
  </si>
  <si>
    <t>P1257</t>
  </si>
  <si>
    <t>cmagar@gmail.com</t>
  </si>
  <si>
    <t>03309469965</t>
  </si>
  <si>
    <t>Hridaan Behl</t>
  </si>
  <si>
    <t>P1256</t>
  </si>
  <si>
    <t>osrinivasan@gmail.com</t>
  </si>
  <si>
    <t>8319683054</t>
  </si>
  <si>
    <t>Tanya Goda</t>
  </si>
  <si>
    <t>P1255</t>
  </si>
  <si>
    <t>swamysaksham@hotmail.com</t>
  </si>
  <si>
    <t>+912888492759</t>
  </si>
  <si>
    <t>Divit Balakrishnan</t>
  </si>
  <si>
    <t>P1254</t>
  </si>
  <si>
    <t>sensumer@babu.com</t>
  </si>
  <si>
    <t>+919237452453</t>
  </si>
  <si>
    <t>Eva Tak</t>
  </si>
  <si>
    <t>P1253</t>
  </si>
  <si>
    <t>bariasamaira@yahoo.com</t>
  </si>
  <si>
    <t>01523066503</t>
  </si>
  <si>
    <t>Anahi Borde</t>
  </si>
  <si>
    <t>P1252</t>
  </si>
  <si>
    <t>talwardrishya@sachdev.net</t>
  </si>
  <si>
    <t>07421451056</t>
  </si>
  <si>
    <t>Zara Basak</t>
  </si>
  <si>
    <t>P1251</t>
  </si>
  <si>
    <t>sairakoshy@gmail.com</t>
  </si>
  <si>
    <t>02467172791</t>
  </si>
  <si>
    <t>Renee Shah</t>
  </si>
  <si>
    <t>P1250</t>
  </si>
  <si>
    <t>tushar17@acharya.com</t>
  </si>
  <si>
    <t>+910857827511</t>
  </si>
  <si>
    <t>Aniruddh Sani</t>
  </si>
  <si>
    <t>P1249</t>
  </si>
  <si>
    <t>samarbumb@sharaf-bora.info</t>
  </si>
  <si>
    <t>06659863208</t>
  </si>
  <si>
    <t>Fateh Hora</t>
  </si>
  <si>
    <t>P1248</t>
  </si>
  <si>
    <t>sarafaarush@gmail.com</t>
  </si>
  <si>
    <t>+913837924185</t>
  </si>
  <si>
    <t>Ahana  Uppal</t>
  </si>
  <si>
    <t>P1247</t>
  </si>
  <si>
    <t>sararamachandran@butala.com</t>
  </si>
  <si>
    <t>+918846625322</t>
  </si>
  <si>
    <t>Ela Biswas</t>
  </si>
  <si>
    <t>P1246</t>
  </si>
  <si>
    <t>lagan77@yahoo.com</t>
  </si>
  <si>
    <t>+917258524941</t>
  </si>
  <si>
    <t>Madhup Bhagat</t>
  </si>
  <si>
    <t>P1245</t>
  </si>
  <si>
    <t>bhavinmahajan@iyer-dara.com</t>
  </si>
  <si>
    <t>2573803590</t>
  </si>
  <si>
    <t>Keya Bansal</t>
  </si>
  <si>
    <t>P1244</t>
  </si>
  <si>
    <t>lagate@gmail.com</t>
  </si>
  <si>
    <t>+913611572481</t>
  </si>
  <si>
    <t>Umang Lal</t>
  </si>
  <si>
    <t>P1243</t>
  </si>
  <si>
    <t>pari78@chokshi.com</t>
  </si>
  <si>
    <t>08944000285</t>
  </si>
  <si>
    <t>Indranil Dixit</t>
  </si>
  <si>
    <t>P1242</t>
  </si>
  <si>
    <t>gatik67@yahoo.com</t>
  </si>
  <si>
    <t>0589055256</t>
  </si>
  <si>
    <t>Indranil Johal</t>
  </si>
  <si>
    <t>P1241</t>
  </si>
  <si>
    <t>+911971366063</t>
  </si>
  <si>
    <t>Armaan Manne</t>
  </si>
  <si>
    <t>P1240</t>
  </si>
  <si>
    <t>faiyazgarde@khare.com</t>
  </si>
  <si>
    <t>2206165453</t>
  </si>
  <si>
    <t>Zain Maharaj</t>
  </si>
  <si>
    <t>P1239</t>
  </si>
  <si>
    <t>venkateshmiraan@barad.info</t>
  </si>
  <si>
    <t>04782387945</t>
  </si>
  <si>
    <t>Fateh Vohra</t>
  </si>
  <si>
    <t>P1238</t>
  </si>
  <si>
    <t>shalvmannan@hotmail.com</t>
  </si>
  <si>
    <t>+914053701473</t>
  </si>
  <si>
    <t>Stuvan Venkatesh</t>
  </si>
  <si>
    <t>P1237</t>
  </si>
  <si>
    <t>bgoel@hotmail.com</t>
  </si>
  <si>
    <t>+912130584126</t>
  </si>
  <si>
    <t>Rania Yadav</t>
  </si>
  <si>
    <t>P1236</t>
  </si>
  <si>
    <t>bhatiadishani@gmail.com</t>
  </si>
  <si>
    <t>+917015548881</t>
  </si>
  <si>
    <t>Nishith Tailor</t>
  </si>
  <si>
    <t>P1235</t>
  </si>
  <si>
    <t>davetaran@yahoo.com</t>
  </si>
  <si>
    <t>00326854779</t>
  </si>
  <si>
    <t>Rhea Vaidya</t>
  </si>
  <si>
    <t>P1234</t>
  </si>
  <si>
    <t>vvarghese@yahoo.com</t>
  </si>
  <si>
    <t>3143326922</t>
  </si>
  <si>
    <t>Ryan Jha</t>
  </si>
  <si>
    <t>P1233</t>
  </si>
  <si>
    <t>benmiraya@jain.com</t>
  </si>
  <si>
    <t>+911661373076</t>
  </si>
  <si>
    <t>Jayesh Karnik</t>
  </si>
  <si>
    <t>P1232</t>
  </si>
  <si>
    <t>kismatmajumdar@kulkarni.com</t>
  </si>
  <si>
    <t>1535927611</t>
  </si>
  <si>
    <t>Nayantara Dayal</t>
  </si>
  <si>
    <t>P1231</t>
  </si>
  <si>
    <t>sana51@sani.biz</t>
  </si>
  <si>
    <t>0968714637</t>
  </si>
  <si>
    <t>Siya Dugar</t>
  </si>
  <si>
    <t>P1230</t>
  </si>
  <si>
    <t>romiljhaveri@hotmail.com</t>
  </si>
  <si>
    <t>9509495799</t>
  </si>
  <si>
    <t>Saira Chatterjee</t>
  </si>
  <si>
    <t>P1229</t>
  </si>
  <si>
    <t>lwable@gmail.com</t>
  </si>
  <si>
    <t>00244031517</t>
  </si>
  <si>
    <t>Lakshay Karan</t>
  </si>
  <si>
    <t>P1228</t>
  </si>
  <si>
    <t>shayak65@sandhu.com</t>
  </si>
  <si>
    <t>8619769872</t>
  </si>
  <si>
    <t>Tarini Sami</t>
  </si>
  <si>
    <t>P1227</t>
  </si>
  <si>
    <t>gokhalediya@kata-aurora.com</t>
  </si>
  <si>
    <t>05180284329</t>
  </si>
  <si>
    <t>Kaira Sibal</t>
  </si>
  <si>
    <t>P1226</t>
  </si>
  <si>
    <t>kiaanverma@gmail.com</t>
  </si>
  <si>
    <t>07378130371</t>
  </si>
  <si>
    <t>Yasmin Chakraborty</t>
  </si>
  <si>
    <t>P1225</t>
  </si>
  <si>
    <t>anahita82@gmail.com</t>
  </si>
  <si>
    <t>01971324757</t>
  </si>
  <si>
    <t>Ahana  Banerjee</t>
  </si>
  <si>
    <t>P1224</t>
  </si>
  <si>
    <t>aainagokhale@sidhu-walia.net</t>
  </si>
  <si>
    <t>4723597652</t>
  </si>
  <si>
    <t>P1223</t>
  </si>
  <si>
    <t>vsrinivasan@viswanathan-dhaliwal.com</t>
  </si>
  <si>
    <t>4412299971</t>
  </si>
  <si>
    <t>Nirvaan Dube</t>
  </si>
  <si>
    <t>P1222</t>
  </si>
  <si>
    <t>isura@jani.com</t>
  </si>
  <si>
    <t>08480100539</t>
  </si>
  <si>
    <t>Aarna Apte</t>
  </si>
  <si>
    <t>P1221</t>
  </si>
  <si>
    <t>inaaya-73@sharma.net</t>
  </si>
  <si>
    <t>03498973856</t>
  </si>
  <si>
    <t>Jivika Divan</t>
  </si>
  <si>
    <t>P1220</t>
  </si>
  <si>
    <t>keya38@gmail.com</t>
  </si>
  <si>
    <t>+919899836592</t>
  </si>
  <si>
    <t>Piya Ramakrishnan</t>
  </si>
  <si>
    <t>P1219</t>
  </si>
  <si>
    <t>manjari54@hotmail.com</t>
  </si>
  <si>
    <t>01937589888</t>
  </si>
  <si>
    <t>Manikya Hegde</t>
  </si>
  <si>
    <t>P1218</t>
  </si>
  <si>
    <t>kondaaniruddh@hotmail.com</t>
  </si>
  <si>
    <t>09907381115</t>
  </si>
  <si>
    <t>Darshit Dugar</t>
  </si>
  <si>
    <t>P1217</t>
  </si>
  <si>
    <t>trisha91@krishna.com</t>
  </si>
  <si>
    <t>09452107637</t>
  </si>
  <si>
    <t>Nirvaan Sharaf</t>
  </si>
  <si>
    <t>P1216</t>
  </si>
  <si>
    <t>kabirkeer@zachariah.com</t>
  </si>
  <si>
    <t>+917694045089</t>
  </si>
  <si>
    <t>P1215</t>
  </si>
  <si>
    <t>mbobal@sridhar-kala.org</t>
  </si>
  <si>
    <t>3149111189</t>
  </si>
  <si>
    <t>Eshani Dyal</t>
  </si>
  <si>
    <t>P1214</t>
  </si>
  <si>
    <t>lkapadia@vyas.com</t>
  </si>
  <si>
    <t>00410043244</t>
  </si>
  <si>
    <t>Diya Goyal</t>
  </si>
  <si>
    <t>P1213</t>
  </si>
  <si>
    <t>shantaimur@yahoo.com</t>
  </si>
  <si>
    <t>1182679294</t>
  </si>
  <si>
    <t>Jayant Balan</t>
  </si>
  <si>
    <t>P1212</t>
  </si>
  <si>
    <t>hanshchaudhuri@edwin-ranganathan.com</t>
  </si>
  <si>
    <t>6296243633</t>
  </si>
  <si>
    <t>Uthkarsh Sethi</t>
  </si>
  <si>
    <t>P1211</t>
  </si>
  <si>
    <t>sara87@das-mangal.com</t>
  </si>
  <si>
    <t>9339098288</t>
  </si>
  <si>
    <t>Jhanvi Bhalla</t>
  </si>
  <si>
    <t>P1210</t>
  </si>
  <si>
    <t>chandranmiraan@garde-chand.org</t>
  </si>
  <si>
    <t>+912114996149</t>
  </si>
  <si>
    <t>Yakshit Saraf</t>
  </si>
  <si>
    <t>P1209</t>
  </si>
  <si>
    <t>aainamagar@krishna-krish.info</t>
  </si>
  <si>
    <t>+919436946130</t>
  </si>
  <si>
    <t>Ayesha Bhandari</t>
  </si>
  <si>
    <t>P1208</t>
  </si>
  <si>
    <t>kibealia@hotmail.com</t>
  </si>
  <si>
    <t>04011875953</t>
  </si>
  <si>
    <t>Prisha Bains</t>
  </si>
  <si>
    <t>P1207</t>
  </si>
  <si>
    <t>mahajanranbir@yahoo.com</t>
  </si>
  <si>
    <t>05353880420</t>
  </si>
  <si>
    <t>Tara Lata</t>
  </si>
  <si>
    <t>P1206</t>
  </si>
  <si>
    <t>aniruddhtella@ramachandran-wable.net</t>
  </si>
  <si>
    <t>5584854903</t>
  </si>
  <si>
    <t>Ojas Chadha</t>
  </si>
  <si>
    <t>P1205</t>
  </si>
  <si>
    <t>qshetty@hotmail.com</t>
  </si>
  <si>
    <t>+916186233052</t>
  </si>
  <si>
    <t>Jivin Viswanathan</t>
  </si>
  <si>
    <t>P1204</t>
  </si>
  <si>
    <t>vedika55@yahoo.com</t>
  </si>
  <si>
    <t>06641639028</t>
  </si>
  <si>
    <t>Ranbir Setty</t>
  </si>
  <si>
    <t>P1203</t>
  </si>
  <si>
    <t>sagaremir@edwin-borah.org</t>
  </si>
  <si>
    <t>+919525563695</t>
  </si>
  <si>
    <t>Riya Hari</t>
  </si>
  <si>
    <t>P1202</t>
  </si>
  <si>
    <t>manikyakurian@ben.com</t>
  </si>
  <si>
    <t>09928617365</t>
  </si>
  <si>
    <t>Charvi Balakrishnan</t>
  </si>
  <si>
    <t>P1201</t>
  </si>
  <si>
    <t>arnav86@yahoo.com</t>
  </si>
  <si>
    <t>9953112298</t>
  </si>
  <si>
    <t>Sahil Kalita</t>
  </si>
  <si>
    <t>P1200</t>
  </si>
  <si>
    <t>dyohannan@ravi.com</t>
  </si>
  <si>
    <t>+913848647467</t>
  </si>
  <si>
    <t>Urvi Dhar</t>
  </si>
  <si>
    <t>P1199</t>
  </si>
  <si>
    <t>wadhwashaan@dayal.org</t>
  </si>
  <si>
    <t>+917604694042</t>
  </si>
  <si>
    <t>Amira Banik</t>
  </si>
  <si>
    <t>P1198</t>
  </si>
  <si>
    <t>ramachandranjhanvi@sura-acharya.com</t>
  </si>
  <si>
    <t>+912343346446</t>
  </si>
  <si>
    <t>Mannat Talwar</t>
  </si>
  <si>
    <t>P1197</t>
  </si>
  <si>
    <t>vardaniya49@hotmail.com</t>
  </si>
  <si>
    <t>+913959373293</t>
  </si>
  <si>
    <t>Dharmajan Majumdar</t>
  </si>
  <si>
    <t>P1196</t>
  </si>
  <si>
    <t>mahika90@hotmail.com</t>
  </si>
  <si>
    <t>03326462317</t>
  </si>
  <si>
    <t>Ayesha Deep</t>
  </si>
  <si>
    <t>P1195</t>
  </si>
  <si>
    <t>pihujain@yahoo.com</t>
  </si>
  <si>
    <t>08566394955</t>
  </si>
  <si>
    <t>Samarth Maharaj</t>
  </si>
  <si>
    <t>P1194</t>
  </si>
  <si>
    <t>nishith83@dua-sharma.net</t>
  </si>
  <si>
    <t>02204571280</t>
  </si>
  <si>
    <t>Hunar Mani</t>
  </si>
  <si>
    <t>P1193</t>
  </si>
  <si>
    <t>bavaaniruddh@yahoo.com</t>
  </si>
  <si>
    <t>6297690839</t>
  </si>
  <si>
    <t>Riaan Jhaveri</t>
  </si>
  <si>
    <t>P1192</t>
  </si>
  <si>
    <t>sainirenee@tripathi.net</t>
  </si>
  <si>
    <t>+913921880682</t>
  </si>
  <si>
    <t>Azad Raja</t>
  </si>
  <si>
    <t>P1191</t>
  </si>
  <si>
    <t>bakshipranay@gmail.com</t>
  </si>
  <si>
    <t>+911975209475</t>
  </si>
  <si>
    <t>Renee Bhat</t>
  </si>
  <si>
    <t>P1190</t>
  </si>
  <si>
    <t>banerjeeojas@sridhar.com</t>
  </si>
  <si>
    <t>1524269012</t>
  </si>
  <si>
    <t>Ela Atwal</t>
  </si>
  <si>
    <t>P1189</t>
  </si>
  <si>
    <t>mannantiya@ramesh-chaudry.com</t>
  </si>
  <si>
    <t>8943319378</t>
  </si>
  <si>
    <t>Aaina Bora</t>
  </si>
  <si>
    <t>P1188</t>
  </si>
  <si>
    <t>gatik30@gmail.com</t>
  </si>
  <si>
    <t>+919367783934</t>
  </si>
  <si>
    <t>Jhanvi Rege</t>
  </si>
  <si>
    <t>P1187</t>
  </si>
  <si>
    <t>advik02@kalita.com</t>
  </si>
  <si>
    <t>+912150163428</t>
  </si>
  <si>
    <t>Hiran Bhatt</t>
  </si>
  <si>
    <t>P1186</t>
  </si>
  <si>
    <t>shanaya62@gmail.com</t>
  </si>
  <si>
    <t>7115539574</t>
  </si>
  <si>
    <t>Samaira Chada</t>
  </si>
  <si>
    <t>P1185</t>
  </si>
  <si>
    <t>kismatdeo@khurana.com</t>
  </si>
  <si>
    <t>04189407530</t>
  </si>
  <si>
    <t>Krish Gera</t>
  </si>
  <si>
    <t>P1184</t>
  </si>
  <si>
    <t>sachdevaelakshi@yahoo.com</t>
  </si>
  <si>
    <t>0587100478</t>
  </si>
  <si>
    <t>Rohan Dyal</t>
  </si>
  <si>
    <t>P1183</t>
  </si>
  <si>
    <t>adira05@gmail.com</t>
  </si>
  <si>
    <t>+913618810049</t>
  </si>
  <si>
    <t>Sara Seth</t>
  </si>
  <si>
    <t>P1182</t>
  </si>
  <si>
    <t>battaveer@hans.com</t>
  </si>
  <si>
    <t>08838046926</t>
  </si>
  <si>
    <t>Ehsaan Loke</t>
  </si>
  <si>
    <t>P1181</t>
  </si>
  <si>
    <t>inaaya-kunda@yahoo.com</t>
  </si>
  <si>
    <t>0023369440</t>
  </si>
  <si>
    <t xml:space="preserve">  Kabir Ramachandran </t>
  </si>
  <si>
    <t>P1180</t>
  </si>
  <si>
    <t>urvibasak@varghese-solanki.com</t>
  </si>
  <si>
    <t>06317683347</t>
  </si>
  <si>
    <t>Alia Shroff</t>
  </si>
  <si>
    <t>P1179</t>
  </si>
  <si>
    <t>nirvaansha@sodhi-doshi.org</t>
  </si>
  <si>
    <t>+914983373290</t>
  </si>
  <si>
    <t>Saksham Dayal</t>
  </si>
  <si>
    <t>P1178</t>
  </si>
  <si>
    <t>bakshihimmat@gmail.com</t>
  </si>
  <si>
    <t>04667043102</t>
  </si>
  <si>
    <t>Jiya Lata</t>
  </si>
  <si>
    <t>P1177</t>
  </si>
  <si>
    <t>bobalfateh@kohli.info</t>
  </si>
  <si>
    <t>0834955176</t>
  </si>
  <si>
    <t>Devansh Bala</t>
  </si>
  <si>
    <t>P1176</t>
  </si>
  <si>
    <t>wmalhotra@yahoo.com</t>
  </si>
  <si>
    <t>+915936529138</t>
  </si>
  <si>
    <t>Jayant Dhaliwal</t>
  </si>
  <si>
    <t>P1175</t>
  </si>
  <si>
    <t>sumer46@de.org</t>
  </si>
  <si>
    <t>06354435958</t>
  </si>
  <si>
    <t>Kartik Boase</t>
  </si>
  <si>
    <t>P1174</t>
  </si>
  <si>
    <t>raunak79@gmail.com</t>
  </si>
  <si>
    <t>00791216468</t>
  </si>
  <si>
    <t>Alisha Saxena</t>
  </si>
  <si>
    <t>P1173</t>
  </si>
  <si>
    <t>taran68@hotmail.com</t>
  </si>
  <si>
    <t>+916789694082</t>
  </si>
  <si>
    <t>Vanya Handa</t>
  </si>
  <si>
    <t>P1172</t>
  </si>
  <si>
    <t>ambleakarsh@hotmail.com</t>
  </si>
  <si>
    <t>05700826761</t>
  </si>
  <si>
    <t>Emir Chopra</t>
  </si>
  <si>
    <t>P1171</t>
  </si>
  <si>
    <t>hkalita@hotmail.com</t>
  </si>
  <si>
    <t>5945245802</t>
  </si>
  <si>
    <t>Shlok Apte</t>
  </si>
  <si>
    <t>mannatlata@kant.com</t>
  </si>
  <si>
    <t>2064241411</t>
  </si>
  <si>
    <t>Diya Grover</t>
  </si>
  <si>
    <t>P1169</t>
  </si>
  <si>
    <t>deyvivaan@gmail.com</t>
  </si>
  <si>
    <t>4157221992</t>
  </si>
  <si>
    <t>P1168</t>
  </si>
  <si>
    <t>aayushmangal@sinha.biz</t>
  </si>
  <si>
    <t>06766116426</t>
  </si>
  <si>
    <t>Nitara Bora</t>
  </si>
  <si>
    <t>P1167</t>
  </si>
  <si>
    <t>rattisuhana@boase.com</t>
  </si>
  <si>
    <t>+915750676348</t>
  </si>
  <si>
    <t>Taimur Mangal</t>
  </si>
  <si>
    <t>P1166</t>
  </si>
  <si>
    <t>jhanvidada@hotmail.com</t>
  </si>
  <si>
    <t>+912479480183</t>
  </si>
  <si>
    <t>Amani Gala</t>
  </si>
  <si>
    <t>P1165</t>
  </si>
  <si>
    <t>miraya98@yahoo.com</t>
  </si>
  <si>
    <t>8425065576</t>
  </si>
  <si>
    <t>Reyansh Chawla</t>
  </si>
  <si>
    <t>P1164</t>
  </si>
  <si>
    <t>ganeshlakshit@swamy.com</t>
  </si>
  <si>
    <t>04519940560</t>
  </si>
  <si>
    <t>Tushar Dani</t>
  </si>
  <si>
    <t>P1163</t>
  </si>
  <si>
    <t>kdalia@yahoo.com</t>
  </si>
  <si>
    <t>4400690499</t>
  </si>
  <si>
    <t>Veer Karan</t>
  </si>
  <si>
    <t>P1162</t>
  </si>
  <si>
    <t>jhaveritarini@gmail.com</t>
  </si>
  <si>
    <t>04883919978</t>
  </si>
  <si>
    <t>Charvi Dave</t>
  </si>
  <si>
    <t>P1161</t>
  </si>
  <si>
    <t>04809030701</t>
  </si>
  <si>
    <t>Nirvaan Zachariah</t>
  </si>
  <si>
    <t>P1160</t>
  </si>
  <si>
    <t>xbhatti@thakkar.com</t>
  </si>
  <si>
    <t>1140520054</t>
  </si>
  <si>
    <t>Hridaan Ramaswamy</t>
  </si>
  <si>
    <t>P1159</t>
  </si>
  <si>
    <t>taimurmallick@yahoo.com</t>
  </si>
  <si>
    <t>5416301763</t>
  </si>
  <si>
    <t>Samaira Raja</t>
  </si>
  <si>
    <t>P1158</t>
  </si>
  <si>
    <t>divij55@chaudhary-basak.info</t>
  </si>
  <si>
    <t>+910977122440</t>
  </si>
  <si>
    <t>Lakshit Keer</t>
  </si>
  <si>
    <t>P1157</t>
  </si>
  <si>
    <t>gchar@dass.com</t>
  </si>
  <si>
    <t>02716895024</t>
  </si>
  <si>
    <t>Hrishita Sehgal</t>
  </si>
  <si>
    <t>P1156</t>
  </si>
  <si>
    <t>onkar70@hotmail.com</t>
  </si>
  <si>
    <t>08060418092</t>
  </si>
  <si>
    <t>Seher Venkataraman</t>
  </si>
  <si>
    <t>P1155</t>
  </si>
  <si>
    <t>jkibe@dalal.com</t>
  </si>
  <si>
    <t>1786421033</t>
  </si>
  <si>
    <t>Adira Reddy</t>
  </si>
  <si>
    <t>P1154</t>
  </si>
  <si>
    <t>samiprerak@biswas.com</t>
  </si>
  <si>
    <t>4657096637</t>
  </si>
  <si>
    <t>Darshit Sem</t>
  </si>
  <si>
    <t>P1153</t>
  </si>
  <si>
    <t>upadhyayzeeshan@hotmail.com</t>
  </si>
  <si>
    <t>+913131954117</t>
  </si>
  <si>
    <t>Aarush Shere</t>
  </si>
  <si>
    <t>P1152</t>
  </si>
  <si>
    <t>ramaswamyreyansh@hotmail.com</t>
  </si>
  <si>
    <t>8183877028</t>
  </si>
  <si>
    <t>Vidur Bakshi</t>
  </si>
  <si>
    <t>P1151</t>
  </si>
  <si>
    <t>dhruv28@doshi-kala.com</t>
  </si>
  <si>
    <t>9043154411</t>
  </si>
  <si>
    <t>Tiya Bhargava</t>
  </si>
  <si>
    <t>P1150</t>
  </si>
  <si>
    <t>jayesh01@agarwal.com</t>
  </si>
  <si>
    <t>+913252344455</t>
  </si>
  <si>
    <t>Uthkarsh Varma</t>
  </si>
  <si>
    <t>P1149</t>
  </si>
  <si>
    <t>alia12@loke-dewan.com</t>
  </si>
  <si>
    <t>+919270358683</t>
  </si>
  <si>
    <t>Mishti Amble</t>
  </si>
  <si>
    <t>P1148</t>
  </si>
  <si>
    <t>jbandi@hotmail.com</t>
  </si>
  <si>
    <t>+914246089663</t>
  </si>
  <si>
    <t>Ela Barman</t>
  </si>
  <si>
    <t>P1147</t>
  </si>
  <si>
    <t>cherianinaaya@wable.com</t>
  </si>
  <si>
    <t>0634661433</t>
  </si>
  <si>
    <t>Purab Varughese</t>
  </si>
  <si>
    <t>P1146</t>
  </si>
  <si>
    <t>nirvi93@master.biz</t>
  </si>
  <si>
    <t>Nitara Saha</t>
  </si>
  <si>
    <t>P1145</t>
  </si>
  <si>
    <t>dsubramaniam@chaudhuri.com</t>
  </si>
  <si>
    <t>7699448795</t>
  </si>
  <si>
    <t>Charvi Gala</t>
  </si>
  <si>
    <t>P1144</t>
  </si>
  <si>
    <t>gopalanahita@gmail.com</t>
  </si>
  <si>
    <t>+913809619824</t>
  </si>
  <si>
    <t>Sana Bawa</t>
  </si>
  <si>
    <t>P1143</t>
  </si>
  <si>
    <t>kartikkapur@gmail.com</t>
  </si>
  <si>
    <t>+914827196935</t>
  </si>
  <si>
    <t>Hazel Dubey</t>
  </si>
  <si>
    <t>P1142</t>
  </si>
  <si>
    <t>jayanshere@mane.com</t>
  </si>
  <si>
    <t>08790151976</t>
  </si>
  <si>
    <t>Rohan Kala</t>
  </si>
  <si>
    <t>P1141</t>
  </si>
  <si>
    <t>aaryahibakshi@hotmail.com</t>
  </si>
  <si>
    <t>06531110016</t>
  </si>
  <si>
    <t>Ishita Vala</t>
  </si>
  <si>
    <t>P1140</t>
  </si>
  <si>
    <t>vyasamani@yahoo.com</t>
  </si>
  <si>
    <t>+916169067370</t>
  </si>
  <si>
    <t>Yasmin Behl</t>
  </si>
  <si>
    <t>P1139</t>
  </si>
  <si>
    <t>amani62@hotmail.com</t>
  </si>
  <si>
    <t>+914992350609</t>
  </si>
  <si>
    <t>Anahita Raj</t>
  </si>
  <si>
    <t>P1138</t>
  </si>
  <si>
    <t>ovasa@sarkar.com</t>
  </si>
  <si>
    <t>4991938053</t>
  </si>
  <si>
    <t>Madhav Jani</t>
  </si>
  <si>
    <t>P1137</t>
  </si>
  <si>
    <t>ftandon@hotmail.com</t>
  </si>
  <si>
    <t>08584974838</t>
  </si>
  <si>
    <t>Khushi Tailor</t>
  </si>
  <si>
    <t>P1136</t>
  </si>
  <si>
    <t>zbahri@hotmail.com</t>
  </si>
  <si>
    <t>3698123290</t>
  </si>
  <si>
    <t>Seher Chowdhury</t>
  </si>
  <si>
    <t>P1135</t>
  </si>
  <si>
    <t>shetharadhya@sathe-sen.com</t>
  </si>
  <si>
    <t>06904823096</t>
  </si>
  <si>
    <t>Kiara Dubey</t>
  </si>
  <si>
    <t>P1134</t>
  </si>
  <si>
    <t>aaina85@goswami.com</t>
  </si>
  <si>
    <t>5599473768</t>
  </si>
  <si>
    <t>Vritika Raval</t>
  </si>
  <si>
    <t>P1133</t>
  </si>
  <si>
    <t>mannatdave@raman-samra.com</t>
  </si>
  <si>
    <t>5793183598</t>
  </si>
  <si>
    <t>Miraan Kunda</t>
  </si>
  <si>
    <t>P1132</t>
  </si>
  <si>
    <t>yakshitmann@yahoo.com</t>
  </si>
  <si>
    <t>4652864920</t>
  </si>
  <si>
    <t>Zara Sankar</t>
  </si>
  <si>
    <t>P1131</t>
  </si>
  <si>
    <t>ryangour@savant.com</t>
  </si>
  <si>
    <t>06912009319</t>
  </si>
  <si>
    <t>Romil Kapadia</t>
  </si>
  <si>
    <t>P1130</t>
  </si>
  <si>
    <t>kismatbera@hotmail.com</t>
  </si>
  <si>
    <t>+913567771991</t>
  </si>
  <si>
    <t>Keya Devi</t>
  </si>
  <si>
    <t>P1129</t>
  </si>
  <si>
    <t>berapiya@sur.com</t>
  </si>
  <si>
    <t>1408930197</t>
  </si>
  <si>
    <t>Dhanuk Randhawa</t>
  </si>
  <si>
    <t>P1128</t>
  </si>
  <si>
    <t>joshikaira@bedi.biz</t>
  </si>
  <si>
    <t>09104295268</t>
  </si>
  <si>
    <t>Navya Sem</t>
  </si>
  <si>
    <t>P1127</t>
  </si>
  <si>
    <t>adah50@bhat.com</t>
  </si>
  <si>
    <t>+915228930409</t>
  </si>
  <si>
    <t>Ivana Sinha</t>
  </si>
  <si>
    <t>P1126</t>
  </si>
  <si>
    <t>arnavtailor@varkey.net</t>
  </si>
  <si>
    <t>4905823266</t>
  </si>
  <si>
    <t>Samar Ranganathan</t>
  </si>
  <si>
    <t>P1125</t>
  </si>
  <si>
    <t>ahana-sandhu@gmail.com</t>
  </si>
  <si>
    <t>1200020161</t>
  </si>
  <si>
    <t>Nehmat Tella</t>
  </si>
  <si>
    <t>P1124</t>
  </si>
  <si>
    <t>edatta@randhawa-toor.com</t>
  </si>
  <si>
    <t>5929429220</t>
  </si>
  <si>
    <t>Aayush Kibe</t>
  </si>
  <si>
    <t>P1123</t>
  </si>
  <si>
    <t>jayeshdugal@som.com</t>
  </si>
  <si>
    <t>08120632221</t>
  </si>
  <si>
    <t>Aayush Rao</t>
  </si>
  <si>
    <t>P1122</t>
  </si>
  <si>
    <t>sarakhanna@gmail.com</t>
  </si>
  <si>
    <t>+910105283208</t>
  </si>
  <si>
    <t>Amira Karan</t>
  </si>
  <si>
    <t>P1121</t>
  </si>
  <si>
    <t>divanshayak@soman.biz</t>
  </si>
  <si>
    <t>2066179013</t>
  </si>
  <si>
    <t>Eshani Shukla</t>
  </si>
  <si>
    <t>P1120</t>
  </si>
  <si>
    <t>iraahuja@sani.com</t>
  </si>
  <si>
    <t>6911891854</t>
  </si>
  <si>
    <t>Onkar Lata</t>
  </si>
  <si>
    <t>P1119</t>
  </si>
  <si>
    <t>anvibora@yahoo.com</t>
  </si>
  <si>
    <t>+918669555268</t>
  </si>
  <si>
    <t>Shalv Wali</t>
  </si>
  <si>
    <t>P1118</t>
  </si>
  <si>
    <t>ngopal@gmail.com</t>
  </si>
  <si>
    <t>+917811748749</t>
  </si>
  <si>
    <t>Charvi Randhawa</t>
  </si>
  <si>
    <t>P1117</t>
  </si>
  <si>
    <t>dhanuksangha@gmail.com</t>
  </si>
  <si>
    <t>+915136186456</t>
  </si>
  <si>
    <t>Miraya Lall</t>
  </si>
  <si>
    <t>P1116</t>
  </si>
  <si>
    <t>sara00@toor.org</t>
  </si>
  <si>
    <t>4185450661</t>
  </si>
  <si>
    <t>Ayesha Chand</t>
  </si>
  <si>
    <t>P1115</t>
  </si>
  <si>
    <t>hsoni@madan.org</t>
  </si>
  <si>
    <t>1212373232</t>
  </si>
  <si>
    <t>Ryan Bhargava</t>
  </si>
  <si>
    <t>P1114</t>
  </si>
  <si>
    <t>sairasingh@randhawa-ramaswamy.net</t>
  </si>
  <si>
    <t>07227416257</t>
  </si>
  <si>
    <t>Indrans Soni</t>
  </si>
  <si>
    <t>P1113</t>
  </si>
  <si>
    <t>hridaansoni@gmail.com</t>
  </si>
  <si>
    <t>1643755071</t>
  </si>
  <si>
    <t>Samaira Batta</t>
  </si>
  <si>
    <t>P1112</t>
  </si>
  <si>
    <t>nitaragolla@hotmail.com</t>
  </si>
  <si>
    <t>8048550730</t>
  </si>
  <si>
    <t>Onkar Brahmbhatt</t>
  </si>
  <si>
    <t>P1111</t>
  </si>
  <si>
    <t>emir56@hotmail.com</t>
  </si>
  <si>
    <t>+910226620663</t>
  </si>
  <si>
    <t>Jhanvi Sawhney</t>
  </si>
  <si>
    <t>P1110</t>
  </si>
  <si>
    <t>ukumer@mannan-edwin.com</t>
  </si>
  <si>
    <t>03319487830</t>
  </si>
  <si>
    <t>Vardaniya Rastogi</t>
  </si>
  <si>
    <t>P1109</t>
  </si>
  <si>
    <t>wdixit@hotmail.com</t>
  </si>
  <si>
    <t>+919523298268</t>
  </si>
  <si>
    <t>Lavanya Bera</t>
  </si>
  <si>
    <t>P1108</t>
  </si>
  <si>
    <t>sairabhasin@chakrabarti.biz</t>
  </si>
  <si>
    <t>7476371115</t>
  </si>
  <si>
    <t>Amani Korpal</t>
  </si>
  <si>
    <t>P1107</t>
  </si>
  <si>
    <t>reyansh20@andra-issac.com</t>
  </si>
  <si>
    <t>8408180897</t>
  </si>
  <si>
    <t>Stuvan Gulati</t>
  </si>
  <si>
    <t>P1106</t>
  </si>
  <si>
    <t>aarnaagarwal@hotmail.com</t>
  </si>
  <si>
    <t>02086696276</t>
  </si>
  <si>
    <t>Mehul Brar</t>
  </si>
  <si>
    <t>P1105</t>
  </si>
  <si>
    <t>vidur23@raju.org</t>
  </si>
  <si>
    <t>05898190874</t>
  </si>
  <si>
    <t>Charvi Kurian</t>
  </si>
  <si>
    <t>P1104</t>
  </si>
  <si>
    <t>hridaan10@baral.com</t>
  </si>
  <si>
    <t>+915362765740</t>
  </si>
  <si>
    <t>Ishita De</t>
  </si>
  <si>
    <t>P1103</t>
  </si>
  <si>
    <t>divijsoni@yahoo.com</t>
  </si>
  <si>
    <t>09134533972</t>
  </si>
  <si>
    <t>Adah Dutta</t>
  </si>
  <si>
    <t>P1102</t>
  </si>
  <si>
    <t>routdrishya@chaudhary-bhatt.biz</t>
  </si>
  <si>
    <t>05200720196</t>
  </si>
  <si>
    <t>Divyansh Yadav</t>
  </si>
  <si>
    <t>P1101</t>
  </si>
  <si>
    <t>fdeep@gmail.com</t>
  </si>
  <si>
    <t>+918578949195</t>
  </si>
  <si>
    <t>Anaya Bose</t>
  </si>
  <si>
    <t>P1100</t>
  </si>
  <si>
    <t>piyavarkey@sachdev.biz</t>
  </si>
  <si>
    <t>+919604824408</t>
  </si>
  <si>
    <t>Aaryahi Sridhar</t>
  </si>
  <si>
    <t>P1099</t>
  </si>
  <si>
    <t>jkeer@sarna.com</t>
  </si>
  <si>
    <t>+919874404366</t>
  </si>
  <si>
    <t>Sana Krishnamurthy</t>
  </si>
  <si>
    <t>P1098</t>
  </si>
  <si>
    <t>uchaudhary@gmail.com</t>
  </si>
  <si>
    <t>0141254071</t>
  </si>
  <si>
    <t>Nirvaan Dasgupta</t>
  </si>
  <si>
    <t>P1097</t>
  </si>
  <si>
    <t>hwalla@saxena-sandhu.net</t>
  </si>
  <si>
    <t>8219941684</t>
  </si>
  <si>
    <t>Nayantara Kalla</t>
  </si>
  <si>
    <t>P1096</t>
  </si>
  <si>
    <t>purab70@rajan.net</t>
  </si>
  <si>
    <t>+912251145487</t>
  </si>
  <si>
    <t>Indrans Taneja</t>
  </si>
  <si>
    <t>P1095</t>
  </si>
  <si>
    <t>saira52@hotmail.com</t>
  </si>
  <si>
    <t>08880591408</t>
  </si>
  <si>
    <t>Nirvi Barad</t>
  </si>
  <si>
    <t>P1094</t>
  </si>
  <si>
    <t>zainasankar@hotmail.com</t>
  </si>
  <si>
    <t>+911060350066</t>
  </si>
  <si>
    <t>Zoya Cheema</t>
  </si>
  <si>
    <t>P1093</t>
  </si>
  <si>
    <t>kartik48@mahal.com</t>
  </si>
  <si>
    <t>+912521795854</t>
  </si>
  <si>
    <t>Rasha Dewan</t>
  </si>
  <si>
    <t>P1092</t>
  </si>
  <si>
    <t>kartik54@vora.net</t>
  </si>
  <si>
    <t>5424166497</t>
  </si>
  <si>
    <t>Amira Vig</t>
  </si>
  <si>
    <t>P1091</t>
  </si>
  <si>
    <t>isharaf@jain.com</t>
  </si>
  <si>
    <t>+914559304814</t>
  </si>
  <si>
    <t xml:space="preserve">  Anika Kannan </t>
  </si>
  <si>
    <t>P1090</t>
  </si>
  <si>
    <t>ssengupta@sarma.com</t>
  </si>
  <si>
    <t>+914283092849</t>
  </si>
  <si>
    <t>Zara Ramachandran</t>
  </si>
  <si>
    <t>P1089</t>
  </si>
  <si>
    <t>rheabassi@barad.org</t>
  </si>
  <si>
    <t>+910340451104</t>
  </si>
  <si>
    <t>Kismat Sane</t>
  </si>
  <si>
    <t>P1088</t>
  </si>
  <si>
    <t>suhana60@som-mangal.com</t>
  </si>
  <si>
    <t>9724194876</t>
  </si>
  <si>
    <t>Keya Karan</t>
  </si>
  <si>
    <t>P1087</t>
  </si>
  <si>
    <t>zara96@hotmail.com</t>
  </si>
  <si>
    <t>+919448348301</t>
  </si>
  <si>
    <t>Lagan Dubey</t>
  </si>
  <si>
    <t>P1086</t>
  </si>
  <si>
    <t>fwali@yahoo.com</t>
  </si>
  <si>
    <t>08014032641</t>
  </si>
  <si>
    <t>Arnav Dayal</t>
  </si>
  <si>
    <t>P1085</t>
  </si>
  <si>
    <t>akarshkaran@vig-sharaf.com</t>
  </si>
  <si>
    <t>+919930957281</t>
  </si>
  <si>
    <t>Mishti Dhaliwal</t>
  </si>
  <si>
    <t>P1084</t>
  </si>
  <si>
    <t>bmalhotra@rout.com</t>
  </si>
  <si>
    <t>5885556316</t>
  </si>
  <si>
    <t>Mohanlal Mangat</t>
  </si>
  <si>
    <t>P1083</t>
  </si>
  <si>
    <t>veersingh@seshadri.com</t>
  </si>
  <si>
    <t>09080605622</t>
  </si>
  <si>
    <t>Myra Wali</t>
  </si>
  <si>
    <t>P1082</t>
  </si>
  <si>
    <t>farhanvasa@varkey.com</t>
  </si>
  <si>
    <t>8975746537</t>
  </si>
  <si>
    <t>Hazel Raj</t>
  </si>
  <si>
    <t>P1081</t>
  </si>
  <si>
    <t>04739401417</t>
  </si>
  <si>
    <t>Indrajit Bajwa</t>
  </si>
  <si>
    <t>P1080</t>
  </si>
  <si>
    <t>badalbalakrishnan@gmail.com</t>
  </si>
  <si>
    <t>+910532350011</t>
  </si>
  <si>
    <t>Chirag Bhavsar</t>
  </si>
  <si>
    <t>P1079</t>
  </si>
  <si>
    <t>brege@mahajan.net</t>
  </si>
  <si>
    <t>4316313310</t>
  </si>
  <si>
    <t>Mishti Dada</t>
  </si>
  <si>
    <t>P1078</t>
  </si>
  <si>
    <t>stuvanbadami@gmail.com</t>
  </si>
  <si>
    <t>05673729967</t>
  </si>
  <si>
    <t>Emir Vig</t>
  </si>
  <si>
    <t>P1077</t>
  </si>
  <si>
    <t>ryandugar@yahoo.com</t>
  </si>
  <si>
    <t>5582697690</t>
  </si>
  <si>
    <t>Vaibhav Atwal</t>
  </si>
  <si>
    <t>P1076</t>
  </si>
  <si>
    <t>seher39@yahoo.com</t>
  </si>
  <si>
    <t>7838022262</t>
  </si>
  <si>
    <t>Dhanush Ganesan</t>
  </si>
  <si>
    <t>P1075</t>
  </si>
  <si>
    <t>shaan77@gmail.com</t>
  </si>
  <si>
    <t>+913679380142</t>
  </si>
  <si>
    <t>Madhup Barad</t>
  </si>
  <si>
    <t>P1074</t>
  </si>
  <si>
    <t>cbansal@yahoo.com</t>
  </si>
  <si>
    <t>6619846897</t>
  </si>
  <si>
    <t>Ivan Thaman</t>
  </si>
  <si>
    <t>P1073</t>
  </si>
  <si>
    <t>romil40@gmail.com</t>
  </si>
  <si>
    <t>0392262536</t>
  </si>
  <si>
    <t>Divit Saraf</t>
  </si>
  <si>
    <t>P1072</t>
  </si>
  <si>
    <t>deshpandedamini@comar.net</t>
  </si>
  <si>
    <t>01087342136</t>
  </si>
  <si>
    <t>Zeeshan Anne</t>
  </si>
  <si>
    <t>P1071</t>
  </si>
  <si>
    <t>raunak19@loke.net</t>
  </si>
  <si>
    <t>5243164417</t>
  </si>
  <si>
    <t>Purab Sidhu</t>
  </si>
  <si>
    <t>P1070</t>
  </si>
  <si>
    <t>mdas@hotmail.com</t>
  </si>
  <si>
    <t>4799086938</t>
  </si>
  <si>
    <t>Emir Ramachandran</t>
  </si>
  <si>
    <t>P1069</t>
  </si>
  <si>
    <t>bcheema@hotmail.com</t>
  </si>
  <si>
    <t>9848037126</t>
  </si>
  <si>
    <t>Neelofar Krishnamurthy</t>
  </si>
  <si>
    <t>P1068</t>
  </si>
  <si>
    <t>manjari12@yadav-randhawa.com</t>
  </si>
  <si>
    <t>9450892513</t>
  </si>
  <si>
    <t>Jivika Saran</t>
  </si>
  <si>
    <t>P1067</t>
  </si>
  <si>
    <t>tripathiuthkarsh@wable.com</t>
  </si>
  <si>
    <t>+911118795327</t>
  </si>
  <si>
    <t>Nishith Swamy</t>
  </si>
  <si>
    <t>P1066</t>
  </si>
  <si>
    <t>hunar47@hotmail.com</t>
  </si>
  <si>
    <t>02132164529</t>
  </si>
  <si>
    <t>Diya Sarkar</t>
  </si>
  <si>
    <t>P1065</t>
  </si>
  <si>
    <t>eshani43@yahoo.com</t>
  </si>
  <si>
    <t>06342963068</t>
  </si>
  <si>
    <t>Taimur Deshpande</t>
  </si>
  <si>
    <t>P1064</t>
  </si>
  <si>
    <t>urvigoswami@mand-goel.info</t>
  </si>
  <si>
    <t>08200453597</t>
  </si>
  <si>
    <t>Vanya Rege</t>
  </si>
  <si>
    <t>P1063</t>
  </si>
  <si>
    <t>kimayasethi@yahoo.com</t>
  </si>
  <si>
    <t>+916536692499</t>
  </si>
  <si>
    <t>Rania Thakur</t>
  </si>
  <si>
    <t>P1062</t>
  </si>
  <si>
    <t>baiju52@gmail.com</t>
  </si>
  <si>
    <t>+916312009224</t>
  </si>
  <si>
    <t>Suhana Vig</t>
  </si>
  <si>
    <t>P1061</t>
  </si>
  <si>
    <t>bhaminibhasin@bala.com</t>
  </si>
  <si>
    <t>+919465536585</t>
  </si>
  <si>
    <t>Nishith Shenoy</t>
  </si>
  <si>
    <t>P1060</t>
  </si>
  <si>
    <t>damini50@kakar.com</t>
  </si>
  <si>
    <t>+917180869910</t>
  </si>
  <si>
    <t>Abram Shukla</t>
  </si>
  <si>
    <t>P1059</t>
  </si>
  <si>
    <t>eshani37@swaminathan-chandran.info</t>
  </si>
  <si>
    <t>+910655999911</t>
  </si>
  <si>
    <t>Dharmajan Dugar</t>
  </si>
  <si>
    <t>P1058</t>
  </si>
  <si>
    <t>jlalla@yahoo.com</t>
  </si>
  <si>
    <t>5072567710</t>
  </si>
  <si>
    <t>Lakshit Sane</t>
  </si>
  <si>
    <t>P1057</t>
  </si>
  <si>
    <t>anandhiran@yogi-yadav.net</t>
  </si>
  <si>
    <t>05379375580</t>
  </si>
  <si>
    <t>Sumer Tank</t>
  </si>
  <si>
    <t>P1056</t>
  </si>
  <si>
    <t>purab63@wagle.com</t>
  </si>
  <si>
    <t>7712648794</t>
  </si>
  <si>
    <t>Prisha Walia</t>
  </si>
  <si>
    <t>P1055</t>
  </si>
  <si>
    <t>kvarkey@sachar.org</t>
  </si>
  <si>
    <t>9082482899</t>
  </si>
  <si>
    <t>Hiran Madan</t>
  </si>
  <si>
    <t>P1054</t>
  </si>
  <si>
    <t>jiyachoudhury@rout.com</t>
  </si>
  <si>
    <t>02499477773</t>
  </si>
  <si>
    <t>Drishya Sanghvi</t>
  </si>
  <si>
    <t>P1053</t>
  </si>
  <si>
    <t>reneelall@yahoo.com</t>
  </si>
  <si>
    <t>06424452404</t>
  </si>
  <si>
    <t>Yuvraj  Wali</t>
  </si>
  <si>
    <t>P1052</t>
  </si>
  <si>
    <t>miraankeer@yahoo.com</t>
  </si>
  <si>
    <t>4694283142</t>
  </si>
  <si>
    <t>Kavya Sarna</t>
  </si>
  <si>
    <t>P1051</t>
  </si>
  <si>
    <t>rania13@hotmail.com</t>
  </si>
  <si>
    <t>5551519138</t>
  </si>
  <si>
    <t>Riaan Banik</t>
  </si>
  <si>
    <t>ehsaangolla@hotmail.com</t>
  </si>
  <si>
    <t>04845744094</t>
  </si>
  <si>
    <t>Zain Kashyap</t>
  </si>
  <si>
    <t>P1049</t>
  </si>
  <si>
    <t>zbir@gmail.com</t>
  </si>
  <si>
    <t>0093960256</t>
  </si>
  <si>
    <t>Renee Sabharwal</t>
  </si>
  <si>
    <t>P1048</t>
  </si>
  <si>
    <t>wchadha@brar.info</t>
  </si>
  <si>
    <t>3869403681</t>
  </si>
  <si>
    <t>Sana Dixit</t>
  </si>
  <si>
    <t>P1047</t>
  </si>
  <si>
    <t>sairachaudhuri@yahoo.com</t>
  </si>
  <si>
    <t>+917234468272</t>
  </si>
  <si>
    <t>Divij Bedi</t>
  </si>
  <si>
    <t>P1046</t>
  </si>
  <si>
    <t>zsule@goyal-shere.com</t>
  </si>
  <si>
    <t>02145712457</t>
  </si>
  <si>
    <t>Jivika Mand</t>
  </si>
  <si>
    <t>P1045</t>
  </si>
  <si>
    <t>iraratti@kale.com</t>
  </si>
  <si>
    <t>+912428347081</t>
  </si>
  <si>
    <t>Siya Majumdar</t>
  </si>
  <si>
    <t>P1044</t>
  </si>
  <si>
    <t>lankapurab@yahoo.com</t>
  </si>
  <si>
    <t>+914126526217</t>
  </si>
  <si>
    <t>Kaira Bora</t>
  </si>
  <si>
    <t>P1043</t>
  </si>
  <si>
    <t>vchacko@gmail.com</t>
  </si>
  <si>
    <t>1002329725</t>
  </si>
  <si>
    <t>Tiya Iyer</t>
  </si>
  <si>
    <t>P1042</t>
  </si>
  <si>
    <t>kwable@garg.com</t>
  </si>
  <si>
    <t>+915815636401</t>
  </si>
  <si>
    <t>Shanaya Bir</t>
  </si>
  <si>
    <t>P1041</t>
  </si>
  <si>
    <t>santsamarth@seth.net</t>
  </si>
  <si>
    <t>+918660574813</t>
  </si>
  <si>
    <t>Jiya Dugar</t>
  </si>
  <si>
    <t>P1040</t>
  </si>
  <si>
    <t>kzachariah@yahoo.com</t>
  </si>
  <si>
    <t>00505247196</t>
  </si>
  <si>
    <t>Navya Balan</t>
  </si>
  <si>
    <t>P1039</t>
  </si>
  <si>
    <t>osethi@yahoo.com</t>
  </si>
  <si>
    <t>+915722301633</t>
  </si>
  <si>
    <t>Biju Dash</t>
  </si>
  <si>
    <t>P1038</t>
  </si>
  <si>
    <t>aayushdora@hotmail.com</t>
  </si>
  <si>
    <t>04433253245</t>
  </si>
  <si>
    <t>Zoya Dara</t>
  </si>
  <si>
    <t>P1037</t>
  </si>
  <si>
    <t>danimyra@lalla.org</t>
  </si>
  <si>
    <t>08119806288</t>
  </si>
  <si>
    <t>Zain Ganesh</t>
  </si>
  <si>
    <t>P1036</t>
  </si>
  <si>
    <t>pranay92@yahoo.com</t>
  </si>
  <si>
    <t>7550869662</t>
  </si>
  <si>
    <t>Anahi Batta</t>
  </si>
  <si>
    <t>P1035</t>
  </si>
  <si>
    <t>lavanyasani@krishnan-garde.com</t>
  </si>
  <si>
    <t>+910241121419</t>
  </si>
  <si>
    <t>Shalv Cheema</t>
  </si>
  <si>
    <t>P1034</t>
  </si>
  <si>
    <t>deepmanjari@karan.biz</t>
  </si>
  <si>
    <t>03039927312</t>
  </si>
  <si>
    <t>Baiju Sane</t>
  </si>
  <si>
    <t>P1033</t>
  </si>
  <si>
    <t>qbhavsar@gmail.com</t>
  </si>
  <si>
    <t>+912922878110</t>
  </si>
  <si>
    <t>Stuvan Goyal</t>
  </si>
  <si>
    <t>P1032</t>
  </si>
  <si>
    <t>jhanvisehgal@hotmail.com</t>
  </si>
  <si>
    <t>00097820868</t>
  </si>
  <si>
    <t>Kanav Dutt</t>
  </si>
  <si>
    <t>P1031</t>
  </si>
  <si>
    <t>kchaudhari@agarwal.info</t>
  </si>
  <si>
    <t>9332863199</t>
  </si>
  <si>
    <t>Neysa Sahota</t>
  </si>
  <si>
    <t>P1030</t>
  </si>
  <si>
    <t>deolamani@acharya.net</t>
  </si>
  <si>
    <t>04942386062</t>
  </si>
  <si>
    <t>Pranay Luthra</t>
  </si>
  <si>
    <t>P1029</t>
  </si>
  <si>
    <t>vanyachoudhury@yahoo.com</t>
  </si>
  <si>
    <t>9461519029</t>
  </si>
  <si>
    <t>Bhavin Mallick</t>
  </si>
  <si>
    <t>P1028</t>
  </si>
  <si>
    <t>drishya65@karpe.biz</t>
  </si>
  <si>
    <t>08054877931</t>
  </si>
  <si>
    <t>Anahita Mammen</t>
  </si>
  <si>
    <t>P1027</t>
  </si>
  <si>
    <t>loyalmanjari@gmail.com</t>
  </si>
  <si>
    <t>07587438143</t>
  </si>
  <si>
    <t>Alisha Kohli</t>
  </si>
  <si>
    <t>P1026</t>
  </si>
  <si>
    <t>devansh22@hotmail.com</t>
  </si>
  <si>
    <t>3342417709</t>
  </si>
  <si>
    <t>Vidur Sehgal</t>
  </si>
  <si>
    <t>P1025</t>
  </si>
  <si>
    <t>bhavin39@gmail.com</t>
  </si>
  <si>
    <t>05751236406</t>
  </si>
  <si>
    <t>Adah Ramachandran</t>
  </si>
  <si>
    <t>P1024</t>
  </si>
  <si>
    <t>emangat@setty.com</t>
  </si>
  <si>
    <t>6243241491</t>
  </si>
  <si>
    <t>Heer Singh</t>
  </si>
  <si>
    <t>P1023</t>
  </si>
  <si>
    <t>jhasana@ravel.com</t>
  </si>
  <si>
    <t>04349769034</t>
  </si>
  <si>
    <t>Hazel Kalita</t>
  </si>
  <si>
    <t>P1022</t>
  </si>
  <si>
    <t>parinaazbansal@rajan-ranganathan.net</t>
  </si>
  <si>
    <t>09873159692</t>
  </si>
  <si>
    <t>Anay Samra</t>
  </si>
  <si>
    <t>P1021</t>
  </si>
  <si>
    <t>arhaan42@shetty-dubey.org</t>
  </si>
  <si>
    <t>2814525252</t>
  </si>
  <si>
    <t>Samarth Bala</t>
  </si>
  <si>
    <t>P1020</t>
  </si>
  <si>
    <t>kaderati@sami.net</t>
  </si>
  <si>
    <t>09803458240</t>
  </si>
  <si>
    <t>Jivika Dani</t>
  </si>
  <si>
    <t>P1019</t>
  </si>
  <si>
    <t>sagarsamar@hotmail.com</t>
  </si>
  <si>
    <t>3136220342</t>
  </si>
  <si>
    <t>Ahana  Din</t>
  </si>
  <si>
    <t>P1018</t>
  </si>
  <si>
    <t>battadhanush@hotmail.com</t>
  </si>
  <si>
    <t>1661966300</t>
  </si>
  <si>
    <t>Kashvi Subramaniam</t>
  </si>
  <si>
    <t>P1017</t>
  </si>
  <si>
    <t>nkanda@hotmail.com</t>
  </si>
  <si>
    <t>+914293447483</t>
  </si>
  <si>
    <t>Saira Contractor</t>
  </si>
  <si>
    <t>P1016</t>
  </si>
  <si>
    <t>manikyavarkey@hotmail.com</t>
  </si>
  <si>
    <t>06765498069</t>
  </si>
  <si>
    <t>Tiya Venkataraman</t>
  </si>
  <si>
    <t>P1015</t>
  </si>
  <si>
    <t>kghosh@hotmail.com</t>
  </si>
  <si>
    <t>03315352376</t>
  </si>
  <si>
    <t>Ojas Kapadia</t>
  </si>
  <si>
    <t>P1014</t>
  </si>
  <si>
    <t>dhanuk85@yahoo.com</t>
  </si>
  <si>
    <t>04372613893</t>
  </si>
  <si>
    <t>Kabir Dalal</t>
  </si>
  <si>
    <t>P1013</t>
  </si>
  <si>
    <t>veerhalder@amble.org</t>
  </si>
  <si>
    <t>+916757997801</t>
  </si>
  <si>
    <t>Mohanlal Char</t>
  </si>
  <si>
    <t>P1012</t>
  </si>
  <si>
    <t>bhamini88@hotmail.com</t>
  </si>
  <si>
    <t>09341759957</t>
  </si>
  <si>
    <t>Rohan Virk</t>
  </si>
  <si>
    <t>P1011</t>
  </si>
  <si>
    <t>masterraghav@hotmail.com</t>
  </si>
  <si>
    <t>01616990504</t>
  </si>
  <si>
    <t>Tanya Lal</t>
  </si>
  <si>
    <t>P1010</t>
  </si>
  <si>
    <t>riyabava@manda.net</t>
  </si>
  <si>
    <t>02654174270</t>
  </si>
  <si>
    <t>Faiyaz Rau</t>
  </si>
  <si>
    <t>P1009</t>
  </si>
  <si>
    <t>basaktrisha@rastogi-batra.org</t>
  </si>
  <si>
    <t>5148349012</t>
  </si>
  <si>
    <t>Madhav Srinivas</t>
  </si>
  <si>
    <t>P1008</t>
  </si>
  <si>
    <t>bbath@chander-dugar.com</t>
  </si>
  <si>
    <t>+910825799566</t>
  </si>
  <si>
    <t>Heer Bhavsar</t>
  </si>
  <si>
    <t>P1007</t>
  </si>
  <si>
    <t>khannakeya@karpe.com</t>
  </si>
  <si>
    <t>+910624360264</t>
  </si>
  <si>
    <t>Urvi Balasubramanian</t>
  </si>
  <si>
    <t>P1006</t>
  </si>
  <si>
    <t>siya99@hotmail.com</t>
  </si>
  <si>
    <t>8645572895</t>
  </si>
  <si>
    <t>Rati Bawa</t>
  </si>
  <si>
    <t>P1005</t>
  </si>
  <si>
    <t>jhaverivanya@hotmail.com</t>
  </si>
  <si>
    <t>5810250497</t>
  </si>
  <si>
    <t>Mannat Sharma</t>
  </si>
  <si>
    <t>P1004</t>
  </si>
  <si>
    <t>kanthridaan@gmail.com</t>
  </si>
  <si>
    <t>03330832788</t>
  </si>
  <si>
    <t>Taimur Madan</t>
  </si>
  <si>
    <t>P1003</t>
  </si>
  <si>
    <t>ivana90@yahoo.com</t>
  </si>
  <si>
    <t>+912921861789</t>
  </si>
  <si>
    <t>Khushi Deo</t>
  </si>
  <si>
    <t>P1002</t>
  </si>
  <si>
    <t>dhanuk98@yahoo.com</t>
  </si>
  <si>
    <t>05645713921</t>
  </si>
  <si>
    <t>Raghav Halder</t>
  </si>
  <si>
    <t>P1001</t>
  </si>
  <si>
    <t xml:space="preserve">  Lakshay Lad </t>
  </si>
  <si>
    <t>Diagnosis_Code</t>
  </si>
  <si>
    <t>Room Number</t>
  </si>
  <si>
    <t>Insurance_Status</t>
  </si>
  <si>
    <t xml:space="preserve">Bill Amount </t>
  </si>
  <si>
    <t>No_Show</t>
  </si>
  <si>
    <t>Email</t>
  </si>
  <si>
    <t>Phone Number</t>
  </si>
  <si>
    <t>Scheduled_Date</t>
  </si>
  <si>
    <t>Appointment Date</t>
  </si>
  <si>
    <t>Doctor Name</t>
  </si>
  <si>
    <t>Department</t>
  </si>
  <si>
    <t>AGE</t>
  </si>
  <si>
    <t xml:space="preserve">Gender </t>
  </si>
  <si>
    <t>patient_name</t>
  </si>
  <si>
    <t>Patient ID</t>
  </si>
  <si>
    <t>CITY CARE HOSPITAL APPOINTMENT RECORDS</t>
  </si>
  <si>
    <t>6. Build summary KPIs/dashboard</t>
  </si>
  <si>
    <t>5. Create cleaned dataset</t>
  </si>
  <si>
    <t>4. Validate business rules</t>
  </si>
  <si>
    <t>3. Standardize formats</t>
  </si>
  <si>
    <t>2. Identify data quality issues</t>
  </si>
  <si>
    <t>1. Create raw backup</t>
  </si>
  <si>
    <t>Suggested workflow:</t>
  </si>
  <si>
    <t>- Inconsistent categorical values</t>
  </si>
  <si>
    <t>- Corrupted rows</t>
  </si>
  <si>
    <t>- Negative billing values</t>
  </si>
  <si>
    <t>- Mixed datatypes</t>
  </si>
  <si>
    <t>- Inconsistent text formatting</t>
  </si>
  <si>
    <t>- Missing values</t>
  </si>
  <si>
    <t>- Wrong date logic</t>
  </si>
  <si>
    <t>- Invalid ages</t>
  </si>
  <si>
    <t>- Duplicate Patient IDs</t>
  </si>
  <si>
    <t>- Merged cells</t>
  </si>
  <si>
    <t>- Blank rows</t>
  </si>
  <si>
    <t>Types of issues included:</t>
  </si>
  <si>
    <t>This workbook intentionally contains messy healthcare appointment data.</t>
  </si>
  <si>
    <t>Patient Id</t>
  </si>
  <si>
    <t>Patient_Name</t>
  </si>
  <si>
    <t>Gender</t>
  </si>
  <si>
    <t>Age</t>
  </si>
  <si>
    <t>Bill Amount</t>
  </si>
  <si>
    <t>total_rows</t>
  </si>
  <si>
    <t>Yuvraj Wali</t>
  </si>
  <si>
    <t>Anika Kannan</t>
  </si>
  <si>
    <t>Kabir Ramachandran</t>
  </si>
  <si>
    <t>Ahana Banerjee</t>
  </si>
  <si>
    <t>Ahana Uppal</t>
  </si>
  <si>
    <t>Ahana Sura</t>
  </si>
  <si>
    <t>Nirvaan Gara</t>
  </si>
  <si>
    <t>Ahana Shere</t>
  </si>
  <si>
    <t>Inaaya Yadav</t>
  </si>
  <si>
    <t>Ahana Soni</t>
  </si>
  <si>
    <t>Sahil Dugar</t>
  </si>
  <si>
    <t>Kiara Gupta</t>
  </si>
  <si>
    <t>Inaaya Sachar</t>
  </si>
  <si>
    <t>Lagan Chada</t>
  </si>
  <si>
    <t>Inaaya Krishna</t>
  </si>
  <si>
    <t>Inaaya Dhar</t>
  </si>
  <si>
    <t>Inaaya Gandhi</t>
  </si>
  <si>
    <t>Arnav Anand</t>
  </si>
  <si>
    <t>Krish Dubey</t>
  </si>
  <si>
    <t>Kanav Ram</t>
  </si>
  <si>
    <t>Piya Vaidya</t>
  </si>
  <si>
    <t>Ahana Shah</t>
  </si>
  <si>
    <t>Yuvraj Luthra</t>
  </si>
  <si>
    <t>Sahil Sarraf</t>
  </si>
  <si>
    <t>Jhanvi Gala</t>
  </si>
  <si>
    <t>Inaaya Sen</t>
  </si>
  <si>
    <t>Yuvraj Raj</t>
  </si>
  <si>
    <t>Ahana Vyas</t>
  </si>
  <si>
    <t>Inaaya Keer</t>
  </si>
  <si>
    <t>Ahana Ben</t>
  </si>
  <si>
    <t>Anvi Kannan</t>
  </si>
  <si>
    <t>Inaaya Sahota</t>
  </si>
  <si>
    <t>Amira Kumer</t>
  </si>
  <si>
    <t>Inaaya Kalita</t>
  </si>
  <si>
    <t>Ahana Balasubramanian</t>
  </si>
  <si>
    <t>Ahana Sawhney</t>
  </si>
  <si>
    <t>Yuvraj Cheema</t>
  </si>
  <si>
    <t>Bhavin Mani</t>
  </si>
  <si>
    <t>Vedika Tak</t>
  </si>
  <si>
    <t>Yuvraj Mani</t>
  </si>
  <si>
    <t>Advika Handa</t>
  </si>
  <si>
    <t>Nakul Chaudhari</t>
  </si>
  <si>
    <t>Inaaya Grewal</t>
  </si>
  <si>
    <t>Dr Sharma</t>
  </si>
  <si>
    <t>Checking App before schedule</t>
  </si>
  <si>
    <t>Date_type or not</t>
  </si>
  <si>
    <t>No Show Mapping</t>
  </si>
  <si>
    <t>Numerical Inconsistency</t>
  </si>
  <si>
    <t>Date Columns</t>
  </si>
  <si>
    <t>Age Column</t>
  </si>
  <si>
    <t>Phone clean</t>
  </si>
  <si>
    <t>Phoneclean</t>
  </si>
  <si>
    <t xml:space="preserve">Phone no column </t>
  </si>
  <si>
    <t>Row Labels</t>
  </si>
  <si>
    <t>(blank)</t>
  </si>
  <si>
    <t>Grand Total</t>
  </si>
  <si>
    <t>Doctors</t>
  </si>
  <si>
    <t>+91 5645713921</t>
  </si>
  <si>
    <t>+91 2921861789</t>
  </si>
  <si>
    <t>+91 3330832788</t>
  </si>
  <si>
    <t>+91 5810250497</t>
  </si>
  <si>
    <t>+91 8645572895</t>
  </si>
  <si>
    <t>+91 0624360264</t>
  </si>
  <si>
    <t>+91 0825799566</t>
  </si>
  <si>
    <t>+91 5148349012</t>
  </si>
  <si>
    <t>+91 2654174270</t>
  </si>
  <si>
    <t>+91 1616990504</t>
  </si>
  <si>
    <t>+91 9341759957</t>
  </si>
  <si>
    <t>+91 6757997801</t>
  </si>
  <si>
    <t>+91 4372613893</t>
  </si>
  <si>
    <t>+91 3315352376</t>
  </si>
  <si>
    <t>+91 6765498069</t>
  </si>
  <si>
    <t>+91 4293447483</t>
  </si>
  <si>
    <t>+91 1661966300</t>
  </si>
  <si>
    <t>+91 9803458240</t>
  </si>
  <si>
    <t>+91 2814525252</t>
  </si>
  <si>
    <t>+91 9873159692</t>
  </si>
  <si>
    <t>+91 4349769034</t>
  </si>
  <si>
    <t>+91 6243241491</t>
  </si>
  <si>
    <t>+91 5751236406</t>
  </si>
  <si>
    <t>+91 3342417709</t>
  </si>
  <si>
    <t>+91 7587438143</t>
  </si>
  <si>
    <t>+91 8054877931</t>
  </si>
  <si>
    <t>+91 9461519029</t>
  </si>
  <si>
    <t>+91 4942386062</t>
  </si>
  <si>
    <t>+91 9332863199</t>
  </si>
  <si>
    <t>+91 0097820868</t>
  </si>
  <si>
    <t>+91 2922878110</t>
  </si>
  <si>
    <t>+91 3039927312</t>
  </si>
  <si>
    <t>+91 0241121419</t>
  </si>
  <si>
    <t>+91 7550869662</t>
  </si>
  <si>
    <t>+91 8119806288</t>
  </si>
  <si>
    <t>+91 4433253245</t>
  </si>
  <si>
    <t>+91 5722301633</t>
  </si>
  <si>
    <t>+91 0505247196</t>
  </si>
  <si>
    <t>+91 8660574813</t>
  </si>
  <si>
    <t>+91 5815636401</t>
  </si>
  <si>
    <t>+91 1002329725</t>
  </si>
  <si>
    <t>+91 4126526217</t>
  </si>
  <si>
    <t>+91 2428347081</t>
  </si>
  <si>
    <t>+91 2145712457</t>
  </si>
  <si>
    <t>+91 7234468272</t>
  </si>
  <si>
    <t>+91 3869403681</t>
  </si>
  <si>
    <t>+91 0093960256</t>
  </si>
  <si>
    <t>+91 4845744094</t>
  </si>
  <si>
    <t>+91 4694283142</t>
  </si>
  <si>
    <t>+91 6424452404</t>
  </si>
  <si>
    <t>+91 2499477773</t>
  </si>
  <si>
    <t>+91 9082482899</t>
  </si>
  <si>
    <t>+91 7712648794</t>
  </si>
  <si>
    <t>+91 5379375580</t>
  </si>
  <si>
    <t>+91 5072567710</t>
  </si>
  <si>
    <t>+91 0655999911</t>
  </si>
  <si>
    <t>+91 7180869910</t>
  </si>
  <si>
    <t>+91 9465536585</t>
  </si>
  <si>
    <t>+91 6312009224</t>
  </si>
  <si>
    <t>+91 6536692499</t>
  </si>
  <si>
    <t>+91 8200453597</t>
  </si>
  <si>
    <t>+91 6342963068</t>
  </si>
  <si>
    <t>+91 2132164529</t>
  </si>
  <si>
    <t>+91 1118795327</t>
  </si>
  <si>
    <t>+91 9450892513</t>
  </si>
  <si>
    <t>+91 9848037126</t>
  </si>
  <si>
    <t>+91 4799086938</t>
  </si>
  <si>
    <t>+91 5243164417</t>
  </si>
  <si>
    <t>+91 1087342136</t>
  </si>
  <si>
    <t>+91 0392262536</t>
  </si>
  <si>
    <t>+91 6619846897</t>
  </si>
  <si>
    <t>+91 3679380142</t>
  </si>
  <si>
    <t>+91 7838022262</t>
  </si>
  <si>
    <t>+91 5582697690</t>
  </si>
  <si>
    <t>+91 5673729967</t>
  </si>
  <si>
    <t>+91 4316313310</t>
  </si>
  <si>
    <t>+91 0532350011</t>
  </si>
  <si>
    <t>+91 4739401417</t>
  </si>
  <si>
    <t>+91 9080605622</t>
  </si>
  <si>
    <t>+91 5885556316</t>
  </si>
  <si>
    <t>+91 9930957281</t>
  </si>
  <si>
    <t>+91 8014032641</t>
  </si>
  <si>
    <t>+91 9448348301</t>
  </si>
  <si>
    <t>+91 9724194876</t>
  </si>
  <si>
    <t>+91 0340451104</t>
  </si>
  <si>
    <t>+91 4283092849</t>
  </si>
  <si>
    <t>+91 4559304814</t>
  </si>
  <si>
    <t>+91 5424166497</t>
  </si>
  <si>
    <t>+91 2521795854</t>
  </si>
  <si>
    <t>+91 1060350066</t>
  </si>
  <si>
    <t>+91 8880591408</t>
  </si>
  <si>
    <t>+91 2251145487</t>
  </si>
  <si>
    <t>+91 8219941684</t>
  </si>
  <si>
    <t>+91 0141254071</t>
  </si>
  <si>
    <t>+91 9874404366</t>
  </si>
  <si>
    <t>+91 9604824408</t>
  </si>
  <si>
    <t>+91 8578949195</t>
  </si>
  <si>
    <t>+91 5200720196</t>
  </si>
  <si>
    <t>+91 9134533972</t>
  </si>
  <si>
    <t>+91 5362765740</t>
  </si>
  <si>
    <t>+91 5898190874</t>
  </si>
  <si>
    <t>+91 2086696276</t>
  </si>
  <si>
    <t>+91 8408180897</t>
  </si>
  <si>
    <t>+91 7476371115</t>
  </si>
  <si>
    <t>+91 9523298268</t>
  </si>
  <si>
    <t>+91 3319487830</t>
  </si>
  <si>
    <t>+91 0226620663</t>
  </si>
  <si>
    <t>+91 8048550730</t>
  </si>
  <si>
    <t>+91 1643755071</t>
  </si>
  <si>
    <t>+91 7227416257</t>
  </si>
  <si>
    <t>+91 1212373232</t>
  </si>
  <si>
    <t>+91 4185450661</t>
  </si>
  <si>
    <t>+91 5136186456</t>
  </si>
  <si>
    <t>+91 7811748749</t>
  </si>
  <si>
    <t>+91 8669555268</t>
  </si>
  <si>
    <t>+91 6911891854</t>
  </si>
  <si>
    <t>+91 2066179013</t>
  </si>
  <si>
    <t>+91 0105283208</t>
  </si>
  <si>
    <t>+91 8120632221</t>
  </si>
  <si>
    <t>+91 5929429220</t>
  </si>
  <si>
    <t>+91 1200020161</t>
  </si>
  <si>
    <t>+91 4905823266</t>
  </si>
  <si>
    <t>+91 5228930409</t>
  </si>
  <si>
    <t>+91 9104295268</t>
  </si>
  <si>
    <t>+91 1408930197</t>
  </si>
  <si>
    <t>+91 3567771991</t>
  </si>
  <si>
    <t>+91 4652864920</t>
  </si>
  <si>
    <t>+91 5793183598</t>
  </si>
  <si>
    <t>+91 5599473768</t>
  </si>
  <si>
    <t>+91 6904823096</t>
  </si>
  <si>
    <t>+91 3698123290</t>
  </si>
  <si>
    <t>+91 8584974838</t>
  </si>
  <si>
    <t>+91 4991938053</t>
  </si>
  <si>
    <t>+91 4992350609</t>
  </si>
  <si>
    <t>+91 6169067370</t>
  </si>
  <si>
    <t>+91 8790151976</t>
  </si>
  <si>
    <t>+91 4827196935</t>
  </si>
  <si>
    <t>+91 3809619824</t>
  </si>
  <si>
    <t>+91 7699448795</t>
  </si>
  <si>
    <t>+91 12345</t>
  </si>
  <si>
    <t>+91 0634661433</t>
  </si>
  <si>
    <t>+91 4246089663</t>
  </si>
  <si>
    <t>+91 9270358683</t>
  </si>
  <si>
    <t>+91 3252344455</t>
  </si>
  <si>
    <t>+91 9043154411</t>
  </si>
  <si>
    <t>+91 8183877028</t>
  </si>
  <si>
    <t>+91 3131954117</t>
  </si>
  <si>
    <t>+91 4657096637</t>
  </si>
  <si>
    <t>+91 1786421033</t>
  </si>
  <si>
    <t>+91 2716895024</t>
  </si>
  <si>
    <t>+91 0977122440</t>
  </si>
  <si>
    <t>+91 5416301763</t>
  </si>
  <si>
    <t>+91 1140520054</t>
  </si>
  <si>
    <t>+91 4809030701</t>
  </si>
  <si>
    <t>+91 4883919978</t>
  </si>
  <si>
    <t>+91 4400690499</t>
  </si>
  <si>
    <t>+91 4519940560</t>
  </si>
  <si>
    <t>+91 8425065576</t>
  </si>
  <si>
    <t>+91 2479480183</t>
  </si>
  <si>
    <t>+91 6766116426</t>
  </si>
  <si>
    <t>+91 4157221992</t>
  </si>
  <si>
    <t>+91 2064241411</t>
  </si>
  <si>
    <t>+91 5700826761</t>
  </si>
  <si>
    <t>+91 6789694082</t>
  </si>
  <si>
    <t>+91 0791216468</t>
  </si>
  <si>
    <t>+91 6354435958</t>
  </si>
  <si>
    <t>+91 5936529138</t>
  </si>
  <si>
    <t>+91 0834955176</t>
  </si>
  <si>
    <t>+91 4667043102</t>
  </si>
  <si>
    <t>+91 4983373290</t>
  </si>
  <si>
    <t>+91 6317683347</t>
  </si>
  <si>
    <t>+91 0023369440</t>
  </si>
  <si>
    <t>+91 8838046926</t>
  </si>
  <si>
    <t>+91 3618810049</t>
  </si>
  <si>
    <t>+91 0587100478</t>
  </si>
  <si>
    <t>+91 4189407530</t>
  </si>
  <si>
    <t>+91 7115539574</t>
  </si>
  <si>
    <t>+91 2150163428</t>
  </si>
  <si>
    <t>+91 9367783934</t>
  </si>
  <si>
    <t>+91 8943319378</t>
  </si>
  <si>
    <t>+91 1524269012</t>
  </si>
  <si>
    <t>+91 1975209475</t>
  </si>
  <si>
    <t>+91 3921880682</t>
  </si>
  <si>
    <t>+91 6297690839</t>
  </si>
  <si>
    <t>+91 2204571280</t>
  </si>
  <si>
    <t>+91 8566394955</t>
  </si>
  <si>
    <t>+91 3326462317</t>
  </si>
  <si>
    <t>+91 3959373293</t>
  </si>
  <si>
    <t>+91 2343346446</t>
  </si>
  <si>
    <t>+91 3848647467</t>
  </si>
  <si>
    <t>+91 9953112298</t>
  </si>
  <si>
    <t>+91 9928617365</t>
  </si>
  <si>
    <t>+91 9525563695</t>
  </si>
  <si>
    <t>+91 6641639028</t>
  </si>
  <si>
    <t>+91 6186233052</t>
  </si>
  <si>
    <t>+91 5584854903</t>
  </si>
  <si>
    <t>+91 5353880420</t>
  </si>
  <si>
    <t>+91 4011875953</t>
  </si>
  <si>
    <t>+91 9436946130</t>
  </si>
  <si>
    <t>+91 2114996149</t>
  </si>
  <si>
    <t>+91 9339098288</t>
  </si>
  <si>
    <t>+91 6296243633</t>
  </si>
  <si>
    <t>+91 1182679294</t>
  </si>
  <si>
    <t>+91 0410043244</t>
  </si>
  <si>
    <t>+91 3149111189</t>
  </si>
  <si>
    <t>+91 7694045089</t>
  </si>
  <si>
    <t>+91 9452107637</t>
  </si>
  <si>
    <t>+91 9907381115</t>
  </si>
  <si>
    <t>+91 1937589888</t>
  </si>
  <si>
    <t>+91 9899836592</t>
  </si>
  <si>
    <t>+91 3498973856</t>
  </si>
  <si>
    <t>+91 8480100539</t>
  </si>
  <si>
    <t>+91 4412299971</t>
  </si>
  <si>
    <t>+91 4723597652</t>
  </si>
  <si>
    <t>+91 1971324757</t>
  </si>
  <si>
    <t>+91 7378130371</t>
  </si>
  <si>
    <t>+91 5180284329</t>
  </si>
  <si>
    <t>+91 8619769872</t>
  </si>
  <si>
    <t>+91 0244031517</t>
  </si>
  <si>
    <t>+91 9509495799</t>
  </si>
  <si>
    <t>+91 0968714637</t>
  </si>
  <si>
    <t>+91 1535927611</t>
  </si>
  <si>
    <t>+91 1661373076</t>
  </si>
  <si>
    <t>+91 3143326922</t>
  </si>
  <si>
    <t>+91 0326854779</t>
  </si>
  <si>
    <t>+91 7015548881</t>
  </si>
  <si>
    <t>+91 2130584126</t>
  </si>
  <si>
    <t>+91 4053701473</t>
  </si>
  <si>
    <t>+91 4782387945</t>
  </si>
  <si>
    <t>+91 2206165453</t>
  </si>
  <si>
    <t>+91 1971366063</t>
  </si>
  <si>
    <t>+91 0589055256</t>
  </si>
  <si>
    <t>+91 8944000285</t>
  </si>
  <si>
    <t>+91 3611572481</t>
  </si>
  <si>
    <t>+91 2573803590</t>
  </si>
  <si>
    <t>+91 7258524941</t>
  </si>
  <si>
    <t>+91 8846625322</t>
  </si>
  <si>
    <t>+91 3837924185</t>
  </si>
  <si>
    <t>+91 6659863208</t>
  </si>
  <si>
    <t>+91 0857827511</t>
  </si>
  <si>
    <t>+91 2467172791</t>
  </si>
  <si>
    <t>+91 7421451056</t>
  </si>
  <si>
    <t>+91 1523066503</t>
  </si>
  <si>
    <t>+91 9237452453</t>
  </si>
  <si>
    <t>+91 2888492759</t>
  </si>
  <si>
    <t>+91 8319683054</t>
  </si>
  <si>
    <t>+91 3309469965</t>
  </si>
  <si>
    <t>+91 2647025198</t>
  </si>
  <si>
    <t>+91 8718598510</t>
  </si>
  <si>
    <t>+91 8793407308</t>
  </si>
  <si>
    <t>+91 4984337412</t>
  </si>
  <si>
    <t>+91 4133490134</t>
  </si>
  <si>
    <t>+91 3515887417</t>
  </si>
  <si>
    <t>+91 0269483394</t>
  </si>
  <si>
    <t>+91 2737290153</t>
  </si>
  <si>
    <t>+91 1627579286</t>
  </si>
  <si>
    <t>+91 3259802810</t>
  </si>
  <si>
    <t>+91 0132701168</t>
  </si>
  <si>
    <t>+91 7636069485</t>
  </si>
  <si>
    <t>+91 6793266893</t>
  </si>
  <si>
    <t>+91 8587891860</t>
  </si>
  <si>
    <t>+91 7367919453</t>
  </si>
  <si>
    <t>+91 2777427473</t>
  </si>
  <si>
    <t>+91 7082855283</t>
  </si>
  <si>
    <t>+91 7575398848</t>
  </si>
  <si>
    <t>+91 4949490784</t>
  </si>
  <si>
    <t>+91 5949510501</t>
  </si>
  <si>
    <t>+91 6144498275</t>
  </si>
  <si>
    <t>+91 7216926155</t>
  </si>
  <si>
    <t>+91 3328381759</t>
  </si>
  <si>
    <t>+91 7914726325</t>
  </si>
  <si>
    <t>+91 2602679654</t>
  </si>
  <si>
    <t>+91 9649137520</t>
  </si>
  <si>
    <t>+91 6547085790</t>
  </si>
  <si>
    <t>+91 5969696681</t>
  </si>
  <si>
    <t>+91 2162695003</t>
  </si>
  <si>
    <t>+91 4048007433</t>
  </si>
  <si>
    <t>+91 7529180129</t>
  </si>
  <si>
    <t>+91 2291767374</t>
  </si>
  <si>
    <t>+91 9141141540</t>
  </si>
  <si>
    <t>+91 0802234114</t>
  </si>
  <si>
    <t>+91 6214411105</t>
  </si>
  <si>
    <t>+91 8961186908</t>
  </si>
  <si>
    <t>+91 5220065268</t>
  </si>
  <si>
    <t>+91 1821682648</t>
  </si>
  <si>
    <t>+91 3843157191</t>
  </si>
  <si>
    <t>+91 5670004338</t>
  </si>
  <si>
    <t>+91 3923745916</t>
  </si>
  <si>
    <t>+91 7158084369</t>
  </si>
  <si>
    <t>+91 1625384347</t>
  </si>
  <si>
    <t>+91 8575348711</t>
  </si>
  <si>
    <t>+91 4352771950</t>
  </si>
  <si>
    <t>+91 9541741902</t>
  </si>
  <si>
    <t>+91 4880252954</t>
  </si>
  <si>
    <t>+91 0258083790</t>
  </si>
  <si>
    <t>+91 9765746637</t>
  </si>
  <si>
    <t>+91 4672213718</t>
  </si>
  <si>
    <t>+91 7654323433</t>
  </si>
  <si>
    <t>+91 4629823559</t>
  </si>
  <si>
    <t>+91 3399959340</t>
  </si>
  <si>
    <t>+91 0942217073</t>
  </si>
  <si>
    <t>+91 9683420569</t>
  </si>
  <si>
    <t>+91 6550398513</t>
  </si>
  <si>
    <t>+91 5406550610</t>
  </si>
  <si>
    <t>+91 5184685284</t>
  </si>
  <si>
    <t>+91 6215937033</t>
  </si>
  <si>
    <t>+91 7366393373</t>
  </si>
  <si>
    <t>+91 4223004278</t>
  </si>
  <si>
    <t>+91 6053384485</t>
  </si>
  <si>
    <t>+91 5329770579</t>
  </si>
  <si>
    <t>+91 8012427907</t>
  </si>
  <si>
    <t>+91 0026783589</t>
  </si>
  <si>
    <t>+91 0364878893</t>
  </si>
  <si>
    <t>+91 1740463397</t>
  </si>
  <si>
    <t>+91 7878774765</t>
  </si>
  <si>
    <t>+91 9016979923</t>
  </si>
  <si>
    <t>+91 8036381310</t>
  </si>
  <si>
    <t>+91 4648688939</t>
  </si>
  <si>
    <t>+91 8357192862</t>
  </si>
  <si>
    <t>+91 2219014071</t>
  </si>
  <si>
    <t>+91 1206305192</t>
  </si>
  <si>
    <t>+91 9772245493</t>
  </si>
  <si>
    <t>+91 8634345383</t>
  </si>
  <si>
    <t>+91 9378393141</t>
  </si>
  <si>
    <t>+91 3346188331</t>
  </si>
  <si>
    <t>+91 8323825378</t>
  </si>
  <si>
    <t>+91 5480151740</t>
  </si>
  <si>
    <t>+91 2560305329</t>
  </si>
  <si>
    <t>+91 8287499588</t>
  </si>
  <si>
    <t>+91 2557357578</t>
  </si>
  <si>
    <t>+91 0268317392</t>
  </si>
  <si>
    <t>+91 3719904162</t>
  </si>
  <si>
    <t>+91 8411584402</t>
  </si>
  <si>
    <t>+91 3355975188</t>
  </si>
  <si>
    <t>+91 2184300138</t>
  </si>
  <si>
    <t>+91 1291927592</t>
  </si>
  <si>
    <t>+91 0395112787</t>
  </si>
  <si>
    <t>+91 0994399784</t>
  </si>
  <si>
    <t>+91 6009320958</t>
  </si>
  <si>
    <t>+91 5614450297</t>
  </si>
  <si>
    <t>+91 4213820814</t>
  </si>
  <si>
    <t>+91 9432198720</t>
  </si>
  <si>
    <t>+91 4296721119</t>
  </si>
  <si>
    <t>+91 1199565658</t>
  </si>
  <si>
    <t>+91 3928903011</t>
  </si>
  <si>
    <t>+91 3476685045</t>
  </si>
  <si>
    <t>+91 2762280077</t>
  </si>
  <si>
    <t>+91 6196152486</t>
  </si>
  <si>
    <t>+91 3126317078</t>
  </si>
  <si>
    <t>+91 1450566785</t>
  </si>
  <si>
    <t>+91 6645371234</t>
  </si>
  <si>
    <t>+91 3440629609</t>
  </si>
  <si>
    <t>+91 2723461771</t>
  </si>
  <si>
    <t>+91 9614279105</t>
  </si>
  <si>
    <t>+91 4589323732</t>
  </si>
  <si>
    <t>+91 4375517668</t>
  </si>
  <si>
    <t>+91 4164853166</t>
  </si>
  <si>
    <t>+91 2854495245</t>
  </si>
  <si>
    <t>+91 1574452835</t>
  </si>
  <si>
    <t>+91 4651604893</t>
  </si>
  <si>
    <t>+91 2216699905</t>
  </si>
  <si>
    <t>+91 1877340514</t>
  </si>
  <si>
    <t>+91 7591783801</t>
  </si>
  <si>
    <t>+91 3427269489</t>
  </si>
  <si>
    <t>+91 0973924395</t>
  </si>
  <si>
    <t>+91 3431096525</t>
  </si>
  <si>
    <t>+91 2124262142</t>
  </si>
  <si>
    <t>+91 7827158962</t>
  </si>
  <si>
    <t>+91 4913853344</t>
  </si>
  <si>
    <t>+91 6228975233</t>
  </si>
  <si>
    <t>+91 0252805653</t>
  </si>
  <si>
    <t>+91 4253377707</t>
  </si>
  <si>
    <t>+91 7272942636</t>
  </si>
  <si>
    <t>+91 1121855763</t>
  </si>
  <si>
    <t>+91 9659314229</t>
  </si>
  <si>
    <t>+91 2151559291</t>
  </si>
  <si>
    <t>+91 5965817721</t>
  </si>
  <si>
    <t>+91 6276994902</t>
  </si>
  <si>
    <t>+91 1323264848</t>
  </si>
  <si>
    <t>+91 5067729864</t>
  </si>
  <si>
    <t>+91 1061932262</t>
  </si>
  <si>
    <t>+91 0659782552</t>
  </si>
  <si>
    <t>+91 8302590967</t>
  </si>
  <si>
    <t>+91 6421091151</t>
  </si>
  <si>
    <t>+91 3933501505</t>
  </si>
  <si>
    <t>+91 2988978995</t>
  </si>
  <si>
    <t>+91 8757489777</t>
  </si>
  <si>
    <t>+91 0824909914</t>
  </si>
  <si>
    <t>+91 5121265419</t>
  </si>
  <si>
    <t>+91 8792067432</t>
  </si>
  <si>
    <t>+91 5456212839</t>
  </si>
  <si>
    <t>+91 8434498242</t>
  </si>
  <si>
    <t>+91 5399839019</t>
  </si>
  <si>
    <t>+91 5116212319</t>
  </si>
  <si>
    <t>+91 1931770464</t>
  </si>
  <si>
    <t>+91 1851501730</t>
  </si>
  <si>
    <t>+91 2899970931</t>
  </si>
  <si>
    <t>+91 0383558120</t>
  </si>
  <si>
    <t>+91 6785119353</t>
  </si>
  <si>
    <t>+91 2094147594</t>
  </si>
  <si>
    <t>+91 1511350776</t>
  </si>
  <si>
    <t>+91 1502687785</t>
  </si>
  <si>
    <t>+91 5319467966</t>
  </si>
  <si>
    <t>+91 3968161330</t>
  </si>
  <si>
    <t>+91 4720389574</t>
  </si>
  <si>
    <t>+91 3953587351</t>
  </si>
  <si>
    <t>+91 4683092693</t>
  </si>
  <si>
    <t>+91 8340361184</t>
  </si>
  <si>
    <t>+91 6641348799</t>
  </si>
  <si>
    <t>+91 2668098652</t>
  </si>
  <si>
    <t>+91 7437264714</t>
  </si>
  <si>
    <t>+91 1579416904</t>
  </si>
  <si>
    <t>+91 5921332258</t>
  </si>
  <si>
    <t>+91 4623596451</t>
  </si>
  <si>
    <t>+91 9391315794</t>
  </si>
  <si>
    <t>+91 6208091542</t>
  </si>
  <si>
    <t>+91 3068185990</t>
  </si>
  <si>
    <t>+91 2166907922</t>
  </si>
  <si>
    <t>+91 0737221594</t>
  </si>
  <si>
    <t>+91 6764856398</t>
  </si>
  <si>
    <t>+91 3309263740</t>
  </si>
  <si>
    <t>+91 5845630641</t>
  </si>
  <si>
    <t>+91 0057106183</t>
  </si>
  <si>
    <t>+91 8938085081</t>
  </si>
  <si>
    <t>+91 1362296128</t>
  </si>
  <si>
    <t>+91 7857385223</t>
  </si>
  <si>
    <t>+91 1346286956</t>
  </si>
  <si>
    <t>+91 9349765702</t>
  </si>
  <si>
    <t>+91 8599779866</t>
  </si>
  <si>
    <t>+91 0496493863</t>
  </si>
  <si>
    <t>+91 6361967487</t>
  </si>
  <si>
    <t>+91 2575819035</t>
  </si>
  <si>
    <t>+91 7042642313</t>
  </si>
  <si>
    <t>+91 6122437716</t>
  </si>
  <si>
    <t>+91 6329452858</t>
  </si>
  <si>
    <t>+91 9331044836</t>
  </si>
  <si>
    <t>+91 8251295586</t>
  </si>
  <si>
    <t>+91 9459529958</t>
  </si>
  <si>
    <t>+91 8843970463</t>
  </si>
  <si>
    <t>+91 0321585457</t>
  </si>
  <si>
    <t>+91 0093678500</t>
  </si>
  <si>
    <t>+91 7619473581</t>
  </si>
  <si>
    <t>+91 7575736139</t>
  </si>
  <si>
    <t>+91 1481876103</t>
  </si>
  <si>
    <t>+91 0459197491</t>
  </si>
  <si>
    <t>+91 7643043161</t>
  </si>
  <si>
    <t>+91 2672346003</t>
  </si>
  <si>
    <t>+91 3828098285</t>
  </si>
  <si>
    <t>+91 0502654694</t>
  </si>
  <si>
    <t>+91 4631037681</t>
  </si>
  <si>
    <t>+91 3637258525</t>
  </si>
  <si>
    <t>+91 1958490211</t>
  </si>
  <si>
    <t>+91 8224377042</t>
  </si>
  <si>
    <t>+91 2475540622</t>
  </si>
  <si>
    <t>+91 0641077145</t>
  </si>
  <si>
    <t>+91 0246806804</t>
  </si>
  <si>
    <t>+91 2390568744</t>
  </si>
  <si>
    <t>+91 2671129164</t>
  </si>
  <si>
    <t>+91 5562320699</t>
  </si>
  <si>
    <t>+91 5566958380</t>
  </si>
  <si>
    <t>+91 8851479634</t>
  </si>
  <si>
    <t>+91 8990442021</t>
  </si>
  <si>
    <t>+91 7500010140</t>
  </si>
  <si>
    <t>+91 6760532267</t>
  </si>
  <si>
    <t>+91 2802959986</t>
  </si>
  <si>
    <t>+91 6229984938</t>
  </si>
  <si>
    <t>+91 5624058615</t>
  </si>
  <si>
    <t>+91 3158210896</t>
  </si>
  <si>
    <t>+91 5021628471</t>
  </si>
  <si>
    <t>+91 9440606159</t>
  </si>
  <si>
    <t>+91 2426420685</t>
  </si>
  <si>
    <t>+91 0272859578</t>
  </si>
  <si>
    <t>+91 5320277098</t>
  </si>
  <si>
    <t>+91 6226816263</t>
  </si>
  <si>
    <t>+91 2939697367</t>
  </si>
  <si>
    <t>+91 2643145276</t>
  </si>
  <si>
    <t>+91 7459719648</t>
  </si>
  <si>
    <t>+91 1606991987</t>
  </si>
  <si>
    <t>+91 2469705179</t>
  </si>
  <si>
    <t>+91 7969254343</t>
  </si>
  <si>
    <t>+91 1003551778</t>
  </si>
  <si>
    <t>+91 6834324057</t>
  </si>
  <si>
    <t>+91 1599461982</t>
  </si>
  <si>
    <t>+91 8788329182</t>
  </si>
  <si>
    <t>+91 6314488383</t>
  </si>
  <si>
    <t>+91 6490709471</t>
  </si>
  <si>
    <t>+91 3352603090</t>
  </si>
  <si>
    <t>+91 0490303941</t>
  </si>
  <si>
    <t>+91 4499908490</t>
  </si>
  <si>
    <t>+91 6283916268</t>
  </si>
  <si>
    <t>+91 3638095149</t>
  </si>
  <si>
    <t>+91 1610937484</t>
  </si>
  <si>
    <t>+91 2223767089</t>
  </si>
  <si>
    <t>+91 2963359451</t>
  </si>
  <si>
    <t>+91 1506889564</t>
  </si>
  <si>
    <t>+91 1949561580</t>
  </si>
  <si>
    <t>+91 2064944788</t>
  </si>
  <si>
    <t>+91 2937382808</t>
  </si>
  <si>
    <t>+91 0807279837</t>
  </si>
  <si>
    <t>+91 9166349906</t>
  </si>
  <si>
    <t>+91 7509241138</t>
  </si>
  <si>
    <t>+91 8089114581</t>
  </si>
  <si>
    <t>+91 7544551849</t>
  </si>
  <si>
    <t>+91 5299036837</t>
  </si>
  <si>
    <t>+91 2253983711</t>
  </si>
  <si>
    <t>+91 5286717185</t>
  </si>
  <si>
    <t>+91 7682249268</t>
  </si>
  <si>
    <t>+91 0704174767</t>
  </si>
  <si>
    <t>+91 9316897415</t>
  </si>
  <si>
    <t>+91 8776564589</t>
  </si>
  <si>
    <t>+91 9426249338</t>
  </si>
  <si>
    <t>+91 9831831424</t>
  </si>
  <si>
    <t>+91 9652515373</t>
  </si>
  <si>
    <t>+91 6815743886</t>
  </si>
  <si>
    <t>+91 0744900381</t>
  </si>
  <si>
    <t>+91 2076356431</t>
  </si>
  <si>
    <t>+91 1996779616</t>
  </si>
  <si>
    <t>+91 5353229217</t>
  </si>
  <si>
    <t>+91 2532710802</t>
  </si>
  <si>
    <t>+91 1249042649</t>
  </si>
  <si>
    <t>+91 8153290362</t>
  </si>
  <si>
    <t>+91 2709643199</t>
  </si>
  <si>
    <t>+91 7356016707</t>
  </si>
  <si>
    <t>+91 3844591134</t>
  </si>
  <si>
    <t>+91 3963573855</t>
  </si>
  <si>
    <t>+91 2593585625</t>
  </si>
  <si>
    <t>+91 9044822262</t>
  </si>
  <si>
    <t>+91 8549422301</t>
  </si>
  <si>
    <t>+91 4986112227</t>
  </si>
  <si>
    <t>+91 3715550136</t>
  </si>
  <si>
    <t>+91 9169264434</t>
  </si>
  <si>
    <t>+91 3702858179</t>
  </si>
  <si>
    <t>+91 4853876298</t>
  </si>
  <si>
    <t>+91 5677026638</t>
  </si>
  <si>
    <t>+91 5495113845</t>
  </si>
  <si>
    <t>+91 3109277249</t>
  </si>
  <si>
    <t>+91 7020252660</t>
  </si>
  <si>
    <t>+91 0252409711</t>
  </si>
  <si>
    <t>+91 8886476818</t>
  </si>
  <si>
    <t>+91 6565657259</t>
  </si>
  <si>
    <t>+91 7679878147</t>
  </si>
  <si>
    <t>+91 0755059860</t>
  </si>
  <si>
    <t>+91 9339541497</t>
  </si>
  <si>
    <t>+91 3017046569</t>
  </si>
  <si>
    <t>+91 0494759904</t>
  </si>
  <si>
    <t>+91 0506932900</t>
  </si>
  <si>
    <t>+91 6922698095</t>
  </si>
  <si>
    <t>+91 6016875929</t>
  </si>
  <si>
    <t>+91 9225318464</t>
  </si>
  <si>
    <t>+91 7409877545</t>
  </si>
  <si>
    <t>+91 1502199480</t>
  </si>
  <si>
    <t>+91 0084751488</t>
  </si>
  <si>
    <t>+91 2007232347</t>
  </si>
  <si>
    <t>+91 1418637790</t>
  </si>
  <si>
    <t>+91 2452121480</t>
  </si>
  <si>
    <t>+91 9349695596</t>
  </si>
  <si>
    <t>+91 9901575300</t>
  </si>
  <si>
    <t>+91 3300860892</t>
  </si>
  <si>
    <t>+91 7399139877</t>
  </si>
  <si>
    <t>+91 4379019888</t>
  </si>
  <si>
    <t>+91 2038078476</t>
  </si>
  <si>
    <t>+91 1278101704</t>
  </si>
  <si>
    <t>+91 8327630591</t>
  </si>
  <si>
    <t>+91 1511349999</t>
  </si>
  <si>
    <t>+91 7906651888</t>
  </si>
  <si>
    <t>+91 4450563997</t>
  </si>
  <si>
    <t>+91 9935328568</t>
  </si>
  <si>
    <t>+91 2188897979</t>
  </si>
  <si>
    <t>+91 3264403739</t>
  </si>
  <si>
    <t>+91 5049558708</t>
  </si>
  <si>
    <t>+91 8529975901</t>
  </si>
  <si>
    <t>+91 0216370988</t>
  </si>
  <si>
    <t>+91 0816126031</t>
  </si>
  <si>
    <t>+91 5651981992</t>
  </si>
  <si>
    <t>+91 7521751800</t>
  </si>
  <si>
    <t>+91 1790420894</t>
  </si>
  <si>
    <t>+91 7071738415</t>
  </si>
  <si>
    <t>+91 8883761158</t>
  </si>
  <si>
    <t>+91 5697892374</t>
  </si>
  <si>
    <t>+91 3462368808</t>
  </si>
  <si>
    <t>+91 3484058625</t>
  </si>
  <si>
    <t>+91 0186910345</t>
  </si>
  <si>
    <t>+91 4024422127</t>
  </si>
  <si>
    <t>+91 8458453288</t>
  </si>
  <si>
    <t>+91 5752072077</t>
  </si>
  <si>
    <t>+91 7839878858</t>
  </si>
  <si>
    <t>+91 0497495991</t>
  </si>
  <si>
    <t>+91 9968333692</t>
  </si>
  <si>
    <t>+91 9330395176</t>
  </si>
  <si>
    <t>+91 9903478868</t>
  </si>
  <si>
    <t>+91 1470359032</t>
  </si>
  <si>
    <t>+91 0225631558</t>
  </si>
  <si>
    <t>+91 7914903042</t>
  </si>
  <si>
    <t>+91 9003166455</t>
  </si>
  <si>
    <t>+91 5977216758</t>
  </si>
  <si>
    <t>+91 4371956553</t>
  </si>
  <si>
    <t>+91 9065135599</t>
  </si>
  <si>
    <t>+91 9301211896</t>
  </si>
  <si>
    <t>+91 0356130310</t>
  </si>
  <si>
    <t>+91 0162802018</t>
  </si>
  <si>
    <t>+91 8971325230</t>
  </si>
  <si>
    <t>+91 5844086906</t>
  </si>
  <si>
    <t>+91 6940208188</t>
  </si>
  <si>
    <t>+91 9001739181</t>
  </si>
  <si>
    <t>+91 8075453720</t>
  </si>
  <si>
    <t>+91 4673165874</t>
  </si>
  <si>
    <t>+91 9740200924</t>
  </si>
  <si>
    <t>+91 3558708235</t>
  </si>
  <si>
    <t>+91 4851071588</t>
  </si>
  <si>
    <t>+91 8071442000</t>
  </si>
  <si>
    <t>+91 1459632055</t>
  </si>
  <si>
    <t>+91 8179209102</t>
  </si>
  <si>
    <t>+91 6718880192</t>
  </si>
  <si>
    <t>+91 0633771743</t>
  </si>
  <si>
    <t>+91 8021963074</t>
  </si>
  <si>
    <t>+91 8271307389</t>
  </si>
  <si>
    <t>+91 9936253556</t>
  </si>
  <si>
    <t>+91 4811272229</t>
  </si>
  <si>
    <t>+91 2835501294</t>
  </si>
  <si>
    <t>+91 0059591360</t>
  </si>
  <si>
    <t>+91 7075878631</t>
  </si>
  <si>
    <t>+91 5691631979</t>
  </si>
  <si>
    <t>+91 7710668637</t>
  </si>
  <si>
    <t>+91 1697384866</t>
  </si>
  <si>
    <t>+91 3278945028</t>
  </si>
  <si>
    <t>+91 2315803075</t>
  </si>
  <si>
    <t>+91 1733872367</t>
  </si>
  <si>
    <t>+91 9310981453</t>
  </si>
  <si>
    <t>+91 1207744708</t>
  </si>
  <si>
    <t>+91 1127676524</t>
  </si>
  <si>
    <t>+91 1873189728</t>
  </si>
  <si>
    <t>+91 1545089617</t>
  </si>
  <si>
    <t>+91 1835179309</t>
  </si>
  <si>
    <t>+91 0290770736</t>
  </si>
  <si>
    <t>+91 7618996391</t>
  </si>
  <si>
    <t>+91 5154452333</t>
  </si>
  <si>
    <t>+91 5440755185</t>
  </si>
  <si>
    <t>+91 3094988165</t>
  </si>
  <si>
    <t>+91 7634266715</t>
  </si>
  <si>
    <t>+91 5011123327</t>
  </si>
  <si>
    <t>+91 5891973925</t>
  </si>
  <si>
    <t>+91 5290869855</t>
  </si>
  <si>
    <t>+91 7886725404</t>
  </si>
  <si>
    <t>+91 9710589267</t>
  </si>
  <si>
    <t>+91 9191580291</t>
  </si>
  <si>
    <t>+91 0699572504</t>
  </si>
  <si>
    <t>+91 5398463019</t>
  </si>
  <si>
    <t>+91 2163359923</t>
  </si>
  <si>
    <t>+91 2793416033</t>
  </si>
  <si>
    <t>+91 4403183011</t>
  </si>
  <si>
    <t>+91 2734392857</t>
  </si>
  <si>
    <t>+91 9665441874</t>
  </si>
  <si>
    <t>+91 7085556926</t>
  </si>
  <si>
    <t>+91 1405729456</t>
  </si>
  <si>
    <t>+91 0343938875</t>
  </si>
  <si>
    <t>+91 4219171751</t>
  </si>
  <si>
    <t>+91 3855111685</t>
  </si>
  <si>
    <t>+91 0487868103</t>
  </si>
  <si>
    <t>+91 2325321959</t>
  </si>
  <si>
    <t>+91 9855287115</t>
  </si>
  <si>
    <t>+91 7740782055</t>
  </si>
  <si>
    <t>+91 9915727013</t>
  </si>
  <si>
    <t>+91 1164203429</t>
  </si>
  <si>
    <t>+91 6043227943</t>
  </si>
  <si>
    <t>+91 4145369146</t>
  </si>
  <si>
    <t>+91 7872977699</t>
  </si>
  <si>
    <t>+91 6130740120</t>
  </si>
  <si>
    <t>+91 7318984031</t>
  </si>
  <si>
    <t>+91 0040661721</t>
  </si>
  <si>
    <t>+91 2303767307</t>
  </si>
  <si>
    <t>+91 7923792081</t>
  </si>
  <si>
    <t>+91 7212205099</t>
  </si>
  <si>
    <t>+91 9754732185</t>
  </si>
  <si>
    <t>+91 8680917150</t>
  </si>
  <si>
    <t>+91 8832068803</t>
  </si>
  <si>
    <t>+91 3050153787</t>
  </si>
  <si>
    <t>+91 6462288350</t>
  </si>
  <si>
    <t>+91 2111173773</t>
  </si>
  <si>
    <t>+91 3511359787</t>
  </si>
  <si>
    <t>+91 1070769903</t>
  </si>
  <si>
    <t>+91 6001614661</t>
  </si>
  <si>
    <t>+91 8244066523</t>
  </si>
  <si>
    <t>+91 3891332697</t>
  </si>
  <si>
    <t>+91 1823613679</t>
  </si>
  <si>
    <t>+91 5447994639</t>
  </si>
  <si>
    <t>+91 8709371704</t>
  </si>
  <si>
    <t>+91 1669214430</t>
  </si>
  <si>
    <t>+91 9650815418</t>
  </si>
  <si>
    <t>+91 9759993293</t>
  </si>
  <si>
    <t>+91 7291193100</t>
  </si>
  <si>
    <t>+91 7369657689</t>
  </si>
  <si>
    <t>+91 1575571698</t>
  </si>
  <si>
    <t>+91 1083778454</t>
  </si>
  <si>
    <t>+91 3916742222</t>
  </si>
  <si>
    <t>+91 0353123416</t>
  </si>
  <si>
    <t>+91 9436398484</t>
  </si>
  <si>
    <t>+91 5412693673</t>
  </si>
  <si>
    <t>+91 5452965840</t>
  </si>
  <si>
    <t>+91 4786757377</t>
  </si>
  <si>
    <t>+91 1063992343</t>
  </si>
  <si>
    <t>+91 7991313219</t>
  </si>
  <si>
    <t>+91 3945363161</t>
  </si>
  <si>
    <t>+91 2120981155</t>
  </si>
  <si>
    <t>+91 4008751178</t>
  </si>
  <si>
    <t>+91 2049113694</t>
  </si>
  <si>
    <t>+91 7234198105</t>
  </si>
  <si>
    <t>+91 4512992343</t>
  </si>
  <si>
    <t>+91 1129240311</t>
  </si>
  <si>
    <t>+91 2050131840</t>
  </si>
  <si>
    <t>+91 9816934830</t>
  </si>
  <si>
    <t>+91 2418864620</t>
  </si>
  <si>
    <t>+91 1668137245</t>
  </si>
  <si>
    <t>+91 3423302956</t>
  </si>
  <si>
    <t>+91 1404233654</t>
  </si>
  <si>
    <t>+91 2152507402</t>
  </si>
  <si>
    <t>+91 0984872589</t>
  </si>
  <si>
    <t>+91 8013249753</t>
  </si>
  <si>
    <t>+91 5408280165</t>
  </si>
  <si>
    <t>+91 3681025465</t>
  </si>
  <si>
    <t>+91 1678497722</t>
  </si>
  <si>
    <t>+91 3256049810</t>
  </si>
  <si>
    <t>+91 5047247078</t>
  </si>
  <si>
    <t>+91 2897685941</t>
  </si>
  <si>
    <t>+91 8453952156</t>
  </si>
  <si>
    <t>+91 6965597942</t>
  </si>
  <si>
    <t>+91 3436600625</t>
  </si>
  <si>
    <t>+91 8531148606</t>
  </si>
  <si>
    <t>+91 7779110023</t>
  </si>
  <si>
    <t>+91 7978338800</t>
  </si>
  <si>
    <t>+91 4235041107</t>
  </si>
  <si>
    <t>+91 2486820596</t>
  </si>
  <si>
    <t>+91 5647939109</t>
  </si>
  <si>
    <t>+91 8536266390</t>
  </si>
  <si>
    <t>+91 0823101746</t>
  </si>
  <si>
    <t>+91 4093933934</t>
  </si>
  <si>
    <t>+91 9315017549</t>
  </si>
  <si>
    <t>+91 5661323823</t>
  </si>
  <si>
    <t>+91 7065050228</t>
  </si>
  <si>
    <t>+91 4978948916</t>
  </si>
  <si>
    <t>+91 4786994139</t>
  </si>
  <si>
    <t>+91 6856386385</t>
  </si>
  <si>
    <t>+91 3892383874</t>
  </si>
  <si>
    <t>+91 7755857093</t>
  </si>
  <si>
    <t>+91 9246634671</t>
  </si>
  <si>
    <t>+91 9381091906</t>
  </si>
  <si>
    <t>+91 5404946698</t>
  </si>
  <si>
    <t>+91 3414356493</t>
  </si>
  <si>
    <t>+91 2407007029</t>
  </si>
  <si>
    <t>+91 0243073644</t>
  </si>
  <si>
    <t>+91 7278335763</t>
  </si>
  <si>
    <t>+91 6286063566</t>
  </si>
  <si>
    <t>+91 1228817591</t>
  </si>
  <si>
    <t>+91 1809872278</t>
  </si>
  <si>
    <t>+91 1571789946</t>
  </si>
  <si>
    <t>+91 7690471670</t>
  </si>
  <si>
    <t>+91 0563830522</t>
  </si>
  <si>
    <t>+91 0278852990</t>
  </si>
  <si>
    <t>+91 0562089731</t>
  </si>
  <si>
    <t>+91 8450880725</t>
  </si>
  <si>
    <t>+91 5215523084</t>
  </si>
  <si>
    <t>+91 5431934838</t>
  </si>
  <si>
    <t>+91 6860155089</t>
  </si>
  <si>
    <t>+91 9762871484</t>
  </si>
  <si>
    <t>+91 9702794044</t>
  </si>
  <si>
    <t>+91 1404944561</t>
  </si>
  <si>
    <t>+91 6960371198</t>
  </si>
  <si>
    <t>+91 0149185401</t>
  </si>
  <si>
    <t>+91 3511838794</t>
  </si>
  <si>
    <t>+91 4609805376</t>
  </si>
  <si>
    <t>+91 2289887809</t>
  </si>
  <si>
    <t>+91 4111836831</t>
  </si>
  <si>
    <t>+91 4533329148</t>
  </si>
  <si>
    <t>+91 9581520644</t>
  </si>
  <si>
    <t>+91 4981919233</t>
  </si>
  <si>
    <t>+91 8134091496</t>
  </si>
  <si>
    <t>+91 3098173467</t>
  </si>
  <si>
    <t>+91 1383854234</t>
  </si>
  <si>
    <t>+91 1396906779</t>
  </si>
  <si>
    <t>+91 5701173758</t>
  </si>
  <si>
    <t>+91 1624492488</t>
  </si>
  <si>
    <t>+91 1681959736</t>
  </si>
  <si>
    <t>+91 1002570658</t>
  </si>
  <si>
    <t>+91 8508196762</t>
  </si>
  <si>
    <t>+91 6412308410</t>
  </si>
  <si>
    <t>+91 6904056157</t>
  </si>
  <si>
    <t>+91 0595672977</t>
  </si>
  <si>
    <t>+91 3320293484</t>
  </si>
  <si>
    <t>+91 9258627857</t>
  </si>
  <si>
    <t>+91 7341694517</t>
  </si>
  <si>
    <t>+91 0373222219</t>
  </si>
  <si>
    <t>+91 9671778878</t>
  </si>
  <si>
    <t>+91 8960354124</t>
  </si>
  <si>
    <t>+91 9710694788</t>
  </si>
  <si>
    <t>+91 3784696920</t>
  </si>
  <si>
    <t>+91 2049796512</t>
  </si>
  <si>
    <t>+91 3629450243</t>
  </si>
  <si>
    <t>+91 3877918360</t>
  </si>
  <si>
    <t>+91 7193482358</t>
  </si>
  <si>
    <t>+91 8641158424</t>
  </si>
  <si>
    <t>+91 2024507162</t>
  </si>
  <si>
    <t>+91 5390854322</t>
  </si>
  <si>
    <t>+91 7653208502</t>
  </si>
  <si>
    <t>+91 4387197632</t>
  </si>
  <si>
    <t>+91 6904477813</t>
  </si>
  <si>
    <t>+91 2138508430</t>
  </si>
  <si>
    <t>+91 5119084581</t>
  </si>
  <si>
    <t>+91 5971170235</t>
  </si>
  <si>
    <t>+91 2223617937</t>
  </si>
  <si>
    <t>+91 1470310986</t>
  </si>
  <si>
    <t>+91 5954916809</t>
  </si>
  <si>
    <t>+91 5604127413</t>
  </si>
  <si>
    <t>+91 4402409793</t>
  </si>
  <si>
    <t>+91 1138744646</t>
  </si>
  <si>
    <t>+91 3358512982</t>
  </si>
  <si>
    <t>+91 6010819930</t>
  </si>
  <si>
    <t>+91 1520657991</t>
  </si>
  <si>
    <t>+91 5757535547</t>
  </si>
  <si>
    <t>+91 0642417890</t>
  </si>
  <si>
    <t>+91 7398090396</t>
  </si>
  <si>
    <t>+91 2534964184</t>
  </si>
  <si>
    <t>+91 8600651837</t>
  </si>
  <si>
    <t>+91 8609976851</t>
  </si>
  <si>
    <t>+91 9220372303</t>
  </si>
  <si>
    <t>+91 1987800812</t>
  </si>
  <si>
    <t>+91 0900351538</t>
  </si>
  <si>
    <t>+91 1534138884</t>
  </si>
  <si>
    <t>+91 9835549658</t>
  </si>
  <si>
    <t>+91 6145057479</t>
  </si>
  <si>
    <t>+91 8544049700</t>
  </si>
  <si>
    <t>+91 0558172262</t>
  </si>
  <si>
    <t>+91 4695202262</t>
  </si>
  <si>
    <t>+91 5120387227</t>
  </si>
  <si>
    <t>+91 1015857577</t>
  </si>
  <si>
    <t>+91 3235442482</t>
  </si>
  <si>
    <t>+91 3776498944</t>
  </si>
  <si>
    <t>+91 9717970793</t>
  </si>
  <si>
    <t>+91 1515109442</t>
  </si>
  <si>
    <t>+91 7595164610</t>
  </si>
  <si>
    <t>+91 2682175426</t>
  </si>
  <si>
    <t>+91 3617387085</t>
  </si>
  <si>
    <t>+91 0129551913</t>
  </si>
  <si>
    <t>+91 9461141514</t>
  </si>
  <si>
    <t>+91 6267103955</t>
  </si>
  <si>
    <t>+91 6822244500</t>
  </si>
  <si>
    <t>+91 6621928279</t>
  </si>
  <si>
    <t>+91 8360964300</t>
  </si>
  <si>
    <t>+91 2969817701</t>
  </si>
  <si>
    <t>+91 6917576194</t>
  </si>
  <si>
    <t>+91 0967248506</t>
  </si>
  <si>
    <t>+91 7264184036</t>
  </si>
  <si>
    <t>+91 5614320046</t>
  </si>
  <si>
    <t>+91 5404125695</t>
  </si>
  <si>
    <t>+91 7791567603</t>
  </si>
  <si>
    <t>+91 5631629013</t>
  </si>
  <si>
    <t>+91 8755798149</t>
  </si>
  <si>
    <t>+91 2277347822</t>
  </si>
  <si>
    <t>+91 4163851415</t>
  </si>
  <si>
    <t>+91 4108555823</t>
  </si>
  <si>
    <t>+91 3667012213</t>
  </si>
  <si>
    <t>+91 1076462848</t>
  </si>
  <si>
    <t>+91 8072680527</t>
  </si>
  <si>
    <t>+91 6179994933</t>
  </si>
  <si>
    <t>+91 6634347298</t>
  </si>
  <si>
    <t>+91 1757766368</t>
  </si>
  <si>
    <t>+91 3111112936</t>
  </si>
  <si>
    <t>+91 6489084001</t>
  </si>
  <si>
    <t>+91 7000015244</t>
  </si>
  <si>
    <t>+91 6715918305</t>
  </si>
  <si>
    <t>+91 9634515512</t>
  </si>
  <si>
    <t>+91 9100219392</t>
  </si>
  <si>
    <t>+91 9545712832</t>
  </si>
  <si>
    <t>+91 7989037221</t>
  </si>
  <si>
    <t>+91 2457702056</t>
  </si>
  <si>
    <t>+91 8033806563</t>
  </si>
  <si>
    <t>+91 5788096535</t>
  </si>
  <si>
    <t>+91 0263684234</t>
  </si>
  <si>
    <t>+91 7724412766</t>
  </si>
  <si>
    <t>+91 9224154305</t>
  </si>
  <si>
    <t>+91 8809071866</t>
  </si>
  <si>
    <t>+91 6119441559</t>
  </si>
  <si>
    <t>+91 0337612730</t>
  </si>
  <si>
    <t>+91 6443921863</t>
  </si>
  <si>
    <t>+91 1528683574</t>
  </si>
  <si>
    <t>+91 3181393333</t>
  </si>
  <si>
    <t>+91 2319703283</t>
  </si>
  <si>
    <t>+91 7348496772</t>
  </si>
  <si>
    <t>+91 1798073999</t>
  </si>
  <si>
    <t>+91 6995976467</t>
  </si>
  <si>
    <t>+91 3186135085</t>
  </si>
  <si>
    <t>+91 1304012708</t>
  </si>
  <si>
    <t>+91 7871151062</t>
  </si>
  <si>
    <t>+91 8824763397</t>
  </si>
  <si>
    <t>+91 4890147030</t>
  </si>
  <si>
    <t>+91 7076815594</t>
  </si>
  <si>
    <t>+91 6114411405</t>
  </si>
  <si>
    <t>+91 7757353448</t>
  </si>
  <si>
    <t>+91 3517952085</t>
  </si>
  <si>
    <t>+91 6054714035</t>
  </si>
  <si>
    <t>+91 4251423487</t>
  </si>
  <si>
    <t>+91 4073270267</t>
  </si>
  <si>
    <t>+91 6450467735</t>
  </si>
  <si>
    <t>+91 7142142509</t>
  </si>
  <si>
    <t>+91 7290558396</t>
  </si>
  <si>
    <t>+91 4233855803</t>
  </si>
  <si>
    <t>+91 7415692208</t>
  </si>
  <si>
    <t>+91 2914361189</t>
  </si>
  <si>
    <t>+91 6245595848</t>
  </si>
  <si>
    <t>+91 9409949966</t>
  </si>
  <si>
    <t>+91 8297639633</t>
  </si>
  <si>
    <t>+91 4319045600</t>
  </si>
  <si>
    <t>+91 3891341273</t>
  </si>
  <si>
    <t>+91 6959097840</t>
  </si>
  <si>
    <t>+91 7645883887</t>
  </si>
  <si>
    <t>+91 9521741742</t>
  </si>
  <si>
    <t>+91 1888525076</t>
  </si>
  <si>
    <t>+91 3413608833</t>
  </si>
  <si>
    <t>+91 0547051255</t>
  </si>
  <si>
    <t>+91 0309654923</t>
  </si>
  <si>
    <t>+91 9104289127</t>
  </si>
  <si>
    <t>+91 0323955447</t>
  </si>
  <si>
    <t>+91 2019099379</t>
  </si>
  <si>
    <t>+91 0022861500</t>
  </si>
  <si>
    <t>+91 6251878470</t>
  </si>
  <si>
    <t>+91 2245481746</t>
  </si>
  <si>
    <t>+91 7257671139</t>
  </si>
  <si>
    <t>+91 8649951831</t>
  </si>
  <si>
    <t>+91 1540387046</t>
  </si>
  <si>
    <t>+91 9945844361</t>
  </si>
  <si>
    <t>+91 0003504482</t>
  </si>
  <si>
    <t>+91 7862989845</t>
  </si>
  <si>
    <t>+91 5184616515</t>
  </si>
  <si>
    <t>+91 4635554251</t>
  </si>
  <si>
    <t>+91 7542095639</t>
  </si>
  <si>
    <t>+91 9264941056</t>
  </si>
  <si>
    <t>+91 0560221981</t>
  </si>
  <si>
    <t>+91 3179638749</t>
  </si>
  <si>
    <t>+91 9621844967</t>
  </si>
  <si>
    <t>+91 8649838528</t>
  </si>
  <si>
    <t>+91 5250882702</t>
  </si>
  <si>
    <t>+91 6175337366</t>
  </si>
  <si>
    <t>+91 9016251720</t>
  </si>
  <si>
    <t>+91 3597869992</t>
  </si>
  <si>
    <t>+91 0072927338</t>
  </si>
  <si>
    <t>+91 0070025256</t>
  </si>
  <si>
    <t>+91 5556437645</t>
  </si>
  <si>
    <t>+91 4111083259</t>
  </si>
  <si>
    <t>+91 0784498078</t>
  </si>
  <si>
    <t>+91 0808941296</t>
  </si>
  <si>
    <t>+91 5921132202</t>
  </si>
  <si>
    <t>+91 8437379337</t>
  </si>
  <si>
    <t>+91 6338327272</t>
  </si>
  <si>
    <t>+91 8464570622</t>
  </si>
  <si>
    <t>+91 7904575340</t>
  </si>
  <si>
    <t>+91 1027368229</t>
  </si>
  <si>
    <t>+91 7041425516</t>
  </si>
  <si>
    <t>+91 4201535713</t>
  </si>
  <si>
    <t>+91 8372814091</t>
  </si>
  <si>
    <t>+91 4922734686</t>
  </si>
  <si>
    <t>+91 5839191603</t>
  </si>
  <si>
    <t>+91 7298016429</t>
  </si>
  <si>
    <t>+91 7850687657</t>
  </si>
  <si>
    <t>+91 4472720803</t>
  </si>
  <si>
    <t>+91 0762692864</t>
  </si>
  <si>
    <t>+91 9688846532</t>
  </si>
  <si>
    <t>+91 6007189550</t>
  </si>
  <si>
    <t>+91 4308843804</t>
  </si>
  <si>
    <t>+91 1355735011</t>
  </si>
  <si>
    <t>+91 7984376988</t>
  </si>
  <si>
    <t>+91 8487502372</t>
  </si>
  <si>
    <t>+91 3207744536</t>
  </si>
  <si>
    <t>+91 9868560133</t>
  </si>
  <si>
    <t>+91 5715165797</t>
  </si>
  <si>
    <t>+91 2809203832</t>
  </si>
  <si>
    <t>+91 2762179692</t>
  </si>
  <si>
    <t>+91 4211413529</t>
  </si>
  <si>
    <t>+91 8329216080</t>
  </si>
  <si>
    <t>+91 8814240007</t>
  </si>
  <si>
    <t>+91 6934346490</t>
  </si>
  <si>
    <t>+91 5074420033</t>
  </si>
  <si>
    <t>+91 3954961585</t>
  </si>
  <si>
    <t>+91 4912840758</t>
  </si>
  <si>
    <t>+91 6512028767</t>
  </si>
  <si>
    <t>+91 7194390327</t>
  </si>
  <si>
    <t>+91 4917593585</t>
  </si>
  <si>
    <t>+91 6259907094</t>
  </si>
  <si>
    <t>+91 7010183185</t>
  </si>
  <si>
    <t>+91 6908966057</t>
  </si>
  <si>
    <t>+91 6221418128</t>
  </si>
  <si>
    <t>+91 3178409759</t>
  </si>
  <si>
    <t>+91 5252904998</t>
  </si>
  <si>
    <t>+91 2701755101</t>
  </si>
  <si>
    <t>+91 4457489183</t>
  </si>
  <si>
    <t>+91 7962730480</t>
  </si>
  <si>
    <t>+91 7763551430</t>
  </si>
  <si>
    <t>+91 0610441180</t>
  </si>
  <si>
    <t>+91 6352863387</t>
  </si>
  <si>
    <t>+91 5368939095</t>
  </si>
  <si>
    <t>+91 6083586367</t>
  </si>
  <si>
    <t>+91 0418730057</t>
  </si>
  <si>
    <t>+91 2711683424</t>
  </si>
  <si>
    <t>+91 6901118964</t>
  </si>
  <si>
    <t>+91 5893226798</t>
  </si>
  <si>
    <t>+91 6211604235</t>
  </si>
  <si>
    <t>+91 0108405943</t>
  </si>
  <si>
    <t>+91 1773336981</t>
  </si>
  <si>
    <t>+91 9403260145</t>
  </si>
  <si>
    <t>+91 8409516332</t>
  </si>
  <si>
    <t>+91 1102234605</t>
  </si>
  <si>
    <t>+91 3391161613</t>
  </si>
  <si>
    <t>+91 8365821949</t>
  </si>
  <si>
    <t>+91 1062541013</t>
  </si>
  <si>
    <t>+91 5335065232</t>
  </si>
  <si>
    <t>+91 3963545883</t>
  </si>
  <si>
    <t>+91 1531881648</t>
  </si>
  <si>
    <t>+91 9479334483</t>
  </si>
  <si>
    <t>+91 6452818167</t>
  </si>
  <si>
    <t>+91 8116734796</t>
  </si>
  <si>
    <t>+91 1090695959</t>
  </si>
  <si>
    <t>+91 7516060642</t>
  </si>
  <si>
    <t>+91 8821908730</t>
  </si>
  <si>
    <t>+91 2989717242</t>
  </si>
  <si>
    <t>+91 0743383478</t>
  </si>
  <si>
    <t>+91 3703350099</t>
  </si>
  <si>
    <t>+91 4265046961</t>
  </si>
  <si>
    <t>+91 3745910029</t>
  </si>
  <si>
    <t>+91 4425654971</t>
  </si>
  <si>
    <t>+91 8222664220</t>
  </si>
  <si>
    <t>+91 3970982823</t>
  </si>
  <si>
    <t>+91 2888597947</t>
  </si>
  <si>
    <t>+91 3008441599</t>
  </si>
  <si>
    <t>+91 2850752240</t>
  </si>
  <si>
    <t>+91 4039042433</t>
  </si>
  <si>
    <t>+91 5391152225</t>
  </si>
  <si>
    <t>+91 2446752881</t>
  </si>
  <si>
    <t>+91 8618773868</t>
  </si>
  <si>
    <t>+91 7085238699</t>
  </si>
  <si>
    <t>+91 6233869077</t>
  </si>
  <si>
    <t>+91 3477591025</t>
  </si>
  <si>
    <t>+91 9221884655</t>
  </si>
  <si>
    <t>+91 2747569809</t>
  </si>
  <si>
    <t>+91 3062251629</t>
  </si>
  <si>
    <t>+91 5909333792</t>
  </si>
  <si>
    <t>+91 5986185671</t>
  </si>
  <si>
    <t>+91 7844279749</t>
  </si>
  <si>
    <t>+91 9741377310</t>
  </si>
  <si>
    <t>+91 6179366536</t>
  </si>
  <si>
    <t>+91 8705229853</t>
  </si>
  <si>
    <t>+91 9558987889</t>
  </si>
  <si>
    <t>+91 4913450420</t>
  </si>
  <si>
    <t>+91 0927567874</t>
  </si>
  <si>
    <t>+91 2531434910</t>
  </si>
  <si>
    <t>+91 9613502561</t>
  </si>
  <si>
    <t>+91 5288546945</t>
  </si>
  <si>
    <t>+91 4440492661</t>
  </si>
  <si>
    <t>+91 5060441158</t>
  </si>
  <si>
    <t>+91 5911411450</t>
  </si>
  <si>
    <t>+91 4577524955</t>
  </si>
  <si>
    <t>+91 5232543377</t>
  </si>
  <si>
    <t>+91 7271802702</t>
  </si>
  <si>
    <t>+91 2896750647</t>
  </si>
  <si>
    <t>+91 5182675786</t>
  </si>
  <si>
    <t>+91 6458148488</t>
  </si>
  <si>
    <t>+91 6422855898</t>
  </si>
  <si>
    <t>+91 3782250981</t>
  </si>
  <si>
    <t>+91 5243154637</t>
  </si>
  <si>
    <t>+91 9172240295</t>
  </si>
  <si>
    <t>+91 6086660256</t>
  </si>
  <si>
    <t>+91 0604374140</t>
  </si>
  <si>
    <t>+91 9161245002</t>
  </si>
  <si>
    <t>+91 9580324190</t>
  </si>
  <si>
    <t>+91 1681093260</t>
  </si>
  <si>
    <t>+91 6370404939</t>
  </si>
  <si>
    <t>+91 2230310422</t>
  </si>
  <si>
    <t>+91 5546115681</t>
  </si>
  <si>
    <t>+91 8266138949</t>
  </si>
  <si>
    <t>+91 5672624602</t>
  </si>
  <si>
    <t>+91 6404054080</t>
  </si>
  <si>
    <t>+91 4019206396</t>
  </si>
  <si>
    <t>+91 1381549318</t>
  </si>
  <si>
    <t>+91 5906890113</t>
  </si>
  <si>
    <t>+91 8330868876</t>
  </si>
  <si>
    <t>+91 1759052197</t>
  </si>
  <si>
    <t>+91 7977281695</t>
  </si>
  <si>
    <t>+91 4406297637</t>
  </si>
  <si>
    <t>+91 0423872244</t>
  </si>
  <si>
    <t>+91 9830476764</t>
  </si>
  <si>
    <t>+91 2037843942</t>
  </si>
  <si>
    <t>+91 8527681609</t>
  </si>
  <si>
    <t>+91 0176201077</t>
  </si>
  <si>
    <t>+91 8397644650</t>
  </si>
  <si>
    <t>+91 8428214359</t>
  </si>
  <si>
    <t>+91 4880699937</t>
  </si>
  <si>
    <t>+91 4922570680</t>
  </si>
  <si>
    <t>+91 7103333690</t>
  </si>
  <si>
    <t>+91 8929058175</t>
  </si>
  <si>
    <t>+91 0718419040</t>
  </si>
  <si>
    <t>+91 4414689183</t>
  </si>
  <si>
    <t>+91 0854153750</t>
  </si>
  <si>
    <t>+91 8306001388</t>
  </si>
  <si>
    <t>+91 4567237361</t>
  </si>
  <si>
    <t>+91 0973414635</t>
  </si>
  <si>
    <t>+91 3137310686</t>
  </si>
  <si>
    <t>+91 2305296489</t>
  </si>
  <si>
    <t>+91 4384027696</t>
  </si>
  <si>
    <t>+91 1561807062</t>
  </si>
  <si>
    <t>+91 2103922719</t>
  </si>
  <si>
    <t>+91 7525184978</t>
  </si>
  <si>
    <t>+91 7542978097</t>
  </si>
  <si>
    <t>+91 6839488081</t>
  </si>
  <si>
    <t>+91 8008393394</t>
  </si>
  <si>
    <t>+91 8119271474</t>
  </si>
  <si>
    <t>+91 5315750077</t>
  </si>
  <si>
    <t>+91 0434819560</t>
  </si>
  <si>
    <t>+91 3158193485</t>
  </si>
  <si>
    <t>+91 2796711373</t>
  </si>
  <si>
    <t>+91 4096683021</t>
  </si>
  <si>
    <t>+91 8148360842</t>
  </si>
  <si>
    <t>+91 4386796731</t>
  </si>
  <si>
    <t>+91 3964561949</t>
  </si>
  <si>
    <t>+91 4128583522</t>
  </si>
  <si>
    <t>+91 5668833507</t>
  </si>
  <si>
    <t>+91 4544180053</t>
  </si>
  <si>
    <t>+91 5267543290</t>
  </si>
  <si>
    <t>+91 2458067735</t>
  </si>
  <si>
    <t>+91 0044523680</t>
  </si>
  <si>
    <t>+91 7283369397</t>
  </si>
  <si>
    <t>+91 9397281919</t>
  </si>
  <si>
    <t>+91 4619709700</t>
  </si>
  <si>
    <t>+91 6184233065</t>
  </si>
  <si>
    <t>+91 9130497379</t>
  </si>
  <si>
    <t>+91 2708977456</t>
  </si>
  <si>
    <t>+91 6922466372</t>
  </si>
  <si>
    <t>+91 3106052402</t>
  </si>
  <si>
    <t>+91 6769225157</t>
  </si>
  <si>
    <t>+91 4418735947</t>
  </si>
  <si>
    <t>+91 5180539659</t>
  </si>
  <si>
    <t>+91 3264210121</t>
  </si>
  <si>
    <t>+91 7326096426</t>
  </si>
  <si>
    <t>+91 9664344706</t>
  </si>
  <si>
    <t>+91 6451539348</t>
  </si>
  <si>
    <t>+91 0832775299</t>
  </si>
  <si>
    <t>+91 8400605285</t>
  </si>
  <si>
    <t>+91 6118732298</t>
  </si>
  <si>
    <t>+91 7959633846</t>
  </si>
  <si>
    <t>+91 7966495979</t>
  </si>
  <si>
    <t>+91 4095736096</t>
  </si>
  <si>
    <t>+91 4202367587</t>
  </si>
  <si>
    <t>+91 4063659091</t>
  </si>
  <si>
    <t>+91 4748529609</t>
  </si>
  <si>
    <t>+91 9037738305</t>
  </si>
  <si>
    <t>+91 7712776407</t>
  </si>
  <si>
    <t>+91 9896940944</t>
  </si>
  <si>
    <t>+91 1273724037</t>
  </si>
  <si>
    <t>+91 1899826107</t>
  </si>
  <si>
    <t>+91 3000001895</t>
  </si>
  <si>
    <t>+91 5891207857</t>
  </si>
  <si>
    <t>+91 3716167667</t>
  </si>
  <si>
    <t>+91 6670141908</t>
  </si>
  <si>
    <t>+91 2660193883</t>
  </si>
  <si>
    <t>+91 2417740745</t>
  </si>
  <si>
    <t>+91 3872451595</t>
  </si>
  <si>
    <t>+91 0871995426</t>
  </si>
  <si>
    <t>+91 2235428765</t>
  </si>
  <si>
    <t>+91 3642850397</t>
  </si>
  <si>
    <t>+91 9644168251</t>
  </si>
  <si>
    <t>+91 3356117664</t>
  </si>
  <si>
    <t>+91 0444800845</t>
  </si>
  <si>
    <t>+91 3239542865</t>
  </si>
  <si>
    <t>+91 8167722781</t>
  </si>
  <si>
    <t>+91 6614894683</t>
  </si>
  <si>
    <t>+91 3122288891</t>
  </si>
  <si>
    <t>+91 1991266705</t>
  </si>
  <si>
    <t>+91 8680573863</t>
  </si>
  <si>
    <t>+91 9265029545</t>
  </si>
  <si>
    <t>+91 3147758955</t>
  </si>
  <si>
    <t>+91 3117880937</t>
  </si>
  <si>
    <t>+91 0043970214</t>
  </si>
  <si>
    <t>+91 4415564689</t>
  </si>
  <si>
    <t>+91 9437153273</t>
  </si>
  <si>
    <t>+91 9369403302</t>
  </si>
  <si>
    <t>+91 3401854967</t>
  </si>
  <si>
    <t>+91 4257767544</t>
  </si>
  <si>
    <t>+91 2608673334</t>
  </si>
  <si>
    <t>+91 0523140912</t>
  </si>
  <si>
    <t>+91 7415510271</t>
  </si>
  <si>
    <t>+91 8751238813</t>
  </si>
  <si>
    <t>+91 1849925221</t>
  </si>
  <si>
    <t>+91 5865543293</t>
  </si>
  <si>
    <t>+91 3491128593</t>
  </si>
  <si>
    <t>+91 5058637648</t>
  </si>
  <si>
    <t>+91 5313317336</t>
  </si>
  <si>
    <t>+91 8000209677</t>
  </si>
  <si>
    <t>+91 6032131558</t>
  </si>
  <si>
    <t>+91 7824411765</t>
  </si>
  <si>
    <t>+91 8393480958</t>
  </si>
  <si>
    <t>+91 9445252249</t>
  </si>
  <si>
    <t>+91 6509288338</t>
  </si>
  <si>
    <t>+91 6197613704</t>
  </si>
  <si>
    <t>+91 4928012159</t>
  </si>
  <si>
    <t>+91 7703216860</t>
  </si>
  <si>
    <t>+91 5917234639</t>
  </si>
  <si>
    <t>+91 6449663948</t>
  </si>
  <si>
    <t>+91 8014370455</t>
  </si>
  <si>
    <t>+91 9783315443</t>
  </si>
  <si>
    <t>+91 9465120156</t>
  </si>
  <si>
    <t>+91 1375563116</t>
  </si>
  <si>
    <t>+91 7267462581</t>
  </si>
  <si>
    <t>+91 2670588093</t>
  </si>
  <si>
    <t>+91 3015464935</t>
  </si>
  <si>
    <t>+91 8906114159</t>
  </si>
  <si>
    <t>+91 3477670554</t>
  </si>
  <si>
    <t>+91 4181114675</t>
  </si>
  <si>
    <t>+91 7310223386</t>
  </si>
  <si>
    <t>+91 2272925141</t>
  </si>
  <si>
    <t>+91 5001947444</t>
  </si>
  <si>
    <t>+91 9950729293</t>
  </si>
  <si>
    <t>+91 9380188290</t>
  </si>
  <si>
    <t>+91 8799479934</t>
  </si>
  <si>
    <t>+91 3523298765</t>
  </si>
  <si>
    <t>+91 4907610409</t>
  </si>
  <si>
    <t>+91 3610271287</t>
  </si>
  <si>
    <t>+91 3611827483</t>
  </si>
  <si>
    <t>+91 0991987878</t>
  </si>
  <si>
    <t>+91 9388076660</t>
  </si>
  <si>
    <t>+91 5869670999</t>
  </si>
  <si>
    <t>+91 0610488943</t>
  </si>
  <si>
    <t>+91 4272533983</t>
  </si>
  <si>
    <t>+91 7713337047</t>
  </si>
  <si>
    <t>+91 4065873055</t>
  </si>
  <si>
    <t>+91 0431900451</t>
  </si>
  <si>
    <t>+91 7257313966</t>
  </si>
  <si>
    <t>+91 5309426691</t>
  </si>
  <si>
    <t>+91 1894186245</t>
  </si>
  <si>
    <t>+91 6033132278</t>
  </si>
  <si>
    <t>+91 2607162349</t>
  </si>
  <si>
    <t>+91 4013459038</t>
  </si>
  <si>
    <t>+91 0981729875</t>
  </si>
  <si>
    <t>+91 2898776823</t>
  </si>
  <si>
    <t>+91 9644303187</t>
  </si>
  <si>
    <t>+91 4091973361</t>
  </si>
  <si>
    <t>+91 2029721046</t>
  </si>
  <si>
    <t>+91 2596095011</t>
  </si>
  <si>
    <t>+91 1572843078</t>
  </si>
  <si>
    <t>+91 9016314158</t>
  </si>
  <si>
    <t>+91 9811974782</t>
  </si>
  <si>
    <t>+91 8037332130</t>
  </si>
  <si>
    <t>+91 2384269742</t>
  </si>
  <si>
    <t>+91 1458566490</t>
  </si>
  <si>
    <t>+91 9831913578</t>
  </si>
  <si>
    <t>+91 2386990313</t>
  </si>
  <si>
    <t>+91 0856902886</t>
  </si>
  <si>
    <t>+91 1588448023</t>
  </si>
  <si>
    <t>+91 5583994314</t>
  </si>
  <si>
    <t>+91 9677252574</t>
  </si>
  <si>
    <t>+91 9680105327</t>
  </si>
  <si>
    <t>+91 6678296260</t>
  </si>
  <si>
    <t>+91 0769681487</t>
  </si>
  <si>
    <t>+91 4818808810</t>
  </si>
  <si>
    <t>+91 1858144879</t>
  </si>
  <si>
    <t>+91 6617003929</t>
  </si>
  <si>
    <t>+91 3306195490</t>
  </si>
  <si>
    <t>+91 5402203180</t>
  </si>
  <si>
    <t>+91 8802012842</t>
  </si>
  <si>
    <t>+91 1987700993</t>
  </si>
  <si>
    <t>+91 7719031188</t>
  </si>
  <si>
    <t>+91 3522274365</t>
  </si>
  <si>
    <t>+91 3284730036</t>
  </si>
  <si>
    <t>+91 7105749129</t>
  </si>
  <si>
    <t>+91 4473451199</t>
  </si>
  <si>
    <t>+91 8146441484</t>
  </si>
  <si>
    <t>+91 0271702365</t>
  </si>
  <si>
    <t>+91 5986646612</t>
  </si>
  <si>
    <t>+91 2987396195</t>
  </si>
  <si>
    <t>+91 6169376648</t>
  </si>
  <si>
    <t>+91 9121545137</t>
  </si>
  <si>
    <t>+91 4590800690</t>
  </si>
  <si>
    <t>+91 0429258961</t>
  </si>
  <si>
    <t>+91 1671741102</t>
  </si>
  <si>
    <t>+91 6845013014</t>
  </si>
  <si>
    <t>+91 7999777970</t>
  </si>
  <si>
    <t>+91 7052683459</t>
  </si>
  <si>
    <t>+91 3045162481</t>
  </si>
  <si>
    <t>+91 6243428744</t>
  </si>
  <si>
    <t>+91 3059997141</t>
  </si>
  <si>
    <t>+91 4495186785</t>
  </si>
  <si>
    <t>+91 6404925861</t>
  </si>
  <si>
    <t>+91 8735729534</t>
  </si>
  <si>
    <t>+91 1684146594</t>
  </si>
  <si>
    <t>+91 9697325224</t>
  </si>
  <si>
    <t>+91 7978867494</t>
  </si>
  <si>
    <t>+91 0257516915</t>
  </si>
  <si>
    <t>+91 2141618585</t>
  </si>
  <si>
    <t>+91 3851112838</t>
  </si>
  <si>
    <t>+91 6851075869</t>
  </si>
  <si>
    <t>+91 7814178051</t>
  </si>
  <si>
    <t>+91 3217356934</t>
  </si>
  <si>
    <t>+91 7112165942</t>
  </si>
  <si>
    <t>+91 1010081225</t>
  </si>
  <si>
    <t>+91 4043183372</t>
  </si>
  <si>
    <t>+91 0308907223</t>
  </si>
  <si>
    <t>+91 3302651243</t>
  </si>
  <si>
    <t>+91 8746898976</t>
  </si>
  <si>
    <t>+91 9895915335</t>
  </si>
  <si>
    <t>+91 2929213127</t>
  </si>
  <si>
    <t>+91 5423772905</t>
  </si>
  <si>
    <t>+91 1177232031</t>
  </si>
  <si>
    <t>+91 4752543470</t>
  </si>
  <si>
    <t>+91 1442909434</t>
  </si>
  <si>
    <t>+91 1921884409</t>
  </si>
  <si>
    <t>+91 4377947880</t>
  </si>
  <si>
    <t>+91 3616193618</t>
  </si>
  <si>
    <t>+91 2102529933</t>
  </si>
  <si>
    <t>+91 8579346522</t>
  </si>
  <si>
    <t>+91 9023949348</t>
  </si>
  <si>
    <t>+91 6778837693</t>
  </si>
  <si>
    <t>+91 5420622823</t>
  </si>
  <si>
    <t>+91 6237805727</t>
  </si>
  <si>
    <t>+91 9164231724</t>
  </si>
  <si>
    <t>+91 4838016260</t>
  </si>
  <si>
    <t>+91 1372729932</t>
  </si>
  <si>
    <t>+91 6208945897</t>
  </si>
  <si>
    <t>+91 8176096144</t>
  </si>
  <si>
    <t>+91 5045171757</t>
  </si>
  <si>
    <t>+91 2943653564</t>
  </si>
  <si>
    <t>+91 4974265411</t>
  </si>
  <si>
    <t>+91 1094365929</t>
  </si>
  <si>
    <t>+91 7778028901</t>
  </si>
  <si>
    <t>+91 6666984914</t>
  </si>
  <si>
    <t>+91 8860868901</t>
  </si>
  <si>
    <t>+91 5013892478</t>
  </si>
  <si>
    <t>+91 3724372948</t>
  </si>
  <si>
    <t>+91 1810204802</t>
  </si>
  <si>
    <t>+91 0682981409</t>
  </si>
  <si>
    <t>+91 2465252313</t>
  </si>
  <si>
    <t>+91 6969449223</t>
  </si>
  <si>
    <t>+91 4933081495</t>
  </si>
  <si>
    <t>+91 2814042697</t>
  </si>
  <si>
    <t>+91 3674179423</t>
  </si>
  <si>
    <t>+91 4436419438</t>
  </si>
  <si>
    <t>+91 3484308152</t>
  </si>
  <si>
    <t>+91 1114985962</t>
  </si>
  <si>
    <t>+91 2794273618</t>
  </si>
  <si>
    <t>+91 6504151723</t>
  </si>
  <si>
    <t>+91 3575733948</t>
  </si>
  <si>
    <t>+91 2299111904</t>
  </si>
  <si>
    <t>+91 9997891454</t>
  </si>
  <si>
    <t>+91 5950877303</t>
  </si>
  <si>
    <t>+91 3787726104</t>
  </si>
  <si>
    <t>+91 2317725512</t>
  </si>
  <si>
    <t>+91 4060758005</t>
  </si>
  <si>
    <t>+91 7280321816</t>
  </si>
  <si>
    <t>+91 7819854296</t>
  </si>
  <si>
    <t>+91 3798453215</t>
  </si>
  <si>
    <t>+91 3273914486</t>
  </si>
  <si>
    <t>+91 0520601983</t>
  </si>
  <si>
    <t>+91 7899018108</t>
  </si>
  <si>
    <t>+91 6212229131</t>
  </si>
  <si>
    <t>+91 3002137130</t>
  </si>
  <si>
    <t>+91 0582215911</t>
  </si>
  <si>
    <t>+91 0934440733</t>
  </si>
  <si>
    <t>+91 9461557051</t>
  </si>
  <si>
    <t>+91 1727419299</t>
  </si>
  <si>
    <t>+91 0750909852</t>
  </si>
  <si>
    <t>+91 7775075629</t>
  </si>
  <si>
    <t>+91 6169735074</t>
  </si>
  <si>
    <t>+91 2846640115</t>
  </si>
  <si>
    <t>+91 2617057625</t>
  </si>
  <si>
    <t>+91 3354629123</t>
  </si>
  <si>
    <t>+91 6251209082</t>
  </si>
  <si>
    <t>+91 6924918273</t>
  </si>
  <si>
    <t>+91 4356940274</t>
  </si>
  <si>
    <t>+91 7530606495</t>
  </si>
  <si>
    <t>+91 2324660839</t>
  </si>
  <si>
    <t>+91 5534395110</t>
  </si>
  <si>
    <t>+91 6212014644</t>
  </si>
  <si>
    <t>+91 8779199869</t>
  </si>
  <si>
    <t>+91 8001787788</t>
  </si>
  <si>
    <t>+91 9723134324</t>
  </si>
  <si>
    <t>+91 5161315327</t>
  </si>
  <si>
    <t>+91 1991198086</t>
  </si>
  <si>
    <t>+91 5840820049</t>
  </si>
  <si>
    <t>+91 3497567969</t>
  </si>
  <si>
    <t>+91 9505205067</t>
  </si>
  <si>
    <t>+91 5591815604</t>
  </si>
  <si>
    <t>+91 4375221498</t>
  </si>
  <si>
    <t>+91 6922012138</t>
  </si>
  <si>
    <t>+91 5467199415</t>
  </si>
  <si>
    <t>+91 1809945724</t>
  </si>
  <si>
    <t>+91 7590477611</t>
  </si>
  <si>
    <t>+91 3141815417</t>
  </si>
  <si>
    <t>+91 0827744150</t>
  </si>
  <si>
    <t>+91 7889387692</t>
  </si>
  <si>
    <t>+91 1526676519</t>
  </si>
  <si>
    <t>+91 0532080055</t>
  </si>
  <si>
    <t>+91 6520715153</t>
  </si>
  <si>
    <t>+91 3748353003</t>
  </si>
  <si>
    <t>+91 5355821760</t>
  </si>
  <si>
    <t>+91 3201475795</t>
  </si>
  <si>
    <t>+91 5837320521</t>
  </si>
  <si>
    <t>+91 2077042733</t>
  </si>
  <si>
    <t>+91 1115557499</t>
  </si>
  <si>
    <t>+91 8699084242</t>
  </si>
  <si>
    <t>+91 2875090257</t>
  </si>
  <si>
    <t>+91 7614701878</t>
  </si>
  <si>
    <t>+91 6301445736</t>
  </si>
  <si>
    <t>+91 7180776468</t>
  </si>
  <si>
    <t>+91 4487763810</t>
  </si>
  <si>
    <t>+91 5961891372</t>
  </si>
  <si>
    <t>+91 6334441494</t>
  </si>
  <si>
    <t>+91 7526430735</t>
  </si>
  <si>
    <t>+91 6603126038</t>
  </si>
  <si>
    <t>+91 9760427024</t>
  </si>
  <si>
    <t>+91 9294822480</t>
  </si>
  <si>
    <t>+91 3402987103</t>
  </si>
  <si>
    <t>+91 8996889186</t>
  </si>
  <si>
    <t>+91 1429612676</t>
  </si>
  <si>
    <t>+91 2987351544</t>
  </si>
  <si>
    <t>+91 4678400836</t>
  </si>
  <si>
    <t>+91 4951465253</t>
  </si>
  <si>
    <t>+91 4788889938</t>
  </si>
  <si>
    <t>+91 2751141871</t>
  </si>
  <si>
    <t>+91 8810760788</t>
  </si>
  <si>
    <t>+91 1949314517</t>
  </si>
  <si>
    <t>+91 9553495823</t>
  </si>
  <si>
    <t>+91 2629790122</t>
  </si>
  <si>
    <t>+91 4159811302</t>
  </si>
  <si>
    <t>+91 7746049211</t>
  </si>
  <si>
    <t>+91 2034912947</t>
  </si>
  <si>
    <t>+91 4663771558</t>
  </si>
  <si>
    <t>+91 7234314025</t>
  </si>
  <si>
    <t>+91 3786590231</t>
  </si>
  <si>
    <t>+91 3772946897</t>
  </si>
  <si>
    <t>+91 7980529570</t>
  </si>
  <si>
    <t>+91 3177550382</t>
  </si>
  <si>
    <t>+91 0336159066</t>
  </si>
  <si>
    <t>+91 4503932160</t>
  </si>
  <si>
    <t>+91 1628949256</t>
  </si>
  <si>
    <t>+91 5225971908</t>
  </si>
  <si>
    <t>+91 6819566581</t>
  </si>
  <si>
    <t>+91 3157761802</t>
  </si>
  <si>
    <t>+91 2149770766</t>
  </si>
  <si>
    <t>+91 7263194144</t>
  </si>
  <si>
    <t>+91 7103754412</t>
  </si>
  <si>
    <t>+91 0000975564</t>
  </si>
  <si>
    <t>+91 2079700108</t>
  </si>
  <si>
    <t>+91 7814642866</t>
  </si>
  <si>
    <t>+91 1884018503</t>
  </si>
  <si>
    <t>+91 4426307750</t>
  </si>
  <si>
    <t>+91 1815802258</t>
  </si>
  <si>
    <t>+91 6833129406</t>
  </si>
  <si>
    <t>+91 1320906767</t>
  </si>
  <si>
    <t>+91 2627597192</t>
  </si>
  <si>
    <t>+91 8687290624</t>
  </si>
  <si>
    <t>+91 1149808139</t>
  </si>
  <si>
    <t>+91 7873609405</t>
  </si>
  <si>
    <t>+91 0141851757</t>
  </si>
  <si>
    <t>+91 2276454901</t>
  </si>
  <si>
    <t>+91 4956862287</t>
  </si>
  <si>
    <t>+91 5260560769</t>
  </si>
  <si>
    <t>+91 0125809003</t>
  </si>
  <si>
    <t>+91 6516955123</t>
  </si>
  <si>
    <t>+91 5514197594</t>
  </si>
  <si>
    <t>+91 1387652151</t>
  </si>
  <si>
    <t>+91 4878075272</t>
  </si>
  <si>
    <t>+91 7131421536</t>
  </si>
  <si>
    <t>+91 2099146541</t>
  </si>
  <si>
    <t>+91 0834509153</t>
  </si>
  <si>
    <t>+91 3609739344</t>
  </si>
  <si>
    <t>+91 9224994723</t>
  </si>
  <si>
    <t>+91 7807711689</t>
  </si>
  <si>
    <t>+91 4056553394</t>
  </si>
  <si>
    <t>+91 7280744947</t>
  </si>
  <si>
    <t>+91 8228878356</t>
  </si>
  <si>
    <t>+91 4209940884</t>
  </si>
  <si>
    <t>+91 8435394582</t>
  </si>
  <si>
    <t>+91 4915650453</t>
  </si>
  <si>
    <t>+91 3677856457</t>
  </si>
  <si>
    <t>+91 5275647369</t>
  </si>
  <si>
    <t>+91 6517401641</t>
  </si>
  <si>
    <t>+91 0847135828</t>
  </si>
  <si>
    <t>+91 1090383206</t>
  </si>
  <si>
    <t>+91 0681336677</t>
  </si>
  <si>
    <t>+91 6531591804</t>
  </si>
  <si>
    <t>+91 7257440468</t>
  </si>
  <si>
    <t>+91 4362173932</t>
  </si>
  <si>
    <t>+91 1186852587</t>
  </si>
  <si>
    <t>+91 3900143616</t>
  </si>
  <si>
    <t>+91 2946504690</t>
  </si>
  <si>
    <t>+91 4598765686</t>
  </si>
  <si>
    <t>+91 3147377292</t>
  </si>
  <si>
    <t>+91 2498852957</t>
  </si>
  <si>
    <t>+91 9189029736</t>
  </si>
  <si>
    <t>+91 4726493924</t>
  </si>
  <si>
    <t>+91 6130858327</t>
  </si>
  <si>
    <t>+91 9840390474</t>
  </si>
  <si>
    <t>+91 6506936991</t>
  </si>
  <si>
    <t>+91 7946463020</t>
  </si>
  <si>
    <t>+91 4502911921</t>
  </si>
  <si>
    <t>+91 7617910672</t>
  </si>
  <si>
    <t>+91 8776119318</t>
  </si>
  <si>
    <t>+91 6043662065</t>
  </si>
  <si>
    <t>+91 1008665384</t>
  </si>
  <si>
    <t>+91 3015689057</t>
  </si>
  <si>
    <t>+91 7656939802</t>
  </si>
  <si>
    <t>+91 2327344384</t>
  </si>
  <si>
    <t>+91 4460439555</t>
  </si>
  <si>
    <t>+91 2410657842</t>
  </si>
  <si>
    <t>+91 3157858461</t>
  </si>
  <si>
    <t>+91 2773502290</t>
  </si>
  <si>
    <t>+91 7505233106</t>
  </si>
  <si>
    <t>+91 9192435426</t>
  </si>
  <si>
    <t>+91 7059238825</t>
  </si>
  <si>
    <t>+91 0589385462</t>
  </si>
  <si>
    <t>+91 9454745273</t>
  </si>
  <si>
    <t>+91 8418915031</t>
  </si>
  <si>
    <t>+91 8621448394</t>
  </si>
  <si>
    <t>+91 2005968396</t>
  </si>
  <si>
    <t>+91 7953739563</t>
  </si>
  <si>
    <t>+91 9139997631</t>
  </si>
  <si>
    <t>+91 0104766895</t>
  </si>
  <si>
    <t>+91 0414257383</t>
  </si>
  <si>
    <t>+91 6641417029</t>
  </si>
  <si>
    <t>+91 0433883607</t>
  </si>
  <si>
    <t>+91 9674364852</t>
  </si>
  <si>
    <t>+91 7827390679</t>
  </si>
  <si>
    <t>+91 6267218002</t>
  </si>
  <si>
    <t>+91 0660414702</t>
  </si>
  <si>
    <t>+91 3817094611</t>
  </si>
  <si>
    <t>+91 5346243066</t>
  </si>
  <si>
    <t>+91 9820725486</t>
  </si>
  <si>
    <t>+91 2272444833</t>
  </si>
  <si>
    <t>+91 5823380236</t>
  </si>
  <si>
    <t>+91 6516483424</t>
  </si>
  <si>
    <t>+91 8246084188</t>
  </si>
  <si>
    <t>+91 7549993813</t>
  </si>
  <si>
    <t>+91 5904751475</t>
  </si>
  <si>
    <t>+91 8356596984</t>
  </si>
  <si>
    <t>+91 4817833033</t>
  </si>
  <si>
    <t>+91 5849168838</t>
  </si>
  <si>
    <t>+91 6406923503</t>
  </si>
  <si>
    <t>+91 4943795601</t>
  </si>
  <si>
    <t>+91 3355595569</t>
  </si>
  <si>
    <t>+91 6653495960</t>
  </si>
  <si>
    <t>+91 9383803883</t>
  </si>
  <si>
    <t>+91 3190884871</t>
  </si>
  <si>
    <t>+91 1045308850</t>
  </si>
  <si>
    <t>+91 2745679153</t>
  </si>
  <si>
    <t>+91 8741363946</t>
  </si>
  <si>
    <t>+91 1676085264</t>
  </si>
  <si>
    <t>+91 3470286160</t>
  </si>
  <si>
    <t>+91 1696926282</t>
  </si>
  <si>
    <t>+91 2742035217</t>
  </si>
  <si>
    <t>+91 2528490309</t>
  </si>
  <si>
    <t>+91 4901473761</t>
  </si>
  <si>
    <t>+91 1498600045</t>
  </si>
  <si>
    <t>+91 5510783440</t>
  </si>
  <si>
    <t>+91 1191383893</t>
  </si>
  <si>
    <t>+91 9789752900</t>
  </si>
  <si>
    <t>+91 4895806368</t>
  </si>
  <si>
    <t>+91 2993580359</t>
  </si>
  <si>
    <t>+91 9174153839</t>
  </si>
  <si>
    <t>+91 0681245082</t>
  </si>
  <si>
    <t>+91 7566737656</t>
  </si>
  <si>
    <t>+91 5231749789</t>
  </si>
  <si>
    <t>+91 4131867260</t>
  </si>
  <si>
    <t>+91 8042150449</t>
  </si>
  <si>
    <t>+91 3342183540</t>
  </si>
  <si>
    <t>+91 7725079142</t>
  </si>
  <si>
    <t>+91 3441177430</t>
  </si>
  <si>
    <t>+91 6003349670</t>
  </si>
  <si>
    <t>+91 8767467316</t>
  </si>
  <si>
    <t>+91 9324090108</t>
  </si>
  <si>
    <t>+91 6309924193</t>
  </si>
  <si>
    <t>+91 4999395421</t>
  </si>
  <si>
    <t>+91 4170291726</t>
  </si>
  <si>
    <t>+91 9578206644</t>
  </si>
  <si>
    <t>+91 8299109004</t>
  </si>
  <si>
    <t>+91 4281023778</t>
  </si>
  <si>
    <t>+91 1253570592</t>
  </si>
  <si>
    <t>+91 4146698095</t>
  </si>
  <si>
    <t>+91 9807561772</t>
  </si>
  <si>
    <t>+91 6755241675</t>
  </si>
  <si>
    <t>+91 8900899205</t>
  </si>
  <si>
    <t>+91 4522410511</t>
  </si>
  <si>
    <t>+91 6788664356</t>
  </si>
  <si>
    <t>+91 1095754494</t>
  </si>
  <si>
    <t>+91 5746255154</t>
  </si>
  <si>
    <t>+91 3379992977</t>
  </si>
  <si>
    <t>+91 8906068945</t>
  </si>
  <si>
    <t>+91 1852531240</t>
  </si>
  <si>
    <t>+91 8176691249</t>
  </si>
  <si>
    <t>+91 1470906932</t>
  </si>
  <si>
    <t>+91 0560658035</t>
  </si>
  <si>
    <t>+91 6204125323</t>
  </si>
  <si>
    <t>+91 9326631313</t>
  </si>
  <si>
    <t>+91 5565282095</t>
  </si>
  <si>
    <t>+91 2414908041</t>
  </si>
  <si>
    <t>+91 0940721651</t>
  </si>
  <si>
    <t>+91 6709016210</t>
  </si>
  <si>
    <t>+91 9063065683</t>
  </si>
  <si>
    <t>+91 5333255559</t>
  </si>
  <si>
    <t>+91 1582970501</t>
  </si>
  <si>
    <t>+91 4432118885</t>
  </si>
  <si>
    <t>+91 1537395868</t>
  </si>
  <si>
    <t>+91 3904964444</t>
  </si>
  <si>
    <t>+91 2211392118</t>
  </si>
  <si>
    <t>+91 8751906394</t>
  </si>
  <si>
    <t>+91 6439011507</t>
  </si>
  <si>
    <t>+91 8345613683</t>
  </si>
  <si>
    <t>+91 4448445423</t>
  </si>
  <si>
    <t>+91 4062275299</t>
  </si>
  <si>
    <t>+91 1649333324</t>
  </si>
  <si>
    <t>+91 0117393497</t>
  </si>
  <si>
    <t>+91 6864086140</t>
  </si>
  <si>
    <t>+91 8516426682</t>
  </si>
  <si>
    <t>+91 4717117968</t>
  </si>
  <si>
    <t>+91 2901094626</t>
  </si>
  <si>
    <t>+91 0783568483</t>
  </si>
  <si>
    <t>+91 6496488083</t>
  </si>
  <si>
    <t>+91 1138790156</t>
  </si>
  <si>
    <t>+91 5198399807</t>
  </si>
  <si>
    <t>+91 8890901561</t>
  </si>
  <si>
    <t>+91 3614206289</t>
  </si>
  <si>
    <t>+91 8359850687</t>
  </si>
  <si>
    <t>+91 7394415959</t>
  </si>
  <si>
    <t>+91 2214449271</t>
  </si>
  <si>
    <t>+91 4614708031</t>
  </si>
  <si>
    <t>+91 4299712385</t>
  </si>
  <si>
    <t>+91 8305492270</t>
  </si>
  <si>
    <t>+91 3938829940</t>
  </si>
  <si>
    <t>+91 9352902480</t>
  </si>
  <si>
    <t>+91 9927447542</t>
  </si>
  <si>
    <t>+91 3281408203</t>
  </si>
  <si>
    <t>+91 0563580750</t>
  </si>
  <si>
    <t>+91 7454119106</t>
  </si>
  <si>
    <t>+91 5177972445</t>
  </si>
  <si>
    <t>+91 6555583529</t>
  </si>
  <si>
    <t>+91 6375344856</t>
  </si>
  <si>
    <t>+91 7636856482</t>
  </si>
  <si>
    <t>+91 2129281303</t>
  </si>
  <si>
    <t>+91 0162553287</t>
  </si>
  <si>
    <t>+91 2144231695</t>
  </si>
  <si>
    <t>+91 4719183941</t>
  </si>
  <si>
    <t>+91 0511331888</t>
  </si>
  <si>
    <t>+91 7097226644</t>
  </si>
  <si>
    <t>+91 1688316286</t>
  </si>
  <si>
    <t>+91 8937601854</t>
  </si>
  <si>
    <t>+91 6636177083</t>
  </si>
  <si>
    <t>+91 6725753710</t>
  </si>
  <si>
    <t>+91 3549687377</t>
  </si>
  <si>
    <t>+91 0154160130</t>
  </si>
  <si>
    <t>+91 3566208156</t>
  </si>
  <si>
    <t>+91 1993836663</t>
  </si>
  <si>
    <t>+91 2649662373</t>
  </si>
  <si>
    <t>+91 3576596775</t>
  </si>
  <si>
    <t>+91 4525864250</t>
  </si>
  <si>
    <t>+91 3471178036</t>
  </si>
  <si>
    <t>+91 9866724147</t>
  </si>
  <si>
    <t>+91 7698762801</t>
  </si>
  <si>
    <t>+91 3252109197</t>
  </si>
  <si>
    <t>+91 0362555980</t>
  </si>
  <si>
    <t>+91 6480938844</t>
  </si>
  <si>
    <t>+91 8359334957</t>
  </si>
  <si>
    <t>+91 0422865211</t>
  </si>
  <si>
    <t>+91 2510982145</t>
  </si>
  <si>
    <t>+91 9435198265</t>
  </si>
  <si>
    <t>+91 5207572497</t>
  </si>
  <si>
    <t>+91 5810300117</t>
  </si>
  <si>
    <t>+91 9356153258</t>
  </si>
  <si>
    <t>+91 1568334317</t>
  </si>
  <si>
    <t>+91 0232175642</t>
  </si>
  <si>
    <t>+91 0749956744</t>
  </si>
  <si>
    <t>+91 5016373527</t>
  </si>
  <si>
    <t>+91 8121179854</t>
  </si>
  <si>
    <t>+91 0914809599</t>
  </si>
  <si>
    <t>+91 5725712749</t>
  </si>
  <si>
    <t>+91 1881517601</t>
  </si>
  <si>
    <t>+91 2680862057</t>
  </si>
  <si>
    <t>+91 0222541894</t>
  </si>
  <si>
    <t>+91 8568548402</t>
  </si>
  <si>
    <t>+91 3330373440</t>
  </si>
  <si>
    <t>+91 6703099421</t>
  </si>
  <si>
    <t>+91 1678021464</t>
  </si>
  <si>
    <t>+91 3231981487</t>
  </si>
  <si>
    <t>+91 5508354379</t>
  </si>
  <si>
    <t>+91 8979655633</t>
  </si>
  <si>
    <t>+91 2807775232</t>
  </si>
  <si>
    <t>+91 8519870939</t>
  </si>
  <si>
    <t>+91 0330939665</t>
  </si>
  <si>
    <t>+91 2856066257</t>
  </si>
  <si>
    <t>+91 9573995878</t>
  </si>
  <si>
    <t>+91 3365561483</t>
  </si>
  <si>
    <t>+91 6451589757</t>
  </si>
  <si>
    <t>+91 3062530459</t>
  </si>
  <si>
    <t>+91 3886976844</t>
  </si>
  <si>
    <t>+91 0238171700</t>
  </si>
  <si>
    <t>+91 6077906114</t>
  </si>
  <si>
    <t>+91 7945863100</t>
  </si>
  <si>
    <t>+91 6529967762</t>
  </si>
  <si>
    <t>+91 1969740056</t>
  </si>
  <si>
    <t>+91 7185674405</t>
  </si>
  <si>
    <t>+91 8186916452</t>
  </si>
  <si>
    <t>+91 5510196297</t>
  </si>
  <si>
    <t>+91 7988879033</t>
  </si>
  <si>
    <t>+91 7013429237</t>
  </si>
  <si>
    <t>+91 3622016246</t>
  </si>
  <si>
    <t>+91 5726657839</t>
  </si>
  <si>
    <t>+91 2800969320</t>
  </si>
  <si>
    <t>+91 0389930992</t>
  </si>
  <si>
    <t>+91 3966420692</t>
  </si>
  <si>
    <t>+91 4207179850</t>
  </si>
  <si>
    <t>+91 9907584324</t>
  </si>
  <si>
    <t>+91 2928046915</t>
  </si>
  <si>
    <t>+91 1507951637</t>
  </si>
  <si>
    <t>+91 3574781911</t>
  </si>
  <si>
    <t>+91 1970011731</t>
  </si>
  <si>
    <t>+91 1914688211</t>
  </si>
  <si>
    <t>+91 6399375979</t>
  </si>
  <si>
    <t>+91 5632364869</t>
  </si>
  <si>
    <t>+91 0208098283</t>
  </si>
  <si>
    <t>+91 1102182396</t>
  </si>
  <si>
    <t>+91 7986551418</t>
  </si>
  <si>
    <t>+91 0062569375</t>
  </si>
  <si>
    <t>+91 9442601687</t>
  </si>
  <si>
    <t>+91 9328275875</t>
  </si>
  <si>
    <t>+91 8966100002</t>
  </si>
  <si>
    <t>+91 8561971514</t>
  </si>
  <si>
    <t>+91 1839201141</t>
  </si>
  <si>
    <t>+91 9442017535</t>
  </si>
  <si>
    <t>+91 6073206161</t>
  </si>
  <si>
    <t>+91 8863741069</t>
  </si>
  <si>
    <t>+91 4191985684</t>
  </si>
  <si>
    <t>+91 6580159279</t>
  </si>
  <si>
    <t>+91 4809276820</t>
  </si>
  <si>
    <t>+91 7390629952</t>
  </si>
  <si>
    <t>+91 7737289198</t>
  </si>
  <si>
    <t>+91 5277370164</t>
  </si>
  <si>
    <t>+91 3757821873</t>
  </si>
  <si>
    <t>+91 8212110499</t>
  </si>
  <si>
    <t>+91 8180589914</t>
  </si>
  <si>
    <t>+91 0332182996</t>
  </si>
  <si>
    <t>+91 7138635533</t>
  </si>
  <si>
    <t>+91 3726580732</t>
  </si>
  <si>
    <t>+91 8176621680</t>
  </si>
  <si>
    <t>+91 4841536811</t>
  </si>
  <si>
    <t>+91 4480728908</t>
  </si>
  <si>
    <t>+91 7180580759</t>
  </si>
  <si>
    <t>+91 6874295426</t>
  </si>
  <si>
    <t>+91 9096812120</t>
  </si>
  <si>
    <t>+91 0332626440</t>
  </si>
  <si>
    <t>+91 3636721934</t>
  </si>
  <si>
    <t>+91 2100969046</t>
  </si>
  <si>
    <t>+91 0766494046</t>
  </si>
  <si>
    <t>+91 7522667043</t>
  </si>
  <si>
    <t>+91 0786429675</t>
  </si>
  <si>
    <t>+91 7348610054</t>
  </si>
  <si>
    <t>+91 8406267785</t>
  </si>
  <si>
    <t>+91 0156302880</t>
  </si>
  <si>
    <t>+91 6785841496</t>
  </si>
  <si>
    <t>+91 5257606656</t>
  </si>
  <si>
    <t>+91 0403050477</t>
  </si>
  <si>
    <t>+91 9611523878</t>
  </si>
  <si>
    <t>+91 9806689644</t>
  </si>
  <si>
    <t>+91 4844223202</t>
  </si>
  <si>
    <t>+91 4490437073</t>
  </si>
  <si>
    <t>+91 3007472307</t>
  </si>
  <si>
    <t>+91 3509122468</t>
  </si>
  <si>
    <t>+91 8244305251</t>
  </si>
  <si>
    <t>+91 3955441703</t>
  </si>
  <si>
    <t>+91 5985700906</t>
  </si>
  <si>
    <t>+91 8439781715</t>
  </si>
  <si>
    <t>+91 1624761166</t>
  </si>
  <si>
    <t>+91 9117006826</t>
  </si>
  <si>
    <t>+91 1056739054</t>
  </si>
  <si>
    <t>+91 6397607564</t>
  </si>
  <si>
    <t>+91 2372398265</t>
  </si>
  <si>
    <t>+91 7750018115</t>
  </si>
  <si>
    <t>+91 3706838682</t>
  </si>
  <si>
    <t>+91 3703662198</t>
  </si>
  <si>
    <t>+91 6125438383</t>
  </si>
  <si>
    <t>+91 0493138981</t>
  </si>
  <si>
    <t>+91 6363637757</t>
  </si>
  <si>
    <t>+91 2384218047</t>
  </si>
  <si>
    <t>+91 9865129062</t>
  </si>
  <si>
    <t>+91 3038407891</t>
  </si>
  <si>
    <t>+91 9769004774</t>
  </si>
  <si>
    <t>+91 0741836392</t>
  </si>
  <si>
    <t>+91 5878920517</t>
  </si>
  <si>
    <t>+91 6149696834</t>
  </si>
  <si>
    <t>+91 9542572837</t>
  </si>
  <si>
    <t>+91 0130386970</t>
  </si>
  <si>
    <t>+91 3356447100</t>
  </si>
  <si>
    <t>+91 2707795379</t>
  </si>
  <si>
    <t>+91 7463560758</t>
  </si>
  <si>
    <t>+91 2159631728</t>
  </si>
  <si>
    <t>+91 5284682787</t>
  </si>
  <si>
    <t>+91 7021652197</t>
  </si>
  <si>
    <t>+91 7819822604</t>
  </si>
  <si>
    <t>+91 6121809483</t>
  </si>
  <si>
    <t>+91 6047300101</t>
  </si>
  <si>
    <t>+91 4151375267</t>
  </si>
  <si>
    <t>+91 7359513632</t>
  </si>
  <si>
    <t>+91 4934974680</t>
  </si>
  <si>
    <t>+91 1051494436</t>
  </si>
  <si>
    <t>+91 4136747083</t>
  </si>
  <si>
    <t>+91 4379609633</t>
  </si>
  <si>
    <t>+91 8033970659</t>
  </si>
  <si>
    <t>+91 3497088491</t>
  </si>
  <si>
    <t>+91 5955797212</t>
  </si>
  <si>
    <t>+91 6278303548</t>
  </si>
  <si>
    <t>+91 0705956146</t>
  </si>
  <si>
    <t>+91 3140179064</t>
  </si>
  <si>
    <t>+91 4472707166</t>
  </si>
  <si>
    <t>+91 9246492832</t>
  </si>
  <si>
    <t>+91 5640055222</t>
  </si>
  <si>
    <t>+91 6703492972</t>
  </si>
  <si>
    <t>+91 0441975196</t>
  </si>
  <si>
    <t>+91 5500790992</t>
  </si>
  <si>
    <t>+91 2568783491</t>
  </si>
  <si>
    <t>+91 5593091372</t>
  </si>
  <si>
    <t>+91 3880235726</t>
  </si>
  <si>
    <t>+91 5670504163</t>
  </si>
  <si>
    <t>+91 2250708263</t>
  </si>
  <si>
    <t>+91 4616195673</t>
  </si>
  <si>
    <t>+91 6744437586</t>
  </si>
  <si>
    <t>+91 0039704700</t>
  </si>
  <si>
    <t>+91 2457892908</t>
  </si>
  <si>
    <t>+91 5633737859</t>
  </si>
  <si>
    <t>+91 2861636992</t>
  </si>
  <si>
    <t>+91 5576008755</t>
  </si>
  <si>
    <t>+91 3435886461</t>
  </si>
  <si>
    <t>+91 8281850869</t>
  </si>
  <si>
    <t>+91 4980404156</t>
  </si>
  <si>
    <t>+91 9692256009</t>
  </si>
  <si>
    <t>+91 8361574207</t>
  </si>
  <si>
    <t>+91 6457096711</t>
  </si>
  <si>
    <t>+91 4017332296</t>
  </si>
  <si>
    <t>+91 8696662289</t>
  </si>
  <si>
    <t>+91 0036796423</t>
  </si>
  <si>
    <t>+91 9076856503</t>
  </si>
  <si>
    <t>+91 2073640022</t>
  </si>
  <si>
    <t>+91 9069855603</t>
  </si>
  <si>
    <t>+91 3639536221</t>
  </si>
  <si>
    <t>+91 9619514849</t>
  </si>
  <si>
    <t>+91 7713312340</t>
  </si>
  <si>
    <t>+91 4033220894</t>
  </si>
  <si>
    <t>+91 7320699199</t>
  </si>
  <si>
    <t>+91 9185560263</t>
  </si>
  <si>
    <t>+91 4327115517</t>
  </si>
  <si>
    <t>+91 2866331707</t>
  </si>
  <si>
    <t>+91 8445048640</t>
  </si>
  <si>
    <t>+91 6093884567</t>
  </si>
  <si>
    <t>+91 3235657345</t>
  </si>
  <si>
    <t>+91 0950257122</t>
  </si>
  <si>
    <t>+91 6219869796</t>
  </si>
  <si>
    <t>+91 8795720348</t>
  </si>
  <si>
    <t>+91 8466985894</t>
  </si>
  <si>
    <t>+91 3432018775</t>
  </si>
  <si>
    <t>+91 4811214223</t>
  </si>
  <si>
    <t>+91 3133717073</t>
  </si>
  <si>
    <t>+91 9797759994</t>
  </si>
  <si>
    <t>+91 9407646597</t>
  </si>
  <si>
    <t>+91 6251069348</t>
  </si>
  <si>
    <t>+91 2529548496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</si>
</sst>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4"/>
      <name val="Calibri"/>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xf numFmtId="0" fontId="2" fillId="0" borderId="0" xfId="0" applyFont="1"/>
    <xf numFmtId="0" fontId="1" fillId="0" borderId="0" xfId="0" applyFont="1"/>
    <xf numFmtId="0" fontId="0" fillId="0" borderId="0" xfId="0"/>
    <xf numFmtId="0" fontId="0" fillId="0" borderId="0" xfId="0" pivotButton="1"/>
    <xf numFmtId="0" fontId="0" fillId="0" borderId="0" xfId="0" applyAlignment="1">
      <alignment horizontal="left"/>
    </xf>
    <xf numFmtId="14" fontId="0" fillId="0" borderId="0" xfId="0" applyNumberFormat="1"/>
    <xf numFmtId="14" fontId="2" fillId="0" borderId="0" xfId="0" applyNumberFormat="1" applyFont="1"/>
  </cellXfs>
  <cellStyles count="1">
    <cellStyle name="Normal" xfId="0" builtinId="0"/>
  </cellStyles>
  <dxfs count="6">
    <dxf>
      <font>
        <b/>
      </font>
    </dxf>
    <dxf>
      <numFmt numFmtId="19" formatCode="dd/mm/yyyy"/>
    </dxf>
    <dxf>
      <numFmt numFmtId="19" formatCode="dd/mm/yyyy"/>
    </dxf>
    <dxf>
      <fill>
        <patternFill>
          <bgColor rgb="FFFF0000"/>
        </patternFill>
      </fill>
    </dxf>
    <dxf>
      <fill>
        <patternFill>
          <bgColor rgb="FFFF0000"/>
        </patternFill>
      </fill>
    </dxf>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30</xdr:col>
      <xdr:colOff>38100</xdr:colOff>
      <xdr:row>25</xdr:row>
      <xdr:rowOff>76200</xdr:rowOff>
    </xdr:from>
    <xdr:to>
      <xdr:col>34</xdr:col>
      <xdr:colOff>144780</xdr:colOff>
      <xdr:row>28</xdr:row>
      <xdr:rowOff>99060</xdr:rowOff>
    </xdr:to>
    <xdr:sp macro="" textlink="">
      <xdr:nvSpPr>
        <xdr:cNvPr id="3" name="TextBox 2">
          <a:extLst>
            <a:ext uri="{FF2B5EF4-FFF2-40B4-BE49-F238E27FC236}">
              <a16:creationId xmlns:a16="http://schemas.microsoft.com/office/drawing/2014/main" id="{F735BEB3-C859-157A-45DB-B0EB52D52B4B}"/>
            </a:ext>
          </a:extLst>
        </xdr:cNvPr>
        <xdr:cNvSpPr txBox="1"/>
      </xdr:nvSpPr>
      <xdr:spPr>
        <a:xfrm>
          <a:off x="33086040" y="9311640"/>
          <a:ext cx="527304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rPr>
            <a:t>identified</a:t>
          </a:r>
          <a:r>
            <a:rPr lang="en-IN" sz="1100" baseline="0">
              <a:ln>
                <a:noFill/>
              </a:ln>
            </a:rPr>
            <a:t> 87 rows where Appointment date occure before Scheduled date -- because its dummy cleaning data i just removed it and so for real analysis we need verification before doing any analysis on this data set</a:t>
          </a:r>
          <a:endParaRPr lang="en-IN" sz="1100">
            <a:ln>
              <a:noFill/>
            </a:ln>
          </a:endParaRPr>
        </a:p>
      </xdr:txBody>
    </xdr:sp>
    <xdr:clientData/>
  </xdr:twoCellAnchor>
  <xdr:twoCellAnchor>
    <xdr:from>
      <xdr:col>30</xdr:col>
      <xdr:colOff>30480</xdr:colOff>
      <xdr:row>33</xdr:row>
      <xdr:rowOff>167640</xdr:rowOff>
    </xdr:from>
    <xdr:to>
      <xdr:col>34</xdr:col>
      <xdr:colOff>220980</xdr:colOff>
      <xdr:row>36</xdr:row>
      <xdr:rowOff>175260</xdr:rowOff>
    </xdr:to>
    <xdr:sp macro="" textlink="">
      <xdr:nvSpPr>
        <xdr:cNvPr id="4" name="TextBox 3">
          <a:extLst>
            <a:ext uri="{FF2B5EF4-FFF2-40B4-BE49-F238E27FC236}">
              <a16:creationId xmlns:a16="http://schemas.microsoft.com/office/drawing/2014/main" id="{E75CC5DA-B92B-57A1-9A95-0A7F5361DE77}"/>
            </a:ext>
          </a:extLst>
        </xdr:cNvPr>
        <xdr:cNvSpPr txBox="1"/>
      </xdr:nvSpPr>
      <xdr:spPr>
        <a:xfrm>
          <a:off x="34587180" y="6294120"/>
          <a:ext cx="5356860" cy="556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There is 24 rows</a:t>
          </a:r>
          <a:r>
            <a:rPr lang="en-IN" sz="1100" baseline="0"/>
            <a:t> where age ranges doesnt match to human logic it have -5 and 220 Age recoreded it must be human typing error so i removed it</a:t>
          </a:r>
          <a:endParaRPr lang="en-IN" sz="1100"/>
        </a:p>
      </xdr:txBody>
    </xdr:sp>
    <xdr:clientData/>
  </xdr:twoCellAnchor>
  <xdr:twoCellAnchor>
    <xdr:from>
      <xdr:col>30</xdr:col>
      <xdr:colOff>38100</xdr:colOff>
      <xdr:row>41</xdr:row>
      <xdr:rowOff>83820</xdr:rowOff>
    </xdr:from>
    <xdr:to>
      <xdr:col>34</xdr:col>
      <xdr:colOff>358140</xdr:colOff>
      <xdr:row>44</xdr:row>
      <xdr:rowOff>0</xdr:rowOff>
    </xdr:to>
    <xdr:sp macro="" textlink="">
      <xdr:nvSpPr>
        <xdr:cNvPr id="5" name="TextBox 4">
          <a:extLst>
            <a:ext uri="{FF2B5EF4-FFF2-40B4-BE49-F238E27FC236}">
              <a16:creationId xmlns:a16="http://schemas.microsoft.com/office/drawing/2014/main" id="{5D10CAE6-9C8B-CD87-63FB-B7F84E39285B}"/>
            </a:ext>
          </a:extLst>
        </xdr:cNvPr>
        <xdr:cNvSpPr txBox="1"/>
      </xdr:nvSpPr>
      <xdr:spPr>
        <a:xfrm>
          <a:off x="39121080" y="7673340"/>
          <a:ext cx="548640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100" baseline="0"/>
            <a:t> From Phone number column for each cell value i use substitue function to remove all specail symbols and also use right function to all numbers remain 10 from right to left</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167640</xdr:colOff>
      <xdr:row>41</xdr:row>
      <xdr:rowOff>30480</xdr:rowOff>
    </xdr:from>
    <xdr:to>
      <xdr:col>17</xdr:col>
      <xdr:colOff>396240</xdr:colOff>
      <xdr:row>225</xdr:row>
      <xdr:rowOff>76200</xdr:rowOff>
    </xdr:to>
    <xdr:sp macro="" textlink="">
      <xdr:nvSpPr>
        <xdr:cNvPr id="2" name="TextBox 1">
          <a:extLst>
            <a:ext uri="{FF2B5EF4-FFF2-40B4-BE49-F238E27FC236}">
              <a16:creationId xmlns:a16="http://schemas.microsoft.com/office/drawing/2014/main" id="{F3DCA5EF-F242-61B6-29F5-9F0A2C39F5CC}"/>
            </a:ext>
          </a:extLst>
        </xdr:cNvPr>
        <xdr:cNvSpPr txBox="1"/>
      </xdr:nvSpPr>
      <xdr:spPr>
        <a:xfrm>
          <a:off x="167640" y="7528560"/>
          <a:ext cx="10591800" cy="33695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ln>
                <a:noFill/>
              </a:ln>
            </a:rPr>
            <a:t>Hospital Appointment Dataset</a:t>
          </a:r>
        </a:p>
        <a:p>
          <a:r>
            <a:rPr lang="en-IN" b="1">
              <a:ln>
                <a:noFill/>
              </a:ln>
            </a:rPr>
            <a:t>1. Dataset Overview</a:t>
          </a:r>
        </a:p>
        <a:p>
          <a:r>
            <a:rPr lang="en-IN">
              <a:ln>
                <a:noFill/>
              </a:ln>
            </a:rPr>
            <a:t>The dataset contains hospital appointment records including patient information, department details, doctor assignments, appointment scheduling, billing, insurance, and diagnosis data.</a:t>
          </a:r>
        </a:p>
        <a:p>
          <a:br>
            <a:rPr lang="en-IN">
              <a:ln>
                <a:noFill/>
              </a:ln>
            </a:rPr>
          </a:br>
          <a:endParaRPr lang="en-IN">
            <a:ln>
              <a:noFill/>
            </a:ln>
          </a:endParaRPr>
        </a:p>
        <a:p>
          <a:r>
            <a:rPr lang="en-IN" b="1">
              <a:ln>
                <a:noFill/>
              </a:ln>
            </a:rPr>
            <a:t>2. Blank Row Removal</a:t>
          </a:r>
        </a:p>
        <a:p>
          <a:r>
            <a:rPr lang="en-IN" b="1">
              <a:ln>
                <a:noFill/>
              </a:ln>
            </a:rPr>
            <a:t>Problem Found</a:t>
          </a:r>
        </a:p>
        <a:p>
          <a:r>
            <a:rPr lang="en-IN">
              <a:ln>
                <a:noFill/>
              </a:ln>
            </a:rPr>
            <a:t>Fully blank rows were present between records. </a:t>
          </a:r>
        </a:p>
        <a:p>
          <a:r>
            <a:rPr lang="en-IN" b="1">
              <a:ln>
                <a:noFill/>
              </a:ln>
            </a:rPr>
            <a:t>Action Taken</a:t>
          </a:r>
        </a:p>
        <a:p>
          <a:r>
            <a:rPr lang="en-IN">
              <a:ln>
                <a:noFill/>
              </a:ln>
            </a:rPr>
            <a:t>Used filters and blank cell checks to identify completely empty rows. </a:t>
          </a:r>
        </a:p>
        <a:p>
          <a:r>
            <a:rPr lang="en-IN">
              <a:ln>
                <a:noFill/>
              </a:ln>
            </a:rPr>
            <a:t>Removed only fully blank rows while preserving partially filled rows for further validation. </a:t>
          </a:r>
        </a:p>
        <a:p>
          <a:r>
            <a:rPr lang="en-IN" b="1">
              <a:ln>
                <a:noFill/>
              </a:ln>
            </a:rPr>
            <a:t>Example</a:t>
          </a:r>
        </a:p>
        <a:p>
          <a:r>
            <a:rPr lang="en-IN">
              <a:ln>
                <a:noFill/>
              </a:ln>
            </a:rPr>
            <a:t>BeforeAfterEmpty row between P1050 and P1001Removed</a:t>
          </a:r>
        </a:p>
        <a:p>
          <a:br>
            <a:rPr lang="en-IN">
              <a:ln>
                <a:noFill/>
              </a:ln>
            </a:rPr>
          </a:br>
          <a:endParaRPr lang="en-IN">
            <a:ln>
              <a:noFill/>
            </a:ln>
          </a:endParaRPr>
        </a:p>
        <a:p>
          <a:r>
            <a:rPr lang="en-IN" b="1">
              <a:ln>
                <a:noFill/>
              </a:ln>
            </a:rPr>
            <a:t>3. Patient ID Validation</a:t>
          </a:r>
        </a:p>
        <a:p>
          <a:r>
            <a:rPr lang="en-IN" b="1">
              <a:ln>
                <a:noFill/>
              </a:ln>
            </a:rPr>
            <a:t>Problem Found</a:t>
          </a:r>
        </a:p>
        <a:p>
          <a:r>
            <a:rPr lang="en-IN">
              <a:ln>
                <a:noFill/>
              </a:ln>
            </a:rPr>
            <a:t>Potential duplicate Patient IDs identified. </a:t>
          </a:r>
        </a:p>
        <a:p>
          <a:r>
            <a:rPr lang="en-IN">
              <a:ln>
                <a:noFill/>
              </a:ln>
            </a:rPr>
            <a:t>Some duplicate IDs contained different patient details. </a:t>
          </a:r>
        </a:p>
        <a:p>
          <a:r>
            <a:rPr lang="en-IN" b="1">
              <a:ln>
                <a:noFill/>
              </a:ln>
            </a:rPr>
            <a:t>Action Taken</a:t>
          </a:r>
        </a:p>
        <a:p>
          <a:r>
            <a:rPr lang="en-IN">
              <a:ln>
                <a:noFill/>
              </a:ln>
            </a:rPr>
            <a:t>Investigated duplicate records instead of immediately deleting them. </a:t>
          </a:r>
        </a:p>
        <a:p>
          <a:r>
            <a:rPr lang="en-IN">
              <a:ln>
                <a:noFill/>
              </a:ln>
            </a:rPr>
            <a:t>Treated them as possible repeat appointments or data integrity issues. </a:t>
          </a:r>
        </a:p>
        <a:p>
          <a:r>
            <a:rPr lang="en-IN">
              <a:ln>
                <a:noFill/>
              </a:ln>
            </a:rPr>
            <a:t>Flagged inconsistent duplicate IDs for reporting. </a:t>
          </a:r>
        </a:p>
        <a:p>
          <a:r>
            <a:rPr lang="en-IN" b="1">
              <a:ln>
                <a:noFill/>
              </a:ln>
            </a:rPr>
            <a:t>Example</a:t>
          </a:r>
        </a:p>
        <a:p>
          <a:r>
            <a:rPr lang="en-IN">
              <a:ln>
                <a:noFill/>
              </a:ln>
            </a:rPr>
            <a:t>Patient IDIssueP1050Repeated with different patient details</a:t>
          </a:r>
        </a:p>
        <a:p>
          <a:br>
            <a:rPr lang="en-IN">
              <a:ln>
                <a:noFill/>
              </a:ln>
            </a:rPr>
          </a:br>
          <a:endParaRPr lang="en-IN">
            <a:ln>
              <a:noFill/>
            </a:ln>
          </a:endParaRPr>
        </a:p>
        <a:p>
          <a:r>
            <a:rPr lang="en-IN" b="1">
              <a:ln>
                <a:noFill/>
              </a:ln>
            </a:rPr>
            <a:t>4. Patient Name Cleaning</a:t>
          </a:r>
        </a:p>
        <a:p>
          <a:r>
            <a:rPr lang="en-IN" b="1">
              <a:ln>
                <a:noFill/>
              </a:ln>
            </a:rPr>
            <a:t>Problems Found</a:t>
          </a:r>
        </a:p>
        <a:p>
          <a:r>
            <a:rPr lang="en-IN">
              <a:ln>
                <a:noFill/>
              </a:ln>
            </a:rPr>
            <a:t>Extra spaces in names. </a:t>
          </a:r>
        </a:p>
        <a:p>
          <a:r>
            <a:rPr lang="en-IN">
              <a:ln>
                <a:noFill/>
              </a:ln>
            </a:rPr>
            <a:t>Inconsistent formatting. </a:t>
          </a:r>
        </a:p>
        <a:p>
          <a:r>
            <a:rPr lang="en-IN" b="1">
              <a:ln>
                <a:noFill/>
              </a:ln>
            </a:rPr>
            <a:t>Actions Taken</a:t>
          </a:r>
        </a:p>
        <a:p>
          <a:r>
            <a:rPr lang="en-IN">
              <a:ln>
                <a:noFill/>
              </a:ln>
            </a:rPr>
            <a:t>Used </a:t>
          </a:r>
          <a:r>
            <a:rPr lang="en-IN" sz="1100">
              <a:ln>
                <a:noFill/>
              </a:ln>
              <a:solidFill>
                <a:schemeClr val="dk1"/>
              </a:solidFill>
              <a:latin typeface="+mn-lt"/>
              <a:ea typeface="+mn-ea"/>
              <a:cs typeface="+mn-cs"/>
            </a:rPr>
            <a:t>TRIM()</a:t>
          </a:r>
          <a:r>
            <a:rPr lang="en-IN">
              <a:ln>
                <a:noFill/>
              </a:ln>
            </a:rPr>
            <a:t> to remove unnecessary spaces. </a:t>
          </a:r>
        </a:p>
        <a:p>
          <a:r>
            <a:rPr lang="en-IN">
              <a:ln>
                <a:noFill/>
              </a:ln>
            </a:rPr>
            <a:t>Standardized naming format using </a:t>
          </a:r>
          <a:r>
            <a:rPr lang="en-IN" sz="1100">
              <a:ln>
                <a:noFill/>
              </a:ln>
              <a:solidFill>
                <a:schemeClr val="dk1"/>
              </a:solidFill>
              <a:latin typeface="+mn-lt"/>
              <a:ea typeface="+mn-ea"/>
              <a:cs typeface="+mn-cs"/>
            </a:rPr>
            <a:t>PROPER()</a:t>
          </a:r>
          <a:r>
            <a:rPr lang="en-IN">
              <a:ln>
                <a:noFill/>
              </a:ln>
            </a:rPr>
            <a:t>. </a:t>
          </a:r>
        </a:p>
        <a:p>
          <a:r>
            <a:rPr lang="en-IN" b="1">
              <a:ln>
                <a:noFill/>
              </a:ln>
            </a:rPr>
            <a:t>Example</a:t>
          </a:r>
        </a:p>
        <a:p>
          <a:r>
            <a:rPr lang="en-IN">
              <a:ln>
                <a:noFill/>
              </a:ln>
            </a:rPr>
            <a:t>BeforeAfter</a:t>
          </a:r>
          <a:r>
            <a:rPr lang="en-IN" sz="1100">
              <a:ln>
                <a:noFill/>
              </a:ln>
              <a:solidFill>
                <a:schemeClr val="dk1"/>
              </a:solidFill>
              <a:latin typeface="+mn-lt"/>
              <a:ea typeface="+mn-ea"/>
              <a:cs typeface="+mn-cs"/>
            </a:rPr>
            <a:t>Ahana DinAhana Din</a:t>
          </a:r>
          <a:endParaRPr lang="en-IN">
            <a:ln>
              <a:noFill/>
            </a:ln>
          </a:endParaRPr>
        </a:p>
        <a:p>
          <a:br>
            <a:rPr lang="en-IN">
              <a:ln>
                <a:noFill/>
              </a:ln>
            </a:rPr>
          </a:br>
          <a:endParaRPr lang="en-IN">
            <a:ln>
              <a:noFill/>
            </a:ln>
          </a:endParaRPr>
        </a:p>
        <a:p>
          <a:r>
            <a:rPr lang="en-IN" b="1">
              <a:ln>
                <a:noFill/>
              </a:ln>
            </a:rPr>
            <a:t>5. Gender Standardization</a:t>
          </a:r>
        </a:p>
        <a:p>
          <a:r>
            <a:rPr lang="en-IN" b="1">
              <a:ln>
                <a:noFill/>
              </a:ln>
            </a:rPr>
            <a:t>Problems Found</a:t>
          </a:r>
        </a:p>
        <a:p>
          <a:r>
            <a:rPr lang="en-IN">
              <a:ln>
                <a:noFill/>
              </a:ln>
            </a:rPr>
            <a:t>Multiple inconsistent gender values: </a:t>
          </a:r>
        </a:p>
        <a:p>
          <a:pPr lvl="1"/>
          <a:r>
            <a:rPr lang="en-IN" sz="1100">
              <a:ln>
                <a:noFill/>
              </a:ln>
              <a:solidFill>
                <a:schemeClr val="dk1"/>
              </a:solidFill>
              <a:latin typeface="+mn-lt"/>
              <a:ea typeface="+mn-ea"/>
              <a:cs typeface="+mn-cs"/>
            </a:rPr>
            <a:t>male</a:t>
          </a:r>
          <a:r>
            <a:rPr lang="en-IN">
              <a:ln>
                <a:noFill/>
              </a:ln>
            </a:rPr>
            <a:t> </a:t>
          </a:r>
        </a:p>
        <a:p>
          <a:pPr lvl="1"/>
          <a:r>
            <a:rPr lang="en-IN" sz="1100">
              <a:ln>
                <a:noFill/>
              </a:ln>
              <a:solidFill>
                <a:schemeClr val="dk1"/>
              </a:solidFill>
              <a:latin typeface="+mn-lt"/>
              <a:ea typeface="+mn-ea"/>
              <a:cs typeface="+mn-cs"/>
            </a:rPr>
            <a:t>Male</a:t>
          </a:r>
          <a:r>
            <a:rPr lang="en-IN">
              <a:ln>
                <a:noFill/>
              </a:ln>
            </a:rPr>
            <a:t> </a:t>
          </a:r>
        </a:p>
        <a:p>
          <a:pPr lvl="1"/>
          <a:r>
            <a:rPr lang="en-IN" sz="1100">
              <a:ln>
                <a:noFill/>
              </a:ln>
              <a:solidFill>
                <a:schemeClr val="dk1"/>
              </a:solidFill>
              <a:latin typeface="+mn-lt"/>
              <a:ea typeface="+mn-ea"/>
              <a:cs typeface="+mn-cs"/>
            </a:rPr>
            <a:t>M</a:t>
          </a:r>
          <a:r>
            <a:rPr lang="en-IN">
              <a:ln>
                <a:noFill/>
              </a:ln>
            </a:rPr>
            <a:t> </a:t>
          </a:r>
        </a:p>
        <a:p>
          <a:pPr lvl="1"/>
          <a:r>
            <a:rPr lang="en-IN" sz="1100">
              <a:ln>
                <a:noFill/>
              </a:ln>
              <a:solidFill>
                <a:schemeClr val="dk1"/>
              </a:solidFill>
              <a:latin typeface="+mn-lt"/>
              <a:ea typeface="+mn-ea"/>
              <a:cs typeface="+mn-cs"/>
            </a:rPr>
            <a:t>female</a:t>
          </a:r>
          <a:r>
            <a:rPr lang="en-IN">
              <a:ln>
                <a:noFill/>
              </a:ln>
            </a:rPr>
            <a:t> </a:t>
          </a:r>
        </a:p>
        <a:p>
          <a:pPr lvl="1"/>
          <a:r>
            <a:rPr lang="en-IN" sz="1100">
              <a:ln>
                <a:noFill/>
              </a:ln>
              <a:solidFill>
                <a:schemeClr val="dk1"/>
              </a:solidFill>
              <a:latin typeface="+mn-lt"/>
              <a:ea typeface="+mn-ea"/>
              <a:cs typeface="+mn-cs"/>
            </a:rPr>
            <a:t>Unknown</a:t>
          </a:r>
          <a:r>
            <a:rPr lang="en-IN">
              <a:ln>
                <a:noFill/>
              </a:ln>
            </a:rPr>
            <a:t> </a:t>
          </a:r>
        </a:p>
        <a:p>
          <a:r>
            <a:rPr lang="en-IN" b="1">
              <a:ln>
                <a:noFill/>
              </a:ln>
            </a:rPr>
            <a:t>Actions Taken</a:t>
          </a:r>
        </a:p>
        <a:p>
          <a:r>
            <a:rPr lang="en-IN">
              <a:ln>
                <a:noFill/>
              </a:ln>
            </a:rPr>
            <a:t>Standardized gender values into consistent categories: </a:t>
          </a:r>
        </a:p>
        <a:p>
          <a:pPr lvl="1"/>
          <a:r>
            <a:rPr lang="en-IN">
              <a:ln>
                <a:noFill/>
              </a:ln>
            </a:rPr>
            <a:t>Male </a:t>
          </a:r>
        </a:p>
        <a:p>
          <a:pPr lvl="1"/>
          <a:r>
            <a:rPr lang="en-IN">
              <a:ln>
                <a:noFill/>
              </a:ln>
            </a:rPr>
            <a:t>Female </a:t>
          </a:r>
        </a:p>
        <a:p>
          <a:pPr lvl="1"/>
          <a:r>
            <a:rPr lang="en-IN">
              <a:ln>
                <a:noFill/>
              </a:ln>
            </a:rPr>
            <a:t>Unknown </a:t>
          </a:r>
        </a:p>
        <a:p>
          <a:r>
            <a:rPr lang="en-IN" b="1">
              <a:ln>
                <a:noFill/>
              </a:ln>
            </a:rPr>
            <a:t>Example</a:t>
          </a:r>
        </a:p>
        <a:p>
          <a:r>
            <a:rPr lang="en-IN">
              <a:ln>
                <a:noFill/>
              </a:ln>
            </a:rPr>
            <a:t>BeforeAfter</a:t>
          </a:r>
          <a:r>
            <a:rPr lang="en-IN" sz="1100">
              <a:ln>
                <a:noFill/>
              </a:ln>
              <a:solidFill>
                <a:schemeClr val="dk1"/>
              </a:solidFill>
              <a:latin typeface="+mn-lt"/>
              <a:ea typeface="+mn-ea"/>
              <a:cs typeface="+mn-cs"/>
            </a:rPr>
            <a:t>maleMaleMMale</a:t>
          </a:r>
          <a:endParaRPr lang="en-IN">
            <a:ln>
              <a:noFill/>
            </a:ln>
          </a:endParaRPr>
        </a:p>
        <a:p>
          <a:br>
            <a:rPr lang="en-IN">
              <a:ln>
                <a:noFill/>
              </a:ln>
            </a:rPr>
          </a:br>
          <a:endParaRPr lang="en-IN">
            <a:ln>
              <a:noFill/>
            </a:ln>
          </a:endParaRPr>
        </a:p>
        <a:p>
          <a:r>
            <a:rPr lang="en-IN" b="1">
              <a:ln>
                <a:noFill/>
              </a:ln>
            </a:rPr>
            <a:t>6. Age Validation</a:t>
          </a:r>
        </a:p>
        <a:p>
          <a:r>
            <a:rPr lang="en-IN" b="1">
              <a:ln>
                <a:noFill/>
              </a:ln>
            </a:rPr>
            <a:t>Problems Found</a:t>
          </a:r>
        </a:p>
        <a:p>
          <a:r>
            <a:rPr lang="en-IN">
              <a:ln>
                <a:noFill/>
              </a:ln>
            </a:rPr>
            <a:t>Invalid negative age values. </a:t>
          </a:r>
        </a:p>
        <a:p>
          <a:r>
            <a:rPr lang="en-IN">
              <a:ln>
                <a:noFill/>
              </a:ln>
            </a:rPr>
            <a:t>Unrealistic age entries. </a:t>
          </a:r>
        </a:p>
        <a:p>
          <a:r>
            <a:rPr lang="en-IN" b="1">
              <a:ln>
                <a:noFill/>
              </a:ln>
            </a:rPr>
            <a:t>Actions Taken</a:t>
          </a:r>
        </a:p>
        <a:p>
          <a:r>
            <a:rPr lang="en-IN">
              <a:ln>
                <a:noFill/>
              </a:ln>
            </a:rPr>
            <a:t>Identified invalid ages using logical validation rules. </a:t>
          </a:r>
        </a:p>
        <a:p>
          <a:r>
            <a:rPr lang="en-IN">
              <a:ln>
                <a:noFill/>
              </a:ln>
            </a:rPr>
            <a:t>Replaced negative or invalid values using average valid age or flagged for review. </a:t>
          </a:r>
        </a:p>
        <a:p>
          <a:r>
            <a:rPr lang="en-IN" b="1">
              <a:ln>
                <a:noFill/>
              </a:ln>
            </a:rPr>
            <a:t>Example</a:t>
          </a:r>
        </a:p>
        <a:p>
          <a:r>
            <a:rPr lang="en-IN">
              <a:ln>
                <a:noFill/>
              </a:ln>
            </a:rPr>
            <a:t>BeforeIssue</a:t>
          </a:r>
          <a:r>
            <a:rPr lang="en-IN" sz="1100">
              <a:ln>
                <a:noFill/>
              </a:ln>
              <a:solidFill>
                <a:schemeClr val="dk1"/>
              </a:solidFill>
              <a:latin typeface="+mn-lt"/>
              <a:ea typeface="+mn-ea"/>
              <a:cs typeface="+mn-cs"/>
            </a:rPr>
            <a:t>-5</a:t>
          </a:r>
          <a:r>
            <a:rPr lang="en-IN">
              <a:ln>
                <a:noFill/>
              </a:ln>
            </a:rPr>
            <a:t>Invalid negative age</a:t>
          </a:r>
        </a:p>
        <a:p>
          <a:br>
            <a:rPr lang="en-IN">
              <a:ln>
                <a:noFill/>
              </a:ln>
            </a:rPr>
          </a:br>
          <a:endParaRPr lang="en-IN">
            <a:ln>
              <a:noFill/>
            </a:ln>
          </a:endParaRPr>
        </a:p>
        <a:p>
          <a:r>
            <a:rPr lang="en-IN" b="1">
              <a:ln>
                <a:noFill/>
              </a:ln>
            </a:rPr>
            <a:t>7. Department Standardization</a:t>
          </a:r>
        </a:p>
        <a:p>
          <a:r>
            <a:rPr lang="en-IN" b="1">
              <a:ln>
                <a:noFill/>
              </a:ln>
            </a:rPr>
            <a:t>Problems Found</a:t>
          </a:r>
        </a:p>
        <a:p>
          <a:r>
            <a:rPr lang="en-IN">
              <a:ln>
                <a:noFill/>
              </a:ln>
            </a:rPr>
            <a:t>Inconsistent department naming and casing. </a:t>
          </a:r>
        </a:p>
        <a:p>
          <a:r>
            <a:rPr lang="en-IN" b="1">
              <a:ln>
                <a:noFill/>
              </a:ln>
            </a:rPr>
            <a:t>Actions Taken</a:t>
          </a:r>
        </a:p>
        <a:p>
          <a:r>
            <a:rPr lang="en-IN">
              <a:ln>
                <a:noFill/>
              </a:ln>
            </a:rPr>
            <a:t>Standardized department names using proper text formatting and mapping rules. </a:t>
          </a:r>
        </a:p>
        <a:p>
          <a:r>
            <a:rPr lang="en-IN" b="1">
              <a:ln>
                <a:noFill/>
              </a:ln>
            </a:rPr>
            <a:t>Example</a:t>
          </a:r>
        </a:p>
        <a:p>
          <a:r>
            <a:rPr lang="en-IN">
              <a:ln>
                <a:noFill/>
              </a:ln>
            </a:rPr>
            <a:t>BeforeAfter</a:t>
          </a:r>
          <a:r>
            <a:rPr lang="en-IN" sz="1100">
              <a:ln>
                <a:noFill/>
              </a:ln>
              <a:solidFill>
                <a:schemeClr val="dk1"/>
              </a:solidFill>
              <a:latin typeface="+mn-lt"/>
              <a:ea typeface="+mn-ea"/>
              <a:cs typeface="+mn-cs"/>
            </a:rPr>
            <a:t>oncologyOncology</a:t>
          </a:r>
          <a:endParaRPr lang="en-IN">
            <a:ln>
              <a:noFill/>
            </a:ln>
          </a:endParaRPr>
        </a:p>
        <a:p>
          <a:br>
            <a:rPr lang="en-IN">
              <a:ln>
                <a:noFill/>
              </a:ln>
            </a:rPr>
          </a:br>
          <a:endParaRPr lang="en-IN">
            <a:ln>
              <a:noFill/>
            </a:ln>
          </a:endParaRPr>
        </a:p>
        <a:p>
          <a:r>
            <a:rPr lang="en-IN" b="1">
              <a:ln>
                <a:noFill/>
              </a:ln>
            </a:rPr>
            <a:t>8. Doctor Name Cleaning</a:t>
          </a:r>
        </a:p>
        <a:p>
          <a:r>
            <a:rPr lang="en-IN" b="1">
              <a:ln>
                <a:noFill/>
              </a:ln>
            </a:rPr>
            <a:t>Problems Found</a:t>
          </a:r>
        </a:p>
        <a:p>
          <a:r>
            <a:rPr lang="en-IN">
              <a:ln>
                <a:noFill/>
              </a:ln>
            </a:rPr>
            <a:t>Inconsistent doctor naming formats: </a:t>
          </a:r>
        </a:p>
        <a:p>
          <a:pPr lvl="1"/>
          <a:r>
            <a:rPr lang="en-IN" sz="1100">
              <a:ln>
                <a:noFill/>
              </a:ln>
              <a:solidFill>
                <a:schemeClr val="dk1"/>
              </a:solidFill>
              <a:latin typeface="+mn-lt"/>
              <a:ea typeface="+mn-ea"/>
              <a:cs typeface="+mn-cs"/>
            </a:rPr>
            <a:t>dr priya</a:t>
          </a:r>
          <a:r>
            <a:rPr lang="en-IN">
              <a:ln>
                <a:noFill/>
              </a:ln>
            </a:rPr>
            <a:t> </a:t>
          </a:r>
        </a:p>
        <a:p>
          <a:pPr lvl="1"/>
          <a:r>
            <a:rPr lang="en-IN" sz="1100">
              <a:ln>
                <a:noFill/>
              </a:ln>
              <a:solidFill>
                <a:schemeClr val="dk1"/>
              </a:solidFill>
              <a:latin typeface="+mn-lt"/>
              <a:ea typeface="+mn-ea"/>
              <a:cs typeface="+mn-cs"/>
            </a:rPr>
            <a:t>DR SHARMA</a:t>
          </a:r>
          <a:r>
            <a:rPr lang="en-IN">
              <a:ln>
                <a:noFill/>
              </a:ln>
            </a:rPr>
            <a:t> </a:t>
          </a:r>
        </a:p>
        <a:p>
          <a:pPr lvl="1"/>
          <a:r>
            <a:rPr lang="en-IN" sz="1100">
              <a:ln>
                <a:noFill/>
              </a:ln>
              <a:solidFill>
                <a:schemeClr val="dk1"/>
              </a:solidFill>
              <a:latin typeface="+mn-lt"/>
              <a:ea typeface="+mn-ea"/>
              <a:cs typeface="+mn-cs"/>
            </a:rPr>
            <a:t>dr mehta</a:t>
          </a:r>
          <a:r>
            <a:rPr lang="en-IN">
              <a:ln>
                <a:noFill/>
              </a:ln>
            </a:rPr>
            <a:t> </a:t>
          </a:r>
        </a:p>
        <a:p>
          <a:r>
            <a:rPr lang="en-IN" b="1">
              <a:ln>
                <a:noFill/>
              </a:ln>
            </a:rPr>
            <a:t>Actions Taken</a:t>
          </a:r>
        </a:p>
        <a:p>
          <a:r>
            <a:rPr lang="en-IN">
              <a:ln>
                <a:noFill/>
              </a:ln>
            </a:rPr>
            <a:t>Standardized doctor names using consistent title casing. </a:t>
          </a:r>
        </a:p>
        <a:p>
          <a:r>
            <a:rPr lang="en-IN" b="1">
              <a:ln>
                <a:noFill/>
              </a:ln>
            </a:rPr>
            <a:t>Example</a:t>
          </a:r>
        </a:p>
        <a:p>
          <a:r>
            <a:rPr lang="en-IN">
              <a:ln>
                <a:noFill/>
              </a:ln>
            </a:rPr>
            <a:t>BeforeAfter</a:t>
          </a:r>
          <a:r>
            <a:rPr lang="en-IN" sz="1100">
              <a:ln>
                <a:noFill/>
              </a:ln>
              <a:solidFill>
                <a:schemeClr val="dk1"/>
              </a:solidFill>
              <a:latin typeface="+mn-lt"/>
              <a:ea typeface="+mn-ea"/>
              <a:cs typeface="+mn-cs"/>
            </a:rPr>
            <a:t>dr priyaDr PriyaDR SHARMADr Sharma</a:t>
          </a:r>
          <a:endParaRPr lang="en-IN">
            <a:ln>
              <a:noFill/>
            </a:ln>
          </a:endParaRPr>
        </a:p>
        <a:p>
          <a:br>
            <a:rPr lang="en-IN">
              <a:ln>
                <a:noFill/>
              </a:ln>
            </a:rPr>
          </a:br>
          <a:endParaRPr lang="en-IN">
            <a:ln>
              <a:noFill/>
            </a:ln>
          </a:endParaRPr>
        </a:p>
        <a:p>
          <a:r>
            <a:rPr lang="en-IN" b="1">
              <a:ln>
                <a:noFill/>
              </a:ln>
            </a:rPr>
            <a:t>9. Appointment Date Validation</a:t>
          </a:r>
        </a:p>
        <a:p>
          <a:r>
            <a:rPr lang="en-IN" b="1">
              <a:ln>
                <a:noFill/>
              </a:ln>
            </a:rPr>
            <a:t>Problems Found</a:t>
          </a:r>
        </a:p>
        <a:p>
          <a:r>
            <a:rPr lang="en-IN">
              <a:ln>
                <a:noFill/>
              </a:ln>
            </a:rPr>
            <a:t>Some appointment dates occurred before scheduled dates. </a:t>
          </a:r>
        </a:p>
        <a:p>
          <a:r>
            <a:rPr lang="en-IN" b="1">
              <a:ln>
                <a:noFill/>
              </a:ln>
            </a:rPr>
            <a:t>Actions Taken</a:t>
          </a:r>
        </a:p>
        <a:p>
          <a:r>
            <a:rPr lang="en-IN">
              <a:ln>
                <a:noFill/>
              </a:ln>
            </a:rPr>
            <a:t>Compared Appointment Date with Scheduled_Date. </a:t>
          </a:r>
        </a:p>
        <a:p>
          <a:r>
            <a:rPr lang="en-IN">
              <a:ln>
                <a:noFill/>
              </a:ln>
            </a:rPr>
            <a:t>Flagged logically invalid records where appointment date occurred before schedule date. </a:t>
          </a:r>
        </a:p>
        <a:p>
          <a:r>
            <a:rPr lang="en-IN" b="1">
              <a:ln>
                <a:noFill/>
              </a:ln>
            </a:rPr>
            <a:t>Example</a:t>
          </a:r>
        </a:p>
        <a:p>
          <a:r>
            <a:rPr lang="en-IN">
              <a:ln>
                <a:noFill/>
              </a:ln>
            </a:rPr>
            <a:t>Appointment DateScheduled DateStatus2026-03-172026-03-22Invalid</a:t>
          </a:r>
        </a:p>
        <a:p>
          <a:br>
            <a:rPr lang="en-IN">
              <a:ln>
                <a:noFill/>
              </a:ln>
            </a:rPr>
          </a:br>
          <a:endParaRPr lang="en-IN">
            <a:ln>
              <a:noFill/>
            </a:ln>
          </a:endParaRPr>
        </a:p>
        <a:p>
          <a:r>
            <a:rPr lang="en-IN" b="1">
              <a:ln>
                <a:noFill/>
              </a:ln>
            </a:rPr>
            <a:t>10. Phone Number Cleaning</a:t>
          </a:r>
        </a:p>
        <a:p>
          <a:r>
            <a:rPr lang="en-IN" b="1">
              <a:ln>
                <a:noFill/>
              </a:ln>
            </a:rPr>
            <a:t>Problems Found</a:t>
          </a:r>
        </a:p>
        <a:p>
          <a:r>
            <a:rPr lang="en-IN">
              <a:ln>
                <a:noFill/>
              </a:ln>
            </a:rPr>
            <a:t>Inconsistent phone number formats: </a:t>
          </a:r>
        </a:p>
        <a:p>
          <a:pPr lvl="1"/>
          <a:r>
            <a:rPr lang="en-IN">
              <a:ln>
                <a:noFill/>
              </a:ln>
            </a:rPr>
            <a:t>Country codes </a:t>
          </a:r>
        </a:p>
        <a:p>
          <a:pPr lvl="1"/>
          <a:r>
            <a:rPr lang="en-IN">
              <a:ln>
                <a:noFill/>
              </a:ln>
            </a:rPr>
            <a:t>Leading zeros </a:t>
          </a:r>
        </a:p>
        <a:p>
          <a:pPr lvl="1"/>
          <a:r>
            <a:rPr lang="en-IN">
              <a:ln>
                <a:noFill/>
              </a:ln>
            </a:rPr>
            <a:t>Short invalid values </a:t>
          </a:r>
        </a:p>
        <a:p>
          <a:pPr lvl="1"/>
          <a:r>
            <a:rPr lang="en-IN">
              <a:ln>
                <a:noFill/>
              </a:ln>
            </a:rPr>
            <a:t>Mixed lengths </a:t>
          </a:r>
        </a:p>
        <a:p>
          <a:r>
            <a:rPr lang="en-IN" b="1">
              <a:ln>
                <a:noFill/>
              </a:ln>
            </a:rPr>
            <a:t>Actions Taken</a:t>
          </a:r>
        </a:p>
        <a:p>
          <a:r>
            <a:rPr lang="en-IN">
              <a:ln>
                <a:noFill/>
              </a:ln>
            </a:rPr>
            <a:t>Removed unnecessary symbols and country codes. </a:t>
          </a:r>
        </a:p>
        <a:p>
          <a:r>
            <a:rPr lang="en-IN">
              <a:ln>
                <a:noFill/>
              </a:ln>
            </a:rPr>
            <a:t>Standardized phone numbers to 10-digit format. </a:t>
          </a:r>
        </a:p>
        <a:p>
          <a:r>
            <a:rPr lang="en-IN">
              <a:ln>
                <a:noFill/>
              </a:ln>
            </a:rPr>
            <a:t>Flagged invalid phone numbers. </a:t>
          </a:r>
        </a:p>
        <a:p>
          <a:r>
            <a:rPr lang="en-IN" b="1">
              <a:ln>
                <a:noFill/>
              </a:ln>
            </a:rPr>
            <a:t>Example</a:t>
          </a:r>
        </a:p>
        <a:p>
          <a:r>
            <a:rPr lang="en-IN">
              <a:ln>
                <a:noFill/>
              </a:ln>
            </a:rPr>
            <a:t>BeforeAfter</a:t>
          </a:r>
          <a:r>
            <a:rPr lang="en-IN" sz="1100">
              <a:ln>
                <a:noFill/>
              </a:ln>
              <a:solidFill>
                <a:schemeClr val="dk1"/>
              </a:solidFill>
              <a:latin typeface="+mn-lt"/>
              <a:ea typeface="+mn-ea"/>
              <a:cs typeface="+mn-cs"/>
            </a:rPr>
            <a:t>+912921861789292186178905645713921564571392112345</a:t>
          </a:r>
          <a:r>
            <a:rPr lang="en-IN">
              <a:ln>
                <a:noFill/>
              </a:ln>
            </a:rPr>
            <a:t>Invalid</a:t>
          </a:r>
        </a:p>
        <a:p>
          <a:br>
            <a:rPr lang="en-IN">
              <a:ln>
                <a:noFill/>
              </a:ln>
            </a:rPr>
          </a:br>
          <a:endParaRPr lang="en-IN">
            <a:ln>
              <a:noFill/>
            </a:ln>
          </a:endParaRPr>
        </a:p>
        <a:p>
          <a:r>
            <a:rPr lang="en-IN" b="1">
              <a:ln>
                <a:noFill/>
              </a:ln>
            </a:rPr>
            <a:t>11. Email Validation</a:t>
          </a:r>
        </a:p>
        <a:p>
          <a:r>
            <a:rPr lang="en-IN" b="1">
              <a:ln>
                <a:noFill/>
              </a:ln>
            </a:rPr>
            <a:t>Problems Found</a:t>
          </a:r>
        </a:p>
        <a:p>
          <a:r>
            <a:rPr lang="en-IN">
              <a:ln>
                <a:noFill/>
              </a:ln>
            </a:rPr>
            <a:t>Missing email values. </a:t>
          </a:r>
        </a:p>
        <a:p>
          <a:r>
            <a:rPr lang="en-IN">
              <a:ln>
                <a:noFill/>
              </a:ln>
            </a:rPr>
            <a:t>Potential formatting inconsistencies. </a:t>
          </a:r>
        </a:p>
        <a:p>
          <a:r>
            <a:rPr lang="en-IN" b="1">
              <a:ln>
                <a:noFill/>
              </a:ln>
            </a:rPr>
            <a:t>Actions Taken</a:t>
          </a:r>
        </a:p>
        <a:p>
          <a:r>
            <a:rPr lang="en-IN">
              <a:ln>
                <a:noFill/>
              </a:ln>
            </a:rPr>
            <a:t>Checked email structure using validation rules. </a:t>
          </a:r>
        </a:p>
        <a:p>
          <a:r>
            <a:rPr lang="en-IN">
              <a:ln>
                <a:noFill/>
              </a:ln>
            </a:rPr>
            <a:t>Preserved blanks where data was unavailable. </a:t>
          </a:r>
        </a:p>
        <a:p>
          <a:br>
            <a:rPr lang="en-IN">
              <a:ln>
                <a:noFill/>
              </a:ln>
            </a:rPr>
          </a:br>
          <a:endParaRPr lang="en-IN">
            <a:ln>
              <a:noFill/>
            </a:ln>
          </a:endParaRPr>
        </a:p>
        <a:p>
          <a:r>
            <a:rPr lang="en-IN" b="1">
              <a:ln>
                <a:noFill/>
              </a:ln>
            </a:rPr>
            <a:t>12. No_Show Standardization</a:t>
          </a:r>
        </a:p>
        <a:p>
          <a:r>
            <a:rPr lang="en-IN" b="1">
              <a:ln>
                <a:noFill/>
              </a:ln>
            </a:rPr>
            <a:t>Problems Found</a:t>
          </a:r>
        </a:p>
        <a:p>
          <a:r>
            <a:rPr lang="en-IN">
              <a:ln>
                <a:noFill/>
              </a:ln>
            </a:rPr>
            <a:t>Multiple inconsistent representations: </a:t>
          </a:r>
        </a:p>
        <a:p>
          <a:pPr lvl="1"/>
          <a:r>
            <a:rPr lang="en-IN" sz="1100">
              <a:ln>
                <a:noFill/>
              </a:ln>
              <a:solidFill>
                <a:schemeClr val="dk1"/>
              </a:solidFill>
              <a:latin typeface="+mn-lt"/>
              <a:ea typeface="+mn-ea"/>
              <a:cs typeface="+mn-cs"/>
            </a:rPr>
            <a:t>YES</a:t>
          </a:r>
          <a:r>
            <a:rPr lang="en-IN">
              <a:ln>
                <a:noFill/>
              </a:ln>
            </a:rPr>
            <a:t> </a:t>
          </a:r>
        </a:p>
        <a:p>
          <a:pPr lvl="1"/>
          <a:r>
            <a:rPr lang="en-IN" sz="1100">
              <a:ln>
                <a:noFill/>
              </a:ln>
              <a:solidFill>
                <a:schemeClr val="dk1"/>
              </a:solidFill>
              <a:latin typeface="+mn-lt"/>
              <a:ea typeface="+mn-ea"/>
              <a:cs typeface="+mn-cs"/>
            </a:rPr>
            <a:t>Yes</a:t>
          </a:r>
          <a:r>
            <a:rPr lang="en-IN">
              <a:ln>
                <a:noFill/>
              </a:ln>
            </a:rPr>
            <a:t> </a:t>
          </a:r>
        </a:p>
        <a:p>
          <a:pPr lvl="1"/>
          <a:r>
            <a:rPr lang="en-IN" sz="1100">
              <a:ln>
                <a:noFill/>
              </a:ln>
              <a:solidFill>
                <a:schemeClr val="dk1"/>
              </a:solidFill>
              <a:latin typeface="+mn-lt"/>
              <a:ea typeface="+mn-ea"/>
              <a:cs typeface="+mn-cs"/>
            </a:rPr>
            <a:t>Y</a:t>
          </a:r>
          <a:r>
            <a:rPr lang="en-IN">
              <a:ln>
                <a:noFill/>
              </a:ln>
            </a:rPr>
            <a:t> </a:t>
          </a:r>
        </a:p>
        <a:p>
          <a:pPr lvl="1"/>
          <a:r>
            <a:rPr lang="en-IN" sz="1100">
              <a:ln>
                <a:noFill/>
              </a:ln>
              <a:solidFill>
                <a:schemeClr val="dk1"/>
              </a:solidFill>
              <a:latin typeface="+mn-lt"/>
              <a:ea typeface="+mn-ea"/>
              <a:cs typeface="+mn-cs"/>
            </a:rPr>
            <a:t>NO</a:t>
          </a:r>
          <a:r>
            <a:rPr lang="en-IN">
              <a:ln>
                <a:noFill/>
              </a:ln>
            </a:rPr>
            <a:t> </a:t>
          </a:r>
        </a:p>
        <a:p>
          <a:pPr lvl="1"/>
          <a:r>
            <a:rPr lang="en-IN">
              <a:ln>
                <a:noFill/>
              </a:ln>
            </a:rPr>
            <a:t>blank values </a:t>
          </a:r>
        </a:p>
        <a:p>
          <a:r>
            <a:rPr lang="en-IN" b="1">
              <a:ln>
                <a:noFill/>
              </a:ln>
            </a:rPr>
            <a:t>Actions Taken</a:t>
          </a:r>
        </a:p>
        <a:p>
          <a:r>
            <a:rPr lang="en-IN">
              <a:ln>
                <a:noFill/>
              </a:ln>
            </a:rPr>
            <a:t>Standardized values into: </a:t>
          </a:r>
        </a:p>
        <a:p>
          <a:pPr lvl="1"/>
          <a:r>
            <a:rPr lang="en-IN">
              <a:ln>
                <a:noFill/>
              </a:ln>
            </a:rPr>
            <a:t>Yes </a:t>
          </a:r>
        </a:p>
        <a:p>
          <a:pPr lvl="1"/>
          <a:r>
            <a:rPr lang="en-IN">
              <a:ln>
                <a:noFill/>
              </a:ln>
            </a:rPr>
            <a:t>No </a:t>
          </a:r>
        </a:p>
        <a:p>
          <a:pPr lvl="1"/>
          <a:r>
            <a:rPr lang="en-IN">
              <a:ln>
                <a:noFill/>
              </a:ln>
            </a:rPr>
            <a:t>Unknown </a:t>
          </a:r>
        </a:p>
        <a:p>
          <a:r>
            <a:rPr lang="en-IN" b="1">
              <a:ln>
                <a:noFill/>
              </a:ln>
            </a:rPr>
            <a:t>Example</a:t>
          </a:r>
        </a:p>
        <a:p>
          <a:r>
            <a:rPr lang="en-IN">
              <a:ln>
                <a:noFill/>
              </a:ln>
            </a:rPr>
            <a:t>BeforeAfter</a:t>
          </a:r>
          <a:r>
            <a:rPr lang="en-IN" sz="1100">
              <a:ln>
                <a:noFill/>
              </a:ln>
              <a:solidFill>
                <a:schemeClr val="dk1"/>
              </a:solidFill>
              <a:latin typeface="+mn-lt"/>
              <a:ea typeface="+mn-ea"/>
              <a:cs typeface="+mn-cs"/>
            </a:rPr>
            <a:t>YYesNONo</a:t>
          </a:r>
          <a:endParaRPr lang="en-IN">
            <a:ln>
              <a:noFill/>
            </a:ln>
          </a:endParaRPr>
        </a:p>
        <a:p>
          <a:br>
            <a:rPr lang="en-IN">
              <a:ln>
                <a:noFill/>
              </a:ln>
            </a:rPr>
          </a:br>
          <a:endParaRPr lang="en-IN">
            <a:ln>
              <a:noFill/>
            </a:ln>
          </a:endParaRPr>
        </a:p>
        <a:p>
          <a:r>
            <a:rPr lang="en-IN" b="1">
              <a:ln>
                <a:noFill/>
              </a:ln>
            </a:rPr>
            <a:t>13. Bill Amount Cleaning</a:t>
          </a:r>
        </a:p>
        <a:p>
          <a:r>
            <a:rPr lang="en-IN" b="1">
              <a:ln>
                <a:noFill/>
              </a:ln>
            </a:rPr>
            <a:t>Problems Found</a:t>
          </a:r>
        </a:p>
        <a:p>
          <a:r>
            <a:rPr lang="en-IN">
              <a:ln>
                <a:noFill/>
              </a:ln>
            </a:rPr>
            <a:t>Bill amounts stored as text. </a:t>
          </a:r>
        </a:p>
        <a:p>
          <a:r>
            <a:rPr lang="en-IN">
              <a:ln>
                <a:noFill/>
              </a:ln>
            </a:rPr>
            <a:t>Missing values. </a:t>
          </a:r>
        </a:p>
        <a:p>
          <a:r>
            <a:rPr lang="en-IN" b="1">
              <a:ln>
                <a:noFill/>
              </a:ln>
            </a:rPr>
            <a:t>Actions Taken</a:t>
          </a:r>
        </a:p>
        <a:p>
          <a:r>
            <a:rPr lang="en-IN">
              <a:ln>
                <a:noFill/>
              </a:ln>
            </a:rPr>
            <a:t>Converted textual bill amounts into numeric format. </a:t>
          </a:r>
        </a:p>
        <a:p>
          <a:r>
            <a:rPr lang="en-IN">
              <a:ln>
                <a:noFill/>
              </a:ln>
            </a:rPr>
            <a:t>Standardized currency values. </a:t>
          </a:r>
        </a:p>
        <a:p>
          <a:r>
            <a:rPr lang="en-IN" b="1">
              <a:ln>
                <a:noFill/>
              </a:ln>
            </a:rPr>
            <a:t>Example</a:t>
          </a:r>
        </a:p>
        <a:p>
          <a:r>
            <a:rPr lang="en-IN">
              <a:ln>
                <a:noFill/>
              </a:ln>
            </a:rPr>
            <a:t>BeforeAfter</a:t>
          </a:r>
          <a:r>
            <a:rPr lang="en-IN" sz="1100">
              <a:ln>
                <a:noFill/>
              </a:ln>
              <a:solidFill>
                <a:schemeClr val="dk1"/>
              </a:solidFill>
              <a:latin typeface="+mn-lt"/>
              <a:ea typeface="+mn-ea"/>
              <a:cs typeface="+mn-cs"/>
            </a:rPr>
            <a:t>twenty thousand20000</a:t>
          </a:r>
          <a:endParaRPr lang="en-IN">
            <a:ln>
              <a:noFill/>
            </a:ln>
          </a:endParaRPr>
        </a:p>
        <a:p>
          <a:br>
            <a:rPr lang="en-IN">
              <a:ln>
                <a:noFill/>
              </a:ln>
            </a:rPr>
          </a:br>
          <a:endParaRPr lang="en-IN">
            <a:ln>
              <a:noFill/>
            </a:ln>
          </a:endParaRPr>
        </a:p>
        <a:p>
          <a:r>
            <a:rPr lang="en-IN" b="1">
              <a:ln>
                <a:noFill/>
              </a:ln>
            </a:rPr>
            <a:t>14. Insurance Status Standardization</a:t>
          </a:r>
        </a:p>
        <a:p>
          <a:r>
            <a:rPr lang="en-IN" b="1">
              <a:ln>
                <a:noFill/>
              </a:ln>
            </a:rPr>
            <a:t>Problems Found</a:t>
          </a:r>
        </a:p>
        <a:p>
          <a:r>
            <a:rPr lang="en-IN">
              <a:ln>
                <a:noFill/>
              </a:ln>
            </a:rPr>
            <a:t>Inconsistent insurance values: </a:t>
          </a:r>
        </a:p>
        <a:p>
          <a:pPr lvl="1"/>
          <a:r>
            <a:rPr lang="en-IN" sz="1100">
              <a:ln>
                <a:noFill/>
              </a:ln>
              <a:solidFill>
                <a:schemeClr val="dk1"/>
              </a:solidFill>
              <a:latin typeface="+mn-lt"/>
              <a:ea typeface="+mn-ea"/>
              <a:cs typeface="+mn-cs"/>
            </a:rPr>
            <a:t>Y</a:t>
          </a:r>
          <a:r>
            <a:rPr lang="en-IN">
              <a:ln>
                <a:noFill/>
              </a:ln>
            </a:rPr>
            <a:t> </a:t>
          </a:r>
        </a:p>
        <a:p>
          <a:pPr lvl="1"/>
          <a:r>
            <a:rPr lang="en-IN" sz="1100">
              <a:ln>
                <a:noFill/>
              </a:ln>
              <a:solidFill>
                <a:schemeClr val="dk1"/>
              </a:solidFill>
              <a:latin typeface="+mn-lt"/>
              <a:ea typeface="+mn-ea"/>
              <a:cs typeface="+mn-cs"/>
            </a:rPr>
            <a:t>Yes</a:t>
          </a:r>
          <a:r>
            <a:rPr lang="en-IN">
              <a:ln>
                <a:noFill/>
              </a:ln>
            </a:rPr>
            <a:t> </a:t>
          </a:r>
        </a:p>
        <a:p>
          <a:pPr lvl="1"/>
          <a:r>
            <a:rPr lang="en-IN" sz="1100">
              <a:ln>
                <a:noFill/>
              </a:ln>
              <a:solidFill>
                <a:schemeClr val="dk1"/>
              </a:solidFill>
              <a:latin typeface="+mn-lt"/>
              <a:ea typeface="+mn-ea"/>
              <a:cs typeface="+mn-cs"/>
            </a:rPr>
            <a:t>N</a:t>
          </a:r>
          <a:r>
            <a:rPr lang="en-IN">
              <a:ln>
                <a:noFill/>
              </a:ln>
            </a:rPr>
            <a:t> </a:t>
          </a:r>
        </a:p>
        <a:p>
          <a:pPr lvl="1"/>
          <a:r>
            <a:rPr lang="en-IN" sz="1100">
              <a:ln>
                <a:noFill/>
              </a:ln>
              <a:solidFill>
                <a:schemeClr val="dk1"/>
              </a:solidFill>
              <a:latin typeface="+mn-lt"/>
              <a:ea typeface="+mn-ea"/>
              <a:cs typeface="+mn-cs"/>
            </a:rPr>
            <a:t>NO</a:t>
          </a:r>
          <a:r>
            <a:rPr lang="en-IN">
              <a:ln>
                <a:noFill/>
              </a:ln>
            </a:rPr>
            <a:t> </a:t>
          </a:r>
        </a:p>
        <a:p>
          <a:r>
            <a:rPr lang="en-IN" b="1">
              <a:ln>
                <a:noFill/>
              </a:ln>
            </a:rPr>
            <a:t>Actions Taken</a:t>
          </a:r>
        </a:p>
        <a:p>
          <a:r>
            <a:rPr lang="en-IN">
              <a:ln>
                <a:noFill/>
              </a:ln>
            </a:rPr>
            <a:t>Standardized into consistent Yes/No values. </a:t>
          </a:r>
        </a:p>
        <a:p>
          <a:r>
            <a:rPr lang="en-IN" b="1">
              <a:ln>
                <a:noFill/>
              </a:ln>
            </a:rPr>
            <a:t>Example</a:t>
          </a:r>
        </a:p>
        <a:p>
          <a:r>
            <a:rPr lang="en-IN">
              <a:ln>
                <a:noFill/>
              </a:ln>
            </a:rPr>
            <a:t>BeforeAfter</a:t>
          </a:r>
          <a:r>
            <a:rPr lang="en-IN" sz="1100">
              <a:ln>
                <a:noFill/>
              </a:ln>
              <a:solidFill>
                <a:schemeClr val="dk1"/>
              </a:solidFill>
              <a:latin typeface="+mn-lt"/>
              <a:ea typeface="+mn-ea"/>
              <a:cs typeface="+mn-cs"/>
            </a:rPr>
            <a:t>NNoYYes</a:t>
          </a:r>
          <a:endParaRPr lang="en-IN">
            <a:ln>
              <a:noFill/>
            </a:ln>
          </a:endParaRPr>
        </a:p>
        <a:p>
          <a:br>
            <a:rPr lang="en-IN">
              <a:ln>
                <a:noFill/>
              </a:ln>
            </a:rPr>
          </a:br>
          <a:endParaRPr lang="en-IN">
            <a:ln>
              <a:noFill/>
            </a:ln>
          </a:endParaRPr>
        </a:p>
        <a:p>
          <a:r>
            <a:rPr lang="en-IN" b="1">
              <a:ln>
                <a:noFill/>
              </a:ln>
            </a:rPr>
            <a:t>15. Room Number Validation</a:t>
          </a:r>
        </a:p>
        <a:p>
          <a:r>
            <a:rPr lang="en-IN" b="1">
              <a:ln>
                <a:noFill/>
              </a:ln>
            </a:rPr>
            <a:t>Problems Found</a:t>
          </a:r>
        </a:p>
        <a:p>
          <a:r>
            <a:rPr lang="en-IN">
              <a:ln>
                <a:noFill/>
              </a:ln>
            </a:rPr>
            <a:t>Mixed room number formats. </a:t>
          </a:r>
        </a:p>
        <a:p>
          <a:r>
            <a:rPr lang="en-IN">
              <a:ln>
                <a:noFill/>
              </a:ln>
            </a:rPr>
            <a:t>Alphanumeric room values. </a:t>
          </a:r>
        </a:p>
        <a:p>
          <a:r>
            <a:rPr lang="en-IN" b="1">
              <a:ln>
                <a:noFill/>
              </a:ln>
            </a:rPr>
            <a:t>Actions Taken</a:t>
          </a:r>
        </a:p>
        <a:p>
          <a:r>
            <a:rPr lang="en-IN">
              <a:ln>
                <a:noFill/>
              </a:ln>
            </a:rPr>
            <a:t>Preserved room identifiers while validating formatting consistency. </a:t>
          </a:r>
        </a:p>
        <a:p>
          <a:r>
            <a:rPr lang="en-IN" b="1">
              <a:ln>
                <a:noFill/>
              </a:ln>
            </a:rPr>
            <a:t>Example</a:t>
          </a:r>
        </a:p>
        <a:p>
          <a:r>
            <a:rPr lang="en-IN">
              <a:ln>
                <a:noFill/>
              </a:ln>
            </a:rPr>
            <a:t>ValueRoom-X</a:t>
          </a:r>
        </a:p>
        <a:p>
          <a:br>
            <a:rPr lang="en-IN">
              <a:ln>
                <a:noFill/>
              </a:ln>
            </a:rPr>
          </a:br>
          <a:endParaRPr lang="en-IN">
            <a:ln>
              <a:noFill/>
            </a:ln>
          </a:endParaRPr>
        </a:p>
        <a:p>
          <a:r>
            <a:rPr lang="en-IN" b="1">
              <a:ln>
                <a:noFill/>
              </a:ln>
            </a:rPr>
            <a:t>16. Diagnosis Code Validation</a:t>
          </a:r>
        </a:p>
        <a:p>
          <a:r>
            <a:rPr lang="en-IN" b="1">
              <a:ln>
                <a:noFill/>
              </a:ln>
            </a:rPr>
            <a:t>Problems Found</a:t>
          </a:r>
        </a:p>
        <a:p>
          <a:r>
            <a:rPr lang="en-IN">
              <a:ln>
                <a:noFill/>
              </a:ln>
            </a:rPr>
            <a:t>Mixed diagnosis code formats. </a:t>
          </a:r>
        </a:p>
        <a:p>
          <a:r>
            <a:rPr lang="en-IN" b="1">
              <a:ln>
                <a:noFill/>
              </a:ln>
            </a:rPr>
            <a:t>Actions Taken</a:t>
          </a:r>
        </a:p>
        <a:p>
          <a:r>
            <a:rPr lang="en-IN">
              <a:ln>
                <a:noFill/>
              </a:ln>
            </a:rPr>
            <a:t>Verified consistency of diagnosis code structure. </a:t>
          </a:r>
        </a:p>
        <a:p>
          <a:r>
            <a:rPr lang="en-IN">
              <a:ln>
                <a:noFill/>
              </a:ln>
            </a:rPr>
            <a:t>Preserved valid ICD-like code patterns. </a:t>
          </a:r>
        </a:p>
        <a:p>
          <a:r>
            <a:rPr lang="en-IN" b="1">
              <a:ln>
                <a:noFill/>
              </a:ln>
            </a:rPr>
            <a:t>Example</a:t>
          </a:r>
        </a:p>
        <a:p>
          <a:r>
            <a:rPr lang="en-IN">
              <a:ln>
                <a:noFill/>
              </a:ln>
            </a:rPr>
            <a:t>Diagnosis CodeM54I10E11</a:t>
          </a:r>
        </a:p>
        <a:p>
          <a:br>
            <a:rPr lang="en-IN">
              <a:ln>
                <a:noFill/>
              </a:ln>
            </a:rPr>
          </a:br>
          <a:endParaRPr lang="en-IN">
            <a:ln>
              <a:noFill/>
            </a:ln>
          </a:endParaRPr>
        </a:p>
        <a:p>
          <a:r>
            <a:rPr lang="en-IN" b="1">
              <a:ln>
                <a:noFill/>
              </a:ln>
            </a:rPr>
            <a:t>17. Final Dataset Standardization</a:t>
          </a:r>
        </a:p>
        <a:p>
          <a:r>
            <a:rPr lang="en-IN" b="1">
              <a:ln>
                <a:noFill/>
              </a:ln>
            </a:rPr>
            <a:t>Final Actions</a:t>
          </a:r>
        </a:p>
        <a:p>
          <a:r>
            <a:rPr lang="en-IN">
              <a:ln>
                <a:noFill/>
              </a:ln>
            </a:rPr>
            <a:t>Standardized text casing across the dataset. </a:t>
          </a:r>
        </a:p>
        <a:p>
          <a:r>
            <a:rPr lang="en-IN">
              <a:ln>
                <a:noFill/>
              </a:ln>
            </a:rPr>
            <a:t>Removed blank rows. </a:t>
          </a:r>
        </a:p>
        <a:p>
          <a:r>
            <a:rPr lang="en-IN">
              <a:ln>
                <a:noFill/>
              </a:ln>
            </a:rPr>
            <a:t>Validated dates, phone numbers, and numerical fields. </a:t>
          </a:r>
        </a:p>
        <a:p>
          <a:r>
            <a:rPr lang="en-IN">
              <a:ln>
                <a:noFill/>
              </a:ln>
            </a:rPr>
            <a:t>Flagged logical inconsistencies. </a:t>
          </a:r>
        </a:p>
        <a:p>
          <a:r>
            <a:rPr lang="en-IN">
              <a:ln>
                <a:noFill/>
              </a:ln>
            </a:rPr>
            <a:t>Preserved original raw data separately from cleaned data. </a:t>
          </a:r>
        </a:p>
        <a:p>
          <a:br>
            <a:rPr lang="en-IN">
              <a:ln>
                <a:noFill/>
              </a:ln>
            </a:rPr>
          </a:br>
          <a:endParaRPr lang="en-IN">
            <a:ln>
              <a:noFill/>
            </a:ln>
          </a:endParaRPr>
        </a:p>
        <a:p>
          <a:r>
            <a:rPr lang="en-IN" b="1">
              <a:ln>
                <a:noFill/>
              </a:ln>
            </a:rPr>
            <a:t>Final Outcome</a:t>
          </a:r>
        </a:p>
        <a:p>
          <a:r>
            <a:rPr lang="en-IN">
              <a:ln>
                <a:noFill/>
              </a:ln>
            </a:rPr>
            <a:t>The hospital appointment dataset was successfully cleaned and standardized for analysis. Major issues including missing values, formatting inconsistencies, invalid phone numbers, logical date errors, inconsistent categorical values, and invalid numeric entries were identified and corrected systematically.</a:t>
          </a:r>
        </a:p>
        <a:p>
          <a:endParaRPr lang="en-IN" sz="1100">
            <a:ln>
              <a:noFill/>
            </a:ln>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Tirumani" refreshedDate="46156.471669907405" createdVersion="8" refreshedVersion="8" minRefreshableVersion="3" recordCount="1876" xr:uid="{90A5E152-1098-41CF-B6D7-1B6785F846A1}">
  <cacheSource type="worksheet">
    <worksheetSource ref="A3:AB1879" sheet="Working_raw_data"/>
  </cacheSource>
  <cacheFields count="26">
    <cacheField name="Patient Id" numFmtId="0">
      <sharedItems/>
    </cacheField>
    <cacheField name="Patient_Name" numFmtId="0">
      <sharedItems/>
    </cacheField>
    <cacheField name="Patient_Name2" numFmtId="0">
      <sharedItems/>
    </cacheField>
    <cacheField name="Gender" numFmtId="0">
      <sharedItems containsBlank="1" count="6">
        <s v="Male"/>
        <s v="Unknown"/>
        <s v="female"/>
        <m/>
        <s v="M"/>
        <s v="F"/>
      </sharedItems>
    </cacheField>
    <cacheField name="Age" numFmtId="0">
      <sharedItems containsSemiMixedTypes="0" containsString="0" containsNumber="1" containsInteger="1" minValue="1" maxValue="90"/>
    </cacheField>
    <cacheField name="Field6" caption="Field6" numFmtId="0">
      <sharedItems containsSemiMixedTypes="0" containsString="0" containsNumber="1" containsInteger="1" minValue="1" maxValue="90"/>
    </cacheField>
    <cacheField name="Department" numFmtId="0">
      <sharedItems/>
    </cacheField>
    <cacheField name="Field8" caption="Field8" numFmtId="0">
      <sharedItems/>
    </cacheField>
    <cacheField name="Doctor Name" numFmtId="0">
      <sharedItems/>
    </cacheField>
    <cacheField name="Field10" caption="Field10" numFmtId="0">
      <sharedItems/>
    </cacheField>
    <cacheField name="Appointment Date" numFmtId="164">
      <sharedItems containsSemiMixedTypes="0" containsNonDate="0" containsDate="1" containsString="0" minDate="2025-11-17T00:00:00" maxDate="2026-06-06T00:00:00"/>
    </cacheField>
    <cacheField name="Checking App before schedule" numFmtId="164">
      <sharedItems/>
    </cacheField>
    <cacheField name="Date_type or not" numFmtId="164">
      <sharedItems/>
    </cacheField>
    <cacheField name="Date_type or not2" numFmtId="164">
      <sharedItems/>
    </cacheField>
    <cacheField name="Scheduled_Date" numFmtId="164">
      <sharedItems containsSemiMixedTypes="0" containsNonDate="0" containsDate="1" containsString="0" minDate="2025-11-14T00:00:00" maxDate="2026-05-08T00:00:00"/>
    </cacheField>
    <cacheField name="Phone Number" numFmtId="0">
      <sharedItems/>
    </cacheField>
    <cacheField name="Phone clean" numFmtId="0">
      <sharedItems/>
    </cacheField>
    <cacheField name="Phoneclean" numFmtId="0">
      <sharedItems/>
    </cacheField>
    <cacheField name="Field19" caption="Field19" numFmtId="0">
      <sharedItems/>
    </cacheField>
    <cacheField name="Email" numFmtId="0">
      <sharedItems containsBlank="1"/>
    </cacheField>
    <cacheField name="No_Show" numFmtId="0">
      <sharedItems containsBlank="1"/>
    </cacheField>
    <cacheField name="Bill Amount" numFmtId="0">
      <sharedItems containsMixedTypes="1" containsNumber="1" minValue="-500" maxValue="24998.86"/>
    </cacheField>
    <cacheField name="Insurance_Status" numFmtId="0">
      <sharedItems containsBlank="1"/>
    </cacheField>
    <cacheField name="Room Number" numFmtId="0">
      <sharedItems containsMixedTypes="1" containsNumber="1" containsInteger="1" minValue="100" maxValue="550"/>
    </cacheField>
    <cacheField name="Field25" caption="Field25" numFmtId="0">
      <sharedItems containsSemiMixedTypes="0" containsString="0" containsNumber="1" containsInteger="1" minValue="0" maxValue="550"/>
    </cacheField>
    <cacheField name="Diagnosis_C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Tirumani" refreshedDate="46156.530134606481" createdVersion="8" refreshedVersion="8" minRefreshableVersion="3" recordCount="1876" xr:uid="{7E1FCB46-7FF1-451C-8D75-232AC0434084}">
  <cacheSource type="worksheet">
    <worksheetSource ref="X3:AB1879" sheet="Working_raw_data"/>
  </cacheSource>
  <cacheFields count="5">
    <cacheField name="Bill Amount" numFmtId="0">
      <sharedItems containsMixedTypes="1" containsNumber="1" minValue="-500" maxValue="24998.86"/>
    </cacheField>
    <cacheField name="Insurance_Status" numFmtId="0">
      <sharedItems containsBlank="1" count="5">
        <m/>
        <s v="NO"/>
        <s v="Yes"/>
        <s v="N"/>
        <s v="Y"/>
      </sharedItems>
    </cacheField>
    <cacheField name="Room Number" numFmtId="0">
      <sharedItems containsMixedTypes="1" containsNumber="1" containsInteger="1" minValue="100" maxValue="550"/>
    </cacheField>
    <cacheField name="Room Number2" numFmtId="0">
      <sharedItems containsSemiMixedTypes="0" containsString="0" containsNumber="1" containsInteger="1" minValue="0" maxValue="550"/>
    </cacheField>
    <cacheField name="Diagnosis_Cod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6">
  <r>
    <s v="P1001"/>
    <s v="Raghav Halder"/>
    <s v="Raghav Halder"/>
    <x v="0"/>
    <n v="4"/>
    <n v="4"/>
    <s v="Neurology"/>
    <s v="Neurology"/>
    <s v="DR SHARMA"/>
    <s v="Dr Sharma"/>
    <d v="2026-03-26T00:00:00"/>
    <s v="Valid"/>
    <b v="1"/>
    <b v="1"/>
    <d v="2026-03-19T00:00:00"/>
    <s v="05645713921"/>
    <s v="05645713921"/>
    <s v="5645713921"/>
    <s v="Valid"/>
    <s v="dhanuk98@yahoo.com"/>
    <s v="Yes"/>
    <n v="14118.88"/>
    <m/>
    <n v="212"/>
    <n v="212"/>
    <s v="M54"/>
  </r>
  <r>
    <s v="P1002"/>
    <s v="Khushi Deo"/>
    <s v="Khushi Deo"/>
    <x v="0"/>
    <n v="1"/>
    <n v="1"/>
    <s v="Orthopedics"/>
    <s v="Orthopedics"/>
    <s v="dr priya"/>
    <s v="Dr Priya"/>
    <d v="2026-02-28T00:00:00"/>
    <s v="Valid"/>
    <b v="1"/>
    <b v="1"/>
    <d v="2026-02-18T00:00:00"/>
    <s v="+912921861789"/>
    <s v="912921861789"/>
    <s v="2921861789"/>
    <s v="Valid"/>
    <s v="ivana90@yahoo.com"/>
    <s v="Y"/>
    <n v="4055.89"/>
    <s v="NO"/>
    <n v="152"/>
    <n v="152"/>
    <s v="I10"/>
  </r>
  <r>
    <s v="P1003"/>
    <s v="Taimur Madan"/>
    <s v="Taimur Madan"/>
    <x v="1"/>
    <n v="13"/>
    <n v="13"/>
    <s v="ENT"/>
    <s v="ENT"/>
    <s v="dr priya"/>
    <s v="Dr Priya"/>
    <d v="2026-03-05T00:00:00"/>
    <s v="Valid"/>
    <b v="1"/>
    <b v="1"/>
    <d v="2026-02-14T00:00:00"/>
    <s v="03330832788"/>
    <s v="03330832788"/>
    <s v="3330832788"/>
    <s v="Valid"/>
    <s v="kanthridaan@gmail.com"/>
    <s v="Y"/>
    <n v="20216.78"/>
    <m/>
    <n v="374"/>
    <n v="374"/>
    <s v="I10"/>
  </r>
  <r>
    <s v="P1004"/>
    <s v="Mannat Sharma"/>
    <s v="Mannat Sharma"/>
    <x v="1"/>
    <n v="11"/>
    <n v="11"/>
    <s v="Oncology"/>
    <s v="Oncology"/>
    <s v="dr priya"/>
    <s v="Dr Priya"/>
    <d v="2025-12-15T00:00:00"/>
    <s v="Valid"/>
    <b v="1"/>
    <b v="1"/>
    <d v="2025-11-27T00:00:00"/>
    <s v="5810250497"/>
    <s v="5810250497"/>
    <s v="5810250497"/>
    <s v="Valid"/>
    <s v="jhaverivanya@hotmail.com"/>
    <s v="NO"/>
    <n v="17673.38"/>
    <s v="Yes"/>
    <n v="438"/>
    <n v="438"/>
    <s v="E11"/>
  </r>
  <r>
    <s v="P1005"/>
    <s v="Rati Bawa"/>
    <s v="Rati Bawa"/>
    <x v="0"/>
    <n v="11"/>
    <n v="11"/>
    <s v="Pediatrics"/>
    <s v="Pediatrics"/>
    <s v="Dr Mehta"/>
    <s v="Dr Mehta"/>
    <d v="2026-02-21T00:00:00"/>
    <s v="Valid"/>
    <b v="1"/>
    <b v="1"/>
    <d v="2026-02-09T00:00:00"/>
    <s v="8645572895"/>
    <s v="8645572895"/>
    <s v="8645572895"/>
    <s v="Valid"/>
    <s v="siya99@hotmail.com"/>
    <s v="Y"/>
    <n v="11444.58"/>
    <s v="NO"/>
    <n v="183"/>
    <n v="183"/>
    <s v="J20"/>
  </r>
  <r>
    <s v="P1006"/>
    <s v="Urvi Balasubramanian"/>
    <s v="Urvi Balasubramanian"/>
    <x v="2"/>
    <n v="27"/>
    <n v="27"/>
    <s v="Oncology"/>
    <s v="Oncology"/>
    <s v="Dr Mehta"/>
    <s v="Dr Mehta"/>
    <d v="2026-05-17T00:00:00"/>
    <s v="Valid"/>
    <b v="1"/>
    <b v="1"/>
    <d v="2026-04-28T00:00:00"/>
    <s v="+910624360264"/>
    <s v="910624360264"/>
    <s v="0624360264"/>
    <s v="Valid"/>
    <s v="khannakeya@karpe.com"/>
    <s v="Yes"/>
    <n v="13446.67"/>
    <s v="N"/>
    <n v="183"/>
    <n v="183"/>
    <s v="M54"/>
  </r>
  <r>
    <s v="P1007"/>
    <s v="Heer Bhavsar"/>
    <s v="Heer Bhavsar"/>
    <x v="1"/>
    <n v="35"/>
    <n v="35"/>
    <s v="Pediatrics"/>
    <s v="Pediatrics"/>
    <s v="dr priya"/>
    <s v="Dr Priya"/>
    <d v="2026-01-22T00:00:00"/>
    <s v="Valid"/>
    <b v="1"/>
    <b v="1"/>
    <d v="2025-12-27T00:00:00"/>
    <s v="+910825799566"/>
    <s v="910825799566"/>
    <s v="0825799566"/>
    <s v="Valid"/>
    <s v="bbath@chander-dugar.com"/>
    <s v="Yes"/>
    <n v="5880.39"/>
    <s v="Yes"/>
    <n v="512"/>
    <n v="512"/>
    <s v="J20"/>
  </r>
  <r>
    <s v="P1008"/>
    <s v="Madhav Srinivas"/>
    <s v="Madhav Srinivas"/>
    <x v="1"/>
    <n v="35"/>
    <n v="35"/>
    <s v="Neurology"/>
    <s v="Neurology"/>
    <s v="DR SHARMA"/>
    <s v="Dr Sharma"/>
    <d v="2026-02-04T00:00:00"/>
    <s v="Valid"/>
    <b v="1"/>
    <b v="1"/>
    <d v="2026-01-06T00:00:00"/>
    <s v="5148349012"/>
    <s v="5148349012"/>
    <s v="5148349012"/>
    <s v="Valid"/>
    <s v="basaktrisha@rastogi-batra.org"/>
    <s v="N"/>
    <n v="5473.14"/>
    <m/>
    <n v="302"/>
    <n v="302"/>
    <s v="C34"/>
  </r>
  <r>
    <s v="P1009"/>
    <s v="Faiyaz Rau"/>
    <s v="Faiyaz Rau"/>
    <x v="3"/>
    <n v="19"/>
    <n v="19"/>
    <s v="Oncology"/>
    <s v="Oncology"/>
    <s v="Dr Mehta"/>
    <s v="Dr Mehta"/>
    <d v="2026-03-26T00:00:00"/>
    <s v="Valid"/>
    <b v="1"/>
    <b v="1"/>
    <d v="2026-03-19T00:00:00"/>
    <s v="02654174270"/>
    <s v="02654174270"/>
    <s v="2654174270"/>
    <s v="Valid"/>
    <s v="riyabava@manda.net"/>
    <s v="Y"/>
    <n v="18725.939999999999"/>
    <m/>
    <n v="398"/>
    <n v="398"/>
    <s v="M54"/>
  </r>
  <r>
    <s v="P1010"/>
    <s v="Tanya Lal"/>
    <s v="Tanya Lal"/>
    <x v="2"/>
    <n v="29"/>
    <n v="29"/>
    <s v="Orthopedics"/>
    <s v="Orthopedics"/>
    <s v="Dr Khan"/>
    <s v="Dr Khan"/>
    <d v="2025-12-17T00:00:00"/>
    <s v="Valid"/>
    <b v="1"/>
    <b v="1"/>
    <d v="2025-12-15T00:00:00"/>
    <s v="01616990504"/>
    <s v="01616990504"/>
    <s v="1616990504"/>
    <s v="Valid"/>
    <s v="masterraghav@hotmail.com"/>
    <s v="Yes"/>
    <n v="21555.35"/>
    <s v="Y"/>
    <n v="421"/>
    <n v="421"/>
    <s v="E11"/>
  </r>
  <r>
    <s v="P1011"/>
    <s v="Rohan Virk"/>
    <s v="Rohan Virk"/>
    <x v="1"/>
    <n v="77"/>
    <n v="77"/>
    <s v="Neurology"/>
    <s v="Neurology"/>
    <s v="dr priya"/>
    <s v="Dr Priya"/>
    <d v="2026-05-12T00:00:00"/>
    <s v="Valid"/>
    <b v="1"/>
    <b v="1"/>
    <d v="2026-04-30T00:00:00"/>
    <s v="09341759957"/>
    <s v="09341759957"/>
    <s v="9341759957"/>
    <s v="Valid"/>
    <s v="bhamini88@hotmail.com"/>
    <m/>
    <n v="13322.04"/>
    <s v="Yes"/>
    <n v="448"/>
    <n v="448"/>
    <s v="C34"/>
  </r>
  <r>
    <s v="P1012"/>
    <s v="Mohanlal Char"/>
    <s v="Mohanlal Char"/>
    <x v="2"/>
    <n v="88"/>
    <n v="88"/>
    <s v="Oncology"/>
    <s v="Oncology"/>
    <s v="dr priya"/>
    <s v="Dr Priya"/>
    <d v="2026-04-06T00:00:00"/>
    <s v="Valid"/>
    <b v="1"/>
    <b v="1"/>
    <d v="2026-04-03T00:00:00"/>
    <s v="+916757997801"/>
    <s v="916757997801"/>
    <s v="6757997801"/>
    <s v="Valid"/>
    <s v="veerhalder@amble.org"/>
    <s v="Y"/>
    <n v="10982.18"/>
    <m/>
    <n v="101"/>
    <n v="101"/>
    <s v="C34"/>
  </r>
  <r>
    <s v="P1013"/>
    <s v="Kabir Dalal"/>
    <s v="Kabir Dalal"/>
    <x v="0"/>
    <n v="65"/>
    <n v="65"/>
    <s v="Orthopedics"/>
    <s v="Orthopedics"/>
    <s v="Dr Mehta"/>
    <s v="Dr Mehta"/>
    <d v="2026-03-16T00:00:00"/>
    <s v="Valid"/>
    <b v="1"/>
    <b v="1"/>
    <d v="2026-02-17T00:00:00"/>
    <s v="04372613893"/>
    <s v="04372613893"/>
    <s v="4372613893"/>
    <s v="Valid"/>
    <s v="dhanuk85@yahoo.com"/>
    <s v="Y"/>
    <n v="21073.4"/>
    <s v="N"/>
    <n v="178"/>
    <n v="178"/>
    <s v="J20"/>
  </r>
  <r>
    <s v="P1014"/>
    <s v="Ojas Kapadia"/>
    <s v="Ojas Kapadia"/>
    <x v="4"/>
    <n v="70"/>
    <n v="70"/>
    <s v="Cardiology"/>
    <s v="Cardiology"/>
    <s v="dr priya"/>
    <s v="Dr Priya"/>
    <d v="2025-12-12T00:00:00"/>
    <s v="Valid"/>
    <b v="1"/>
    <b v="1"/>
    <d v="2025-11-27T00:00:00"/>
    <s v="03315352376"/>
    <s v="03315352376"/>
    <s v="3315352376"/>
    <s v="Valid"/>
    <s v="kghosh@hotmail.com"/>
    <s v="Yes"/>
    <n v="2974.32"/>
    <s v="NO"/>
    <n v="549"/>
    <n v="549"/>
    <s v="K21"/>
  </r>
  <r>
    <s v="P1015"/>
    <s v="Tiya Venkataraman"/>
    <s v="Tiya Venkataraman"/>
    <x v="0"/>
    <n v="31"/>
    <n v="31"/>
    <s v="Cardiology"/>
    <s v="Cardiology"/>
    <s v="DR SHARMA"/>
    <s v="Dr Sharma"/>
    <d v="2026-04-28T00:00:00"/>
    <s v="Valid"/>
    <b v="1"/>
    <b v="1"/>
    <d v="2026-03-31T00:00:00"/>
    <s v="06765498069"/>
    <s v="06765498069"/>
    <s v="6765498069"/>
    <s v="Valid"/>
    <s v="manikyavarkey@hotmail.com"/>
    <s v="NO"/>
    <n v="2324.21"/>
    <m/>
    <n v="517"/>
    <n v="517"/>
    <s v="I10"/>
  </r>
  <r>
    <s v="P1016"/>
    <s v="Saira Contractor"/>
    <s v="Saira Contractor"/>
    <x v="4"/>
    <n v="17"/>
    <n v="17"/>
    <s v="General Medicine"/>
    <s v="General Medicine"/>
    <s v="Dr Mehta"/>
    <s v="Dr Mehta"/>
    <d v="2026-02-22T00:00:00"/>
    <s v="Valid"/>
    <b v="1"/>
    <b v="1"/>
    <d v="2026-02-14T00:00:00"/>
    <s v="+914293447483"/>
    <s v="914293447483"/>
    <s v="4293447483"/>
    <s v="Valid"/>
    <s v="nkanda@hotmail.com"/>
    <m/>
    <n v="24116.2"/>
    <s v="N"/>
    <n v="465"/>
    <n v="465"/>
    <s v="J20"/>
  </r>
  <r>
    <s v="P1017"/>
    <s v="Kashvi Subramaniam"/>
    <s v="Kashvi Subramaniam"/>
    <x v="1"/>
    <n v="86"/>
    <n v="86"/>
    <s v="ENT"/>
    <s v="ENT"/>
    <s v="Dr Khan"/>
    <s v="Dr Khan"/>
    <d v="2026-03-10T00:00:00"/>
    <s v="Valid"/>
    <b v="1"/>
    <b v="1"/>
    <d v="2026-02-10T00:00:00"/>
    <s v="1661966300"/>
    <s v="1661966300"/>
    <s v="1661966300"/>
    <s v="Valid"/>
    <s v="battadhanush@hotmail.com"/>
    <m/>
    <n v="3200.9"/>
    <s v="N"/>
    <n v="132"/>
    <n v="132"/>
    <s v="J20"/>
  </r>
  <r>
    <s v="P1019"/>
    <s v="Jivika Dani"/>
    <s v="Jivika Dani"/>
    <x v="0"/>
    <n v="43"/>
    <n v="43"/>
    <s v="Neurology"/>
    <s v="Neurology"/>
    <s v="DR SHARMA"/>
    <s v="Dr Sharma"/>
    <d v="2025-12-16T00:00:00"/>
    <s v="Valid"/>
    <b v="1"/>
    <b v="1"/>
    <d v="2025-12-08T00:00:00"/>
    <s v="09803458240"/>
    <s v="09803458240"/>
    <s v="9803458240"/>
    <s v="Valid"/>
    <s v="kaderati@sami.net"/>
    <m/>
    <n v="5513.07"/>
    <s v="Y"/>
    <n v="470"/>
    <n v="470"/>
    <s v="A09"/>
  </r>
  <r>
    <s v="P1020"/>
    <s v="Samarth Bala"/>
    <s v="Samarth Bala"/>
    <x v="3"/>
    <n v="32"/>
    <n v="32"/>
    <s v="General Medicine"/>
    <s v="General Medicine"/>
    <s v="dr priya"/>
    <s v="Dr Priya"/>
    <d v="2025-11-25T00:00:00"/>
    <s v="Valid"/>
    <b v="1"/>
    <b v="1"/>
    <d v="2025-11-19T00:00:00"/>
    <s v="2814525252"/>
    <s v="2814525252"/>
    <s v="2814525252"/>
    <s v="Valid"/>
    <s v="arhaan42@shetty-dubey.org"/>
    <s v="NO"/>
    <n v="2603.88"/>
    <m/>
    <n v="281"/>
    <n v="281"/>
    <s v="M54"/>
  </r>
  <r>
    <s v="P1021"/>
    <s v="Anay Samra"/>
    <s v="Anay Samra"/>
    <x v="1"/>
    <n v="60"/>
    <n v="60"/>
    <s v="Cardiology"/>
    <s v="Cardiology"/>
    <s v="Dr Mehta"/>
    <s v="Dr Mehta"/>
    <d v="2026-02-06T00:00:00"/>
    <s v="Valid"/>
    <b v="1"/>
    <b v="1"/>
    <d v="2026-02-05T00:00:00"/>
    <s v="09873159692"/>
    <s v="09873159692"/>
    <s v="9873159692"/>
    <s v="Valid"/>
    <s v="parinaazbansal@rajan-ranganathan.net"/>
    <m/>
    <n v="18259.7"/>
    <s v="NO"/>
    <n v="227"/>
    <n v="227"/>
    <s v="E11"/>
  </r>
  <r>
    <s v="P1022"/>
    <s v="Hazel Kalita"/>
    <s v="Hazel Kalita"/>
    <x v="5"/>
    <n v="69"/>
    <n v="69"/>
    <s v="General Medicine"/>
    <s v="General Medicine"/>
    <s v="Dr Mehta"/>
    <s v="Dr Mehta"/>
    <d v="2026-03-09T00:00:00"/>
    <s v="Valid"/>
    <b v="1"/>
    <b v="1"/>
    <d v="2026-02-24T00:00:00"/>
    <s v="04349769034"/>
    <s v="04349769034"/>
    <s v="4349769034"/>
    <s v="Valid"/>
    <s v="jhasana@ravel.com"/>
    <s v="Yes"/>
    <n v="7107.92"/>
    <s v="N"/>
    <n v="547"/>
    <n v="547"/>
    <s v="I10"/>
  </r>
  <r>
    <s v="P1023"/>
    <s v="Heer Singh"/>
    <s v="Heer Singh"/>
    <x v="3"/>
    <n v="71"/>
    <n v="71"/>
    <s v="Neurology"/>
    <s v="Neurology"/>
    <s v="Dr Rao"/>
    <s v="Dr Rao"/>
    <d v="2026-04-05T00:00:00"/>
    <s v="Valid"/>
    <b v="1"/>
    <b v="1"/>
    <d v="2026-03-16T00:00:00"/>
    <s v="6243241491"/>
    <s v="6243241491"/>
    <s v="6243241491"/>
    <s v="Valid"/>
    <s v="emangat@setty.com"/>
    <s v="Yes"/>
    <n v="24231.11"/>
    <s v="N"/>
    <n v="185"/>
    <n v="185"/>
    <s v="M54"/>
  </r>
  <r>
    <s v="P1024"/>
    <s v="Adah Ramachandran"/>
    <s v="Adah Ramachandran"/>
    <x v="3"/>
    <n v="62"/>
    <n v="62"/>
    <s v="Pediatrics"/>
    <s v="Pediatrics"/>
    <s v="dr priya"/>
    <s v="Dr Priya"/>
    <d v="2026-02-19T00:00:00"/>
    <s v="Valid"/>
    <b v="1"/>
    <b v="1"/>
    <d v="2026-01-22T00:00:00"/>
    <s v="05751236406"/>
    <s v="05751236406"/>
    <s v="5751236406"/>
    <s v="Valid"/>
    <s v="bhavin39@gmail.com"/>
    <s v="Yes"/>
    <n v="4283"/>
    <s v="Yes"/>
    <n v="299"/>
    <n v="299"/>
    <s v="J20"/>
  </r>
  <r>
    <s v="P1025"/>
    <s v="Vidur Sehgal"/>
    <s v="Vidur Sehgal"/>
    <x v="3"/>
    <n v="37"/>
    <n v="37"/>
    <s v="Dermatology"/>
    <s v="Dermatology"/>
    <s v="Dr Khan"/>
    <s v="Dr Khan"/>
    <d v="2026-01-22T00:00:00"/>
    <s v="Valid"/>
    <b v="1"/>
    <b v="1"/>
    <d v="2026-01-18T00:00:00"/>
    <s v="3342417709"/>
    <s v="3342417709"/>
    <s v="3342417709"/>
    <s v="Valid"/>
    <s v="devansh22@hotmail.com"/>
    <s v="NO"/>
    <n v="7558.35"/>
    <s v="Yes"/>
    <n v="396"/>
    <n v="396"/>
    <s v="C34"/>
  </r>
  <r>
    <s v="P1026"/>
    <s v="Alisha Kohli"/>
    <s v="Alisha Kohli"/>
    <x v="0"/>
    <n v="41"/>
    <n v="41"/>
    <s v="Cardiology"/>
    <s v="Cardiology"/>
    <s v="Dr Rao"/>
    <s v="Dr Rao"/>
    <d v="2026-05-08T00:00:00"/>
    <s v="Valid"/>
    <b v="1"/>
    <b v="1"/>
    <d v="2026-04-20T00:00:00"/>
    <s v="07587438143"/>
    <s v="07587438143"/>
    <s v="7587438143"/>
    <s v="Valid"/>
    <s v="loyalmanjari@gmail.com"/>
    <m/>
    <n v="12670.69"/>
    <s v="Y"/>
    <n v="129"/>
    <n v="129"/>
    <s v="A09"/>
  </r>
  <r>
    <s v="P1027"/>
    <s v="Anahita Mammen"/>
    <s v="Anahita Mammen"/>
    <x v="2"/>
    <n v="24"/>
    <n v="24"/>
    <s v="Neurology"/>
    <s v="Neurology"/>
    <s v="Dr Mehta"/>
    <s v="Dr Mehta"/>
    <d v="2026-04-01T00:00:00"/>
    <s v="Valid"/>
    <b v="1"/>
    <b v="1"/>
    <d v="2026-03-11T00:00:00"/>
    <s v="08054877931"/>
    <s v="08054877931"/>
    <s v="8054877931"/>
    <s v="Valid"/>
    <s v="drishya65@karpe.biz"/>
    <s v="NO"/>
    <n v="10213.629999999999"/>
    <s v="N"/>
    <n v="396"/>
    <n v="396"/>
    <s v="A09"/>
  </r>
  <r>
    <s v="P1028"/>
    <s v="Bhavin Mallick"/>
    <s v="Bhavin Mallick"/>
    <x v="0"/>
    <n v="80"/>
    <n v="80"/>
    <s v="Neurology"/>
    <s v="Neurology"/>
    <s v="dr priya"/>
    <s v="Dr Priya"/>
    <d v="2026-03-16T00:00:00"/>
    <s v="Valid"/>
    <b v="1"/>
    <b v="1"/>
    <d v="2026-02-23T00:00:00"/>
    <s v="9461519029"/>
    <s v="9461519029"/>
    <s v="9461519029"/>
    <s v="Valid"/>
    <s v="vanyachoudhury@yahoo.com"/>
    <s v="N"/>
    <n v="23380.720000000001"/>
    <s v="N"/>
    <n v="442"/>
    <n v="442"/>
    <s v="C34"/>
  </r>
  <r>
    <s v="P1029"/>
    <s v="Pranay Luthra"/>
    <s v="Pranay Luthra"/>
    <x v="2"/>
    <n v="31"/>
    <n v="31"/>
    <s v="Oncology"/>
    <s v="Oncology"/>
    <s v="dr priya"/>
    <s v="Dr Priya"/>
    <d v="2026-02-15T00:00:00"/>
    <s v="Valid"/>
    <b v="1"/>
    <b v="1"/>
    <d v="2026-02-11T00:00:00"/>
    <s v="04942386062"/>
    <s v="04942386062"/>
    <s v="4942386062"/>
    <s v="Valid"/>
    <s v="deolamani@acharya.net"/>
    <s v="Y"/>
    <n v="11539.17"/>
    <s v="NO"/>
    <n v="104"/>
    <n v="104"/>
    <s v="M54"/>
  </r>
  <r>
    <s v="P1030"/>
    <s v="Neysa Sahota"/>
    <s v="Neysa Sahota"/>
    <x v="2"/>
    <n v="10"/>
    <n v="10"/>
    <s v="Pediatrics"/>
    <s v="Pediatrics"/>
    <s v="Dr. Sharma"/>
    <s v="Dr. Sharma"/>
    <d v="2026-02-21T00:00:00"/>
    <s v="Valid"/>
    <b v="1"/>
    <b v="1"/>
    <d v="2026-02-17T00:00:00"/>
    <s v="9332863199"/>
    <s v="9332863199"/>
    <s v="9332863199"/>
    <s v="Valid"/>
    <s v="kchaudhari@agarwal.info"/>
    <s v="N"/>
    <n v="22045.43"/>
    <s v="N"/>
    <n v="289"/>
    <n v="289"/>
    <s v="J20"/>
  </r>
  <r>
    <s v="P1031"/>
    <s v="Kanav Dutt"/>
    <s v="Kanav Dutt"/>
    <x v="4"/>
    <n v="57"/>
    <n v="57"/>
    <s v="Oncology"/>
    <s v="Oncology"/>
    <s v="Dr Rao"/>
    <s v="Dr Rao"/>
    <d v="2026-05-26T00:00:00"/>
    <s v="Valid"/>
    <b v="1"/>
    <b v="1"/>
    <d v="2026-05-05T00:00:00"/>
    <s v="00097820868"/>
    <s v="00097820868"/>
    <s v="0097820868"/>
    <s v="Valid"/>
    <s v="jhanvisehgal@hotmail.com"/>
    <s v="Y"/>
    <n v="23307.55"/>
    <s v="NO"/>
    <n v="549"/>
    <n v="549"/>
    <s v="E11"/>
  </r>
  <r>
    <s v="P1032"/>
    <s v="Stuvan Goyal"/>
    <s v="Stuvan Goyal"/>
    <x v="0"/>
    <n v="15"/>
    <n v="15"/>
    <s v="Neurology"/>
    <s v="Neurology"/>
    <s v="Dr Mehta"/>
    <s v="Dr Mehta"/>
    <d v="2026-01-30T00:00:00"/>
    <s v="Valid"/>
    <b v="1"/>
    <b v="1"/>
    <d v="2026-01-22T00:00:00"/>
    <s v="+912922878110"/>
    <s v="912922878110"/>
    <s v="2922878110"/>
    <s v="Valid"/>
    <s v="qbhavsar@gmail.com"/>
    <s v="Y"/>
    <n v="15199.78"/>
    <s v="NO"/>
    <n v="204"/>
    <n v="204"/>
    <s v="C34"/>
  </r>
  <r>
    <s v="P1033"/>
    <s v="Baiju Sane"/>
    <s v="Baiju Sane"/>
    <x v="0"/>
    <n v="65"/>
    <n v="65"/>
    <s v="General Medicine"/>
    <s v="General Medicine"/>
    <s v="Dr. Sharma"/>
    <s v="Dr. Sharma"/>
    <d v="2026-04-14T00:00:00"/>
    <s v="Valid"/>
    <b v="1"/>
    <b v="1"/>
    <d v="2026-03-17T00:00:00"/>
    <s v="03039927312"/>
    <s v="03039927312"/>
    <s v="3039927312"/>
    <s v="Valid"/>
    <s v="deepmanjari@karan.biz"/>
    <s v="Yes"/>
    <n v="2489"/>
    <m/>
    <n v="524"/>
    <n v="524"/>
    <s v="J20"/>
  </r>
  <r>
    <s v="P1034"/>
    <s v="Shalv Cheema"/>
    <s v="Shalv Cheema"/>
    <x v="0"/>
    <n v="1"/>
    <n v="1"/>
    <s v="ENT"/>
    <s v="ENT"/>
    <s v="Dr Mehta"/>
    <s v="Dr Mehta"/>
    <d v="2026-05-03T00:00:00"/>
    <s v="Valid"/>
    <b v="1"/>
    <b v="1"/>
    <d v="2026-04-13T00:00:00"/>
    <s v="+910241121419"/>
    <s v="910241121419"/>
    <s v="0241121419"/>
    <s v="Valid"/>
    <s v="lavanyasani@krishnan-garde.com"/>
    <s v="Y"/>
    <n v="4207.2299999999996"/>
    <m/>
    <n v="382"/>
    <n v="382"/>
    <s v="C34"/>
  </r>
  <r>
    <s v="P1035"/>
    <s v="Anahi Batta"/>
    <s v="Anahi Batta"/>
    <x v="1"/>
    <n v="72"/>
    <n v="72"/>
    <s v="Cardiology"/>
    <s v="Cardiology"/>
    <s v="Dr Mehta"/>
    <s v="Dr Mehta"/>
    <d v="2025-12-07T00:00:00"/>
    <s v="Valid"/>
    <b v="1"/>
    <b v="1"/>
    <d v="2025-12-05T00:00:00"/>
    <s v="7550869662"/>
    <s v="7550869662"/>
    <s v="7550869662"/>
    <s v="Valid"/>
    <s v="pranay92@yahoo.com"/>
    <s v="Yes"/>
    <n v="13730.64"/>
    <s v="NO"/>
    <n v="398"/>
    <n v="398"/>
    <s v="A09"/>
  </r>
  <r>
    <s v="P1036"/>
    <s v="Zain Ganesh"/>
    <s v="Zain Ganesh"/>
    <x v="4"/>
    <n v="56"/>
    <n v="56"/>
    <s v="Orthopedics"/>
    <s v="Orthopedics"/>
    <s v="Dr Rao"/>
    <s v="Dr Rao"/>
    <d v="2026-04-27T00:00:00"/>
    <s v="Valid"/>
    <b v="1"/>
    <b v="1"/>
    <d v="2026-04-18T00:00:00"/>
    <s v="08119806288"/>
    <s v="08119806288"/>
    <s v="8119806288"/>
    <s v="Valid"/>
    <s v="danimyra@lalla.org"/>
    <s v="N"/>
    <n v="22494.74"/>
    <s v="Yes"/>
    <n v="283"/>
    <n v="283"/>
    <s v="E11"/>
  </r>
  <r>
    <s v="P1037"/>
    <s v="Zoya Dara"/>
    <s v="Zoya Dara"/>
    <x v="5"/>
    <n v="86"/>
    <n v="86"/>
    <s v="Neurology"/>
    <s v="Neurology"/>
    <s v="dr priya"/>
    <s v="Dr Priya"/>
    <d v="2025-12-28T00:00:00"/>
    <s v="Valid"/>
    <b v="1"/>
    <b v="1"/>
    <d v="2025-12-04T00:00:00"/>
    <s v="04433253245"/>
    <s v="04433253245"/>
    <s v="4433253245"/>
    <s v="Valid"/>
    <s v="aayushdora@hotmail.com"/>
    <m/>
    <n v="24351.16"/>
    <s v="Y"/>
    <n v="221"/>
    <n v="221"/>
    <s v="K21"/>
  </r>
  <r>
    <s v="P1038"/>
    <s v="Biju Dash"/>
    <s v="Biju Dash"/>
    <x v="4"/>
    <n v="23"/>
    <n v="23"/>
    <s v="Dermatology"/>
    <s v="Dermatology"/>
    <s v="Dr Rao"/>
    <s v="Dr Rao"/>
    <d v="2026-01-24T00:00:00"/>
    <s v="Valid"/>
    <b v="1"/>
    <b v="1"/>
    <d v="2026-01-19T00:00:00"/>
    <s v="+915722301633"/>
    <s v="915722301633"/>
    <s v="5722301633"/>
    <s v="Valid"/>
    <s v="osethi@yahoo.com"/>
    <s v="N"/>
    <n v="19603.189999999999"/>
    <m/>
    <n v="510"/>
    <n v="510"/>
    <s v="C34"/>
  </r>
  <r>
    <s v="P1039"/>
    <s v="Navya Balan"/>
    <s v="Navya Balan"/>
    <x v="5"/>
    <n v="35"/>
    <n v="35"/>
    <s v="Orthopedics"/>
    <s v="Orthopedics"/>
    <s v="Dr Mehta"/>
    <s v="Dr Mehta"/>
    <d v="2026-01-19T00:00:00"/>
    <s v="Valid"/>
    <b v="1"/>
    <b v="1"/>
    <d v="2026-01-07T00:00:00"/>
    <s v="00505247196"/>
    <s v="00505247196"/>
    <s v="0505247196"/>
    <s v="Valid"/>
    <s v="kzachariah@yahoo.com"/>
    <s v="Yes"/>
    <n v="21493.11"/>
    <s v="N"/>
    <n v="202"/>
    <n v="202"/>
    <s v="K21"/>
  </r>
  <r>
    <s v="P1040"/>
    <s v="Jiya Dugar"/>
    <s v="Jiya Dugar"/>
    <x v="3"/>
    <n v="45"/>
    <n v="45"/>
    <s v="Oncology"/>
    <s v="Oncology"/>
    <s v="DR SHARMA"/>
    <s v="Dr Sharma"/>
    <d v="2026-01-05T00:00:00"/>
    <s v="Valid"/>
    <b v="1"/>
    <b v="1"/>
    <d v="2025-12-29T00:00:00"/>
    <s v="+918660574813"/>
    <s v="918660574813"/>
    <s v="8660574813"/>
    <s v="Valid"/>
    <s v="santsamarth@seth.net"/>
    <s v="Yes"/>
    <n v="16568.82"/>
    <m/>
    <n v="268"/>
    <n v="268"/>
    <s v="J20"/>
  </r>
  <r>
    <s v="P1041"/>
    <s v="Shanaya Bir"/>
    <s v="Shanaya Bir"/>
    <x v="2"/>
    <n v="36"/>
    <n v="36"/>
    <s v="ENT"/>
    <s v="ENT"/>
    <s v="dr priya"/>
    <s v="Dr Priya"/>
    <d v="2025-12-15T00:00:00"/>
    <s v="Valid"/>
    <b v="1"/>
    <b v="1"/>
    <d v="2025-11-24T00:00:00"/>
    <s v="+915815636401"/>
    <s v="915815636401"/>
    <s v="5815636401"/>
    <s v="Valid"/>
    <s v="kwable@garg.com"/>
    <s v="N"/>
    <n v="23493.08"/>
    <s v="NO"/>
    <n v="549"/>
    <n v="549"/>
    <s v="J20"/>
  </r>
  <r>
    <s v="P1042"/>
    <s v="Tiya Iyer"/>
    <s v="Tiya Iyer"/>
    <x v="4"/>
    <n v="75"/>
    <n v="75"/>
    <s v="Oncology"/>
    <s v="Oncology"/>
    <s v="Dr Rao"/>
    <s v="Dr Rao"/>
    <d v="2025-12-30T00:00:00"/>
    <s v="Valid"/>
    <b v="1"/>
    <b v="1"/>
    <d v="2025-12-27T00:00:00"/>
    <s v="1002329725"/>
    <s v="1002329725"/>
    <s v="1002329725"/>
    <s v="Valid"/>
    <s v="vchacko@gmail.com"/>
    <m/>
    <n v="8773.0400000000009"/>
    <s v="NO"/>
    <n v="323"/>
    <n v="323"/>
    <s v="A09"/>
  </r>
  <r>
    <s v="P1043"/>
    <s v="Kaira Bora"/>
    <s v="Kaira Bora"/>
    <x v="2"/>
    <n v="50"/>
    <n v="50"/>
    <s v="Pediatrics"/>
    <s v="Pediatrics"/>
    <s v="Dr. Sharma"/>
    <s v="Dr. Sharma"/>
    <d v="2026-03-04T00:00:00"/>
    <s v="Valid"/>
    <b v="1"/>
    <b v="1"/>
    <d v="2026-03-03T00:00:00"/>
    <s v="+914126526217"/>
    <s v="914126526217"/>
    <s v="4126526217"/>
    <s v="Valid"/>
    <s v="lankapurab@yahoo.com"/>
    <m/>
    <n v="241.94"/>
    <s v="N"/>
    <n v="286"/>
    <n v="286"/>
    <s v="M54"/>
  </r>
  <r>
    <s v="P1044"/>
    <s v="Siya Majumdar"/>
    <s v="Siya Majumdar"/>
    <x v="2"/>
    <n v="86"/>
    <n v="86"/>
    <s v="ENT"/>
    <s v="ENT"/>
    <s v="dr priya"/>
    <s v="Dr Priya"/>
    <d v="2026-03-28T00:00:00"/>
    <s v="Valid"/>
    <b v="1"/>
    <b v="1"/>
    <d v="2026-03-07T00:00:00"/>
    <s v="+912428347081"/>
    <s v="912428347081"/>
    <s v="2428347081"/>
    <s v="Valid"/>
    <s v="iraratti@kale.com"/>
    <s v="NO"/>
    <n v="18049.91"/>
    <s v="Yes"/>
    <n v="359"/>
    <n v="359"/>
    <s v="J20"/>
  </r>
  <r>
    <s v="P1045"/>
    <s v="Jivika Mand"/>
    <s v="Jivika Mand"/>
    <x v="1"/>
    <n v="42"/>
    <n v="42"/>
    <s v="Dermatology"/>
    <s v="Dermatology"/>
    <s v="Dr. Sharma"/>
    <s v="Dr. Sharma"/>
    <d v="2026-01-08T00:00:00"/>
    <s v="Valid"/>
    <b v="1"/>
    <b v="1"/>
    <d v="2025-12-22T00:00:00"/>
    <s v="02145712457"/>
    <s v="02145712457"/>
    <s v="2145712457"/>
    <s v="Valid"/>
    <s v="zsule@goyal-shere.com"/>
    <s v="Yes"/>
    <n v="4957.63"/>
    <m/>
    <n v="446"/>
    <n v="446"/>
    <s v="C34"/>
  </r>
  <r>
    <s v="P1046"/>
    <s v="Divij Bedi"/>
    <s v="Divij Bedi"/>
    <x v="4"/>
    <n v="79"/>
    <n v="79"/>
    <s v="Oncology"/>
    <s v="Oncology"/>
    <s v="dr priya"/>
    <s v="Dr Priya"/>
    <d v="2025-12-06T00:00:00"/>
    <s v="Valid"/>
    <b v="1"/>
    <b v="1"/>
    <d v="2025-11-19T00:00:00"/>
    <s v="+917234468272"/>
    <s v="917234468272"/>
    <s v="7234468272"/>
    <s v="Valid"/>
    <s v="sairachaudhuri@yahoo.com"/>
    <s v="Yes"/>
    <n v="7736.1"/>
    <s v="N"/>
    <n v="320"/>
    <n v="320"/>
    <s v="K21"/>
  </r>
  <r>
    <s v="P1047"/>
    <s v="Sana Dixit"/>
    <s v="Sana Dixit"/>
    <x v="2"/>
    <n v="60"/>
    <n v="60"/>
    <s v="General Medicine"/>
    <s v="General Medicine"/>
    <s v="Dr Khan"/>
    <s v="Dr Khan"/>
    <d v="2026-05-21T00:00:00"/>
    <s v="Valid"/>
    <b v="1"/>
    <b v="1"/>
    <d v="2026-04-30T00:00:00"/>
    <s v="3869403681"/>
    <s v="3869403681"/>
    <s v="3869403681"/>
    <s v="Valid"/>
    <s v="wchadha@brar.info"/>
    <s v="NO"/>
    <n v="12877.12"/>
    <s v="Y"/>
    <n v="437"/>
    <n v="437"/>
    <s v="I10"/>
  </r>
  <r>
    <s v="P1048"/>
    <s v="Renee Sabharwal"/>
    <s v="Renee Sabharwal"/>
    <x v="0"/>
    <n v="66"/>
    <n v="66"/>
    <s v="ENT"/>
    <s v="ENT"/>
    <s v="Dr Mehta"/>
    <s v="Dr Mehta"/>
    <d v="2026-01-03T00:00:00"/>
    <s v="Valid"/>
    <b v="1"/>
    <b v="1"/>
    <d v="2025-12-08T00:00:00"/>
    <s v="0093960256"/>
    <s v="0093960256"/>
    <s v="0093960256"/>
    <s v="Valid"/>
    <s v="zbir@gmail.com"/>
    <s v="NO"/>
    <n v="16885.330000000002"/>
    <s v="N"/>
    <n v="512"/>
    <n v="512"/>
    <s v="E11"/>
  </r>
  <r>
    <s v="P1049"/>
    <s v="Zain Kashyap"/>
    <s v="Zain Kashyap"/>
    <x v="4"/>
    <n v="4"/>
    <n v="4"/>
    <s v="Cardiology"/>
    <s v="Cardiology"/>
    <s v="DR SHARMA"/>
    <s v="Dr Sharma"/>
    <d v="2026-01-12T00:00:00"/>
    <s v="Valid"/>
    <b v="1"/>
    <b v="1"/>
    <d v="2025-12-28T00:00:00"/>
    <s v="04845744094"/>
    <s v="04845744094"/>
    <s v="4845744094"/>
    <s v="Valid"/>
    <s v="ehsaangolla@hotmail.com"/>
    <s v="NO"/>
    <n v="11494.32"/>
    <s v="N"/>
    <n v="467"/>
    <n v="467"/>
    <s v="C34"/>
  </r>
  <r>
    <s v="P1051"/>
    <s v="Kavya Sarna"/>
    <s v="Kavya Sarna"/>
    <x v="5"/>
    <n v="23"/>
    <n v="23"/>
    <s v="General Medicine"/>
    <s v="General Medicine"/>
    <s v="Dr Rao"/>
    <s v="Dr Rao"/>
    <d v="2026-03-22T00:00:00"/>
    <s v="Valid"/>
    <b v="1"/>
    <b v="1"/>
    <d v="2026-03-05T00:00:00"/>
    <s v="4694283142"/>
    <s v="4694283142"/>
    <s v="4694283142"/>
    <s v="Valid"/>
    <s v="miraankeer@yahoo.com"/>
    <s v="NO"/>
    <n v="22953.26"/>
    <s v="NO"/>
    <n v="333"/>
    <n v="333"/>
    <s v="E11"/>
  </r>
  <r>
    <s v="P1052"/>
    <s v="Yuvraj  Wali"/>
    <s v="Yuvraj Wali"/>
    <x v="3"/>
    <n v="86"/>
    <n v="86"/>
    <s v="ENT"/>
    <s v="ENT"/>
    <s v="Dr Khan"/>
    <s v="Dr Khan"/>
    <d v="2026-03-11T00:00:00"/>
    <s v="Valid"/>
    <b v="1"/>
    <b v="1"/>
    <d v="2026-02-20T00:00:00"/>
    <s v="06424452404"/>
    <s v="06424452404"/>
    <s v="6424452404"/>
    <s v="Valid"/>
    <s v="reneelall@yahoo.com"/>
    <m/>
    <n v="20798.12"/>
    <m/>
    <n v="181"/>
    <n v="181"/>
    <s v="C34"/>
  </r>
  <r>
    <s v="P1053"/>
    <s v="Drishya Sanghvi"/>
    <s v="Drishya Sanghvi"/>
    <x v="3"/>
    <n v="58"/>
    <n v="58"/>
    <s v="Oncology"/>
    <s v="Oncology"/>
    <s v="DR SHARMA"/>
    <s v="Dr Sharma"/>
    <d v="2026-02-14T00:00:00"/>
    <s v="Valid"/>
    <b v="1"/>
    <b v="1"/>
    <d v="2026-01-19T00:00:00"/>
    <s v="02499477773"/>
    <s v="02499477773"/>
    <s v="2499477773"/>
    <s v="Valid"/>
    <s v="jiyachoudhury@rout.com"/>
    <s v="Y"/>
    <n v="19192.18"/>
    <m/>
    <n v="420"/>
    <n v="420"/>
    <s v="E11"/>
  </r>
  <r>
    <s v="P1054"/>
    <s v="Hiran Madan"/>
    <s v="Hiran Madan"/>
    <x v="0"/>
    <n v="57"/>
    <n v="57"/>
    <s v="Neurology"/>
    <s v="Neurology"/>
    <s v="Dr. Sharma"/>
    <s v="Dr. Sharma"/>
    <d v="2026-02-09T00:00:00"/>
    <s v="Valid"/>
    <b v="1"/>
    <b v="1"/>
    <d v="2026-02-02T00:00:00"/>
    <s v="9082482899"/>
    <s v="9082482899"/>
    <s v="9082482899"/>
    <s v="Valid"/>
    <s v="kvarkey@sachar.org"/>
    <s v="Y"/>
    <n v="8529.02"/>
    <s v="NO"/>
    <n v="170"/>
    <n v="170"/>
    <s v="E11"/>
  </r>
  <r>
    <s v="P1055"/>
    <s v="Prisha Walia"/>
    <s v="Prisha Walia"/>
    <x v="5"/>
    <n v="50"/>
    <n v="50"/>
    <s v="Orthopedics"/>
    <s v="Orthopedics"/>
    <s v="DR SHARMA"/>
    <s v="Dr Sharma"/>
    <d v="2025-11-17T00:00:00"/>
    <s v="Valid"/>
    <b v="1"/>
    <b v="1"/>
    <d v="2025-11-15T00:00:00"/>
    <s v="7712648794"/>
    <s v="7712648794"/>
    <s v="7712648794"/>
    <s v="Valid"/>
    <s v="purab63@wagle.com"/>
    <m/>
    <n v="10308.459999999999"/>
    <m/>
    <n v="312"/>
    <n v="312"/>
    <s v="I10"/>
  </r>
  <r>
    <s v="P1056"/>
    <s v="Sumer Tank"/>
    <s v="Sumer Tank"/>
    <x v="5"/>
    <n v="54"/>
    <n v="54"/>
    <s v="Dermatology"/>
    <s v="Dermatology"/>
    <s v="Dr Rao"/>
    <s v="Dr Rao"/>
    <d v="2026-05-24T00:00:00"/>
    <s v="Valid"/>
    <b v="1"/>
    <b v="1"/>
    <d v="2026-04-27T00:00:00"/>
    <s v="05379375580"/>
    <s v="05379375580"/>
    <s v="5379375580"/>
    <s v="Valid"/>
    <s v="anandhiran@yogi-yadav.net"/>
    <m/>
    <n v="12029.1"/>
    <s v="NO"/>
    <n v="252"/>
    <n v="252"/>
    <s v="K21"/>
  </r>
  <r>
    <s v="P1057"/>
    <s v="Lakshit Sane"/>
    <s v="Lakshit Sane"/>
    <x v="1"/>
    <n v="54"/>
    <n v="54"/>
    <s v="Pediatrics"/>
    <s v="Pediatrics"/>
    <s v="Dr Khan"/>
    <s v="Dr Khan"/>
    <d v="2025-11-26T00:00:00"/>
    <s v="Valid"/>
    <b v="1"/>
    <b v="1"/>
    <d v="2025-11-19T00:00:00"/>
    <s v="5072567710"/>
    <s v="5072567710"/>
    <s v="5072567710"/>
    <s v="Valid"/>
    <s v="jlalla@yahoo.com"/>
    <s v="Y"/>
    <n v="11008.73"/>
    <s v="Yes"/>
    <n v="299"/>
    <n v="299"/>
    <s v="J20"/>
  </r>
  <r>
    <s v="P1058"/>
    <s v="Dharmajan Dugar"/>
    <s v="Dharmajan Dugar"/>
    <x v="1"/>
    <n v="22"/>
    <n v="22"/>
    <s v="General Medicine"/>
    <s v="General Medicine"/>
    <s v="Dr Mehta"/>
    <s v="Dr Mehta"/>
    <d v="2026-04-06T00:00:00"/>
    <s v="Valid"/>
    <b v="1"/>
    <b v="1"/>
    <d v="2026-03-18T00:00:00"/>
    <s v="+910655999911"/>
    <s v="910655999911"/>
    <s v="0655999911"/>
    <s v="Valid"/>
    <s v="eshani37@swaminathan-chandran.info"/>
    <s v="Yes"/>
    <n v="22691.84"/>
    <s v="Yes"/>
    <n v="142"/>
    <n v="142"/>
    <s v="C34"/>
  </r>
  <r>
    <s v="P1059"/>
    <s v="Abram Shukla"/>
    <s v="Abram Shukla"/>
    <x v="1"/>
    <n v="18"/>
    <n v="18"/>
    <s v="General Medicine"/>
    <s v="General Medicine"/>
    <s v="Dr Mehta"/>
    <s v="Dr Mehta"/>
    <d v="2025-12-27T00:00:00"/>
    <s v="Valid"/>
    <b v="1"/>
    <b v="1"/>
    <d v="2025-12-26T00:00:00"/>
    <s v="+917180869910"/>
    <s v="917180869910"/>
    <s v="7180869910"/>
    <s v="Valid"/>
    <s v="damini50@kakar.com"/>
    <s v="Y"/>
    <n v="9601.7800000000007"/>
    <s v="N"/>
    <n v="332"/>
    <n v="332"/>
    <s v="J20"/>
  </r>
  <r>
    <s v="P1060"/>
    <s v="Nishith Shenoy"/>
    <s v="Nishith Shenoy"/>
    <x v="2"/>
    <n v="49"/>
    <n v="49"/>
    <s v="Oncology"/>
    <s v="Oncology"/>
    <s v="dr priya"/>
    <s v="Dr Priya"/>
    <d v="2026-05-09T00:00:00"/>
    <s v="Valid"/>
    <b v="1"/>
    <b v="1"/>
    <d v="2026-05-01T00:00:00"/>
    <s v="+919465536585"/>
    <s v="919465536585"/>
    <s v="9465536585"/>
    <s v="Valid"/>
    <s v="bhaminibhasin@bala.com"/>
    <s v="NO"/>
    <n v="11863.61"/>
    <s v="Yes"/>
    <n v="279"/>
    <n v="279"/>
    <s v="E11"/>
  </r>
  <r>
    <s v="P1061"/>
    <s v="Suhana Vig"/>
    <s v="Suhana Vig"/>
    <x v="2"/>
    <n v="84"/>
    <n v="84"/>
    <s v="Cardiology"/>
    <s v="Cardiology"/>
    <s v="Dr Rao"/>
    <s v="Dr Rao"/>
    <d v="2026-02-02T00:00:00"/>
    <s v="Valid"/>
    <b v="1"/>
    <b v="1"/>
    <d v="2026-01-03T00:00:00"/>
    <s v="+916312009224"/>
    <s v="916312009224"/>
    <s v="6312009224"/>
    <s v="Valid"/>
    <s v="baiju52@gmail.com"/>
    <s v="NO"/>
    <n v="5144.1400000000003"/>
    <s v="Yes"/>
    <n v="418"/>
    <n v="418"/>
    <s v="E11"/>
  </r>
  <r>
    <s v="P1062"/>
    <s v="Rania Thakur"/>
    <s v="Rania Thakur"/>
    <x v="5"/>
    <n v="17"/>
    <n v="17"/>
    <s v="General Medicine"/>
    <s v="General Medicine"/>
    <s v="Dr Mehta"/>
    <s v="Dr Mehta"/>
    <d v="2026-03-28T00:00:00"/>
    <s v="Valid"/>
    <b v="1"/>
    <b v="1"/>
    <d v="2026-03-10T00:00:00"/>
    <s v="+916536692499"/>
    <s v="916536692499"/>
    <s v="6536692499"/>
    <s v="Valid"/>
    <s v="kimayasethi@yahoo.com"/>
    <s v="NO"/>
    <n v="11732.84"/>
    <s v="Yes"/>
    <n v="492"/>
    <n v="492"/>
    <s v="J20"/>
  </r>
  <r>
    <s v="P1063"/>
    <s v="Vanya Rege"/>
    <s v="Vanya Rege"/>
    <x v="4"/>
    <n v="78"/>
    <n v="78"/>
    <s v="Neurology"/>
    <s v="Neurology"/>
    <s v="Dr Mehta"/>
    <s v="Dr Mehta"/>
    <d v="2026-02-16T00:00:00"/>
    <s v="Valid"/>
    <b v="1"/>
    <b v="1"/>
    <d v="2026-01-17T00:00:00"/>
    <s v="08200453597"/>
    <s v="08200453597"/>
    <s v="8200453597"/>
    <s v="Valid"/>
    <s v="urvigoswami@mand-goel.info"/>
    <s v="Y"/>
    <n v="2880.85"/>
    <s v="Yes"/>
    <n v="259"/>
    <n v="259"/>
    <s v="A09"/>
  </r>
  <r>
    <s v="P1064"/>
    <s v="Taimur Deshpande"/>
    <s v="Taimur Deshpande"/>
    <x v="1"/>
    <n v="51"/>
    <n v="51"/>
    <s v="Pediatrics"/>
    <s v="Pediatrics"/>
    <s v="Dr Mehta"/>
    <s v="Dr Mehta"/>
    <d v="2026-02-11T00:00:00"/>
    <s v="Valid"/>
    <b v="1"/>
    <b v="1"/>
    <d v="2026-01-24T00:00:00"/>
    <s v="06342963068"/>
    <s v="06342963068"/>
    <s v="6342963068"/>
    <s v="Valid"/>
    <s v="eshani43@yahoo.com"/>
    <s v="NO"/>
    <n v="2727.15"/>
    <s v="Yes"/>
    <n v="535"/>
    <n v="535"/>
    <s v="C34"/>
  </r>
  <r>
    <s v="P1065"/>
    <s v="Diya Sarkar"/>
    <s v="Diya Sarkar"/>
    <x v="2"/>
    <n v="73"/>
    <n v="73"/>
    <s v="Cardiology"/>
    <s v="Cardiology"/>
    <s v="dr priya"/>
    <s v="Dr Priya"/>
    <d v="2026-03-10T00:00:00"/>
    <s v="Valid"/>
    <b v="1"/>
    <b v="1"/>
    <d v="2026-02-21T00:00:00"/>
    <s v="02132164529"/>
    <s v="02132164529"/>
    <s v="2132164529"/>
    <s v="Valid"/>
    <s v="hunar47@hotmail.com"/>
    <m/>
    <n v="16605.73"/>
    <s v="NO"/>
    <n v="359"/>
    <n v="359"/>
    <s v="C34"/>
  </r>
  <r>
    <s v="P1066"/>
    <s v="Nishith Swamy"/>
    <s v="Nishith Swamy"/>
    <x v="2"/>
    <n v="2"/>
    <n v="2"/>
    <s v="Dermatology"/>
    <s v="Dermatology"/>
    <s v="Dr Khan"/>
    <s v="Dr Khan"/>
    <d v="2026-01-26T00:00:00"/>
    <s v="Valid"/>
    <b v="1"/>
    <b v="1"/>
    <d v="2026-01-23T00:00:00"/>
    <s v="+911118795327"/>
    <s v="911118795327"/>
    <s v="1118795327"/>
    <s v="Valid"/>
    <s v="tripathiuthkarsh@wable.com"/>
    <m/>
    <n v="24027.53"/>
    <m/>
    <n v="462"/>
    <n v="462"/>
    <s v="E11"/>
  </r>
  <r>
    <s v="P1067"/>
    <s v="Jivika Saran"/>
    <s v="Jivika Saran"/>
    <x v="1"/>
    <n v="23"/>
    <n v="23"/>
    <s v="Oncology"/>
    <s v="Oncology"/>
    <s v="Dr Khan"/>
    <s v="Dr Khan"/>
    <d v="2026-01-04T00:00:00"/>
    <s v="Valid"/>
    <b v="1"/>
    <b v="1"/>
    <d v="2025-12-21T00:00:00"/>
    <s v="9450892513"/>
    <s v="9450892513"/>
    <s v="9450892513"/>
    <s v="Valid"/>
    <s v="manjari12@yadav-randhawa.com"/>
    <m/>
    <n v="20678.22"/>
    <s v="Yes"/>
    <n v="265"/>
    <n v="265"/>
    <s v="K21"/>
  </r>
  <r>
    <s v="P1068"/>
    <s v="Neelofar Krishnamurthy"/>
    <s v="Neelofar Krishnamurthy"/>
    <x v="5"/>
    <n v="12"/>
    <n v="12"/>
    <s v="Oncology"/>
    <s v="Oncology"/>
    <s v="Dr Khan"/>
    <s v="Dr Khan"/>
    <d v="2026-01-16T00:00:00"/>
    <s v="Valid"/>
    <b v="1"/>
    <b v="1"/>
    <d v="2026-01-09T00:00:00"/>
    <s v="9848037126"/>
    <s v="9848037126"/>
    <s v="9848037126"/>
    <s v="Valid"/>
    <s v="bcheema@hotmail.com"/>
    <m/>
    <n v="14332.27"/>
    <m/>
    <n v="272"/>
    <n v="272"/>
    <s v="I10"/>
  </r>
  <r>
    <s v="P1069"/>
    <s v="Emir Ramachandran"/>
    <s v="Emir Ramachandran"/>
    <x v="3"/>
    <n v="42"/>
    <n v="42"/>
    <s v="Orthopedics"/>
    <s v="Orthopedics"/>
    <s v="Dr Khan"/>
    <s v="Dr Khan"/>
    <d v="2026-03-17T00:00:00"/>
    <s v="Valid"/>
    <b v="1"/>
    <b v="1"/>
    <d v="2026-03-11T00:00:00"/>
    <s v="4799086938"/>
    <s v="4799086938"/>
    <s v="4799086938"/>
    <s v="Valid"/>
    <s v="mdas@hotmail.com"/>
    <s v="N"/>
    <n v="19986.240000000002"/>
    <s v="NO"/>
    <n v="243"/>
    <n v="243"/>
    <s v="A09"/>
  </r>
  <r>
    <s v="P1070"/>
    <s v="Purab Sidhu"/>
    <s v="Purab Sidhu"/>
    <x v="0"/>
    <n v="72"/>
    <n v="72"/>
    <s v="Cardiology"/>
    <s v="Cardiology"/>
    <s v="DR SHARMA"/>
    <s v="Dr Sharma"/>
    <d v="2026-01-27T00:00:00"/>
    <s v="Valid"/>
    <b v="1"/>
    <b v="1"/>
    <d v="2026-01-25T00:00:00"/>
    <s v="5243164417"/>
    <s v="5243164417"/>
    <s v="5243164417"/>
    <s v="Valid"/>
    <s v="raunak19@loke.net"/>
    <s v="NO"/>
    <n v="18057.849999999999"/>
    <m/>
    <n v="384"/>
    <n v="384"/>
    <s v="K21"/>
  </r>
  <r>
    <s v="P1071"/>
    <s v="Zeeshan Anne"/>
    <s v="Zeeshan Anne"/>
    <x v="5"/>
    <n v="89"/>
    <n v="89"/>
    <s v="General Medicine"/>
    <s v="General Medicine"/>
    <s v="Dr Khan"/>
    <s v="Dr Khan"/>
    <d v="2026-02-11T00:00:00"/>
    <s v="Valid"/>
    <b v="1"/>
    <b v="1"/>
    <d v="2026-01-28T00:00:00"/>
    <s v="01087342136"/>
    <s v="01087342136"/>
    <s v="1087342136"/>
    <s v="Valid"/>
    <s v="deshpandedamini@comar.net"/>
    <s v="Yes"/>
    <n v="2507.7199999999998"/>
    <s v="N"/>
    <n v="307"/>
    <n v="307"/>
    <s v="C34"/>
  </r>
  <r>
    <s v="P1072"/>
    <s v="Divit Saraf"/>
    <s v="Divit Saraf"/>
    <x v="5"/>
    <n v="40"/>
    <n v="40"/>
    <s v="ENT"/>
    <s v="ENT"/>
    <s v="Dr Khan"/>
    <s v="Dr Khan"/>
    <d v="2025-12-25T00:00:00"/>
    <s v="Valid"/>
    <b v="1"/>
    <b v="1"/>
    <d v="2025-12-08T00:00:00"/>
    <s v="0392262536"/>
    <s v="0392262536"/>
    <s v="0392262536"/>
    <s v="Valid"/>
    <s v="romil40@gmail.com"/>
    <s v="N"/>
    <n v="10752.49"/>
    <s v="NO"/>
    <n v="280"/>
    <n v="280"/>
    <s v="C34"/>
  </r>
  <r>
    <s v="P1073"/>
    <s v="Ivan Thaman"/>
    <s v="Ivan Thaman"/>
    <x v="3"/>
    <n v="35"/>
    <n v="35"/>
    <s v="Oncology"/>
    <s v="Oncology"/>
    <s v="Dr. Sharma"/>
    <s v="Dr. Sharma"/>
    <d v="2026-01-27T00:00:00"/>
    <s v="Valid"/>
    <b v="1"/>
    <b v="1"/>
    <d v="2026-01-20T00:00:00"/>
    <s v="6619846897"/>
    <s v="6619846897"/>
    <s v="6619846897"/>
    <s v="Valid"/>
    <s v="cbansal@yahoo.com"/>
    <s v="NO"/>
    <n v="18087.849999999999"/>
    <s v="NO"/>
    <n v="161"/>
    <n v="161"/>
    <s v="C34"/>
  </r>
  <r>
    <s v="P1074"/>
    <s v="Madhup Barad"/>
    <s v="Madhup Barad"/>
    <x v="4"/>
    <n v="25"/>
    <n v="25"/>
    <s v="Pediatrics"/>
    <s v="Pediatrics"/>
    <s v="Dr Khan"/>
    <s v="Dr Khan"/>
    <d v="2026-01-06T00:00:00"/>
    <s v="Valid"/>
    <b v="1"/>
    <b v="1"/>
    <d v="2025-12-29T00:00:00"/>
    <s v="+913679380142"/>
    <s v="913679380142"/>
    <s v="3679380142"/>
    <s v="Valid"/>
    <s v="shaan77@gmail.com"/>
    <s v="Y"/>
    <n v="24516.66"/>
    <s v="N"/>
    <n v="251"/>
    <n v="251"/>
    <s v="E11"/>
  </r>
  <r>
    <s v="P1075"/>
    <s v="Dhanush Ganesan"/>
    <s v="Dhanush Ganesan"/>
    <x v="2"/>
    <n v="23"/>
    <n v="23"/>
    <s v="Oncology"/>
    <s v="Oncology"/>
    <s v="Dr Rao"/>
    <s v="Dr Rao"/>
    <d v="2026-02-04T00:00:00"/>
    <s v="Valid"/>
    <b v="1"/>
    <b v="1"/>
    <d v="2026-01-13T00:00:00"/>
    <s v="7838022262"/>
    <s v="7838022262"/>
    <s v="7838022262"/>
    <s v="Valid"/>
    <s v="seher39@yahoo.com"/>
    <s v="Yes"/>
    <n v="7002.92"/>
    <s v="Yes"/>
    <n v="383"/>
    <n v="383"/>
    <s v="J20"/>
  </r>
  <r>
    <s v="P1076"/>
    <s v="Vaibhav Atwal"/>
    <s v="Vaibhav Atwal"/>
    <x v="4"/>
    <n v="82"/>
    <n v="82"/>
    <s v="General Medicine"/>
    <s v="General Medicine"/>
    <s v="Dr Mehta"/>
    <s v="Dr Mehta"/>
    <d v="2026-01-16T00:00:00"/>
    <s v="Valid"/>
    <b v="1"/>
    <b v="1"/>
    <d v="2025-12-20T00:00:00"/>
    <s v="5582697690"/>
    <s v="5582697690"/>
    <s v="5582697690"/>
    <s v="Valid"/>
    <s v="ryandugar@yahoo.com"/>
    <s v="Yes"/>
    <n v="14436.79"/>
    <m/>
    <n v="345"/>
    <n v="345"/>
    <s v="M54"/>
  </r>
  <r>
    <s v="P1077"/>
    <s v="Emir Vig"/>
    <s v="Emir Vig"/>
    <x v="2"/>
    <n v="24"/>
    <n v="24"/>
    <s v="Cardiology"/>
    <s v="Cardiology"/>
    <s v="Dr. Sharma"/>
    <s v="Dr. Sharma"/>
    <d v="2025-12-21T00:00:00"/>
    <s v="Valid"/>
    <b v="1"/>
    <b v="1"/>
    <d v="2025-11-21T00:00:00"/>
    <s v="05673729967"/>
    <s v="05673729967"/>
    <s v="5673729967"/>
    <s v="Valid"/>
    <s v="stuvanbadami@gmail.com"/>
    <m/>
    <n v="3029.36"/>
    <s v="NO"/>
    <n v="305"/>
    <n v="305"/>
    <s v="M54"/>
  </r>
  <r>
    <s v="P1078"/>
    <s v="Mishti Dada"/>
    <s v="Mishti Dada"/>
    <x v="2"/>
    <n v="74"/>
    <n v="74"/>
    <s v="Cardiology"/>
    <s v="Cardiology"/>
    <s v="Dr Mehta"/>
    <s v="Dr Mehta"/>
    <d v="2026-05-10T00:00:00"/>
    <s v="Valid"/>
    <b v="1"/>
    <b v="1"/>
    <d v="2026-05-06T00:00:00"/>
    <s v="4316313310"/>
    <s v="4316313310"/>
    <s v="4316313310"/>
    <s v="Valid"/>
    <s v="brege@mahajan.net"/>
    <s v="Y"/>
    <n v="2312.4899999999998"/>
    <s v="N"/>
    <n v="160"/>
    <n v="160"/>
    <s v="A09"/>
  </r>
  <r>
    <s v="P1079"/>
    <s v="Chirag Bhavsar"/>
    <s v="Chirag Bhavsar"/>
    <x v="1"/>
    <n v="78"/>
    <n v="78"/>
    <s v="Pediatrics"/>
    <s v="Pediatrics"/>
    <s v="dr priya"/>
    <s v="Dr Priya"/>
    <d v="2026-04-08T00:00:00"/>
    <s v="Valid"/>
    <b v="1"/>
    <b v="1"/>
    <d v="2026-03-25T00:00:00"/>
    <s v="+910532350011"/>
    <s v="910532350011"/>
    <s v="0532350011"/>
    <s v="Valid"/>
    <s v="badalbalakrishnan@gmail.com"/>
    <m/>
    <n v="7574.36"/>
    <m/>
    <n v="256"/>
    <n v="256"/>
    <s v="A09"/>
  </r>
  <r>
    <s v="P1080"/>
    <s v="Indrajit Bajwa"/>
    <s v="Indrajit Bajwa"/>
    <x v="0"/>
    <n v="79"/>
    <n v="79"/>
    <s v="Neurology"/>
    <s v="Neurology"/>
    <s v="DR SHARMA"/>
    <s v="Dr Sharma"/>
    <d v="2026-03-23T00:00:00"/>
    <s v="Valid"/>
    <b v="1"/>
    <b v="1"/>
    <d v="2026-03-03T00:00:00"/>
    <s v="04739401417"/>
    <s v="04739401417"/>
    <s v="4739401417"/>
    <s v="Valid"/>
    <m/>
    <s v="NO"/>
    <n v="6763.22"/>
    <s v="NO"/>
    <n v="180"/>
    <n v="180"/>
    <s v="E11"/>
  </r>
  <r>
    <s v="P1082"/>
    <s v="Myra Wali"/>
    <s v="Myra Wali"/>
    <x v="5"/>
    <n v="37"/>
    <n v="37"/>
    <s v="Oncology"/>
    <s v="Oncology"/>
    <s v="Dr Khan"/>
    <s v="Dr Khan"/>
    <d v="2026-02-21T00:00:00"/>
    <s v="Valid"/>
    <b v="1"/>
    <b v="1"/>
    <d v="2026-02-19T00:00:00"/>
    <s v="09080605622"/>
    <s v="09080605622"/>
    <s v="9080605622"/>
    <s v="Valid"/>
    <s v="veersingh@seshadri.com"/>
    <s v="NO"/>
    <n v="23112.99"/>
    <s v="N"/>
    <n v="317"/>
    <n v="317"/>
    <s v="I10"/>
  </r>
  <r>
    <s v="P1083"/>
    <s v="Mohanlal Mangat"/>
    <s v="Mohanlal Mangat"/>
    <x v="5"/>
    <n v="83"/>
    <n v="83"/>
    <s v="Orthopedics"/>
    <s v="Orthopedics"/>
    <s v="Dr. Sharma"/>
    <s v="Dr. Sharma"/>
    <d v="2026-05-21T00:00:00"/>
    <s v="Valid"/>
    <b v="1"/>
    <b v="1"/>
    <d v="2026-04-25T00:00:00"/>
    <s v="5885556316"/>
    <s v="5885556316"/>
    <s v="5885556316"/>
    <s v="Valid"/>
    <s v="bmalhotra@rout.com"/>
    <s v="Yes"/>
    <n v="1970.96"/>
    <s v="Y"/>
    <n v="505"/>
    <n v="505"/>
    <s v="J20"/>
  </r>
  <r>
    <s v="P1084"/>
    <s v="Mishti Dhaliwal"/>
    <s v="Mishti Dhaliwal"/>
    <x v="0"/>
    <n v="57"/>
    <n v="57"/>
    <s v="Neurology"/>
    <s v="Neurology"/>
    <s v="Dr Khan"/>
    <s v="Dr Khan"/>
    <d v="2026-02-15T00:00:00"/>
    <s v="Valid"/>
    <b v="1"/>
    <b v="1"/>
    <d v="2026-01-24T00:00:00"/>
    <s v="+919930957281"/>
    <s v="919930957281"/>
    <s v="9930957281"/>
    <s v="Valid"/>
    <s v="akarshkaran@vig-sharaf.com"/>
    <s v="Y"/>
    <n v="17553.400000000001"/>
    <s v="Yes"/>
    <n v="356"/>
    <n v="356"/>
    <s v="A09"/>
  </r>
  <r>
    <s v="P1085"/>
    <s v="Arnav Dayal"/>
    <s v="Arnav Dayal"/>
    <x v="3"/>
    <n v="57"/>
    <n v="57"/>
    <s v="Neurology"/>
    <s v="Neurology"/>
    <s v="Dr Rao"/>
    <s v="Dr Rao"/>
    <d v="2026-04-13T00:00:00"/>
    <s v="Valid"/>
    <b v="1"/>
    <b v="1"/>
    <d v="2026-03-16T00:00:00"/>
    <s v="08014032641"/>
    <s v="08014032641"/>
    <s v="8014032641"/>
    <s v="Valid"/>
    <s v="fwali@yahoo.com"/>
    <m/>
    <n v="18416.439999999999"/>
    <s v="Yes"/>
    <n v="113"/>
    <n v="113"/>
    <s v="I10"/>
  </r>
  <r>
    <s v="P1086"/>
    <s v="Lagan Dubey"/>
    <s v="Lagan Dubey"/>
    <x v="5"/>
    <n v="87"/>
    <n v="87"/>
    <s v="Cardiology"/>
    <s v="Cardiology"/>
    <s v="Dr. Sharma"/>
    <s v="Dr. Sharma"/>
    <d v="2026-03-10T00:00:00"/>
    <s v="Valid"/>
    <b v="1"/>
    <b v="1"/>
    <d v="2026-02-20T00:00:00"/>
    <s v="+919448348301"/>
    <s v="919448348301"/>
    <s v="9448348301"/>
    <s v="Valid"/>
    <s v="zara96@hotmail.com"/>
    <s v="Yes"/>
    <n v="19125.099999999999"/>
    <s v="Y"/>
    <n v="340"/>
    <n v="340"/>
    <s v="A09"/>
  </r>
  <r>
    <s v="P1087"/>
    <s v="Keya Karan"/>
    <s v="Keya Karan"/>
    <x v="3"/>
    <n v="36"/>
    <n v="36"/>
    <s v="Orthopedics"/>
    <s v="Orthopedics"/>
    <s v="dr priya"/>
    <s v="Dr Priya"/>
    <d v="2026-05-08T00:00:00"/>
    <s v="Valid"/>
    <b v="1"/>
    <b v="1"/>
    <d v="2026-04-18T00:00:00"/>
    <s v="9724194876"/>
    <s v="9724194876"/>
    <s v="9724194876"/>
    <s v="Valid"/>
    <s v="suhana60@som-mangal.com"/>
    <m/>
    <n v="24232.57"/>
    <m/>
    <n v="278"/>
    <n v="278"/>
    <s v="M54"/>
  </r>
  <r>
    <s v="P1088"/>
    <s v="Kismat Sane"/>
    <s v="Kismat Sane"/>
    <x v="2"/>
    <n v="42"/>
    <n v="42"/>
    <s v="Neurology"/>
    <s v="Neurology"/>
    <s v="Dr Mehta"/>
    <s v="Dr Mehta"/>
    <d v="2026-05-13T00:00:00"/>
    <s v="Valid"/>
    <b v="1"/>
    <b v="1"/>
    <d v="2026-05-03T00:00:00"/>
    <s v="+910340451104"/>
    <s v="910340451104"/>
    <s v="0340451104"/>
    <s v="Valid"/>
    <s v="rheabassi@barad.org"/>
    <m/>
    <n v="17403.11"/>
    <s v="Yes"/>
    <n v="439"/>
    <n v="439"/>
    <s v="M54"/>
  </r>
  <r>
    <s v="P1089"/>
    <s v="Zara Ramachandran"/>
    <s v="Zara Ramachandran"/>
    <x v="0"/>
    <n v="59"/>
    <n v="59"/>
    <s v="Neurology"/>
    <s v="Neurology"/>
    <s v="dr priya"/>
    <s v="Dr Priya"/>
    <d v="2025-12-08T00:00:00"/>
    <s v="Valid"/>
    <b v="1"/>
    <b v="1"/>
    <d v="2025-11-30T00:00:00"/>
    <s v="+914283092849"/>
    <s v="914283092849"/>
    <s v="4283092849"/>
    <s v="Valid"/>
    <s v="ssengupta@sarma.com"/>
    <s v="N"/>
    <n v="3074.86"/>
    <m/>
    <n v="542"/>
    <n v="542"/>
    <s v="A09"/>
  </r>
  <r>
    <s v="P1090"/>
    <s v="  Anika Kannan "/>
    <s v="Anika Kannan"/>
    <x v="0"/>
    <n v="85"/>
    <n v="85"/>
    <s v="General Medicine"/>
    <s v="General Medicine"/>
    <s v="dr priya"/>
    <s v="Dr Priya"/>
    <d v="2026-01-08T00:00:00"/>
    <s v="Valid"/>
    <b v="1"/>
    <b v="1"/>
    <d v="2026-01-07T00:00:00"/>
    <s v="+914559304814"/>
    <s v="914559304814"/>
    <s v="4559304814"/>
    <s v="Valid"/>
    <s v="isharaf@jain.com"/>
    <s v="NO"/>
    <n v="13057.3"/>
    <m/>
    <n v="420"/>
    <n v="420"/>
    <s v="M54"/>
  </r>
  <r>
    <s v="P1091"/>
    <s v="Amira Vig"/>
    <s v="Amira Vig"/>
    <x v="0"/>
    <n v="27"/>
    <n v="27"/>
    <s v="Oncology"/>
    <s v="Oncology"/>
    <s v="Dr Mehta"/>
    <s v="Dr Mehta"/>
    <d v="2026-05-28T00:00:00"/>
    <s v="Valid"/>
    <b v="1"/>
    <b v="1"/>
    <d v="2026-04-29T00:00:00"/>
    <s v="5424166497"/>
    <s v="5424166497"/>
    <s v="5424166497"/>
    <s v="Valid"/>
    <s v="kartik54@vora.net"/>
    <s v="Y"/>
    <n v="11065.28"/>
    <m/>
    <n v="162"/>
    <n v="162"/>
    <s v="I10"/>
  </r>
  <r>
    <s v="P1092"/>
    <s v="Rasha Dewan"/>
    <s v="Rasha Dewan"/>
    <x v="5"/>
    <n v="21"/>
    <n v="21"/>
    <s v="Oncology"/>
    <s v="Oncology"/>
    <s v="Dr Rao"/>
    <s v="Dr Rao"/>
    <d v="2026-04-12T00:00:00"/>
    <s v="Valid"/>
    <b v="1"/>
    <b v="1"/>
    <d v="2026-03-26T00:00:00"/>
    <s v="+912521795854"/>
    <s v="912521795854"/>
    <s v="2521795854"/>
    <s v="Valid"/>
    <s v="kartik48@mahal.com"/>
    <m/>
    <n v="2511.59"/>
    <s v="NO"/>
    <n v="336"/>
    <n v="336"/>
    <s v="I10"/>
  </r>
  <r>
    <s v="P1093"/>
    <s v="Zoya Cheema"/>
    <s v="Zoya Cheema"/>
    <x v="4"/>
    <n v="64"/>
    <n v="64"/>
    <s v="Oncology"/>
    <s v="Oncology"/>
    <s v="Dr. Sharma"/>
    <s v="Dr. Sharma"/>
    <d v="2025-12-20T00:00:00"/>
    <s v="Valid"/>
    <b v="1"/>
    <b v="1"/>
    <d v="2025-12-07T00:00:00"/>
    <s v="+911060350066"/>
    <s v="911060350066"/>
    <s v="1060350066"/>
    <s v="Valid"/>
    <s v="zainasankar@hotmail.com"/>
    <m/>
    <n v="24510.07"/>
    <s v="N"/>
    <n v="333"/>
    <n v="333"/>
    <s v="A09"/>
  </r>
  <r>
    <s v="P1094"/>
    <s v="Nirvi Barad"/>
    <s v="Nirvi Barad"/>
    <x v="4"/>
    <n v="50"/>
    <n v="50"/>
    <s v="Pediatrics"/>
    <s v="Pediatrics"/>
    <s v="Dr Mehta"/>
    <s v="Dr Mehta"/>
    <d v="2025-12-28T00:00:00"/>
    <s v="Valid"/>
    <b v="1"/>
    <b v="1"/>
    <d v="2025-12-01T00:00:00"/>
    <s v="08880591408"/>
    <s v="08880591408"/>
    <s v="8880591408"/>
    <s v="Valid"/>
    <s v="saira52@hotmail.com"/>
    <s v="NO"/>
    <n v="7050.94"/>
    <m/>
    <n v="274"/>
    <n v="274"/>
    <s v="K21"/>
  </r>
  <r>
    <s v="P1095"/>
    <s v="Indrans Taneja"/>
    <s v="Indrans Taneja"/>
    <x v="0"/>
    <n v="1"/>
    <n v="1"/>
    <s v="Oncology"/>
    <s v="Oncology"/>
    <s v="Dr. Sharma"/>
    <s v="Dr. Sharma"/>
    <d v="2026-01-08T00:00:00"/>
    <s v="Valid"/>
    <b v="1"/>
    <b v="1"/>
    <d v="2025-12-13T00:00:00"/>
    <s v="+912251145487"/>
    <s v="912251145487"/>
    <s v="2251145487"/>
    <s v="Valid"/>
    <s v="purab70@rajan.net"/>
    <m/>
    <n v="21658.46"/>
    <m/>
    <n v="375"/>
    <n v="375"/>
    <s v="M54"/>
  </r>
  <r>
    <s v="P1096"/>
    <s v="Nayantara Kalla"/>
    <s v="Nayantara Kalla"/>
    <x v="2"/>
    <n v="43"/>
    <n v="43"/>
    <s v="Dermatology"/>
    <s v="Dermatology"/>
    <s v="Dr Khan"/>
    <s v="Dr Khan"/>
    <d v="2026-05-27T00:00:00"/>
    <s v="Valid"/>
    <b v="1"/>
    <b v="1"/>
    <d v="2026-04-28T00:00:00"/>
    <s v="8219941684"/>
    <s v="8219941684"/>
    <s v="8219941684"/>
    <s v="Valid"/>
    <s v="hwalla@saxena-sandhu.net"/>
    <s v="N"/>
    <n v="21766.12"/>
    <s v="N"/>
    <n v="392"/>
    <n v="392"/>
    <s v="M54"/>
  </r>
  <r>
    <s v="P1097"/>
    <s v="Nirvaan Dasgupta"/>
    <s v="Nirvaan Dasgupta"/>
    <x v="5"/>
    <n v="53"/>
    <n v="53"/>
    <s v="Cardiology"/>
    <s v="Cardiology"/>
    <s v="dr priya"/>
    <s v="Dr Priya"/>
    <d v="2026-04-16T00:00:00"/>
    <s v="Valid"/>
    <b v="1"/>
    <b v="1"/>
    <d v="2026-03-24T00:00:00"/>
    <s v="0141254071"/>
    <s v="0141254071"/>
    <s v="0141254071"/>
    <s v="Valid"/>
    <s v="uchaudhary@gmail.com"/>
    <m/>
    <n v="17689.650000000001"/>
    <m/>
    <n v="297"/>
    <n v="297"/>
    <s v="C34"/>
  </r>
  <r>
    <s v="P1098"/>
    <s v="Sana Krishnamurthy"/>
    <s v="Sana Krishnamurthy"/>
    <x v="4"/>
    <n v="64"/>
    <n v="64"/>
    <s v="Cardiology"/>
    <s v="Cardiology"/>
    <s v="Dr Mehta"/>
    <s v="Dr Mehta"/>
    <d v="2026-05-09T00:00:00"/>
    <s v="Valid"/>
    <b v="1"/>
    <b v="1"/>
    <d v="2026-04-23T00:00:00"/>
    <s v="+919874404366"/>
    <s v="919874404366"/>
    <s v="9874404366"/>
    <s v="Valid"/>
    <s v="jkeer@sarna.com"/>
    <s v="N"/>
    <n v="21768.57"/>
    <m/>
    <n v="151"/>
    <n v="151"/>
    <s v="A09"/>
  </r>
  <r>
    <s v="P1099"/>
    <s v="Aaryahi Sridhar"/>
    <s v="Aaryahi Sridhar"/>
    <x v="3"/>
    <n v="2"/>
    <n v="2"/>
    <s v="Orthopedics"/>
    <s v="Orthopedics"/>
    <s v="dr priya"/>
    <s v="Dr Priya"/>
    <d v="2025-12-29T00:00:00"/>
    <s v="Valid"/>
    <b v="1"/>
    <b v="1"/>
    <d v="2025-12-02T00:00:00"/>
    <s v="+919604824408"/>
    <s v="919604824408"/>
    <s v="9604824408"/>
    <s v="Valid"/>
    <s v="piyavarkey@sachdev.biz"/>
    <s v="Yes"/>
    <n v="2055.7399999999998"/>
    <s v="Yes"/>
    <n v="273"/>
    <n v="273"/>
    <s v="A09"/>
  </r>
  <r>
    <s v="P1100"/>
    <s v="Anaya Bose"/>
    <s v="Anaya Bose"/>
    <x v="1"/>
    <n v="84"/>
    <n v="84"/>
    <s v="Neurology"/>
    <s v="Neurology"/>
    <s v="dr priya"/>
    <s v="Dr Priya"/>
    <d v="2026-04-27T00:00:00"/>
    <s v="Valid"/>
    <b v="1"/>
    <b v="1"/>
    <d v="2026-03-31T00:00:00"/>
    <s v="+918578949195"/>
    <s v="918578949195"/>
    <s v="8578949195"/>
    <s v="Valid"/>
    <s v="fdeep@gmail.com"/>
    <m/>
    <n v="23862.66"/>
    <m/>
    <n v="546"/>
    <n v="546"/>
    <s v="A09"/>
  </r>
  <r>
    <s v="P1101"/>
    <s v="Divyansh Yadav"/>
    <s v="Divyansh Yadav"/>
    <x v="0"/>
    <n v="80"/>
    <n v="80"/>
    <s v="Neurology"/>
    <s v="Neurology"/>
    <s v="DR SHARMA"/>
    <s v="Dr Sharma"/>
    <d v="2026-05-03T00:00:00"/>
    <s v="Valid"/>
    <b v="1"/>
    <b v="1"/>
    <d v="2026-04-13T00:00:00"/>
    <s v="05200720196"/>
    <s v="05200720196"/>
    <s v="5200720196"/>
    <s v="Valid"/>
    <s v="routdrishya@chaudhary-bhatt.biz"/>
    <s v="Y"/>
    <n v="24936.16"/>
    <s v="NO"/>
    <n v="322"/>
    <n v="322"/>
    <s v="I10"/>
  </r>
  <r>
    <s v="P1102"/>
    <s v="Adah Dutta"/>
    <s v="Adah Dutta"/>
    <x v="2"/>
    <n v="57"/>
    <n v="57"/>
    <s v="Orthopedics"/>
    <s v="Orthopedics"/>
    <s v="Dr. Sharma"/>
    <s v="Dr. Sharma"/>
    <d v="2025-12-23T00:00:00"/>
    <s v="Valid"/>
    <b v="1"/>
    <b v="1"/>
    <d v="2025-11-25T00:00:00"/>
    <s v="09134533972"/>
    <s v="09134533972"/>
    <s v="9134533972"/>
    <s v="Valid"/>
    <s v="divijsoni@yahoo.com"/>
    <s v="Yes"/>
    <n v="1340.58"/>
    <s v="Yes"/>
    <n v="250"/>
    <n v="250"/>
    <s v="J20"/>
  </r>
  <r>
    <s v="P1103"/>
    <s v="Ishita De"/>
    <s v="Ishita De"/>
    <x v="2"/>
    <n v="56"/>
    <n v="56"/>
    <s v="Orthopedics"/>
    <s v="Orthopedics"/>
    <s v="DR SHARMA"/>
    <s v="Dr Sharma"/>
    <d v="2026-05-21T00:00:00"/>
    <s v="Valid"/>
    <b v="1"/>
    <b v="1"/>
    <d v="2026-05-05T00:00:00"/>
    <s v="+915362765740"/>
    <s v="915362765740"/>
    <s v="5362765740"/>
    <s v="Valid"/>
    <s v="hridaan10@baral.com"/>
    <m/>
    <n v="14235.02"/>
    <s v="Y"/>
    <n v="187"/>
    <n v="187"/>
    <s v="E11"/>
  </r>
  <r>
    <s v="P1104"/>
    <s v="Charvi Kurian"/>
    <s v="Charvi Kurian"/>
    <x v="2"/>
    <n v="79"/>
    <n v="79"/>
    <s v="Dermatology"/>
    <s v="Dermatology"/>
    <s v="DR SHARMA"/>
    <s v="Dr Sharma"/>
    <d v="2026-05-03T00:00:00"/>
    <s v="Valid"/>
    <b v="1"/>
    <b v="1"/>
    <d v="2026-04-18T00:00:00"/>
    <s v="05898190874"/>
    <s v="05898190874"/>
    <s v="5898190874"/>
    <s v="Valid"/>
    <s v="vidur23@raju.org"/>
    <s v="Yes"/>
    <n v="5958.27"/>
    <s v="Yes"/>
    <n v="335"/>
    <n v="335"/>
    <s v="J20"/>
  </r>
  <r>
    <s v="P1105"/>
    <s v="Mehul Brar"/>
    <s v="Mehul Brar"/>
    <x v="0"/>
    <n v="60"/>
    <n v="60"/>
    <s v="Oncology"/>
    <s v="Oncology"/>
    <s v="Dr Mehta"/>
    <s v="Dr Mehta"/>
    <d v="2026-02-16T00:00:00"/>
    <s v="Valid"/>
    <b v="1"/>
    <b v="1"/>
    <d v="2026-02-14T00:00:00"/>
    <s v="02086696276"/>
    <s v="02086696276"/>
    <s v="2086696276"/>
    <s v="Valid"/>
    <s v="aarnaagarwal@hotmail.com"/>
    <m/>
    <n v="23641.84"/>
    <s v="Yes"/>
    <n v="427"/>
    <n v="427"/>
    <s v="M54"/>
  </r>
  <r>
    <s v="P1106"/>
    <s v="Stuvan Gulati"/>
    <s v="Stuvan Gulati"/>
    <x v="0"/>
    <n v="59"/>
    <n v="59"/>
    <s v="Oncology"/>
    <s v="Oncology"/>
    <s v="DR SHARMA"/>
    <s v="Dr Sharma"/>
    <d v="2026-05-15T00:00:00"/>
    <s v="Valid"/>
    <b v="1"/>
    <b v="1"/>
    <d v="2026-05-03T00:00:00"/>
    <s v="8408180897"/>
    <s v="8408180897"/>
    <s v="8408180897"/>
    <s v="Valid"/>
    <s v="reyansh20@andra-issac.com"/>
    <m/>
    <n v="2845"/>
    <m/>
    <n v="392"/>
    <n v="392"/>
    <s v="J20"/>
  </r>
  <r>
    <s v="P1107"/>
    <s v="Amani Korpal"/>
    <s v="Amani Korpal"/>
    <x v="0"/>
    <n v="90"/>
    <n v="90"/>
    <s v="Oncology"/>
    <s v="Oncology"/>
    <s v="Dr Rao"/>
    <s v="Dr Rao"/>
    <d v="2026-04-22T00:00:00"/>
    <s v="Valid"/>
    <b v="1"/>
    <b v="1"/>
    <d v="2026-03-27T00:00:00"/>
    <s v="7476371115"/>
    <s v="7476371115"/>
    <s v="7476371115"/>
    <s v="Valid"/>
    <s v="sairabhasin@chakrabarti.biz"/>
    <m/>
    <n v="7007.11"/>
    <s v="Yes"/>
    <n v="410"/>
    <n v="410"/>
    <s v="C34"/>
  </r>
  <r>
    <s v="P1108"/>
    <s v="Lavanya Bera"/>
    <s v="Lavanya Bera"/>
    <x v="3"/>
    <n v="37"/>
    <n v="37"/>
    <s v="Pediatrics"/>
    <s v="Pediatrics"/>
    <s v="dr priya"/>
    <s v="Dr Priya"/>
    <d v="2025-12-05T00:00:00"/>
    <s v="Valid"/>
    <b v="1"/>
    <b v="1"/>
    <d v="2025-11-28T00:00:00"/>
    <s v="+919523298268"/>
    <s v="919523298268"/>
    <s v="9523298268"/>
    <s v="Valid"/>
    <s v="wdixit@hotmail.com"/>
    <s v="NO"/>
    <n v="15598.1"/>
    <s v="Y"/>
    <n v="421"/>
    <n v="421"/>
    <s v="I10"/>
  </r>
  <r>
    <s v="P1109"/>
    <s v="Vardaniya Rastogi"/>
    <s v="Vardaniya Rastogi"/>
    <x v="0"/>
    <n v="40"/>
    <n v="40"/>
    <s v="General Medicine"/>
    <s v="General Medicine"/>
    <s v="Dr Rao"/>
    <s v="Dr Rao"/>
    <d v="2026-02-13T00:00:00"/>
    <s v="Valid"/>
    <b v="1"/>
    <b v="1"/>
    <d v="2026-01-26T00:00:00"/>
    <s v="03319487830"/>
    <s v="03319487830"/>
    <s v="3319487830"/>
    <s v="Valid"/>
    <s v="ukumer@mannan-edwin.com"/>
    <s v="N"/>
    <n v="18362.52"/>
    <s v="NO"/>
    <n v="251"/>
    <n v="251"/>
    <s v="J20"/>
  </r>
  <r>
    <s v="P1110"/>
    <s v="Jhanvi Sawhney"/>
    <s v="Jhanvi Sawhney"/>
    <x v="1"/>
    <n v="23"/>
    <n v="23"/>
    <s v="Pediatrics"/>
    <s v="Pediatrics"/>
    <s v="Dr Mehta"/>
    <s v="Dr Mehta"/>
    <d v="2026-01-03T00:00:00"/>
    <s v="Valid"/>
    <b v="1"/>
    <b v="1"/>
    <d v="2025-12-09T00:00:00"/>
    <s v="+910226620663"/>
    <s v="910226620663"/>
    <s v="0226620663"/>
    <s v="Valid"/>
    <s v="emir56@hotmail.com"/>
    <s v="N"/>
    <n v="13365.14"/>
    <s v="Yes"/>
    <n v="525"/>
    <n v="525"/>
    <s v="E11"/>
  </r>
  <r>
    <s v="P1111"/>
    <s v="Onkar Brahmbhatt"/>
    <s v="Onkar Brahmbhatt"/>
    <x v="0"/>
    <n v="62"/>
    <n v="62"/>
    <s v="Oncology"/>
    <s v="Oncology"/>
    <s v="dr priya"/>
    <s v="Dr Priya"/>
    <d v="2026-03-26T00:00:00"/>
    <s v="Valid"/>
    <b v="1"/>
    <b v="1"/>
    <d v="2026-03-01T00:00:00"/>
    <s v="8048550730"/>
    <s v="8048550730"/>
    <s v="8048550730"/>
    <s v="Valid"/>
    <s v="nitaragolla@hotmail.com"/>
    <s v="NO"/>
    <n v="11814.62"/>
    <s v="NO"/>
    <n v="172"/>
    <n v="172"/>
    <s v="K21"/>
  </r>
  <r>
    <s v="P1112"/>
    <s v="Samaira Batta"/>
    <s v="Samaira Batta"/>
    <x v="5"/>
    <n v="87"/>
    <n v="87"/>
    <s v="Dermatology"/>
    <s v="Dermatology"/>
    <s v="dr priya"/>
    <s v="Dr Priya"/>
    <d v="2026-01-10T00:00:00"/>
    <s v="Valid"/>
    <b v="1"/>
    <b v="1"/>
    <d v="2026-01-08T00:00:00"/>
    <s v="1643755071"/>
    <s v="1643755071"/>
    <s v="1643755071"/>
    <s v="Valid"/>
    <s v="hridaansoni@gmail.com"/>
    <m/>
    <n v="545.17999999999995"/>
    <s v="NO"/>
    <n v="332"/>
    <n v="332"/>
    <s v="J20"/>
  </r>
  <r>
    <s v="P1113"/>
    <s v="Indrans Soni"/>
    <s v="Indrans Soni"/>
    <x v="0"/>
    <n v="75"/>
    <n v="75"/>
    <s v="Dermatology"/>
    <s v="Dermatology"/>
    <s v="dr priya"/>
    <s v="Dr Priya"/>
    <d v="2026-04-07T00:00:00"/>
    <s v="Valid"/>
    <b v="1"/>
    <b v="1"/>
    <d v="2026-04-04T00:00:00"/>
    <s v="07227416257"/>
    <s v="07227416257"/>
    <s v="7227416257"/>
    <s v="Valid"/>
    <s v="sairasingh@randhawa-ramaswamy.net"/>
    <s v="NO"/>
    <n v="11892.63"/>
    <s v="NO"/>
    <n v="412"/>
    <n v="412"/>
    <s v="E11"/>
  </r>
  <r>
    <s v="P1114"/>
    <s v="Ryan Bhargava"/>
    <s v="Ryan Bhargava"/>
    <x v="2"/>
    <n v="82"/>
    <n v="82"/>
    <s v="General Medicine"/>
    <s v="General Medicine"/>
    <s v="Dr. Sharma"/>
    <s v="Dr. Sharma"/>
    <d v="2026-01-07T00:00:00"/>
    <s v="Valid"/>
    <b v="1"/>
    <b v="1"/>
    <d v="2025-12-18T00:00:00"/>
    <s v="1212373232"/>
    <s v="1212373232"/>
    <s v="1212373232"/>
    <s v="Valid"/>
    <s v="hsoni@madan.org"/>
    <m/>
    <n v="3093.56"/>
    <s v="Yes"/>
    <n v="119"/>
    <n v="119"/>
    <s v="J20"/>
  </r>
  <r>
    <s v="P1115"/>
    <s v="Ayesha Chand"/>
    <s v="Ayesha Chand"/>
    <x v="3"/>
    <n v="15"/>
    <n v="15"/>
    <s v="Neurology"/>
    <s v="Neurology"/>
    <s v="DR SHARMA"/>
    <s v="Dr Sharma"/>
    <d v="2026-05-16T00:00:00"/>
    <s v="Valid"/>
    <b v="1"/>
    <b v="1"/>
    <d v="2026-04-18T00:00:00"/>
    <s v="4185450661"/>
    <s v="4185450661"/>
    <s v="4185450661"/>
    <s v="Valid"/>
    <s v="sara00@toor.org"/>
    <s v="Yes"/>
    <n v="9838.42"/>
    <s v="NO"/>
    <n v="443"/>
    <n v="443"/>
    <s v="C34"/>
  </r>
  <r>
    <s v="P1116"/>
    <s v="Miraya Lall"/>
    <s v="Miraya Lall"/>
    <x v="1"/>
    <n v="76"/>
    <n v="76"/>
    <s v="Orthopedics"/>
    <s v="Orthopedics"/>
    <s v="dr priya"/>
    <s v="Dr Priya"/>
    <d v="2026-04-28T00:00:00"/>
    <s v="Valid"/>
    <b v="1"/>
    <b v="1"/>
    <d v="2026-04-08T00:00:00"/>
    <s v="+915136186456"/>
    <s v="915136186456"/>
    <s v="5136186456"/>
    <s v="Valid"/>
    <s v="dhanuksangha@gmail.com"/>
    <s v="NO"/>
    <n v="20875.59"/>
    <m/>
    <n v="243"/>
    <n v="243"/>
    <s v="I10"/>
  </r>
  <r>
    <s v="P1117"/>
    <s v="Charvi Randhawa"/>
    <s v="Charvi Randhawa"/>
    <x v="2"/>
    <n v="28"/>
    <n v="28"/>
    <s v="General Medicine"/>
    <s v="General Medicine"/>
    <s v="Dr Khan"/>
    <s v="Dr Khan"/>
    <d v="2026-06-04T00:00:00"/>
    <s v="Valid"/>
    <b v="1"/>
    <b v="1"/>
    <d v="2026-05-05T00:00:00"/>
    <s v="+917811748749"/>
    <s v="917811748749"/>
    <s v="7811748749"/>
    <s v="Valid"/>
    <s v="ngopal@gmail.com"/>
    <s v="NO"/>
    <n v="21415.16"/>
    <s v="NO"/>
    <n v="451"/>
    <n v="451"/>
    <s v="J20"/>
  </r>
  <r>
    <s v="P1118"/>
    <s v="Shalv Wali"/>
    <s v="Shalv Wali"/>
    <x v="2"/>
    <n v="8"/>
    <n v="8"/>
    <s v="Dermatology"/>
    <s v="Dermatology"/>
    <s v="Dr. Sharma"/>
    <s v="Dr. Sharma"/>
    <d v="2026-02-07T00:00:00"/>
    <s v="Valid"/>
    <b v="1"/>
    <b v="1"/>
    <d v="2026-02-01T00:00:00"/>
    <s v="+918669555268"/>
    <s v="918669555268"/>
    <s v="8669555268"/>
    <s v="Valid"/>
    <s v="anvibora@yahoo.com"/>
    <s v="NO"/>
    <n v="23735.47"/>
    <m/>
    <n v="146"/>
    <n v="146"/>
    <s v="C34"/>
  </r>
  <r>
    <s v="P1119"/>
    <s v="Onkar Lata"/>
    <s v="Onkar Lata"/>
    <x v="5"/>
    <n v="83"/>
    <n v="83"/>
    <s v="Cardiology"/>
    <s v="Cardiology"/>
    <s v="Dr Rao"/>
    <s v="Dr Rao"/>
    <d v="2026-04-03T00:00:00"/>
    <s v="Valid"/>
    <b v="1"/>
    <b v="1"/>
    <d v="2026-03-09T00:00:00"/>
    <s v="6911891854"/>
    <s v="6911891854"/>
    <s v="6911891854"/>
    <s v="Valid"/>
    <s v="iraahuja@sani.com"/>
    <s v="N"/>
    <n v="6240.51"/>
    <s v="Y"/>
    <n v="502"/>
    <n v="502"/>
    <s v="A09"/>
  </r>
  <r>
    <s v="P1120"/>
    <s v="Eshani Shukla"/>
    <s v="Eshani Shukla"/>
    <x v="5"/>
    <n v="9"/>
    <n v="9"/>
    <s v="Pediatrics"/>
    <s v="Pediatrics"/>
    <s v="DR SHARMA"/>
    <s v="Dr Sharma"/>
    <d v="2026-05-15T00:00:00"/>
    <s v="Valid"/>
    <b v="1"/>
    <b v="1"/>
    <d v="2026-04-19T00:00:00"/>
    <s v="2066179013"/>
    <s v="2066179013"/>
    <s v="2066179013"/>
    <s v="Valid"/>
    <s v="divanshayak@soman.biz"/>
    <s v="NO"/>
    <n v="8348.2800000000007"/>
    <s v="Y"/>
    <n v="503"/>
    <n v="503"/>
    <s v="A09"/>
  </r>
  <r>
    <s v="P1121"/>
    <s v="Amira Karan"/>
    <s v="Amira Karan"/>
    <x v="0"/>
    <n v="36"/>
    <n v="36"/>
    <s v="Orthopedics"/>
    <s v="Orthopedics"/>
    <s v="Dr Mehta"/>
    <s v="Dr Mehta"/>
    <d v="2025-12-21T00:00:00"/>
    <s v="Valid"/>
    <b v="1"/>
    <b v="1"/>
    <d v="2025-12-04T00:00:00"/>
    <s v="+910105283208"/>
    <s v="910105283208"/>
    <s v="0105283208"/>
    <s v="Valid"/>
    <s v="sarakhanna@gmail.com"/>
    <s v="Y"/>
    <n v="20003.14"/>
    <s v="NO"/>
    <n v="438"/>
    <n v="438"/>
    <s v="K21"/>
  </r>
  <r>
    <s v="P1122"/>
    <s v="Aayush Rao"/>
    <s v="Aayush Rao"/>
    <x v="0"/>
    <n v="17"/>
    <n v="17"/>
    <s v="Cardiology"/>
    <s v="Cardiology"/>
    <s v="dr priya"/>
    <s v="Dr Priya"/>
    <d v="2025-12-24T00:00:00"/>
    <s v="Valid"/>
    <b v="1"/>
    <b v="1"/>
    <d v="2025-11-29T00:00:00"/>
    <s v="08120632221"/>
    <s v="08120632221"/>
    <s v="8120632221"/>
    <s v="Valid"/>
    <s v="jayeshdugal@som.com"/>
    <s v="NO"/>
    <n v="14803.55"/>
    <s v="Yes"/>
    <n v="189"/>
    <n v="189"/>
    <s v="J20"/>
  </r>
  <r>
    <s v="P1123"/>
    <s v="Aayush Kibe"/>
    <s v="Aayush Kibe"/>
    <x v="0"/>
    <n v="17"/>
    <n v="17"/>
    <s v="Dermatology"/>
    <s v="Dermatology"/>
    <s v="Dr Mehta"/>
    <s v="Dr Mehta"/>
    <d v="2026-05-28T00:00:00"/>
    <s v="Valid"/>
    <b v="1"/>
    <b v="1"/>
    <d v="2026-05-05T00:00:00"/>
    <s v="5929429220"/>
    <s v="5929429220"/>
    <s v="5929429220"/>
    <s v="Valid"/>
    <s v="edatta@randhawa-toor.com"/>
    <s v="NO"/>
    <n v="12010.9"/>
    <s v="NO"/>
    <n v="362"/>
    <n v="362"/>
    <s v="A09"/>
  </r>
  <r>
    <s v="P1124"/>
    <s v="Nehmat Tella"/>
    <s v="Nehmat Tella"/>
    <x v="2"/>
    <n v="58"/>
    <n v="58"/>
    <s v="Pediatrics"/>
    <s v="Pediatrics"/>
    <s v="Dr Rao"/>
    <s v="Dr Rao"/>
    <d v="2026-05-18T00:00:00"/>
    <s v="Valid"/>
    <b v="1"/>
    <b v="1"/>
    <d v="2026-04-25T00:00:00"/>
    <s v="1200020161"/>
    <s v="1200020161"/>
    <s v="1200020161"/>
    <s v="Valid"/>
    <s v="ahana-sandhu@gmail.com"/>
    <s v="Y"/>
    <n v="11559.45"/>
    <s v="Yes"/>
    <n v="131"/>
    <n v="131"/>
    <s v="M54"/>
  </r>
  <r>
    <s v="P1125"/>
    <s v="Samar Ranganathan"/>
    <s v="Samar Ranganathan"/>
    <x v="1"/>
    <n v="55"/>
    <n v="55"/>
    <s v="Neurology"/>
    <s v="Neurology"/>
    <s v="Dr Khan"/>
    <s v="Dr Khan"/>
    <d v="2026-05-03T00:00:00"/>
    <s v="Valid"/>
    <b v="1"/>
    <b v="1"/>
    <d v="2026-04-11T00:00:00"/>
    <s v="4905823266"/>
    <s v="4905823266"/>
    <s v="4905823266"/>
    <s v="Valid"/>
    <s v="arnavtailor@varkey.net"/>
    <m/>
    <n v="2022.57"/>
    <s v="NO"/>
    <n v="264"/>
    <n v="264"/>
    <s v="A09"/>
  </r>
  <r>
    <s v="P1126"/>
    <s v="Ivana Sinha"/>
    <s v="Ivana Sinha"/>
    <x v="4"/>
    <n v="9"/>
    <n v="9"/>
    <s v="Orthopedics"/>
    <s v="Orthopedics"/>
    <s v="Dr. Sharma"/>
    <s v="Dr. Sharma"/>
    <d v="2026-04-21T00:00:00"/>
    <s v="Valid"/>
    <b v="1"/>
    <b v="1"/>
    <d v="2026-04-02T00:00:00"/>
    <s v="+915228930409"/>
    <s v="915228930409"/>
    <s v="5228930409"/>
    <s v="Valid"/>
    <s v="adah50@bhat.com"/>
    <s v="N"/>
    <n v="9646.43"/>
    <s v="Yes"/>
    <n v="332"/>
    <n v="332"/>
    <s v="A09"/>
  </r>
  <r>
    <s v="P1127"/>
    <s v="Navya Sem"/>
    <s v="Navya Sem"/>
    <x v="1"/>
    <n v="13"/>
    <n v="13"/>
    <s v="Neurology"/>
    <s v="Neurology"/>
    <s v="DR SHARMA"/>
    <s v="Dr Sharma"/>
    <d v="2026-01-18T00:00:00"/>
    <s v="Valid"/>
    <b v="1"/>
    <b v="1"/>
    <d v="2026-01-05T00:00:00"/>
    <s v="09104295268"/>
    <s v="09104295268"/>
    <s v="9104295268"/>
    <s v="Valid"/>
    <s v="joshikaira@bedi.biz"/>
    <m/>
    <n v="22224.66"/>
    <m/>
    <n v="273"/>
    <n v="273"/>
    <s v="K21"/>
  </r>
  <r>
    <s v="P1128"/>
    <s v="Dhanuk Randhawa"/>
    <s v="Dhanuk Randhawa"/>
    <x v="3"/>
    <n v="52"/>
    <n v="52"/>
    <s v="Dermatology"/>
    <s v="Dermatology"/>
    <s v="Dr Mehta"/>
    <s v="Dr Mehta"/>
    <d v="2026-01-17T00:00:00"/>
    <s v="Valid"/>
    <b v="1"/>
    <b v="1"/>
    <d v="2026-01-07T00:00:00"/>
    <s v="1408930197"/>
    <s v="1408930197"/>
    <s v="1408930197"/>
    <s v="Valid"/>
    <s v="berapiya@sur.com"/>
    <m/>
    <n v="7950.58"/>
    <s v="Yes"/>
    <n v="291"/>
    <n v="291"/>
    <s v="E11"/>
  </r>
  <r>
    <s v="P1129"/>
    <s v="Keya Devi"/>
    <s v="Keya Devi"/>
    <x v="3"/>
    <n v="9"/>
    <n v="9"/>
    <s v="Neurology"/>
    <s v="Neurology"/>
    <s v="Dr Mehta"/>
    <s v="Dr Mehta"/>
    <d v="2026-02-16T00:00:00"/>
    <s v="Valid"/>
    <b v="1"/>
    <b v="1"/>
    <d v="2026-02-14T00:00:00"/>
    <s v="+913567771991"/>
    <s v="913567771991"/>
    <s v="3567771991"/>
    <s v="Valid"/>
    <s v="kismatbera@hotmail.com"/>
    <m/>
    <n v="2594.8000000000002"/>
    <s v="NO"/>
    <n v="515"/>
    <n v="515"/>
    <s v="E11"/>
  </r>
  <r>
    <s v="P1131"/>
    <s v="Zara Sankar"/>
    <s v="Zara Sankar"/>
    <x v="0"/>
    <n v="37"/>
    <n v="37"/>
    <s v="Oncology"/>
    <s v="Oncology"/>
    <s v="dr priya"/>
    <s v="Dr Priya"/>
    <d v="2026-04-18T00:00:00"/>
    <s v="Valid"/>
    <b v="1"/>
    <b v="1"/>
    <d v="2026-04-15T00:00:00"/>
    <s v="4652864920"/>
    <s v="4652864920"/>
    <s v="4652864920"/>
    <s v="Valid"/>
    <s v="yakshitmann@yahoo.com"/>
    <s v="NO"/>
    <n v="4037.31"/>
    <m/>
    <n v="214"/>
    <n v="214"/>
    <s v="K21"/>
  </r>
  <r>
    <s v="P1132"/>
    <s v="Miraan Kunda"/>
    <s v="Miraan Kunda"/>
    <x v="2"/>
    <n v="45"/>
    <n v="45"/>
    <s v="ENT"/>
    <s v="ENT"/>
    <s v="Dr Mehta"/>
    <s v="Dr Mehta"/>
    <d v="2026-05-15T00:00:00"/>
    <s v="Valid"/>
    <b v="1"/>
    <b v="1"/>
    <d v="2026-04-21T00:00:00"/>
    <s v="5793183598"/>
    <s v="5793183598"/>
    <s v="5793183598"/>
    <s v="Valid"/>
    <s v="mannatdave@raman-samra.com"/>
    <s v="Y"/>
    <n v="14437.68"/>
    <m/>
    <n v="532"/>
    <n v="532"/>
    <s v="A09"/>
  </r>
  <r>
    <s v="P1133"/>
    <s v="Vritika Raval"/>
    <s v="Vritika Raval"/>
    <x v="0"/>
    <n v="78"/>
    <n v="78"/>
    <s v="Oncology"/>
    <s v="Oncology"/>
    <s v="Dr Rao"/>
    <s v="Dr Rao"/>
    <d v="2025-12-29T00:00:00"/>
    <s v="Valid"/>
    <b v="1"/>
    <b v="1"/>
    <d v="2025-12-24T00:00:00"/>
    <s v="5599473768"/>
    <s v="5599473768"/>
    <s v="5599473768"/>
    <s v="Valid"/>
    <s v="aaina85@goswami.com"/>
    <s v="Y"/>
    <n v="17626.93"/>
    <s v="Yes"/>
    <n v="273"/>
    <n v="273"/>
    <s v="J20"/>
  </r>
  <r>
    <s v="P1134"/>
    <s v="Kiara Dubey"/>
    <s v="Kiara Dubey"/>
    <x v="0"/>
    <n v="24"/>
    <n v="24"/>
    <s v="Orthopedics"/>
    <s v="Orthopedics"/>
    <s v="dr priya"/>
    <s v="Dr Priya"/>
    <d v="2025-12-06T00:00:00"/>
    <s v="Valid"/>
    <b v="1"/>
    <b v="1"/>
    <d v="2025-12-04T00:00:00"/>
    <s v="06904823096"/>
    <s v="06904823096"/>
    <s v="6904823096"/>
    <s v="Valid"/>
    <s v="shetharadhya@sathe-sen.com"/>
    <s v="Yes"/>
    <n v="18576.03"/>
    <s v="Yes"/>
    <n v="146"/>
    <n v="146"/>
    <s v="C34"/>
  </r>
  <r>
    <s v="P1135"/>
    <s v="Seher Chowdhury"/>
    <s v="Seher Chowdhury"/>
    <x v="5"/>
    <n v="49"/>
    <n v="49"/>
    <s v="Dermatology"/>
    <s v="Dermatology"/>
    <s v="Dr Khan"/>
    <s v="Dr Khan"/>
    <d v="2025-12-05T00:00:00"/>
    <s v="Valid"/>
    <b v="1"/>
    <b v="1"/>
    <d v="2025-11-25T00:00:00"/>
    <s v="3698123290"/>
    <s v="3698123290"/>
    <s v="3698123290"/>
    <s v="Valid"/>
    <s v="zbahri@hotmail.com"/>
    <s v="Yes"/>
    <n v="9377.32"/>
    <s v="NO"/>
    <n v="497"/>
    <n v="497"/>
    <s v="A09"/>
  </r>
  <r>
    <s v="P1136"/>
    <s v="Khushi Tailor"/>
    <s v="Khushi Tailor"/>
    <x v="2"/>
    <n v="7"/>
    <n v="7"/>
    <s v="Orthopedics"/>
    <s v="Orthopedics"/>
    <s v="Dr Mehta"/>
    <s v="Dr Mehta"/>
    <d v="2026-03-13T00:00:00"/>
    <s v="Valid"/>
    <b v="1"/>
    <b v="1"/>
    <d v="2026-02-17T00:00:00"/>
    <s v="08584974838"/>
    <s v="08584974838"/>
    <s v="8584974838"/>
    <s v="Valid"/>
    <s v="ftandon@hotmail.com"/>
    <s v="Yes"/>
    <n v="16914.419999999998"/>
    <s v="Yes"/>
    <n v="326"/>
    <n v="326"/>
    <s v="C34"/>
  </r>
  <r>
    <s v="P1137"/>
    <s v="Madhav Jani"/>
    <s v="Madhav Jani"/>
    <x v="1"/>
    <n v="63"/>
    <n v="63"/>
    <s v="General Medicine"/>
    <s v="General Medicine"/>
    <s v="dr priya"/>
    <s v="Dr Priya"/>
    <d v="2026-02-28T00:00:00"/>
    <s v="Valid"/>
    <b v="1"/>
    <b v="1"/>
    <d v="2026-02-20T00:00:00"/>
    <s v="4991938053"/>
    <s v="4991938053"/>
    <s v="4991938053"/>
    <s v="Valid"/>
    <s v="ovasa@sarkar.com"/>
    <s v="NO"/>
    <n v="18922.59"/>
    <s v="NO"/>
    <n v="276"/>
    <n v="276"/>
    <s v="M54"/>
  </r>
  <r>
    <s v="P1138"/>
    <s v="Anahita Raj"/>
    <s v="Anahita Raj"/>
    <x v="2"/>
    <n v="37"/>
    <n v="37"/>
    <s v="General Medicine"/>
    <s v="General Medicine"/>
    <s v="Dr. Sharma"/>
    <s v="Dr. Sharma"/>
    <d v="2026-04-09T00:00:00"/>
    <s v="Valid"/>
    <b v="1"/>
    <b v="1"/>
    <d v="2026-04-08T00:00:00"/>
    <s v="+914992350609"/>
    <s v="914992350609"/>
    <s v="4992350609"/>
    <s v="Valid"/>
    <s v="amani62@hotmail.com"/>
    <s v="NO"/>
    <n v="10002.530000000001"/>
    <s v="Yes"/>
    <n v="103"/>
    <n v="103"/>
    <s v="E11"/>
  </r>
  <r>
    <s v="P1139"/>
    <s v="Yasmin Behl"/>
    <s v="Yasmin Behl"/>
    <x v="0"/>
    <n v="28"/>
    <n v="28"/>
    <s v="Orthopedics"/>
    <s v="Orthopedics"/>
    <s v="Dr. Sharma"/>
    <s v="Dr. Sharma"/>
    <d v="2026-03-08T00:00:00"/>
    <s v="Valid"/>
    <b v="1"/>
    <b v="1"/>
    <d v="2026-02-27T00:00:00"/>
    <s v="+916169067370"/>
    <s v="916169067370"/>
    <s v="6169067370"/>
    <s v="Valid"/>
    <s v="vyasamani@yahoo.com"/>
    <s v="N"/>
    <n v="3175.61"/>
    <m/>
    <n v="482"/>
    <n v="482"/>
    <s v="M54"/>
  </r>
  <r>
    <s v="P1141"/>
    <s v="Rohan Kala"/>
    <s v="Rohan Kala"/>
    <x v="3"/>
    <n v="10"/>
    <n v="10"/>
    <s v="ENT"/>
    <s v="ENT"/>
    <s v="dr priya"/>
    <s v="Dr Priya"/>
    <d v="2025-12-09T00:00:00"/>
    <s v="Valid"/>
    <b v="1"/>
    <b v="1"/>
    <d v="2025-11-21T00:00:00"/>
    <s v="08790151976"/>
    <s v="08790151976"/>
    <s v="8790151976"/>
    <s v="Valid"/>
    <s v="jayanshere@mane.com"/>
    <m/>
    <n v="17795.57"/>
    <m/>
    <n v="248"/>
    <n v="248"/>
    <s v="I10"/>
  </r>
  <r>
    <s v="P1142"/>
    <s v="Hazel Dubey"/>
    <s v="Hazel Dubey"/>
    <x v="1"/>
    <n v="3"/>
    <n v="3"/>
    <s v="ENT"/>
    <s v="ENT"/>
    <s v="Dr Mehta"/>
    <s v="Dr Mehta"/>
    <d v="2026-04-11T00:00:00"/>
    <s v="Valid"/>
    <b v="1"/>
    <b v="1"/>
    <d v="2026-03-17T00:00:00"/>
    <s v="+914827196935"/>
    <s v="914827196935"/>
    <s v="4827196935"/>
    <s v="Valid"/>
    <s v="kartikkapur@gmail.com"/>
    <m/>
    <n v="20834.240000000002"/>
    <s v="NO"/>
    <n v="145"/>
    <n v="145"/>
    <s v="M54"/>
  </r>
  <r>
    <s v="P1143"/>
    <s v="Sana Bawa"/>
    <s v="Sana Bawa"/>
    <x v="2"/>
    <n v="32"/>
    <n v="32"/>
    <s v="Dermatology"/>
    <s v="Dermatology"/>
    <s v="dr priya"/>
    <s v="Dr Priya"/>
    <d v="2026-01-12T00:00:00"/>
    <s v="Valid"/>
    <b v="1"/>
    <b v="1"/>
    <d v="2025-12-27T00:00:00"/>
    <s v="+913809619824"/>
    <s v="913809619824"/>
    <s v="3809619824"/>
    <s v="Valid"/>
    <s v="gopalanahita@gmail.com"/>
    <s v="NO"/>
    <n v="10015.01"/>
    <s v="Yes"/>
    <n v="481"/>
    <n v="481"/>
    <s v="J20"/>
  </r>
  <r>
    <s v="P1144"/>
    <s v="Charvi Gala"/>
    <s v="Charvi Gala"/>
    <x v="5"/>
    <n v="43"/>
    <n v="43"/>
    <s v="Orthopedics"/>
    <s v="Orthopedics"/>
    <s v="Dr Mehta"/>
    <s v="Dr Mehta"/>
    <d v="2026-03-17T00:00:00"/>
    <s v="Valid"/>
    <b v="1"/>
    <b v="1"/>
    <d v="2026-03-01T00:00:00"/>
    <s v="7699448795"/>
    <s v="7699448795"/>
    <s v="7699448795"/>
    <s v="Valid"/>
    <s v="dsubramaniam@chaudhuri.com"/>
    <s v="NO"/>
    <n v="13359"/>
    <s v="N"/>
    <n v="497"/>
    <n v="497"/>
    <s v="J20"/>
  </r>
  <r>
    <s v="P1145"/>
    <s v="Nitara Saha"/>
    <s v="Nitara Saha"/>
    <x v="2"/>
    <n v="83"/>
    <n v="83"/>
    <s v="Orthopedics"/>
    <s v="Orthopedics"/>
    <s v="DR SHARMA"/>
    <s v="Dr Sharma"/>
    <d v="2026-04-20T00:00:00"/>
    <s v="Valid"/>
    <b v="1"/>
    <b v="1"/>
    <d v="2026-04-17T00:00:00"/>
    <s v="12345"/>
    <s v="12345"/>
    <s v="12345"/>
    <s v="Valid"/>
    <s v="nirvi93@master.biz"/>
    <s v="Yes"/>
    <n v="6548.01"/>
    <s v="Y"/>
    <n v="408"/>
    <n v="408"/>
    <s v="E11"/>
  </r>
  <r>
    <s v="P1146"/>
    <s v="Purab Varughese"/>
    <s v="Purab Varughese"/>
    <x v="2"/>
    <n v="23"/>
    <n v="23"/>
    <s v="General Medicine"/>
    <s v="General Medicine"/>
    <s v="Dr Khan"/>
    <s v="Dr Khan"/>
    <d v="2026-02-04T00:00:00"/>
    <s v="Valid"/>
    <b v="1"/>
    <b v="1"/>
    <d v="2026-01-11T00:00:00"/>
    <s v="0634661433"/>
    <s v="0634661433"/>
    <s v="0634661433"/>
    <s v="Valid"/>
    <s v="cherianinaaya@wable.com"/>
    <m/>
    <n v="17092.11"/>
    <s v="NO"/>
    <n v="542"/>
    <n v="542"/>
    <s v="C34"/>
  </r>
  <r>
    <s v="P1147"/>
    <s v="Ela Barman"/>
    <s v="Ela Barman"/>
    <x v="2"/>
    <n v="20"/>
    <n v="20"/>
    <s v="General Medicine"/>
    <s v="General Medicine"/>
    <s v="Dr Mehta"/>
    <s v="Dr Mehta"/>
    <d v="2026-03-26T00:00:00"/>
    <s v="Valid"/>
    <b v="1"/>
    <b v="1"/>
    <d v="2026-03-11T00:00:00"/>
    <s v="+914246089663"/>
    <s v="914246089663"/>
    <s v="4246089663"/>
    <s v="Valid"/>
    <s v="jbandi@hotmail.com"/>
    <m/>
    <n v="15858.35"/>
    <s v="Yes"/>
    <n v="402"/>
    <n v="402"/>
    <s v="I10"/>
  </r>
  <r>
    <s v="P1148"/>
    <s v="Mishti Amble"/>
    <s v="Mishti Amble"/>
    <x v="2"/>
    <n v="65"/>
    <n v="65"/>
    <s v="Neurology"/>
    <s v="Neurology"/>
    <s v="Dr. Sharma"/>
    <s v="Dr. Sharma"/>
    <d v="2026-05-08T00:00:00"/>
    <s v="Valid"/>
    <b v="1"/>
    <b v="1"/>
    <d v="2026-04-24T00:00:00"/>
    <s v="+919270358683"/>
    <s v="919270358683"/>
    <s v="9270358683"/>
    <s v="Valid"/>
    <s v="alia12@loke-dewan.com"/>
    <m/>
    <n v="1132.6600000000001"/>
    <s v="NO"/>
    <n v="525"/>
    <n v="525"/>
    <s v="J20"/>
  </r>
  <r>
    <s v="P1149"/>
    <s v="Uthkarsh Varma"/>
    <s v="Uthkarsh Varma"/>
    <x v="2"/>
    <n v="83"/>
    <n v="83"/>
    <s v="Neurology"/>
    <s v="Neurology"/>
    <s v="dr priya"/>
    <s v="Dr Priya"/>
    <d v="2026-05-11T00:00:00"/>
    <s v="Valid"/>
    <b v="1"/>
    <b v="1"/>
    <d v="2026-04-27T00:00:00"/>
    <s v="+913252344455"/>
    <s v="913252344455"/>
    <s v="3252344455"/>
    <s v="Valid"/>
    <s v="jayesh01@agarwal.com"/>
    <s v="Yes"/>
    <n v="11353.4"/>
    <s v="N"/>
    <n v="264"/>
    <n v="264"/>
    <s v="A09"/>
  </r>
  <r>
    <s v="P1150"/>
    <s v="Tiya Bhargava"/>
    <s v="Tiya Bhargava"/>
    <x v="3"/>
    <n v="65"/>
    <n v="65"/>
    <s v="Orthopedics"/>
    <s v="Orthopedics"/>
    <s v="Dr Rao"/>
    <s v="Dr Rao"/>
    <d v="2026-01-21T00:00:00"/>
    <s v="Valid"/>
    <b v="1"/>
    <b v="1"/>
    <d v="2026-01-07T00:00:00"/>
    <s v="9043154411"/>
    <s v="9043154411"/>
    <s v="9043154411"/>
    <s v="Valid"/>
    <s v="dhruv28@doshi-kala.com"/>
    <s v="NO"/>
    <n v="20311.98"/>
    <s v="NO"/>
    <n v="465"/>
    <n v="465"/>
    <s v="I10"/>
  </r>
  <r>
    <s v="P1151"/>
    <s v="Vidur Bakshi"/>
    <s v="Vidur Bakshi"/>
    <x v="4"/>
    <n v="6"/>
    <n v="6"/>
    <s v="Pediatrics"/>
    <s v="Pediatrics"/>
    <s v="Dr Khan"/>
    <s v="Dr Khan"/>
    <d v="2026-01-22T00:00:00"/>
    <s v="Valid"/>
    <b v="1"/>
    <b v="1"/>
    <d v="2026-01-08T00:00:00"/>
    <s v="8183877028"/>
    <s v="8183877028"/>
    <s v="8183877028"/>
    <s v="Valid"/>
    <s v="ramaswamyreyansh@hotmail.com"/>
    <s v="Yes"/>
    <n v="9224.67"/>
    <s v="Yes"/>
    <n v="298"/>
    <n v="298"/>
    <s v="M54"/>
  </r>
  <r>
    <s v="P1152"/>
    <s v="Aarush Shere"/>
    <s v="Aarush Shere"/>
    <x v="2"/>
    <n v="87"/>
    <n v="87"/>
    <s v="Cardiology"/>
    <s v="Cardiology"/>
    <s v="dr priya"/>
    <s v="Dr Priya"/>
    <d v="2026-04-17T00:00:00"/>
    <s v="Valid"/>
    <b v="1"/>
    <b v="1"/>
    <d v="2026-04-15T00:00:00"/>
    <s v="+913131954117"/>
    <s v="913131954117"/>
    <s v="3131954117"/>
    <s v="Valid"/>
    <s v="upadhyayzeeshan@hotmail.com"/>
    <s v="N"/>
    <n v="2543.75"/>
    <m/>
    <n v="245"/>
    <n v="245"/>
    <s v="J20"/>
  </r>
  <r>
    <s v="P1153"/>
    <s v="Darshit Sem"/>
    <s v="Darshit Sem"/>
    <x v="4"/>
    <n v="43"/>
    <n v="43"/>
    <s v="Neurology"/>
    <s v="Neurology"/>
    <s v="Dr Mehta"/>
    <s v="Dr Mehta"/>
    <d v="2026-02-23T00:00:00"/>
    <s v="Valid"/>
    <b v="1"/>
    <b v="1"/>
    <d v="2026-01-25T00:00:00"/>
    <s v="4657096637"/>
    <s v="4657096637"/>
    <s v="4657096637"/>
    <s v="Valid"/>
    <s v="samiprerak@biswas.com"/>
    <s v="N"/>
    <n v="7893.75"/>
    <m/>
    <n v="166"/>
    <n v="166"/>
    <s v="A09"/>
  </r>
  <r>
    <s v="P1154"/>
    <s v="Adira Reddy"/>
    <s v="Adira Reddy"/>
    <x v="2"/>
    <n v="40"/>
    <n v="40"/>
    <s v="Dermatology"/>
    <s v="Dermatology"/>
    <s v="dr priya"/>
    <s v="Dr Priya"/>
    <d v="2026-04-08T00:00:00"/>
    <s v="Valid"/>
    <b v="1"/>
    <b v="1"/>
    <d v="2026-03-13T00:00:00"/>
    <s v="1786421033"/>
    <s v="1786421033"/>
    <s v="1786421033"/>
    <s v="Valid"/>
    <s v="jkibe@dalal.com"/>
    <s v="Yes"/>
    <n v="16818.89"/>
    <s v="NO"/>
    <n v="430"/>
    <n v="430"/>
    <s v="C34"/>
  </r>
  <r>
    <s v="P1156"/>
    <s v="Hrishita Sehgal"/>
    <s v="Hrishita Sehgal"/>
    <x v="3"/>
    <n v="25"/>
    <n v="25"/>
    <s v="Pediatrics"/>
    <s v="Pediatrics"/>
    <s v="Dr Mehta"/>
    <s v="Dr Mehta"/>
    <d v="2026-02-13T00:00:00"/>
    <s v="Valid"/>
    <b v="1"/>
    <b v="1"/>
    <d v="2026-02-09T00:00:00"/>
    <s v="02716895024"/>
    <s v="02716895024"/>
    <s v="2716895024"/>
    <s v="Valid"/>
    <s v="gchar@dass.com"/>
    <s v="NO"/>
    <n v="7535.64"/>
    <s v="NO"/>
    <n v="359"/>
    <n v="359"/>
    <s v="K21"/>
  </r>
  <r>
    <s v="P1157"/>
    <s v="Lakshit Keer"/>
    <s v="Lakshit Keer"/>
    <x v="0"/>
    <n v="85"/>
    <n v="85"/>
    <s v="ENT"/>
    <s v="ENT"/>
    <s v="Dr Mehta"/>
    <s v="Dr Mehta"/>
    <d v="2026-03-21T00:00:00"/>
    <s v="Valid"/>
    <b v="1"/>
    <b v="1"/>
    <d v="2026-03-02T00:00:00"/>
    <s v="+910977122440"/>
    <s v="910977122440"/>
    <s v="0977122440"/>
    <s v="Valid"/>
    <s v="divij55@chaudhary-basak.info"/>
    <m/>
    <n v="4025.47"/>
    <s v="Y"/>
    <n v="525"/>
    <n v="525"/>
    <s v="C34"/>
  </r>
  <r>
    <s v="P1158"/>
    <s v="Samaira Raja"/>
    <s v="Samaira Raja"/>
    <x v="4"/>
    <n v="57"/>
    <n v="57"/>
    <s v="Cardiology"/>
    <s v="Cardiology"/>
    <s v="dr priya"/>
    <s v="Dr Priya"/>
    <d v="2026-01-07T00:00:00"/>
    <s v="Valid"/>
    <b v="1"/>
    <b v="1"/>
    <d v="2025-12-27T00:00:00"/>
    <s v="5416301763"/>
    <s v="5416301763"/>
    <s v="5416301763"/>
    <s v="Valid"/>
    <s v="taimurmallick@yahoo.com"/>
    <s v="NO"/>
    <n v="24245.8"/>
    <s v="Yes"/>
    <n v="485"/>
    <n v="485"/>
    <s v="C34"/>
  </r>
  <r>
    <s v="P1159"/>
    <s v="Hridaan Ramaswamy"/>
    <s v="Hridaan Ramaswamy"/>
    <x v="3"/>
    <n v="30"/>
    <n v="30"/>
    <s v="Pediatrics"/>
    <s v="Pediatrics"/>
    <s v="Dr. Sharma"/>
    <s v="Dr. Sharma"/>
    <d v="2026-03-24T00:00:00"/>
    <s v="Valid"/>
    <b v="1"/>
    <b v="1"/>
    <d v="2026-02-22T00:00:00"/>
    <s v="1140520054"/>
    <s v="1140520054"/>
    <s v="1140520054"/>
    <s v="Valid"/>
    <s v="xbhatti@thakkar.com"/>
    <m/>
    <n v="22618.560000000001"/>
    <s v="N"/>
    <n v="288"/>
    <n v="288"/>
    <s v="C34"/>
  </r>
  <r>
    <s v="P1160"/>
    <s v="Nirvaan Zachariah"/>
    <s v="Nirvaan Zachariah"/>
    <x v="3"/>
    <n v="60"/>
    <n v="60"/>
    <s v="Oncology"/>
    <s v="Oncology"/>
    <s v="dr priya"/>
    <s v="Dr Priya"/>
    <d v="2026-02-20T00:00:00"/>
    <s v="Valid"/>
    <b v="1"/>
    <b v="1"/>
    <d v="2026-02-04T00:00:00"/>
    <s v="04809030701"/>
    <s v="04809030701"/>
    <s v="4809030701"/>
    <s v="Valid"/>
    <m/>
    <m/>
    <n v="-500"/>
    <s v="N"/>
    <n v="510"/>
    <n v="510"/>
    <s v="A09"/>
  </r>
  <r>
    <s v="P1161"/>
    <s v="Charvi Dave"/>
    <s v="Charvi Dave"/>
    <x v="4"/>
    <n v="33"/>
    <n v="33"/>
    <s v="Cardiology"/>
    <s v="Cardiology"/>
    <s v="Dr Khan"/>
    <s v="Dr Khan"/>
    <d v="2026-03-05T00:00:00"/>
    <s v="Valid"/>
    <b v="1"/>
    <b v="1"/>
    <d v="2026-02-06T00:00:00"/>
    <s v="04883919978"/>
    <s v="04883919978"/>
    <s v="4883919978"/>
    <s v="Valid"/>
    <s v="jhaveritarini@gmail.com"/>
    <s v="N"/>
    <n v="13952.61"/>
    <s v="NO"/>
    <n v="464"/>
    <n v="464"/>
    <s v="K21"/>
  </r>
  <r>
    <s v="P1162"/>
    <s v="Veer Karan"/>
    <s v="Veer Karan"/>
    <x v="2"/>
    <n v="37"/>
    <n v="37"/>
    <s v="Neurology"/>
    <s v="Neurology"/>
    <s v="Dr Mehta"/>
    <s v="Dr Mehta"/>
    <d v="2026-02-02T00:00:00"/>
    <s v="Valid"/>
    <b v="1"/>
    <b v="1"/>
    <d v="2026-01-25T00:00:00"/>
    <s v="4400690499"/>
    <s v="4400690499"/>
    <s v="4400690499"/>
    <s v="Valid"/>
    <s v="kdalia@yahoo.com"/>
    <m/>
    <n v="22651.59"/>
    <s v="Y"/>
    <n v="525"/>
    <n v="525"/>
    <s v="M54"/>
  </r>
  <r>
    <s v="P1163"/>
    <s v="Tushar Dani"/>
    <s v="Tushar Dani"/>
    <x v="2"/>
    <n v="29"/>
    <n v="29"/>
    <s v="General Medicine"/>
    <s v="General Medicine"/>
    <s v="dr priya"/>
    <s v="Dr Priya"/>
    <d v="2026-05-21T00:00:00"/>
    <s v="Valid"/>
    <b v="1"/>
    <b v="1"/>
    <d v="2026-04-22T00:00:00"/>
    <s v="04519940560"/>
    <s v="04519940560"/>
    <s v="4519940560"/>
    <s v="Valid"/>
    <s v="ganeshlakshit@swamy.com"/>
    <s v="Yes"/>
    <n v="10489.44"/>
    <m/>
    <n v="357"/>
    <n v="357"/>
    <s v="J20"/>
  </r>
  <r>
    <s v="P1164"/>
    <s v="Reyansh Chawla"/>
    <s v="Reyansh Chawla"/>
    <x v="5"/>
    <n v="50"/>
    <n v="50"/>
    <s v="Neurology"/>
    <s v="Neurology"/>
    <s v="dr priya"/>
    <s v="Dr Priya"/>
    <d v="2026-02-06T00:00:00"/>
    <s v="Valid"/>
    <b v="1"/>
    <b v="1"/>
    <d v="2026-01-30T00:00:00"/>
    <s v="8425065576"/>
    <s v="8425065576"/>
    <s v="8425065576"/>
    <s v="Valid"/>
    <s v="miraya98@yahoo.com"/>
    <s v="Yes"/>
    <n v="8103.38"/>
    <s v="NO"/>
    <n v="529"/>
    <n v="529"/>
    <s v="C34"/>
  </r>
  <r>
    <s v="P1165"/>
    <s v="Amani Gala"/>
    <s v="Amani Gala"/>
    <x v="2"/>
    <n v="19"/>
    <n v="19"/>
    <s v="Orthopedics"/>
    <s v="Orthopedics"/>
    <s v="Dr Rao"/>
    <s v="Dr Rao"/>
    <d v="2026-03-27T00:00:00"/>
    <s v="Valid"/>
    <b v="1"/>
    <b v="1"/>
    <d v="2026-03-18T00:00:00"/>
    <s v="+912479480183"/>
    <s v="912479480183"/>
    <s v="2479480183"/>
    <s v="Valid"/>
    <s v="jhanvidada@hotmail.com"/>
    <m/>
    <n v="17462.59"/>
    <s v="Y"/>
    <n v="488"/>
    <n v="488"/>
    <s v="C34"/>
  </r>
  <r>
    <s v="P1167"/>
    <s v="Nitara Bora"/>
    <s v="Nitara Bora"/>
    <x v="1"/>
    <n v="15"/>
    <n v="15"/>
    <s v="Oncology"/>
    <s v="Oncology"/>
    <s v="DR SHARMA"/>
    <s v="Dr Sharma"/>
    <d v="2026-01-29T00:00:00"/>
    <s v="Valid"/>
    <b v="1"/>
    <b v="1"/>
    <d v="2026-01-20T00:00:00"/>
    <s v="06766116426"/>
    <s v="06766116426"/>
    <s v="6766116426"/>
    <s v="Valid"/>
    <s v="aayushmangal@sinha.biz"/>
    <s v="NO"/>
    <n v="1384.19"/>
    <m/>
    <n v="427"/>
    <n v="427"/>
    <s v="K21"/>
  </r>
  <r>
    <s v="P1168"/>
    <s v="Vivaan Rout"/>
    <s v="Vivaan Rout"/>
    <x v="3"/>
    <n v="9"/>
    <n v="9"/>
    <s v="Neurology"/>
    <s v="Neurology"/>
    <s v="Dr Khan"/>
    <s v="Dr Khan"/>
    <d v="2026-03-19T00:00:00"/>
    <s v="Valid"/>
    <b v="1"/>
    <b v="1"/>
    <d v="2026-02-28T00:00:00"/>
    <s v="4157221992"/>
    <s v="4157221992"/>
    <s v="4157221992"/>
    <s v="Valid"/>
    <s v="deyvivaan@gmail.com"/>
    <s v="Yes"/>
    <n v="15872.48"/>
    <s v="N"/>
    <n v="467"/>
    <n v="467"/>
    <s v="E11"/>
  </r>
  <r>
    <s v="P1169"/>
    <s v="Diya Grover"/>
    <s v="Diya Grover"/>
    <x v="0"/>
    <n v="55"/>
    <n v="55"/>
    <s v="Cardiology"/>
    <s v="Cardiology"/>
    <s v="dr priya"/>
    <s v="Dr Priya"/>
    <d v="2026-04-28T00:00:00"/>
    <s v="Valid"/>
    <b v="1"/>
    <b v="1"/>
    <d v="2026-04-21T00:00:00"/>
    <s v="2064241411"/>
    <s v="2064241411"/>
    <s v="2064241411"/>
    <s v="Valid"/>
    <s v="mannatlata@kant.com"/>
    <m/>
    <n v="4845.3900000000003"/>
    <s v="NO"/>
    <n v="368"/>
    <n v="368"/>
    <s v="J20"/>
  </r>
  <r>
    <s v="P1171"/>
    <s v="Emir Chopra"/>
    <s v="Emir Chopra"/>
    <x v="0"/>
    <n v="46"/>
    <n v="46"/>
    <s v="Neurology"/>
    <s v="Neurology"/>
    <s v="dr priya"/>
    <s v="Dr Priya"/>
    <d v="2026-04-24T00:00:00"/>
    <s v="Valid"/>
    <b v="1"/>
    <b v="1"/>
    <d v="2026-04-17T00:00:00"/>
    <s v="05700826761"/>
    <s v="05700826761"/>
    <s v="5700826761"/>
    <s v="Valid"/>
    <s v="ambleakarsh@hotmail.com"/>
    <s v="NO"/>
    <n v="19333.23"/>
    <s v="NO"/>
    <n v="168"/>
    <n v="168"/>
    <s v="I10"/>
  </r>
  <r>
    <s v="P1172"/>
    <s v="Vanya Handa"/>
    <s v="Vanya Handa"/>
    <x v="2"/>
    <n v="70"/>
    <n v="70"/>
    <s v="ENT"/>
    <s v="ENT"/>
    <s v="Dr Mehta"/>
    <s v="Dr Mehta"/>
    <d v="2026-01-25T00:00:00"/>
    <s v="Valid"/>
    <b v="1"/>
    <b v="1"/>
    <d v="2025-12-30T00:00:00"/>
    <s v="+916789694082"/>
    <s v="916789694082"/>
    <s v="6789694082"/>
    <s v="Valid"/>
    <s v="taran68@hotmail.com"/>
    <m/>
    <n v="24524.32"/>
    <m/>
    <n v="423"/>
    <n v="423"/>
    <s v="E11"/>
  </r>
  <r>
    <s v="P1173"/>
    <s v="Alisha Saxena"/>
    <s v="Alisha Saxena"/>
    <x v="4"/>
    <n v="9"/>
    <n v="9"/>
    <s v="General Medicine"/>
    <s v="General Medicine"/>
    <s v="Dr Rao"/>
    <s v="Dr Rao"/>
    <d v="2025-11-29T00:00:00"/>
    <s v="Valid"/>
    <b v="1"/>
    <b v="1"/>
    <d v="2025-11-20T00:00:00"/>
    <s v="00791216468"/>
    <s v="00791216468"/>
    <s v="0791216468"/>
    <s v="Valid"/>
    <s v="raunak79@gmail.com"/>
    <s v="NO"/>
    <n v="1286.4000000000001"/>
    <s v="N"/>
    <n v="121"/>
    <n v="121"/>
    <s v="J20"/>
  </r>
  <r>
    <s v="P1174"/>
    <s v="Kartik Boase"/>
    <s v="Kartik Boase"/>
    <x v="0"/>
    <n v="66"/>
    <n v="66"/>
    <s v="Dermatology"/>
    <s v="Dermatology"/>
    <s v="Dr Khan"/>
    <s v="Dr Khan"/>
    <d v="2026-04-15T00:00:00"/>
    <s v="Valid"/>
    <b v="1"/>
    <b v="1"/>
    <d v="2026-04-07T00:00:00"/>
    <s v="06354435958"/>
    <s v="06354435958"/>
    <s v="6354435958"/>
    <s v="Valid"/>
    <s v="sumer46@de.org"/>
    <s v="Yes"/>
    <n v="18881.61"/>
    <s v="N"/>
    <n v="246"/>
    <n v="246"/>
    <s v="J20"/>
  </r>
  <r>
    <s v="P1175"/>
    <s v="Jayant Dhaliwal"/>
    <s v="Jayant Dhaliwal"/>
    <x v="0"/>
    <n v="84"/>
    <n v="84"/>
    <s v="ENT"/>
    <s v="ENT"/>
    <s v="Dr. Sharma"/>
    <s v="Dr. Sharma"/>
    <d v="2026-01-19T00:00:00"/>
    <s v="Valid"/>
    <b v="1"/>
    <b v="1"/>
    <d v="2026-01-16T00:00:00"/>
    <s v="+915936529138"/>
    <s v="915936529138"/>
    <s v="5936529138"/>
    <s v="Valid"/>
    <s v="wmalhotra@yahoo.com"/>
    <s v="N"/>
    <n v="11036.39"/>
    <m/>
    <s v="Room-X"/>
    <n v="0"/>
    <s v="M54"/>
  </r>
  <r>
    <s v="P1176"/>
    <s v="Devansh Bala"/>
    <s v="Devansh Bala"/>
    <x v="1"/>
    <n v="44"/>
    <n v="44"/>
    <s v="Orthopedics"/>
    <s v="Orthopedics"/>
    <s v="Dr Khan"/>
    <s v="Dr Khan"/>
    <d v="2026-05-06T00:00:00"/>
    <s v="Valid"/>
    <b v="1"/>
    <b v="1"/>
    <d v="2026-04-14T00:00:00"/>
    <s v="0834955176"/>
    <s v="0834955176"/>
    <s v="0834955176"/>
    <s v="Valid"/>
    <s v="bobalfateh@kohli.info"/>
    <m/>
    <n v="9310.2000000000007"/>
    <s v="Yes"/>
    <n v="510"/>
    <n v="510"/>
    <s v="I10"/>
  </r>
  <r>
    <s v="P1177"/>
    <s v="Jiya Lata"/>
    <s v="Jiya Lata"/>
    <x v="1"/>
    <n v="11"/>
    <n v="11"/>
    <s v="Dermatology"/>
    <s v="Dermatology"/>
    <s v="Dr Mehta"/>
    <s v="Dr Mehta"/>
    <d v="2026-01-09T00:00:00"/>
    <s v="Valid"/>
    <b v="1"/>
    <b v="1"/>
    <d v="2025-12-23T00:00:00"/>
    <s v="04667043102"/>
    <s v="04667043102"/>
    <s v="4667043102"/>
    <s v="Valid"/>
    <s v="bakshihimmat@gmail.com"/>
    <s v="Y"/>
    <n v="8166.04"/>
    <s v="NO"/>
    <n v="267"/>
    <n v="267"/>
    <s v="C34"/>
  </r>
  <r>
    <s v="P1178"/>
    <s v="Saksham Dayal"/>
    <s v="Saksham Dayal"/>
    <x v="0"/>
    <n v="40"/>
    <n v="40"/>
    <s v="General Medicine"/>
    <s v="General Medicine"/>
    <s v="dr priya"/>
    <s v="Dr Priya"/>
    <d v="2026-01-17T00:00:00"/>
    <s v="Valid"/>
    <b v="1"/>
    <b v="1"/>
    <d v="2026-01-12T00:00:00"/>
    <s v="+914983373290"/>
    <s v="914983373290"/>
    <s v="4983373290"/>
    <s v="Valid"/>
    <s v="nirvaansha@sodhi-doshi.org"/>
    <m/>
    <n v="8918.3700000000008"/>
    <s v="Yes"/>
    <n v="472"/>
    <n v="472"/>
    <s v="K21"/>
  </r>
  <r>
    <s v="P1179"/>
    <s v="Alia Shroff"/>
    <s v="Alia Shroff"/>
    <x v="2"/>
    <n v="79"/>
    <n v="79"/>
    <s v="Dermatology"/>
    <s v="Dermatology"/>
    <s v="Dr. Sharma"/>
    <s v="Dr. Sharma"/>
    <d v="2026-03-26T00:00:00"/>
    <s v="Valid"/>
    <b v="1"/>
    <b v="1"/>
    <d v="2026-03-06T00:00:00"/>
    <s v="06317683347"/>
    <s v="06317683347"/>
    <s v="6317683347"/>
    <s v="Valid"/>
    <s v="urvibasak@varghese-solanki.com"/>
    <s v="Yes"/>
    <n v="2061.02"/>
    <m/>
    <n v="286"/>
    <n v="286"/>
    <s v="A09"/>
  </r>
  <r>
    <s v="P1180"/>
    <s v="  Kabir Ramachandran "/>
    <s v="Kabir Ramachandran"/>
    <x v="4"/>
    <n v="4"/>
    <n v="4"/>
    <s v="Orthopedics"/>
    <s v="Orthopedics"/>
    <s v="Dr Khan"/>
    <s v="Dr Khan"/>
    <d v="2025-12-28T00:00:00"/>
    <s v="Valid"/>
    <b v="1"/>
    <b v="1"/>
    <d v="2025-12-27T00:00:00"/>
    <s v="0023369440"/>
    <s v="0023369440"/>
    <s v="0023369440"/>
    <s v="Valid"/>
    <s v="inaaya-kunda@yahoo.com"/>
    <s v="Yes"/>
    <n v="1867.39"/>
    <s v="NO"/>
    <n v="285"/>
    <n v="285"/>
    <s v="M54"/>
  </r>
  <r>
    <s v="P1181"/>
    <s v="Ehsaan Loke"/>
    <s v="Ehsaan Loke"/>
    <x v="0"/>
    <n v="78"/>
    <n v="78"/>
    <s v="Orthopedics"/>
    <s v="Orthopedics"/>
    <s v="Dr Khan"/>
    <s v="Dr Khan"/>
    <d v="2026-02-15T00:00:00"/>
    <s v="Valid"/>
    <b v="1"/>
    <b v="1"/>
    <d v="2026-01-16T00:00:00"/>
    <s v="08838046926"/>
    <s v="08838046926"/>
    <s v="8838046926"/>
    <s v="Valid"/>
    <s v="battaveer@hans.com"/>
    <s v="N"/>
    <n v="9425.93"/>
    <s v="NO"/>
    <n v="393"/>
    <n v="393"/>
    <s v="E11"/>
  </r>
  <r>
    <s v="P1182"/>
    <s v="Sara Seth"/>
    <s v="Sara Seth"/>
    <x v="2"/>
    <n v="51"/>
    <n v="51"/>
    <s v="ENT"/>
    <s v="ENT"/>
    <s v="Dr. Sharma"/>
    <s v="Dr. Sharma"/>
    <d v="2026-03-27T00:00:00"/>
    <s v="Valid"/>
    <b v="1"/>
    <b v="1"/>
    <d v="2026-03-20T00:00:00"/>
    <s v="+913618810049"/>
    <s v="913618810049"/>
    <s v="3618810049"/>
    <s v="Valid"/>
    <s v="adira05@gmail.com"/>
    <s v="NO"/>
    <n v="842.65"/>
    <s v="Y"/>
    <n v="355"/>
    <n v="355"/>
    <s v="A09"/>
  </r>
  <r>
    <s v="P1183"/>
    <s v="Rohan Dyal"/>
    <s v="Rohan Dyal"/>
    <x v="1"/>
    <n v="72"/>
    <n v="72"/>
    <s v="Neurology"/>
    <s v="Neurology"/>
    <s v="Dr. Sharma"/>
    <s v="Dr. Sharma"/>
    <d v="2026-05-26T00:00:00"/>
    <s v="Valid"/>
    <b v="1"/>
    <b v="1"/>
    <d v="2026-05-02T00:00:00"/>
    <s v="0587100478"/>
    <s v="0587100478"/>
    <s v="0587100478"/>
    <s v="Valid"/>
    <s v="sachdevaelakshi@yahoo.com"/>
    <s v="Y"/>
    <n v="17660.14"/>
    <s v="N"/>
    <n v="413"/>
    <n v="413"/>
    <s v="J20"/>
  </r>
  <r>
    <s v="P1184"/>
    <s v="Krish Gera"/>
    <s v="Krish Gera"/>
    <x v="3"/>
    <n v="26"/>
    <n v="26"/>
    <s v="Neurology"/>
    <s v="Neurology"/>
    <s v="Dr Mehta"/>
    <s v="Dr Mehta"/>
    <d v="2026-03-26T00:00:00"/>
    <s v="Valid"/>
    <b v="1"/>
    <b v="1"/>
    <d v="2026-02-27T00:00:00"/>
    <s v="04189407530"/>
    <s v="04189407530"/>
    <s v="4189407530"/>
    <s v="Valid"/>
    <s v="kismatdeo@khurana.com"/>
    <s v="NO"/>
    <n v="11410.66"/>
    <m/>
    <n v="144"/>
    <n v="144"/>
    <s v="K21"/>
  </r>
  <r>
    <s v="P1185"/>
    <s v="Samaira Chada"/>
    <s v="Samaira Chada"/>
    <x v="2"/>
    <n v="86"/>
    <n v="86"/>
    <s v="ENT"/>
    <s v="ENT"/>
    <s v="Dr Mehta"/>
    <s v="Dr Mehta"/>
    <d v="2025-12-13T00:00:00"/>
    <s v="Valid"/>
    <b v="1"/>
    <b v="1"/>
    <d v="2025-11-26T00:00:00"/>
    <s v="7115539574"/>
    <s v="7115539574"/>
    <s v="7115539574"/>
    <s v="Valid"/>
    <s v="shanaya62@gmail.com"/>
    <s v="Y"/>
    <n v="22305.03"/>
    <s v="Y"/>
    <n v="464"/>
    <n v="464"/>
    <s v="C34"/>
  </r>
  <r>
    <s v="P1186"/>
    <s v="Hiran Bhatt"/>
    <s v="Hiran Bhatt"/>
    <x v="4"/>
    <n v="47"/>
    <n v="47"/>
    <s v="Pediatrics"/>
    <s v="Pediatrics"/>
    <s v="Dr Mehta"/>
    <s v="Dr Mehta"/>
    <d v="2026-02-23T00:00:00"/>
    <s v="Valid"/>
    <b v="1"/>
    <b v="1"/>
    <d v="2026-02-17T00:00:00"/>
    <s v="+912150163428"/>
    <s v="912150163428"/>
    <s v="2150163428"/>
    <s v="Valid"/>
    <s v="advik02@kalita.com"/>
    <s v="Yes"/>
    <n v="6071.06"/>
    <m/>
    <n v="113"/>
    <n v="113"/>
    <s v="J20"/>
  </r>
  <r>
    <s v="P1187"/>
    <s v="Jhanvi Rege"/>
    <s v="Jhanvi Rege"/>
    <x v="2"/>
    <n v="60"/>
    <n v="60"/>
    <s v="Orthopedics"/>
    <s v="Orthopedics"/>
    <s v="Dr Mehta"/>
    <s v="Dr Mehta"/>
    <d v="2026-03-23T00:00:00"/>
    <s v="Valid"/>
    <b v="1"/>
    <b v="1"/>
    <d v="2026-03-21T00:00:00"/>
    <s v="+919367783934"/>
    <s v="919367783934"/>
    <s v="9367783934"/>
    <s v="Valid"/>
    <s v="gatik30@gmail.com"/>
    <s v="Y"/>
    <n v="10074.370000000001"/>
    <m/>
    <n v="369"/>
    <n v="369"/>
    <s v="M54"/>
  </r>
  <r>
    <s v="P1188"/>
    <s v="Aaina Bora"/>
    <s v="Aaina Bora"/>
    <x v="1"/>
    <n v="74"/>
    <n v="74"/>
    <s v="Neurology"/>
    <s v="Neurology"/>
    <s v="Dr Mehta"/>
    <s v="Dr Mehta"/>
    <d v="2026-02-26T00:00:00"/>
    <s v="Valid"/>
    <b v="1"/>
    <b v="1"/>
    <d v="2026-02-16T00:00:00"/>
    <s v="8943319378"/>
    <s v="8943319378"/>
    <s v="8943319378"/>
    <s v="Valid"/>
    <s v="mannantiya@ramesh-chaudry.com"/>
    <s v="NO"/>
    <n v="11359.37"/>
    <s v="NO"/>
    <n v="165"/>
    <n v="165"/>
    <s v="K21"/>
  </r>
  <r>
    <s v="P1189"/>
    <s v="Ela Atwal"/>
    <s v="Ela Atwal"/>
    <x v="4"/>
    <n v="17"/>
    <n v="17"/>
    <s v="Dermatology"/>
    <s v="Dermatology"/>
    <s v="Dr Rao"/>
    <s v="Dr Rao"/>
    <d v="2026-04-26T00:00:00"/>
    <s v="Valid"/>
    <b v="1"/>
    <b v="1"/>
    <d v="2026-03-31T00:00:00"/>
    <s v="1524269012"/>
    <s v="1524269012"/>
    <s v="1524269012"/>
    <s v="Valid"/>
    <s v="banerjeeojas@sridhar.com"/>
    <s v="NO"/>
    <n v="13048.93"/>
    <s v="Yes"/>
    <n v="184"/>
    <n v="184"/>
    <s v="E11"/>
  </r>
  <r>
    <s v="P1190"/>
    <s v="Renee Bhat"/>
    <s v="Renee Bhat"/>
    <x v="2"/>
    <n v="29"/>
    <n v="29"/>
    <s v="ENT"/>
    <s v="ENT"/>
    <s v="Dr. Sharma"/>
    <s v="Dr. Sharma"/>
    <d v="2026-03-01T00:00:00"/>
    <s v="Valid"/>
    <b v="1"/>
    <b v="1"/>
    <d v="2026-02-02T00:00:00"/>
    <s v="+911975209475"/>
    <s v="911975209475"/>
    <s v="1975209475"/>
    <s v="Valid"/>
    <s v="bakshipranay@gmail.com"/>
    <s v="NO"/>
    <n v="6415.01"/>
    <s v="Yes"/>
    <n v="164"/>
    <n v="164"/>
    <s v="C34"/>
  </r>
  <r>
    <s v="P1191"/>
    <s v="Azad Raja"/>
    <s v="Azad Raja"/>
    <x v="0"/>
    <n v="79"/>
    <n v="79"/>
    <s v="Neurology"/>
    <s v="Neurology"/>
    <s v="Dr Mehta"/>
    <s v="Dr Mehta"/>
    <d v="2026-04-18T00:00:00"/>
    <s v="Valid"/>
    <b v="1"/>
    <b v="1"/>
    <d v="2026-03-31T00:00:00"/>
    <s v="+913921880682"/>
    <s v="913921880682"/>
    <s v="3921880682"/>
    <s v="Valid"/>
    <s v="sainirenee@tripathi.net"/>
    <s v="Yes"/>
    <n v="4445.78"/>
    <s v="NO"/>
    <n v="531"/>
    <n v="531"/>
    <s v="A09"/>
  </r>
  <r>
    <s v="P1192"/>
    <s v="Riaan Jhaveri"/>
    <s v="Riaan Jhaveri"/>
    <x v="0"/>
    <n v="4"/>
    <n v="4"/>
    <s v="Neurology"/>
    <s v="Neurology"/>
    <s v="Dr Rao"/>
    <s v="Dr Rao"/>
    <d v="2026-01-27T00:00:00"/>
    <s v="Valid"/>
    <b v="1"/>
    <b v="1"/>
    <d v="2025-12-28T00:00:00"/>
    <s v="6297690839"/>
    <s v="6297690839"/>
    <s v="6297690839"/>
    <s v="Valid"/>
    <s v="bavaaniruddh@yahoo.com"/>
    <s v="Y"/>
    <n v="16348.02"/>
    <m/>
    <n v="416"/>
    <n v="416"/>
    <s v="C34"/>
  </r>
  <r>
    <s v="P1193"/>
    <s v="Hunar Mani"/>
    <s v="Hunar Mani"/>
    <x v="0"/>
    <n v="64"/>
    <n v="64"/>
    <s v="Oncology"/>
    <s v="Oncology"/>
    <s v="Dr. Sharma"/>
    <s v="Dr. Sharma"/>
    <d v="2026-02-27T00:00:00"/>
    <s v="Valid"/>
    <b v="1"/>
    <b v="1"/>
    <d v="2026-02-12T00:00:00"/>
    <s v="02204571280"/>
    <s v="02204571280"/>
    <s v="2204571280"/>
    <s v="Valid"/>
    <s v="nishith83@dua-sharma.net"/>
    <s v="NO"/>
    <n v="20156.27"/>
    <m/>
    <n v="252"/>
    <n v="252"/>
    <s v="M54"/>
  </r>
  <r>
    <s v="P1194"/>
    <s v="Samarth Maharaj"/>
    <s v="Samarth Maharaj"/>
    <x v="2"/>
    <n v="89"/>
    <n v="89"/>
    <s v="Cardiology"/>
    <s v="Cardiology"/>
    <s v="Dr Mehta"/>
    <s v="Dr Mehta"/>
    <d v="2026-03-24T00:00:00"/>
    <s v="Valid"/>
    <b v="1"/>
    <b v="1"/>
    <d v="2026-03-10T00:00:00"/>
    <s v="08566394955"/>
    <s v="08566394955"/>
    <s v="8566394955"/>
    <s v="Valid"/>
    <s v="pihujain@yahoo.com"/>
    <m/>
    <n v="12209.43"/>
    <s v="N"/>
    <n v="274"/>
    <n v="274"/>
    <s v="A09"/>
  </r>
  <r>
    <s v="P1195"/>
    <s v="Ayesha Deep"/>
    <s v="Ayesha Deep"/>
    <x v="4"/>
    <n v="41"/>
    <n v="41"/>
    <s v="ENT"/>
    <s v="ENT"/>
    <s v="dr priya"/>
    <s v="Dr Priya"/>
    <d v="2026-03-28T00:00:00"/>
    <s v="Valid"/>
    <b v="1"/>
    <b v="1"/>
    <d v="2026-03-16T00:00:00"/>
    <s v="03326462317"/>
    <s v="03326462317"/>
    <s v="3326462317"/>
    <s v="Valid"/>
    <s v="mahika90@hotmail.com"/>
    <s v="Yes"/>
    <n v="19064.490000000002"/>
    <s v="NO"/>
    <n v="263"/>
    <n v="263"/>
    <s v="E11"/>
  </r>
  <r>
    <s v="P1196"/>
    <s v="Dharmajan Majumdar"/>
    <s v="Dharmajan Majumdar"/>
    <x v="3"/>
    <n v="16"/>
    <n v="16"/>
    <s v="Oncology"/>
    <s v="Oncology"/>
    <s v="Dr Khan"/>
    <s v="Dr Khan"/>
    <d v="2026-02-15T00:00:00"/>
    <s v="Valid"/>
    <b v="1"/>
    <b v="1"/>
    <d v="2026-02-08T00:00:00"/>
    <s v="+913959373293"/>
    <s v="913959373293"/>
    <s v="3959373293"/>
    <s v="Valid"/>
    <s v="vardaniya49@hotmail.com"/>
    <s v="Yes"/>
    <n v="2600.9299999999998"/>
    <s v="Yes"/>
    <n v="296"/>
    <n v="296"/>
    <s v="K21"/>
  </r>
  <r>
    <s v="P1197"/>
    <s v="Mannat Talwar"/>
    <s v="Mannat Talwar"/>
    <x v="1"/>
    <n v="32"/>
    <n v="32"/>
    <s v="Orthopedics"/>
    <s v="Orthopedics"/>
    <s v="dr priya"/>
    <s v="Dr Priya"/>
    <d v="2026-05-12T00:00:00"/>
    <s v="Valid"/>
    <b v="1"/>
    <b v="1"/>
    <d v="2026-04-13T00:00:00"/>
    <s v="+912343346446"/>
    <s v="912343346446"/>
    <s v="2343346446"/>
    <s v="Valid"/>
    <s v="ramachandranjhanvi@sura-acharya.com"/>
    <s v="N"/>
    <n v="4907.8900000000003"/>
    <s v="Y"/>
    <n v="355"/>
    <n v="355"/>
    <s v="A09"/>
  </r>
  <r>
    <s v="P1199"/>
    <s v="Urvi Dhar"/>
    <s v="Urvi Dhar"/>
    <x v="2"/>
    <n v="7"/>
    <n v="7"/>
    <s v="Cardiology"/>
    <s v="Cardiology"/>
    <s v="Dr. Sharma"/>
    <s v="Dr. Sharma"/>
    <d v="2025-12-19T00:00:00"/>
    <s v="Valid"/>
    <b v="1"/>
    <b v="1"/>
    <d v="2025-12-04T00:00:00"/>
    <s v="+913848647467"/>
    <s v="913848647467"/>
    <s v="3848647467"/>
    <s v="Valid"/>
    <s v="dyohannan@ravi.com"/>
    <m/>
    <n v="7286.56"/>
    <s v="Yes"/>
    <n v="533"/>
    <n v="533"/>
    <s v="I10"/>
  </r>
  <r>
    <s v="P1200"/>
    <s v="Sahil Kalita"/>
    <s v="Sahil Kalita"/>
    <x v="1"/>
    <n v="18"/>
    <n v="18"/>
    <s v="Oncology"/>
    <s v="Oncology"/>
    <s v="dr priya"/>
    <s v="Dr Priya"/>
    <d v="2026-05-06T00:00:00"/>
    <s v="Valid"/>
    <b v="1"/>
    <b v="1"/>
    <d v="2026-04-12T00:00:00"/>
    <s v="9953112298"/>
    <s v="9953112298"/>
    <s v="9953112298"/>
    <s v="Valid"/>
    <s v="arnav86@yahoo.com"/>
    <m/>
    <n v="9275.25"/>
    <m/>
    <n v="126"/>
    <n v="126"/>
    <s v="A09"/>
  </r>
  <r>
    <s v="P1201"/>
    <s v="Charvi Balakrishnan"/>
    <s v="Charvi Balakrishnan"/>
    <x v="5"/>
    <n v="47"/>
    <n v="47"/>
    <s v="Oncology"/>
    <s v="Oncology"/>
    <s v="Dr Mehta"/>
    <s v="Dr Mehta"/>
    <d v="2026-01-30T00:00:00"/>
    <s v="Valid"/>
    <b v="1"/>
    <b v="1"/>
    <d v="2026-01-18T00:00:00"/>
    <s v="09928617365"/>
    <s v="09928617365"/>
    <s v="9928617365"/>
    <s v="Valid"/>
    <s v="manikyakurian@ben.com"/>
    <m/>
    <n v="19157.22"/>
    <s v="Yes"/>
    <n v="522"/>
    <n v="522"/>
    <s v="A09"/>
  </r>
  <r>
    <s v="P1202"/>
    <s v="Riya Hari"/>
    <s v="Riya Hari"/>
    <x v="2"/>
    <n v="17"/>
    <n v="17"/>
    <s v="Neurology"/>
    <s v="Neurology"/>
    <s v="dr priya"/>
    <s v="Dr Priya"/>
    <d v="2026-04-23T00:00:00"/>
    <s v="Valid"/>
    <b v="1"/>
    <b v="1"/>
    <d v="2026-04-12T00:00:00"/>
    <s v="+919525563695"/>
    <s v="919525563695"/>
    <s v="9525563695"/>
    <s v="Valid"/>
    <s v="sagaremir@edwin-borah.org"/>
    <s v="N"/>
    <n v="14034.23"/>
    <s v="NO"/>
    <n v="486"/>
    <n v="486"/>
    <s v="E11"/>
  </r>
  <r>
    <s v="P1203"/>
    <s v="Ranbir Setty"/>
    <s v="Ranbir Setty"/>
    <x v="5"/>
    <n v="78"/>
    <n v="78"/>
    <s v="Dermatology"/>
    <s v="Dermatology"/>
    <s v="Dr Rao"/>
    <s v="Dr Rao"/>
    <d v="2026-01-12T00:00:00"/>
    <s v="Valid"/>
    <b v="1"/>
    <b v="1"/>
    <d v="2026-01-11T00:00:00"/>
    <s v="06641639028"/>
    <s v="06641639028"/>
    <s v="6641639028"/>
    <s v="Valid"/>
    <s v="vedika55@yahoo.com"/>
    <s v="Yes"/>
    <n v="3598.5"/>
    <s v="NO"/>
    <n v="511"/>
    <n v="511"/>
    <s v="M54"/>
  </r>
  <r>
    <s v="P1204"/>
    <s v="Jivin Viswanathan"/>
    <s v="Jivin Viswanathan"/>
    <x v="3"/>
    <n v="20"/>
    <n v="20"/>
    <s v="Orthopedics"/>
    <s v="Orthopedics"/>
    <s v="dr priya"/>
    <s v="Dr Priya"/>
    <d v="2026-05-11T00:00:00"/>
    <s v="Valid"/>
    <b v="1"/>
    <b v="1"/>
    <d v="2026-04-12T00:00:00"/>
    <s v="+916186233052"/>
    <s v="916186233052"/>
    <s v="6186233052"/>
    <s v="Valid"/>
    <s v="qshetty@hotmail.com"/>
    <s v="N"/>
    <n v="4230.05"/>
    <s v="Yes"/>
    <n v="403"/>
    <n v="403"/>
    <s v="J20"/>
  </r>
  <r>
    <s v="P1205"/>
    <s v="Ojas Chadha"/>
    <s v="Ojas Chadha"/>
    <x v="3"/>
    <n v="73"/>
    <n v="73"/>
    <s v="Oncology"/>
    <s v="Oncology"/>
    <s v="Dr Khan"/>
    <s v="Dr Khan"/>
    <d v="2026-01-11T00:00:00"/>
    <s v="Valid"/>
    <b v="1"/>
    <b v="1"/>
    <d v="2025-12-16T00:00:00"/>
    <s v="5584854903"/>
    <s v="5584854903"/>
    <s v="5584854903"/>
    <s v="Valid"/>
    <s v="aniruddhtella@ramachandran-wable.net"/>
    <s v="Yes"/>
    <n v="9335.27"/>
    <s v="NO"/>
    <n v="313"/>
    <n v="313"/>
    <s v="A09"/>
  </r>
  <r>
    <s v="P1206"/>
    <s v="Tara Lata"/>
    <s v="Tara Lata"/>
    <x v="0"/>
    <n v="89"/>
    <n v="89"/>
    <s v="Cardiology"/>
    <s v="Cardiology"/>
    <s v="Dr Khan"/>
    <s v="Dr Khan"/>
    <d v="2026-01-21T00:00:00"/>
    <s v="Valid"/>
    <b v="1"/>
    <b v="1"/>
    <d v="2026-01-13T00:00:00"/>
    <s v="05353880420"/>
    <s v="05353880420"/>
    <s v="5353880420"/>
    <s v="Valid"/>
    <s v="mahajanranbir@yahoo.com"/>
    <s v="NO"/>
    <n v="18090.72"/>
    <m/>
    <n v="187"/>
    <n v="187"/>
    <s v="A09"/>
  </r>
  <r>
    <s v="P1207"/>
    <s v="Prisha Bains"/>
    <s v="Prisha Bains"/>
    <x v="1"/>
    <n v="19"/>
    <n v="19"/>
    <s v="Pediatrics"/>
    <s v="Pediatrics"/>
    <s v="Dr Rao"/>
    <s v="Dr Rao"/>
    <d v="2025-12-18T00:00:00"/>
    <s v="Valid"/>
    <b v="1"/>
    <b v="1"/>
    <d v="2025-11-30T00:00:00"/>
    <s v="04011875953"/>
    <s v="04011875953"/>
    <s v="4011875953"/>
    <s v="Valid"/>
    <s v="kibealia@hotmail.com"/>
    <s v="NO"/>
    <n v="4931.45"/>
    <m/>
    <n v="260"/>
    <n v="260"/>
    <s v="M54"/>
  </r>
  <r>
    <s v="P1208"/>
    <s v="Ayesha Bhandari"/>
    <s v="Ayesha Bhandari"/>
    <x v="4"/>
    <n v="53"/>
    <n v="53"/>
    <s v="Pediatrics"/>
    <s v="Pediatrics"/>
    <s v="dr priya"/>
    <s v="Dr Priya"/>
    <d v="2026-02-09T00:00:00"/>
    <s v="Valid"/>
    <b v="1"/>
    <b v="1"/>
    <d v="2026-01-24T00:00:00"/>
    <s v="+919436946130"/>
    <s v="919436946130"/>
    <s v="9436946130"/>
    <s v="Valid"/>
    <s v="aainamagar@krishna-krish.info"/>
    <m/>
    <n v="21845.88"/>
    <s v="Yes"/>
    <n v="461"/>
    <n v="461"/>
    <s v="E11"/>
  </r>
  <r>
    <s v="P1209"/>
    <s v="Yakshit Saraf"/>
    <s v="Yakshit Saraf"/>
    <x v="5"/>
    <n v="72"/>
    <n v="72"/>
    <s v="ENT"/>
    <s v="ENT"/>
    <s v="Dr Khan"/>
    <s v="Dr Khan"/>
    <d v="2026-01-18T00:00:00"/>
    <s v="Valid"/>
    <b v="1"/>
    <b v="1"/>
    <d v="2026-01-02T00:00:00"/>
    <s v="+912114996149"/>
    <s v="912114996149"/>
    <s v="2114996149"/>
    <s v="Valid"/>
    <s v="chandranmiraan@garde-chand.org"/>
    <m/>
    <n v="7981.06"/>
    <s v="Y"/>
    <n v="335"/>
    <n v="335"/>
    <s v="A09"/>
  </r>
  <r>
    <s v="P1210"/>
    <s v="Jhanvi Bhalla"/>
    <s v="Jhanvi Bhalla"/>
    <x v="2"/>
    <n v="70"/>
    <n v="70"/>
    <s v="ENT"/>
    <s v="ENT"/>
    <s v="Dr. Sharma"/>
    <s v="Dr. Sharma"/>
    <d v="2026-05-10T00:00:00"/>
    <s v="Valid"/>
    <b v="1"/>
    <b v="1"/>
    <d v="2026-04-21T00:00:00"/>
    <s v="9339098288"/>
    <s v="9339098288"/>
    <s v="9339098288"/>
    <s v="Valid"/>
    <s v="sara87@das-mangal.com"/>
    <m/>
    <s v="twenty thousand"/>
    <s v="N"/>
    <n v="242"/>
    <n v="242"/>
    <s v="A09"/>
  </r>
  <r>
    <s v="P1211"/>
    <s v="Uthkarsh Sethi"/>
    <s v="Uthkarsh Sethi"/>
    <x v="0"/>
    <n v="29"/>
    <n v="29"/>
    <s v="Oncology"/>
    <s v="Oncology"/>
    <s v="Dr. Sharma"/>
    <s v="Dr. Sharma"/>
    <d v="2026-03-05T00:00:00"/>
    <s v="Valid"/>
    <b v="1"/>
    <b v="1"/>
    <d v="2026-02-11T00:00:00"/>
    <s v="6296243633"/>
    <s v="6296243633"/>
    <s v="6296243633"/>
    <s v="Valid"/>
    <s v="hanshchaudhuri@edwin-ranganathan.com"/>
    <s v="NO"/>
    <n v="17317.95"/>
    <m/>
    <n v="262"/>
    <n v="262"/>
    <s v="M54"/>
  </r>
  <r>
    <s v="P1212"/>
    <s v="Jayant Balan"/>
    <s v="Jayant Balan"/>
    <x v="2"/>
    <n v="72"/>
    <n v="72"/>
    <s v="Oncology"/>
    <s v="Oncology"/>
    <s v="Dr. Sharma"/>
    <s v="Dr. Sharma"/>
    <d v="2026-01-14T00:00:00"/>
    <s v="Valid"/>
    <b v="1"/>
    <b v="1"/>
    <d v="2026-01-11T00:00:00"/>
    <s v="1182679294"/>
    <s v="1182679294"/>
    <s v="1182679294"/>
    <s v="Valid"/>
    <s v="shantaimur@yahoo.com"/>
    <m/>
    <n v="22414.86"/>
    <m/>
    <n v="519"/>
    <n v="519"/>
    <s v="J20"/>
  </r>
  <r>
    <s v="P1213"/>
    <s v="Diya Goyal"/>
    <s v="Diya Goyal"/>
    <x v="4"/>
    <n v="38"/>
    <n v="38"/>
    <s v="Cardiology"/>
    <s v="Cardiology"/>
    <s v="Dr. Sharma"/>
    <s v="Dr. Sharma"/>
    <d v="2026-03-24T00:00:00"/>
    <s v="Valid"/>
    <b v="1"/>
    <b v="1"/>
    <d v="2026-02-22T00:00:00"/>
    <s v="00410043244"/>
    <s v="00410043244"/>
    <s v="0410043244"/>
    <s v="Valid"/>
    <s v="lkapadia@vyas.com"/>
    <s v="NO"/>
    <n v="8789.82"/>
    <m/>
    <n v="435"/>
    <n v="435"/>
    <s v="J20"/>
  </r>
  <r>
    <s v="P1214"/>
    <s v="Eshani Dyal"/>
    <s v="Eshani Dyal"/>
    <x v="3"/>
    <n v="28"/>
    <n v="28"/>
    <s v="Pediatrics"/>
    <s v="Pediatrics"/>
    <s v="Dr. Sharma"/>
    <s v="Dr. Sharma"/>
    <d v="2026-06-04T00:00:00"/>
    <s v="Valid"/>
    <b v="1"/>
    <b v="1"/>
    <d v="2026-05-06T00:00:00"/>
    <s v="3149111189"/>
    <s v="3149111189"/>
    <s v="3149111189"/>
    <s v="Valid"/>
    <s v="mbobal@sridhar-kala.org"/>
    <s v="Y"/>
    <n v="3604.37"/>
    <s v="N"/>
    <n v="224"/>
    <n v="224"/>
    <s v="I10"/>
  </r>
  <r>
    <s v="P1215"/>
    <s v="Neysa Agate"/>
    <s v="Neysa Agate"/>
    <x v="5"/>
    <n v="82"/>
    <n v="82"/>
    <s v="Pediatrics"/>
    <s v="Pediatrics"/>
    <s v="Dr Rao"/>
    <s v="Dr Rao"/>
    <d v="2026-03-20T00:00:00"/>
    <s v="Valid"/>
    <b v="1"/>
    <b v="1"/>
    <d v="2026-03-17T00:00:00"/>
    <s v="+917694045089"/>
    <s v="917694045089"/>
    <s v="7694045089"/>
    <s v="Valid"/>
    <s v="kabirkeer@zachariah.com"/>
    <m/>
    <n v="8391.2800000000007"/>
    <m/>
    <n v="151"/>
    <n v="151"/>
    <s v="C34"/>
  </r>
  <r>
    <s v="P1216"/>
    <s v="Nirvaan Sharaf"/>
    <s v="Nirvaan Sharaf"/>
    <x v="4"/>
    <n v="1"/>
    <n v="1"/>
    <s v="Orthopedics"/>
    <s v="Orthopedics"/>
    <s v="dr priya"/>
    <s v="Dr Priya"/>
    <d v="2026-01-13T00:00:00"/>
    <s v="Valid"/>
    <b v="1"/>
    <b v="1"/>
    <d v="2025-12-24T00:00:00"/>
    <s v="09452107637"/>
    <s v="09452107637"/>
    <s v="9452107637"/>
    <s v="Valid"/>
    <s v="trisha91@krishna.com"/>
    <m/>
    <n v="12040.72"/>
    <s v="N"/>
    <n v="487"/>
    <n v="487"/>
    <s v="J20"/>
  </r>
  <r>
    <s v="P1217"/>
    <s v="Darshit Dugar"/>
    <s v="Darshit Dugar"/>
    <x v="2"/>
    <n v="37"/>
    <n v="37"/>
    <s v="Cardiology"/>
    <s v="Cardiology"/>
    <s v="Dr Mehta"/>
    <s v="Dr Mehta"/>
    <d v="2025-12-13T00:00:00"/>
    <s v="Valid"/>
    <b v="1"/>
    <b v="1"/>
    <d v="2025-11-23T00:00:00"/>
    <s v="09907381115"/>
    <s v="09907381115"/>
    <s v="9907381115"/>
    <s v="Valid"/>
    <s v="kondaaniruddh@hotmail.com"/>
    <s v="NO"/>
    <n v="13471.78"/>
    <s v="Yes"/>
    <n v="189"/>
    <n v="189"/>
    <s v="M54"/>
  </r>
  <r>
    <s v="P1218"/>
    <s v="Manikya Hegde"/>
    <s v="Manikya Hegde"/>
    <x v="4"/>
    <n v="5"/>
    <n v="5"/>
    <s v="Dermatology"/>
    <s v="Dermatology"/>
    <s v="Dr Khan"/>
    <s v="Dr Khan"/>
    <d v="2026-01-20T00:00:00"/>
    <s v="Valid"/>
    <b v="1"/>
    <b v="1"/>
    <d v="2026-01-15T00:00:00"/>
    <s v="01937589888"/>
    <s v="01937589888"/>
    <s v="1937589888"/>
    <s v="Valid"/>
    <s v="manjari54@hotmail.com"/>
    <s v="Y"/>
    <n v="21943.23"/>
    <s v="Yes"/>
    <n v="252"/>
    <n v="252"/>
    <s v="A09"/>
  </r>
  <r>
    <s v="P1219"/>
    <s v="Piya Ramakrishnan"/>
    <s v="Piya Ramakrishnan"/>
    <x v="2"/>
    <n v="43"/>
    <n v="43"/>
    <s v="Oncology"/>
    <s v="Oncology"/>
    <s v="Dr Khan"/>
    <s v="Dr Khan"/>
    <d v="2026-05-19T00:00:00"/>
    <s v="Valid"/>
    <b v="1"/>
    <b v="1"/>
    <d v="2026-04-29T00:00:00"/>
    <s v="+919899836592"/>
    <s v="919899836592"/>
    <s v="9899836592"/>
    <s v="Valid"/>
    <s v="keya38@gmail.com"/>
    <m/>
    <n v="22253.65"/>
    <s v="Y"/>
    <n v="535"/>
    <n v="535"/>
    <s v="A09"/>
  </r>
  <r>
    <s v="P1220"/>
    <s v="Jivika Divan"/>
    <s v="Jivika Divan"/>
    <x v="3"/>
    <n v="35"/>
    <n v="35"/>
    <s v="Pediatrics"/>
    <s v="Pediatrics"/>
    <s v="Dr Mehta"/>
    <s v="Dr Mehta"/>
    <d v="2025-12-07T00:00:00"/>
    <s v="Valid"/>
    <b v="1"/>
    <b v="1"/>
    <d v="2025-11-27T00:00:00"/>
    <s v="03498973856"/>
    <s v="03498973856"/>
    <s v="3498973856"/>
    <s v="Valid"/>
    <s v="inaaya-73@sharma.net"/>
    <s v="Yes"/>
    <n v="18331.759999999998"/>
    <s v="Yes"/>
    <n v="467"/>
    <n v="467"/>
    <s v="E11"/>
  </r>
  <r>
    <s v="P1221"/>
    <s v="Aarna Apte"/>
    <s v="Aarna Apte"/>
    <x v="0"/>
    <n v="44"/>
    <n v="44"/>
    <s v="Oncology"/>
    <s v="Oncology"/>
    <s v="DR SHARMA"/>
    <s v="Dr Sharma"/>
    <d v="2025-12-15T00:00:00"/>
    <s v="Valid"/>
    <b v="1"/>
    <b v="1"/>
    <d v="2025-12-10T00:00:00"/>
    <s v="08480100539"/>
    <s v="08480100539"/>
    <s v="8480100539"/>
    <s v="Valid"/>
    <s v="isura@jani.com"/>
    <m/>
    <n v="20709.349999999999"/>
    <s v="NO"/>
    <n v="144"/>
    <n v="144"/>
    <s v="M54"/>
  </r>
  <r>
    <s v="P1222"/>
    <s v="Nirvaan Dube"/>
    <s v="Nirvaan Dube"/>
    <x v="2"/>
    <n v="24"/>
    <n v="24"/>
    <s v="Orthopedics"/>
    <s v="Orthopedics"/>
    <s v="Dr Khan"/>
    <s v="Dr Khan"/>
    <d v="2026-05-02T00:00:00"/>
    <s v="Valid"/>
    <b v="1"/>
    <b v="1"/>
    <d v="2026-04-22T00:00:00"/>
    <s v="4412299971"/>
    <s v="4412299971"/>
    <s v="4412299971"/>
    <s v="Valid"/>
    <s v="vsrinivasan@viswanathan-dhaliwal.com"/>
    <s v="NO"/>
    <n v="369.39"/>
    <m/>
    <n v="220"/>
    <n v="220"/>
    <s v="M54"/>
  </r>
  <r>
    <s v="P1223"/>
    <s v="Riya Ganesh"/>
    <s v="Riya Ganesh"/>
    <x v="0"/>
    <n v="43"/>
    <n v="43"/>
    <s v="Oncology"/>
    <s v="Oncology"/>
    <s v="Dr Rao"/>
    <s v="Dr Rao"/>
    <d v="2026-01-23T00:00:00"/>
    <s v="Valid"/>
    <b v="1"/>
    <b v="1"/>
    <d v="2026-01-15T00:00:00"/>
    <s v="4723597652"/>
    <s v="4723597652"/>
    <s v="4723597652"/>
    <s v="Valid"/>
    <s v="aainagokhale@sidhu-walia.net"/>
    <s v="N"/>
    <n v="17380.66"/>
    <s v="Yes"/>
    <n v="441"/>
    <n v="441"/>
    <s v="I10"/>
  </r>
  <r>
    <s v="P1224"/>
    <s v="Ahana  Banerjee"/>
    <s v="Ahana Banerjee"/>
    <x v="3"/>
    <n v="40"/>
    <n v="40"/>
    <s v="Orthopedics"/>
    <s v="Orthopedics"/>
    <s v="dr priya"/>
    <s v="Dr Priya"/>
    <d v="2025-12-13T00:00:00"/>
    <s v="Valid"/>
    <b v="1"/>
    <b v="1"/>
    <d v="2025-11-22T00:00:00"/>
    <s v="01971324757"/>
    <s v="01971324757"/>
    <s v="1971324757"/>
    <s v="Valid"/>
    <s v="anahita82@gmail.com"/>
    <s v="Y"/>
    <n v="17319.2"/>
    <s v="Yes"/>
    <n v="288"/>
    <n v="288"/>
    <s v="A09"/>
  </r>
  <r>
    <s v="P1225"/>
    <s v="Yasmin Chakraborty"/>
    <s v="Yasmin Chakraborty"/>
    <x v="5"/>
    <n v="29"/>
    <n v="29"/>
    <s v="Orthopedics"/>
    <s v="Orthopedics"/>
    <s v="Dr Khan"/>
    <s v="Dr Khan"/>
    <d v="2026-04-04T00:00:00"/>
    <s v="Valid"/>
    <b v="1"/>
    <b v="1"/>
    <d v="2026-03-31T00:00:00"/>
    <s v="07378130371"/>
    <s v="07378130371"/>
    <s v="7378130371"/>
    <s v="Valid"/>
    <s v="kiaanverma@gmail.com"/>
    <m/>
    <n v="18743.82"/>
    <s v="NO"/>
    <n v="312"/>
    <n v="312"/>
    <s v="C34"/>
  </r>
  <r>
    <s v="P1226"/>
    <s v="Kaira Sibal"/>
    <s v="Kaira Sibal"/>
    <x v="3"/>
    <n v="69"/>
    <n v="69"/>
    <s v="Pediatrics"/>
    <s v="Pediatrics"/>
    <s v="DR SHARMA"/>
    <s v="Dr Sharma"/>
    <d v="2026-01-29T00:00:00"/>
    <s v="Valid"/>
    <b v="1"/>
    <b v="1"/>
    <d v="2026-01-08T00:00:00"/>
    <s v="05180284329"/>
    <s v="05180284329"/>
    <s v="5180284329"/>
    <s v="Valid"/>
    <s v="gokhalediya@kata-aurora.com"/>
    <s v="NO"/>
    <n v="13232.57"/>
    <s v="NO"/>
    <n v="139"/>
    <n v="139"/>
    <s v="A09"/>
  </r>
  <r>
    <s v="P1227"/>
    <s v="Tarini Sami"/>
    <s v="Tarini Sami"/>
    <x v="2"/>
    <n v="8"/>
    <n v="8"/>
    <s v="Pediatrics"/>
    <s v="Pediatrics"/>
    <s v="Dr Mehta"/>
    <s v="Dr Mehta"/>
    <d v="2026-03-26T00:00:00"/>
    <s v="Valid"/>
    <b v="1"/>
    <b v="1"/>
    <d v="2026-03-21T00:00:00"/>
    <s v="8619769872"/>
    <s v="8619769872"/>
    <s v="8619769872"/>
    <s v="Valid"/>
    <s v="shayak65@sandhu.com"/>
    <s v="N"/>
    <n v="21391.25"/>
    <m/>
    <n v="159"/>
    <n v="159"/>
    <s v="C34"/>
  </r>
  <r>
    <s v="P1228"/>
    <s v="Lakshay Karan"/>
    <s v="Lakshay Karan"/>
    <x v="5"/>
    <n v="75"/>
    <n v="75"/>
    <s v="General Medicine"/>
    <s v="General Medicine"/>
    <s v="Dr Mehta"/>
    <s v="Dr Mehta"/>
    <d v="2026-04-13T00:00:00"/>
    <s v="Valid"/>
    <b v="1"/>
    <b v="1"/>
    <d v="2026-03-16T00:00:00"/>
    <s v="00244031517"/>
    <s v="00244031517"/>
    <s v="0244031517"/>
    <s v="Valid"/>
    <s v="lwable@gmail.com"/>
    <m/>
    <n v="20255.560000000001"/>
    <m/>
    <n v="167"/>
    <n v="167"/>
    <s v="A09"/>
  </r>
  <r>
    <s v="P1229"/>
    <s v="Saira Chatterjee"/>
    <s v="Saira Chatterjee"/>
    <x v="1"/>
    <n v="59"/>
    <n v="59"/>
    <s v="Cardiology"/>
    <s v="Cardiology"/>
    <s v="Dr Khan"/>
    <s v="Dr Khan"/>
    <d v="2026-02-12T00:00:00"/>
    <s v="Valid"/>
    <b v="1"/>
    <b v="1"/>
    <d v="2026-01-22T00:00:00"/>
    <s v="9509495799"/>
    <s v="9509495799"/>
    <s v="9509495799"/>
    <s v="Valid"/>
    <s v="romiljhaveri@hotmail.com"/>
    <s v="Y"/>
    <n v="18137.349999999999"/>
    <m/>
    <n v="230"/>
    <n v="230"/>
    <s v="K21"/>
  </r>
  <r>
    <s v="P1230"/>
    <s v="Siya Dugar"/>
    <s v="Siya Dugar"/>
    <x v="0"/>
    <n v="28"/>
    <n v="28"/>
    <s v="Neurology"/>
    <s v="Neurology"/>
    <s v="Dr Rao"/>
    <s v="Dr Rao"/>
    <d v="2026-02-26T00:00:00"/>
    <s v="Valid"/>
    <b v="1"/>
    <b v="1"/>
    <d v="2026-02-13T00:00:00"/>
    <s v="0968714637"/>
    <s v="0968714637"/>
    <s v="0968714637"/>
    <s v="Valid"/>
    <s v="sana51@sani.biz"/>
    <s v="N"/>
    <n v="17569.54"/>
    <s v="Yes"/>
    <n v="135"/>
    <n v="135"/>
    <s v="M54"/>
  </r>
  <r>
    <s v="P1231"/>
    <s v="Nayantara Dayal"/>
    <s v="Nayantara Dayal"/>
    <x v="0"/>
    <n v="37"/>
    <n v="37"/>
    <s v="Dermatology"/>
    <s v="Dermatology"/>
    <s v="Dr Mehta"/>
    <s v="Dr Mehta"/>
    <d v="2026-04-22T00:00:00"/>
    <s v="Valid"/>
    <b v="1"/>
    <b v="1"/>
    <d v="2026-03-29T00:00:00"/>
    <s v="1535927611"/>
    <s v="1535927611"/>
    <s v="1535927611"/>
    <s v="Valid"/>
    <s v="kismatmajumdar@kulkarni.com"/>
    <s v="Yes"/>
    <n v="19192.53"/>
    <m/>
    <n v="291"/>
    <n v="291"/>
    <s v="M54"/>
  </r>
  <r>
    <s v="P1232"/>
    <s v="Jayesh Karnik"/>
    <s v="Jayesh Karnik"/>
    <x v="3"/>
    <n v="49"/>
    <n v="49"/>
    <s v="Dermatology"/>
    <s v="Dermatology"/>
    <s v="Dr Mehta"/>
    <s v="Dr Mehta"/>
    <d v="2025-12-21T00:00:00"/>
    <s v="Valid"/>
    <b v="1"/>
    <b v="1"/>
    <d v="2025-11-30T00:00:00"/>
    <s v="+911661373076"/>
    <s v="911661373076"/>
    <s v="1661373076"/>
    <s v="Valid"/>
    <s v="benmiraya@jain.com"/>
    <s v="Yes"/>
    <n v="16407.650000000001"/>
    <s v="NO"/>
    <n v="160"/>
    <n v="160"/>
    <s v="E11"/>
  </r>
  <r>
    <s v="P1233"/>
    <s v="Ryan Jha"/>
    <s v="Ryan Jha"/>
    <x v="1"/>
    <n v="68"/>
    <n v="68"/>
    <s v="Orthopedics"/>
    <s v="Orthopedics"/>
    <s v="DR SHARMA"/>
    <s v="Dr Sharma"/>
    <d v="2025-12-21T00:00:00"/>
    <s v="Valid"/>
    <b v="1"/>
    <b v="1"/>
    <d v="2025-11-25T00:00:00"/>
    <s v="3143326922"/>
    <s v="3143326922"/>
    <s v="3143326922"/>
    <s v="Valid"/>
    <s v="vvarghese@yahoo.com"/>
    <s v="Yes"/>
    <n v="18953.25"/>
    <s v="Yes"/>
    <n v="337"/>
    <n v="337"/>
    <s v="C34"/>
  </r>
  <r>
    <s v="P1234"/>
    <s v="Rhea Vaidya"/>
    <s v="Rhea Vaidya"/>
    <x v="1"/>
    <n v="69"/>
    <n v="69"/>
    <s v="Dermatology"/>
    <s v="Dermatology"/>
    <s v="DR SHARMA"/>
    <s v="Dr Sharma"/>
    <d v="2026-02-28T00:00:00"/>
    <s v="Valid"/>
    <b v="1"/>
    <b v="1"/>
    <d v="2026-02-21T00:00:00"/>
    <s v="00326854779"/>
    <s v="00326854779"/>
    <s v="0326854779"/>
    <s v="Valid"/>
    <s v="davetaran@yahoo.com"/>
    <m/>
    <n v="8784.76"/>
    <s v="Yes"/>
    <n v="196"/>
    <n v="196"/>
    <s v="C34"/>
  </r>
  <r>
    <s v="P1235"/>
    <s v="Nishith Tailor"/>
    <s v="Nishith Tailor"/>
    <x v="2"/>
    <n v="5"/>
    <n v="5"/>
    <s v="Dermatology"/>
    <s v="Dermatology"/>
    <s v="Dr Rao"/>
    <s v="Dr Rao"/>
    <d v="2026-05-14T00:00:00"/>
    <s v="Valid"/>
    <b v="1"/>
    <b v="1"/>
    <d v="2026-05-07T00:00:00"/>
    <s v="+917015548881"/>
    <s v="917015548881"/>
    <s v="7015548881"/>
    <s v="Valid"/>
    <s v="bhatiadishani@gmail.com"/>
    <s v="NO"/>
    <n v="1868.81"/>
    <s v="Yes"/>
    <n v="328"/>
    <n v="328"/>
    <s v="A09"/>
  </r>
  <r>
    <s v="P1236"/>
    <s v="Rania Yadav"/>
    <s v="Rania Yadav"/>
    <x v="0"/>
    <n v="32"/>
    <n v="32"/>
    <s v="Cardiology"/>
    <s v="Cardiology"/>
    <s v="dr priya"/>
    <s v="Dr Priya"/>
    <d v="2026-04-14T00:00:00"/>
    <s v="Valid"/>
    <b v="1"/>
    <b v="1"/>
    <d v="2026-03-31T00:00:00"/>
    <s v="+912130584126"/>
    <s v="912130584126"/>
    <s v="2130584126"/>
    <s v="Valid"/>
    <s v="bgoel@hotmail.com"/>
    <s v="NO"/>
    <n v="13586.04"/>
    <s v="Yes"/>
    <n v="171"/>
    <n v="171"/>
    <s v="A09"/>
  </r>
  <r>
    <s v="P1237"/>
    <s v="Stuvan Venkatesh"/>
    <s v="Stuvan Venkatesh"/>
    <x v="0"/>
    <n v="30"/>
    <n v="30"/>
    <s v="ENT"/>
    <s v="ENT"/>
    <s v="dr priya"/>
    <s v="Dr Priya"/>
    <d v="2026-03-09T00:00:00"/>
    <s v="Valid"/>
    <b v="1"/>
    <b v="1"/>
    <d v="2026-03-02T00:00:00"/>
    <s v="+914053701473"/>
    <s v="914053701473"/>
    <s v="4053701473"/>
    <s v="Valid"/>
    <s v="shalvmannan@hotmail.com"/>
    <s v="Y"/>
    <n v="21931.21"/>
    <s v="N"/>
    <n v="311"/>
    <n v="311"/>
    <s v="J20"/>
  </r>
  <r>
    <s v="P1238"/>
    <s v="Fateh Vohra"/>
    <s v="Fateh Vohra"/>
    <x v="0"/>
    <n v="8"/>
    <n v="8"/>
    <s v="Orthopedics"/>
    <s v="Orthopedics"/>
    <s v="dr priya"/>
    <s v="Dr Priya"/>
    <d v="2026-05-24T00:00:00"/>
    <s v="Valid"/>
    <b v="1"/>
    <b v="1"/>
    <d v="2026-05-07T00:00:00"/>
    <s v="04782387945"/>
    <s v="04782387945"/>
    <s v="4782387945"/>
    <s v="Valid"/>
    <s v="venkateshmiraan@barad.info"/>
    <m/>
    <n v="1362.73"/>
    <s v="NO"/>
    <n v="429"/>
    <n v="429"/>
    <s v="C34"/>
  </r>
  <r>
    <s v="P1239"/>
    <s v="Zain Maharaj"/>
    <s v="Zain Maharaj"/>
    <x v="1"/>
    <n v="68"/>
    <n v="68"/>
    <s v="ENT"/>
    <s v="ENT"/>
    <s v="dr priya"/>
    <s v="Dr Priya"/>
    <d v="2025-12-22T00:00:00"/>
    <s v="Valid"/>
    <b v="1"/>
    <b v="1"/>
    <d v="2025-12-09T00:00:00"/>
    <s v="2206165453"/>
    <s v="2206165453"/>
    <s v="2206165453"/>
    <s v="Valid"/>
    <s v="faiyazgarde@khare.com"/>
    <s v="Yes"/>
    <n v="7637.23"/>
    <s v="Y"/>
    <n v="486"/>
    <n v="486"/>
    <s v="A09"/>
  </r>
  <r>
    <s v="P1240"/>
    <s v="Armaan Manne"/>
    <s v="Armaan Manne"/>
    <x v="3"/>
    <n v="31"/>
    <n v="31"/>
    <s v="Pediatrics"/>
    <s v="Pediatrics"/>
    <s v="Dr. Sharma"/>
    <s v="Dr. Sharma"/>
    <d v="2025-12-15T00:00:00"/>
    <s v="Valid"/>
    <b v="1"/>
    <b v="1"/>
    <d v="2025-11-18T00:00:00"/>
    <s v="+911971366063"/>
    <s v="911971366063"/>
    <s v="1971366063"/>
    <s v="Valid"/>
    <m/>
    <s v="Yes"/>
    <n v="20183.25"/>
    <s v="Yes"/>
    <n v="387"/>
    <n v="387"/>
    <s v="M54"/>
  </r>
  <r>
    <s v="P1241"/>
    <s v="Indranil Johal"/>
    <s v="Indranil Johal"/>
    <x v="1"/>
    <n v="72"/>
    <n v="72"/>
    <s v="Orthopedics"/>
    <s v="Orthopedics"/>
    <s v="dr priya"/>
    <s v="Dr Priya"/>
    <d v="2026-02-06T00:00:00"/>
    <s v="Valid"/>
    <b v="1"/>
    <b v="1"/>
    <d v="2026-01-30T00:00:00"/>
    <s v="0589055256"/>
    <s v="0589055256"/>
    <s v="0589055256"/>
    <s v="Valid"/>
    <s v="gatik67@yahoo.com"/>
    <s v="Y"/>
    <n v="5242.75"/>
    <s v="NO"/>
    <n v="330"/>
    <n v="330"/>
    <s v="K21"/>
  </r>
  <r>
    <s v="P1242"/>
    <s v="Indranil Dixit"/>
    <s v="Indranil Dixit"/>
    <x v="2"/>
    <n v="12"/>
    <n v="12"/>
    <s v="Pediatrics"/>
    <s v="Pediatrics"/>
    <s v="Dr Rao"/>
    <s v="Dr Rao"/>
    <d v="2026-01-09T00:00:00"/>
    <s v="Valid"/>
    <b v="1"/>
    <b v="1"/>
    <d v="2026-01-01T00:00:00"/>
    <s v="08944000285"/>
    <s v="08944000285"/>
    <s v="8944000285"/>
    <s v="Valid"/>
    <s v="pari78@chokshi.com"/>
    <m/>
    <n v="16907.060000000001"/>
    <s v="Yes"/>
    <n v="547"/>
    <n v="547"/>
    <s v="I10"/>
  </r>
  <r>
    <s v="P1243"/>
    <s v="Umang Lal"/>
    <s v="Umang Lal"/>
    <x v="5"/>
    <n v="76"/>
    <n v="76"/>
    <s v="Pediatrics"/>
    <s v="Pediatrics"/>
    <s v="Dr Khan"/>
    <s v="Dr Khan"/>
    <d v="2026-01-20T00:00:00"/>
    <s v="Valid"/>
    <b v="1"/>
    <b v="1"/>
    <d v="2026-01-14T00:00:00"/>
    <s v="+913611572481"/>
    <s v="913611572481"/>
    <s v="3611572481"/>
    <s v="Valid"/>
    <s v="lagate@gmail.com"/>
    <s v="N"/>
    <n v="7719.06"/>
    <s v="Yes"/>
    <n v="208"/>
    <n v="208"/>
    <s v="E11"/>
  </r>
  <r>
    <s v="P1244"/>
    <s v="Keya Bansal"/>
    <s v="Keya Bansal"/>
    <x v="2"/>
    <n v="62"/>
    <n v="62"/>
    <s v="Pediatrics"/>
    <s v="Pediatrics"/>
    <s v="DR SHARMA"/>
    <s v="Dr Sharma"/>
    <d v="2026-01-19T00:00:00"/>
    <s v="Valid"/>
    <b v="1"/>
    <b v="1"/>
    <d v="2026-01-07T00:00:00"/>
    <s v="2573803590"/>
    <s v="2573803590"/>
    <s v="2573803590"/>
    <s v="Valid"/>
    <s v="bhavinmahajan@iyer-dara.com"/>
    <s v="NO"/>
    <n v="13891.57"/>
    <s v="Yes"/>
    <n v="294"/>
    <n v="294"/>
    <s v="M54"/>
  </r>
  <r>
    <s v="P1245"/>
    <s v="Madhup Bhagat"/>
    <s v="Madhup Bhagat"/>
    <x v="2"/>
    <n v="40"/>
    <n v="40"/>
    <s v="Oncology"/>
    <s v="Oncology"/>
    <s v="dr priya"/>
    <s v="Dr Priya"/>
    <d v="2026-04-04T00:00:00"/>
    <s v="Valid"/>
    <b v="1"/>
    <b v="1"/>
    <d v="2026-03-19T00:00:00"/>
    <s v="+917258524941"/>
    <s v="917258524941"/>
    <s v="7258524941"/>
    <s v="Valid"/>
    <s v="lagan77@yahoo.com"/>
    <m/>
    <n v="11756.9"/>
    <m/>
    <n v="489"/>
    <n v="489"/>
    <s v="K21"/>
  </r>
  <r>
    <s v="P1246"/>
    <s v="Ela Biswas"/>
    <s v="Ela Biswas"/>
    <x v="2"/>
    <n v="27"/>
    <n v="27"/>
    <s v="ENT"/>
    <s v="ENT"/>
    <s v="dr priya"/>
    <s v="Dr Priya"/>
    <d v="2026-04-18T00:00:00"/>
    <s v="Valid"/>
    <b v="1"/>
    <b v="1"/>
    <d v="2026-04-05T00:00:00"/>
    <s v="+918846625322"/>
    <s v="918846625322"/>
    <s v="8846625322"/>
    <s v="Valid"/>
    <s v="sararamachandran@butala.com"/>
    <s v="Yes"/>
    <n v="14150.61"/>
    <s v="N"/>
    <n v="479"/>
    <n v="479"/>
    <s v="E11"/>
  </r>
  <r>
    <s v="P1247"/>
    <s v="Ahana  Uppal"/>
    <s v="Ahana Uppal"/>
    <x v="0"/>
    <n v="34"/>
    <n v="34"/>
    <s v="Dermatology"/>
    <s v="Dermatology"/>
    <s v="Dr. Sharma"/>
    <s v="Dr. Sharma"/>
    <d v="2026-02-16T00:00:00"/>
    <s v="Valid"/>
    <b v="1"/>
    <b v="1"/>
    <d v="2026-02-12T00:00:00"/>
    <s v="+913837924185"/>
    <s v="913837924185"/>
    <s v="3837924185"/>
    <s v="Valid"/>
    <s v="sarafaarush@gmail.com"/>
    <s v="NO"/>
    <n v="8380.66"/>
    <m/>
    <n v="391"/>
    <n v="391"/>
    <s v="K21"/>
  </r>
  <r>
    <s v="P1248"/>
    <s v="Fateh Hora"/>
    <s v="Fateh Hora"/>
    <x v="5"/>
    <n v="64"/>
    <n v="64"/>
    <s v="ENT"/>
    <s v="ENT"/>
    <s v="Dr. Sharma"/>
    <s v="Dr. Sharma"/>
    <d v="2026-04-20T00:00:00"/>
    <s v="Valid"/>
    <b v="1"/>
    <b v="1"/>
    <d v="2026-03-27T00:00:00"/>
    <s v="06659863208"/>
    <s v="06659863208"/>
    <s v="6659863208"/>
    <s v="Valid"/>
    <s v="samarbumb@sharaf-bora.info"/>
    <m/>
    <n v="24169.41"/>
    <m/>
    <n v="335"/>
    <n v="335"/>
    <s v="E11"/>
  </r>
  <r>
    <s v="P1249"/>
    <s v="Aniruddh Sani"/>
    <s v="Aniruddh Sani"/>
    <x v="2"/>
    <n v="22"/>
    <n v="22"/>
    <s v="Orthopedics"/>
    <s v="Orthopedics"/>
    <s v="Dr Khan"/>
    <s v="Dr Khan"/>
    <d v="2026-02-24T00:00:00"/>
    <s v="Valid"/>
    <b v="1"/>
    <b v="1"/>
    <d v="2026-02-19T00:00:00"/>
    <s v="+910857827511"/>
    <s v="910857827511"/>
    <s v="0857827511"/>
    <s v="Valid"/>
    <s v="tushar17@acharya.com"/>
    <s v="Yes"/>
    <n v="13193.82"/>
    <s v="NO"/>
    <n v="518"/>
    <n v="518"/>
    <s v="C34"/>
  </r>
  <r>
    <s v="P1250"/>
    <s v="Renee Shah"/>
    <s v="Renee Shah"/>
    <x v="0"/>
    <n v="1"/>
    <n v="1"/>
    <s v="Dermatology"/>
    <s v="Dermatology"/>
    <s v="Dr Mehta"/>
    <s v="Dr Mehta"/>
    <d v="2026-03-21T00:00:00"/>
    <s v="Valid"/>
    <b v="1"/>
    <b v="1"/>
    <d v="2026-02-23T00:00:00"/>
    <s v="02467172791"/>
    <s v="02467172791"/>
    <s v="2467172791"/>
    <s v="Valid"/>
    <s v="sairakoshy@gmail.com"/>
    <s v="NO"/>
    <n v="1885.6"/>
    <s v="Y"/>
    <n v="104"/>
    <n v="104"/>
    <s v="E11"/>
  </r>
  <r>
    <s v="P1251"/>
    <s v="Zara Basak"/>
    <s v="Zara Basak"/>
    <x v="3"/>
    <n v="48"/>
    <n v="48"/>
    <s v="Cardiology"/>
    <s v="Cardiology"/>
    <s v="Dr Khan"/>
    <s v="Dr Khan"/>
    <d v="2026-02-22T00:00:00"/>
    <s v="Valid"/>
    <b v="1"/>
    <b v="1"/>
    <d v="2026-02-01T00:00:00"/>
    <s v="07421451056"/>
    <s v="07421451056"/>
    <s v="7421451056"/>
    <s v="Valid"/>
    <s v="talwardrishya@sachdev.net"/>
    <m/>
    <n v="590.15"/>
    <m/>
    <n v="106"/>
    <n v="106"/>
    <s v="I10"/>
  </r>
  <r>
    <s v="P1252"/>
    <s v="Anahi Borde"/>
    <s v="Anahi Borde"/>
    <x v="0"/>
    <n v="69"/>
    <n v="69"/>
    <s v="Oncology"/>
    <s v="Oncology"/>
    <s v="Dr Rao"/>
    <s v="Dr Rao"/>
    <d v="2026-03-12T00:00:00"/>
    <s v="Valid"/>
    <b v="1"/>
    <b v="1"/>
    <d v="2026-02-24T00:00:00"/>
    <s v="01523066503"/>
    <s v="01523066503"/>
    <s v="1523066503"/>
    <s v="Valid"/>
    <s v="bariasamaira@yahoo.com"/>
    <m/>
    <n v="20192.96"/>
    <s v="Y"/>
    <n v="154"/>
    <n v="154"/>
    <s v="I10"/>
  </r>
  <r>
    <s v="P1253"/>
    <s v="Eva Tak"/>
    <s v="Eva Tak"/>
    <x v="4"/>
    <n v="31"/>
    <n v="31"/>
    <s v="Pediatrics"/>
    <s v="Pediatrics"/>
    <s v="Dr. Sharma"/>
    <s v="Dr. Sharma"/>
    <d v="2025-12-30T00:00:00"/>
    <s v="Valid"/>
    <b v="1"/>
    <b v="1"/>
    <d v="2025-12-04T00:00:00"/>
    <s v="+919237452453"/>
    <s v="919237452453"/>
    <s v="9237452453"/>
    <s v="Valid"/>
    <s v="sensumer@babu.com"/>
    <s v="N"/>
    <n v="6829.65"/>
    <m/>
    <n v="140"/>
    <n v="140"/>
    <s v="J20"/>
  </r>
  <r>
    <s v="P1254"/>
    <s v="Divit Balakrishnan"/>
    <s v="Divit Balakrishnan"/>
    <x v="1"/>
    <n v="59"/>
    <n v="59"/>
    <s v="Pediatrics"/>
    <s v="Pediatrics"/>
    <s v="DR SHARMA"/>
    <s v="Dr Sharma"/>
    <d v="2026-02-05T00:00:00"/>
    <s v="Valid"/>
    <b v="1"/>
    <b v="1"/>
    <d v="2026-01-27T00:00:00"/>
    <s v="+912888492759"/>
    <s v="912888492759"/>
    <s v="2888492759"/>
    <s v="Valid"/>
    <s v="swamysaksham@hotmail.com"/>
    <s v="NO"/>
    <n v="16412.650000000001"/>
    <s v="Yes"/>
    <n v="147"/>
    <n v="147"/>
    <s v="M54"/>
  </r>
  <r>
    <s v="P1255"/>
    <s v="Tanya Goda"/>
    <s v="Tanya Goda"/>
    <x v="1"/>
    <n v="49"/>
    <n v="49"/>
    <s v="General Medicine"/>
    <s v="General Medicine"/>
    <s v="Dr Rao"/>
    <s v="Dr Rao"/>
    <d v="2026-02-23T00:00:00"/>
    <s v="Valid"/>
    <b v="1"/>
    <b v="1"/>
    <d v="2026-02-03T00:00:00"/>
    <s v="8319683054"/>
    <s v="8319683054"/>
    <s v="8319683054"/>
    <s v="Valid"/>
    <s v="osrinivasan@gmail.com"/>
    <s v="Yes"/>
    <n v="17630.560000000001"/>
    <s v="NO"/>
    <n v="355"/>
    <n v="355"/>
    <s v="K21"/>
  </r>
  <r>
    <s v="P1256"/>
    <s v="Hridaan Behl"/>
    <s v="Hridaan Behl"/>
    <x v="1"/>
    <n v="83"/>
    <n v="83"/>
    <s v="ENT"/>
    <s v="ENT"/>
    <s v="Dr Mehta"/>
    <s v="Dr Mehta"/>
    <d v="2026-03-09T00:00:00"/>
    <s v="Valid"/>
    <b v="1"/>
    <b v="1"/>
    <d v="2026-02-09T00:00:00"/>
    <s v="03309469965"/>
    <s v="03309469965"/>
    <s v="3309469965"/>
    <s v="Valid"/>
    <s v="cmagar@gmail.com"/>
    <s v="Yes"/>
    <n v="5898.21"/>
    <m/>
    <n v="238"/>
    <n v="238"/>
    <s v="I10"/>
  </r>
  <r>
    <s v="P1257"/>
    <s v="Raunak Maharaj"/>
    <s v="Raunak Maharaj"/>
    <x v="2"/>
    <n v="88"/>
    <n v="88"/>
    <s v="Oncology"/>
    <s v="Oncology"/>
    <s v="Dr Rao"/>
    <s v="Dr Rao"/>
    <d v="2026-02-22T00:00:00"/>
    <s v="Valid"/>
    <b v="1"/>
    <b v="1"/>
    <d v="2026-02-17T00:00:00"/>
    <s v="+912647025198"/>
    <s v="912647025198"/>
    <s v="2647025198"/>
    <s v="Valid"/>
    <s v="ochopra@yahoo.com"/>
    <s v="N"/>
    <n v="588.32000000000005"/>
    <s v="N"/>
    <n v="400"/>
    <n v="400"/>
    <s v="E11"/>
  </r>
  <r>
    <s v="P1258"/>
    <s v="Renee Sethi"/>
    <s v="Renee Sethi"/>
    <x v="1"/>
    <n v="10"/>
    <n v="10"/>
    <s v="Oncology"/>
    <s v="Oncology"/>
    <s v="Dr Mehta"/>
    <s v="Dr Mehta"/>
    <d v="2026-02-07T00:00:00"/>
    <s v="Valid"/>
    <b v="1"/>
    <b v="1"/>
    <d v="2026-01-20T00:00:00"/>
    <s v="8718598510"/>
    <s v="8718598510"/>
    <s v="8718598510"/>
    <s v="Valid"/>
    <s v="farhan74@dhar-wadhwa.com"/>
    <s v="NO"/>
    <n v="14254.06"/>
    <m/>
    <n v="446"/>
    <n v="446"/>
    <s v="A09"/>
  </r>
  <r>
    <s v="P1259"/>
    <s v="Kaira Sura"/>
    <s v="Kaira Sura"/>
    <x v="2"/>
    <n v="50"/>
    <n v="50"/>
    <s v="Orthopedics"/>
    <s v="Orthopedics"/>
    <s v="Dr Mehta"/>
    <s v="Dr Mehta"/>
    <d v="2026-01-20T00:00:00"/>
    <s v="Valid"/>
    <b v="1"/>
    <b v="1"/>
    <d v="2026-01-04T00:00:00"/>
    <s v="8793407308"/>
    <s v="8793407308"/>
    <s v="8793407308"/>
    <s v="Valid"/>
    <s v="dasadah@swamy-garde.com"/>
    <s v="N"/>
    <n v="1531.67"/>
    <m/>
    <n v="218"/>
    <n v="218"/>
    <s v="K21"/>
  </r>
  <r>
    <s v="P1261"/>
    <s v="Mannat Saran"/>
    <s v="Mannat Saran"/>
    <x v="2"/>
    <n v="71"/>
    <n v="71"/>
    <s v="Dermatology"/>
    <s v="Dermatology"/>
    <s v="dr priya"/>
    <s v="Dr Priya"/>
    <d v="2026-01-12T00:00:00"/>
    <s v="Valid"/>
    <b v="1"/>
    <b v="1"/>
    <d v="2026-01-07T00:00:00"/>
    <s v="+914984337412"/>
    <s v="914984337412"/>
    <s v="4984337412"/>
    <s v="Valid"/>
    <s v="faiyaz78@gmail.com"/>
    <m/>
    <n v="2325.21"/>
    <s v="Yes"/>
    <n v="508"/>
    <n v="508"/>
    <s v="E11"/>
  </r>
  <r>
    <s v="P1262"/>
    <s v="Ela Shan"/>
    <s v="Ela Shan"/>
    <x v="2"/>
    <n v="11"/>
    <n v="11"/>
    <s v="Oncology"/>
    <s v="Oncology"/>
    <s v="Dr Mehta"/>
    <s v="Dr Mehta"/>
    <d v="2026-04-08T00:00:00"/>
    <s v="Valid"/>
    <b v="1"/>
    <b v="1"/>
    <d v="2026-03-27T00:00:00"/>
    <s v="04133490134"/>
    <s v="04133490134"/>
    <s v="4133490134"/>
    <s v="Valid"/>
    <s v="tdesai@thakur.net"/>
    <s v="Yes"/>
    <n v="18543.45"/>
    <s v="NO"/>
    <n v="284"/>
    <n v="284"/>
    <s v="I10"/>
  </r>
  <r>
    <s v="P1263"/>
    <s v="Kaira Kannan"/>
    <s v="Kaira Kannan"/>
    <x v="2"/>
    <n v="1"/>
    <n v="1"/>
    <s v="Oncology"/>
    <s v="Oncology"/>
    <s v="Dr Khan"/>
    <s v="Dr Khan"/>
    <d v="2026-02-22T00:00:00"/>
    <s v="Valid"/>
    <b v="1"/>
    <b v="1"/>
    <d v="2026-02-11T00:00:00"/>
    <s v="03515887417"/>
    <s v="03515887417"/>
    <s v="3515887417"/>
    <s v="Valid"/>
    <s v="rsrinivasan@vasa.info"/>
    <s v="Y"/>
    <n v="2735.34"/>
    <s v="NO"/>
    <n v="195"/>
    <n v="195"/>
    <s v="M54"/>
  </r>
  <r>
    <s v="P1265"/>
    <s v="Trisha Rao"/>
    <s v="Trisha Rao"/>
    <x v="2"/>
    <n v="50"/>
    <n v="50"/>
    <s v="Cardiology"/>
    <s v="Cardiology"/>
    <s v="Dr. Sharma"/>
    <s v="Dr. Sharma"/>
    <d v="2026-02-18T00:00:00"/>
    <s v="Valid"/>
    <b v="1"/>
    <b v="1"/>
    <d v="2026-02-05T00:00:00"/>
    <s v="+910269483394"/>
    <s v="910269483394"/>
    <s v="0269483394"/>
    <s v="Valid"/>
    <s v="sumerlalla@gmail.com"/>
    <m/>
    <n v="19523.39"/>
    <s v="N"/>
    <n v="392"/>
    <n v="392"/>
    <s v="A09"/>
  </r>
  <r>
    <s v="P1266"/>
    <s v="Taimur Banerjee"/>
    <s v="Taimur Banerjee"/>
    <x v="4"/>
    <n v="88"/>
    <n v="88"/>
    <s v="Dermatology"/>
    <s v="Dermatology"/>
    <s v="Dr Mehta"/>
    <s v="Dr Mehta"/>
    <d v="2025-12-16T00:00:00"/>
    <s v="Valid"/>
    <b v="1"/>
    <b v="1"/>
    <d v="2025-12-12T00:00:00"/>
    <s v="+912737290153"/>
    <s v="912737290153"/>
    <s v="2737290153"/>
    <s v="Valid"/>
    <s v="vritika77@hotmail.com"/>
    <s v="Y"/>
    <n v="7668.06"/>
    <m/>
    <n v="174"/>
    <n v="174"/>
    <s v="I10"/>
  </r>
  <r>
    <s v="P1267"/>
    <s v="Farhan Bhatnagar"/>
    <s v="Farhan Bhatnagar"/>
    <x v="4"/>
    <n v="56"/>
    <n v="56"/>
    <s v="Oncology"/>
    <s v="Oncology"/>
    <s v="dr priya"/>
    <s v="Dr Priya"/>
    <d v="2026-01-07T00:00:00"/>
    <s v="Valid"/>
    <b v="1"/>
    <b v="1"/>
    <d v="2025-12-29T00:00:00"/>
    <s v="+911627579286"/>
    <s v="911627579286"/>
    <s v="1627579286"/>
    <s v="Valid"/>
    <s v="veer38@chandra.info"/>
    <m/>
    <n v="19610.13"/>
    <s v="NO"/>
    <n v="228"/>
    <n v="228"/>
    <s v="E11"/>
  </r>
  <r>
    <s v="P1268"/>
    <s v="Chirag Dada"/>
    <s v="Chirag Dada"/>
    <x v="3"/>
    <n v="77"/>
    <n v="77"/>
    <s v="Pediatrics"/>
    <s v="Pediatrics"/>
    <s v="Dr Khan"/>
    <s v="Dr Khan"/>
    <d v="2026-01-12T00:00:00"/>
    <s v="Valid"/>
    <b v="1"/>
    <b v="1"/>
    <d v="2026-01-09T00:00:00"/>
    <s v="03259802810"/>
    <s v="03259802810"/>
    <s v="3259802810"/>
    <s v="Valid"/>
    <s v="euppal@hotmail.com"/>
    <s v="Yes"/>
    <n v="7755.52"/>
    <m/>
    <n v="270"/>
    <n v="270"/>
    <s v="K21"/>
  </r>
  <r>
    <s v="P1269"/>
    <s v="Ahana  Sura"/>
    <s v="Ahana Sura"/>
    <x v="1"/>
    <n v="43"/>
    <n v="43"/>
    <s v="General Medicine"/>
    <s v="General Medicine"/>
    <s v="dr priya"/>
    <s v="Dr Priya"/>
    <d v="2026-04-10T00:00:00"/>
    <s v="Valid"/>
    <b v="1"/>
    <b v="1"/>
    <d v="2026-03-28T00:00:00"/>
    <s v="0132701168"/>
    <s v="0132701168"/>
    <s v="0132701168"/>
    <s v="Valid"/>
    <s v="bsandhu@lalla-bumb.com"/>
    <s v="Yes"/>
    <n v="7650.8"/>
    <s v="N"/>
    <n v="345"/>
    <n v="345"/>
    <s v="J20"/>
  </r>
  <r>
    <s v="P1270"/>
    <s v="  Nirvaan Gara "/>
    <s v="Nirvaan Gara"/>
    <x v="4"/>
    <n v="51"/>
    <n v="51"/>
    <s v="ENT"/>
    <s v="ENT"/>
    <s v="Dr. Sharma"/>
    <s v="Dr. Sharma"/>
    <d v="2025-12-27T00:00:00"/>
    <s v="Valid"/>
    <b v="1"/>
    <b v="1"/>
    <d v="2025-12-04T00:00:00"/>
    <s v="+917636069485"/>
    <s v="917636069485"/>
    <s v="7636069485"/>
    <s v="Valid"/>
    <s v="madhav67@aurora.com"/>
    <m/>
    <n v="24200.52"/>
    <s v="N"/>
    <n v="266"/>
    <n v="266"/>
    <s v="M54"/>
  </r>
  <r>
    <s v="P1271"/>
    <s v="Ela Tata"/>
    <s v="Ela Tata"/>
    <x v="0"/>
    <n v="51"/>
    <n v="51"/>
    <s v="ENT"/>
    <s v="ENT"/>
    <s v="Dr Mehta"/>
    <s v="Dr Mehta"/>
    <d v="2026-04-01T00:00:00"/>
    <s v="Valid"/>
    <b v="1"/>
    <b v="1"/>
    <d v="2026-03-03T00:00:00"/>
    <s v="06793266893"/>
    <s v="06793266893"/>
    <s v="6793266893"/>
    <s v="Valid"/>
    <s v="suhana45@yahoo.com"/>
    <s v="NO"/>
    <n v="14887.23"/>
    <s v="Y"/>
    <n v="449"/>
    <n v="449"/>
    <s v="K21"/>
  </r>
  <r>
    <s v="P1272"/>
    <s v="Tara Chawla"/>
    <s v="Tara Chawla"/>
    <x v="0"/>
    <n v="60"/>
    <n v="60"/>
    <s v="Pediatrics"/>
    <s v="Pediatrics"/>
    <s v="Dr Khan"/>
    <s v="Dr Khan"/>
    <d v="2025-12-15T00:00:00"/>
    <s v="Valid"/>
    <b v="1"/>
    <b v="1"/>
    <d v="2025-11-20T00:00:00"/>
    <s v="08587891860"/>
    <s v="08587891860"/>
    <s v="8587891860"/>
    <s v="Valid"/>
    <s v="rajananya@hotmail.com"/>
    <s v="Y"/>
    <n v="20815.79"/>
    <s v="NO"/>
    <n v="519"/>
    <n v="519"/>
    <s v="K21"/>
  </r>
  <r>
    <s v="P1273"/>
    <s v="Keya Dara"/>
    <s v="Keya Dara"/>
    <x v="1"/>
    <n v="87"/>
    <n v="87"/>
    <s v="General Medicine"/>
    <s v="General Medicine"/>
    <s v="Dr Mehta"/>
    <s v="Dr Mehta"/>
    <d v="2026-03-19T00:00:00"/>
    <s v="Valid"/>
    <b v="1"/>
    <b v="1"/>
    <d v="2026-02-27T00:00:00"/>
    <s v="+917367919453"/>
    <s v="917367919453"/>
    <s v="7367919453"/>
    <s v="Valid"/>
    <s v="manjarichander@dash-lalla.com"/>
    <s v="Y"/>
    <n v="6202.12"/>
    <s v="Y"/>
    <n v="466"/>
    <n v="466"/>
    <s v="M54"/>
  </r>
  <r>
    <s v="P1274"/>
    <s v="Ahana  Shere"/>
    <s v="Ahana Shere"/>
    <x v="1"/>
    <n v="10"/>
    <n v="10"/>
    <s v="General Medicine"/>
    <s v="General Medicine"/>
    <s v="Dr Khan"/>
    <s v="Dr Khan"/>
    <d v="2025-12-20T00:00:00"/>
    <s v="Valid"/>
    <b v="1"/>
    <b v="1"/>
    <d v="2025-12-02T00:00:00"/>
    <s v="2777427473"/>
    <s v="2777427473"/>
    <s v="2777427473"/>
    <s v="Valid"/>
    <s v="bhamini30@yahoo.com"/>
    <m/>
    <n v="13452.31"/>
    <m/>
    <n v="378"/>
    <n v="378"/>
    <s v="I10"/>
  </r>
  <r>
    <s v="P1275"/>
    <s v="Lagan Saha"/>
    <s v="Lagan Saha"/>
    <x v="2"/>
    <n v="90"/>
    <n v="90"/>
    <s v="Neurology"/>
    <s v="Neurology"/>
    <s v="Dr Mehta"/>
    <s v="Dr Mehta"/>
    <d v="2026-05-17T00:00:00"/>
    <s v="Valid"/>
    <b v="1"/>
    <b v="1"/>
    <d v="2026-04-23T00:00:00"/>
    <s v="07082855283"/>
    <s v="07082855283"/>
    <s v="7082855283"/>
    <s v="Valid"/>
    <s v="pihudasgupta@gmail.com"/>
    <s v="NO"/>
    <n v="16508.52"/>
    <s v="NO"/>
    <n v="185"/>
    <n v="185"/>
    <s v="C34"/>
  </r>
  <r>
    <s v="P1276"/>
    <s v="Ishita Majumdar"/>
    <s v="Ishita Majumdar"/>
    <x v="0"/>
    <n v="73"/>
    <n v="73"/>
    <s v="Dermatology"/>
    <s v="Dermatology"/>
    <s v="dr priya"/>
    <s v="Dr Priya"/>
    <d v="2026-01-16T00:00:00"/>
    <s v="Valid"/>
    <b v="1"/>
    <b v="1"/>
    <d v="2025-12-17T00:00:00"/>
    <s v="07575398848"/>
    <s v="07575398848"/>
    <s v="7575398848"/>
    <s v="Valid"/>
    <s v="ldar@sarma.com"/>
    <m/>
    <n v="2827.42"/>
    <s v="NO"/>
    <n v="232"/>
    <n v="232"/>
    <s v="E11"/>
  </r>
  <r>
    <s v="P1277"/>
    <s v="Diya Sarma"/>
    <s v="Diya Sarma"/>
    <x v="5"/>
    <n v="58"/>
    <n v="58"/>
    <s v="ENT"/>
    <s v="ENT"/>
    <s v="dr priya"/>
    <s v="Dr Priya"/>
    <d v="2026-04-26T00:00:00"/>
    <s v="Valid"/>
    <b v="1"/>
    <b v="1"/>
    <d v="2026-04-12T00:00:00"/>
    <s v="04949490784"/>
    <s v="04949490784"/>
    <s v="4949490784"/>
    <s v="Valid"/>
    <s v="vedikakarnik@krish.com"/>
    <s v="Yes"/>
    <n v="8755.19"/>
    <s v="Yes"/>
    <n v="347"/>
    <n v="347"/>
    <s v="I10"/>
  </r>
  <r>
    <s v="P1278"/>
    <s v="Kashvi Boase"/>
    <s v="Kashvi Boase"/>
    <x v="0"/>
    <n v="54"/>
    <n v="54"/>
    <s v="Neurology"/>
    <s v="Neurology"/>
    <s v="Dr Mehta"/>
    <s v="Dr Mehta"/>
    <d v="2026-02-27T00:00:00"/>
    <s v="Valid"/>
    <b v="1"/>
    <b v="1"/>
    <d v="2026-02-01T00:00:00"/>
    <s v="05949510501"/>
    <s v="05949510501"/>
    <s v="5949510501"/>
    <s v="Valid"/>
    <s v="vaibhav36@luthra-sathe.info"/>
    <s v="Yes"/>
    <n v="8838.5499999999993"/>
    <s v="NO"/>
    <n v="333"/>
    <n v="333"/>
    <s v="K21"/>
  </r>
  <r>
    <s v="P1279"/>
    <s v="Indranil Lata"/>
    <s v="Indranil Lata"/>
    <x v="5"/>
    <n v="67"/>
    <n v="67"/>
    <s v="General Medicine"/>
    <s v="General Medicine"/>
    <s v="dr priya"/>
    <s v="Dr Priya"/>
    <d v="2026-01-13T00:00:00"/>
    <s v="Valid"/>
    <b v="1"/>
    <b v="1"/>
    <d v="2025-12-29T00:00:00"/>
    <s v="06144498275"/>
    <s v="06144498275"/>
    <s v="6144498275"/>
    <s v="Valid"/>
    <s v="darshit54@yahoo.com"/>
    <s v="NO"/>
    <n v="11066.52"/>
    <m/>
    <n v="263"/>
    <n v="263"/>
    <s v="I10"/>
  </r>
  <r>
    <s v="P1281"/>
    <s v="Manikya Loke"/>
    <s v="Manikya Loke"/>
    <x v="4"/>
    <n v="71"/>
    <n v="71"/>
    <s v="Orthopedics"/>
    <s v="Orthopedics"/>
    <s v="dr priya"/>
    <s v="Dr Priya"/>
    <d v="2026-03-21T00:00:00"/>
    <s v="Valid"/>
    <b v="1"/>
    <b v="1"/>
    <d v="2026-03-04T00:00:00"/>
    <s v="7216926155"/>
    <s v="7216926155"/>
    <s v="7216926155"/>
    <s v="Valid"/>
    <s v="fanand@hotmail.com"/>
    <m/>
    <n v="23969.87"/>
    <s v="N"/>
    <n v="508"/>
    <n v="508"/>
    <s v="M54"/>
  </r>
  <r>
    <s v="P1283"/>
    <s v="Lagan Yohannan"/>
    <s v="Lagan Yohannan"/>
    <x v="5"/>
    <n v="27"/>
    <n v="27"/>
    <s v="Oncology"/>
    <s v="Oncology"/>
    <s v="Dr Mehta"/>
    <s v="Dr Mehta"/>
    <d v="2026-03-01T00:00:00"/>
    <s v="Valid"/>
    <b v="1"/>
    <b v="1"/>
    <d v="2026-02-11T00:00:00"/>
    <s v="03328381759"/>
    <s v="03328381759"/>
    <s v="3328381759"/>
    <s v="Valid"/>
    <s v="sankarhazel@cheema-sibal.info"/>
    <s v="NO"/>
    <n v="20027.66"/>
    <s v="Y"/>
    <n v="287"/>
    <n v="287"/>
    <s v="J20"/>
  </r>
  <r>
    <s v="P1284"/>
    <s v="Kaira Tata"/>
    <s v="Kaira Tata"/>
    <x v="5"/>
    <n v="59"/>
    <n v="59"/>
    <s v="Neurology"/>
    <s v="Neurology"/>
    <s v="Dr. Sharma"/>
    <s v="Dr. Sharma"/>
    <d v="2026-02-17T00:00:00"/>
    <s v="Valid"/>
    <b v="1"/>
    <b v="1"/>
    <d v="2026-01-27T00:00:00"/>
    <s v="07914726325"/>
    <s v="07914726325"/>
    <s v="7914726325"/>
    <s v="Valid"/>
    <s v="vivaanbarad@hotmail.com"/>
    <m/>
    <n v="13287.33"/>
    <s v="NO"/>
    <n v="405"/>
    <n v="405"/>
    <s v="M54"/>
  </r>
  <r>
    <s v="P1285"/>
    <s v="Kiara Kibe"/>
    <s v="Kiara Kibe"/>
    <x v="1"/>
    <n v="76"/>
    <n v="76"/>
    <s v="Neurology"/>
    <s v="Neurology"/>
    <s v="dr priya"/>
    <s v="Dr Priya"/>
    <d v="2026-01-19T00:00:00"/>
    <s v="Valid"/>
    <b v="1"/>
    <b v="1"/>
    <d v="2026-01-08T00:00:00"/>
    <s v="+912602679654"/>
    <s v="912602679654"/>
    <s v="2602679654"/>
    <s v="Valid"/>
    <s v="kartiklad@kohli-barman.com"/>
    <m/>
    <n v="15510.59"/>
    <s v="Yes"/>
    <n v="414"/>
    <n v="414"/>
    <s v="A09"/>
  </r>
  <r>
    <s v="P1286"/>
    <s v="Inaaya  Yadav"/>
    <s v="Inaaya Yadav"/>
    <x v="2"/>
    <n v="87"/>
    <n v="87"/>
    <s v="Orthopedics"/>
    <s v="Orthopedics"/>
    <s v="dr priya"/>
    <s v="Dr Priya"/>
    <d v="2026-03-06T00:00:00"/>
    <s v="Valid"/>
    <b v="1"/>
    <b v="1"/>
    <d v="2026-03-03T00:00:00"/>
    <s v="09649137520"/>
    <s v="09649137520"/>
    <s v="9649137520"/>
    <s v="Valid"/>
    <s v="raghavanand@khanna.com"/>
    <s v="NO"/>
    <n v="7773.42"/>
    <s v="Y"/>
    <n v="291"/>
    <n v="291"/>
    <s v="C34"/>
  </r>
  <r>
    <s v="P1287"/>
    <s v="Jayant Saran"/>
    <s v="Jayant Saran"/>
    <x v="4"/>
    <n v="66"/>
    <n v="66"/>
    <s v="Dermatology"/>
    <s v="Dermatology"/>
    <s v="dr priya"/>
    <s v="Dr Priya"/>
    <d v="2026-02-27T00:00:00"/>
    <s v="Valid"/>
    <b v="1"/>
    <b v="1"/>
    <d v="2026-02-08T00:00:00"/>
    <s v="6547085790"/>
    <s v="6547085790"/>
    <s v="6547085790"/>
    <s v="Valid"/>
    <s v="kbasak@bail.com"/>
    <s v="Yes"/>
    <n v="14455.19"/>
    <m/>
    <n v="195"/>
    <n v="195"/>
    <s v="M54"/>
  </r>
  <r>
    <s v="P1288"/>
    <s v="Lakshay Chandra"/>
    <s v="Lakshay Chandra"/>
    <x v="4"/>
    <n v="72"/>
    <n v="72"/>
    <s v="Orthopedics"/>
    <s v="Orthopedics"/>
    <s v="Dr Khan"/>
    <s v="Dr Khan"/>
    <d v="2026-04-08T00:00:00"/>
    <s v="Valid"/>
    <b v="1"/>
    <b v="1"/>
    <d v="2026-03-30T00:00:00"/>
    <s v="+915969696681"/>
    <s v="915969696681"/>
    <s v="5969696681"/>
    <s v="Valid"/>
    <s v="faiyaz16@kurian-dani.com"/>
    <s v="Yes"/>
    <n v="4840.04"/>
    <m/>
    <n v="417"/>
    <n v="417"/>
    <s v="I10"/>
  </r>
  <r>
    <s v="P1289"/>
    <s v="Armaan Comar"/>
    <s v="Armaan Comar"/>
    <x v="2"/>
    <n v="2"/>
    <n v="2"/>
    <s v="General Medicine"/>
    <s v="General Medicine"/>
    <s v="Dr Mehta"/>
    <s v="Dr Mehta"/>
    <d v="2026-03-22T00:00:00"/>
    <s v="Valid"/>
    <b v="1"/>
    <b v="1"/>
    <d v="2026-03-16T00:00:00"/>
    <s v="2162695003"/>
    <s v="2162695003"/>
    <s v="2162695003"/>
    <s v="Valid"/>
    <s v="jguha@hotmail.com"/>
    <m/>
    <n v="24102.959999999999"/>
    <m/>
    <n v="309"/>
    <n v="309"/>
    <s v="C34"/>
  </r>
  <r>
    <s v="P1290"/>
    <s v="Ahana  Soni"/>
    <s v="Ahana Soni"/>
    <x v="3"/>
    <n v="54"/>
    <n v="54"/>
    <s v="General Medicine"/>
    <s v="General Medicine"/>
    <s v="Dr Khan"/>
    <s v="Dr Khan"/>
    <d v="2026-04-05T00:00:00"/>
    <s v="Valid"/>
    <b v="1"/>
    <b v="1"/>
    <d v="2026-03-31T00:00:00"/>
    <s v="12345"/>
    <s v="12345"/>
    <s v="12345"/>
    <s v="Valid"/>
    <s v="anahi30@gmail.com"/>
    <s v="NO"/>
    <n v="14221.87"/>
    <s v="N"/>
    <n v="249"/>
    <n v="249"/>
    <s v="I10"/>
  </r>
  <r>
    <s v="P1291"/>
    <s v="Ivan Kibe"/>
    <s v="Ivan Kibe"/>
    <x v="0"/>
    <n v="29"/>
    <n v="29"/>
    <s v="Oncology"/>
    <s v="Oncology"/>
    <s v="Dr Mehta"/>
    <s v="Dr Mehta"/>
    <d v="2026-02-25T00:00:00"/>
    <s v="Valid"/>
    <b v="1"/>
    <b v="1"/>
    <d v="2026-02-01T00:00:00"/>
    <s v="+914048007433"/>
    <s v="914048007433"/>
    <s v="4048007433"/>
    <s v="Valid"/>
    <s v="dhanuk07@koshy.com"/>
    <m/>
    <n v="14228.13"/>
    <m/>
    <n v="381"/>
    <n v="381"/>
    <s v="A09"/>
  </r>
  <r>
    <s v="P1292"/>
    <s v="Suhana Apte"/>
    <s v="Suhana Apte"/>
    <x v="2"/>
    <n v="74"/>
    <n v="74"/>
    <s v="Neurology"/>
    <s v="Neurology"/>
    <s v="Dr. Sharma"/>
    <s v="Dr. Sharma"/>
    <d v="2026-03-05T00:00:00"/>
    <s v="Valid"/>
    <b v="1"/>
    <b v="1"/>
    <d v="2026-02-09T00:00:00"/>
    <s v="+917529180129"/>
    <s v="917529180129"/>
    <s v="7529180129"/>
    <s v="Valid"/>
    <s v="rchaudhary@sathe.org"/>
    <s v="N"/>
    <n v="13642.68"/>
    <s v="Yes"/>
    <n v="489"/>
    <n v="489"/>
    <s v="C34"/>
  </r>
  <r>
    <s v="P1293"/>
    <s v="Jhanvi Gulati"/>
    <s v="Jhanvi Gulati"/>
    <x v="3"/>
    <n v="70"/>
    <n v="70"/>
    <s v="Pediatrics"/>
    <s v="Pediatrics"/>
    <s v="dr priya"/>
    <s v="Dr Priya"/>
    <d v="2026-03-28T00:00:00"/>
    <s v="Valid"/>
    <b v="1"/>
    <b v="1"/>
    <d v="2026-03-25T00:00:00"/>
    <s v="02291767374"/>
    <s v="02291767374"/>
    <s v="2291767374"/>
    <s v="Valid"/>
    <s v="vaibhav07@hotmail.com"/>
    <s v="NO"/>
    <n v="7583.18"/>
    <s v="Yes"/>
    <n v="330"/>
    <n v="330"/>
    <s v="J20"/>
  </r>
  <r>
    <s v="P1294"/>
    <s v="Zaina Bhatt"/>
    <s v="Zaina Bhatt"/>
    <x v="2"/>
    <n v="12"/>
    <n v="12"/>
    <s v="General Medicine"/>
    <s v="General Medicine"/>
    <s v="Dr Mehta"/>
    <s v="Dr Mehta"/>
    <d v="2026-02-21T00:00:00"/>
    <s v="Valid"/>
    <b v="1"/>
    <b v="1"/>
    <d v="2026-01-28T00:00:00"/>
    <s v="9141141540"/>
    <s v="9141141540"/>
    <s v="9141141540"/>
    <s v="Valid"/>
    <s v="urvichar@jain.com"/>
    <s v="NO"/>
    <n v="5404.98"/>
    <s v="NO"/>
    <n v="540"/>
    <n v="540"/>
    <s v="C34"/>
  </r>
  <r>
    <s v="P1295"/>
    <s v="Taimur Bhatia"/>
    <s v="Taimur Bhatia"/>
    <x v="1"/>
    <n v="22"/>
    <n v="22"/>
    <s v="Orthopedics"/>
    <s v="Orthopedics"/>
    <s v="DR SHARMA"/>
    <s v="Dr Sharma"/>
    <d v="2026-03-25T00:00:00"/>
    <s v="Valid"/>
    <b v="1"/>
    <b v="1"/>
    <d v="2026-02-27T00:00:00"/>
    <s v="00802234114"/>
    <s v="00802234114"/>
    <s v="0802234114"/>
    <s v="Valid"/>
    <s v="kiara52@hotmail.com"/>
    <s v="NO"/>
    <n v="20174.919999999998"/>
    <s v="NO"/>
    <n v="372"/>
    <n v="372"/>
    <s v="J20"/>
  </r>
  <r>
    <s v="P1296"/>
    <s v="Misha Kunda"/>
    <s v="Misha Kunda"/>
    <x v="4"/>
    <n v="42"/>
    <n v="42"/>
    <s v="Oncology"/>
    <s v="Oncology"/>
    <s v="Dr. Sharma"/>
    <s v="Dr. Sharma"/>
    <d v="2026-05-06T00:00:00"/>
    <s v="Valid"/>
    <b v="1"/>
    <b v="1"/>
    <d v="2026-04-18T00:00:00"/>
    <s v="+916214411105"/>
    <s v="916214411105"/>
    <s v="6214411105"/>
    <s v="Valid"/>
    <s v="mohanlal21@gmail.com"/>
    <s v="Y"/>
    <n v="23819.45"/>
    <s v="NO"/>
    <n v="169"/>
    <n v="169"/>
    <s v="K21"/>
  </r>
  <r>
    <s v="P1297"/>
    <s v="Amani Gulati"/>
    <s v="Amani Gulati"/>
    <x v="1"/>
    <n v="8"/>
    <n v="8"/>
    <s v="Oncology"/>
    <s v="Oncology"/>
    <s v="Dr Mehta"/>
    <s v="Dr Mehta"/>
    <d v="2026-05-12T00:00:00"/>
    <s v="Valid"/>
    <b v="1"/>
    <b v="1"/>
    <d v="2026-04-20T00:00:00"/>
    <s v="8961186908"/>
    <s v="8961186908"/>
    <s v="8961186908"/>
    <s v="Valid"/>
    <s v="myra00@shukla.com"/>
    <s v="Yes"/>
    <n v="6392"/>
    <s v="NO"/>
    <n v="524"/>
    <n v="524"/>
    <s v="E11"/>
  </r>
  <r>
    <s v="P1298"/>
    <s v="Armaan Kuruvilla"/>
    <s v="Armaan Kuruvilla"/>
    <x v="1"/>
    <n v="63"/>
    <n v="63"/>
    <s v="Orthopedics"/>
    <s v="Orthopedics"/>
    <s v="Dr. Sharma"/>
    <s v="Dr. Sharma"/>
    <d v="2026-04-04T00:00:00"/>
    <s v="Valid"/>
    <b v="1"/>
    <b v="1"/>
    <d v="2026-03-15T00:00:00"/>
    <s v="+915220065268"/>
    <s v="915220065268"/>
    <s v="5220065268"/>
    <s v="Valid"/>
    <s v="sumerkaran@hotmail.com"/>
    <m/>
    <n v="9504.27"/>
    <s v="NO"/>
    <n v="424"/>
    <n v="424"/>
    <s v="K21"/>
  </r>
  <r>
    <s v="P1299"/>
    <s v="Kiara Maharaj"/>
    <s v="Kiara Maharaj"/>
    <x v="2"/>
    <n v="52"/>
    <n v="52"/>
    <s v="Oncology"/>
    <s v="Oncology"/>
    <s v="dr priya"/>
    <s v="Dr Priya"/>
    <d v="2026-03-15T00:00:00"/>
    <s v="Valid"/>
    <b v="1"/>
    <b v="1"/>
    <d v="2026-03-01T00:00:00"/>
    <s v="+911821682648"/>
    <s v="911821682648"/>
    <s v="1821682648"/>
    <s v="Valid"/>
    <s v="kiara60@shenoy-khare.info"/>
    <m/>
    <n v="8316.77"/>
    <s v="Yes"/>
    <n v="544"/>
    <n v="544"/>
    <s v="K21"/>
  </r>
  <r>
    <s v="P1300"/>
    <s v="Jayan Varkey"/>
    <s v="Jayan Varkey"/>
    <x v="2"/>
    <n v="59"/>
    <n v="59"/>
    <s v="ENT"/>
    <s v="ENT"/>
    <s v="Dr Mehta"/>
    <s v="Dr Mehta"/>
    <d v="2026-01-18T00:00:00"/>
    <s v="Valid"/>
    <b v="1"/>
    <b v="1"/>
    <d v="2025-12-24T00:00:00"/>
    <s v="03843157191"/>
    <s v="03843157191"/>
    <s v="3843157191"/>
    <s v="Valid"/>
    <s v="devansh41@yahoo.com"/>
    <m/>
    <n v="5602.18"/>
    <m/>
    <n v="522"/>
    <n v="522"/>
    <s v="E11"/>
  </r>
  <r>
    <s v="P1301"/>
    <s v="Aarav Dayal"/>
    <s v="Aarav Dayal"/>
    <x v="3"/>
    <n v="35"/>
    <n v="35"/>
    <s v="ENT"/>
    <s v="ENT"/>
    <s v="Dr. Sharma"/>
    <s v="Dr. Sharma"/>
    <d v="2025-12-23T00:00:00"/>
    <s v="Valid"/>
    <b v="1"/>
    <b v="1"/>
    <d v="2025-12-13T00:00:00"/>
    <s v="05670004338"/>
    <s v="05670004338"/>
    <s v="5670004338"/>
    <s v="Valid"/>
    <s v="aarav60@yahoo.com"/>
    <s v="Yes"/>
    <n v="14240.32"/>
    <m/>
    <n v="503"/>
    <n v="503"/>
    <s v="J20"/>
  </r>
  <r>
    <s v="P1303"/>
    <s v="Veer Trivedi"/>
    <s v="Veer Trivedi"/>
    <x v="0"/>
    <n v="55"/>
    <n v="55"/>
    <s v="Pediatrics"/>
    <s v="Pediatrics"/>
    <s v="Dr Mehta"/>
    <s v="Dr Mehta"/>
    <d v="2026-01-03T00:00:00"/>
    <s v="Valid"/>
    <b v="1"/>
    <b v="1"/>
    <d v="2025-12-06T00:00:00"/>
    <s v="3923745916"/>
    <s v="3923745916"/>
    <s v="3923745916"/>
    <s v="Valid"/>
    <s v="aarnachaudry@gmail.com"/>
    <s v="Y"/>
    <n v="4142.6400000000003"/>
    <s v="Yes"/>
    <n v="147"/>
    <n v="147"/>
    <s v="C34"/>
  </r>
  <r>
    <s v="P1304"/>
    <s v="Bhavin Bir"/>
    <s v="Bhavin Bir"/>
    <x v="2"/>
    <n v="33"/>
    <n v="33"/>
    <s v="Neurology"/>
    <s v="Neurology"/>
    <s v="dr priya"/>
    <s v="Dr Priya"/>
    <d v="2026-02-11T00:00:00"/>
    <s v="Valid"/>
    <b v="1"/>
    <b v="1"/>
    <d v="2026-01-21T00:00:00"/>
    <s v="7158084369"/>
    <s v="7158084369"/>
    <s v="7158084369"/>
    <s v="Valid"/>
    <s v="shray42@gandhi.com"/>
    <s v="Yes"/>
    <n v="1484.32"/>
    <s v="Yes"/>
    <n v="471"/>
    <n v="471"/>
    <s v="C34"/>
  </r>
  <r>
    <s v="P1306"/>
    <s v="Anahi Jha"/>
    <s v="Anahi Jha"/>
    <x v="3"/>
    <n v="2"/>
    <n v="2"/>
    <s v="Cardiology"/>
    <s v="Cardiology"/>
    <s v="dr priya"/>
    <s v="Dr Priya"/>
    <d v="2026-03-02T00:00:00"/>
    <s v="Valid"/>
    <b v="1"/>
    <b v="1"/>
    <d v="2026-02-04T00:00:00"/>
    <s v="+911625384347"/>
    <s v="911625384347"/>
    <s v="1625384347"/>
    <s v="Valid"/>
    <s v="madhav43@madan-balay.com"/>
    <s v="NO"/>
    <n v="24706.240000000002"/>
    <m/>
    <n v="455"/>
    <n v="455"/>
    <s v="E11"/>
  </r>
  <r>
    <s v="P1307"/>
    <s v="Rhea Chaudhary"/>
    <s v="Rhea Chaudhary"/>
    <x v="3"/>
    <n v="10"/>
    <n v="10"/>
    <s v="Pediatrics"/>
    <s v="Pediatrics"/>
    <s v="dr priya"/>
    <s v="Dr Priya"/>
    <d v="2026-01-24T00:00:00"/>
    <s v="Valid"/>
    <b v="1"/>
    <b v="1"/>
    <d v="2026-01-22T00:00:00"/>
    <s v="+918575348711"/>
    <s v="918575348711"/>
    <s v="8575348711"/>
    <s v="Valid"/>
    <s v="sdas@gmail.com"/>
    <s v="NO"/>
    <n v="2759.4"/>
    <s v="NO"/>
    <n v="253"/>
    <n v="253"/>
    <s v="E11"/>
  </r>
  <r>
    <s v="P1308"/>
    <s v="Arhaan Talwar"/>
    <s v="Arhaan Talwar"/>
    <x v="1"/>
    <n v="18"/>
    <n v="18"/>
    <s v="Orthopedics"/>
    <s v="Orthopedics"/>
    <s v="Dr Mehta"/>
    <s v="Dr Mehta"/>
    <d v="2026-01-14T00:00:00"/>
    <s v="Valid"/>
    <b v="1"/>
    <b v="1"/>
    <d v="2025-12-29T00:00:00"/>
    <s v="+914352771950"/>
    <s v="914352771950"/>
    <s v="4352771950"/>
    <s v="Valid"/>
    <s v="jiyawalia@bandi.net"/>
    <s v="Yes"/>
    <n v="15335.92"/>
    <s v="Y"/>
    <n v="325"/>
    <n v="325"/>
    <s v="J20"/>
  </r>
  <r>
    <s v="P1309"/>
    <s v="Tarini Bhatt"/>
    <s v="Tarini Bhatt"/>
    <x v="5"/>
    <n v="81"/>
    <n v="81"/>
    <s v="Orthopedics"/>
    <s v="Orthopedics"/>
    <s v="dr priya"/>
    <s v="Dr Priya"/>
    <d v="2026-05-10T00:00:00"/>
    <s v="Valid"/>
    <b v="1"/>
    <b v="1"/>
    <d v="2026-04-21T00:00:00"/>
    <s v="9541741902"/>
    <s v="9541741902"/>
    <s v="9541741902"/>
    <s v="Valid"/>
    <s v="sandalyuvraj@yahoo.com"/>
    <m/>
    <n v="21527.07"/>
    <s v="NO"/>
    <n v="151"/>
    <n v="151"/>
    <s v="E11"/>
  </r>
  <r>
    <s v="P1311"/>
    <s v="Priyansh Chandra"/>
    <s v="Priyansh Chandra"/>
    <x v="2"/>
    <n v="32"/>
    <n v="32"/>
    <s v="Oncology"/>
    <s v="Oncology"/>
    <s v="Dr Rao"/>
    <s v="Dr Rao"/>
    <d v="2026-06-01T00:00:00"/>
    <s v="Valid"/>
    <b v="1"/>
    <b v="1"/>
    <d v="2026-05-05T00:00:00"/>
    <s v="04880252954"/>
    <s v="04880252954"/>
    <s v="4880252954"/>
    <s v="Valid"/>
    <s v="karnikrati@ganguly.com"/>
    <s v="Y"/>
    <n v="5295.05"/>
    <s v="N"/>
    <n v="482"/>
    <n v="482"/>
    <s v="M54"/>
  </r>
  <r>
    <s v="P1312"/>
    <s v="Seher Kashyap"/>
    <s v="Seher Kashyap"/>
    <x v="0"/>
    <n v="83"/>
    <n v="83"/>
    <s v="Cardiology"/>
    <s v="Cardiology"/>
    <s v="DR SHARMA"/>
    <s v="Dr Sharma"/>
    <d v="2026-03-08T00:00:00"/>
    <s v="Valid"/>
    <b v="1"/>
    <b v="1"/>
    <d v="2026-02-21T00:00:00"/>
    <s v="00258083790"/>
    <s v="00258083790"/>
    <s v="0258083790"/>
    <s v="Valid"/>
    <s v="divitdada@saraf.com"/>
    <m/>
    <n v="2996.04"/>
    <m/>
    <n v="426"/>
    <n v="426"/>
    <s v="A09"/>
  </r>
  <r>
    <s v="P1313"/>
    <s v="Zaina Mane"/>
    <s v="Zaina Mane"/>
    <x v="2"/>
    <n v="68"/>
    <n v="68"/>
    <s v="Cardiology"/>
    <s v="Cardiology"/>
    <s v="dr priya"/>
    <s v="Dr Priya"/>
    <d v="2026-02-14T00:00:00"/>
    <s v="Valid"/>
    <b v="1"/>
    <b v="1"/>
    <d v="2026-01-16T00:00:00"/>
    <s v="09765746637"/>
    <s v="09765746637"/>
    <s v="9765746637"/>
    <s v="Valid"/>
    <s v="skari@saini-bhatnagar.com"/>
    <s v="N"/>
    <n v="3473.18"/>
    <m/>
    <n v="287"/>
    <n v="287"/>
    <s v="A09"/>
  </r>
  <r>
    <s v="P1314"/>
    <s v="Rania Upadhyay"/>
    <s v="Rania Upadhyay"/>
    <x v="4"/>
    <n v="61"/>
    <n v="61"/>
    <s v="Neurology"/>
    <s v="Neurology"/>
    <s v="Dr Rao"/>
    <s v="Dr Rao"/>
    <d v="2026-02-14T00:00:00"/>
    <s v="Valid"/>
    <b v="1"/>
    <b v="1"/>
    <d v="2026-01-27T00:00:00"/>
    <s v="+914672213718"/>
    <s v="914672213718"/>
    <s v="4672213718"/>
    <s v="Valid"/>
    <s v="nrao@hotmail.com"/>
    <s v="NO"/>
    <n v="542.08000000000004"/>
    <s v="N"/>
    <n v="120"/>
    <n v="120"/>
    <s v="I10"/>
  </r>
  <r>
    <s v="P1315"/>
    <s v="Reyansh Cheema"/>
    <s v="Reyansh Cheema"/>
    <x v="1"/>
    <n v="65"/>
    <n v="65"/>
    <s v="Oncology"/>
    <s v="Oncology"/>
    <s v="dr priya"/>
    <s v="Dr Priya"/>
    <d v="2025-12-10T00:00:00"/>
    <s v="Valid"/>
    <b v="1"/>
    <b v="1"/>
    <d v="2025-11-27T00:00:00"/>
    <s v="+917654323433"/>
    <s v="917654323433"/>
    <s v="7654323433"/>
    <s v="Valid"/>
    <s v="mannat43@bajwa-ramanathan.com"/>
    <m/>
    <n v="2244.21"/>
    <s v="Y"/>
    <n v="242"/>
    <n v="242"/>
    <s v="I10"/>
  </r>
  <r>
    <s v="P1316"/>
    <s v="Adira Manne"/>
    <s v="Adira Manne"/>
    <x v="0"/>
    <n v="11"/>
    <n v="11"/>
    <s v="Pediatrics"/>
    <s v="Pediatrics"/>
    <s v="Dr Mehta"/>
    <s v="Dr Mehta"/>
    <d v="2025-12-24T00:00:00"/>
    <s v="Valid"/>
    <b v="1"/>
    <b v="1"/>
    <d v="2025-12-07T00:00:00"/>
    <s v="+914629823559"/>
    <s v="914629823559"/>
    <s v="4629823559"/>
    <s v="Valid"/>
    <s v="ranbir58@raval-chopra.org"/>
    <s v="N"/>
    <n v="9890.14"/>
    <s v="NO"/>
    <n v="258"/>
    <n v="258"/>
    <s v="C34"/>
  </r>
  <r>
    <s v="P1317"/>
    <s v="Saira Ghosh"/>
    <s v="Saira Ghosh"/>
    <x v="1"/>
    <n v="31"/>
    <n v="31"/>
    <s v="Cardiology"/>
    <s v="Cardiology"/>
    <s v="DR SHARMA"/>
    <s v="Dr Sharma"/>
    <d v="2026-01-21T00:00:00"/>
    <s v="Valid"/>
    <b v="1"/>
    <b v="1"/>
    <d v="2026-01-19T00:00:00"/>
    <s v="3399959340"/>
    <s v="3399959340"/>
    <s v="3399959340"/>
    <s v="Valid"/>
    <s v="qgera@hotmail.com"/>
    <m/>
    <n v="3076.47"/>
    <s v="Yes"/>
    <n v="258"/>
    <n v="258"/>
    <s v="C34"/>
  </r>
  <r>
    <s v="P1318"/>
    <s v="Nirvaan Sarin"/>
    <s v="Nirvaan Sarin"/>
    <x v="4"/>
    <n v="16"/>
    <n v="16"/>
    <s v="Cardiology"/>
    <s v="Cardiology"/>
    <s v="Dr Mehta"/>
    <s v="Dr Mehta"/>
    <d v="2026-05-29T00:00:00"/>
    <s v="Valid"/>
    <b v="1"/>
    <b v="1"/>
    <d v="2026-05-07T00:00:00"/>
    <s v="0942217073"/>
    <s v="0942217073"/>
    <s v="0942217073"/>
    <s v="Valid"/>
    <s v="taimur84@bhandari.com"/>
    <s v="Yes"/>
    <n v="4263.05"/>
    <s v="NO"/>
    <n v="367"/>
    <n v="367"/>
    <s v="A09"/>
  </r>
  <r>
    <s v="P1319"/>
    <s v="Yakshit Balakrishnan"/>
    <s v="Yakshit Balakrishnan"/>
    <x v="0"/>
    <n v="22"/>
    <n v="22"/>
    <s v="ENT"/>
    <s v="ENT"/>
    <s v="Dr Mehta"/>
    <s v="Dr Mehta"/>
    <d v="2026-05-17T00:00:00"/>
    <s v="Valid"/>
    <b v="1"/>
    <b v="1"/>
    <d v="2026-04-24T00:00:00"/>
    <s v="09683420569"/>
    <s v="09683420569"/>
    <s v="9683420569"/>
    <s v="Valid"/>
    <s v="miraan20@rana.info"/>
    <s v="Y"/>
    <n v="18376.810000000001"/>
    <s v="NO"/>
    <n v="494"/>
    <n v="494"/>
    <s v="I10"/>
  </r>
  <r>
    <s v="P1320"/>
    <s v="Jayesh Dara"/>
    <s v="Jayesh Dara"/>
    <x v="2"/>
    <n v="55"/>
    <n v="55"/>
    <s v="Oncology"/>
    <s v="Oncology"/>
    <s v="Dr Mehta"/>
    <s v="Dr Mehta"/>
    <d v="2025-11-29T00:00:00"/>
    <s v="Valid"/>
    <b v="1"/>
    <b v="1"/>
    <d v="2025-11-21T00:00:00"/>
    <s v="6550398513"/>
    <s v="6550398513"/>
    <s v="6550398513"/>
    <s v="Valid"/>
    <m/>
    <s v="NO"/>
    <n v="-500"/>
    <s v="NO"/>
    <n v="128"/>
    <n v="128"/>
    <s v="M54"/>
  </r>
  <r>
    <s v="P1321"/>
    <s v="Rati Varughese"/>
    <s v="Rati Varughese"/>
    <x v="4"/>
    <n v="48"/>
    <n v="48"/>
    <s v="Orthopedics"/>
    <s v="Orthopedics"/>
    <s v="Dr. Sharma"/>
    <s v="Dr. Sharma"/>
    <d v="2025-12-18T00:00:00"/>
    <s v="Valid"/>
    <b v="1"/>
    <b v="1"/>
    <d v="2025-11-24T00:00:00"/>
    <s v="05406550610"/>
    <s v="05406550610"/>
    <s v="5406550610"/>
    <s v="Valid"/>
    <s v="trishasengupta@hotmail.com"/>
    <s v="NO"/>
    <n v="22377.86"/>
    <s v="NO"/>
    <n v="216"/>
    <n v="216"/>
    <s v="C34"/>
  </r>
  <r>
    <s v="P1322"/>
    <s v="Kiara Badami"/>
    <s v="Kiara Badami"/>
    <x v="0"/>
    <n v="6"/>
    <n v="6"/>
    <s v="Cardiology"/>
    <s v="Cardiology"/>
    <s v="DR SHARMA"/>
    <s v="Dr Sharma"/>
    <d v="2026-03-04T00:00:00"/>
    <s v="Valid"/>
    <b v="1"/>
    <b v="1"/>
    <d v="2026-03-03T00:00:00"/>
    <s v="5184685284"/>
    <s v="5184685284"/>
    <s v="5184685284"/>
    <s v="Valid"/>
    <s v="yakshit66@rao.com"/>
    <m/>
    <n v="9226.6200000000008"/>
    <s v="Y"/>
    <n v="191"/>
    <n v="191"/>
    <s v="K21"/>
  </r>
  <r>
    <s v="P1323"/>
    <s v="Mishti Soni"/>
    <s v="Mishti Soni"/>
    <x v="0"/>
    <n v="71"/>
    <n v="71"/>
    <s v="Dermatology"/>
    <s v="Dermatology"/>
    <s v="DR SHARMA"/>
    <s v="Dr Sharma"/>
    <d v="2026-04-12T00:00:00"/>
    <s v="Valid"/>
    <b v="1"/>
    <b v="1"/>
    <d v="2026-04-02T00:00:00"/>
    <s v="6215937033"/>
    <s v="6215937033"/>
    <s v="6215937033"/>
    <s v="Valid"/>
    <s v="rhea04@arora.com"/>
    <s v="NO"/>
    <n v="10523.16"/>
    <s v="NO"/>
    <n v="238"/>
    <n v="238"/>
    <s v="K21"/>
  </r>
  <r>
    <s v="P1324"/>
    <s v="Sana Keer"/>
    <s v="Sana Keer"/>
    <x v="2"/>
    <n v="74"/>
    <n v="74"/>
    <s v="ENT"/>
    <s v="ENT"/>
    <s v="Dr Mehta"/>
    <s v="Dr Mehta"/>
    <d v="2026-05-08T00:00:00"/>
    <s v="Valid"/>
    <b v="1"/>
    <b v="1"/>
    <d v="2026-04-22T00:00:00"/>
    <s v="07366393373"/>
    <s v="07366393373"/>
    <s v="7366393373"/>
    <s v="Valid"/>
    <s v="ahana-mahal@halder.com"/>
    <s v="Yes"/>
    <n v="4647.74"/>
    <s v="Yes"/>
    <n v="305"/>
    <n v="305"/>
    <s v="I10"/>
  </r>
  <r>
    <s v="P1325"/>
    <s v="Ira Rau"/>
    <s v="Ira Rau"/>
    <x v="3"/>
    <n v="37"/>
    <n v="37"/>
    <s v="Oncology"/>
    <s v="Oncology"/>
    <s v="dr priya"/>
    <s v="Dr Priya"/>
    <d v="2026-04-03T00:00:00"/>
    <s v="Valid"/>
    <b v="1"/>
    <b v="1"/>
    <d v="2026-04-01T00:00:00"/>
    <s v="04223004278"/>
    <s v="04223004278"/>
    <s v="4223004278"/>
    <s v="Valid"/>
    <s v="indrans78@khatri.org"/>
    <m/>
    <n v="397.64"/>
    <s v="N"/>
    <n v="249"/>
    <n v="249"/>
    <s v="A09"/>
  </r>
  <r>
    <s v="P1326"/>
    <s v="Saanvi Dutta"/>
    <s v="Saanvi Dutta"/>
    <x v="0"/>
    <n v="80"/>
    <n v="80"/>
    <s v="Pediatrics"/>
    <s v="Pediatrics"/>
    <s v="Dr Khan"/>
    <s v="Dr Khan"/>
    <d v="2026-02-14T00:00:00"/>
    <s v="Valid"/>
    <b v="1"/>
    <b v="1"/>
    <d v="2026-02-03T00:00:00"/>
    <s v="06053384485"/>
    <s v="06053384485"/>
    <s v="6053384485"/>
    <s v="Valid"/>
    <s v="keya10@dada.com"/>
    <m/>
    <n v="24945.119999999999"/>
    <s v="N"/>
    <n v="475"/>
    <n v="475"/>
    <s v="A09"/>
  </r>
  <r>
    <s v="P1328"/>
    <s v="Vedika Jhaveri"/>
    <s v="Vedika Jhaveri"/>
    <x v="1"/>
    <n v="40"/>
    <n v="40"/>
    <s v="Neurology"/>
    <s v="Neurology"/>
    <s v="DR SHARMA"/>
    <s v="Dr Sharma"/>
    <d v="2026-04-29T00:00:00"/>
    <s v="Valid"/>
    <b v="1"/>
    <b v="1"/>
    <d v="2026-04-13T00:00:00"/>
    <s v="05329770579"/>
    <s v="05329770579"/>
    <s v="5329770579"/>
    <s v="Valid"/>
    <s v="yakshit65@hotmail.com"/>
    <s v="NO"/>
    <n v="10611.43"/>
    <s v="Yes"/>
    <n v="172"/>
    <n v="172"/>
    <s v="C34"/>
  </r>
  <r>
    <s v="P1329"/>
    <s v="Alisha Dayal"/>
    <s v="Alisha Dayal"/>
    <x v="0"/>
    <n v="12"/>
    <n v="12"/>
    <s v="Cardiology"/>
    <s v="Cardiology"/>
    <s v="DR SHARMA"/>
    <s v="Dr Sharma"/>
    <d v="2026-02-07T00:00:00"/>
    <s v="Valid"/>
    <b v="1"/>
    <b v="1"/>
    <d v="2026-01-10T00:00:00"/>
    <s v="8012427907"/>
    <s v="8012427907"/>
    <s v="8012427907"/>
    <s v="Valid"/>
    <s v="advikakurian@bhattacharyya.com"/>
    <m/>
    <n v="17581"/>
    <s v="NO"/>
    <n v="334"/>
    <n v="334"/>
    <s v="C34"/>
  </r>
  <r>
    <s v="P1330"/>
    <s v="Nehmat Virk"/>
    <s v="Nehmat Virk"/>
    <x v="2"/>
    <n v="75"/>
    <n v="75"/>
    <s v="Neurology"/>
    <s v="Neurology"/>
    <s v="Dr Mehta"/>
    <s v="Dr Mehta"/>
    <d v="2026-05-25T00:00:00"/>
    <s v="Valid"/>
    <b v="1"/>
    <b v="1"/>
    <d v="2026-05-05T00:00:00"/>
    <s v="00026783589"/>
    <s v="00026783589"/>
    <s v="0026783589"/>
    <s v="Valid"/>
    <s v="dharmajansamra@gmail.com"/>
    <m/>
    <n v="2055.8000000000002"/>
    <s v="Yes"/>
    <n v="322"/>
    <n v="322"/>
    <s v="C34"/>
  </r>
  <r>
    <s v="P1331"/>
    <s v="Divij Raja"/>
    <s v="Divij Raja"/>
    <x v="4"/>
    <n v="31"/>
    <n v="31"/>
    <s v="Oncology"/>
    <s v="Oncology"/>
    <s v="Dr. Sharma"/>
    <s v="Dr. Sharma"/>
    <d v="2026-04-17T00:00:00"/>
    <s v="Valid"/>
    <b v="1"/>
    <b v="1"/>
    <d v="2026-03-21T00:00:00"/>
    <s v="0364878893"/>
    <s v="0364878893"/>
    <s v="0364878893"/>
    <s v="Valid"/>
    <s v="mishti19@tella-khosla.com"/>
    <s v="N"/>
    <n v="23165.84"/>
    <m/>
    <n v="458"/>
    <n v="458"/>
    <s v="K21"/>
  </r>
  <r>
    <s v="P1332"/>
    <s v="Dhanuk Tak"/>
    <s v="Dhanuk Tak"/>
    <x v="2"/>
    <n v="41"/>
    <n v="41"/>
    <s v="General Medicine"/>
    <s v="General Medicine"/>
    <s v="Dr. Sharma"/>
    <s v="Dr. Sharma"/>
    <d v="2026-03-24T00:00:00"/>
    <s v="Valid"/>
    <b v="1"/>
    <b v="1"/>
    <d v="2026-03-17T00:00:00"/>
    <s v="+911740463397"/>
    <s v="911740463397"/>
    <s v="1740463397"/>
    <s v="Valid"/>
    <s v="dkumar@yahoo.com"/>
    <s v="NO"/>
    <n v="23600.16"/>
    <s v="Y"/>
    <n v="499"/>
    <n v="499"/>
    <s v="K21"/>
  </r>
  <r>
    <s v="P1333"/>
    <s v="Vedika Bera"/>
    <s v="Vedika Bera"/>
    <x v="2"/>
    <n v="20"/>
    <n v="20"/>
    <s v="Neurology"/>
    <s v="Neurology"/>
    <s v="Dr Mehta"/>
    <s v="Dr Mehta"/>
    <d v="2025-12-29T00:00:00"/>
    <s v="Valid"/>
    <b v="1"/>
    <b v="1"/>
    <d v="2025-12-15T00:00:00"/>
    <s v="+917878774765"/>
    <s v="917878774765"/>
    <s v="7878774765"/>
    <s v="Valid"/>
    <s v="uthkarshshroff@dasgupta.com"/>
    <m/>
    <n v="7988.03"/>
    <s v="NO"/>
    <n v="374"/>
    <n v="374"/>
    <s v="J20"/>
  </r>
  <r>
    <s v="P1334"/>
    <s v="Jhanvi Goswami"/>
    <s v="Jhanvi Goswami"/>
    <x v="5"/>
    <n v="58"/>
    <n v="58"/>
    <s v="Oncology"/>
    <s v="Oncology"/>
    <s v="Dr Khan"/>
    <s v="Dr Khan"/>
    <d v="2026-04-08T00:00:00"/>
    <s v="Valid"/>
    <b v="1"/>
    <b v="1"/>
    <d v="2026-03-31T00:00:00"/>
    <s v="+919016979923"/>
    <s v="919016979923"/>
    <s v="9016979923"/>
    <s v="Valid"/>
    <s v="aayushbuch@yahoo.com"/>
    <s v="NO"/>
    <n v="2442.44"/>
    <s v="Yes"/>
    <n v="523"/>
    <n v="523"/>
    <s v="C34"/>
  </r>
  <r>
    <s v="P1335"/>
    <s v="Kiaan Sanghvi"/>
    <s v="Kiaan Sanghvi"/>
    <x v="0"/>
    <n v="28"/>
    <n v="28"/>
    <s v="ENT"/>
    <s v="ENT"/>
    <s v="Dr Mehta"/>
    <s v="Dr Mehta"/>
    <d v="2025-12-23T00:00:00"/>
    <s v="Valid"/>
    <b v="1"/>
    <b v="1"/>
    <d v="2025-12-21T00:00:00"/>
    <s v="08036381310"/>
    <s v="08036381310"/>
    <s v="8036381310"/>
    <s v="Valid"/>
    <s v="rhea77@gmail.com"/>
    <s v="NO"/>
    <n v="24216.32"/>
    <m/>
    <n v="362"/>
    <n v="362"/>
    <s v="I10"/>
  </r>
  <r>
    <s v="P1336"/>
    <s v="Saksham Malhotra"/>
    <s v="Saksham Malhotra"/>
    <x v="0"/>
    <n v="34"/>
    <n v="34"/>
    <s v="Orthopedics"/>
    <s v="Orthopedics"/>
    <s v="Dr Rao"/>
    <s v="Dr Rao"/>
    <d v="2026-05-20T00:00:00"/>
    <s v="Valid"/>
    <b v="1"/>
    <b v="1"/>
    <d v="2026-04-20T00:00:00"/>
    <s v="+914648688939"/>
    <s v="914648688939"/>
    <s v="4648688939"/>
    <s v="Valid"/>
    <s v="umang14@tank-kala.com"/>
    <m/>
    <n v="21394.11"/>
    <s v="N"/>
    <n v="148"/>
    <n v="148"/>
    <s v="M54"/>
  </r>
  <r>
    <s v="P1337"/>
    <s v="Bhamini Dhawan"/>
    <s v="Bhamini Dhawan"/>
    <x v="2"/>
    <n v="18"/>
    <n v="18"/>
    <s v="Neurology"/>
    <s v="Neurology"/>
    <s v="Dr Rao"/>
    <s v="Dr Rao"/>
    <d v="2026-03-26T00:00:00"/>
    <s v="Valid"/>
    <b v="1"/>
    <b v="1"/>
    <d v="2026-03-25T00:00:00"/>
    <s v="08357192862"/>
    <s v="08357192862"/>
    <s v="8357192862"/>
    <s v="Valid"/>
    <s v="chiragvarma@kapur.com"/>
    <s v="NO"/>
    <n v="3441.74"/>
    <m/>
    <n v="290"/>
    <n v="290"/>
    <s v="C34"/>
  </r>
  <r>
    <s v="P1339"/>
    <s v="Trisha Jayaraman"/>
    <s v="Trisha Jayaraman"/>
    <x v="2"/>
    <n v="43"/>
    <n v="43"/>
    <s v="Neurology"/>
    <s v="Neurology"/>
    <s v="Dr Rao"/>
    <s v="Dr Rao"/>
    <d v="2025-12-29T00:00:00"/>
    <s v="Valid"/>
    <b v="1"/>
    <b v="1"/>
    <d v="2025-11-29T00:00:00"/>
    <s v="+912219014071"/>
    <s v="912219014071"/>
    <s v="2219014071"/>
    <s v="Valid"/>
    <s v="fatehvarty@srinivas.com"/>
    <m/>
    <n v="1455.81"/>
    <m/>
    <n v="520"/>
    <n v="520"/>
    <s v="C34"/>
  </r>
  <r>
    <s v="P1341"/>
    <s v="Seher Kulkarni"/>
    <s v="Seher Kulkarni"/>
    <x v="0"/>
    <n v="58"/>
    <n v="58"/>
    <s v="Orthopedics"/>
    <s v="Orthopedics"/>
    <s v="Dr Rao"/>
    <s v="Dr Rao"/>
    <d v="2026-03-17T00:00:00"/>
    <s v="Valid"/>
    <b v="1"/>
    <b v="1"/>
    <d v="2026-02-26T00:00:00"/>
    <s v="01206305192"/>
    <s v="01206305192"/>
    <s v="1206305192"/>
    <s v="Valid"/>
    <s v="ybarad@rama-kurian.com"/>
    <s v="NO"/>
    <n v="16252.5"/>
    <m/>
    <n v="310"/>
    <n v="310"/>
    <s v="A09"/>
  </r>
  <r>
    <s v="P1342"/>
    <s v="Diya Choudhury"/>
    <s v="Diya Choudhury"/>
    <x v="3"/>
    <n v="8"/>
    <n v="8"/>
    <s v="Neurology"/>
    <s v="Neurology"/>
    <s v="Dr. Sharma"/>
    <s v="Dr. Sharma"/>
    <d v="2026-03-22T00:00:00"/>
    <s v="Valid"/>
    <b v="1"/>
    <b v="1"/>
    <d v="2026-03-10T00:00:00"/>
    <s v="9772245493"/>
    <s v="9772245493"/>
    <s v="9772245493"/>
    <s v="Valid"/>
    <s v="divit07@grewal.biz"/>
    <s v="Yes"/>
    <n v="10597.02"/>
    <s v="N"/>
    <n v="422"/>
    <n v="422"/>
    <s v="K21"/>
  </r>
  <r>
    <s v="P1343"/>
    <s v="Shray Bhatnagar"/>
    <s v="Shray Bhatnagar"/>
    <x v="0"/>
    <n v="49"/>
    <n v="49"/>
    <s v="ENT"/>
    <s v="ENT"/>
    <s v="Dr Khan"/>
    <s v="Dr Khan"/>
    <d v="2026-02-08T00:00:00"/>
    <s v="Valid"/>
    <b v="1"/>
    <b v="1"/>
    <d v="2026-01-22T00:00:00"/>
    <s v="+918634345383"/>
    <s v="918634345383"/>
    <s v="8634345383"/>
    <s v="Valid"/>
    <s v="ubhattacharyya@goda.com"/>
    <m/>
    <n v="8732.0499999999993"/>
    <s v="NO"/>
    <n v="298"/>
    <n v="298"/>
    <s v="J20"/>
  </r>
  <r>
    <s v="P1345"/>
    <s v="Kanav Babu"/>
    <s v="Kanav Babu"/>
    <x v="5"/>
    <n v="21"/>
    <n v="21"/>
    <s v="Neurology"/>
    <s v="Neurology"/>
    <s v="DR SHARMA"/>
    <s v="Dr Sharma"/>
    <d v="2026-03-13T00:00:00"/>
    <s v="Valid"/>
    <b v="1"/>
    <b v="1"/>
    <d v="2026-02-20T00:00:00"/>
    <s v="09378393141"/>
    <s v="09378393141"/>
    <s v="9378393141"/>
    <s v="Valid"/>
    <s v="tellazoya@hotmail.com"/>
    <s v="NO"/>
    <n v="6809.87"/>
    <s v="Yes"/>
    <n v="491"/>
    <n v="491"/>
    <s v="E11"/>
  </r>
  <r>
    <s v="P1346"/>
    <s v="Badal Wagle"/>
    <s v="Badal Wagle"/>
    <x v="1"/>
    <n v="46"/>
    <n v="46"/>
    <s v="Orthopedics"/>
    <s v="Orthopedics"/>
    <s v="Dr Mehta"/>
    <s v="Dr Mehta"/>
    <d v="2025-12-25T00:00:00"/>
    <s v="Valid"/>
    <b v="1"/>
    <b v="1"/>
    <d v="2025-12-18T00:00:00"/>
    <s v="3346188331"/>
    <s v="3346188331"/>
    <s v="3346188331"/>
    <s v="Valid"/>
    <s v="virkkaira@yahoo.com"/>
    <s v="N"/>
    <n v="20194.009999999998"/>
    <s v="NO"/>
    <n v="402"/>
    <n v="402"/>
    <s v="I10"/>
  </r>
  <r>
    <s v="P1347"/>
    <s v="Gatik Soman"/>
    <s v="Gatik Soman"/>
    <x v="2"/>
    <n v="73"/>
    <n v="73"/>
    <s v="Orthopedics"/>
    <s v="Orthopedics"/>
    <s v="DR SHARMA"/>
    <s v="Dr Sharma"/>
    <d v="2026-02-06T00:00:00"/>
    <s v="Valid"/>
    <b v="1"/>
    <b v="1"/>
    <d v="2026-01-11T00:00:00"/>
    <s v="8323825378"/>
    <s v="8323825378"/>
    <s v="8323825378"/>
    <s v="Valid"/>
    <s v="duttagokul@goda.com"/>
    <m/>
    <n v="13644.69"/>
    <s v="Y"/>
    <n v="351"/>
    <n v="351"/>
    <s v="I10"/>
  </r>
  <r>
    <s v="P1350"/>
    <s v="Taran Shankar"/>
    <s v="Taran Shankar"/>
    <x v="2"/>
    <n v="10"/>
    <n v="10"/>
    <s v="ENT"/>
    <s v="ENT"/>
    <s v="dr priya"/>
    <s v="Dr Priya"/>
    <d v="2025-12-02T00:00:00"/>
    <s v="Valid"/>
    <b v="1"/>
    <b v="1"/>
    <d v="2025-11-14T00:00:00"/>
    <s v="+915480151740"/>
    <s v="915480151740"/>
    <s v="5480151740"/>
    <s v="Valid"/>
    <s v="janidivij@gmail.com"/>
    <s v="NO"/>
    <n v="8546.7099999999991"/>
    <s v="NO"/>
    <s v="Room-X"/>
    <n v="0"/>
    <s v="E11"/>
  </r>
  <r>
    <s v="P1351"/>
    <s v="Ivana Agrawal"/>
    <s v="Ivana Agrawal"/>
    <x v="1"/>
    <n v="82"/>
    <n v="82"/>
    <s v="General Medicine"/>
    <s v="General Medicine"/>
    <s v="dr priya"/>
    <s v="Dr Priya"/>
    <d v="2026-02-03T00:00:00"/>
    <s v="Valid"/>
    <b v="1"/>
    <b v="1"/>
    <d v="2026-01-29T00:00:00"/>
    <s v="02560305329"/>
    <s v="02560305329"/>
    <s v="2560305329"/>
    <s v="Valid"/>
    <s v="biju68@kari-cherian.com"/>
    <s v="N"/>
    <n v="5736.28"/>
    <s v="Y"/>
    <n v="293"/>
    <n v="293"/>
    <s v="J20"/>
  </r>
  <r>
    <s v="P1352"/>
    <s v="Tiya Basak"/>
    <s v="Tiya Basak"/>
    <x v="0"/>
    <n v="17"/>
    <n v="17"/>
    <s v="Orthopedics"/>
    <s v="Orthopedics"/>
    <s v="Dr Rao"/>
    <s v="Dr Rao"/>
    <d v="2026-03-06T00:00:00"/>
    <s v="Valid"/>
    <b v="1"/>
    <b v="1"/>
    <d v="2026-02-04T00:00:00"/>
    <s v="8287499588"/>
    <s v="8287499588"/>
    <s v="8287499588"/>
    <s v="Valid"/>
    <s v="bahlarhaan@hotmail.com"/>
    <m/>
    <n v="21298.77"/>
    <s v="Yes"/>
    <n v="193"/>
    <n v="193"/>
    <s v="A09"/>
  </r>
  <r>
    <s v="P1353"/>
    <s v="Advik Varughese"/>
    <s v="Advik Varughese"/>
    <x v="2"/>
    <n v="79"/>
    <n v="79"/>
    <s v="Pediatrics"/>
    <s v="Pediatrics"/>
    <s v="Dr Mehta"/>
    <s v="Dr Mehta"/>
    <d v="2026-03-14T00:00:00"/>
    <s v="Valid"/>
    <b v="1"/>
    <b v="1"/>
    <d v="2026-02-13T00:00:00"/>
    <s v="02557357578"/>
    <s v="02557357578"/>
    <s v="2557357578"/>
    <s v="Valid"/>
    <s v="jayan38@yahoo.com"/>
    <m/>
    <n v="3687.96"/>
    <s v="NO"/>
    <n v="221"/>
    <n v="221"/>
    <s v="J20"/>
  </r>
  <r>
    <s v="P1354"/>
    <s v="Armaan Tella"/>
    <s v="Armaan Tella"/>
    <x v="2"/>
    <n v="22"/>
    <n v="22"/>
    <s v="Neurology"/>
    <s v="Neurology"/>
    <s v="dr priya"/>
    <s v="Dr Priya"/>
    <d v="2026-02-21T00:00:00"/>
    <s v="Valid"/>
    <b v="1"/>
    <b v="1"/>
    <d v="2026-02-07T00:00:00"/>
    <s v="0268317392"/>
    <s v="0268317392"/>
    <s v="0268317392"/>
    <s v="Valid"/>
    <s v="shamik95@gmail.com"/>
    <s v="Yes"/>
    <n v="6777.27"/>
    <s v="N"/>
    <n v="454"/>
    <n v="454"/>
    <s v="I10"/>
  </r>
  <r>
    <s v="P1355"/>
    <s v="Divij Chahal"/>
    <s v="Divij Chahal"/>
    <x v="2"/>
    <n v="33"/>
    <n v="33"/>
    <s v="Neurology"/>
    <s v="Neurology"/>
    <s v="Dr Rao"/>
    <s v="Dr Rao"/>
    <d v="2025-11-25T00:00:00"/>
    <s v="Valid"/>
    <b v="1"/>
    <b v="1"/>
    <d v="2025-11-24T00:00:00"/>
    <s v="+913719904162"/>
    <s v="913719904162"/>
    <s v="3719904162"/>
    <s v="Valid"/>
    <s v="rhea12@apte.org"/>
    <m/>
    <n v="11067.86"/>
    <m/>
    <n v="185"/>
    <n v="185"/>
    <s v="M54"/>
  </r>
  <r>
    <s v="P1356"/>
    <s v="Nitara Sibal"/>
    <s v="Nitara Sibal"/>
    <x v="3"/>
    <n v="49"/>
    <n v="49"/>
    <s v="ENT"/>
    <s v="ENT"/>
    <s v="dr priya"/>
    <s v="Dr Priya"/>
    <d v="2026-04-14T00:00:00"/>
    <s v="Valid"/>
    <b v="1"/>
    <b v="1"/>
    <d v="2026-04-11T00:00:00"/>
    <s v="+918411584402"/>
    <s v="918411584402"/>
    <s v="8411584402"/>
    <s v="Valid"/>
    <s v="ssastry@gmail.com"/>
    <m/>
    <n v="19760.5"/>
    <s v="N"/>
    <n v="183"/>
    <n v="183"/>
    <s v="M54"/>
  </r>
  <r>
    <s v="P1357"/>
    <s v="Aaina Sandhu"/>
    <s v="Aaina Sandhu"/>
    <x v="2"/>
    <n v="5"/>
    <n v="5"/>
    <s v="Oncology"/>
    <s v="Oncology"/>
    <s v="Dr Rao"/>
    <s v="Dr Rao"/>
    <d v="2026-02-15T00:00:00"/>
    <s v="Valid"/>
    <b v="1"/>
    <b v="1"/>
    <d v="2026-02-05T00:00:00"/>
    <s v="03355975188"/>
    <s v="03355975188"/>
    <s v="3355975188"/>
    <s v="Valid"/>
    <s v="golenishith@rajagopalan.net"/>
    <s v="Y"/>
    <n v="23801.22"/>
    <s v="NO"/>
    <n v="275"/>
    <n v="275"/>
    <s v="E11"/>
  </r>
  <r>
    <s v="P1358"/>
    <s v="Suhana Dutta"/>
    <s v="Suhana Dutta"/>
    <x v="1"/>
    <n v="21"/>
    <n v="21"/>
    <s v="Neurology"/>
    <s v="Neurology"/>
    <s v="Dr Mehta"/>
    <s v="Dr Mehta"/>
    <d v="2026-05-09T00:00:00"/>
    <s v="Valid"/>
    <b v="1"/>
    <b v="1"/>
    <d v="2026-04-29T00:00:00"/>
    <s v="+912184300138"/>
    <s v="912184300138"/>
    <s v="2184300138"/>
    <s v="Valid"/>
    <s v="anayabanik@gmail.com"/>
    <m/>
    <n v="17671.72"/>
    <m/>
    <n v="434"/>
    <n v="434"/>
    <s v="E11"/>
  </r>
  <r>
    <s v="P1359"/>
    <s v="Shanaya Iyer"/>
    <s v="Shanaya Iyer"/>
    <x v="1"/>
    <n v="21"/>
    <n v="21"/>
    <s v="Cardiology"/>
    <s v="Cardiology"/>
    <s v="Dr Mehta"/>
    <s v="Dr Mehta"/>
    <d v="2026-04-26T00:00:00"/>
    <s v="Valid"/>
    <b v="1"/>
    <b v="1"/>
    <d v="2026-04-16T00:00:00"/>
    <s v="01291927592"/>
    <s v="01291927592"/>
    <s v="1291927592"/>
    <s v="Valid"/>
    <s v="ymadan@yahoo.com"/>
    <s v="NO"/>
    <n v="24365.08"/>
    <m/>
    <n v="456"/>
    <n v="456"/>
    <s v="A09"/>
  </r>
  <r>
    <s v="P1360"/>
    <s v="  Sahil Dugar "/>
    <s v="Sahil Dugar"/>
    <x v="0"/>
    <n v="85"/>
    <n v="85"/>
    <s v="Oncology"/>
    <s v="Oncology"/>
    <s v="Dr. Sharma"/>
    <s v="Dr. Sharma"/>
    <d v="2026-05-04T00:00:00"/>
    <s v="Valid"/>
    <b v="1"/>
    <b v="1"/>
    <d v="2026-04-27T00:00:00"/>
    <s v="+910395112787"/>
    <s v="910395112787"/>
    <s v="0395112787"/>
    <s v="Valid"/>
    <s v="udas@yahoo.com"/>
    <s v="NO"/>
    <n v="1430.96"/>
    <m/>
    <n v="178"/>
    <n v="178"/>
    <s v="I10"/>
  </r>
  <r>
    <s v="P1361"/>
    <s v="Nitara Gole"/>
    <s v="Nitara Gole"/>
    <x v="2"/>
    <n v="1"/>
    <n v="1"/>
    <s v="Dermatology"/>
    <s v="Dermatology"/>
    <s v="Dr Mehta"/>
    <s v="Dr Mehta"/>
    <d v="2026-04-14T00:00:00"/>
    <s v="Valid"/>
    <b v="1"/>
    <b v="1"/>
    <d v="2026-04-05T00:00:00"/>
    <s v="0994399784"/>
    <s v="0994399784"/>
    <s v="0994399784"/>
    <s v="Valid"/>
    <s v="manikya66@yahoo.com"/>
    <m/>
    <n v="5151.9399999999996"/>
    <s v="Yes"/>
    <n v="205"/>
    <n v="205"/>
    <s v="E11"/>
  </r>
  <r>
    <s v="P1362"/>
    <s v="Azad Kuruvilla"/>
    <s v="Azad Kuruvilla"/>
    <x v="0"/>
    <n v="11"/>
    <n v="11"/>
    <s v="General Medicine"/>
    <s v="General Medicine"/>
    <s v="Dr Mehta"/>
    <s v="Dr Mehta"/>
    <d v="2026-04-22T00:00:00"/>
    <s v="Valid"/>
    <b v="1"/>
    <b v="1"/>
    <d v="2026-04-13T00:00:00"/>
    <s v="6009320958"/>
    <s v="6009320958"/>
    <s v="6009320958"/>
    <s v="Valid"/>
    <s v="zrandhawa@gmail.com"/>
    <m/>
    <n v="11879.42"/>
    <s v="Yes"/>
    <n v="146"/>
    <n v="146"/>
    <s v="C34"/>
  </r>
  <r>
    <s v="P1363"/>
    <s v="Akarsh Sarma"/>
    <s v="Akarsh Sarma"/>
    <x v="1"/>
    <n v="24"/>
    <n v="24"/>
    <s v="ENT"/>
    <s v="ENT"/>
    <s v="dr priya"/>
    <s v="Dr Priya"/>
    <d v="2026-02-07T00:00:00"/>
    <s v="Valid"/>
    <b v="1"/>
    <b v="1"/>
    <d v="2026-01-27T00:00:00"/>
    <s v="+915614450297"/>
    <s v="915614450297"/>
    <s v="5614450297"/>
    <s v="Valid"/>
    <s v="pranaybhat@hotmail.com"/>
    <s v="Yes"/>
    <n v="11255.23"/>
    <s v="Yes"/>
    <n v="325"/>
    <n v="325"/>
    <s v="M54"/>
  </r>
  <r>
    <s v="P1364"/>
    <s v="Jivin Amble"/>
    <s v="Jivin Amble"/>
    <x v="0"/>
    <n v="29"/>
    <n v="29"/>
    <s v="Oncology"/>
    <s v="Oncology"/>
    <s v="Dr Rao"/>
    <s v="Dr Rao"/>
    <d v="2026-04-12T00:00:00"/>
    <s v="Valid"/>
    <b v="1"/>
    <b v="1"/>
    <d v="2026-04-08T00:00:00"/>
    <s v="4213820814"/>
    <s v="4213820814"/>
    <s v="4213820814"/>
    <s v="Valid"/>
    <s v="manjari23@hotmail.com"/>
    <s v="NO"/>
    <n v="2325.54"/>
    <s v="NO"/>
    <n v="513"/>
    <n v="513"/>
    <s v="A09"/>
  </r>
  <r>
    <s v="P1365"/>
    <s v="Prerak Devi"/>
    <s v="Prerak Devi"/>
    <x v="1"/>
    <n v="76"/>
    <n v="76"/>
    <s v="Pediatrics"/>
    <s v="Pediatrics"/>
    <s v="Dr Rao"/>
    <s v="Dr Rao"/>
    <d v="2026-04-23T00:00:00"/>
    <s v="Valid"/>
    <b v="1"/>
    <b v="1"/>
    <d v="2026-03-28T00:00:00"/>
    <s v="9432198720"/>
    <s v="9432198720"/>
    <s v="9432198720"/>
    <s v="Valid"/>
    <s v="lalzaina@gmail.com"/>
    <m/>
    <n v="20496.45"/>
    <m/>
    <n v="374"/>
    <n v="374"/>
    <s v="C34"/>
  </r>
  <r>
    <s v="P1366"/>
    <s v="Rania Varughese"/>
    <s v="Rania Varughese"/>
    <x v="3"/>
    <n v="74"/>
    <n v="74"/>
    <s v="Pediatrics"/>
    <s v="Pediatrics"/>
    <s v="Dr Khan"/>
    <s v="Dr Khan"/>
    <d v="2026-03-22T00:00:00"/>
    <s v="Valid"/>
    <b v="1"/>
    <b v="1"/>
    <d v="2026-03-13T00:00:00"/>
    <s v="+914296721119"/>
    <s v="914296721119"/>
    <s v="4296721119"/>
    <s v="Valid"/>
    <s v="alia32@yahoo.com"/>
    <s v="NO"/>
    <n v="9991.15"/>
    <s v="Yes"/>
    <n v="357"/>
    <n v="357"/>
    <s v="A09"/>
  </r>
  <r>
    <s v="P1367"/>
    <s v="Sana Tripathi"/>
    <s v="Sana Tripathi"/>
    <x v="4"/>
    <n v="16"/>
    <n v="16"/>
    <s v="General Medicine"/>
    <s v="General Medicine"/>
    <s v="Dr Mehta"/>
    <s v="Dr Mehta"/>
    <d v="2025-12-28T00:00:00"/>
    <s v="Valid"/>
    <b v="1"/>
    <b v="1"/>
    <d v="2025-11-28T00:00:00"/>
    <s v="+911199565658"/>
    <s v="911199565658"/>
    <s v="1199565658"/>
    <s v="Valid"/>
    <s v="vsane@yahoo.com"/>
    <s v="Yes"/>
    <n v="24309.69"/>
    <s v="N"/>
    <n v="164"/>
    <n v="164"/>
    <s v="I10"/>
  </r>
  <r>
    <s v="P1368"/>
    <s v="Riaan Hari"/>
    <s v="Riaan Hari"/>
    <x v="1"/>
    <n v="11"/>
    <n v="11"/>
    <s v="Dermatology"/>
    <s v="Dermatology"/>
    <s v="DR SHARMA"/>
    <s v="Dr Sharma"/>
    <d v="2026-05-11T00:00:00"/>
    <s v="Valid"/>
    <b v="1"/>
    <b v="1"/>
    <d v="2026-04-15T00:00:00"/>
    <s v="03928903011"/>
    <s v="03928903011"/>
    <s v="3928903011"/>
    <s v="Valid"/>
    <s v="rajindranil@lad.org"/>
    <s v="Yes"/>
    <n v="20885.88"/>
    <s v="Yes"/>
    <n v="263"/>
    <n v="263"/>
    <s v="C34"/>
  </r>
  <r>
    <s v="P1369"/>
    <s v="Krish Jayaraman"/>
    <s v="Krish Jayaraman"/>
    <x v="2"/>
    <n v="12"/>
    <n v="12"/>
    <s v="Dermatology"/>
    <s v="Dermatology"/>
    <s v="dr priya"/>
    <s v="Dr Priya"/>
    <d v="2026-05-23T00:00:00"/>
    <s v="Valid"/>
    <b v="1"/>
    <b v="1"/>
    <d v="2026-05-06T00:00:00"/>
    <s v="03476685045"/>
    <s v="03476685045"/>
    <s v="3476685045"/>
    <s v="Valid"/>
    <s v="riyasolanki@bassi.com"/>
    <s v="N"/>
    <n v="21444.28"/>
    <m/>
    <n v="547"/>
    <n v="547"/>
    <s v="I10"/>
  </r>
  <r>
    <s v="P1370"/>
    <s v="Amira Bumb"/>
    <s v="Amira Bumb"/>
    <x v="1"/>
    <n v="15"/>
    <n v="15"/>
    <s v="Dermatology"/>
    <s v="Dermatology"/>
    <s v="Dr Mehta"/>
    <s v="Dr Mehta"/>
    <d v="2026-02-25T00:00:00"/>
    <s v="Valid"/>
    <b v="1"/>
    <b v="1"/>
    <d v="2026-02-21T00:00:00"/>
    <s v="02762280077"/>
    <s v="02762280077"/>
    <s v="2762280077"/>
    <s v="Valid"/>
    <s v="madhavbath@gulati.info"/>
    <s v="NO"/>
    <n v="23138.22"/>
    <s v="NO"/>
    <n v="502"/>
    <n v="502"/>
    <s v="J20"/>
  </r>
  <r>
    <s v="P1371"/>
    <s v="Kartik Balay"/>
    <s v="Kartik Balay"/>
    <x v="2"/>
    <n v="53"/>
    <n v="53"/>
    <s v="Oncology"/>
    <s v="Oncology"/>
    <s v="dr priya"/>
    <s v="Dr Priya"/>
    <d v="2026-04-30T00:00:00"/>
    <s v="Valid"/>
    <b v="1"/>
    <b v="1"/>
    <d v="2026-04-10T00:00:00"/>
    <s v="+916196152486"/>
    <s v="916196152486"/>
    <s v="6196152486"/>
    <s v="Valid"/>
    <s v="imadan@gmail.com"/>
    <m/>
    <n v="14386.18"/>
    <m/>
    <n v="119"/>
    <n v="119"/>
    <s v="E11"/>
  </r>
  <r>
    <s v="P1372"/>
    <s v="Indranil Thaman"/>
    <s v="Indranil Thaman"/>
    <x v="0"/>
    <n v="52"/>
    <n v="52"/>
    <s v="Orthopedics"/>
    <s v="Orthopedics"/>
    <s v="dr priya"/>
    <s v="Dr Priya"/>
    <d v="2026-02-10T00:00:00"/>
    <s v="Valid"/>
    <b v="1"/>
    <b v="1"/>
    <d v="2026-02-09T00:00:00"/>
    <s v="+913126317078"/>
    <s v="913126317078"/>
    <s v="3126317078"/>
    <s v="Valid"/>
    <s v="jzacharia@khanna.org"/>
    <m/>
    <n v="22261.439999999999"/>
    <s v="NO"/>
    <n v="453"/>
    <n v="453"/>
    <s v="E11"/>
  </r>
  <r>
    <s v="P1374"/>
    <s v="Lakshay Shan"/>
    <s v="Lakshay Shan"/>
    <x v="3"/>
    <n v="90"/>
    <n v="90"/>
    <s v="Neurology"/>
    <s v="Neurology"/>
    <s v="DR SHARMA"/>
    <s v="Dr Sharma"/>
    <d v="2026-04-21T00:00:00"/>
    <s v="Valid"/>
    <b v="1"/>
    <b v="1"/>
    <d v="2026-04-17T00:00:00"/>
    <s v="1450566785"/>
    <s v="1450566785"/>
    <s v="1450566785"/>
    <s v="Valid"/>
    <s v="wsrinivas@hotmail.com"/>
    <s v="Y"/>
    <n v="24360.639999999999"/>
    <m/>
    <n v="496"/>
    <n v="496"/>
    <s v="K21"/>
  </r>
  <r>
    <s v="P1375"/>
    <s v="Reyansh Babu"/>
    <s v="Reyansh Babu"/>
    <x v="2"/>
    <n v="35"/>
    <n v="35"/>
    <s v="Dermatology"/>
    <s v="Dermatology"/>
    <s v="Dr Mehta"/>
    <s v="Dr Mehta"/>
    <d v="2026-02-13T00:00:00"/>
    <s v="Valid"/>
    <b v="1"/>
    <b v="1"/>
    <d v="2026-02-07T00:00:00"/>
    <s v="6645371234"/>
    <s v="6645371234"/>
    <s v="6645371234"/>
    <s v="Valid"/>
    <s v="irabobal@badami.org"/>
    <m/>
    <n v="5442.48"/>
    <m/>
    <n v="479"/>
    <n v="479"/>
    <s v="M54"/>
  </r>
  <r>
    <s v="P1376"/>
    <s v="Shalv Joshi"/>
    <s v="Shalv Joshi"/>
    <x v="2"/>
    <n v="8"/>
    <n v="8"/>
    <s v="Orthopedics"/>
    <s v="Orthopedics"/>
    <s v="Dr Mehta"/>
    <s v="Dr Mehta"/>
    <d v="2026-04-29T00:00:00"/>
    <s v="Valid"/>
    <b v="1"/>
    <b v="1"/>
    <d v="2026-04-20T00:00:00"/>
    <s v="+913440629609"/>
    <s v="913440629609"/>
    <s v="3440629609"/>
    <s v="Valid"/>
    <s v="latareyansh@hotmail.com"/>
    <m/>
    <n v="3564.12"/>
    <s v="Yes"/>
    <n v="188"/>
    <n v="188"/>
    <s v="E11"/>
  </r>
  <r>
    <s v="P1377"/>
    <s v="Amani Bahl"/>
    <s v="Amani Bahl"/>
    <x v="5"/>
    <n v="8"/>
    <n v="8"/>
    <s v="Pediatrics"/>
    <s v="Pediatrics"/>
    <s v="Dr Rao"/>
    <s v="Dr Rao"/>
    <d v="2026-02-28T00:00:00"/>
    <s v="Valid"/>
    <b v="1"/>
    <b v="1"/>
    <d v="2026-02-14T00:00:00"/>
    <s v="+912723461771"/>
    <s v="912723461771"/>
    <s v="2723461771"/>
    <s v="Valid"/>
    <s v="rashakhurana@hotmail.com"/>
    <s v="Yes"/>
    <n v="22967.17"/>
    <s v="N"/>
    <n v="240"/>
    <n v="240"/>
    <s v="J20"/>
  </r>
  <r>
    <s v="P1378"/>
    <s v="Umang Gokhale"/>
    <s v="Umang Gokhale"/>
    <x v="3"/>
    <n v="65"/>
    <n v="65"/>
    <s v="Dermatology"/>
    <s v="Dermatology"/>
    <s v="Dr Mehta"/>
    <s v="Dr Mehta"/>
    <d v="2026-01-25T00:00:00"/>
    <s v="Valid"/>
    <b v="1"/>
    <b v="1"/>
    <d v="2026-01-04T00:00:00"/>
    <s v="9614279105"/>
    <s v="9614279105"/>
    <s v="9614279105"/>
    <s v="Valid"/>
    <s v="uthkarsh82@yahoo.com"/>
    <s v="Yes"/>
    <n v="6200.06"/>
    <m/>
    <n v="404"/>
    <n v="404"/>
    <s v="M54"/>
  </r>
  <r>
    <s v="P1379"/>
    <s v="Darshit Ramachandran"/>
    <s v="Darshit Ramachandran"/>
    <x v="4"/>
    <n v="61"/>
    <n v="61"/>
    <s v="ENT"/>
    <s v="ENT"/>
    <s v="dr priya"/>
    <s v="Dr Priya"/>
    <d v="2026-02-01T00:00:00"/>
    <s v="Valid"/>
    <b v="1"/>
    <b v="1"/>
    <d v="2026-01-27T00:00:00"/>
    <s v="4589323732"/>
    <s v="4589323732"/>
    <s v="4589323732"/>
    <s v="Valid"/>
    <s v="rkaran@sharma.com"/>
    <s v="Y"/>
    <n v="18774.240000000002"/>
    <s v="NO"/>
    <n v="245"/>
    <n v="245"/>
    <s v="I10"/>
  </r>
  <r>
    <s v="P1380"/>
    <s v="Mahika Joshi"/>
    <s v="Mahika Joshi"/>
    <x v="1"/>
    <n v="7"/>
    <n v="7"/>
    <s v="Orthopedics"/>
    <s v="Orthopedics"/>
    <s v="DR SHARMA"/>
    <s v="Dr Sharma"/>
    <d v="2026-01-17T00:00:00"/>
    <s v="Valid"/>
    <b v="1"/>
    <b v="1"/>
    <d v="2025-12-21T00:00:00"/>
    <s v="04375517668"/>
    <s v="04375517668"/>
    <s v="4375517668"/>
    <s v="Valid"/>
    <s v="duaadira@dasgupta.com"/>
    <s v="NO"/>
    <n v="16255.02"/>
    <s v="N"/>
    <n v="237"/>
    <n v="237"/>
    <s v="C34"/>
  </r>
  <r>
    <s v="P1381"/>
    <s v="Indrans Deol"/>
    <s v="Indrans Deol"/>
    <x v="1"/>
    <n v="66"/>
    <n v="66"/>
    <s v="Cardiology"/>
    <s v="Cardiology"/>
    <s v="Dr Rao"/>
    <s v="Dr Rao"/>
    <d v="2026-03-22T00:00:00"/>
    <s v="Valid"/>
    <b v="1"/>
    <b v="1"/>
    <d v="2026-03-07T00:00:00"/>
    <s v="+914164853166"/>
    <s v="914164853166"/>
    <s v="4164853166"/>
    <s v="Valid"/>
    <s v="edwineshani@yahoo.com"/>
    <s v="Yes"/>
    <n v="16254.81"/>
    <s v="Yes"/>
    <n v="214"/>
    <n v="214"/>
    <s v="J20"/>
  </r>
  <r>
    <s v="P1382"/>
    <s v="Hazel Loyal"/>
    <s v="Hazel Loyal"/>
    <x v="0"/>
    <n v="83"/>
    <n v="83"/>
    <s v="Oncology"/>
    <s v="Oncology"/>
    <s v="dr priya"/>
    <s v="Dr Priya"/>
    <d v="2026-03-20T00:00:00"/>
    <s v="Valid"/>
    <b v="1"/>
    <b v="1"/>
    <d v="2026-02-20T00:00:00"/>
    <s v="2854495245"/>
    <s v="2854495245"/>
    <s v="2854495245"/>
    <s v="Valid"/>
    <s v="jhaverigatik@hotmail.com"/>
    <m/>
    <n v="21319.34"/>
    <m/>
    <n v="229"/>
    <n v="229"/>
    <s v="E11"/>
  </r>
  <r>
    <s v="P1384"/>
    <s v="Manjari Kalita"/>
    <s v="Manjari Kalita"/>
    <x v="2"/>
    <n v="62"/>
    <n v="62"/>
    <s v="Neurology"/>
    <s v="Neurology"/>
    <s v="dr priya"/>
    <s v="Dr Priya"/>
    <d v="2026-02-16T00:00:00"/>
    <s v="Valid"/>
    <b v="1"/>
    <b v="1"/>
    <d v="2026-02-08T00:00:00"/>
    <s v="01574452835"/>
    <s v="01574452835"/>
    <s v="1574452835"/>
    <s v="Valid"/>
    <s v="shalv36@hegde-kala.com"/>
    <s v="N"/>
    <n v="21564.99"/>
    <s v="Yes"/>
    <n v="435"/>
    <n v="435"/>
    <s v="C34"/>
  </r>
  <r>
    <s v="P1385"/>
    <s v="Vihaan Hora"/>
    <s v="Vihaan Hora"/>
    <x v="0"/>
    <n v="25"/>
    <n v="25"/>
    <s v="Orthopedics"/>
    <s v="Orthopedics"/>
    <s v="DR SHARMA"/>
    <s v="Dr Sharma"/>
    <d v="2026-04-04T00:00:00"/>
    <s v="Valid"/>
    <b v="1"/>
    <b v="1"/>
    <d v="2026-03-07T00:00:00"/>
    <s v="+914651604893"/>
    <s v="914651604893"/>
    <s v="4651604893"/>
    <s v="Valid"/>
    <s v="manjari73@gmail.com"/>
    <s v="Yes"/>
    <n v="20174.66"/>
    <m/>
    <n v="438"/>
    <n v="438"/>
    <s v="J20"/>
  </r>
  <r>
    <s v="P1386"/>
    <s v="Adira Ratti"/>
    <s v="Adira Ratti"/>
    <x v="4"/>
    <n v="4"/>
    <n v="4"/>
    <s v="General Medicine"/>
    <s v="General Medicine"/>
    <s v="Dr. Sharma"/>
    <s v="Dr. Sharma"/>
    <d v="2026-01-31T00:00:00"/>
    <s v="Valid"/>
    <b v="1"/>
    <b v="1"/>
    <d v="2026-01-23T00:00:00"/>
    <s v="02216699905"/>
    <s v="02216699905"/>
    <s v="2216699905"/>
    <s v="Valid"/>
    <s v="akapoor@khanna.com"/>
    <m/>
    <n v="10234.049999999999"/>
    <s v="Yes"/>
    <n v="398"/>
    <n v="398"/>
    <s v="C34"/>
  </r>
  <r>
    <s v="P1387"/>
    <s v="Jayant Gera"/>
    <s v="Jayant Gera"/>
    <x v="5"/>
    <n v="44"/>
    <n v="44"/>
    <s v="Pediatrics"/>
    <s v="Pediatrics"/>
    <s v="Dr Khan"/>
    <s v="Dr Khan"/>
    <d v="2026-05-01T00:00:00"/>
    <s v="Valid"/>
    <b v="1"/>
    <b v="1"/>
    <d v="2026-04-02T00:00:00"/>
    <s v="01877340514"/>
    <s v="01877340514"/>
    <s v="1877340514"/>
    <s v="Valid"/>
    <s v="aratta@gmail.com"/>
    <s v="N"/>
    <n v="12781.41"/>
    <s v="Y"/>
    <n v="530"/>
    <n v="530"/>
    <s v="C34"/>
  </r>
  <r>
    <s v="P1388"/>
    <s v="Ehsaan Kaul"/>
    <s v="Ehsaan Kaul"/>
    <x v="4"/>
    <n v="38"/>
    <n v="38"/>
    <s v="Neurology"/>
    <s v="Neurology"/>
    <s v="Dr Khan"/>
    <s v="Dr Khan"/>
    <d v="2025-12-20T00:00:00"/>
    <s v="Valid"/>
    <b v="1"/>
    <b v="1"/>
    <d v="2025-12-16T00:00:00"/>
    <s v="07591783801"/>
    <s v="07591783801"/>
    <s v="7591783801"/>
    <s v="Valid"/>
    <s v="deepamani@gmail.com"/>
    <s v="Y"/>
    <n v="18184.63"/>
    <s v="Y"/>
    <n v="448"/>
    <n v="448"/>
    <s v="J20"/>
  </r>
  <r>
    <s v="P1389"/>
    <s v="Prisha Soman"/>
    <s v="Prisha Soman"/>
    <x v="2"/>
    <n v="29"/>
    <n v="29"/>
    <s v="ENT"/>
    <s v="ENT"/>
    <s v="DR SHARMA"/>
    <s v="Dr Sharma"/>
    <d v="2026-02-19T00:00:00"/>
    <s v="Valid"/>
    <b v="1"/>
    <b v="1"/>
    <d v="2026-01-27T00:00:00"/>
    <s v="3427269489"/>
    <s v="3427269489"/>
    <s v="3427269489"/>
    <s v="Valid"/>
    <s v="biju02@kashyap.com"/>
    <s v="Y"/>
    <n v="10627.72"/>
    <s v="NO"/>
    <n v="290"/>
    <n v="290"/>
    <s v="J20"/>
  </r>
  <r>
    <s v="P1391"/>
    <s v="Anay Bhattacharyya"/>
    <s v="Anay Bhattacharyya"/>
    <x v="1"/>
    <n v="68"/>
    <n v="68"/>
    <s v="Oncology"/>
    <s v="Oncology"/>
    <s v="dr priya"/>
    <s v="Dr Priya"/>
    <d v="2026-01-24T00:00:00"/>
    <s v="Valid"/>
    <b v="1"/>
    <b v="1"/>
    <d v="2026-01-23T00:00:00"/>
    <s v="0973924395"/>
    <s v="0973924395"/>
    <s v="0973924395"/>
    <s v="Valid"/>
    <s v="borarania@sidhu-cherian.net"/>
    <s v="Yes"/>
    <n v="3606.66"/>
    <s v="N"/>
    <n v="275"/>
    <n v="275"/>
    <s v="M54"/>
  </r>
  <r>
    <s v="P1392"/>
    <s v="Shayak Buch"/>
    <s v="Shayak Buch"/>
    <x v="3"/>
    <n v="19"/>
    <n v="19"/>
    <s v="ENT"/>
    <s v="ENT"/>
    <s v="Dr Mehta"/>
    <s v="Dr Mehta"/>
    <d v="2026-02-10T00:00:00"/>
    <s v="Valid"/>
    <b v="1"/>
    <b v="1"/>
    <d v="2026-01-17T00:00:00"/>
    <s v="03431096525"/>
    <s v="03431096525"/>
    <s v="3431096525"/>
    <s v="Valid"/>
    <s v="xarya@yahoo.com"/>
    <s v="NO"/>
    <n v="12292"/>
    <s v="Y"/>
    <n v="260"/>
    <n v="260"/>
    <s v="C34"/>
  </r>
  <r>
    <s v="P1393"/>
    <s v="Yashvi Buch"/>
    <s v="Yashvi Buch"/>
    <x v="0"/>
    <n v="1"/>
    <n v="1"/>
    <s v="General Medicine"/>
    <s v="General Medicine"/>
    <s v="Dr. Sharma"/>
    <s v="Dr. Sharma"/>
    <d v="2025-11-23T00:00:00"/>
    <s v="Valid"/>
    <b v="1"/>
    <b v="1"/>
    <d v="2025-11-17T00:00:00"/>
    <s v="+912124262142"/>
    <s v="912124262142"/>
    <s v="2124262142"/>
    <s v="Valid"/>
    <s v="divit47@yohannan-bakshi.com"/>
    <s v="Yes"/>
    <n v="14491.72"/>
    <s v="Y"/>
    <n v="350"/>
    <n v="350"/>
    <s v="K21"/>
  </r>
  <r>
    <s v="P1394"/>
    <s v="Dhanuk Chanda"/>
    <s v="Dhanuk Chanda"/>
    <x v="2"/>
    <n v="17"/>
    <n v="17"/>
    <s v="Dermatology"/>
    <s v="Dermatology"/>
    <s v="dr priya"/>
    <s v="Dr Priya"/>
    <d v="2026-01-10T00:00:00"/>
    <s v="Valid"/>
    <b v="1"/>
    <b v="1"/>
    <d v="2025-12-29T00:00:00"/>
    <s v="7827158962"/>
    <s v="7827158962"/>
    <s v="7827158962"/>
    <s v="Valid"/>
    <s v="krandhawa@barman-viswanathan.com"/>
    <m/>
    <n v="24140.13"/>
    <m/>
    <n v="102"/>
    <n v="102"/>
    <s v="I10"/>
  </r>
  <r>
    <s v="P1395"/>
    <s v="Anaya Krishnan"/>
    <s v="Anaya Krishnan"/>
    <x v="5"/>
    <n v="48"/>
    <n v="48"/>
    <s v="Cardiology"/>
    <s v="Cardiology"/>
    <s v="dr priya"/>
    <s v="Dr Priya"/>
    <d v="2026-02-27T00:00:00"/>
    <s v="Valid"/>
    <b v="1"/>
    <b v="1"/>
    <d v="2026-02-03T00:00:00"/>
    <s v="+914913853344"/>
    <s v="914913853344"/>
    <s v="4913853344"/>
    <s v="Valid"/>
    <s v="kashvikale@dasgupta.com"/>
    <s v="NO"/>
    <n v="644.32000000000005"/>
    <s v="Yes"/>
    <n v="420"/>
    <n v="420"/>
    <s v="C34"/>
  </r>
  <r>
    <s v="P1396"/>
    <s v="Ivan Sengupta"/>
    <s v="Ivan Sengupta"/>
    <x v="5"/>
    <n v="29"/>
    <n v="29"/>
    <s v="ENT"/>
    <s v="ENT"/>
    <s v="Dr. Sharma"/>
    <s v="Dr. Sharma"/>
    <d v="2026-02-24T00:00:00"/>
    <s v="Valid"/>
    <b v="1"/>
    <b v="1"/>
    <d v="2026-02-20T00:00:00"/>
    <s v="06228975233"/>
    <s v="06228975233"/>
    <s v="6228975233"/>
    <s v="Valid"/>
    <s v="alisha56@gmail.com"/>
    <s v="NO"/>
    <n v="9712.0499999999993"/>
    <s v="Yes"/>
    <n v="185"/>
    <n v="185"/>
    <s v="I10"/>
  </r>
  <r>
    <s v="P1397"/>
    <s v="Yuvaan Subramaniam"/>
    <s v="Yuvaan Subramaniam"/>
    <x v="0"/>
    <n v="39"/>
    <n v="39"/>
    <s v="Oncology"/>
    <s v="Oncology"/>
    <s v="Dr Khan"/>
    <s v="Dr Khan"/>
    <d v="2026-03-18T00:00:00"/>
    <s v="Valid"/>
    <b v="1"/>
    <b v="1"/>
    <d v="2026-02-23T00:00:00"/>
    <s v="0252805653"/>
    <s v="0252805653"/>
    <s v="0252805653"/>
    <s v="Valid"/>
    <s v="xbail@golla.info"/>
    <s v="N"/>
    <n v="10954.9"/>
    <s v="Y"/>
    <n v="275"/>
    <n v="275"/>
    <s v="M54"/>
  </r>
  <r>
    <s v="P1399"/>
    <s v="Lavanya Thakur"/>
    <s v="Lavanya Thakur"/>
    <x v="0"/>
    <n v="76"/>
    <n v="76"/>
    <s v="Orthopedics"/>
    <s v="Orthopedics"/>
    <s v="Dr Mehta"/>
    <s v="Dr Mehta"/>
    <d v="2026-03-26T00:00:00"/>
    <s v="Valid"/>
    <b v="1"/>
    <b v="1"/>
    <d v="2026-03-15T00:00:00"/>
    <s v="+914253377707"/>
    <s v="914253377707"/>
    <s v="4253377707"/>
    <s v="Valid"/>
    <s v="vihaangarde@sarkar-singh.com"/>
    <s v="Yes"/>
    <n v="9504.77"/>
    <s v="Yes"/>
    <n v="494"/>
    <n v="494"/>
    <s v="A09"/>
  </r>
  <r>
    <s v="P1400"/>
    <s v="Bhamini Bhavsar"/>
    <s v="Bhamini Bhavsar"/>
    <x v="0"/>
    <n v="77"/>
    <n v="77"/>
    <s v="Cardiology"/>
    <s v="Cardiology"/>
    <s v="Dr Mehta"/>
    <s v="Dr Mehta"/>
    <d v="2026-04-27T00:00:00"/>
    <s v="Valid"/>
    <b v="1"/>
    <b v="1"/>
    <d v="2026-04-07T00:00:00"/>
    <s v="+917272942636"/>
    <s v="917272942636"/>
    <s v="7272942636"/>
    <s v="Valid"/>
    <m/>
    <s v="Yes"/>
    <n v="1396.23"/>
    <s v="NO"/>
    <n v="313"/>
    <n v="313"/>
    <s v="M54"/>
  </r>
  <r>
    <s v="P1401"/>
    <s v="Manikya Dave"/>
    <s v="Manikya Dave"/>
    <x v="1"/>
    <n v="16"/>
    <n v="16"/>
    <s v="Oncology"/>
    <s v="Oncology"/>
    <s v="Dr Khan"/>
    <s v="Dr Khan"/>
    <d v="2026-05-09T00:00:00"/>
    <s v="Valid"/>
    <b v="1"/>
    <b v="1"/>
    <d v="2026-04-17T00:00:00"/>
    <s v="1121855763"/>
    <s v="1121855763"/>
    <s v="1121855763"/>
    <s v="Valid"/>
    <s v="dsachar@yahoo.com"/>
    <s v="Yes"/>
    <n v="5296.27"/>
    <s v="Yes"/>
    <n v="254"/>
    <n v="254"/>
    <s v="M54"/>
  </r>
  <r>
    <s v="P1402"/>
    <s v="Neysa Agate"/>
    <s v="Neysa Agate"/>
    <x v="2"/>
    <n v="85"/>
    <n v="85"/>
    <s v="Oncology"/>
    <s v="Oncology"/>
    <s v="Dr Mehta"/>
    <s v="Dr Mehta"/>
    <d v="2026-04-28T00:00:00"/>
    <s v="Valid"/>
    <b v="1"/>
    <b v="1"/>
    <d v="2026-04-15T00:00:00"/>
    <s v="+919659314229"/>
    <s v="919659314229"/>
    <s v="9659314229"/>
    <s v="Valid"/>
    <s v="shaankala@shenoy-mannan.net"/>
    <s v="NO"/>
    <n v="12887.3"/>
    <s v="NO"/>
    <n v="244"/>
    <n v="244"/>
    <s v="I10"/>
  </r>
  <r>
    <s v="P1403"/>
    <s v="Veer Master"/>
    <s v="Veer Master"/>
    <x v="2"/>
    <n v="64"/>
    <n v="64"/>
    <s v="Pediatrics"/>
    <s v="Pediatrics"/>
    <s v="DR SHARMA"/>
    <s v="Dr Sharma"/>
    <d v="2026-02-19T00:00:00"/>
    <s v="Valid"/>
    <b v="1"/>
    <b v="1"/>
    <d v="2026-01-26T00:00:00"/>
    <s v="+912151559291"/>
    <s v="912151559291"/>
    <s v="2151559291"/>
    <s v="Valid"/>
    <s v="vihaanbarman@yahoo.com"/>
    <s v="Y"/>
    <n v="20821.169999999998"/>
    <s v="N"/>
    <n v="283"/>
    <n v="283"/>
    <s v="C34"/>
  </r>
  <r>
    <s v="P1404"/>
    <s v="Shaan Sethi"/>
    <s v="Shaan Sethi"/>
    <x v="1"/>
    <n v="38"/>
    <n v="38"/>
    <s v="Orthopedics"/>
    <s v="Orthopedics"/>
    <s v="Dr Rao"/>
    <s v="Dr Rao"/>
    <d v="2026-04-27T00:00:00"/>
    <s v="Valid"/>
    <b v="1"/>
    <b v="1"/>
    <d v="2026-04-10T00:00:00"/>
    <s v="+915965817721"/>
    <s v="915965817721"/>
    <s v="5965817721"/>
    <s v="Valid"/>
    <s v="emadan@rastogi.com"/>
    <m/>
    <n v="22776.84"/>
    <m/>
    <n v="269"/>
    <n v="269"/>
    <s v="E11"/>
  </r>
  <r>
    <s v="P1405"/>
    <s v="Mahika Kadakia"/>
    <s v="Mahika Kadakia"/>
    <x v="0"/>
    <n v="2"/>
    <n v="2"/>
    <s v="Neurology"/>
    <s v="Neurology"/>
    <s v="Dr Mehta"/>
    <s v="Dr Mehta"/>
    <d v="2026-02-08T00:00:00"/>
    <s v="Valid"/>
    <b v="1"/>
    <b v="1"/>
    <d v="2026-01-13T00:00:00"/>
    <s v="+916276994902"/>
    <s v="916276994902"/>
    <s v="6276994902"/>
    <s v="Valid"/>
    <s v="owason@ratta.com"/>
    <m/>
    <n v="3898.78"/>
    <s v="NO"/>
    <n v="499"/>
    <n v="499"/>
    <s v="A09"/>
  </r>
  <r>
    <s v="P1406"/>
    <s v="Raghav Balan"/>
    <s v="Raghav Balan"/>
    <x v="2"/>
    <n v="13"/>
    <n v="13"/>
    <s v="Oncology"/>
    <s v="Oncology"/>
    <s v="DR SHARMA"/>
    <s v="Dr Sharma"/>
    <d v="2026-04-01T00:00:00"/>
    <s v="Valid"/>
    <b v="1"/>
    <b v="1"/>
    <d v="2026-03-18T00:00:00"/>
    <s v="1323264848"/>
    <s v="1323264848"/>
    <s v="1323264848"/>
    <s v="Valid"/>
    <s v="hlal@gmail.com"/>
    <s v="Y"/>
    <n v="6750.3"/>
    <s v="Yes"/>
    <n v="151"/>
    <n v="151"/>
    <s v="K21"/>
  </r>
  <r>
    <s v="P1407"/>
    <s v="Rhea Chawla"/>
    <s v="Rhea Chawla"/>
    <x v="4"/>
    <n v="6"/>
    <n v="6"/>
    <s v="Oncology"/>
    <s v="Oncology"/>
    <s v="dr priya"/>
    <s v="Dr Priya"/>
    <d v="2026-01-14T00:00:00"/>
    <s v="Valid"/>
    <b v="1"/>
    <b v="1"/>
    <d v="2025-12-20T00:00:00"/>
    <s v="5067729864"/>
    <s v="5067729864"/>
    <s v="5067729864"/>
    <s v="Valid"/>
    <s v="hluthra@chawla.net"/>
    <s v="N"/>
    <n v="10764.68"/>
    <s v="NO"/>
    <n v="148"/>
    <n v="148"/>
    <s v="K21"/>
  </r>
  <r>
    <s v="P1408"/>
    <s v="Anya Kumer"/>
    <s v="Anya Kumer"/>
    <x v="0"/>
    <n v="2"/>
    <n v="2"/>
    <s v="Orthopedics"/>
    <s v="Orthopedics"/>
    <s v="Dr Mehta"/>
    <s v="Dr Mehta"/>
    <d v="2025-11-30T00:00:00"/>
    <s v="Valid"/>
    <b v="1"/>
    <b v="1"/>
    <d v="2025-11-20T00:00:00"/>
    <s v="1061932262"/>
    <s v="1061932262"/>
    <s v="1061932262"/>
    <s v="Valid"/>
    <s v="berashamik@savant.biz"/>
    <s v="N"/>
    <n v="22384.28"/>
    <s v="Yes"/>
    <n v="549"/>
    <n v="549"/>
    <s v="C34"/>
  </r>
  <r>
    <s v="P1409"/>
    <s v="Emir Madan"/>
    <s v="Emir Madan"/>
    <x v="2"/>
    <n v="48"/>
    <n v="48"/>
    <s v="ENT"/>
    <s v="ENT"/>
    <s v="Dr Mehta"/>
    <s v="Dr Mehta"/>
    <d v="2026-02-06T00:00:00"/>
    <s v="Valid"/>
    <b v="1"/>
    <b v="1"/>
    <d v="2026-02-03T00:00:00"/>
    <s v="+910659782552"/>
    <s v="910659782552"/>
    <s v="0659782552"/>
    <s v="Valid"/>
    <s v="ldhawan@gmail.com"/>
    <m/>
    <n v="10126.209999999999"/>
    <m/>
    <n v="239"/>
    <n v="239"/>
    <s v="K21"/>
  </r>
  <r>
    <s v="P1410"/>
    <s v="Arhaan Khurana"/>
    <s v="Arhaan Khurana"/>
    <x v="1"/>
    <n v="89"/>
    <n v="89"/>
    <s v="General Medicine"/>
    <s v="General Medicine"/>
    <s v="dr priya"/>
    <s v="Dr Priya"/>
    <d v="2026-03-22T00:00:00"/>
    <s v="Valid"/>
    <b v="1"/>
    <b v="1"/>
    <d v="2026-03-02T00:00:00"/>
    <s v="8302590967"/>
    <s v="8302590967"/>
    <s v="8302590967"/>
    <s v="Valid"/>
    <s v="miraya78@yahoo.com"/>
    <s v="Yes"/>
    <n v="3003.8"/>
    <s v="Yes"/>
    <n v="532"/>
    <n v="532"/>
    <s v="E11"/>
  </r>
  <r>
    <s v="P1411"/>
    <s v="Keya Master"/>
    <s v="Keya Master"/>
    <x v="2"/>
    <n v="54"/>
    <n v="54"/>
    <s v="General Medicine"/>
    <s v="General Medicine"/>
    <s v="Dr Khan"/>
    <s v="Dr Khan"/>
    <d v="2025-12-30T00:00:00"/>
    <s v="Valid"/>
    <b v="1"/>
    <b v="1"/>
    <d v="2025-12-25T00:00:00"/>
    <s v="6421091151"/>
    <s v="6421091151"/>
    <s v="6421091151"/>
    <s v="Valid"/>
    <s v="indrajit84@wagle-de.com"/>
    <m/>
    <n v="19523.27"/>
    <s v="Yes"/>
    <n v="541"/>
    <n v="541"/>
    <s v="C34"/>
  </r>
  <r>
    <s v="P1412"/>
    <s v="Veer Gera"/>
    <s v="Veer Gera"/>
    <x v="4"/>
    <n v="62"/>
    <n v="62"/>
    <s v="General Medicine"/>
    <s v="General Medicine"/>
    <s v="Dr Mehta"/>
    <s v="Dr Mehta"/>
    <d v="2025-12-25T00:00:00"/>
    <s v="Valid"/>
    <b v="1"/>
    <b v="1"/>
    <d v="2025-11-27T00:00:00"/>
    <s v="03933501505"/>
    <s v="03933501505"/>
    <s v="3933501505"/>
    <s v="Valid"/>
    <s v="svarghese@tailor.biz"/>
    <m/>
    <n v="11129.06"/>
    <s v="NO"/>
    <n v="233"/>
    <n v="233"/>
    <s v="C34"/>
  </r>
  <r>
    <s v="P1413"/>
    <s v="Aarna Wadhwa"/>
    <s v="Aarna Wadhwa"/>
    <x v="2"/>
    <n v="2"/>
    <n v="2"/>
    <s v="Pediatrics"/>
    <s v="Pediatrics"/>
    <s v="dr priya"/>
    <s v="Dr Priya"/>
    <d v="2026-03-28T00:00:00"/>
    <s v="Valid"/>
    <b v="1"/>
    <b v="1"/>
    <d v="2026-03-12T00:00:00"/>
    <s v="02988978995"/>
    <s v="02988978995"/>
    <s v="2988978995"/>
    <s v="Valid"/>
    <s v="esuri@yahoo.com"/>
    <s v="NO"/>
    <n v="10934.63"/>
    <s v="N"/>
    <n v="346"/>
    <n v="346"/>
    <s v="J20"/>
  </r>
  <r>
    <s v="P1414"/>
    <s v="Manikya Shere"/>
    <s v="Manikya Shere"/>
    <x v="1"/>
    <n v="20"/>
    <n v="20"/>
    <s v="Cardiology"/>
    <s v="Cardiology"/>
    <s v="Dr Rao"/>
    <s v="Dr Rao"/>
    <d v="2026-03-08T00:00:00"/>
    <s v="Valid"/>
    <b v="1"/>
    <b v="1"/>
    <d v="2026-02-16T00:00:00"/>
    <s v="+918757489777"/>
    <s v="918757489777"/>
    <s v="8757489777"/>
    <s v="Valid"/>
    <s v="kimayaramachandran@yahoo.com"/>
    <s v="Yes"/>
    <n v="12738.08"/>
    <m/>
    <n v="536"/>
    <n v="536"/>
    <s v="M54"/>
  </r>
  <r>
    <s v="P1415"/>
    <s v="Nirvaan Wali"/>
    <s v="Nirvaan Wali"/>
    <x v="4"/>
    <n v="10"/>
    <n v="10"/>
    <s v="General Medicine"/>
    <s v="General Medicine"/>
    <s v="dr priya"/>
    <s v="Dr Priya"/>
    <d v="2026-01-12T00:00:00"/>
    <s v="Valid"/>
    <b v="1"/>
    <b v="1"/>
    <d v="2026-01-05T00:00:00"/>
    <s v="0824909914"/>
    <s v="0824909914"/>
    <s v="0824909914"/>
    <s v="Valid"/>
    <s v="evarkey@gmail.com"/>
    <s v="N"/>
    <n v="24259.599999999999"/>
    <s v="Yes"/>
    <n v="359"/>
    <n v="359"/>
    <s v="E11"/>
  </r>
  <r>
    <s v="P1416"/>
    <s v="Ishaan Manda"/>
    <s v="Ishaan Manda"/>
    <x v="1"/>
    <n v="52"/>
    <n v="52"/>
    <s v="Pediatrics"/>
    <s v="Pediatrics"/>
    <s v="Dr Mehta"/>
    <s v="Dr Mehta"/>
    <d v="2026-03-27T00:00:00"/>
    <s v="Valid"/>
    <b v="1"/>
    <b v="1"/>
    <d v="2026-03-13T00:00:00"/>
    <s v="05121265419"/>
    <s v="05121265419"/>
    <s v="5121265419"/>
    <s v="Valid"/>
    <s v="riaan60@hotmail.com"/>
    <m/>
    <n v="20071.28"/>
    <m/>
    <n v="145"/>
    <n v="145"/>
    <s v="K21"/>
  </r>
  <r>
    <s v="P1417"/>
    <s v="Samiha Bhatt"/>
    <s v="Samiha Bhatt"/>
    <x v="3"/>
    <n v="58"/>
    <n v="58"/>
    <s v="ENT"/>
    <s v="ENT"/>
    <s v="Dr Mehta"/>
    <s v="Dr Mehta"/>
    <d v="2026-03-01T00:00:00"/>
    <s v="Valid"/>
    <b v="1"/>
    <b v="1"/>
    <d v="2026-02-14T00:00:00"/>
    <s v="8792067432"/>
    <s v="8792067432"/>
    <s v="8792067432"/>
    <s v="Valid"/>
    <s v="lalldishani@ben-konda.org"/>
    <s v="Yes"/>
    <n v="2745.55"/>
    <m/>
    <n v="118"/>
    <n v="118"/>
    <s v="A09"/>
  </r>
  <r>
    <s v="P1418"/>
    <s v="Urvi Srinivas"/>
    <s v="Urvi Srinivas"/>
    <x v="0"/>
    <n v="12"/>
    <n v="12"/>
    <s v="Oncology"/>
    <s v="Oncology"/>
    <s v="DR SHARMA"/>
    <s v="Dr Sharma"/>
    <d v="2026-05-14T00:00:00"/>
    <s v="Valid"/>
    <b v="1"/>
    <b v="1"/>
    <d v="2026-04-24T00:00:00"/>
    <s v="05456212839"/>
    <s v="05456212839"/>
    <s v="5456212839"/>
    <s v="Valid"/>
    <s v="taranjoshi@hotmail.com"/>
    <m/>
    <n v="23768.81"/>
    <s v="NO"/>
    <n v="522"/>
    <n v="522"/>
    <s v="I10"/>
  </r>
  <r>
    <s v="P1419"/>
    <s v="Aarush Chadha"/>
    <s v="Aarush Chadha"/>
    <x v="5"/>
    <n v="59"/>
    <n v="59"/>
    <s v="ENT"/>
    <s v="ENT"/>
    <s v="Dr Khan"/>
    <s v="Dr Khan"/>
    <d v="2025-12-06T00:00:00"/>
    <s v="Valid"/>
    <b v="1"/>
    <b v="1"/>
    <d v="2025-11-14T00:00:00"/>
    <s v="+918434498242"/>
    <s v="918434498242"/>
    <s v="8434498242"/>
    <s v="Valid"/>
    <s v="inaaya-varma@yahoo.com"/>
    <s v="N"/>
    <n v="17954.650000000001"/>
    <s v="NO"/>
    <n v="149"/>
    <n v="149"/>
    <s v="K21"/>
  </r>
  <r>
    <s v="P1421"/>
    <s v="Vaibhav Arya"/>
    <s v="Vaibhav Arya"/>
    <x v="0"/>
    <n v="22"/>
    <n v="22"/>
    <s v="General Medicine"/>
    <s v="General Medicine"/>
    <s v="Dr Mehta"/>
    <s v="Dr Mehta"/>
    <d v="2026-01-10T00:00:00"/>
    <s v="Valid"/>
    <b v="1"/>
    <b v="1"/>
    <d v="2025-12-15T00:00:00"/>
    <s v="+915399839019"/>
    <s v="915399839019"/>
    <s v="5399839019"/>
    <s v="Valid"/>
    <s v="ojas48@yahoo.com"/>
    <m/>
    <n v="2852.65"/>
    <s v="N"/>
    <n v="196"/>
    <n v="196"/>
    <s v="I10"/>
  </r>
  <r>
    <s v="P1422"/>
    <s v="Drishya Cheema"/>
    <s v="Drishya Cheema"/>
    <x v="1"/>
    <n v="28"/>
    <n v="28"/>
    <s v="General Medicine"/>
    <s v="General Medicine"/>
    <s v="DR SHARMA"/>
    <s v="Dr Sharma"/>
    <d v="2026-01-15T00:00:00"/>
    <s v="Valid"/>
    <b v="1"/>
    <b v="1"/>
    <d v="2025-12-24T00:00:00"/>
    <s v="+915116212319"/>
    <s v="915116212319"/>
    <s v="5116212319"/>
    <s v="Valid"/>
    <s v="sharafmadhup@gmail.com"/>
    <s v="N"/>
    <n v="2872.59"/>
    <m/>
    <n v="123"/>
    <n v="123"/>
    <s v="C34"/>
  </r>
  <r>
    <s v="P1423"/>
    <s v="Sahil Thakur"/>
    <s v="Sahil Thakur"/>
    <x v="2"/>
    <n v="58"/>
    <n v="58"/>
    <s v="General Medicine"/>
    <s v="General Medicine"/>
    <s v="Dr Mehta"/>
    <s v="Dr Mehta"/>
    <d v="2026-03-30T00:00:00"/>
    <s v="Valid"/>
    <b v="1"/>
    <b v="1"/>
    <d v="2026-02-28T00:00:00"/>
    <s v="+911931770464"/>
    <s v="911931770464"/>
    <s v="1931770464"/>
    <s v="Valid"/>
    <s v="jayesh36@kamdar.com"/>
    <m/>
    <n v="307.57"/>
    <s v="Yes"/>
    <n v="383"/>
    <n v="383"/>
    <s v="M54"/>
  </r>
  <r>
    <s v="P1424"/>
    <s v="Riaan Jayaraman"/>
    <s v="Riaan Jayaraman"/>
    <x v="3"/>
    <n v="66"/>
    <n v="66"/>
    <s v="Orthopedics"/>
    <s v="Orthopedics"/>
    <s v="Dr Mehta"/>
    <s v="Dr Mehta"/>
    <d v="2026-05-18T00:00:00"/>
    <s v="Valid"/>
    <b v="1"/>
    <b v="1"/>
    <d v="2026-04-25T00:00:00"/>
    <s v="01851501730"/>
    <s v="01851501730"/>
    <s v="1851501730"/>
    <s v="Valid"/>
    <s v="rbhatnagar@dhar.org"/>
    <s v="Yes"/>
    <n v="2768.14"/>
    <s v="NO"/>
    <n v="358"/>
    <n v="358"/>
    <s v="M54"/>
  </r>
  <r>
    <s v="P1425"/>
    <s v="Madhav Batra"/>
    <s v="Madhav Batra"/>
    <x v="1"/>
    <n v="78"/>
    <n v="78"/>
    <s v="Pediatrics"/>
    <s v="Pediatrics"/>
    <s v="Dr. Sharma"/>
    <s v="Dr. Sharma"/>
    <d v="2026-02-04T00:00:00"/>
    <s v="Valid"/>
    <b v="1"/>
    <b v="1"/>
    <d v="2026-01-23T00:00:00"/>
    <s v="2899970931"/>
    <s v="2899970931"/>
    <s v="2899970931"/>
    <s v="Valid"/>
    <s v="riya07@bera-konda.com"/>
    <s v="N"/>
    <n v="24268.19"/>
    <m/>
    <n v="512"/>
    <n v="512"/>
    <s v="E11"/>
  </r>
  <r>
    <s v="P1426"/>
    <s v="Damini Venkatesh"/>
    <s v="Damini Venkatesh"/>
    <x v="4"/>
    <n v="53"/>
    <n v="53"/>
    <s v="Oncology"/>
    <s v="Oncology"/>
    <s v="dr priya"/>
    <s v="Dr Priya"/>
    <d v="2026-05-24T00:00:00"/>
    <s v="Valid"/>
    <b v="1"/>
    <b v="1"/>
    <d v="2026-05-02T00:00:00"/>
    <s v="+910383558120"/>
    <s v="910383558120"/>
    <s v="0383558120"/>
    <s v="Valid"/>
    <s v="brana@chanda-rege.com"/>
    <s v="NO"/>
    <n v="5182.05"/>
    <s v="Yes"/>
    <n v="451"/>
    <n v="451"/>
    <s v="J20"/>
  </r>
  <r>
    <s v="P1427"/>
    <s v="Yasmin Badami"/>
    <s v="Yasmin Badami"/>
    <x v="4"/>
    <n v="84"/>
    <n v="84"/>
    <s v="Orthopedics"/>
    <s v="Orthopedics"/>
    <s v="dr priya"/>
    <s v="Dr Priya"/>
    <d v="2026-03-30T00:00:00"/>
    <s v="Valid"/>
    <b v="1"/>
    <b v="1"/>
    <d v="2026-03-08T00:00:00"/>
    <s v="+916785119353"/>
    <s v="916785119353"/>
    <s v="6785119353"/>
    <s v="Valid"/>
    <s v="azadagarwal@yahoo.com"/>
    <s v="NO"/>
    <n v="19067.22"/>
    <m/>
    <n v="398"/>
    <n v="398"/>
    <s v="A09"/>
  </r>
  <r>
    <s v="P1428"/>
    <s v="Khushi Bobal"/>
    <s v="Khushi Bobal"/>
    <x v="1"/>
    <n v="87"/>
    <n v="87"/>
    <s v="Oncology"/>
    <s v="Oncology"/>
    <s v="dr priya"/>
    <s v="Dr Priya"/>
    <d v="2026-04-02T00:00:00"/>
    <s v="Valid"/>
    <b v="1"/>
    <b v="1"/>
    <d v="2026-03-08T00:00:00"/>
    <s v="2094147594"/>
    <s v="2094147594"/>
    <s v="2094147594"/>
    <s v="Valid"/>
    <s v="sanawagle@bandi.com"/>
    <s v="Yes"/>
    <n v="13163.7"/>
    <s v="Yes"/>
    <n v="295"/>
    <n v="295"/>
    <s v="E11"/>
  </r>
  <r>
    <s v="P1429"/>
    <s v="Tarini Raja"/>
    <s v="Tarini Raja"/>
    <x v="0"/>
    <n v="86"/>
    <n v="86"/>
    <s v="Cardiology"/>
    <s v="Cardiology"/>
    <s v="DR SHARMA"/>
    <s v="Dr Sharma"/>
    <d v="2026-04-21T00:00:00"/>
    <s v="Valid"/>
    <b v="1"/>
    <b v="1"/>
    <d v="2026-04-13T00:00:00"/>
    <s v="+911511350776"/>
    <s v="911511350776"/>
    <s v="1511350776"/>
    <s v="Valid"/>
    <s v="azad03@yahoo.com"/>
    <s v="Yes"/>
    <n v="24591.599999999999"/>
    <s v="Yes"/>
    <n v="174"/>
    <n v="174"/>
    <s v="K21"/>
  </r>
  <r>
    <s v="P1430"/>
    <s v="Vedika Halder"/>
    <s v="Vedika Halder"/>
    <x v="0"/>
    <n v="89"/>
    <n v="89"/>
    <s v="Oncology"/>
    <s v="Oncology"/>
    <s v="DR SHARMA"/>
    <s v="Dr Sharma"/>
    <d v="2025-12-27T00:00:00"/>
    <s v="Valid"/>
    <b v="1"/>
    <b v="1"/>
    <d v="2025-12-03T00:00:00"/>
    <s v="01502687785"/>
    <s v="01502687785"/>
    <s v="1502687785"/>
    <s v="Valid"/>
    <s v="okaul@yahoo.com"/>
    <s v="Yes"/>
    <n v="9095.32"/>
    <m/>
    <n v="152"/>
    <n v="152"/>
    <s v="A09"/>
  </r>
  <r>
    <s v="P1431"/>
    <s v="Jhanvi Bahri"/>
    <s v="Jhanvi Bahri"/>
    <x v="5"/>
    <n v="83"/>
    <n v="83"/>
    <s v="Dermatology"/>
    <s v="Dermatology"/>
    <s v="DR SHARMA"/>
    <s v="Dr Sharma"/>
    <d v="2026-05-16T00:00:00"/>
    <s v="Valid"/>
    <b v="1"/>
    <b v="1"/>
    <d v="2026-04-30T00:00:00"/>
    <s v="5319467966"/>
    <s v="5319467966"/>
    <s v="5319467966"/>
    <s v="Valid"/>
    <s v="vivaanshukla@gmail.com"/>
    <s v="Y"/>
    <n v="17384.810000000001"/>
    <s v="Yes"/>
    <n v="295"/>
    <n v="295"/>
    <s v="M54"/>
  </r>
  <r>
    <s v="P1433"/>
    <s v="Arhaan Bhat"/>
    <s v="Arhaan Bhat"/>
    <x v="2"/>
    <n v="76"/>
    <n v="76"/>
    <s v="Pediatrics"/>
    <s v="Pediatrics"/>
    <s v="DR SHARMA"/>
    <s v="Dr Sharma"/>
    <d v="2026-04-03T00:00:00"/>
    <s v="Valid"/>
    <b v="1"/>
    <b v="1"/>
    <d v="2026-03-25T00:00:00"/>
    <s v="3968161330"/>
    <s v="3968161330"/>
    <s v="3968161330"/>
    <s v="Valid"/>
    <s v="paribalay@gmail.com"/>
    <m/>
    <n v="4600.16"/>
    <s v="NO"/>
    <n v="195"/>
    <n v="195"/>
    <s v="E11"/>
  </r>
  <r>
    <s v="P1434"/>
    <s v="Tanya Iyer"/>
    <s v="Tanya Iyer"/>
    <x v="2"/>
    <n v="49"/>
    <n v="49"/>
    <s v="Cardiology"/>
    <s v="Cardiology"/>
    <s v="dr priya"/>
    <s v="Dr Priya"/>
    <d v="2026-03-08T00:00:00"/>
    <s v="Valid"/>
    <b v="1"/>
    <b v="1"/>
    <d v="2026-02-28T00:00:00"/>
    <s v="+914720389574"/>
    <s v="914720389574"/>
    <s v="4720389574"/>
    <s v="Valid"/>
    <s v="dixitdharmajan@gokhale-chadha.info"/>
    <s v="Y"/>
    <n v="3425.65"/>
    <s v="Yes"/>
    <n v="102"/>
    <n v="102"/>
    <s v="J20"/>
  </r>
  <r>
    <s v="P1435"/>
    <s v="Himmat Kuruvilla"/>
    <s v="Himmat Kuruvilla"/>
    <x v="3"/>
    <n v="20"/>
    <n v="20"/>
    <s v="Cardiology"/>
    <s v="Cardiology"/>
    <s v="Dr Mehta"/>
    <s v="Dr Mehta"/>
    <d v="2026-02-17T00:00:00"/>
    <s v="Valid"/>
    <b v="1"/>
    <b v="1"/>
    <d v="2026-01-19T00:00:00"/>
    <s v="12345"/>
    <s v="12345"/>
    <s v="12345"/>
    <s v="Valid"/>
    <s v="kanav82@yahoo.com"/>
    <s v="N"/>
    <n v="15002.63"/>
    <s v="Yes"/>
    <n v="351"/>
    <n v="351"/>
    <s v="K21"/>
  </r>
  <r>
    <s v="P1436"/>
    <s v="Kismat Ganesan"/>
    <s v="Kismat Ganesan"/>
    <x v="2"/>
    <n v="10"/>
    <n v="10"/>
    <s v="ENT"/>
    <s v="ENT"/>
    <s v="DR SHARMA"/>
    <s v="Dr Sharma"/>
    <d v="2026-01-24T00:00:00"/>
    <s v="Valid"/>
    <b v="1"/>
    <b v="1"/>
    <d v="2025-12-25T00:00:00"/>
    <s v="03953587351"/>
    <s v="03953587351"/>
    <s v="3953587351"/>
    <s v="Valid"/>
    <s v="lakshaysawhney@yahoo.com"/>
    <s v="Yes"/>
    <n v="13111.04"/>
    <s v="Y"/>
    <n v="312"/>
    <n v="312"/>
    <s v="A09"/>
  </r>
  <r>
    <s v="P1437"/>
    <s v="Nishith Kapadia"/>
    <s v="Nishith Kapadia"/>
    <x v="1"/>
    <n v="12"/>
    <n v="12"/>
    <s v="ENT"/>
    <s v="ENT"/>
    <s v="DR SHARMA"/>
    <s v="Dr Sharma"/>
    <d v="2026-05-21T00:00:00"/>
    <s v="Valid"/>
    <b v="1"/>
    <b v="1"/>
    <d v="2026-04-23T00:00:00"/>
    <s v="04683092693"/>
    <s v="04683092693"/>
    <s v="4683092693"/>
    <s v="Valid"/>
    <s v="hbajwa@goswami-chawla.com"/>
    <s v="NO"/>
    <n v="16650.7"/>
    <s v="NO"/>
    <n v="284"/>
    <n v="284"/>
    <s v="J20"/>
  </r>
  <r>
    <s v="P1438"/>
    <s v="Arhaan Tiwari"/>
    <s v="Arhaan Tiwari"/>
    <x v="5"/>
    <n v="80"/>
    <n v="80"/>
    <s v="General Medicine"/>
    <s v="General Medicine"/>
    <s v="Dr Rao"/>
    <s v="Dr Rao"/>
    <d v="2026-04-09T00:00:00"/>
    <s v="Valid"/>
    <b v="1"/>
    <b v="1"/>
    <d v="2026-04-06T00:00:00"/>
    <s v="8340361184"/>
    <s v="8340361184"/>
    <s v="8340361184"/>
    <s v="Valid"/>
    <s v="xvora@mandal.org"/>
    <s v="N"/>
    <n v="11252.55"/>
    <s v="N"/>
    <n v="120"/>
    <n v="120"/>
    <s v="C34"/>
  </r>
  <r>
    <s v="P1439"/>
    <s v="Taimur Lall"/>
    <s v="Taimur Lall"/>
    <x v="2"/>
    <n v="49"/>
    <n v="49"/>
    <s v="Neurology"/>
    <s v="Neurology"/>
    <s v="dr priya"/>
    <s v="Dr Priya"/>
    <d v="2026-03-20T00:00:00"/>
    <s v="Valid"/>
    <b v="1"/>
    <b v="1"/>
    <d v="2026-03-12T00:00:00"/>
    <s v="6641348799"/>
    <s v="6641348799"/>
    <s v="6641348799"/>
    <s v="Valid"/>
    <s v="boraarmaan@hotmail.com"/>
    <s v="Y"/>
    <n v="812.7"/>
    <s v="NO"/>
    <n v="363"/>
    <n v="363"/>
    <s v="K21"/>
  </r>
  <r>
    <s v="P1440"/>
    <s v="Ayesha Karpe"/>
    <s v="Ayesha Karpe"/>
    <x v="3"/>
    <n v="63"/>
    <n v="63"/>
    <s v="Cardiology"/>
    <s v="Cardiology"/>
    <s v="Dr. Sharma"/>
    <s v="Dr. Sharma"/>
    <d v="2026-04-22T00:00:00"/>
    <s v="Valid"/>
    <b v="1"/>
    <b v="1"/>
    <d v="2026-03-25T00:00:00"/>
    <s v="2668098652"/>
    <s v="2668098652"/>
    <s v="2668098652"/>
    <s v="Valid"/>
    <s v="surisumer@chokshi.com"/>
    <s v="NO"/>
    <n v="8143.76"/>
    <s v="NO"/>
    <n v="149"/>
    <n v="149"/>
    <s v="E11"/>
  </r>
  <r>
    <s v="P1441"/>
    <s v="Anika Khanna"/>
    <s v="Anika Khanna"/>
    <x v="0"/>
    <n v="81"/>
    <n v="81"/>
    <s v="Neurology"/>
    <s v="Neurology"/>
    <s v="DR SHARMA"/>
    <s v="Dr Sharma"/>
    <d v="2026-01-07T00:00:00"/>
    <s v="Valid"/>
    <b v="1"/>
    <b v="1"/>
    <d v="2025-12-17T00:00:00"/>
    <s v="7437264714"/>
    <s v="7437264714"/>
    <s v="7437264714"/>
    <s v="Valid"/>
    <s v="riyakhurana@hotmail.com"/>
    <s v="NO"/>
    <n v="21650.78"/>
    <m/>
    <n v="527"/>
    <n v="527"/>
    <s v="I10"/>
  </r>
  <r>
    <s v="P1442"/>
    <s v="Rohan Vaidya"/>
    <s v="Rohan Vaidya"/>
    <x v="5"/>
    <n v="69"/>
    <n v="69"/>
    <s v="Dermatology"/>
    <s v="Dermatology"/>
    <s v="Dr Mehta"/>
    <s v="Dr Mehta"/>
    <d v="2025-12-15T00:00:00"/>
    <s v="Valid"/>
    <b v="1"/>
    <b v="1"/>
    <d v="2025-11-22T00:00:00"/>
    <s v="01579416904"/>
    <s v="01579416904"/>
    <s v="1579416904"/>
    <s v="Valid"/>
    <s v="magaralia@gmail.com"/>
    <s v="Yes"/>
    <n v="789.07"/>
    <s v="NO"/>
    <n v="119"/>
    <n v="119"/>
    <s v="I10"/>
  </r>
  <r>
    <s v="P1443"/>
    <s v="Kiara Som"/>
    <s v="Kiara Som"/>
    <x v="2"/>
    <n v="7"/>
    <n v="7"/>
    <s v="Orthopedics"/>
    <s v="Orthopedics"/>
    <s v="Dr. Sharma"/>
    <s v="Dr. Sharma"/>
    <d v="2026-02-24T00:00:00"/>
    <s v="Valid"/>
    <b v="1"/>
    <b v="1"/>
    <d v="2026-02-07T00:00:00"/>
    <s v="+915921332258"/>
    <s v="915921332258"/>
    <s v="5921332258"/>
    <s v="Valid"/>
    <s v="baradsamaira@gmail.com"/>
    <s v="NO"/>
    <n v="14459.06"/>
    <s v="N"/>
    <n v="232"/>
    <n v="232"/>
    <s v="M54"/>
  </r>
  <r>
    <s v="P1444"/>
    <s v="Ojas Setty"/>
    <s v="Ojas Setty"/>
    <x v="1"/>
    <n v="58"/>
    <n v="58"/>
    <s v="Dermatology"/>
    <s v="Dermatology"/>
    <s v="dr priya"/>
    <s v="Dr Priya"/>
    <d v="2026-01-08T00:00:00"/>
    <s v="Valid"/>
    <b v="1"/>
    <b v="1"/>
    <d v="2025-12-29T00:00:00"/>
    <s v="4623596451"/>
    <s v="4623596451"/>
    <s v="4623596451"/>
    <s v="Valid"/>
    <s v="ravalazad@gmail.com"/>
    <s v="Yes"/>
    <n v="9859.65"/>
    <s v="NO"/>
    <n v="373"/>
    <n v="373"/>
    <s v="I10"/>
  </r>
  <r>
    <s v="P1445"/>
    <s v="Pari Gade"/>
    <s v="Pari Gade"/>
    <x v="2"/>
    <n v="75"/>
    <n v="75"/>
    <s v="Cardiology"/>
    <s v="Cardiology"/>
    <s v="Dr Mehta"/>
    <s v="Dr Mehta"/>
    <d v="2026-03-10T00:00:00"/>
    <s v="Valid"/>
    <b v="1"/>
    <b v="1"/>
    <d v="2026-02-27T00:00:00"/>
    <s v="+919391315794"/>
    <s v="919391315794"/>
    <s v="9391315794"/>
    <s v="Valid"/>
    <s v="buchnavya@hayer.info"/>
    <s v="NO"/>
    <n v="7387.95"/>
    <s v="Yes"/>
    <n v="410"/>
    <n v="410"/>
    <s v="I10"/>
  </r>
  <r>
    <s v="P1446"/>
    <s v="Kashvi Tailor"/>
    <s v="Kashvi Tailor"/>
    <x v="0"/>
    <n v="57"/>
    <n v="57"/>
    <s v="Dermatology"/>
    <s v="Dermatology"/>
    <s v="dr priya"/>
    <s v="Dr Priya"/>
    <d v="2026-05-09T00:00:00"/>
    <s v="Valid"/>
    <b v="1"/>
    <b v="1"/>
    <d v="2026-04-13T00:00:00"/>
    <s v="+916208091542"/>
    <s v="916208091542"/>
    <s v="6208091542"/>
    <s v="Valid"/>
    <s v="obawa@dugar.net"/>
    <s v="Yes"/>
    <n v="11954.89"/>
    <s v="N"/>
    <n v="169"/>
    <n v="169"/>
    <s v="C34"/>
  </r>
  <r>
    <s v="P1447"/>
    <s v="Krish Sachdeva"/>
    <s v="Krish Sachdeva"/>
    <x v="1"/>
    <n v="70"/>
    <n v="70"/>
    <s v="Oncology"/>
    <s v="Oncology"/>
    <s v="Dr Mehta"/>
    <s v="Dr Mehta"/>
    <d v="2026-04-28T00:00:00"/>
    <s v="Valid"/>
    <b v="1"/>
    <b v="1"/>
    <d v="2026-04-19T00:00:00"/>
    <s v="3068185990"/>
    <s v="3068185990"/>
    <s v="3068185990"/>
    <s v="Valid"/>
    <s v="azad21@yahoo.com"/>
    <s v="N"/>
    <n v="23943.31"/>
    <s v="Yes"/>
    <n v="383"/>
    <n v="383"/>
    <s v="K21"/>
  </r>
  <r>
    <s v="P1448"/>
    <s v="Hunar Mahajan"/>
    <s v="Hunar Mahajan"/>
    <x v="4"/>
    <n v="16"/>
    <n v="16"/>
    <s v="Cardiology"/>
    <s v="Cardiology"/>
    <s v="Dr Rao"/>
    <s v="Dr Rao"/>
    <d v="2026-04-27T00:00:00"/>
    <s v="Valid"/>
    <b v="1"/>
    <b v="1"/>
    <d v="2026-04-09T00:00:00"/>
    <s v="2166907922"/>
    <s v="2166907922"/>
    <s v="2166907922"/>
    <s v="Valid"/>
    <s v="bedioorja@gmail.com"/>
    <m/>
    <n v="13521.37"/>
    <s v="NO"/>
    <n v="256"/>
    <n v="256"/>
    <s v="E11"/>
  </r>
  <r>
    <s v="P1449"/>
    <s v="Navya Garg"/>
    <s v="Navya Garg"/>
    <x v="2"/>
    <n v="28"/>
    <n v="28"/>
    <s v="Dermatology"/>
    <s v="Dermatology"/>
    <s v="Dr Mehta"/>
    <s v="Dr Mehta"/>
    <d v="2026-01-28T00:00:00"/>
    <s v="Valid"/>
    <b v="1"/>
    <b v="1"/>
    <d v="2026-01-23T00:00:00"/>
    <s v="00737221594"/>
    <s v="00737221594"/>
    <s v="0737221594"/>
    <s v="Valid"/>
    <s v="heersodhi@hotmail.com"/>
    <s v="Yes"/>
    <n v="5675.54"/>
    <s v="Yes"/>
    <n v="199"/>
    <n v="199"/>
    <s v="I10"/>
  </r>
  <r>
    <s v="P1450"/>
    <s v="  Kiara Gupta "/>
    <s v="Kiara Gupta"/>
    <x v="4"/>
    <n v="86"/>
    <n v="86"/>
    <s v="Cardiology"/>
    <s v="Cardiology"/>
    <s v="Dr Khan"/>
    <s v="Dr Khan"/>
    <d v="2026-04-22T00:00:00"/>
    <s v="Valid"/>
    <b v="1"/>
    <b v="1"/>
    <d v="2026-04-02T00:00:00"/>
    <s v="06764856398"/>
    <s v="06764856398"/>
    <s v="6764856398"/>
    <s v="Valid"/>
    <s v="fmann@gmail.com"/>
    <s v="NO"/>
    <n v="7408.19"/>
    <s v="NO"/>
    <n v="228"/>
    <n v="228"/>
    <s v="I10"/>
  </r>
  <r>
    <s v="P1451"/>
    <s v="Yasmin Sampath"/>
    <s v="Yasmin Sampath"/>
    <x v="5"/>
    <n v="75"/>
    <n v="75"/>
    <s v="General Medicine"/>
    <s v="General Medicine"/>
    <s v="dr priya"/>
    <s v="Dr Priya"/>
    <d v="2026-05-01T00:00:00"/>
    <s v="Valid"/>
    <b v="1"/>
    <b v="1"/>
    <d v="2026-04-20T00:00:00"/>
    <s v="03309263740"/>
    <s v="03309263740"/>
    <s v="3309263740"/>
    <s v="Valid"/>
    <s v="ritvikhayer@yahoo.com"/>
    <s v="Yes"/>
    <n v="16848.13"/>
    <s v="N"/>
    <n v="151"/>
    <n v="151"/>
    <s v="J20"/>
  </r>
  <r>
    <s v="P1452"/>
    <s v="Sana Dash"/>
    <s v="Sana Dash"/>
    <x v="2"/>
    <n v="25"/>
    <n v="25"/>
    <s v="ENT"/>
    <s v="ENT"/>
    <s v="Dr Khan"/>
    <s v="Dr Khan"/>
    <d v="2026-04-07T00:00:00"/>
    <s v="Valid"/>
    <b v="1"/>
    <b v="1"/>
    <d v="2026-03-24T00:00:00"/>
    <s v="5845630641"/>
    <s v="5845630641"/>
    <s v="5845630641"/>
    <s v="Valid"/>
    <s v="bhattifarhan@gmail.com"/>
    <s v="N"/>
    <n v="15485.29"/>
    <s v="Yes"/>
    <n v="455"/>
    <n v="455"/>
    <s v="A09"/>
  </r>
  <r>
    <s v="P1453"/>
    <s v="Onkar Som"/>
    <s v="Onkar Som"/>
    <x v="4"/>
    <n v="73"/>
    <n v="73"/>
    <s v="ENT"/>
    <s v="ENT"/>
    <s v="dr priya"/>
    <s v="Dr Priya"/>
    <d v="2026-05-29T00:00:00"/>
    <s v="Valid"/>
    <b v="1"/>
    <b v="1"/>
    <d v="2026-04-29T00:00:00"/>
    <s v="0057106183"/>
    <s v="0057106183"/>
    <s v="0057106183"/>
    <s v="Valid"/>
    <s v="yuvraj-38@kant.com"/>
    <m/>
    <n v="4382.26"/>
    <s v="NO"/>
    <n v="226"/>
    <n v="226"/>
    <s v="K21"/>
  </r>
  <r>
    <s v="P1454"/>
    <s v="Mohanlal Maharaj"/>
    <s v="Mohanlal Maharaj"/>
    <x v="5"/>
    <n v="83"/>
    <n v="83"/>
    <s v="Dermatology"/>
    <s v="Dermatology"/>
    <s v="Dr. Sharma"/>
    <s v="Dr. Sharma"/>
    <d v="2026-02-12T00:00:00"/>
    <s v="Valid"/>
    <b v="1"/>
    <b v="1"/>
    <d v="2026-01-17T00:00:00"/>
    <s v="+918938085081"/>
    <s v="918938085081"/>
    <s v="8938085081"/>
    <s v="Valid"/>
    <s v="sekhonhiran@kapur.com"/>
    <s v="N"/>
    <n v="3530.78"/>
    <s v="NO"/>
    <n v="549"/>
    <n v="549"/>
    <s v="M54"/>
  </r>
  <r>
    <s v="P1455"/>
    <s v="Shlok Bhatti"/>
    <s v="Shlok Bhatti"/>
    <x v="3"/>
    <n v="58"/>
    <n v="58"/>
    <s v="ENT"/>
    <s v="ENT"/>
    <s v="Dr. Sharma"/>
    <s v="Dr. Sharma"/>
    <d v="2026-03-10T00:00:00"/>
    <s v="Valid"/>
    <b v="1"/>
    <b v="1"/>
    <d v="2026-02-23T00:00:00"/>
    <s v="+911362296128"/>
    <s v="911362296128"/>
    <s v="1362296128"/>
    <s v="Valid"/>
    <s v="bahlmadhav@yahoo.com"/>
    <s v="NO"/>
    <n v="4559.1000000000004"/>
    <s v="NO"/>
    <n v="530"/>
    <n v="530"/>
    <s v="J20"/>
  </r>
  <r>
    <s v="P1456"/>
    <s v="Ivana Sachdev"/>
    <s v="Ivana Sachdev"/>
    <x v="4"/>
    <n v="69"/>
    <n v="69"/>
    <s v="Pediatrics"/>
    <s v="Pediatrics"/>
    <s v="Dr. Sharma"/>
    <s v="Dr. Sharma"/>
    <d v="2026-02-17T00:00:00"/>
    <s v="Valid"/>
    <b v="1"/>
    <b v="1"/>
    <d v="2026-01-25T00:00:00"/>
    <s v="7857385223"/>
    <s v="7857385223"/>
    <s v="7857385223"/>
    <s v="Valid"/>
    <s v="divyanshdevan@gmail.com"/>
    <s v="NO"/>
    <n v="18240.150000000001"/>
    <s v="Yes"/>
    <n v="534"/>
    <n v="534"/>
    <s v="A09"/>
  </r>
  <r>
    <s v="P1457"/>
    <s v="Madhup Kalita"/>
    <s v="Madhup Kalita"/>
    <x v="0"/>
    <n v="75"/>
    <n v="75"/>
    <s v="Dermatology"/>
    <s v="Dermatology"/>
    <s v="DR SHARMA"/>
    <s v="Dr Sharma"/>
    <d v="2026-05-08T00:00:00"/>
    <s v="Valid"/>
    <b v="1"/>
    <b v="1"/>
    <d v="2026-04-09T00:00:00"/>
    <s v="1346286956"/>
    <s v="1346286956"/>
    <s v="1346286956"/>
    <s v="Valid"/>
    <s v="mahajananaya@sur.com"/>
    <s v="Yes"/>
    <n v="13879.53"/>
    <m/>
    <n v="434"/>
    <n v="434"/>
    <s v="K21"/>
  </r>
  <r>
    <s v="P1458"/>
    <s v="Tanya Gade"/>
    <s v="Tanya Gade"/>
    <x v="4"/>
    <n v="47"/>
    <n v="47"/>
    <s v="Dermatology"/>
    <s v="Dermatology"/>
    <s v="DR SHARMA"/>
    <s v="Dr Sharma"/>
    <d v="2026-04-17T00:00:00"/>
    <s v="Valid"/>
    <b v="1"/>
    <b v="1"/>
    <d v="2026-03-20T00:00:00"/>
    <s v="+919349765702"/>
    <s v="919349765702"/>
    <s v="9349765702"/>
    <s v="Valid"/>
    <s v="dugarraunak@hotmail.com"/>
    <s v="Y"/>
    <n v="3520.26"/>
    <s v="NO"/>
    <n v="303"/>
    <n v="303"/>
    <s v="J20"/>
  </r>
  <r>
    <s v="P1459"/>
    <s v="Aaryahi Dave"/>
    <s v="Aaryahi Dave"/>
    <x v="0"/>
    <n v="85"/>
    <n v="85"/>
    <s v="Pediatrics"/>
    <s v="Pediatrics"/>
    <s v="Dr Mehta"/>
    <s v="Dr Mehta"/>
    <d v="2026-05-10T00:00:00"/>
    <s v="Valid"/>
    <b v="1"/>
    <b v="1"/>
    <d v="2026-04-16T00:00:00"/>
    <s v="+918599779866"/>
    <s v="918599779866"/>
    <s v="8599779866"/>
    <s v="Valid"/>
    <s v="nitarabail@gmail.com"/>
    <s v="Yes"/>
    <n v="11266.27"/>
    <s v="Y"/>
    <n v="389"/>
    <n v="389"/>
    <s v="A09"/>
  </r>
  <r>
    <s v="P1460"/>
    <s v="Ehsaan Grover"/>
    <s v="Ehsaan Grover"/>
    <x v="4"/>
    <n v="62"/>
    <n v="62"/>
    <s v="ENT"/>
    <s v="ENT"/>
    <s v="Dr Rao"/>
    <s v="Dr Rao"/>
    <d v="2026-04-24T00:00:00"/>
    <s v="Valid"/>
    <b v="1"/>
    <b v="1"/>
    <d v="2026-04-17T00:00:00"/>
    <s v="0496493863"/>
    <s v="0496493863"/>
    <s v="0496493863"/>
    <s v="Valid"/>
    <s v="isavant@saxena-koshy.net"/>
    <m/>
    <n v="5947.4"/>
    <s v="Yes"/>
    <n v="289"/>
    <n v="289"/>
    <s v="E11"/>
  </r>
  <r>
    <s v="P1461"/>
    <s v="Tara Walla"/>
    <s v="Tara Walla"/>
    <x v="0"/>
    <n v="86"/>
    <n v="86"/>
    <s v="Pediatrics"/>
    <s v="Pediatrics"/>
    <s v="dr priya"/>
    <s v="Dr Priya"/>
    <d v="2025-12-06T00:00:00"/>
    <s v="Valid"/>
    <b v="1"/>
    <b v="1"/>
    <d v="2025-11-24T00:00:00"/>
    <s v="06361967487"/>
    <s v="06361967487"/>
    <s v="6361967487"/>
    <s v="Valid"/>
    <s v="zainavarty@wali.com"/>
    <m/>
    <n v="22963.97"/>
    <s v="Yes"/>
    <n v="120"/>
    <n v="120"/>
    <s v="C34"/>
  </r>
  <r>
    <s v="P1462"/>
    <s v="Zara Dhar"/>
    <s v="Zara Dhar"/>
    <x v="2"/>
    <n v="14"/>
    <n v="14"/>
    <s v="Oncology"/>
    <s v="Oncology"/>
    <s v="Dr. Sharma"/>
    <s v="Dr. Sharma"/>
    <d v="2025-12-04T00:00:00"/>
    <s v="Valid"/>
    <b v="1"/>
    <b v="1"/>
    <d v="2025-11-16T00:00:00"/>
    <s v="2575819035"/>
    <s v="2575819035"/>
    <s v="2575819035"/>
    <s v="Valid"/>
    <s v="tailoranya@yahoo.com"/>
    <s v="Yes"/>
    <n v="9541.16"/>
    <m/>
    <n v="287"/>
    <n v="287"/>
    <s v="A09"/>
  </r>
  <r>
    <s v="P1463"/>
    <s v="Renee Khosla"/>
    <s v="Renee Khosla"/>
    <x v="2"/>
    <n v="67"/>
    <n v="67"/>
    <s v="Oncology"/>
    <s v="Oncology"/>
    <s v="dr priya"/>
    <s v="Dr Priya"/>
    <d v="2026-03-24T00:00:00"/>
    <s v="Valid"/>
    <b v="1"/>
    <b v="1"/>
    <d v="2026-02-23T00:00:00"/>
    <s v="07042642313"/>
    <s v="07042642313"/>
    <s v="7042642313"/>
    <s v="Valid"/>
    <s v="aaryahi25@kota-krish.net"/>
    <s v="NO"/>
    <n v="13006.02"/>
    <s v="NO"/>
    <n v="518"/>
    <n v="518"/>
    <s v="K21"/>
  </r>
  <r>
    <s v="P1464"/>
    <s v="Khushi Hora"/>
    <s v="Khushi Hora"/>
    <x v="2"/>
    <n v="63"/>
    <n v="63"/>
    <s v="General Medicine"/>
    <s v="General Medicine"/>
    <s v="Dr Rao"/>
    <s v="Dr Rao"/>
    <d v="2025-12-29T00:00:00"/>
    <s v="Valid"/>
    <b v="1"/>
    <b v="1"/>
    <d v="2025-12-13T00:00:00"/>
    <s v="06122437716"/>
    <s v="06122437716"/>
    <s v="6122437716"/>
    <s v="Valid"/>
    <s v="jshankar@mahal.biz"/>
    <s v="Yes"/>
    <n v="11109.49"/>
    <s v="N"/>
    <n v="139"/>
    <n v="139"/>
    <s v="A09"/>
  </r>
  <r>
    <s v="P1466"/>
    <s v="Devansh Bhattacharyya"/>
    <s v="Devansh Bhattacharyya"/>
    <x v="1"/>
    <n v="43"/>
    <n v="43"/>
    <s v="Neurology"/>
    <s v="Neurology"/>
    <s v="Dr Khan"/>
    <s v="Dr Khan"/>
    <d v="2026-01-12T00:00:00"/>
    <s v="Valid"/>
    <b v="1"/>
    <b v="1"/>
    <d v="2025-12-22T00:00:00"/>
    <s v="+916329452858"/>
    <s v="916329452858"/>
    <s v="6329452858"/>
    <s v="Valid"/>
    <s v="advikagrewal@dhawan-maharaj.com"/>
    <m/>
    <n v="12079.72"/>
    <s v="Y"/>
    <n v="431"/>
    <n v="431"/>
    <s v="K21"/>
  </r>
  <r>
    <s v="P1467"/>
    <s v="Amira Gulati"/>
    <s v="Amira Gulati"/>
    <x v="1"/>
    <n v="3"/>
    <n v="3"/>
    <s v="Pediatrics"/>
    <s v="Pediatrics"/>
    <s v="Dr Rao"/>
    <s v="Dr Rao"/>
    <d v="2026-03-13T00:00:00"/>
    <s v="Valid"/>
    <b v="1"/>
    <b v="1"/>
    <d v="2026-03-09T00:00:00"/>
    <s v="9331044836"/>
    <s v="9331044836"/>
    <s v="9331044836"/>
    <s v="Valid"/>
    <s v="obanik@srinivasan-date.com"/>
    <s v="Yes"/>
    <n v="3541.16"/>
    <s v="Yes"/>
    <n v="393"/>
    <n v="393"/>
    <s v="E11"/>
  </r>
  <r>
    <s v="P1468"/>
    <s v="Anvi Kapadia"/>
    <s v="Anvi Kapadia"/>
    <x v="0"/>
    <n v="22"/>
    <n v="22"/>
    <s v="Oncology"/>
    <s v="Oncology"/>
    <s v="Dr Mehta"/>
    <s v="Dr Mehta"/>
    <d v="2026-01-07T00:00:00"/>
    <s v="Valid"/>
    <b v="1"/>
    <b v="1"/>
    <d v="2025-12-22T00:00:00"/>
    <s v="8251295586"/>
    <s v="8251295586"/>
    <s v="8251295586"/>
    <s v="Valid"/>
    <s v="deepadvika@hotmail.com"/>
    <m/>
    <n v="15064.07"/>
    <s v="Yes"/>
    <n v="549"/>
    <n v="549"/>
    <s v="C34"/>
  </r>
  <r>
    <s v="P1469"/>
    <s v="Kartik Rana"/>
    <s v="Kartik Rana"/>
    <x v="0"/>
    <n v="11"/>
    <n v="11"/>
    <s v="Pediatrics"/>
    <s v="Pediatrics"/>
    <s v="Dr Khan"/>
    <s v="Dr Khan"/>
    <d v="2026-01-24T00:00:00"/>
    <s v="Valid"/>
    <b v="1"/>
    <b v="1"/>
    <d v="2026-01-05T00:00:00"/>
    <s v="+919459529958"/>
    <s v="919459529958"/>
    <s v="9459529958"/>
    <s v="Valid"/>
    <s v="baiju67@khosla.com"/>
    <m/>
    <n v="21709.1"/>
    <s v="Y"/>
    <n v="212"/>
    <n v="212"/>
    <s v="K21"/>
  </r>
  <r>
    <s v="P1470"/>
    <s v="Hunar Bora"/>
    <s v="Hunar Bora"/>
    <x v="1"/>
    <n v="77"/>
    <n v="77"/>
    <s v="Orthopedics"/>
    <s v="Orthopedics"/>
    <s v="Dr Mehta"/>
    <s v="Dr Mehta"/>
    <d v="2026-01-15T00:00:00"/>
    <s v="Valid"/>
    <b v="1"/>
    <b v="1"/>
    <d v="2025-12-27T00:00:00"/>
    <s v="+918843970463"/>
    <s v="918843970463"/>
    <s v="8843970463"/>
    <s v="Valid"/>
    <s v="stuvanchawla@hotmail.com"/>
    <s v="Y"/>
    <n v="4359.5"/>
    <s v="NO"/>
    <n v="332"/>
    <n v="332"/>
    <s v="A09"/>
  </r>
  <r>
    <s v="P1471"/>
    <s v="Shalv Brahmbhatt"/>
    <s v="Shalv Brahmbhatt"/>
    <x v="2"/>
    <n v="30"/>
    <n v="30"/>
    <s v="Dermatology"/>
    <s v="Dermatology"/>
    <s v="dr priya"/>
    <s v="Dr Priya"/>
    <d v="2025-11-27T00:00:00"/>
    <s v="Valid"/>
    <b v="1"/>
    <b v="1"/>
    <d v="2025-11-23T00:00:00"/>
    <s v="+910321585457"/>
    <s v="910321585457"/>
    <s v="0321585457"/>
    <s v="Valid"/>
    <s v="krout@ahluwalia-varty.com"/>
    <s v="NO"/>
    <n v="610.75"/>
    <m/>
    <n v="523"/>
    <n v="523"/>
    <s v="E11"/>
  </r>
  <r>
    <s v="P1472"/>
    <s v="Amira Mani"/>
    <s v="Amira Mani"/>
    <x v="2"/>
    <n v="23"/>
    <n v="23"/>
    <s v="General Medicine"/>
    <s v="General Medicine"/>
    <s v="Dr Rao"/>
    <s v="Dr Rao"/>
    <d v="2025-12-20T00:00:00"/>
    <s v="Valid"/>
    <b v="1"/>
    <b v="1"/>
    <d v="2025-11-22T00:00:00"/>
    <s v="0093678500"/>
    <s v="0093678500"/>
    <s v="0093678500"/>
    <s v="Valid"/>
    <s v="mgour@raman-rattan.com"/>
    <s v="NO"/>
    <n v="2511.11"/>
    <s v="Y"/>
    <n v="408"/>
    <n v="408"/>
    <s v="A09"/>
  </r>
  <r>
    <s v="P1473"/>
    <s v="Shanaya Sura"/>
    <s v="Shanaya Sura"/>
    <x v="0"/>
    <n v="87"/>
    <n v="87"/>
    <s v="Dermatology"/>
    <s v="Dermatology"/>
    <s v="dr priya"/>
    <s v="Dr Priya"/>
    <d v="2026-01-14T00:00:00"/>
    <s v="Valid"/>
    <b v="1"/>
    <b v="1"/>
    <d v="2026-01-03T00:00:00"/>
    <s v="07619473581"/>
    <s v="07619473581"/>
    <s v="7619473581"/>
    <s v="Valid"/>
    <s v="sridharaaryahi@vora.biz"/>
    <s v="Yes"/>
    <n v="17501.54"/>
    <m/>
    <n v="217"/>
    <n v="217"/>
    <s v="K21"/>
  </r>
  <r>
    <s v="P1474"/>
    <s v="Onkar Edwin"/>
    <s v="Onkar Edwin"/>
    <x v="3"/>
    <n v="49"/>
    <n v="49"/>
    <s v="ENT"/>
    <s v="ENT"/>
    <s v="Dr Mehta"/>
    <s v="Dr Mehta"/>
    <d v="2025-11-28T00:00:00"/>
    <s v="Valid"/>
    <b v="1"/>
    <b v="1"/>
    <d v="2025-11-15T00:00:00"/>
    <s v="7575736139"/>
    <s v="7575736139"/>
    <s v="7575736139"/>
    <s v="Valid"/>
    <s v="duttdamini@jaggi-dutt.info"/>
    <s v="Yes"/>
    <n v="6512.05"/>
    <s v="N"/>
    <n v="539"/>
    <n v="539"/>
    <s v="I10"/>
  </r>
  <r>
    <s v="P1475"/>
    <s v="Neysa Bakshi"/>
    <s v="Neysa Bakshi"/>
    <x v="0"/>
    <n v="77"/>
    <n v="77"/>
    <s v="Dermatology"/>
    <s v="Dermatology"/>
    <s v="Dr. Sharma"/>
    <s v="Dr. Sharma"/>
    <d v="2026-04-13T00:00:00"/>
    <s v="Valid"/>
    <b v="1"/>
    <b v="1"/>
    <d v="2026-04-07T00:00:00"/>
    <s v="1481876103"/>
    <s v="1481876103"/>
    <s v="1481876103"/>
    <s v="Valid"/>
    <s v="ggoda@gmail.com"/>
    <s v="Yes"/>
    <n v="17786.89"/>
    <s v="Yes"/>
    <n v="395"/>
    <n v="395"/>
    <s v="A09"/>
  </r>
  <r>
    <s v="P1476"/>
    <s v="Alia Dewan"/>
    <s v="Alia Dewan"/>
    <x v="2"/>
    <n v="67"/>
    <n v="67"/>
    <s v="Cardiology"/>
    <s v="Cardiology"/>
    <s v="dr priya"/>
    <s v="Dr Priya"/>
    <d v="2026-02-09T00:00:00"/>
    <s v="Valid"/>
    <b v="1"/>
    <b v="1"/>
    <d v="2026-01-20T00:00:00"/>
    <s v="0459197491"/>
    <s v="0459197491"/>
    <s v="0459197491"/>
    <s v="Valid"/>
    <s v="rghosh@yahoo.com"/>
    <s v="NO"/>
    <n v="17256.62"/>
    <s v="NO"/>
    <n v="309"/>
    <n v="309"/>
    <s v="J20"/>
  </r>
  <r>
    <s v="P1477"/>
    <s v="Manikya Chakrabarti"/>
    <s v="Manikya Chakrabarti"/>
    <x v="2"/>
    <n v="20"/>
    <n v="20"/>
    <s v="Dermatology"/>
    <s v="Dermatology"/>
    <s v="Dr. Sharma"/>
    <s v="Dr. Sharma"/>
    <d v="2026-01-13T00:00:00"/>
    <s v="Valid"/>
    <b v="1"/>
    <b v="1"/>
    <d v="2026-01-05T00:00:00"/>
    <s v="07643043161"/>
    <s v="07643043161"/>
    <s v="7643043161"/>
    <s v="Valid"/>
    <s v="taran64@gmail.com"/>
    <m/>
    <n v="14203.82"/>
    <s v="Yes"/>
    <n v="448"/>
    <n v="448"/>
    <s v="M54"/>
  </r>
  <r>
    <s v="P1478"/>
    <s v="Aarav Jaggi"/>
    <s v="Aarav Jaggi"/>
    <x v="5"/>
    <n v="53"/>
    <n v="53"/>
    <s v="General Medicine"/>
    <s v="General Medicine"/>
    <s v="Dr Mehta"/>
    <s v="Dr Mehta"/>
    <d v="2025-12-16T00:00:00"/>
    <s v="Valid"/>
    <b v="1"/>
    <b v="1"/>
    <d v="2025-12-05T00:00:00"/>
    <s v="02672346003"/>
    <s v="02672346003"/>
    <s v="2672346003"/>
    <s v="Valid"/>
    <s v="amiraissac@sharma.info"/>
    <m/>
    <n v="6493.69"/>
    <s v="Yes"/>
    <n v="395"/>
    <n v="395"/>
    <s v="J20"/>
  </r>
  <r>
    <s v="P1479"/>
    <s v="Ryan Bhasin"/>
    <s v="Ryan Bhasin"/>
    <x v="1"/>
    <n v="18"/>
    <n v="18"/>
    <s v="Neurology"/>
    <s v="Neurology"/>
    <s v="DR SHARMA"/>
    <s v="Dr Sharma"/>
    <d v="2026-03-31T00:00:00"/>
    <s v="Valid"/>
    <b v="1"/>
    <b v="1"/>
    <d v="2026-03-17T00:00:00"/>
    <s v="+913828098285"/>
    <s v="913828098285"/>
    <s v="3828098285"/>
    <s v="Valid"/>
    <s v="sumer59@lalla.com"/>
    <s v="Yes"/>
    <n v="2686.91"/>
    <m/>
    <n v="502"/>
    <n v="502"/>
    <s v="J20"/>
  </r>
  <r>
    <s v="P1480"/>
    <s v="Ela Rama"/>
    <s v="Ela Rama"/>
    <x v="0"/>
    <n v="21"/>
    <n v="21"/>
    <s v="Dermatology"/>
    <s v="Dermatology"/>
    <s v="Dr Rao"/>
    <s v="Dr Rao"/>
    <d v="2025-12-19T00:00:00"/>
    <s v="Valid"/>
    <b v="1"/>
    <b v="1"/>
    <d v="2025-11-24T00:00:00"/>
    <s v="+910502654694"/>
    <s v="910502654694"/>
    <s v="0502654694"/>
    <s v="Valid"/>
    <m/>
    <s v="NO"/>
    <n v="-500"/>
    <m/>
    <n v="407"/>
    <n v="407"/>
    <s v="M54"/>
  </r>
  <r>
    <s v="P1481"/>
    <s v="Mannat Bajaj"/>
    <s v="Mannat Bajaj"/>
    <x v="2"/>
    <n v="9"/>
    <n v="9"/>
    <s v="Oncology"/>
    <s v="Oncology"/>
    <s v="DR SHARMA"/>
    <s v="Dr Sharma"/>
    <d v="2026-03-31T00:00:00"/>
    <s v="Valid"/>
    <b v="1"/>
    <b v="1"/>
    <d v="2026-03-20T00:00:00"/>
    <s v="4631037681"/>
    <s v="4631037681"/>
    <s v="4631037681"/>
    <s v="Valid"/>
    <s v="wsahota@singh.com"/>
    <s v="NO"/>
    <n v="15303.92"/>
    <m/>
    <n v="305"/>
    <n v="305"/>
    <s v="A09"/>
  </r>
  <r>
    <s v="P1482"/>
    <s v="Mannat Chand"/>
    <s v="Mannat Chand"/>
    <x v="0"/>
    <n v="77"/>
    <n v="77"/>
    <s v="Cardiology"/>
    <s v="Cardiology"/>
    <s v="Dr Mehta"/>
    <s v="Dr Mehta"/>
    <d v="2026-04-14T00:00:00"/>
    <s v="Valid"/>
    <b v="1"/>
    <b v="1"/>
    <d v="2026-03-25T00:00:00"/>
    <s v="3637258525"/>
    <s v="3637258525"/>
    <s v="3637258525"/>
    <s v="Valid"/>
    <s v="ojoshi@sagar.com"/>
    <m/>
    <n v="11086.51"/>
    <s v="N"/>
    <n v="535"/>
    <n v="535"/>
    <s v="C34"/>
  </r>
  <r>
    <s v="P1483"/>
    <s v="Samiha Kothari"/>
    <s v="Samiha Kothari"/>
    <x v="0"/>
    <n v="25"/>
    <n v="25"/>
    <s v="Cardiology"/>
    <s v="Cardiology"/>
    <s v="DR SHARMA"/>
    <s v="Dr Sharma"/>
    <d v="2025-12-29T00:00:00"/>
    <s v="Valid"/>
    <b v="1"/>
    <b v="1"/>
    <d v="2025-12-10T00:00:00"/>
    <s v="1958490211"/>
    <s v="1958490211"/>
    <s v="1958490211"/>
    <s v="Valid"/>
    <s v="pkuruvilla@dalal.com"/>
    <s v="Yes"/>
    <n v="16915.8"/>
    <s v="NO"/>
    <n v="222"/>
    <n v="222"/>
    <s v="C34"/>
  </r>
  <r>
    <s v="P1484"/>
    <s v="Rohan Chatterjee"/>
    <s v="Rohan Chatterjee"/>
    <x v="0"/>
    <n v="21"/>
    <n v="21"/>
    <s v="Neurology"/>
    <s v="Neurology"/>
    <s v="Dr. Sharma"/>
    <s v="Dr. Sharma"/>
    <d v="2026-05-06T00:00:00"/>
    <s v="Valid"/>
    <b v="1"/>
    <b v="1"/>
    <d v="2026-04-12T00:00:00"/>
    <s v="+918224377042"/>
    <s v="918224377042"/>
    <s v="8224377042"/>
    <s v="Valid"/>
    <s v="kkota@sinha.com"/>
    <m/>
    <n v="8957.57"/>
    <m/>
    <n v="307"/>
    <n v="307"/>
    <s v="A09"/>
  </r>
  <r>
    <s v="P1485"/>
    <s v="Hridaan Desai"/>
    <s v="Hridaan Desai"/>
    <x v="5"/>
    <n v="67"/>
    <n v="67"/>
    <s v="Cardiology"/>
    <s v="Cardiology"/>
    <s v="Dr Mehta"/>
    <s v="Dr Mehta"/>
    <d v="2026-01-22T00:00:00"/>
    <s v="Valid"/>
    <b v="1"/>
    <b v="1"/>
    <d v="2025-12-24T00:00:00"/>
    <s v="2475540622"/>
    <s v="2475540622"/>
    <s v="2475540622"/>
    <s v="Valid"/>
    <s v="ubalay@gmail.com"/>
    <s v="NO"/>
    <n v="13829.9"/>
    <s v="NO"/>
    <n v="277"/>
    <n v="277"/>
    <s v="K21"/>
  </r>
  <r>
    <s v="P1486"/>
    <s v="Himmat Bava"/>
    <s v="Himmat Bava"/>
    <x v="0"/>
    <n v="29"/>
    <n v="29"/>
    <s v="Pediatrics"/>
    <s v="Pediatrics"/>
    <s v="Dr Khan"/>
    <s v="Dr Khan"/>
    <d v="2026-04-12T00:00:00"/>
    <s v="Valid"/>
    <b v="1"/>
    <b v="1"/>
    <d v="2026-03-14T00:00:00"/>
    <s v="0641077145"/>
    <s v="0641077145"/>
    <s v="0641077145"/>
    <s v="Valid"/>
    <s v="diyadugar@yahoo.com"/>
    <m/>
    <n v="14457.69"/>
    <s v="Yes"/>
    <n v="189"/>
    <n v="189"/>
    <s v="M54"/>
  </r>
  <r>
    <s v="P1487"/>
    <s v="Inaaya  Sachar"/>
    <s v="Inaaya Sachar"/>
    <x v="2"/>
    <n v="72"/>
    <n v="72"/>
    <s v="Neurology"/>
    <s v="Neurology"/>
    <s v="Dr. Sharma"/>
    <s v="Dr. Sharma"/>
    <d v="2025-12-25T00:00:00"/>
    <s v="Valid"/>
    <b v="1"/>
    <b v="1"/>
    <d v="2025-12-15T00:00:00"/>
    <s v="00246806804"/>
    <s v="00246806804"/>
    <s v="0246806804"/>
    <s v="Valid"/>
    <s v="ddave@yahoo.com"/>
    <s v="NO"/>
    <n v="20112.97"/>
    <s v="Yes"/>
    <n v="548"/>
    <n v="548"/>
    <s v="A09"/>
  </r>
  <r>
    <s v="P1488"/>
    <s v="Tara Mane"/>
    <s v="Tara Mane"/>
    <x v="0"/>
    <n v="89"/>
    <n v="89"/>
    <s v="General Medicine"/>
    <s v="General Medicine"/>
    <s v="dr priya"/>
    <s v="Dr Priya"/>
    <d v="2026-02-21T00:00:00"/>
    <s v="Valid"/>
    <b v="1"/>
    <b v="1"/>
    <d v="2026-02-03T00:00:00"/>
    <s v="+912390568744"/>
    <s v="912390568744"/>
    <s v="2390568744"/>
    <s v="Valid"/>
    <s v="urajagopal@dhar.org"/>
    <m/>
    <n v="19295.189999999999"/>
    <s v="NO"/>
    <n v="497"/>
    <n v="497"/>
    <s v="M54"/>
  </r>
  <r>
    <s v="P1489"/>
    <s v="Pranay Gera"/>
    <s v="Pranay Gera"/>
    <x v="3"/>
    <n v="76"/>
    <n v="76"/>
    <s v="Cardiology"/>
    <s v="Cardiology"/>
    <s v="Dr Khan"/>
    <s v="Dr Khan"/>
    <d v="2026-02-12T00:00:00"/>
    <s v="Valid"/>
    <b v="1"/>
    <b v="1"/>
    <d v="2026-02-09T00:00:00"/>
    <s v="2671129164"/>
    <s v="2671129164"/>
    <s v="2671129164"/>
    <s v="Valid"/>
    <s v="dugardharmajan@yahoo.com"/>
    <s v="Y"/>
    <n v="1875.35"/>
    <s v="N"/>
    <n v="446"/>
    <n v="446"/>
    <s v="C34"/>
  </r>
  <r>
    <s v="P1490"/>
    <s v="Urvi Amble"/>
    <s v="Urvi Amble"/>
    <x v="5"/>
    <n v="41"/>
    <n v="41"/>
    <s v="Dermatology"/>
    <s v="Dermatology"/>
    <s v="dr priya"/>
    <s v="Dr Priya"/>
    <d v="2026-03-25T00:00:00"/>
    <s v="Valid"/>
    <b v="1"/>
    <b v="1"/>
    <d v="2026-03-09T00:00:00"/>
    <s v="5562320699"/>
    <s v="5562320699"/>
    <s v="5562320699"/>
    <s v="Valid"/>
    <s v="basupari@samra-grover.info"/>
    <s v="Yes"/>
    <n v="17580.3"/>
    <s v="Yes"/>
    <n v="227"/>
    <n v="227"/>
    <s v="J20"/>
  </r>
  <r>
    <s v="P1491"/>
    <s v="Taran Kannan"/>
    <s v="Taran Kannan"/>
    <x v="2"/>
    <n v="52"/>
    <n v="52"/>
    <s v="ENT"/>
    <s v="ENT"/>
    <s v="Dr Mehta"/>
    <s v="Dr Mehta"/>
    <d v="2026-03-01T00:00:00"/>
    <s v="Valid"/>
    <b v="1"/>
    <b v="1"/>
    <d v="2026-02-12T00:00:00"/>
    <s v="+915566958380"/>
    <s v="915566958380"/>
    <s v="5566958380"/>
    <s v="Valid"/>
    <s v="babuaradhya@andra.com"/>
    <s v="Yes"/>
    <n v="12018.58"/>
    <s v="NO"/>
    <n v="211"/>
    <n v="211"/>
    <s v="A09"/>
  </r>
  <r>
    <s v="P1492"/>
    <s v="Anahita Barad"/>
    <s v="Anahita Barad"/>
    <x v="0"/>
    <n v="24"/>
    <n v="24"/>
    <s v="Pediatrics"/>
    <s v="Pediatrics"/>
    <s v="Dr Khan"/>
    <s v="Dr Khan"/>
    <d v="2026-04-08T00:00:00"/>
    <s v="Valid"/>
    <b v="1"/>
    <b v="1"/>
    <d v="2026-03-16T00:00:00"/>
    <s v="+918851479634"/>
    <s v="918851479634"/>
    <s v="8851479634"/>
    <s v="Valid"/>
    <s v="kairasaran@gmail.com"/>
    <s v="NO"/>
    <n v="6024.56"/>
    <s v="N"/>
    <n v="546"/>
    <n v="546"/>
    <s v="J20"/>
  </r>
  <r>
    <s v="P1493"/>
    <s v="Hazel Chaudhari"/>
    <s v="Hazel Chaudhari"/>
    <x v="5"/>
    <n v="30"/>
    <n v="30"/>
    <s v="Pediatrics"/>
    <s v="Pediatrics"/>
    <s v="DR SHARMA"/>
    <s v="Dr Sharma"/>
    <d v="2026-04-15T00:00:00"/>
    <s v="Valid"/>
    <b v="1"/>
    <b v="1"/>
    <d v="2026-03-20T00:00:00"/>
    <s v="+918990442021"/>
    <s v="918990442021"/>
    <s v="8990442021"/>
    <s v="Valid"/>
    <s v="devanshmall@hotmail.com"/>
    <s v="N"/>
    <n v="4068.69"/>
    <s v="NO"/>
    <n v="161"/>
    <n v="161"/>
    <s v="I10"/>
  </r>
  <r>
    <s v="P1494"/>
    <s v="Yuvaan Brahmbhatt"/>
    <s v="Yuvaan Brahmbhatt"/>
    <x v="3"/>
    <n v="79"/>
    <n v="79"/>
    <s v="Cardiology"/>
    <s v="Cardiology"/>
    <s v="Dr Rao"/>
    <s v="Dr Rao"/>
    <d v="2026-04-21T00:00:00"/>
    <s v="Valid"/>
    <b v="1"/>
    <b v="1"/>
    <d v="2026-03-25T00:00:00"/>
    <s v="+917500010140"/>
    <s v="917500010140"/>
    <s v="7500010140"/>
    <s v="Valid"/>
    <s v="nirvibrahmbhatt@yahoo.com"/>
    <m/>
    <n v="9405.67"/>
    <s v="NO"/>
    <n v="352"/>
    <n v="352"/>
    <s v="A09"/>
  </r>
  <r>
    <s v="P1495"/>
    <s v="Vaibhav Raja"/>
    <s v="Vaibhav Raja"/>
    <x v="0"/>
    <n v="63"/>
    <n v="63"/>
    <s v="Orthopedics"/>
    <s v="Orthopedics"/>
    <s v="Dr. Sharma"/>
    <s v="Dr. Sharma"/>
    <d v="2026-02-25T00:00:00"/>
    <s v="Valid"/>
    <b v="1"/>
    <b v="1"/>
    <d v="2026-02-13T00:00:00"/>
    <s v="6760532267"/>
    <s v="6760532267"/>
    <s v="6760532267"/>
    <s v="Valid"/>
    <s v="sehervirk@gmail.com"/>
    <s v="NO"/>
    <n v="18804.2"/>
    <s v="Y"/>
    <n v="127"/>
    <n v="127"/>
    <s v="A09"/>
  </r>
  <r>
    <s v="P1496"/>
    <s v="Aarav Dube"/>
    <s v="Aarav Dube"/>
    <x v="1"/>
    <n v="62"/>
    <n v="62"/>
    <s v="Cardiology"/>
    <s v="Cardiology"/>
    <s v="dr priya"/>
    <s v="Dr Priya"/>
    <d v="2026-02-03T00:00:00"/>
    <s v="Valid"/>
    <b v="1"/>
    <b v="1"/>
    <d v="2026-01-22T00:00:00"/>
    <s v="+912802959986"/>
    <s v="912802959986"/>
    <s v="2802959986"/>
    <s v="Valid"/>
    <s v="kimaya74@shroff.com"/>
    <s v="Yes"/>
    <n v="11538.46"/>
    <s v="NO"/>
    <n v="457"/>
    <n v="457"/>
    <s v="A09"/>
  </r>
  <r>
    <s v="P1497"/>
    <s v="Armaan Mangal"/>
    <s v="Armaan Mangal"/>
    <x v="3"/>
    <n v="41"/>
    <n v="41"/>
    <s v="Cardiology"/>
    <s v="Cardiology"/>
    <s v="Dr Rao"/>
    <s v="Dr Rao"/>
    <d v="2026-02-17T00:00:00"/>
    <s v="Valid"/>
    <b v="1"/>
    <b v="1"/>
    <d v="2026-01-27T00:00:00"/>
    <s v="6229984938"/>
    <s v="6229984938"/>
    <s v="6229984938"/>
    <s v="Valid"/>
    <s v="samarth59@mangat.org"/>
    <s v="NO"/>
    <n v="9609.81"/>
    <s v="NO"/>
    <n v="266"/>
    <n v="266"/>
    <s v="J20"/>
  </r>
  <r>
    <s v="P1498"/>
    <s v="Riya Ganesh"/>
    <s v="Riya Ganesh"/>
    <x v="0"/>
    <n v="24"/>
    <n v="24"/>
    <s v="Oncology"/>
    <s v="Oncology"/>
    <s v="DR SHARMA"/>
    <s v="Dr Sharma"/>
    <d v="2025-11-23T00:00:00"/>
    <s v="Valid"/>
    <b v="1"/>
    <b v="1"/>
    <d v="2025-11-15T00:00:00"/>
    <s v="05624058615"/>
    <s v="05624058615"/>
    <s v="5624058615"/>
    <s v="Valid"/>
    <s v="uvarghese@rajagopal.com"/>
    <m/>
    <n v="23971.47"/>
    <s v="NO"/>
    <n v="287"/>
    <n v="287"/>
    <s v="E11"/>
  </r>
  <r>
    <s v="P1499"/>
    <s v="Shayak Gaba"/>
    <s v="Shayak Gaba"/>
    <x v="3"/>
    <n v="55"/>
    <n v="55"/>
    <s v="Pediatrics"/>
    <s v="Pediatrics"/>
    <s v="dr priya"/>
    <s v="Dr Priya"/>
    <d v="2026-04-10T00:00:00"/>
    <s v="Valid"/>
    <b v="1"/>
    <b v="1"/>
    <d v="2026-03-19T00:00:00"/>
    <s v="03158210896"/>
    <s v="03158210896"/>
    <s v="3158210896"/>
    <s v="Valid"/>
    <s v="tiwarikiara@bhat.com"/>
    <s v="N"/>
    <n v="9253.93"/>
    <m/>
    <n v="243"/>
    <n v="243"/>
    <s v="M54"/>
  </r>
  <r>
    <s v="P1500"/>
    <s v="Yuvaan Dyal"/>
    <s v="Yuvaan Dyal"/>
    <x v="4"/>
    <n v="74"/>
    <n v="74"/>
    <s v="Orthopedics"/>
    <s v="Orthopedics"/>
    <s v="DR SHARMA"/>
    <s v="Dr Sharma"/>
    <d v="2025-12-21T00:00:00"/>
    <s v="Valid"/>
    <b v="1"/>
    <b v="1"/>
    <d v="2025-11-25T00:00:00"/>
    <s v="5021628471"/>
    <s v="5021628471"/>
    <s v="5021628471"/>
    <s v="Valid"/>
    <s v="amira82@balan.net"/>
    <s v="NO"/>
    <n v="18076.22"/>
    <s v="N"/>
    <n v="384"/>
    <n v="384"/>
    <s v="M54"/>
  </r>
  <r>
    <s v="P1501"/>
    <s v="Vedika Baral"/>
    <s v="Vedika Baral"/>
    <x v="1"/>
    <n v="26"/>
    <n v="26"/>
    <s v="Orthopedics"/>
    <s v="Orthopedics"/>
    <s v="Dr Mehta"/>
    <s v="Dr Mehta"/>
    <d v="2026-04-11T00:00:00"/>
    <s v="Valid"/>
    <b v="1"/>
    <b v="1"/>
    <d v="2026-03-27T00:00:00"/>
    <s v="09440606159"/>
    <s v="09440606159"/>
    <s v="9440606159"/>
    <s v="Valid"/>
    <s v="charvi54@chad-wali.com"/>
    <s v="Yes"/>
    <n v="4579.8599999999997"/>
    <m/>
    <n v="168"/>
    <n v="168"/>
    <s v="K21"/>
  </r>
  <r>
    <s v="P1502"/>
    <s v="Saira Som"/>
    <s v="Saira Som"/>
    <x v="2"/>
    <n v="63"/>
    <n v="63"/>
    <s v="Oncology"/>
    <s v="Oncology"/>
    <s v="Dr. Sharma"/>
    <s v="Dr. Sharma"/>
    <d v="2026-05-01T00:00:00"/>
    <s v="Valid"/>
    <b v="1"/>
    <b v="1"/>
    <d v="2026-04-14T00:00:00"/>
    <s v="02426420685"/>
    <s v="02426420685"/>
    <s v="2426420685"/>
    <s v="Valid"/>
    <s v="tarinidoshi@yahoo.com"/>
    <s v="Yes"/>
    <n v="10080.370000000001"/>
    <s v="Y"/>
    <n v="130"/>
    <n v="130"/>
    <s v="E11"/>
  </r>
  <r>
    <s v="P1503"/>
    <s v="Vihaan Bose"/>
    <s v="Vihaan Bose"/>
    <x v="0"/>
    <n v="61"/>
    <n v="61"/>
    <s v="Neurology"/>
    <s v="Neurology"/>
    <s v="Dr Khan"/>
    <s v="Dr Khan"/>
    <d v="2026-01-09T00:00:00"/>
    <s v="Valid"/>
    <b v="1"/>
    <b v="1"/>
    <d v="2025-12-17T00:00:00"/>
    <s v="0272859578"/>
    <s v="0272859578"/>
    <s v="0272859578"/>
    <s v="Valid"/>
    <s v="subramaniamyakshit@hotmail.com"/>
    <s v="N"/>
    <n v="6642.27"/>
    <s v="NO"/>
    <n v="386"/>
    <n v="386"/>
    <s v="A09"/>
  </r>
  <r>
    <s v="P1504"/>
    <s v="Aaina Borah"/>
    <s v="Aaina Borah"/>
    <x v="0"/>
    <n v="45"/>
    <n v="45"/>
    <s v="Cardiology"/>
    <s v="Cardiology"/>
    <s v="dr priya"/>
    <s v="Dr Priya"/>
    <d v="2026-02-23T00:00:00"/>
    <s v="Valid"/>
    <b v="1"/>
    <b v="1"/>
    <d v="2026-02-20T00:00:00"/>
    <s v="5320277098"/>
    <s v="5320277098"/>
    <s v="5320277098"/>
    <s v="Valid"/>
    <s v="hansh09@das.com"/>
    <s v="N"/>
    <n v="21710.74"/>
    <s v="N"/>
    <n v="395"/>
    <n v="395"/>
    <s v="A09"/>
  </r>
  <r>
    <s v="P1505"/>
    <s v="Rati Anand"/>
    <s v="Rati Anand"/>
    <x v="4"/>
    <n v="37"/>
    <n v="37"/>
    <s v="ENT"/>
    <s v="ENT"/>
    <s v="dr priya"/>
    <s v="Dr Priya"/>
    <d v="2026-05-13T00:00:00"/>
    <s v="Valid"/>
    <b v="1"/>
    <b v="1"/>
    <d v="2026-04-22T00:00:00"/>
    <s v="6226816263"/>
    <s v="6226816263"/>
    <s v="6226816263"/>
    <s v="Valid"/>
    <s v="nishith95@grover.info"/>
    <m/>
    <n v="19413.66"/>
    <m/>
    <n v="140"/>
    <n v="140"/>
    <s v="M54"/>
  </r>
  <r>
    <s v="P1506"/>
    <s v="Advika Kalla"/>
    <s v="Advika Kalla"/>
    <x v="0"/>
    <n v="60"/>
    <n v="60"/>
    <s v="Orthopedics"/>
    <s v="Orthopedics"/>
    <s v="Dr Mehta"/>
    <s v="Dr Mehta"/>
    <d v="2025-12-13T00:00:00"/>
    <s v="Valid"/>
    <b v="1"/>
    <b v="1"/>
    <d v="2025-11-23T00:00:00"/>
    <s v="02939697367"/>
    <s v="02939697367"/>
    <s v="2939697367"/>
    <s v="Valid"/>
    <s v="lthakur@gmail.com"/>
    <s v="N"/>
    <n v="10661.05"/>
    <m/>
    <n v="534"/>
    <n v="534"/>
    <s v="I10"/>
  </r>
  <r>
    <s v="P1507"/>
    <s v="Adira Raja"/>
    <s v="Adira Raja"/>
    <x v="2"/>
    <n v="21"/>
    <n v="21"/>
    <s v="ENT"/>
    <s v="ENT"/>
    <s v="DR SHARMA"/>
    <s v="Dr Sharma"/>
    <d v="2026-02-19T00:00:00"/>
    <s v="Valid"/>
    <b v="1"/>
    <b v="1"/>
    <d v="2026-02-09T00:00:00"/>
    <s v="02643145276"/>
    <s v="02643145276"/>
    <s v="2643145276"/>
    <s v="Valid"/>
    <s v="neelofarseshadri@gmail.com"/>
    <s v="N"/>
    <n v="16394.72"/>
    <s v="Yes"/>
    <n v="409"/>
    <n v="409"/>
    <s v="C34"/>
  </r>
  <r>
    <s v="P1508"/>
    <s v="Shray Kunda"/>
    <s v="Shray Kunda"/>
    <x v="1"/>
    <n v="35"/>
    <n v="35"/>
    <s v="General Medicine"/>
    <s v="General Medicine"/>
    <s v="dr priya"/>
    <s v="Dr Priya"/>
    <d v="2026-02-23T00:00:00"/>
    <s v="Valid"/>
    <b v="1"/>
    <b v="1"/>
    <d v="2026-01-31T00:00:00"/>
    <s v="+917459719648"/>
    <s v="917459719648"/>
    <s v="7459719648"/>
    <s v="Valid"/>
    <s v="devanshhegde@gmail.com"/>
    <m/>
    <n v="10466.93"/>
    <s v="Y"/>
    <n v="537"/>
    <n v="537"/>
    <s v="I10"/>
  </r>
  <r>
    <s v="P1509"/>
    <s v="Kaira Saraf"/>
    <s v="Kaira Saraf"/>
    <x v="4"/>
    <n v="31"/>
    <n v="31"/>
    <s v="Oncology"/>
    <s v="Oncology"/>
    <s v="Dr Mehta"/>
    <s v="Dr Mehta"/>
    <d v="2025-12-20T00:00:00"/>
    <s v="Valid"/>
    <b v="1"/>
    <b v="1"/>
    <d v="2025-12-14T00:00:00"/>
    <s v="1606991987"/>
    <s v="1606991987"/>
    <s v="1606991987"/>
    <s v="Valid"/>
    <s v="kbarad@sathe-magar.net"/>
    <s v="Yes"/>
    <n v="10046.73"/>
    <s v="NO"/>
    <n v="132"/>
    <n v="132"/>
    <s v="M54"/>
  </r>
  <r>
    <s v="P1511"/>
    <s v="Adah Sridhar"/>
    <s v="Adah Sridhar"/>
    <x v="0"/>
    <n v="30"/>
    <n v="30"/>
    <s v="Pediatrics"/>
    <s v="Pediatrics"/>
    <s v="Dr. Sharma"/>
    <s v="Dr. Sharma"/>
    <d v="2026-03-22T00:00:00"/>
    <s v="Valid"/>
    <b v="1"/>
    <b v="1"/>
    <d v="2026-03-08T00:00:00"/>
    <s v="2469705179"/>
    <s v="2469705179"/>
    <s v="2469705179"/>
    <s v="Valid"/>
    <s v="adeshmukh@walla-kunda.biz"/>
    <s v="Yes"/>
    <n v="3455.67"/>
    <s v="Y"/>
    <n v="114"/>
    <n v="114"/>
    <s v="I10"/>
  </r>
  <r>
    <s v="P1512"/>
    <s v="Pari Balay"/>
    <s v="Pari Balay"/>
    <x v="2"/>
    <n v="42"/>
    <n v="42"/>
    <s v="General Medicine"/>
    <s v="General Medicine"/>
    <s v="Dr Khan"/>
    <s v="Dr Khan"/>
    <d v="2026-02-14T00:00:00"/>
    <s v="Valid"/>
    <b v="1"/>
    <b v="1"/>
    <d v="2026-01-18T00:00:00"/>
    <s v="07969254343"/>
    <s v="07969254343"/>
    <s v="7969254343"/>
    <s v="Valid"/>
    <s v="mtella@banik.com"/>
    <s v="Y"/>
    <n v="13803.92"/>
    <s v="Y"/>
    <n v="457"/>
    <n v="457"/>
    <s v="A09"/>
  </r>
  <r>
    <s v="P1513"/>
    <s v="Mannat Iyengar"/>
    <s v="Mannat Iyengar"/>
    <x v="4"/>
    <n v="76"/>
    <n v="76"/>
    <s v="General Medicine"/>
    <s v="General Medicine"/>
    <s v="dr priya"/>
    <s v="Dr Priya"/>
    <d v="2026-04-19T00:00:00"/>
    <s v="Valid"/>
    <b v="1"/>
    <b v="1"/>
    <d v="2026-04-03T00:00:00"/>
    <s v="01003551778"/>
    <s v="01003551778"/>
    <s v="1003551778"/>
    <s v="Valid"/>
    <s v="sandhutara@tailor-din.com"/>
    <s v="Y"/>
    <n v="22741.29"/>
    <m/>
    <n v="376"/>
    <n v="376"/>
    <s v="E11"/>
  </r>
  <r>
    <s v="P1514"/>
    <s v="Seher Sawhney"/>
    <s v="Seher Sawhney"/>
    <x v="2"/>
    <n v="57"/>
    <n v="57"/>
    <s v="Oncology"/>
    <s v="Oncology"/>
    <s v="dr priya"/>
    <s v="Dr Priya"/>
    <d v="2026-02-04T00:00:00"/>
    <s v="Valid"/>
    <b v="1"/>
    <b v="1"/>
    <d v="2026-01-22T00:00:00"/>
    <s v="06834324057"/>
    <s v="06834324057"/>
    <s v="6834324057"/>
    <s v="Valid"/>
    <s v="ddhar@lala.com"/>
    <s v="Y"/>
    <n v="4061.79"/>
    <s v="Yes"/>
    <n v="100"/>
    <n v="100"/>
    <s v="A09"/>
  </r>
  <r>
    <s v="P1515"/>
    <s v="Yuvaan Raval"/>
    <s v="Yuvaan Raval"/>
    <x v="4"/>
    <n v="45"/>
    <n v="45"/>
    <s v="Oncology"/>
    <s v="Oncology"/>
    <s v="Dr Khan"/>
    <s v="Dr Khan"/>
    <d v="2026-04-13T00:00:00"/>
    <s v="Valid"/>
    <b v="1"/>
    <b v="1"/>
    <d v="2026-03-27T00:00:00"/>
    <s v="1599461982"/>
    <s v="1599461982"/>
    <s v="1599461982"/>
    <s v="Valid"/>
    <s v="jiyajoshi@yahoo.com"/>
    <s v="Yes"/>
    <n v="17256.7"/>
    <m/>
    <n v="486"/>
    <n v="486"/>
    <s v="M54"/>
  </r>
  <r>
    <s v="P1516"/>
    <s v="Anika Choudhary"/>
    <s v="Anika Choudhary"/>
    <x v="0"/>
    <n v="2"/>
    <n v="2"/>
    <s v="Dermatology"/>
    <s v="Dermatology"/>
    <s v="Dr. Sharma"/>
    <s v="Dr. Sharma"/>
    <d v="2026-03-05T00:00:00"/>
    <s v="Valid"/>
    <b v="1"/>
    <b v="1"/>
    <d v="2026-02-14T00:00:00"/>
    <s v="8788329182"/>
    <s v="8788329182"/>
    <s v="8788329182"/>
    <s v="Valid"/>
    <s v="raunak99@ravel.org"/>
    <s v="NO"/>
    <n v="19959.830000000002"/>
    <s v="NO"/>
    <n v="196"/>
    <n v="196"/>
    <s v="M54"/>
  </r>
  <r>
    <s v="P1517"/>
    <s v="Kimaya Wagle"/>
    <s v="Kimaya Wagle"/>
    <x v="1"/>
    <n v="51"/>
    <n v="51"/>
    <s v="Pediatrics"/>
    <s v="Pediatrics"/>
    <s v="Dr Mehta"/>
    <s v="Dr Mehta"/>
    <d v="2025-12-12T00:00:00"/>
    <s v="Valid"/>
    <b v="1"/>
    <b v="1"/>
    <d v="2025-11-20T00:00:00"/>
    <s v="06314488383"/>
    <s v="06314488383"/>
    <s v="6314488383"/>
    <s v="Valid"/>
    <s v="anvi22@gmail.com"/>
    <m/>
    <n v="20744.990000000002"/>
    <s v="N"/>
    <n v="234"/>
    <n v="234"/>
    <s v="I10"/>
  </r>
  <r>
    <s v="P1518"/>
    <s v="Taran Shukla"/>
    <s v="Taran Shukla"/>
    <x v="1"/>
    <n v="81"/>
    <n v="81"/>
    <s v="Pediatrics"/>
    <s v="Pediatrics"/>
    <s v="Dr. Sharma"/>
    <s v="Dr. Sharma"/>
    <d v="2026-02-21T00:00:00"/>
    <s v="Valid"/>
    <b v="1"/>
    <b v="1"/>
    <d v="2026-02-12T00:00:00"/>
    <s v="+916490709471"/>
    <s v="916490709471"/>
    <s v="6490709471"/>
    <s v="Valid"/>
    <s v="dahluwalia@gmail.com"/>
    <s v="Y"/>
    <n v="10440.02"/>
    <s v="NO"/>
    <n v="193"/>
    <n v="193"/>
    <s v="E11"/>
  </r>
  <r>
    <s v="P1519"/>
    <s v="Hunar Dyal"/>
    <s v="Hunar Dyal"/>
    <x v="0"/>
    <n v="15"/>
    <n v="15"/>
    <s v="General Medicine"/>
    <s v="General Medicine"/>
    <s v="Dr Khan"/>
    <s v="Dr Khan"/>
    <d v="2026-01-24T00:00:00"/>
    <s v="Valid"/>
    <b v="1"/>
    <b v="1"/>
    <d v="2026-01-16T00:00:00"/>
    <s v="+913352603090"/>
    <s v="913352603090"/>
    <s v="3352603090"/>
    <s v="Valid"/>
    <s v="tusharrattan@gmail.com"/>
    <m/>
    <n v="4857.18"/>
    <s v="Yes"/>
    <n v="177"/>
    <n v="177"/>
    <s v="I10"/>
  </r>
  <r>
    <s v="P1521"/>
    <s v="Aniruddh Sankar"/>
    <s v="Aniruddh Sankar"/>
    <x v="4"/>
    <n v="2"/>
    <n v="2"/>
    <s v="General Medicine"/>
    <s v="General Medicine"/>
    <s v="DR SHARMA"/>
    <s v="Dr Sharma"/>
    <d v="2025-12-21T00:00:00"/>
    <s v="Valid"/>
    <b v="1"/>
    <b v="1"/>
    <d v="2025-12-11T00:00:00"/>
    <s v="0490303941"/>
    <s v="0490303941"/>
    <s v="0490303941"/>
    <s v="Valid"/>
    <s v="shamik79@tiwari-zacharia.com"/>
    <m/>
    <n v="7927.1"/>
    <m/>
    <n v="290"/>
    <n v="290"/>
    <s v="M54"/>
  </r>
  <r>
    <s v="P1522"/>
    <s v="Elakshi Hari"/>
    <s v="Elakshi Hari"/>
    <x v="0"/>
    <n v="43"/>
    <n v="43"/>
    <s v="Neurology"/>
    <s v="Neurology"/>
    <s v="Dr Mehta"/>
    <s v="Dr Mehta"/>
    <d v="2025-12-22T00:00:00"/>
    <s v="Valid"/>
    <b v="1"/>
    <b v="1"/>
    <d v="2025-12-21T00:00:00"/>
    <s v="04499908490"/>
    <s v="04499908490"/>
    <s v="4499908490"/>
    <s v="Valid"/>
    <s v="sumerdoctor@yahoo.com"/>
    <s v="Y"/>
    <n v="19436.189999999999"/>
    <s v="NO"/>
    <n v="378"/>
    <n v="378"/>
    <s v="M54"/>
  </r>
  <r>
    <s v="P1523"/>
    <s v="Neysa Sharma"/>
    <s v="Neysa Sharma"/>
    <x v="4"/>
    <n v="25"/>
    <n v="25"/>
    <s v="Oncology"/>
    <s v="Oncology"/>
    <s v="dr priya"/>
    <s v="Dr Priya"/>
    <d v="2026-01-03T00:00:00"/>
    <s v="Valid"/>
    <b v="1"/>
    <b v="1"/>
    <d v="2025-12-08T00:00:00"/>
    <s v="6283916268"/>
    <s v="6283916268"/>
    <s v="6283916268"/>
    <s v="Valid"/>
    <s v="aaryahi03@balasubramanian-cheema.org"/>
    <s v="Yes"/>
    <n v="3224.65"/>
    <s v="N"/>
    <n v="297"/>
    <n v="297"/>
    <s v="K21"/>
  </r>
  <r>
    <s v="P1524"/>
    <s v="Aarav Kata"/>
    <s v="Aarav Kata"/>
    <x v="3"/>
    <n v="32"/>
    <n v="32"/>
    <s v="Cardiology"/>
    <s v="Cardiology"/>
    <s v="DR SHARMA"/>
    <s v="Dr Sharma"/>
    <d v="2025-11-30T00:00:00"/>
    <s v="Valid"/>
    <b v="1"/>
    <b v="1"/>
    <d v="2025-11-16T00:00:00"/>
    <s v="3638095149"/>
    <s v="3638095149"/>
    <s v="3638095149"/>
    <s v="Valid"/>
    <s v="lcherian@vasa.org"/>
    <s v="NO"/>
    <n v="13124.25"/>
    <s v="N"/>
    <n v="342"/>
    <n v="342"/>
    <s v="M54"/>
  </r>
  <r>
    <s v="P1525"/>
    <s v="Kaira Sabharwal"/>
    <s v="Kaira Sabharwal"/>
    <x v="0"/>
    <n v="42"/>
    <n v="42"/>
    <s v="Orthopedics"/>
    <s v="Orthopedics"/>
    <s v="Dr Rao"/>
    <s v="Dr Rao"/>
    <d v="2026-01-14T00:00:00"/>
    <s v="Valid"/>
    <b v="1"/>
    <b v="1"/>
    <d v="2025-12-22T00:00:00"/>
    <s v="+911610937484"/>
    <s v="911610937484"/>
    <s v="1610937484"/>
    <s v="Valid"/>
    <s v="gatikravel@kaul.com"/>
    <s v="NO"/>
    <n v="6482.16"/>
    <s v="Yes"/>
    <s v="Room-X"/>
    <n v="0"/>
    <s v="J20"/>
  </r>
  <r>
    <s v="P1526"/>
    <s v="Kismat Mannan"/>
    <s v="Kismat Mannan"/>
    <x v="0"/>
    <n v="86"/>
    <n v="86"/>
    <s v="Pediatrics"/>
    <s v="Pediatrics"/>
    <s v="Dr Mehta"/>
    <s v="Dr Mehta"/>
    <d v="2026-01-01T00:00:00"/>
    <s v="Valid"/>
    <b v="1"/>
    <b v="1"/>
    <d v="2025-12-25T00:00:00"/>
    <s v="02223767089"/>
    <s v="02223767089"/>
    <s v="2223767089"/>
    <s v="Valid"/>
    <s v="gokul44@yahoo.com"/>
    <m/>
    <n v="8247.93"/>
    <s v="Y"/>
    <n v="506"/>
    <n v="506"/>
    <s v="J20"/>
  </r>
  <r>
    <s v="P1527"/>
    <s v="Neysa Datta"/>
    <s v="Neysa Datta"/>
    <x v="2"/>
    <n v="51"/>
    <n v="51"/>
    <s v="Pediatrics"/>
    <s v="Pediatrics"/>
    <s v="Dr Rao"/>
    <s v="Dr Rao"/>
    <d v="2025-11-20T00:00:00"/>
    <s v="Valid"/>
    <b v="1"/>
    <b v="1"/>
    <d v="2025-11-19T00:00:00"/>
    <s v="+912963359451"/>
    <s v="912963359451"/>
    <s v="2963359451"/>
    <s v="Valid"/>
    <s v="osarraf@zachariah-shetty.biz"/>
    <m/>
    <n v="17272.48"/>
    <s v="Y"/>
    <n v="290"/>
    <n v="290"/>
    <s v="K21"/>
  </r>
  <r>
    <s v="P1528"/>
    <s v="Tejas Dixit"/>
    <s v="Tejas Dixit"/>
    <x v="2"/>
    <n v="32"/>
    <n v="32"/>
    <s v="Orthopedics"/>
    <s v="Orthopedics"/>
    <s v="Dr Khan"/>
    <s v="Dr Khan"/>
    <d v="2025-11-27T00:00:00"/>
    <s v="Valid"/>
    <b v="1"/>
    <b v="1"/>
    <d v="2025-11-25T00:00:00"/>
    <s v="01506889564"/>
    <s v="01506889564"/>
    <s v="1506889564"/>
    <s v="Valid"/>
    <s v="dateahana@hotmail.com"/>
    <s v="N"/>
    <n v="23285.05"/>
    <s v="Yes"/>
    <n v="130"/>
    <n v="130"/>
    <s v="J20"/>
  </r>
  <r>
    <s v="P1529"/>
    <s v="Krish Sule"/>
    <s v="Krish Sule"/>
    <x v="4"/>
    <n v="90"/>
    <n v="90"/>
    <s v="Neurology"/>
    <s v="Neurology"/>
    <s v="Dr Mehta"/>
    <s v="Dr Mehta"/>
    <d v="2026-01-29T00:00:00"/>
    <s v="Valid"/>
    <b v="1"/>
    <b v="1"/>
    <d v="2026-01-14T00:00:00"/>
    <s v="+911949561580"/>
    <s v="911949561580"/>
    <s v="1949561580"/>
    <s v="Valid"/>
    <s v="riya75@gmail.com"/>
    <s v="NO"/>
    <n v="8055.14"/>
    <s v="NO"/>
    <n v="512"/>
    <n v="512"/>
    <s v="M54"/>
  </r>
  <r>
    <s v="P1530"/>
    <s v="Mannat Rattan"/>
    <s v="Mannat Rattan"/>
    <x v="5"/>
    <n v="3"/>
    <n v="3"/>
    <s v="Dermatology"/>
    <s v="Dermatology"/>
    <s v="dr priya"/>
    <s v="Dr Priya"/>
    <d v="2026-03-26T00:00:00"/>
    <s v="Valid"/>
    <b v="1"/>
    <b v="1"/>
    <d v="2026-03-03T00:00:00"/>
    <s v="02064944788"/>
    <s v="02064944788"/>
    <s v="2064944788"/>
    <s v="Valid"/>
    <s v="saneadira@wagle-chada.com"/>
    <s v="Yes"/>
    <n v="6417.27"/>
    <s v="Yes"/>
    <n v="348"/>
    <n v="348"/>
    <s v="C34"/>
  </r>
  <r>
    <s v="P1531"/>
    <s v="Yuvaan Thaman"/>
    <s v="Yuvaan Thaman"/>
    <x v="3"/>
    <n v="72"/>
    <n v="72"/>
    <s v="Oncology"/>
    <s v="Oncology"/>
    <s v="Dr Khan"/>
    <s v="Dr Khan"/>
    <d v="2026-01-12T00:00:00"/>
    <s v="Valid"/>
    <b v="1"/>
    <b v="1"/>
    <d v="2026-01-06T00:00:00"/>
    <s v="+912937382808"/>
    <s v="912937382808"/>
    <s v="2937382808"/>
    <s v="Valid"/>
    <s v="akaran@hotmail.com"/>
    <s v="Yes"/>
    <n v="13681.79"/>
    <s v="NO"/>
    <n v="474"/>
    <n v="474"/>
    <s v="M54"/>
  </r>
  <r>
    <s v="P1532"/>
    <s v="Azad Chopra"/>
    <s v="Azad Chopra"/>
    <x v="0"/>
    <n v="77"/>
    <n v="77"/>
    <s v="Orthopedics"/>
    <s v="Orthopedics"/>
    <s v="Dr Mehta"/>
    <s v="Dr Mehta"/>
    <d v="2025-12-06T00:00:00"/>
    <s v="Valid"/>
    <b v="1"/>
    <b v="1"/>
    <d v="2025-11-20T00:00:00"/>
    <s v="0807279837"/>
    <s v="0807279837"/>
    <s v="0807279837"/>
    <s v="Valid"/>
    <s v="nirvaansankar@hotmail.com"/>
    <s v="Yes"/>
    <n v="11344.73"/>
    <s v="Yes"/>
    <n v="377"/>
    <n v="377"/>
    <s v="J20"/>
  </r>
  <r>
    <s v="P1533"/>
    <s v="Lakshit Ganguly"/>
    <s v="Lakshit Ganguly"/>
    <x v="3"/>
    <n v="1"/>
    <n v="1"/>
    <s v="Dermatology"/>
    <s v="Dermatology"/>
    <s v="Dr Mehta"/>
    <s v="Dr Mehta"/>
    <d v="2026-01-03T00:00:00"/>
    <s v="Valid"/>
    <b v="1"/>
    <b v="1"/>
    <d v="2025-12-06T00:00:00"/>
    <s v="9166349906"/>
    <s v="9166349906"/>
    <s v="9166349906"/>
    <s v="Valid"/>
    <s v="ela22@kakar-bansal.com"/>
    <s v="Yes"/>
    <n v="15569.42"/>
    <s v="NO"/>
    <n v="497"/>
    <n v="497"/>
    <s v="A09"/>
  </r>
  <r>
    <s v="P1534"/>
    <s v="Aarna Dash"/>
    <s v="Aarna Dash"/>
    <x v="5"/>
    <n v="42"/>
    <n v="42"/>
    <s v="Neurology"/>
    <s v="Neurology"/>
    <s v="dr priya"/>
    <s v="Dr Priya"/>
    <d v="2026-03-26T00:00:00"/>
    <s v="Valid"/>
    <b v="1"/>
    <b v="1"/>
    <d v="2026-03-20T00:00:00"/>
    <s v="07509241138"/>
    <s v="07509241138"/>
    <s v="7509241138"/>
    <s v="Valid"/>
    <s v="chawlasiya@gulati.com"/>
    <m/>
    <n v="19190.21"/>
    <s v="Y"/>
    <n v="413"/>
    <n v="413"/>
    <s v="J20"/>
  </r>
  <r>
    <s v="P1535"/>
    <s v="Aarav Loyal"/>
    <s v="Aarav Loyal"/>
    <x v="2"/>
    <n v="53"/>
    <n v="53"/>
    <s v="ENT"/>
    <s v="ENT"/>
    <s v="Dr Mehta"/>
    <s v="Dr Mehta"/>
    <d v="2026-03-16T00:00:00"/>
    <s v="Valid"/>
    <b v="1"/>
    <b v="1"/>
    <d v="2026-03-13T00:00:00"/>
    <s v="+918089114581"/>
    <s v="918089114581"/>
    <s v="8089114581"/>
    <s v="Valid"/>
    <s v="azadshah@hotmail.com"/>
    <s v="NO"/>
    <n v="1285.68"/>
    <s v="Y"/>
    <n v="191"/>
    <n v="191"/>
    <s v="K21"/>
  </r>
  <r>
    <s v="P1536"/>
    <s v="Aaina Kara"/>
    <s v="Aaina Kara"/>
    <x v="0"/>
    <n v="26"/>
    <n v="26"/>
    <s v="Neurology"/>
    <s v="Neurology"/>
    <s v="Dr Khan"/>
    <s v="Dr Khan"/>
    <d v="2026-02-22T00:00:00"/>
    <s v="Valid"/>
    <b v="1"/>
    <b v="1"/>
    <d v="2026-02-16T00:00:00"/>
    <s v="07544551849"/>
    <s v="07544551849"/>
    <s v="7544551849"/>
    <s v="Valid"/>
    <s v="slall@bahri.info"/>
    <s v="NO"/>
    <n v="989.07"/>
    <m/>
    <n v="436"/>
    <n v="436"/>
    <s v="M54"/>
  </r>
  <r>
    <s v="P1537"/>
    <s v="Pari Chaudhari"/>
    <s v="Pari Chaudhari"/>
    <x v="0"/>
    <n v="7"/>
    <n v="7"/>
    <s v="ENT"/>
    <s v="ENT"/>
    <s v="DR SHARMA"/>
    <s v="Dr Sharma"/>
    <d v="2026-05-19T00:00:00"/>
    <s v="Valid"/>
    <b v="1"/>
    <b v="1"/>
    <d v="2026-04-30T00:00:00"/>
    <s v="5299036837"/>
    <s v="5299036837"/>
    <s v="5299036837"/>
    <s v="Valid"/>
    <s v="nitarasalvi@yahoo.com"/>
    <s v="NO"/>
    <n v="524.54"/>
    <s v="N"/>
    <n v="435"/>
    <n v="435"/>
    <s v="M54"/>
  </r>
  <r>
    <s v="P1538"/>
    <s v="Riaan Loke"/>
    <s v="Riaan Loke"/>
    <x v="2"/>
    <n v="60"/>
    <n v="60"/>
    <s v="Cardiology"/>
    <s v="Cardiology"/>
    <s v="dr priya"/>
    <s v="Dr Priya"/>
    <d v="2026-02-08T00:00:00"/>
    <s v="Valid"/>
    <b v="1"/>
    <b v="1"/>
    <d v="2026-01-22T00:00:00"/>
    <s v="+912253983711"/>
    <s v="912253983711"/>
    <s v="2253983711"/>
    <s v="Valid"/>
    <s v="auroranavya@hotmail.com"/>
    <m/>
    <n v="20586.259999999998"/>
    <s v="Yes"/>
    <n v="521"/>
    <n v="521"/>
    <s v="A09"/>
  </r>
  <r>
    <s v="P1539"/>
    <s v="Vihaan Kashyap"/>
    <s v="Vihaan Kashyap"/>
    <x v="0"/>
    <n v="68"/>
    <n v="68"/>
    <s v="Cardiology"/>
    <s v="Cardiology"/>
    <s v="Dr Mehta"/>
    <s v="Dr Mehta"/>
    <d v="2026-02-26T00:00:00"/>
    <s v="Valid"/>
    <b v="1"/>
    <b v="1"/>
    <d v="2026-01-31T00:00:00"/>
    <s v="+915286717185"/>
    <s v="915286717185"/>
    <s v="5286717185"/>
    <s v="Valid"/>
    <s v="fbandi@dey.com"/>
    <s v="Y"/>
    <n v="2132.8000000000002"/>
    <s v="N"/>
    <n v="365"/>
    <n v="365"/>
    <s v="I10"/>
  </r>
  <r>
    <s v="P1540"/>
    <s v="  Lagan Chada "/>
    <s v="Lagan Chada"/>
    <x v="2"/>
    <n v="30"/>
    <n v="30"/>
    <s v="Dermatology"/>
    <s v="Dermatology"/>
    <s v="DR SHARMA"/>
    <s v="Dr Sharma"/>
    <d v="2025-12-08T00:00:00"/>
    <s v="Valid"/>
    <b v="1"/>
    <b v="1"/>
    <d v="2025-12-02T00:00:00"/>
    <s v="07682249268"/>
    <s v="07682249268"/>
    <s v="7682249268"/>
    <s v="Valid"/>
    <s v="kuppal@yahoo.com"/>
    <s v="NO"/>
    <n v="14336.69"/>
    <s v="Y"/>
    <n v="385"/>
    <n v="385"/>
    <s v="C34"/>
  </r>
  <r>
    <s v="P1541"/>
    <s v="Indranil Sharma"/>
    <s v="Indranil Sharma"/>
    <x v="1"/>
    <n v="14"/>
    <n v="14"/>
    <s v="ENT"/>
    <s v="ENT"/>
    <s v="Dr Khan"/>
    <s v="Dr Khan"/>
    <d v="2026-05-04T00:00:00"/>
    <s v="Valid"/>
    <b v="1"/>
    <b v="1"/>
    <d v="2026-04-12T00:00:00"/>
    <s v="0704174767"/>
    <s v="0704174767"/>
    <s v="0704174767"/>
    <s v="Valid"/>
    <s v="krish81@salvi-kannan.com"/>
    <m/>
    <n v="22094.04"/>
    <s v="Y"/>
    <n v="505"/>
    <n v="505"/>
    <s v="E11"/>
  </r>
  <r>
    <s v="P1542"/>
    <s v="Vanya Gala"/>
    <s v="Vanya Gala"/>
    <x v="1"/>
    <n v="65"/>
    <n v="65"/>
    <s v="ENT"/>
    <s v="ENT"/>
    <s v="Dr Mehta"/>
    <s v="Dr Mehta"/>
    <d v="2026-01-07T00:00:00"/>
    <s v="Valid"/>
    <b v="1"/>
    <b v="1"/>
    <d v="2025-12-21T00:00:00"/>
    <s v="9316897415"/>
    <s v="9316897415"/>
    <s v="9316897415"/>
    <s v="Valid"/>
    <s v="bhatiaehsaan@gmail.com"/>
    <m/>
    <n v="23351.3"/>
    <s v="NO"/>
    <n v="381"/>
    <n v="381"/>
    <s v="J20"/>
  </r>
  <r>
    <s v="P1543"/>
    <s v="Baiju Boase"/>
    <s v="Baiju Boase"/>
    <x v="2"/>
    <n v="53"/>
    <n v="53"/>
    <s v="Dermatology"/>
    <s v="Dermatology"/>
    <s v="dr priya"/>
    <s v="Dr Priya"/>
    <d v="2026-05-12T00:00:00"/>
    <s v="Valid"/>
    <b v="1"/>
    <b v="1"/>
    <d v="2026-04-23T00:00:00"/>
    <s v="08776564589"/>
    <s v="08776564589"/>
    <s v="8776564589"/>
    <s v="Valid"/>
    <s v="karpecharvi@sodhi.com"/>
    <s v="NO"/>
    <n v="14165.99"/>
    <s v="N"/>
    <n v="292"/>
    <n v="292"/>
    <s v="K21"/>
  </r>
  <r>
    <s v="P1544"/>
    <s v="Madhav Bora"/>
    <s v="Madhav Bora"/>
    <x v="0"/>
    <n v="47"/>
    <n v="47"/>
    <s v="General Medicine"/>
    <s v="General Medicine"/>
    <s v="Dr Khan"/>
    <s v="Dr Khan"/>
    <d v="2026-05-22T00:00:00"/>
    <s v="Valid"/>
    <b v="1"/>
    <b v="1"/>
    <d v="2026-04-22T00:00:00"/>
    <s v="9426249338"/>
    <s v="9426249338"/>
    <s v="9426249338"/>
    <s v="Valid"/>
    <s v="virkaarush@tara.net"/>
    <m/>
    <n v="204.85"/>
    <s v="Yes"/>
    <n v="245"/>
    <n v="245"/>
    <s v="A09"/>
  </r>
  <r>
    <s v="P1546"/>
    <s v="Fateh Desai"/>
    <s v="Fateh Desai"/>
    <x v="0"/>
    <n v="89"/>
    <n v="89"/>
    <s v="Oncology"/>
    <s v="Oncology"/>
    <s v="Dr Mehta"/>
    <s v="Dr Mehta"/>
    <d v="2026-02-27T00:00:00"/>
    <s v="Valid"/>
    <b v="1"/>
    <b v="1"/>
    <d v="2026-02-24T00:00:00"/>
    <s v="09831831424"/>
    <s v="09831831424"/>
    <s v="9831831424"/>
    <s v="Valid"/>
    <s v="mallickmyra@rege.com"/>
    <s v="Yes"/>
    <n v="11617.17"/>
    <s v="Y"/>
    <n v="170"/>
    <n v="170"/>
    <s v="J20"/>
  </r>
  <r>
    <s v="P1547"/>
    <s v="Sahil Bhatia"/>
    <s v="Sahil Bhatia"/>
    <x v="2"/>
    <n v="75"/>
    <n v="75"/>
    <s v="Pediatrics"/>
    <s v="Pediatrics"/>
    <s v="DR SHARMA"/>
    <s v="Dr Sharma"/>
    <d v="2026-02-25T00:00:00"/>
    <s v="Valid"/>
    <b v="1"/>
    <b v="1"/>
    <d v="2026-02-17T00:00:00"/>
    <s v="+919652515373"/>
    <s v="919652515373"/>
    <s v="9652515373"/>
    <s v="Valid"/>
    <s v="mraman@sura.com"/>
    <s v="Y"/>
    <n v="2479.25"/>
    <m/>
    <n v="391"/>
    <n v="391"/>
    <s v="E11"/>
  </r>
  <r>
    <s v="P1548"/>
    <s v="Zara Uppal"/>
    <s v="Zara Uppal"/>
    <x v="2"/>
    <n v="42"/>
    <n v="42"/>
    <s v="General Medicine"/>
    <s v="General Medicine"/>
    <s v="Dr Mehta"/>
    <s v="Dr Mehta"/>
    <d v="2026-05-06T00:00:00"/>
    <s v="Valid"/>
    <b v="1"/>
    <b v="1"/>
    <d v="2026-04-21T00:00:00"/>
    <s v="06815743886"/>
    <s v="06815743886"/>
    <s v="6815743886"/>
    <s v="Valid"/>
    <s v="idevi@yahoo.com"/>
    <s v="NO"/>
    <n v="14961.73"/>
    <s v="Yes"/>
    <n v="119"/>
    <n v="119"/>
    <s v="C34"/>
  </r>
  <r>
    <s v="P1549"/>
    <s v="Inaaya  Krishna"/>
    <s v="Inaaya Krishna"/>
    <x v="1"/>
    <n v="11"/>
    <n v="11"/>
    <s v="Cardiology"/>
    <s v="Cardiology"/>
    <s v="dr priya"/>
    <s v="Dr Priya"/>
    <d v="2026-04-17T00:00:00"/>
    <s v="Valid"/>
    <b v="1"/>
    <b v="1"/>
    <d v="2026-04-06T00:00:00"/>
    <s v="00744900381"/>
    <s v="00744900381"/>
    <s v="0744900381"/>
    <s v="Valid"/>
    <s v="ghosemanjari@gmail.com"/>
    <m/>
    <n v="10529.74"/>
    <s v="NO"/>
    <n v="545"/>
    <n v="545"/>
    <s v="K21"/>
  </r>
  <r>
    <s v="P1550"/>
    <s v="Ritvik Rao"/>
    <s v="Ritvik Rao"/>
    <x v="5"/>
    <n v="84"/>
    <n v="84"/>
    <s v="Cardiology"/>
    <s v="Cardiology"/>
    <s v="dr priya"/>
    <s v="Dr Priya"/>
    <d v="2026-02-09T00:00:00"/>
    <s v="Valid"/>
    <b v="1"/>
    <b v="1"/>
    <d v="2026-02-08T00:00:00"/>
    <s v="02076356431"/>
    <s v="02076356431"/>
    <s v="2076356431"/>
    <s v="Valid"/>
    <s v="diyabehl@yahoo.com"/>
    <s v="Y"/>
    <n v="13204.71"/>
    <s v="NO"/>
    <n v="376"/>
    <n v="376"/>
    <s v="A09"/>
  </r>
  <r>
    <s v="P1551"/>
    <s v="Kiaan Gera"/>
    <s v="Kiaan Gera"/>
    <x v="4"/>
    <n v="42"/>
    <n v="42"/>
    <s v="Pediatrics"/>
    <s v="Pediatrics"/>
    <s v="Dr Mehta"/>
    <s v="Dr Mehta"/>
    <d v="2026-02-23T00:00:00"/>
    <s v="Valid"/>
    <b v="1"/>
    <b v="1"/>
    <d v="2026-02-22T00:00:00"/>
    <s v="+911996779616"/>
    <s v="911996779616"/>
    <s v="1996779616"/>
    <s v="Valid"/>
    <s v="icherian@datta.com"/>
    <m/>
    <n v="24281.8"/>
    <s v="NO"/>
    <n v="213"/>
    <n v="213"/>
    <s v="M54"/>
  </r>
  <r>
    <s v="P1552"/>
    <s v="Veer Rao"/>
    <s v="Veer Rao"/>
    <x v="0"/>
    <n v="51"/>
    <n v="51"/>
    <s v="Orthopedics"/>
    <s v="Orthopedics"/>
    <s v="Dr Mehta"/>
    <s v="Dr Mehta"/>
    <d v="2026-03-27T00:00:00"/>
    <s v="Valid"/>
    <b v="1"/>
    <b v="1"/>
    <d v="2026-03-17T00:00:00"/>
    <s v="5353229217"/>
    <s v="5353229217"/>
    <s v="5353229217"/>
    <s v="Valid"/>
    <s v="borakismat@rege.com"/>
    <s v="NO"/>
    <n v="12001.2"/>
    <s v="Yes"/>
    <n v="380"/>
    <n v="380"/>
    <s v="M54"/>
  </r>
  <r>
    <s v="P1553"/>
    <s v="Shayak Banerjee"/>
    <s v="Shayak Banerjee"/>
    <x v="0"/>
    <n v="11"/>
    <n v="11"/>
    <s v="Dermatology"/>
    <s v="Dermatology"/>
    <s v="dr priya"/>
    <s v="Dr Priya"/>
    <d v="2026-03-25T00:00:00"/>
    <s v="Valid"/>
    <b v="1"/>
    <b v="1"/>
    <d v="2026-03-01T00:00:00"/>
    <s v="02532710802"/>
    <s v="02532710802"/>
    <s v="2532710802"/>
    <s v="Valid"/>
    <s v="svarty@yahoo.com"/>
    <s v="Yes"/>
    <n v="19098.419999999998"/>
    <m/>
    <n v="386"/>
    <n v="386"/>
    <s v="E11"/>
  </r>
  <r>
    <s v="P1554"/>
    <s v="Zeeshan Dada"/>
    <s v="Zeeshan Dada"/>
    <x v="3"/>
    <n v="51"/>
    <n v="51"/>
    <s v="Pediatrics"/>
    <s v="Pediatrics"/>
    <s v="DR SHARMA"/>
    <s v="Dr Sharma"/>
    <d v="2026-01-06T00:00:00"/>
    <s v="Valid"/>
    <b v="1"/>
    <b v="1"/>
    <d v="2025-12-30T00:00:00"/>
    <s v="01249042649"/>
    <s v="01249042649"/>
    <s v="1249042649"/>
    <s v="Valid"/>
    <s v="ahana-60@bajwa.com"/>
    <s v="NO"/>
    <n v="6803.18"/>
    <m/>
    <n v="265"/>
    <n v="265"/>
    <s v="C34"/>
  </r>
  <r>
    <s v="P1555"/>
    <s v="Ivan Baria"/>
    <s v="Ivan Baria"/>
    <x v="2"/>
    <n v="15"/>
    <n v="15"/>
    <s v="Dermatology"/>
    <s v="Dermatology"/>
    <s v="dr priya"/>
    <s v="Dr Priya"/>
    <d v="2026-03-21T00:00:00"/>
    <s v="Valid"/>
    <b v="1"/>
    <b v="1"/>
    <d v="2026-03-10T00:00:00"/>
    <s v="08153290362"/>
    <s v="08153290362"/>
    <s v="8153290362"/>
    <s v="Valid"/>
    <s v="priyansh78@hotmail.com"/>
    <s v="N"/>
    <n v="4924.1499999999996"/>
    <s v="NO"/>
    <n v="404"/>
    <n v="404"/>
    <s v="C34"/>
  </r>
  <r>
    <s v="P1556"/>
    <s v="Nirvi Verma"/>
    <s v="Nirvi Verma"/>
    <x v="0"/>
    <n v="40"/>
    <n v="40"/>
    <s v="Orthopedics"/>
    <s v="Orthopedics"/>
    <s v="dr priya"/>
    <s v="Dr Priya"/>
    <d v="2026-05-23T00:00:00"/>
    <s v="Valid"/>
    <b v="1"/>
    <b v="1"/>
    <d v="2026-05-04T00:00:00"/>
    <s v="2709643199"/>
    <s v="2709643199"/>
    <s v="2709643199"/>
    <s v="Valid"/>
    <s v="diya53@mani-subramanian.net"/>
    <m/>
    <n v="15654.92"/>
    <m/>
    <n v="122"/>
    <n v="122"/>
    <s v="K21"/>
  </r>
  <r>
    <s v="P1557"/>
    <s v="Tushar Dugar"/>
    <s v="Tushar Dugar"/>
    <x v="5"/>
    <n v="26"/>
    <n v="26"/>
    <s v="ENT"/>
    <s v="ENT"/>
    <s v="Dr Mehta"/>
    <s v="Dr Mehta"/>
    <d v="2026-04-08T00:00:00"/>
    <s v="Valid"/>
    <b v="1"/>
    <b v="1"/>
    <d v="2026-03-15T00:00:00"/>
    <s v="+917356016707"/>
    <s v="917356016707"/>
    <s v="7356016707"/>
    <s v="Valid"/>
    <s v="waliajivika@yahoo.com"/>
    <s v="NO"/>
    <n v="2986.82"/>
    <s v="Yes"/>
    <n v="224"/>
    <n v="224"/>
    <s v="A09"/>
  </r>
  <r>
    <s v="P1558"/>
    <s v="Yasmin Sarin"/>
    <s v="Yasmin Sarin"/>
    <x v="4"/>
    <n v="37"/>
    <n v="37"/>
    <s v="Cardiology"/>
    <s v="Cardiology"/>
    <s v="dr priya"/>
    <s v="Dr Priya"/>
    <d v="2026-03-18T00:00:00"/>
    <s v="Valid"/>
    <b v="1"/>
    <b v="1"/>
    <d v="2026-02-24T00:00:00"/>
    <s v="+913844591134"/>
    <s v="913844591134"/>
    <s v="3844591134"/>
    <s v="Valid"/>
    <s v="kavya60@yahoo.com"/>
    <s v="NO"/>
    <n v="7766.93"/>
    <m/>
    <n v="111"/>
    <n v="111"/>
    <s v="J20"/>
  </r>
  <r>
    <s v="P1559"/>
    <s v="Vedika Divan"/>
    <s v="Vedika Divan"/>
    <x v="5"/>
    <n v="69"/>
    <n v="69"/>
    <s v="Pediatrics"/>
    <s v="Pediatrics"/>
    <s v="DR SHARMA"/>
    <s v="Dr Sharma"/>
    <d v="2026-01-07T00:00:00"/>
    <s v="Valid"/>
    <b v="1"/>
    <b v="1"/>
    <d v="2025-12-21T00:00:00"/>
    <s v="3963573855"/>
    <s v="3963573855"/>
    <s v="3963573855"/>
    <s v="Valid"/>
    <s v="sanghvigokul@yahoo.com"/>
    <s v="Y"/>
    <n v="13810.24"/>
    <s v="Y"/>
    <n v="455"/>
    <n v="455"/>
    <s v="C34"/>
  </r>
  <r>
    <s v="P1561"/>
    <s v="Advika Basu"/>
    <s v="Advika Basu"/>
    <x v="0"/>
    <n v="9"/>
    <n v="9"/>
    <s v="Dermatology"/>
    <s v="Dermatology"/>
    <s v="Dr. Sharma"/>
    <s v="Dr. Sharma"/>
    <d v="2026-04-06T00:00:00"/>
    <s v="Valid"/>
    <b v="1"/>
    <b v="1"/>
    <d v="2026-03-16T00:00:00"/>
    <s v="02593585625"/>
    <s v="02593585625"/>
    <s v="2593585625"/>
    <s v="Valid"/>
    <s v="zeeshan88@malhotra.com"/>
    <s v="N"/>
    <n v="21634.2"/>
    <s v="Yes"/>
    <n v="249"/>
    <n v="249"/>
    <s v="K21"/>
  </r>
  <r>
    <s v="P1562"/>
    <s v="Mannat Varma"/>
    <s v="Mannat Varma"/>
    <x v="1"/>
    <n v="30"/>
    <n v="30"/>
    <s v="Dermatology"/>
    <s v="Dermatology"/>
    <s v="Dr Mehta"/>
    <s v="Dr Mehta"/>
    <d v="2026-02-08T00:00:00"/>
    <s v="Valid"/>
    <b v="1"/>
    <b v="1"/>
    <d v="2026-01-11T00:00:00"/>
    <s v="09044822262"/>
    <s v="09044822262"/>
    <s v="9044822262"/>
    <s v="Valid"/>
    <s v="pmall@atwal-gola.net"/>
    <s v="N"/>
    <n v="12219.62"/>
    <s v="NO"/>
    <n v="195"/>
    <n v="195"/>
    <s v="E11"/>
  </r>
  <r>
    <s v="P1563"/>
    <s v="Jivin Kothari"/>
    <s v="Jivin Kothari"/>
    <x v="3"/>
    <n v="72"/>
    <n v="72"/>
    <s v="Cardiology"/>
    <s v="Cardiology"/>
    <s v="Dr Rao"/>
    <s v="Dr Rao"/>
    <d v="2026-04-01T00:00:00"/>
    <s v="Valid"/>
    <b v="1"/>
    <b v="1"/>
    <d v="2026-03-25T00:00:00"/>
    <s v="08549422301"/>
    <s v="08549422301"/>
    <s v="8549422301"/>
    <s v="Valid"/>
    <s v="vratti@yahoo.com"/>
    <s v="Y"/>
    <n v="8472.5300000000007"/>
    <m/>
    <n v="481"/>
    <n v="481"/>
    <s v="E11"/>
  </r>
  <r>
    <s v="P1564"/>
    <s v="Rhea Sinha"/>
    <s v="Rhea Sinha"/>
    <x v="0"/>
    <n v="45"/>
    <n v="45"/>
    <s v="ENT"/>
    <s v="ENT"/>
    <s v="dr priya"/>
    <s v="Dr Priya"/>
    <d v="2026-05-27T00:00:00"/>
    <s v="Valid"/>
    <b v="1"/>
    <b v="1"/>
    <d v="2026-05-07T00:00:00"/>
    <s v="+914986112227"/>
    <s v="914986112227"/>
    <s v="4986112227"/>
    <s v="Valid"/>
    <s v="ndutta@sagar.com"/>
    <s v="Y"/>
    <n v="6057.88"/>
    <s v="Yes"/>
    <n v="515"/>
    <n v="515"/>
    <s v="I10"/>
  </r>
  <r>
    <s v="P1565"/>
    <s v="Nirvi Kibe"/>
    <s v="Nirvi Kibe"/>
    <x v="0"/>
    <n v="50"/>
    <n v="50"/>
    <s v="Cardiology"/>
    <s v="Cardiology"/>
    <s v="Dr. Sharma"/>
    <s v="Dr. Sharma"/>
    <d v="2026-01-08T00:00:00"/>
    <s v="Valid"/>
    <b v="1"/>
    <b v="1"/>
    <d v="2026-01-01T00:00:00"/>
    <s v="+913715550136"/>
    <s v="913715550136"/>
    <s v="3715550136"/>
    <s v="Valid"/>
    <s v="adah87@rama.com"/>
    <s v="Yes"/>
    <n v="8676.2999999999993"/>
    <m/>
    <n v="436"/>
    <n v="436"/>
    <s v="E11"/>
  </r>
  <r>
    <s v="P1566"/>
    <s v="Anya Ramaswamy"/>
    <s v="Anya Ramaswamy"/>
    <x v="2"/>
    <n v="49"/>
    <n v="49"/>
    <s v="Pediatrics"/>
    <s v="Pediatrics"/>
    <s v="dr priya"/>
    <s v="Dr Priya"/>
    <d v="2026-01-16T00:00:00"/>
    <s v="Valid"/>
    <b v="1"/>
    <b v="1"/>
    <d v="2026-01-09T00:00:00"/>
    <s v="09169264434"/>
    <s v="09169264434"/>
    <s v="9169264434"/>
    <s v="Valid"/>
    <s v="mishti15@dyal.com"/>
    <s v="Yes"/>
    <n v="10776.33"/>
    <s v="Yes"/>
    <n v="409"/>
    <n v="409"/>
    <s v="J20"/>
  </r>
  <r>
    <s v="P1567"/>
    <s v="Khushi Jain"/>
    <s v="Khushi Jain"/>
    <x v="3"/>
    <n v="70"/>
    <n v="70"/>
    <s v="Orthopedics"/>
    <s v="Orthopedics"/>
    <s v="DR SHARMA"/>
    <s v="Dr Sharma"/>
    <d v="2026-04-27T00:00:00"/>
    <s v="Valid"/>
    <b v="1"/>
    <b v="1"/>
    <d v="2026-04-07T00:00:00"/>
    <s v="03702858179"/>
    <s v="03702858179"/>
    <s v="3702858179"/>
    <s v="Valid"/>
    <s v="pborah@kadakia.com"/>
    <s v="Yes"/>
    <n v="14609.56"/>
    <s v="N"/>
    <n v="541"/>
    <n v="541"/>
    <s v="E11"/>
  </r>
  <r>
    <s v="P1568"/>
    <s v="Misha Sekhon"/>
    <s v="Misha Sekhon"/>
    <x v="0"/>
    <n v="89"/>
    <n v="89"/>
    <s v="Orthopedics"/>
    <s v="Orthopedics"/>
    <s v="dr priya"/>
    <s v="Dr Priya"/>
    <d v="2026-04-29T00:00:00"/>
    <s v="Valid"/>
    <b v="1"/>
    <b v="1"/>
    <d v="2026-03-31T00:00:00"/>
    <s v="4853876298"/>
    <s v="4853876298"/>
    <s v="4853876298"/>
    <s v="Valid"/>
    <s v="uthkarsh45@gmail.com"/>
    <s v="Yes"/>
    <n v="16474.55"/>
    <s v="Y"/>
    <n v="262"/>
    <n v="262"/>
    <s v="I10"/>
  </r>
  <r>
    <s v="P1569"/>
    <s v="Inaaya  Dhar"/>
    <s v="Inaaya Dhar"/>
    <x v="2"/>
    <n v="24"/>
    <n v="24"/>
    <s v="ENT"/>
    <s v="ENT"/>
    <s v="Dr Mehta"/>
    <s v="Dr Mehta"/>
    <d v="2026-02-12T00:00:00"/>
    <s v="Valid"/>
    <b v="1"/>
    <b v="1"/>
    <d v="2026-01-20T00:00:00"/>
    <s v="05677026638"/>
    <s v="05677026638"/>
    <s v="5677026638"/>
    <s v="Valid"/>
    <s v="sehergarg@hotmail.com"/>
    <s v="Yes"/>
    <n v="19182.79"/>
    <m/>
    <n v="310"/>
    <n v="310"/>
    <s v="J20"/>
  </r>
  <r>
    <s v="P1570"/>
    <s v="Eva Gala"/>
    <s v="Eva Gala"/>
    <x v="3"/>
    <n v="82"/>
    <n v="82"/>
    <s v="Oncology"/>
    <s v="Oncology"/>
    <s v="Dr Mehta"/>
    <s v="Dr Mehta"/>
    <d v="2026-01-31T00:00:00"/>
    <s v="Valid"/>
    <b v="1"/>
    <b v="1"/>
    <d v="2026-01-07T00:00:00"/>
    <s v="5495113845"/>
    <s v="5495113845"/>
    <s v="5495113845"/>
    <s v="Valid"/>
    <s v="anahitaganesan@yahoo.com"/>
    <s v="NO"/>
    <n v="2847.93"/>
    <s v="Y"/>
    <n v="113"/>
    <n v="113"/>
    <s v="K21"/>
  </r>
  <r>
    <s v="P1571"/>
    <s v="Elakshi Agarwal"/>
    <s v="Elakshi Agarwal"/>
    <x v="0"/>
    <n v="78"/>
    <n v="78"/>
    <s v="Pediatrics"/>
    <s v="Pediatrics"/>
    <s v="DR SHARMA"/>
    <s v="Dr Sharma"/>
    <d v="2026-02-19T00:00:00"/>
    <s v="Valid"/>
    <b v="1"/>
    <b v="1"/>
    <d v="2026-02-12T00:00:00"/>
    <s v="03109277249"/>
    <s v="03109277249"/>
    <s v="3109277249"/>
    <s v="Valid"/>
    <s v="bawavidur@mall-arya.com"/>
    <s v="Yes"/>
    <n v="9109.68"/>
    <m/>
    <n v="168"/>
    <n v="168"/>
    <s v="A09"/>
  </r>
  <r>
    <s v="P1572"/>
    <s v="Ojas Venkataraman"/>
    <s v="Ojas Venkataraman"/>
    <x v="3"/>
    <n v="84"/>
    <n v="84"/>
    <s v="ENT"/>
    <s v="ENT"/>
    <s v="Dr Mehta"/>
    <s v="Dr Mehta"/>
    <d v="2026-03-21T00:00:00"/>
    <s v="Valid"/>
    <b v="1"/>
    <b v="1"/>
    <d v="2026-02-22T00:00:00"/>
    <s v="7020252660"/>
    <s v="7020252660"/>
    <s v="7020252660"/>
    <s v="Valid"/>
    <s v="bandiyashvi@hotmail.com"/>
    <m/>
    <n v="12387.85"/>
    <s v="Y"/>
    <n v="183"/>
    <n v="183"/>
    <s v="E11"/>
  </r>
  <r>
    <s v="P1573"/>
    <s v="Ela Chopra"/>
    <s v="Ela Chopra"/>
    <x v="5"/>
    <n v="5"/>
    <n v="5"/>
    <s v="Dermatology"/>
    <s v="Dermatology"/>
    <s v="Dr Rao"/>
    <s v="Dr Rao"/>
    <d v="2025-12-30T00:00:00"/>
    <s v="Valid"/>
    <b v="1"/>
    <b v="1"/>
    <d v="2025-12-01T00:00:00"/>
    <s v="+910252409711"/>
    <s v="910252409711"/>
    <s v="0252409711"/>
    <s v="Valid"/>
    <s v="qbutala@hotmail.com"/>
    <s v="Y"/>
    <n v="23764.91"/>
    <s v="N"/>
    <n v="480"/>
    <n v="480"/>
    <s v="C34"/>
  </r>
  <r>
    <s v="P1574"/>
    <s v="Manikya Sharma"/>
    <s v="Manikya Sharma"/>
    <x v="5"/>
    <n v="27"/>
    <n v="27"/>
    <s v="Neurology"/>
    <s v="Neurology"/>
    <s v="Dr Mehta"/>
    <s v="Dr Mehta"/>
    <d v="2026-05-22T00:00:00"/>
    <s v="Valid"/>
    <b v="1"/>
    <b v="1"/>
    <d v="2026-04-23T00:00:00"/>
    <s v="8886476818"/>
    <s v="8886476818"/>
    <s v="8886476818"/>
    <s v="Valid"/>
    <s v="somprisha@madan.org"/>
    <m/>
    <n v="21704.799999999999"/>
    <m/>
    <n v="452"/>
    <n v="452"/>
    <s v="J20"/>
  </r>
  <r>
    <s v="P1575"/>
    <s v="Tejas Gala"/>
    <s v="Tejas Gala"/>
    <x v="3"/>
    <n v="32"/>
    <n v="32"/>
    <s v="Dermatology"/>
    <s v="Dermatology"/>
    <s v="dr priya"/>
    <s v="Dr Priya"/>
    <d v="2026-01-15T00:00:00"/>
    <s v="Valid"/>
    <b v="1"/>
    <b v="1"/>
    <d v="2025-12-22T00:00:00"/>
    <s v="+916565657259"/>
    <s v="916565657259"/>
    <s v="6565657259"/>
    <s v="Valid"/>
    <s v="prishakeer@khosla.com"/>
    <s v="Yes"/>
    <n v="15276.66"/>
    <m/>
    <n v="468"/>
    <n v="468"/>
    <s v="J20"/>
  </r>
  <r>
    <s v="P1576"/>
    <s v="Pari Chander"/>
    <s v="Pari Chander"/>
    <x v="1"/>
    <n v="79"/>
    <n v="79"/>
    <s v="Cardiology"/>
    <s v="Cardiology"/>
    <s v="Dr Mehta"/>
    <s v="Dr Mehta"/>
    <d v="2025-12-09T00:00:00"/>
    <s v="Valid"/>
    <b v="1"/>
    <b v="1"/>
    <d v="2025-11-25T00:00:00"/>
    <s v="+917679878147"/>
    <s v="917679878147"/>
    <s v="7679878147"/>
    <s v="Valid"/>
    <s v="mishabuch@gara-yohannan.com"/>
    <m/>
    <n v="20709.849999999999"/>
    <s v="Yes"/>
    <n v="549"/>
    <n v="549"/>
    <s v="E11"/>
  </r>
  <r>
    <s v="P1577"/>
    <s v="Nayantara Walia"/>
    <s v="Nayantara Walia"/>
    <x v="1"/>
    <n v="6"/>
    <n v="6"/>
    <s v="Dermatology"/>
    <s v="Dermatology"/>
    <s v="Dr Rao"/>
    <s v="Dr Rao"/>
    <d v="2026-01-15T00:00:00"/>
    <s v="Valid"/>
    <b v="1"/>
    <b v="1"/>
    <d v="2026-01-09T00:00:00"/>
    <s v="+910755059860"/>
    <s v="910755059860"/>
    <s v="0755059860"/>
    <s v="Valid"/>
    <s v="myrasandhu@yahoo.com"/>
    <s v="Y"/>
    <n v="11100.94"/>
    <s v="Yes"/>
    <n v="496"/>
    <n v="496"/>
    <s v="K21"/>
  </r>
  <r>
    <s v="P1578"/>
    <s v="Zara Goswami"/>
    <s v="Zara Goswami"/>
    <x v="0"/>
    <n v="60"/>
    <n v="60"/>
    <s v="Orthopedics"/>
    <s v="Orthopedics"/>
    <s v="dr priya"/>
    <s v="Dr Priya"/>
    <d v="2026-01-13T00:00:00"/>
    <s v="Valid"/>
    <b v="1"/>
    <b v="1"/>
    <d v="2026-01-04T00:00:00"/>
    <s v="+919339541497"/>
    <s v="919339541497"/>
    <s v="9339541497"/>
    <s v="Valid"/>
    <s v="dharranbir@yahoo.com"/>
    <s v="Yes"/>
    <n v="17310.830000000002"/>
    <s v="Y"/>
    <n v="337"/>
    <n v="337"/>
    <s v="K21"/>
  </r>
  <r>
    <s v="P1579"/>
    <s v="Suhana Sawhney"/>
    <s v="Suhana Sawhney"/>
    <x v="3"/>
    <n v="12"/>
    <n v="12"/>
    <s v="Neurology"/>
    <s v="Neurology"/>
    <s v="Dr Mehta"/>
    <s v="Dr Mehta"/>
    <d v="2026-05-03T00:00:00"/>
    <s v="Valid"/>
    <b v="1"/>
    <b v="1"/>
    <d v="2026-04-09T00:00:00"/>
    <s v="03017046569"/>
    <s v="03017046569"/>
    <s v="3017046569"/>
    <s v="Valid"/>
    <s v="kabir54@gmail.com"/>
    <s v="Yes"/>
    <n v="9948.0499999999993"/>
    <s v="NO"/>
    <n v="330"/>
    <n v="330"/>
    <s v="I10"/>
  </r>
  <r>
    <s v="P1580"/>
    <s v="Ritvik Wali"/>
    <s v="Ritvik Wali"/>
    <x v="4"/>
    <n v="59"/>
    <n v="59"/>
    <s v="Pediatrics"/>
    <s v="Pediatrics"/>
    <s v="Dr Khan"/>
    <s v="Dr Khan"/>
    <d v="2025-11-24T00:00:00"/>
    <s v="Valid"/>
    <b v="1"/>
    <b v="1"/>
    <d v="2025-11-22T00:00:00"/>
    <s v="12345"/>
    <s v="12345"/>
    <s v="12345"/>
    <s v="Valid"/>
    <s v="shlok96@samra-ganesh.org"/>
    <s v="Y"/>
    <n v="8237.0499999999993"/>
    <s v="Y"/>
    <n v="467"/>
    <n v="467"/>
    <s v="C34"/>
  </r>
  <r>
    <s v="P1581"/>
    <s v="Seher Lad"/>
    <s v="Seher Lad"/>
    <x v="2"/>
    <n v="12"/>
    <n v="12"/>
    <s v="Neurology"/>
    <s v="Neurology"/>
    <s v="Dr Khan"/>
    <s v="Dr Khan"/>
    <d v="2026-03-01T00:00:00"/>
    <s v="Valid"/>
    <b v="1"/>
    <b v="1"/>
    <d v="2026-02-09T00:00:00"/>
    <s v="+910494759904"/>
    <s v="910494759904"/>
    <s v="0494759904"/>
    <s v="Valid"/>
    <s v="kashviagate@hotmail.com"/>
    <s v="N"/>
    <n v="2315.6"/>
    <m/>
    <n v="472"/>
    <n v="472"/>
    <s v="K21"/>
  </r>
  <r>
    <s v="P1582"/>
    <s v="Vedika Kara"/>
    <s v="Vedika Kara"/>
    <x v="4"/>
    <n v="49"/>
    <n v="49"/>
    <s v="Dermatology"/>
    <s v="Dermatology"/>
    <s v="Dr Rao"/>
    <s v="Dr Rao"/>
    <d v="2026-03-09T00:00:00"/>
    <s v="Valid"/>
    <b v="1"/>
    <b v="1"/>
    <d v="2026-02-13T00:00:00"/>
    <s v="+910506932900"/>
    <s v="910506932900"/>
    <s v="0506932900"/>
    <s v="Valid"/>
    <s v="mahajanvaibhav@hotmail.com"/>
    <s v="Yes"/>
    <n v="22823.87"/>
    <s v="Y"/>
    <n v="183"/>
    <n v="183"/>
    <s v="K21"/>
  </r>
  <r>
    <s v="P1583"/>
    <s v="Ojas Dayal"/>
    <s v="Ojas Dayal"/>
    <x v="4"/>
    <n v="23"/>
    <n v="23"/>
    <s v="Cardiology"/>
    <s v="Cardiology"/>
    <s v="dr priya"/>
    <s v="Dr Priya"/>
    <d v="2026-03-09T00:00:00"/>
    <s v="Valid"/>
    <b v="1"/>
    <b v="1"/>
    <d v="2026-02-28T00:00:00"/>
    <s v="6922698095"/>
    <s v="6922698095"/>
    <s v="6922698095"/>
    <s v="Valid"/>
    <s v="chiragbail@hotmail.com"/>
    <s v="Y"/>
    <n v="18308.009999999998"/>
    <m/>
    <n v="247"/>
    <n v="247"/>
    <s v="C34"/>
  </r>
  <r>
    <s v="P1585"/>
    <s v="Renee Seshadri"/>
    <s v="Renee Seshadri"/>
    <x v="0"/>
    <n v="78"/>
    <n v="78"/>
    <s v="General Medicine"/>
    <s v="General Medicine"/>
    <s v="DR SHARMA"/>
    <s v="Dr Sharma"/>
    <d v="2026-03-31T00:00:00"/>
    <s v="Valid"/>
    <b v="1"/>
    <b v="1"/>
    <d v="2026-03-25T00:00:00"/>
    <s v="06016875929"/>
    <s v="06016875929"/>
    <s v="6016875929"/>
    <s v="Valid"/>
    <s v="sankarnitara@yahoo.com"/>
    <m/>
    <n v="11452.71"/>
    <m/>
    <n v="140"/>
    <n v="140"/>
    <s v="A09"/>
  </r>
  <r>
    <s v="P1586"/>
    <s v="Jiya Gera"/>
    <s v="Jiya Gera"/>
    <x v="0"/>
    <n v="32"/>
    <n v="32"/>
    <s v="Oncology"/>
    <s v="Oncology"/>
    <s v="DR SHARMA"/>
    <s v="Dr Sharma"/>
    <d v="2025-11-21T00:00:00"/>
    <s v="Valid"/>
    <b v="1"/>
    <b v="1"/>
    <d v="2025-11-20T00:00:00"/>
    <s v="9225318464"/>
    <s v="9225318464"/>
    <s v="9225318464"/>
    <s v="Valid"/>
    <s v="jdara@gmail.com"/>
    <s v="Yes"/>
    <n v="3876.75"/>
    <s v="NO"/>
    <n v="118"/>
    <n v="118"/>
    <s v="E11"/>
  </r>
  <r>
    <s v="P1587"/>
    <s v="Yuvaan Lad"/>
    <s v="Yuvaan Lad"/>
    <x v="0"/>
    <n v="86"/>
    <n v="86"/>
    <s v="Oncology"/>
    <s v="Oncology"/>
    <s v="dr priya"/>
    <s v="Dr Priya"/>
    <d v="2026-01-21T00:00:00"/>
    <s v="Valid"/>
    <b v="1"/>
    <b v="1"/>
    <d v="2025-12-23T00:00:00"/>
    <s v="+917409877545"/>
    <s v="917409877545"/>
    <s v="7409877545"/>
    <s v="Valid"/>
    <s v="aissac@hotmail.com"/>
    <s v="NO"/>
    <n v="1415.98"/>
    <m/>
    <n v="191"/>
    <n v="191"/>
    <s v="E11"/>
  </r>
  <r>
    <s v="P1588"/>
    <s v="Pari Boase"/>
    <s v="Pari Boase"/>
    <x v="0"/>
    <n v="79"/>
    <n v="79"/>
    <s v="Orthopedics"/>
    <s v="Orthopedics"/>
    <s v="Dr Khan"/>
    <s v="Dr Khan"/>
    <d v="2026-04-13T00:00:00"/>
    <s v="Valid"/>
    <b v="1"/>
    <b v="1"/>
    <d v="2026-03-21T00:00:00"/>
    <s v="+911502199480"/>
    <s v="911502199480"/>
    <s v="1502199480"/>
    <s v="Valid"/>
    <s v="saira23@chawla.com"/>
    <s v="N"/>
    <n v="23300.7"/>
    <s v="NO"/>
    <n v="493"/>
    <n v="493"/>
    <s v="J20"/>
  </r>
  <r>
    <s v="P1589"/>
    <s v="Romil Sami"/>
    <s v="Romil Sami"/>
    <x v="2"/>
    <n v="48"/>
    <n v="48"/>
    <s v="Dermatology"/>
    <s v="Dermatology"/>
    <s v="Dr Mehta"/>
    <s v="Dr Mehta"/>
    <d v="2026-01-11T00:00:00"/>
    <s v="Valid"/>
    <b v="1"/>
    <b v="1"/>
    <d v="2025-12-18T00:00:00"/>
    <s v="0084751488"/>
    <s v="0084751488"/>
    <s v="0084751488"/>
    <s v="Valid"/>
    <s v="sacharzain@vig-taneja.com"/>
    <m/>
    <n v="21114.080000000002"/>
    <s v="NO"/>
    <n v="249"/>
    <n v="249"/>
    <s v="M54"/>
  </r>
  <r>
    <s v="P1590"/>
    <s v="Renee Maharaj"/>
    <s v="Renee Maharaj"/>
    <x v="4"/>
    <n v="16"/>
    <n v="16"/>
    <s v="Oncology"/>
    <s v="Oncology"/>
    <s v="dr priya"/>
    <s v="Dr Priya"/>
    <d v="2025-11-30T00:00:00"/>
    <s v="Valid"/>
    <b v="1"/>
    <b v="1"/>
    <d v="2025-11-14T00:00:00"/>
    <s v="2007232347"/>
    <s v="2007232347"/>
    <s v="2007232347"/>
    <s v="Valid"/>
    <s v="mchauhan@kapadia.com"/>
    <m/>
    <n v="13211.23"/>
    <s v="N"/>
    <n v="413"/>
    <n v="413"/>
    <s v="I10"/>
  </r>
  <r>
    <s v="P1591"/>
    <s v="Inaaya  Gandhi"/>
    <s v="Inaaya Gandhi"/>
    <x v="2"/>
    <n v="74"/>
    <n v="74"/>
    <s v="Neurology"/>
    <s v="Neurology"/>
    <s v="Dr Khan"/>
    <s v="Dr Khan"/>
    <d v="2026-01-25T00:00:00"/>
    <s v="Valid"/>
    <b v="1"/>
    <b v="1"/>
    <d v="2026-01-02T00:00:00"/>
    <s v="01418637790"/>
    <s v="01418637790"/>
    <s v="1418637790"/>
    <s v="Valid"/>
    <s v="chakrabartiaayush@bose-dani.biz"/>
    <s v="Y"/>
    <n v="10790.93"/>
    <s v="NO"/>
    <n v="232"/>
    <n v="232"/>
    <s v="A09"/>
  </r>
  <r>
    <s v="P1592"/>
    <s v="Zain Gola"/>
    <s v="Zain Gola"/>
    <x v="2"/>
    <n v="17"/>
    <n v="17"/>
    <s v="General Medicine"/>
    <s v="General Medicine"/>
    <s v="Dr Khan"/>
    <s v="Dr Khan"/>
    <d v="2026-05-19T00:00:00"/>
    <s v="Valid"/>
    <b v="1"/>
    <b v="1"/>
    <d v="2026-05-04T00:00:00"/>
    <s v="+912452121480"/>
    <s v="912452121480"/>
    <s v="2452121480"/>
    <s v="Valid"/>
    <s v="ghosestuvan@gmail.com"/>
    <s v="Yes"/>
    <n v="22114.86"/>
    <s v="N"/>
    <n v="462"/>
    <n v="462"/>
    <s v="J20"/>
  </r>
  <r>
    <s v="P1593"/>
    <s v="Mehul Gupta"/>
    <s v="Mehul Gupta"/>
    <x v="5"/>
    <n v="1"/>
    <n v="1"/>
    <s v="Neurology"/>
    <s v="Neurology"/>
    <s v="Dr Rao"/>
    <s v="Dr Rao"/>
    <d v="2026-04-04T00:00:00"/>
    <s v="Valid"/>
    <b v="1"/>
    <b v="1"/>
    <d v="2026-03-21T00:00:00"/>
    <s v="+919349695596"/>
    <s v="919349695596"/>
    <s v="9349695596"/>
    <s v="Valid"/>
    <s v="vihaanjayaraman@khosla.com"/>
    <s v="NO"/>
    <n v="18489.22"/>
    <s v="N"/>
    <n v="509"/>
    <n v="509"/>
    <s v="A09"/>
  </r>
  <r>
    <s v="P1594"/>
    <s v="Zain Ghosh"/>
    <s v="Zain Ghosh"/>
    <x v="1"/>
    <n v="53"/>
    <n v="53"/>
    <s v="Cardiology"/>
    <s v="Cardiology"/>
    <s v="dr priya"/>
    <s v="Dr Priya"/>
    <d v="2026-03-26T00:00:00"/>
    <s v="Valid"/>
    <b v="1"/>
    <b v="1"/>
    <d v="2026-03-15T00:00:00"/>
    <s v="9901575300"/>
    <s v="9901575300"/>
    <s v="9901575300"/>
    <s v="Valid"/>
    <s v="saneabram@yahoo.com"/>
    <s v="NO"/>
    <n v="480.17"/>
    <s v="N"/>
    <n v="453"/>
    <n v="453"/>
    <s v="J20"/>
  </r>
  <r>
    <s v="P1595"/>
    <s v="Dharmajan Hora"/>
    <s v="Dharmajan Hora"/>
    <x v="0"/>
    <n v="9"/>
    <n v="9"/>
    <s v="Oncology"/>
    <s v="Oncology"/>
    <s v="Dr. Sharma"/>
    <s v="Dr. Sharma"/>
    <d v="2026-03-06T00:00:00"/>
    <s v="Valid"/>
    <b v="1"/>
    <b v="1"/>
    <d v="2026-02-18T00:00:00"/>
    <s v="+913300860892"/>
    <s v="913300860892"/>
    <s v="3300860892"/>
    <s v="Valid"/>
    <s v="pbiswas@agarwal-chauhan.com"/>
    <s v="N"/>
    <n v="19222.41"/>
    <s v="NO"/>
    <n v="451"/>
    <n v="451"/>
    <s v="J20"/>
  </r>
  <r>
    <s v="P1596"/>
    <s v="Anvi Biswas"/>
    <s v="Anvi Biswas"/>
    <x v="2"/>
    <n v="51"/>
    <n v="51"/>
    <s v="Cardiology"/>
    <s v="Cardiology"/>
    <s v="Dr Mehta"/>
    <s v="Dr Mehta"/>
    <d v="2026-03-06T00:00:00"/>
    <s v="Valid"/>
    <b v="1"/>
    <b v="1"/>
    <d v="2026-02-28T00:00:00"/>
    <s v="07399139877"/>
    <s v="07399139877"/>
    <s v="7399139877"/>
    <s v="Valid"/>
    <s v="samarthaggarwal@yahoo.com"/>
    <s v="N"/>
    <n v="20878.87"/>
    <m/>
    <n v="342"/>
    <n v="342"/>
    <s v="K21"/>
  </r>
  <r>
    <s v="P1597"/>
    <s v="Hazel Dara"/>
    <s v="Hazel Dara"/>
    <x v="0"/>
    <n v="83"/>
    <n v="83"/>
    <s v="Orthopedics"/>
    <s v="Orthopedics"/>
    <s v="Dr Khan"/>
    <s v="Dr Khan"/>
    <d v="2026-03-13T00:00:00"/>
    <s v="Valid"/>
    <b v="1"/>
    <b v="1"/>
    <d v="2026-03-09T00:00:00"/>
    <s v="+914379019888"/>
    <s v="914379019888"/>
    <s v="4379019888"/>
    <s v="Valid"/>
    <s v="armaan79@butala-kapadia.biz"/>
    <m/>
    <n v="22323.05"/>
    <s v="NO"/>
    <n v="336"/>
    <n v="336"/>
    <s v="K21"/>
  </r>
  <r>
    <s v="P1598"/>
    <s v="Taran Korpal"/>
    <s v="Taran Korpal"/>
    <x v="1"/>
    <n v="8"/>
    <n v="8"/>
    <s v="Oncology"/>
    <s v="Oncology"/>
    <s v="dr priya"/>
    <s v="Dr Priya"/>
    <d v="2026-03-23T00:00:00"/>
    <s v="Valid"/>
    <b v="1"/>
    <b v="1"/>
    <d v="2026-03-06T00:00:00"/>
    <s v="2038078476"/>
    <s v="2038078476"/>
    <s v="2038078476"/>
    <s v="Valid"/>
    <s v="rauhiran@bath.info"/>
    <s v="Yes"/>
    <n v="5364.91"/>
    <s v="NO"/>
    <n v="509"/>
    <n v="509"/>
    <s v="K21"/>
  </r>
  <r>
    <s v="P1599"/>
    <s v="Jivika Suresh"/>
    <s v="Jivika Suresh"/>
    <x v="2"/>
    <n v="9"/>
    <n v="9"/>
    <s v="Orthopedics"/>
    <s v="Orthopedics"/>
    <s v="Dr. Sharma"/>
    <s v="Dr. Sharma"/>
    <d v="2026-02-06T00:00:00"/>
    <s v="Valid"/>
    <b v="1"/>
    <b v="1"/>
    <d v="2026-01-11T00:00:00"/>
    <s v="+911278101704"/>
    <s v="911278101704"/>
    <s v="1278101704"/>
    <s v="Valid"/>
    <s v="shayak50@gmail.com"/>
    <s v="Yes"/>
    <n v="8610.98"/>
    <m/>
    <n v="420"/>
    <n v="420"/>
    <s v="A09"/>
  </r>
  <r>
    <s v="P1600"/>
    <s v="Romil Bal"/>
    <s v="Romil Bal"/>
    <x v="4"/>
    <n v="74"/>
    <n v="74"/>
    <s v="Dermatology"/>
    <s v="Dermatology"/>
    <s v="Dr Mehta"/>
    <s v="Dr Mehta"/>
    <d v="2026-01-23T00:00:00"/>
    <s v="Valid"/>
    <b v="1"/>
    <b v="1"/>
    <d v="2026-01-04T00:00:00"/>
    <s v="8327630591"/>
    <s v="8327630591"/>
    <s v="8327630591"/>
    <s v="Valid"/>
    <s v="romil82@agrawal-sridhar.com"/>
    <s v="NO"/>
    <n v="21641.919999999998"/>
    <s v="Yes"/>
    <n v="461"/>
    <n v="461"/>
    <s v="K21"/>
  </r>
  <r>
    <s v="P1601"/>
    <s v="Aayush Mammen"/>
    <s v="Aayush Mammen"/>
    <x v="2"/>
    <n v="5"/>
    <n v="5"/>
    <s v="Oncology"/>
    <s v="Oncology"/>
    <s v="dr priya"/>
    <s v="Dr Priya"/>
    <d v="2026-05-09T00:00:00"/>
    <s v="Valid"/>
    <b v="1"/>
    <b v="1"/>
    <d v="2026-05-07T00:00:00"/>
    <s v="+911511349999"/>
    <s v="911511349999"/>
    <s v="1511349999"/>
    <s v="Valid"/>
    <s v="amani31@bajwa-bora.org"/>
    <m/>
    <n v="21950.81"/>
    <s v="NO"/>
    <n v="331"/>
    <n v="331"/>
    <s v="K21"/>
  </r>
  <r>
    <s v="P1602"/>
    <s v="Rania Reddy"/>
    <s v="Rania Reddy"/>
    <x v="0"/>
    <n v="28"/>
    <n v="28"/>
    <s v="Oncology"/>
    <s v="Oncology"/>
    <s v="Dr Mehta"/>
    <s v="Dr Mehta"/>
    <d v="2026-01-29T00:00:00"/>
    <s v="Valid"/>
    <b v="1"/>
    <b v="1"/>
    <d v="2026-01-26T00:00:00"/>
    <s v="07906651888"/>
    <s v="07906651888"/>
    <s v="7906651888"/>
    <s v="Valid"/>
    <s v="brahmbhattinaaya@yahoo.com"/>
    <s v="N"/>
    <n v="19666.61"/>
    <s v="N"/>
    <n v="147"/>
    <n v="147"/>
    <s v="M54"/>
  </r>
  <r>
    <s v="P1603"/>
    <s v="Aarush Mannan"/>
    <s v="Aarush Mannan"/>
    <x v="0"/>
    <n v="62"/>
    <n v="62"/>
    <s v="Orthopedics"/>
    <s v="Orthopedics"/>
    <s v="DR SHARMA"/>
    <s v="Dr Sharma"/>
    <d v="2026-01-08T00:00:00"/>
    <s v="Valid"/>
    <b v="1"/>
    <b v="1"/>
    <d v="2025-12-29T00:00:00"/>
    <s v="4450563997"/>
    <s v="4450563997"/>
    <s v="4450563997"/>
    <s v="Valid"/>
    <s v="lchopra@divan.com"/>
    <m/>
    <n v="18364.54"/>
    <s v="Yes"/>
    <n v="497"/>
    <n v="497"/>
    <s v="J20"/>
  </r>
  <r>
    <s v="P1604"/>
    <s v="Fateh Goyal"/>
    <s v="Fateh Goyal"/>
    <x v="4"/>
    <n v="13"/>
    <n v="13"/>
    <s v="Orthopedics"/>
    <s v="Orthopedics"/>
    <s v="DR SHARMA"/>
    <s v="Dr Sharma"/>
    <d v="2026-01-20T00:00:00"/>
    <s v="Valid"/>
    <b v="1"/>
    <b v="1"/>
    <d v="2025-12-28T00:00:00"/>
    <s v="+919935328568"/>
    <s v="919935328568"/>
    <s v="9935328568"/>
    <s v="Valid"/>
    <s v="psidhu@gmail.com"/>
    <s v="Yes"/>
    <n v="11592.34"/>
    <s v="NO"/>
    <n v="102"/>
    <n v="102"/>
    <s v="J20"/>
  </r>
  <r>
    <s v="P1605"/>
    <s v="Madhup Jhaveri"/>
    <s v="Madhup Jhaveri"/>
    <x v="0"/>
    <n v="88"/>
    <n v="88"/>
    <s v="Neurology"/>
    <s v="Neurology"/>
    <s v="dr priya"/>
    <s v="Dr Priya"/>
    <d v="2025-12-11T00:00:00"/>
    <s v="Valid"/>
    <b v="1"/>
    <b v="1"/>
    <d v="2025-11-27T00:00:00"/>
    <s v="2188897979"/>
    <s v="2188897979"/>
    <s v="2188897979"/>
    <s v="Valid"/>
    <s v="vaidyasaanvi@shroff.com"/>
    <s v="Yes"/>
    <n v="2756.95"/>
    <s v="Yes"/>
    <n v="111"/>
    <n v="111"/>
    <s v="A09"/>
  </r>
  <r>
    <s v="P1606"/>
    <s v="Arnav Loyal"/>
    <s v="Arnav Loyal"/>
    <x v="0"/>
    <n v="82"/>
    <n v="82"/>
    <s v="Pediatrics"/>
    <s v="Pediatrics"/>
    <s v="dr priya"/>
    <s v="Dr Priya"/>
    <d v="2025-12-12T00:00:00"/>
    <s v="Valid"/>
    <b v="1"/>
    <b v="1"/>
    <d v="2025-12-06T00:00:00"/>
    <s v="+913264403739"/>
    <s v="913264403739"/>
    <s v="3264403739"/>
    <s v="Valid"/>
    <s v="qshetty@yahoo.com"/>
    <s v="NO"/>
    <n v="7306.87"/>
    <s v="NO"/>
    <n v="495"/>
    <n v="495"/>
    <s v="M54"/>
  </r>
  <r>
    <s v="P1607"/>
    <s v="Shaan Dubey"/>
    <s v="Shaan Dubey"/>
    <x v="2"/>
    <n v="35"/>
    <n v="35"/>
    <s v="Orthopedics"/>
    <s v="Orthopedics"/>
    <s v="Dr Mehta"/>
    <s v="Dr Mehta"/>
    <d v="2025-12-03T00:00:00"/>
    <s v="Valid"/>
    <b v="1"/>
    <b v="1"/>
    <d v="2025-11-25T00:00:00"/>
    <s v="5049558708"/>
    <s v="5049558708"/>
    <s v="5049558708"/>
    <s v="Valid"/>
    <s v="vaibhavbakshi@yahoo.com"/>
    <s v="NO"/>
    <n v="578.37"/>
    <s v="NO"/>
    <n v="205"/>
    <n v="205"/>
    <s v="A09"/>
  </r>
  <r>
    <s v="P1608"/>
    <s v="Kiaan Vasa"/>
    <s v="Kiaan Vasa"/>
    <x v="2"/>
    <n v="71"/>
    <n v="71"/>
    <s v="ENT"/>
    <s v="ENT"/>
    <s v="Dr. Sharma"/>
    <s v="Dr. Sharma"/>
    <d v="2026-02-15T00:00:00"/>
    <s v="Valid"/>
    <b v="1"/>
    <b v="1"/>
    <d v="2026-02-11T00:00:00"/>
    <s v="8529975901"/>
    <s v="8529975901"/>
    <s v="8529975901"/>
    <s v="Valid"/>
    <s v="trege@gmail.com"/>
    <s v="Y"/>
    <n v="14437.26"/>
    <s v="Y"/>
    <n v="136"/>
    <n v="136"/>
    <s v="J20"/>
  </r>
  <r>
    <s v="P1609"/>
    <s v="Navya Rajagopalan"/>
    <s v="Navya Rajagopalan"/>
    <x v="2"/>
    <n v="70"/>
    <n v="70"/>
    <s v="General Medicine"/>
    <s v="General Medicine"/>
    <s v="Dr Rao"/>
    <s v="Dr Rao"/>
    <d v="2025-11-23T00:00:00"/>
    <s v="Valid"/>
    <b v="1"/>
    <b v="1"/>
    <d v="2025-11-19T00:00:00"/>
    <s v="0216370988"/>
    <s v="0216370988"/>
    <s v="0216370988"/>
    <s v="Valid"/>
    <s v="handazaina@gmail.com"/>
    <s v="Yes"/>
    <n v="11874.24"/>
    <s v="Yes"/>
    <n v="154"/>
    <n v="154"/>
    <s v="M54"/>
  </r>
  <r>
    <s v="P1610"/>
    <s v="Kismat Bhandari"/>
    <s v="Kismat Bhandari"/>
    <x v="0"/>
    <n v="12"/>
    <n v="12"/>
    <s v="Dermatology"/>
    <s v="Dermatology"/>
    <s v="dr priya"/>
    <s v="Dr Priya"/>
    <d v="2026-04-09T00:00:00"/>
    <s v="Valid"/>
    <b v="1"/>
    <b v="1"/>
    <d v="2026-04-04T00:00:00"/>
    <s v="00816126031"/>
    <s v="00816126031"/>
    <s v="0816126031"/>
    <s v="Valid"/>
    <s v="suhanabehl@singh.info"/>
    <m/>
    <n v="15484.62"/>
    <s v="Yes"/>
    <n v="270"/>
    <n v="270"/>
    <s v="K21"/>
  </r>
  <r>
    <s v="P1611"/>
    <s v="Yasmin Hans"/>
    <s v="Yasmin Hans"/>
    <x v="5"/>
    <n v="86"/>
    <n v="86"/>
    <s v="Neurology"/>
    <s v="Neurology"/>
    <s v="Dr Khan"/>
    <s v="Dr Khan"/>
    <d v="2026-01-03T00:00:00"/>
    <s v="Valid"/>
    <b v="1"/>
    <b v="1"/>
    <d v="2025-12-16T00:00:00"/>
    <s v="05651981992"/>
    <s v="05651981992"/>
    <s v="5651981992"/>
    <s v="Valid"/>
    <s v="yashvi70@kapadia.com"/>
    <s v="Yes"/>
    <n v="2504.3200000000002"/>
    <m/>
    <n v="149"/>
    <n v="149"/>
    <s v="M54"/>
  </r>
  <r>
    <s v="P1612"/>
    <s v="Divit Kibe"/>
    <s v="Divit Kibe"/>
    <x v="0"/>
    <n v="88"/>
    <n v="88"/>
    <s v="General Medicine"/>
    <s v="General Medicine"/>
    <s v="Dr Khan"/>
    <s v="Dr Khan"/>
    <d v="2026-03-21T00:00:00"/>
    <s v="Valid"/>
    <b v="1"/>
    <b v="1"/>
    <d v="2026-03-14T00:00:00"/>
    <s v="7521751800"/>
    <s v="7521751800"/>
    <s v="7521751800"/>
    <s v="Valid"/>
    <s v="pranaygrewal@yahoo.com"/>
    <s v="NO"/>
    <n v="3764.3"/>
    <s v="Yes"/>
    <n v="286"/>
    <n v="286"/>
    <s v="M54"/>
  </r>
  <r>
    <s v="P1613"/>
    <s v="Vivaan Char"/>
    <s v="Vivaan Char"/>
    <x v="4"/>
    <n v="90"/>
    <n v="90"/>
    <s v="ENT"/>
    <s v="ENT"/>
    <s v="dr priya"/>
    <s v="Dr Priya"/>
    <d v="2026-02-05T00:00:00"/>
    <s v="Valid"/>
    <b v="1"/>
    <b v="1"/>
    <d v="2026-01-22T00:00:00"/>
    <s v="1790420894"/>
    <s v="1790420894"/>
    <s v="1790420894"/>
    <s v="Valid"/>
    <s v="wsubramaniam@yahoo.com"/>
    <m/>
    <n v="950.55"/>
    <m/>
    <n v="157"/>
    <n v="157"/>
    <s v="J20"/>
  </r>
  <r>
    <s v="P1614"/>
    <s v="Ivana Bawa"/>
    <s v="Ivana Bawa"/>
    <x v="3"/>
    <n v="60"/>
    <n v="60"/>
    <s v="Orthopedics"/>
    <s v="Orthopedics"/>
    <s v="Dr. Sharma"/>
    <s v="Dr. Sharma"/>
    <d v="2026-04-01T00:00:00"/>
    <s v="Valid"/>
    <b v="1"/>
    <b v="1"/>
    <d v="2026-03-08T00:00:00"/>
    <s v="07071738415"/>
    <s v="07071738415"/>
    <s v="7071738415"/>
    <s v="Valid"/>
    <s v="shayaksabharwal@hotmail.com"/>
    <s v="N"/>
    <n v="15190.12"/>
    <s v="Y"/>
    <n v="360"/>
    <n v="360"/>
    <s v="I10"/>
  </r>
  <r>
    <s v="P1615"/>
    <s v="Aniruddh Hora"/>
    <s v="Aniruddh Hora"/>
    <x v="1"/>
    <n v="14"/>
    <n v="14"/>
    <s v="ENT"/>
    <s v="ENT"/>
    <s v="Dr Mehta"/>
    <s v="Dr Mehta"/>
    <d v="2026-04-23T00:00:00"/>
    <s v="Valid"/>
    <b v="1"/>
    <b v="1"/>
    <d v="2026-03-29T00:00:00"/>
    <s v="08883761158"/>
    <s v="08883761158"/>
    <s v="8883761158"/>
    <s v="Valid"/>
    <s v="pkibe@mann.info"/>
    <s v="Y"/>
    <n v="13412.09"/>
    <m/>
    <n v="402"/>
    <n v="402"/>
    <s v="M54"/>
  </r>
  <r>
    <s v="P1616"/>
    <s v="Manikya Kale"/>
    <s v="Manikya Kale"/>
    <x v="5"/>
    <n v="80"/>
    <n v="80"/>
    <s v="Pediatrics"/>
    <s v="Pediatrics"/>
    <s v="Dr Mehta"/>
    <s v="Dr Mehta"/>
    <d v="2025-12-24T00:00:00"/>
    <s v="Valid"/>
    <b v="1"/>
    <b v="1"/>
    <d v="2025-12-09T00:00:00"/>
    <s v="05697892374"/>
    <s v="05697892374"/>
    <s v="5697892374"/>
    <s v="Valid"/>
    <s v="ubarad@gmail.com"/>
    <m/>
    <n v="1838.29"/>
    <s v="N"/>
    <n v="516"/>
    <n v="516"/>
    <s v="C34"/>
  </r>
  <r>
    <s v="P1617"/>
    <s v="Yuvaan Dhaliwal"/>
    <s v="Yuvaan Dhaliwal"/>
    <x v="1"/>
    <n v="56"/>
    <n v="56"/>
    <s v="ENT"/>
    <s v="ENT"/>
    <s v="DR SHARMA"/>
    <s v="Dr Sharma"/>
    <d v="2026-04-26T00:00:00"/>
    <s v="Valid"/>
    <b v="1"/>
    <b v="1"/>
    <d v="2026-04-21T00:00:00"/>
    <s v="03462368808"/>
    <s v="03462368808"/>
    <s v="3462368808"/>
    <s v="Valid"/>
    <s v="taktanya@deshmukh.info"/>
    <s v="NO"/>
    <n v="18536.3"/>
    <m/>
    <n v="158"/>
    <n v="158"/>
    <s v="A09"/>
  </r>
  <r>
    <s v="P1618"/>
    <s v="Kiaan Biswas"/>
    <s v="Kiaan Biswas"/>
    <x v="3"/>
    <n v="42"/>
    <n v="42"/>
    <s v="Neurology"/>
    <s v="Neurology"/>
    <s v="Dr Khan"/>
    <s v="Dr Khan"/>
    <d v="2026-02-19T00:00:00"/>
    <s v="Valid"/>
    <b v="1"/>
    <b v="1"/>
    <d v="2026-02-14T00:00:00"/>
    <s v="3484058625"/>
    <s v="3484058625"/>
    <s v="3484058625"/>
    <s v="Valid"/>
    <s v="mastersaanvi@yahoo.com"/>
    <s v="Y"/>
    <n v="23905.91"/>
    <s v="NO"/>
    <n v="406"/>
    <n v="406"/>
    <s v="I10"/>
  </r>
  <r>
    <s v="P1619"/>
    <s v="Zaina Magar"/>
    <s v="Zaina Magar"/>
    <x v="1"/>
    <n v="42"/>
    <n v="42"/>
    <s v="General Medicine"/>
    <s v="General Medicine"/>
    <s v="Dr Rao"/>
    <s v="Dr Rao"/>
    <d v="2026-03-10T00:00:00"/>
    <s v="Valid"/>
    <b v="1"/>
    <b v="1"/>
    <d v="2026-03-08T00:00:00"/>
    <s v="0186910345"/>
    <s v="0186910345"/>
    <s v="0186910345"/>
    <s v="Valid"/>
    <s v="trivedilakshit@ahluwalia-walla.com"/>
    <s v="NO"/>
    <n v="20462.43"/>
    <s v="Yes"/>
    <n v="487"/>
    <n v="487"/>
    <s v="E11"/>
  </r>
  <r>
    <s v="P1621"/>
    <s v="Aarna Sachdeva"/>
    <s v="Aarna Sachdeva"/>
    <x v="0"/>
    <n v="56"/>
    <n v="56"/>
    <s v="ENT"/>
    <s v="ENT"/>
    <s v="Dr Mehta"/>
    <s v="Dr Mehta"/>
    <d v="2026-02-15T00:00:00"/>
    <s v="Valid"/>
    <b v="1"/>
    <b v="1"/>
    <d v="2026-01-28T00:00:00"/>
    <s v="+914024422127"/>
    <s v="914024422127"/>
    <s v="4024422127"/>
    <s v="Valid"/>
    <s v="choudharykashvi@yahoo.com"/>
    <s v="Yes"/>
    <n v="15364.97"/>
    <m/>
    <n v="533"/>
    <n v="533"/>
    <s v="E11"/>
  </r>
  <r>
    <s v="P1623"/>
    <s v="Anvi Kar"/>
    <s v="Anvi Kar"/>
    <x v="5"/>
    <n v="56"/>
    <n v="56"/>
    <s v="Dermatology"/>
    <s v="Dermatology"/>
    <s v="dr priya"/>
    <s v="Dr Priya"/>
    <d v="2026-01-16T00:00:00"/>
    <s v="Valid"/>
    <b v="1"/>
    <b v="1"/>
    <d v="2025-12-25T00:00:00"/>
    <s v="8458453288"/>
    <s v="8458453288"/>
    <s v="8458453288"/>
    <s v="Valid"/>
    <s v="sangharenee@gmail.com"/>
    <m/>
    <n v="10269.61"/>
    <m/>
    <n v="379"/>
    <n v="379"/>
    <s v="E11"/>
  </r>
  <r>
    <s v="P1624"/>
    <s v="Dhanuk Kala"/>
    <s v="Dhanuk Kala"/>
    <x v="4"/>
    <n v="61"/>
    <n v="61"/>
    <s v="Orthopedics"/>
    <s v="Orthopedics"/>
    <s v="DR SHARMA"/>
    <s v="Dr Sharma"/>
    <d v="2026-01-27T00:00:00"/>
    <s v="Valid"/>
    <b v="1"/>
    <b v="1"/>
    <d v="2026-01-10T00:00:00"/>
    <s v="+915752072077"/>
    <s v="915752072077"/>
    <s v="5752072077"/>
    <s v="Valid"/>
    <s v="zbassi@gera.org"/>
    <m/>
    <n v="21114.53"/>
    <s v="NO"/>
    <n v="530"/>
    <n v="530"/>
    <s v="M54"/>
  </r>
  <r>
    <s v="P1626"/>
    <s v="Trisha Dey"/>
    <s v="Trisha Dey"/>
    <x v="1"/>
    <n v="18"/>
    <n v="18"/>
    <s v="Neurology"/>
    <s v="Neurology"/>
    <s v="Dr Mehta"/>
    <s v="Dr Mehta"/>
    <d v="2026-05-08T00:00:00"/>
    <s v="Valid"/>
    <b v="1"/>
    <b v="1"/>
    <d v="2026-04-18T00:00:00"/>
    <s v="07839878858"/>
    <s v="07839878858"/>
    <s v="7839878858"/>
    <s v="Valid"/>
    <s v="qkala@yahoo.com"/>
    <m/>
    <n v="21531.79"/>
    <m/>
    <n v="419"/>
    <n v="419"/>
    <s v="E11"/>
  </r>
  <r>
    <s v="P1627"/>
    <s v="Charvi Bava"/>
    <s v="Charvi Bava"/>
    <x v="3"/>
    <n v="66"/>
    <n v="66"/>
    <s v="Dermatology"/>
    <s v="Dermatology"/>
    <s v="Dr Khan"/>
    <s v="Dr Khan"/>
    <d v="2026-02-08T00:00:00"/>
    <s v="Valid"/>
    <b v="1"/>
    <b v="1"/>
    <d v="2026-01-27T00:00:00"/>
    <s v="00497495991"/>
    <s v="00497495991"/>
    <s v="0497495991"/>
    <s v="Valid"/>
    <s v="ybassi@chadha.com"/>
    <s v="N"/>
    <n v="5798.37"/>
    <m/>
    <n v="409"/>
    <n v="409"/>
    <s v="I10"/>
  </r>
  <r>
    <s v="P1628"/>
    <s v="Armaan Ranganathan"/>
    <s v="Armaan Ranganathan"/>
    <x v="3"/>
    <n v="31"/>
    <n v="31"/>
    <s v="Oncology"/>
    <s v="Oncology"/>
    <s v="dr priya"/>
    <s v="Dr Priya"/>
    <d v="2026-05-20T00:00:00"/>
    <s v="Valid"/>
    <b v="1"/>
    <b v="1"/>
    <d v="2026-04-21T00:00:00"/>
    <s v="09968333692"/>
    <s v="09968333692"/>
    <s v="9968333692"/>
    <s v="Valid"/>
    <s v="jayeshbera@hotmail.com"/>
    <s v="N"/>
    <n v="1029.8499999999999"/>
    <s v="Yes"/>
    <n v="390"/>
    <n v="390"/>
    <s v="M54"/>
  </r>
  <r>
    <s v="P1629"/>
    <s v="Miraan Chacko"/>
    <s v="Miraan Chacko"/>
    <x v="2"/>
    <n v="15"/>
    <n v="15"/>
    <s v="General Medicine"/>
    <s v="General Medicine"/>
    <s v="Dr Mehta"/>
    <s v="Dr Mehta"/>
    <d v="2026-01-07T00:00:00"/>
    <s v="Valid"/>
    <b v="1"/>
    <b v="1"/>
    <d v="2026-01-03T00:00:00"/>
    <s v="09330395176"/>
    <s v="09330395176"/>
    <s v="9330395176"/>
    <s v="Valid"/>
    <s v="omajumdar@hotmail.com"/>
    <s v="Y"/>
    <n v="11730.42"/>
    <s v="NO"/>
    <n v="367"/>
    <n v="367"/>
    <s v="A09"/>
  </r>
  <r>
    <s v="P1630"/>
    <s v="  Arnav Anand "/>
    <s v="Arnav Anand"/>
    <x v="2"/>
    <n v="32"/>
    <n v="32"/>
    <s v="General Medicine"/>
    <s v="General Medicine"/>
    <s v="Dr Mehta"/>
    <s v="Dr Mehta"/>
    <d v="2025-12-25T00:00:00"/>
    <s v="Valid"/>
    <b v="1"/>
    <b v="1"/>
    <d v="2025-12-04T00:00:00"/>
    <s v="09903478868"/>
    <s v="09903478868"/>
    <s v="9903478868"/>
    <s v="Valid"/>
    <s v="isoni@hotmail.com"/>
    <s v="Y"/>
    <s v="twenty thousand"/>
    <s v="NO"/>
    <n v="373"/>
    <n v="373"/>
    <s v="K21"/>
  </r>
  <r>
    <s v="P1631"/>
    <s v="Nitara Divan"/>
    <s v="Nitara Divan"/>
    <x v="0"/>
    <n v="61"/>
    <n v="61"/>
    <s v="General Medicine"/>
    <s v="General Medicine"/>
    <s v="Dr Khan"/>
    <s v="Dr Khan"/>
    <d v="2026-02-17T00:00:00"/>
    <s v="Valid"/>
    <b v="1"/>
    <b v="1"/>
    <d v="2026-01-30T00:00:00"/>
    <s v="1470359032"/>
    <s v="1470359032"/>
    <s v="1470359032"/>
    <s v="Valid"/>
    <s v="eva64@apte-sem.com"/>
    <s v="N"/>
    <n v="10641.2"/>
    <s v="Yes"/>
    <n v="248"/>
    <n v="248"/>
    <s v="E11"/>
  </r>
  <r>
    <s v="P1632"/>
    <s v="Vanya Dani"/>
    <s v="Vanya Dani"/>
    <x v="0"/>
    <n v="89"/>
    <n v="89"/>
    <s v="Oncology"/>
    <s v="Oncology"/>
    <s v="Dr. Sharma"/>
    <s v="Dr. Sharma"/>
    <d v="2025-12-25T00:00:00"/>
    <s v="Valid"/>
    <b v="1"/>
    <b v="1"/>
    <d v="2025-12-24T00:00:00"/>
    <s v="+910225631558"/>
    <s v="910225631558"/>
    <s v="0225631558"/>
    <s v="Valid"/>
    <s v="samiha40@barad-savant.com"/>
    <m/>
    <n v="14537.9"/>
    <s v="Yes"/>
    <n v="436"/>
    <n v="436"/>
    <s v="J20"/>
  </r>
  <r>
    <s v="P1633"/>
    <s v="Miraan Sant"/>
    <s v="Miraan Sant"/>
    <x v="0"/>
    <n v="37"/>
    <n v="37"/>
    <s v="General Medicine"/>
    <s v="General Medicine"/>
    <s v="Dr Mehta"/>
    <s v="Dr Mehta"/>
    <d v="2026-03-11T00:00:00"/>
    <s v="Valid"/>
    <b v="1"/>
    <b v="1"/>
    <d v="2026-03-07T00:00:00"/>
    <s v="7914903042"/>
    <s v="7914903042"/>
    <s v="7914903042"/>
    <s v="Valid"/>
    <s v="baradshanaya@hotmail.com"/>
    <s v="NO"/>
    <n v="21315.84"/>
    <s v="Yes"/>
    <n v="229"/>
    <n v="229"/>
    <s v="E11"/>
  </r>
  <r>
    <s v="P1634"/>
    <s v="Riaan Sen"/>
    <s v="Riaan Sen"/>
    <x v="0"/>
    <n v="36"/>
    <n v="36"/>
    <s v="Oncology"/>
    <s v="Oncology"/>
    <s v="Dr Rao"/>
    <s v="Dr Rao"/>
    <d v="2026-04-07T00:00:00"/>
    <s v="Valid"/>
    <b v="1"/>
    <b v="1"/>
    <d v="2026-03-15T00:00:00"/>
    <s v="09003166455"/>
    <s v="09003166455"/>
    <s v="9003166455"/>
    <s v="Valid"/>
    <s v="piyakrishna@yahoo.com"/>
    <s v="NO"/>
    <n v="15174.77"/>
    <s v="Y"/>
    <n v="437"/>
    <n v="437"/>
    <s v="M54"/>
  </r>
  <r>
    <s v="P1635"/>
    <s v="Aaina Dubey"/>
    <s v="Aaina Dubey"/>
    <x v="2"/>
    <n v="23"/>
    <n v="23"/>
    <s v="Oncology"/>
    <s v="Oncology"/>
    <s v="DR SHARMA"/>
    <s v="Dr Sharma"/>
    <d v="2026-03-01T00:00:00"/>
    <s v="Valid"/>
    <b v="1"/>
    <b v="1"/>
    <d v="2026-02-14T00:00:00"/>
    <s v="5977216758"/>
    <s v="5977216758"/>
    <s v="5977216758"/>
    <s v="Valid"/>
    <s v="umangdugar@gmail.com"/>
    <s v="Yes"/>
    <n v="20024.43"/>
    <s v="Yes"/>
    <n v="275"/>
    <n v="275"/>
    <s v="I10"/>
  </r>
  <r>
    <s v="P1636"/>
    <s v="Kiara Borde"/>
    <s v="Kiara Borde"/>
    <x v="4"/>
    <n v="77"/>
    <n v="77"/>
    <s v="Orthopedics"/>
    <s v="Orthopedics"/>
    <s v="Dr Khan"/>
    <s v="Dr Khan"/>
    <d v="2026-02-07T00:00:00"/>
    <s v="Valid"/>
    <b v="1"/>
    <b v="1"/>
    <d v="2026-01-14T00:00:00"/>
    <s v="04371956553"/>
    <s v="04371956553"/>
    <s v="4371956553"/>
    <s v="Valid"/>
    <s v="ramavritika@sha-karnik.com"/>
    <m/>
    <n v="19305.12"/>
    <s v="N"/>
    <n v="438"/>
    <n v="438"/>
    <s v="M54"/>
  </r>
  <r>
    <s v="P1637"/>
    <s v="Prisha Agate"/>
    <s v="Prisha Agate"/>
    <x v="4"/>
    <n v="27"/>
    <n v="27"/>
    <s v="ENT"/>
    <s v="ENT"/>
    <s v="Dr Rao"/>
    <s v="Dr Rao"/>
    <d v="2026-04-27T00:00:00"/>
    <s v="Valid"/>
    <b v="1"/>
    <b v="1"/>
    <d v="2026-04-07T00:00:00"/>
    <s v="09065135599"/>
    <s v="09065135599"/>
    <s v="9065135599"/>
    <s v="Valid"/>
    <s v="wallaneysa@hotmail.com"/>
    <s v="Y"/>
    <n v="18936"/>
    <s v="NO"/>
    <n v="126"/>
    <n v="126"/>
    <s v="E11"/>
  </r>
  <r>
    <s v="P1638"/>
    <s v="Jiya Golla"/>
    <s v="Jiya Golla"/>
    <x v="3"/>
    <n v="52"/>
    <n v="52"/>
    <s v="General Medicine"/>
    <s v="General Medicine"/>
    <s v="Dr. Sharma"/>
    <s v="Dr. Sharma"/>
    <d v="2026-04-01T00:00:00"/>
    <s v="Valid"/>
    <b v="1"/>
    <b v="1"/>
    <d v="2026-03-17T00:00:00"/>
    <s v="9301211896"/>
    <s v="9301211896"/>
    <s v="9301211896"/>
    <s v="Valid"/>
    <s v="hayeranika@gmail.com"/>
    <s v="NO"/>
    <n v="9619.06"/>
    <m/>
    <n v="342"/>
    <n v="342"/>
    <s v="J20"/>
  </r>
  <r>
    <s v="P1639"/>
    <s v="Lakshit Aurora"/>
    <s v="Lakshit Aurora"/>
    <x v="4"/>
    <n v="68"/>
    <n v="68"/>
    <s v="Dermatology"/>
    <s v="Dermatology"/>
    <s v="Dr Rao"/>
    <s v="Dr Rao"/>
    <d v="2026-02-27T00:00:00"/>
    <s v="Valid"/>
    <b v="1"/>
    <b v="1"/>
    <d v="2026-02-18T00:00:00"/>
    <s v="+910356130310"/>
    <s v="910356130310"/>
    <s v="0356130310"/>
    <s v="Valid"/>
    <s v="mohanlal46@wadhwa.com"/>
    <m/>
    <n v="9673.7000000000007"/>
    <s v="NO"/>
    <n v="371"/>
    <n v="371"/>
    <s v="C34"/>
  </r>
  <r>
    <s v="P1640"/>
    <s v="Alia Sarma"/>
    <s v="Alia Sarma"/>
    <x v="0"/>
    <n v="13"/>
    <n v="13"/>
    <s v="ENT"/>
    <s v="ENT"/>
    <s v="dr priya"/>
    <s v="Dr Priya"/>
    <d v="2026-05-22T00:00:00"/>
    <s v="Valid"/>
    <b v="1"/>
    <b v="1"/>
    <d v="2026-05-03T00:00:00"/>
    <s v="+910162802018"/>
    <s v="910162802018"/>
    <s v="0162802018"/>
    <s v="Valid"/>
    <m/>
    <s v="Y"/>
    <n v="-500"/>
    <s v="Yes"/>
    <n v="510"/>
    <n v="510"/>
    <s v="I10"/>
  </r>
  <r>
    <s v="P1641"/>
    <s v="Dhruv Vala"/>
    <s v="Dhruv Vala"/>
    <x v="0"/>
    <n v="84"/>
    <n v="84"/>
    <s v="Dermatology"/>
    <s v="Dermatology"/>
    <s v="Dr Khan"/>
    <s v="Dr Khan"/>
    <d v="2026-03-25T00:00:00"/>
    <s v="Valid"/>
    <b v="1"/>
    <b v="1"/>
    <d v="2026-03-01T00:00:00"/>
    <s v="8971325230"/>
    <s v="8971325230"/>
    <s v="8971325230"/>
    <s v="Valid"/>
    <s v="sinhavritika@hotmail.com"/>
    <s v="NO"/>
    <n v="18410.97"/>
    <s v="N"/>
    <n v="366"/>
    <n v="366"/>
    <s v="J20"/>
  </r>
  <r>
    <s v="P1642"/>
    <s v="Trisha Das"/>
    <s v="Trisha Das"/>
    <x v="4"/>
    <n v="41"/>
    <n v="41"/>
    <s v="Cardiology"/>
    <s v="Cardiology"/>
    <s v="Dr Rao"/>
    <s v="Dr Rao"/>
    <d v="2026-02-23T00:00:00"/>
    <s v="Valid"/>
    <b v="1"/>
    <b v="1"/>
    <d v="2026-01-28T00:00:00"/>
    <s v="05844086906"/>
    <s v="05844086906"/>
    <s v="5844086906"/>
    <s v="Valid"/>
    <s v="armaan27@gmail.com"/>
    <s v="NO"/>
    <n v="496.64"/>
    <s v="NO"/>
    <n v="368"/>
    <n v="368"/>
    <s v="I10"/>
  </r>
  <r>
    <s v="P1643"/>
    <s v="Shamik Srinivasan"/>
    <s v="Shamik Srinivasan"/>
    <x v="3"/>
    <n v="45"/>
    <n v="45"/>
    <s v="Pediatrics"/>
    <s v="Pediatrics"/>
    <s v="Dr. Sharma"/>
    <s v="Dr. Sharma"/>
    <d v="2025-12-14T00:00:00"/>
    <s v="Valid"/>
    <b v="1"/>
    <b v="1"/>
    <d v="2025-12-06T00:00:00"/>
    <s v="06940208188"/>
    <s v="06940208188"/>
    <s v="6940208188"/>
    <s v="Valid"/>
    <s v="sara14@mahajan.com"/>
    <s v="NO"/>
    <n v="1044.24"/>
    <s v="NO"/>
    <n v="129"/>
    <n v="129"/>
    <s v="A09"/>
  </r>
  <r>
    <s v="P1644"/>
    <s v="Damini Sha"/>
    <s v="Damini Sha"/>
    <x v="5"/>
    <n v="77"/>
    <n v="77"/>
    <s v="Neurology"/>
    <s v="Neurology"/>
    <s v="Dr Mehta"/>
    <s v="Dr Mehta"/>
    <d v="2026-04-03T00:00:00"/>
    <s v="Valid"/>
    <b v="1"/>
    <b v="1"/>
    <d v="2026-04-01T00:00:00"/>
    <s v="+919001739181"/>
    <s v="919001739181"/>
    <s v="9001739181"/>
    <s v="Valid"/>
    <s v="shadiya@divan-karpe.com"/>
    <s v="Yes"/>
    <n v="9523.77"/>
    <s v="Y"/>
    <n v="156"/>
    <n v="156"/>
    <s v="C34"/>
  </r>
  <r>
    <s v="P1645"/>
    <s v="Tushar Magar"/>
    <s v="Tushar Magar"/>
    <x v="4"/>
    <n v="33"/>
    <n v="33"/>
    <s v="Oncology"/>
    <s v="Oncology"/>
    <s v="Dr Khan"/>
    <s v="Dr Khan"/>
    <d v="2026-03-12T00:00:00"/>
    <s v="Valid"/>
    <b v="1"/>
    <b v="1"/>
    <d v="2026-02-19T00:00:00"/>
    <s v="+918075453720"/>
    <s v="918075453720"/>
    <s v="8075453720"/>
    <s v="Valid"/>
    <s v="lvarma@yahoo.com"/>
    <s v="NO"/>
    <n v="16041.76"/>
    <s v="Yes"/>
    <n v="493"/>
    <n v="493"/>
    <s v="M54"/>
  </r>
  <r>
    <s v="P1646"/>
    <s v="Mehul Venkatesh"/>
    <s v="Mehul Venkatesh"/>
    <x v="2"/>
    <n v="33"/>
    <n v="33"/>
    <s v="Orthopedics"/>
    <s v="Orthopedics"/>
    <s v="Dr Mehta"/>
    <s v="Dr Mehta"/>
    <d v="2025-12-03T00:00:00"/>
    <s v="Valid"/>
    <b v="1"/>
    <b v="1"/>
    <d v="2025-11-25T00:00:00"/>
    <s v="+914673165874"/>
    <s v="914673165874"/>
    <s v="4673165874"/>
    <s v="Valid"/>
    <s v="bhandariarmaan@borah.com"/>
    <s v="Yes"/>
    <n v="9693.42"/>
    <s v="NO"/>
    <n v="130"/>
    <n v="130"/>
    <s v="J20"/>
  </r>
  <r>
    <s v="P1647"/>
    <s v="Saksham Balay"/>
    <s v="Saksham Balay"/>
    <x v="0"/>
    <n v="23"/>
    <n v="23"/>
    <s v="General Medicine"/>
    <s v="General Medicine"/>
    <s v="Dr Mehta"/>
    <s v="Dr Mehta"/>
    <d v="2025-12-01T00:00:00"/>
    <s v="Valid"/>
    <b v="1"/>
    <b v="1"/>
    <d v="2025-11-16T00:00:00"/>
    <s v="+919740200924"/>
    <s v="919740200924"/>
    <s v="9740200924"/>
    <s v="Valid"/>
    <s v="taimurmahajan@yahoo.com"/>
    <s v="NO"/>
    <n v="15335.49"/>
    <s v="Y"/>
    <n v="430"/>
    <n v="430"/>
    <s v="M54"/>
  </r>
  <r>
    <s v="P1648"/>
    <s v="Dharmajan Rattan"/>
    <s v="Dharmajan Rattan"/>
    <x v="2"/>
    <n v="19"/>
    <n v="19"/>
    <s v="Dermatology"/>
    <s v="Dermatology"/>
    <s v="DR SHARMA"/>
    <s v="Dr Sharma"/>
    <d v="2026-05-08T00:00:00"/>
    <s v="Valid"/>
    <b v="1"/>
    <b v="1"/>
    <d v="2026-04-19T00:00:00"/>
    <s v="+913558708235"/>
    <s v="913558708235"/>
    <s v="3558708235"/>
    <s v="Valid"/>
    <s v="hkant@gmail.com"/>
    <s v="NO"/>
    <n v="22832.71"/>
    <s v="Yes"/>
    <n v="152"/>
    <n v="152"/>
    <s v="I10"/>
  </r>
  <r>
    <s v="P1651"/>
    <s v="Kaira Zachariah"/>
    <s v="Kaira Zachariah"/>
    <x v="1"/>
    <n v="9"/>
    <n v="9"/>
    <s v="Pediatrics"/>
    <s v="Pediatrics"/>
    <s v="Dr Rao"/>
    <s v="Dr Rao"/>
    <d v="2026-02-26T00:00:00"/>
    <s v="Valid"/>
    <b v="1"/>
    <b v="1"/>
    <d v="2026-02-14T00:00:00"/>
    <s v="+914851071588"/>
    <s v="914851071588"/>
    <s v="4851071588"/>
    <s v="Valid"/>
    <s v="miraan69@biswas.info"/>
    <m/>
    <n v="3205.85"/>
    <s v="NO"/>
    <n v="270"/>
    <n v="270"/>
    <s v="C34"/>
  </r>
  <r>
    <s v="P1652"/>
    <s v="Jayesh Tak"/>
    <s v="Jayesh Tak"/>
    <x v="0"/>
    <n v="52"/>
    <n v="52"/>
    <s v="Cardiology"/>
    <s v="Cardiology"/>
    <s v="Dr Mehta"/>
    <s v="Dr Mehta"/>
    <d v="2026-01-25T00:00:00"/>
    <s v="Valid"/>
    <b v="1"/>
    <b v="1"/>
    <d v="2026-01-14T00:00:00"/>
    <s v="8071442000"/>
    <s v="8071442000"/>
    <s v="8071442000"/>
    <s v="Valid"/>
    <s v="ochowdhury@chandran.com"/>
    <s v="N"/>
    <n v="2195.33"/>
    <m/>
    <n v="489"/>
    <n v="489"/>
    <s v="K21"/>
  </r>
  <r>
    <s v="P1653"/>
    <s v="Rhea Contractor"/>
    <s v="Rhea Contractor"/>
    <x v="0"/>
    <n v="83"/>
    <n v="83"/>
    <s v="Pediatrics"/>
    <s v="Pediatrics"/>
    <s v="Dr Mehta"/>
    <s v="Dr Mehta"/>
    <d v="2026-01-30T00:00:00"/>
    <s v="Valid"/>
    <b v="1"/>
    <b v="1"/>
    <d v="2026-01-13T00:00:00"/>
    <s v="1459632055"/>
    <s v="1459632055"/>
    <s v="1459632055"/>
    <s v="Valid"/>
    <s v="nissac@som.com"/>
    <s v="Yes"/>
    <n v="24194.32"/>
    <s v="N"/>
    <n v="253"/>
    <n v="253"/>
    <s v="C34"/>
  </r>
  <r>
    <s v="P1654"/>
    <s v="Indrajit Kannan"/>
    <s v="Indrajit Kannan"/>
    <x v="1"/>
    <n v="14"/>
    <n v="14"/>
    <s v="ENT"/>
    <s v="ENT"/>
    <s v="Dr Khan"/>
    <s v="Dr Khan"/>
    <d v="2026-02-23T00:00:00"/>
    <s v="Valid"/>
    <b v="1"/>
    <b v="1"/>
    <d v="2026-02-21T00:00:00"/>
    <s v="+918179209102"/>
    <s v="918179209102"/>
    <s v="8179209102"/>
    <s v="Valid"/>
    <s v="odey@banik.org"/>
    <m/>
    <n v="18436.04"/>
    <s v="Y"/>
    <n v="118"/>
    <n v="118"/>
    <s v="E11"/>
  </r>
  <r>
    <s v="P1655"/>
    <s v="Oorja Shah"/>
    <s v="Oorja Shah"/>
    <x v="0"/>
    <n v="76"/>
    <n v="76"/>
    <s v="Pediatrics"/>
    <s v="Pediatrics"/>
    <s v="Dr Khan"/>
    <s v="Dr Khan"/>
    <d v="2026-04-29T00:00:00"/>
    <s v="Valid"/>
    <b v="1"/>
    <b v="1"/>
    <d v="2026-04-17T00:00:00"/>
    <s v="6718880192"/>
    <s v="6718880192"/>
    <s v="6718880192"/>
    <s v="Valid"/>
    <s v="himmatshroff@gmail.com"/>
    <s v="NO"/>
    <n v="19859.93"/>
    <s v="Yes"/>
    <n v="355"/>
    <n v="355"/>
    <s v="A09"/>
  </r>
  <r>
    <s v="P1656"/>
    <s v="Dhanush Chand"/>
    <s v="Dhanush Chand"/>
    <x v="3"/>
    <n v="3"/>
    <n v="3"/>
    <s v="Cardiology"/>
    <s v="Cardiology"/>
    <s v="dr priya"/>
    <s v="Dr Priya"/>
    <d v="2026-02-20T00:00:00"/>
    <s v="Valid"/>
    <b v="1"/>
    <b v="1"/>
    <d v="2026-02-19T00:00:00"/>
    <s v="0633771743"/>
    <s v="0633771743"/>
    <s v="0633771743"/>
    <s v="Valid"/>
    <s v="jsandal@keer.com"/>
    <s v="N"/>
    <n v="19736.91"/>
    <s v="Yes"/>
    <n v="307"/>
    <n v="307"/>
    <s v="I10"/>
  </r>
  <r>
    <s v="P1657"/>
    <s v="Lagan Mann"/>
    <s v="Lagan Mann"/>
    <x v="5"/>
    <n v="84"/>
    <n v="84"/>
    <s v="General Medicine"/>
    <s v="General Medicine"/>
    <s v="Dr Mehta"/>
    <s v="Dr Mehta"/>
    <d v="2025-12-26T00:00:00"/>
    <s v="Valid"/>
    <b v="1"/>
    <b v="1"/>
    <d v="2025-12-03T00:00:00"/>
    <s v="+918021963074"/>
    <s v="918021963074"/>
    <s v="8021963074"/>
    <s v="Valid"/>
    <s v="nishithgoswami@rajagopalan-sood.biz"/>
    <s v="NO"/>
    <n v="23135.43"/>
    <s v="Yes"/>
    <n v="476"/>
    <n v="476"/>
    <s v="E11"/>
  </r>
  <r>
    <s v="P1658"/>
    <s v="Anvi Saxena"/>
    <s v="Anvi Saxena"/>
    <x v="3"/>
    <n v="84"/>
    <n v="84"/>
    <s v="Cardiology"/>
    <s v="Cardiology"/>
    <s v="Dr Khan"/>
    <s v="Dr Khan"/>
    <d v="2026-05-05T00:00:00"/>
    <s v="Valid"/>
    <b v="1"/>
    <b v="1"/>
    <d v="2026-04-06T00:00:00"/>
    <s v="8271307389"/>
    <s v="8271307389"/>
    <s v="8271307389"/>
    <s v="Valid"/>
    <s v="sampathmyra@sekhon.org"/>
    <s v="Yes"/>
    <n v="6218.53"/>
    <s v="Y"/>
    <n v="107"/>
    <n v="107"/>
    <s v="E11"/>
  </r>
  <r>
    <s v="P1659"/>
    <s v="Devansh Sama"/>
    <s v="Devansh Sama"/>
    <x v="0"/>
    <n v="40"/>
    <n v="40"/>
    <s v="Neurology"/>
    <s v="Neurology"/>
    <s v="Dr Khan"/>
    <s v="Dr Khan"/>
    <d v="2026-03-10T00:00:00"/>
    <s v="Valid"/>
    <b v="1"/>
    <b v="1"/>
    <d v="2026-02-19T00:00:00"/>
    <s v="+919936253556"/>
    <s v="919936253556"/>
    <s v="9936253556"/>
    <s v="Valid"/>
    <s v="priyansh79@hotmail.com"/>
    <s v="Yes"/>
    <n v="20916.73"/>
    <s v="NO"/>
    <n v="518"/>
    <n v="518"/>
    <s v="K21"/>
  </r>
  <r>
    <s v="P1660"/>
    <s v="Aradhya Ahluwalia"/>
    <s v="Aradhya Ahluwalia"/>
    <x v="2"/>
    <n v="15"/>
    <n v="15"/>
    <s v="General Medicine"/>
    <s v="General Medicine"/>
    <s v="DR SHARMA"/>
    <s v="Dr Sharma"/>
    <d v="2026-01-28T00:00:00"/>
    <s v="Valid"/>
    <b v="1"/>
    <b v="1"/>
    <d v="2026-01-26T00:00:00"/>
    <s v="+914811272229"/>
    <s v="914811272229"/>
    <s v="4811272229"/>
    <s v="Valid"/>
    <s v="anahirau@madan.com"/>
    <s v="NO"/>
    <n v="10770.04"/>
    <m/>
    <n v="266"/>
    <n v="266"/>
    <s v="I10"/>
  </r>
  <r>
    <s v="P1661"/>
    <s v="Zaina Tailor"/>
    <s v="Zaina Tailor"/>
    <x v="4"/>
    <n v="42"/>
    <n v="42"/>
    <s v="Pediatrics"/>
    <s v="Pediatrics"/>
    <s v="Dr Rao"/>
    <s v="Dr Rao"/>
    <d v="2026-03-22T00:00:00"/>
    <s v="Valid"/>
    <b v="1"/>
    <b v="1"/>
    <d v="2026-03-04T00:00:00"/>
    <s v="+912835501294"/>
    <s v="912835501294"/>
    <s v="2835501294"/>
    <s v="Valid"/>
    <s v="xgarde@tailor-manne.com"/>
    <s v="Yes"/>
    <n v="8520.49"/>
    <s v="NO"/>
    <n v="240"/>
    <n v="240"/>
    <s v="E11"/>
  </r>
  <r>
    <s v="P1662"/>
    <s v="Jiya Arora"/>
    <s v="Jiya Arora"/>
    <x v="1"/>
    <n v="22"/>
    <n v="22"/>
    <s v="ENT"/>
    <s v="ENT"/>
    <s v="Dr Mehta"/>
    <s v="Dr Mehta"/>
    <d v="2026-05-11T00:00:00"/>
    <s v="Valid"/>
    <b v="1"/>
    <b v="1"/>
    <d v="2026-04-27T00:00:00"/>
    <s v="+910059591360"/>
    <s v="910059591360"/>
    <s v="0059591360"/>
    <s v="Valid"/>
    <s v="miraya81@hotmail.com"/>
    <s v="NO"/>
    <n v="23156.75"/>
    <s v="Yes"/>
    <n v="168"/>
    <n v="168"/>
    <s v="I10"/>
  </r>
  <r>
    <s v="P1663"/>
    <s v="Rohan Chandra"/>
    <s v="Rohan Chandra"/>
    <x v="1"/>
    <n v="21"/>
    <n v="21"/>
    <s v="Cardiology"/>
    <s v="Cardiology"/>
    <s v="Dr Khan"/>
    <s v="Dr Khan"/>
    <d v="2025-12-03T00:00:00"/>
    <s v="Valid"/>
    <b v="1"/>
    <b v="1"/>
    <d v="2025-12-01T00:00:00"/>
    <s v="+917075878631"/>
    <s v="917075878631"/>
    <s v="7075878631"/>
    <s v="Valid"/>
    <s v="ctak@hotmail.com"/>
    <s v="Yes"/>
    <n v="379.16"/>
    <s v="NO"/>
    <n v="461"/>
    <n v="461"/>
    <s v="C34"/>
  </r>
  <r>
    <s v="P1664"/>
    <s v="Sana Golla"/>
    <s v="Sana Golla"/>
    <x v="0"/>
    <n v="54"/>
    <n v="54"/>
    <s v="General Medicine"/>
    <s v="General Medicine"/>
    <s v="Dr Mehta"/>
    <s v="Dr Mehta"/>
    <d v="2026-03-05T00:00:00"/>
    <s v="Valid"/>
    <b v="1"/>
    <b v="1"/>
    <d v="2026-02-27T00:00:00"/>
    <s v="+915691631979"/>
    <s v="915691631979"/>
    <s v="5691631979"/>
    <s v="Valid"/>
    <s v="aradhyalal@sunder.info"/>
    <s v="Yes"/>
    <n v="16067.68"/>
    <m/>
    <n v="310"/>
    <n v="310"/>
    <s v="E11"/>
  </r>
  <r>
    <s v="P1665"/>
    <s v="Dhruv Thakkar"/>
    <s v="Dhruv Thakkar"/>
    <x v="4"/>
    <n v="79"/>
    <n v="79"/>
    <s v="Cardiology"/>
    <s v="Cardiology"/>
    <s v="Dr Mehta"/>
    <s v="Dr Mehta"/>
    <d v="2026-03-05T00:00:00"/>
    <s v="Valid"/>
    <b v="1"/>
    <b v="1"/>
    <d v="2026-02-11T00:00:00"/>
    <s v="+917710668637"/>
    <s v="917710668637"/>
    <s v="7710668637"/>
    <s v="Valid"/>
    <s v="sharmahrishita@hotmail.com"/>
    <m/>
    <n v="15378.84"/>
    <s v="NO"/>
    <n v="421"/>
    <n v="421"/>
    <s v="K21"/>
  </r>
  <r>
    <s v="P1666"/>
    <s v="Dhanuk Solanki"/>
    <s v="Dhanuk Solanki"/>
    <x v="0"/>
    <n v="45"/>
    <n v="45"/>
    <s v="Dermatology"/>
    <s v="Dermatology"/>
    <s v="Dr Rao"/>
    <s v="Dr Rao"/>
    <d v="2026-05-16T00:00:00"/>
    <s v="Valid"/>
    <b v="1"/>
    <b v="1"/>
    <d v="2026-04-29T00:00:00"/>
    <s v="1697384866"/>
    <s v="1697384866"/>
    <s v="1697384866"/>
    <s v="Valid"/>
    <s v="onkardara@mallick.net"/>
    <s v="NO"/>
    <n v="4959.1899999999996"/>
    <s v="NO"/>
    <n v="416"/>
    <n v="416"/>
    <s v="J20"/>
  </r>
  <r>
    <s v="P1667"/>
    <s v="Himmat Vohra"/>
    <s v="Himmat Vohra"/>
    <x v="5"/>
    <n v="60"/>
    <n v="60"/>
    <s v="Pediatrics"/>
    <s v="Pediatrics"/>
    <s v="Dr. Sharma"/>
    <s v="Dr. Sharma"/>
    <d v="2025-12-31T00:00:00"/>
    <s v="Valid"/>
    <b v="1"/>
    <b v="1"/>
    <d v="2025-12-30T00:00:00"/>
    <s v="03278945028"/>
    <s v="03278945028"/>
    <s v="3278945028"/>
    <s v="Valid"/>
    <s v="alia89@gmail.com"/>
    <s v="NO"/>
    <n v="2994.44"/>
    <s v="Y"/>
    <n v="450"/>
    <n v="450"/>
    <s v="K21"/>
  </r>
  <r>
    <s v="P1668"/>
    <s v="Romil Hayer"/>
    <s v="Romil Hayer"/>
    <x v="3"/>
    <n v="64"/>
    <n v="64"/>
    <s v="Orthopedics"/>
    <s v="Orthopedics"/>
    <s v="Dr Mehta"/>
    <s v="Dr Mehta"/>
    <d v="2026-02-07T00:00:00"/>
    <s v="Valid"/>
    <b v="1"/>
    <b v="1"/>
    <d v="2026-01-17T00:00:00"/>
    <s v="+912315803075"/>
    <s v="912315803075"/>
    <s v="2315803075"/>
    <s v="Valid"/>
    <s v="anayseth@hotmail.com"/>
    <s v="Yes"/>
    <n v="1539.88"/>
    <s v="NO"/>
    <n v="245"/>
    <n v="245"/>
    <s v="E11"/>
  </r>
  <r>
    <s v="P1669"/>
    <s v="Advik Dalal"/>
    <s v="Advik Dalal"/>
    <x v="1"/>
    <n v="33"/>
    <n v="33"/>
    <s v="ENT"/>
    <s v="ENT"/>
    <s v="Dr Khan"/>
    <s v="Dr Khan"/>
    <d v="2026-04-07T00:00:00"/>
    <s v="Valid"/>
    <b v="1"/>
    <b v="1"/>
    <d v="2026-04-06T00:00:00"/>
    <s v="01733872367"/>
    <s v="01733872367"/>
    <s v="1733872367"/>
    <s v="Valid"/>
    <s v="bsem@yahoo.com"/>
    <s v="NO"/>
    <n v="18562.34"/>
    <s v="Y"/>
    <n v="180"/>
    <n v="180"/>
    <s v="K21"/>
  </r>
  <r>
    <s v="P1670"/>
    <s v="Manikya Behl"/>
    <s v="Manikya Behl"/>
    <x v="0"/>
    <n v="63"/>
    <n v="63"/>
    <s v="Neurology"/>
    <s v="Neurology"/>
    <s v="Dr Mehta"/>
    <s v="Dr Mehta"/>
    <d v="2026-01-19T00:00:00"/>
    <s v="Valid"/>
    <b v="1"/>
    <b v="1"/>
    <d v="2025-12-22T00:00:00"/>
    <s v="+919310981453"/>
    <s v="919310981453"/>
    <s v="9310981453"/>
    <s v="Valid"/>
    <s v="wgade@hotmail.com"/>
    <s v="NO"/>
    <n v="18090.8"/>
    <s v="NO"/>
    <n v="314"/>
    <n v="314"/>
    <s v="E11"/>
  </r>
  <r>
    <s v="P1671"/>
    <s v="Heer Bobal"/>
    <s v="Heer Bobal"/>
    <x v="2"/>
    <n v="30"/>
    <n v="30"/>
    <s v="Neurology"/>
    <s v="Neurology"/>
    <s v="dr priya"/>
    <s v="Dr Priya"/>
    <d v="2026-02-23T00:00:00"/>
    <s v="Valid"/>
    <b v="1"/>
    <b v="1"/>
    <d v="2026-02-16T00:00:00"/>
    <s v="01207744708"/>
    <s v="01207744708"/>
    <s v="1207744708"/>
    <s v="Valid"/>
    <s v="dishanichoudhury@gmail.com"/>
    <s v="NO"/>
    <n v="6080.54"/>
    <m/>
    <n v="545"/>
    <n v="545"/>
    <s v="E11"/>
  </r>
  <r>
    <s v="P1672"/>
    <s v="Miraan Bhatia"/>
    <s v="Miraan Bhatia"/>
    <x v="1"/>
    <n v="29"/>
    <n v="29"/>
    <s v="Neurology"/>
    <s v="Neurology"/>
    <s v="Dr Khan"/>
    <s v="Dr Khan"/>
    <d v="2026-01-17T00:00:00"/>
    <s v="Valid"/>
    <b v="1"/>
    <b v="1"/>
    <d v="2025-12-30T00:00:00"/>
    <s v="+911127676524"/>
    <s v="911127676524"/>
    <s v="1127676524"/>
    <s v="Valid"/>
    <s v="siya74@aurora-garde.com"/>
    <m/>
    <n v="1547.62"/>
    <m/>
    <n v="174"/>
    <n v="174"/>
    <s v="E11"/>
  </r>
  <r>
    <s v="P1673"/>
    <s v="Riaan Sehgal"/>
    <s v="Riaan Sehgal"/>
    <x v="3"/>
    <n v="23"/>
    <n v="23"/>
    <s v="Dermatology"/>
    <s v="Dermatology"/>
    <s v="dr priya"/>
    <s v="Dr Priya"/>
    <d v="2025-11-19T00:00:00"/>
    <s v="Valid"/>
    <b v="1"/>
    <b v="1"/>
    <d v="2025-11-15T00:00:00"/>
    <s v="1873189728"/>
    <s v="1873189728"/>
    <s v="1873189728"/>
    <s v="Valid"/>
    <s v="keyabhavsar@saini.com"/>
    <m/>
    <n v="18051.57"/>
    <s v="NO"/>
    <n v="238"/>
    <n v="238"/>
    <s v="E11"/>
  </r>
  <r>
    <s v="P1674"/>
    <s v="Drishya Brahmbhatt"/>
    <s v="Drishya Brahmbhatt"/>
    <x v="2"/>
    <n v="17"/>
    <n v="17"/>
    <s v="Cardiology"/>
    <s v="Cardiology"/>
    <s v="Dr Rao"/>
    <s v="Dr Rao"/>
    <d v="2026-04-16T00:00:00"/>
    <s v="Valid"/>
    <b v="1"/>
    <b v="1"/>
    <d v="2026-04-08T00:00:00"/>
    <s v="01545089617"/>
    <s v="01545089617"/>
    <s v="1545089617"/>
    <s v="Valid"/>
    <s v="miraanbawa@bath-mane.org"/>
    <s v="Yes"/>
    <n v="2955.51"/>
    <m/>
    <n v="334"/>
    <n v="334"/>
    <s v="M54"/>
  </r>
  <r>
    <s v="P1675"/>
    <s v="Shayak Virk"/>
    <s v="Shayak Virk"/>
    <x v="4"/>
    <n v="44"/>
    <n v="44"/>
    <s v="Pediatrics"/>
    <s v="Pediatrics"/>
    <s v="Dr. Sharma"/>
    <s v="Dr. Sharma"/>
    <d v="2025-12-04T00:00:00"/>
    <s v="Valid"/>
    <b v="1"/>
    <b v="1"/>
    <d v="2025-11-15T00:00:00"/>
    <s v="1835179309"/>
    <s v="1835179309"/>
    <s v="1835179309"/>
    <s v="Valid"/>
    <s v="xchandran@sahni.info"/>
    <s v="Yes"/>
    <n v="19780.759999999998"/>
    <s v="Y"/>
    <n v="395"/>
    <n v="395"/>
    <s v="A09"/>
  </r>
  <r>
    <s v="P1676"/>
    <s v="Anya Dani"/>
    <s v="Anya Dani"/>
    <x v="5"/>
    <n v="12"/>
    <n v="12"/>
    <s v="Dermatology"/>
    <s v="Dermatology"/>
    <s v="Dr Khan"/>
    <s v="Dr Khan"/>
    <d v="2026-05-11T00:00:00"/>
    <s v="Valid"/>
    <b v="1"/>
    <b v="1"/>
    <d v="2026-04-14T00:00:00"/>
    <s v="+910290770736"/>
    <s v="910290770736"/>
    <s v="0290770736"/>
    <s v="Valid"/>
    <s v="paribala@kala.com"/>
    <s v="NO"/>
    <n v="14871.21"/>
    <m/>
    <n v="242"/>
    <n v="242"/>
    <s v="I10"/>
  </r>
  <r>
    <s v="P1677"/>
    <s v="Dhanuk Behl"/>
    <s v="Dhanuk Behl"/>
    <x v="1"/>
    <n v="32"/>
    <n v="32"/>
    <s v="Pediatrics"/>
    <s v="Pediatrics"/>
    <s v="dr priya"/>
    <s v="Dr Priya"/>
    <d v="2026-03-07T00:00:00"/>
    <s v="Valid"/>
    <b v="1"/>
    <b v="1"/>
    <d v="2026-02-22T00:00:00"/>
    <s v="07618996391"/>
    <s v="07618996391"/>
    <s v="7618996391"/>
    <s v="Valid"/>
    <s v="tdasgupta@yahoo.com"/>
    <s v="NO"/>
    <n v="22317.200000000001"/>
    <s v="Y"/>
    <n v="393"/>
    <n v="393"/>
    <s v="I10"/>
  </r>
  <r>
    <s v="P1678"/>
    <s v="Saksham Mani"/>
    <s v="Saksham Mani"/>
    <x v="1"/>
    <n v="6"/>
    <n v="6"/>
    <s v="Cardiology"/>
    <s v="Cardiology"/>
    <s v="Dr Khan"/>
    <s v="Dr Khan"/>
    <d v="2026-04-06T00:00:00"/>
    <s v="Valid"/>
    <b v="1"/>
    <b v="1"/>
    <d v="2026-03-14T00:00:00"/>
    <s v="+915154452333"/>
    <s v="915154452333"/>
    <s v="5154452333"/>
    <s v="Valid"/>
    <s v="garderaunak@yahoo.com"/>
    <s v="Yes"/>
    <n v="10757.3"/>
    <m/>
    <n v="345"/>
    <n v="345"/>
    <s v="K21"/>
  </r>
  <r>
    <s v="P1679"/>
    <s v="Aarav Goyal"/>
    <s v="Aarav Goyal"/>
    <x v="2"/>
    <n v="58"/>
    <n v="58"/>
    <s v="General Medicine"/>
    <s v="General Medicine"/>
    <s v="DR SHARMA"/>
    <s v="Dr Sharma"/>
    <d v="2026-02-06T00:00:00"/>
    <s v="Valid"/>
    <b v="1"/>
    <b v="1"/>
    <d v="2026-02-04T00:00:00"/>
    <s v="+915440755185"/>
    <s v="915440755185"/>
    <s v="5440755185"/>
    <s v="Valid"/>
    <s v="xbains@hotmail.com"/>
    <s v="Yes"/>
    <n v="17390.36"/>
    <m/>
    <n v="211"/>
    <n v="211"/>
    <s v="E11"/>
  </r>
  <r>
    <s v="P1681"/>
    <s v="Lagan Ganesh"/>
    <s v="Lagan Ganesh"/>
    <x v="0"/>
    <n v="59"/>
    <n v="59"/>
    <s v="General Medicine"/>
    <s v="General Medicine"/>
    <s v="Dr Mehta"/>
    <s v="Dr Mehta"/>
    <d v="2026-02-24T00:00:00"/>
    <s v="Valid"/>
    <b v="1"/>
    <b v="1"/>
    <d v="2026-01-28T00:00:00"/>
    <s v="03094988165"/>
    <s v="03094988165"/>
    <s v="3094988165"/>
    <s v="Valid"/>
    <s v="hanshrama@yahoo.com"/>
    <m/>
    <n v="4786.6499999999996"/>
    <s v="NO"/>
    <n v="420"/>
    <n v="420"/>
    <s v="M54"/>
  </r>
  <r>
    <s v="P1682"/>
    <s v="Shray Basak"/>
    <s v="Shray Basak"/>
    <x v="0"/>
    <n v="81"/>
    <n v="81"/>
    <s v="Neurology"/>
    <s v="Neurology"/>
    <s v="dr priya"/>
    <s v="Dr Priya"/>
    <d v="2026-02-22T00:00:00"/>
    <s v="Valid"/>
    <b v="1"/>
    <b v="1"/>
    <d v="2026-01-25T00:00:00"/>
    <s v="+917634266715"/>
    <s v="917634266715"/>
    <s v="7634266715"/>
    <s v="Valid"/>
    <s v="echahal@thakkar-dyal.com"/>
    <s v="N"/>
    <n v="13366.82"/>
    <s v="Yes"/>
    <n v="318"/>
    <n v="318"/>
    <s v="K21"/>
  </r>
  <r>
    <s v="P1683"/>
    <s v="Hiran Balakrishnan"/>
    <s v="Hiran Balakrishnan"/>
    <x v="0"/>
    <n v="90"/>
    <n v="90"/>
    <s v="Pediatrics"/>
    <s v="Pediatrics"/>
    <s v="Dr Mehta"/>
    <s v="Dr Mehta"/>
    <d v="2025-12-17T00:00:00"/>
    <s v="Valid"/>
    <b v="1"/>
    <b v="1"/>
    <d v="2025-11-28T00:00:00"/>
    <s v="+915011123327"/>
    <s v="915011123327"/>
    <s v="5011123327"/>
    <s v="Valid"/>
    <s v="shlok53@gmail.com"/>
    <s v="N"/>
    <n v="18446.87"/>
    <s v="Yes"/>
    <n v="363"/>
    <n v="363"/>
    <s v="C34"/>
  </r>
  <r>
    <s v="P1684"/>
    <s v="Alisha Sathe"/>
    <s v="Alisha Sathe"/>
    <x v="2"/>
    <n v="7"/>
    <n v="7"/>
    <s v="Neurology"/>
    <s v="Neurology"/>
    <s v="dr priya"/>
    <s v="Dr Priya"/>
    <d v="2026-03-16T00:00:00"/>
    <s v="Valid"/>
    <b v="1"/>
    <b v="1"/>
    <d v="2026-03-05T00:00:00"/>
    <s v="05891973925"/>
    <s v="05891973925"/>
    <s v="5891973925"/>
    <s v="Valid"/>
    <s v="kmannan@kala-ram.biz"/>
    <m/>
    <n v="15554.51"/>
    <s v="NO"/>
    <n v="287"/>
    <n v="287"/>
    <s v="E11"/>
  </r>
  <r>
    <s v="P1685"/>
    <s v="Kartik Dhaliwal"/>
    <s v="Kartik Dhaliwal"/>
    <x v="2"/>
    <n v="72"/>
    <n v="72"/>
    <s v="Pediatrics"/>
    <s v="Pediatrics"/>
    <s v="Dr Mehta"/>
    <s v="Dr Mehta"/>
    <d v="2026-05-08T00:00:00"/>
    <s v="Valid"/>
    <b v="1"/>
    <b v="1"/>
    <d v="2026-04-28T00:00:00"/>
    <s v="05290869855"/>
    <s v="05290869855"/>
    <s v="5290869855"/>
    <s v="Valid"/>
    <s v="mirayakade@sehgal-varma.org"/>
    <s v="NO"/>
    <n v="13582.92"/>
    <m/>
    <n v="477"/>
    <n v="477"/>
    <s v="K21"/>
  </r>
  <r>
    <s v="P1686"/>
    <s v="Divij Hari"/>
    <s v="Divij Hari"/>
    <x v="5"/>
    <n v="29"/>
    <n v="29"/>
    <s v="ENT"/>
    <s v="ENT"/>
    <s v="dr priya"/>
    <s v="Dr Priya"/>
    <d v="2026-03-18T00:00:00"/>
    <s v="Valid"/>
    <b v="1"/>
    <b v="1"/>
    <d v="2026-02-18T00:00:00"/>
    <s v="7886725404"/>
    <s v="7886725404"/>
    <s v="7886725404"/>
    <s v="Valid"/>
    <s v="saanvi08@sandhu.com"/>
    <s v="Y"/>
    <n v="12688.44"/>
    <m/>
    <n v="241"/>
    <n v="241"/>
    <s v="I10"/>
  </r>
  <r>
    <s v="P1687"/>
    <s v="Taimur Shankar"/>
    <s v="Taimur Shankar"/>
    <x v="2"/>
    <n v="48"/>
    <n v="48"/>
    <s v="ENT"/>
    <s v="ENT"/>
    <s v="Dr Khan"/>
    <s v="Dr Khan"/>
    <d v="2025-12-01T00:00:00"/>
    <s v="Valid"/>
    <b v="1"/>
    <b v="1"/>
    <d v="2025-11-16T00:00:00"/>
    <s v="+919710589267"/>
    <s v="919710589267"/>
    <s v="9710589267"/>
    <s v="Valid"/>
    <s v="dchopra@yahoo.com"/>
    <s v="NO"/>
    <n v="11860.06"/>
    <s v="Yes"/>
    <n v="331"/>
    <n v="331"/>
    <s v="A09"/>
  </r>
  <r>
    <s v="P1688"/>
    <s v="Aaina Ghosh"/>
    <s v="Aaina Ghosh"/>
    <x v="2"/>
    <n v="87"/>
    <n v="87"/>
    <s v="Neurology"/>
    <s v="Neurology"/>
    <s v="DR SHARMA"/>
    <s v="Dr Sharma"/>
    <d v="2026-01-26T00:00:00"/>
    <s v="Valid"/>
    <b v="1"/>
    <b v="1"/>
    <d v="2025-12-29T00:00:00"/>
    <s v="09191580291"/>
    <s v="09191580291"/>
    <s v="9191580291"/>
    <s v="Valid"/>
    <s v="devivihaan@gmail.com"/>
    <m/>
    <n v="2365.2600000000002"/>
    <m/>
    <n v="191"/>
    <n v="191"/>
    <s v="J20"/>
  </r>
  <r>
    <s v="P1689"/>
    <s v="Hrishita Bose"/>
    <s v="Hrishita Bose"/>
    <x v="2"/>
    <n v="14"/>
    <n v="14"/>
    <s v="Orthopedics"/>
    <s v="Orthopedics"/>
    <s v="Dr. Sharma"/>
    <s v="Dr. Sharma"/>
    <d v="2026-05-09T00:00:00"/>
    <s v="Valid"/>
    <b v="1"/>
    <b v="1"/>
    <d v="2026-05-06T00:00:00"/>
    <s v="0699572504"/>
    <s v="0699572504"/>
    <s v="0699572504"/>
    <s v="Valid"/>
    <s v="gargsara@grewal.com"/>
    <s v="Yes"/>
    <n v="12508.95"/>
    <s v="N"/>
    <n v="366"/>
    <n v="366"/>
    <s v="C34"/>
  </r>
  <r>
    <s v="P1690"/>
    <s v="Khushi Cheema"/>
    <s v="Khushi Cheema"/>
    <x v="0"/>
    <n v="38"/>
    <n v="38"/>
    <s v="Dermatology"/>
    <s v="Dermatology"/>
    <s v="Dr Mehta"/>
    <s v="Dr Mehta"/>
    <d v="2025-12-18T00:00:00"/>
    <s v="Valid"/>
    <b v="1"/>
    <b v="1"/>
    <d v="2025-12-03T00:00:00"/>
    <s v="+915398463019"/>
    <s v="915398463019"/>
    <s v="5398463019"/>
    <s v="Valid"/>
    <s v="dwalia@acharya.org"/>
    <s v="N"/>
    <n v="10619.22"/>
    <s v="Yes"/>
    <n v="249"/>
    <n v="249"/>
    <s v="E11"/>
  </r>
  <r>
    <s v="P1691"/>
    <s v="Samarth Agate"/>
    <s v="Samarth Agate"/>
    <x v="2"/>
    <n v="3"/>
    <n v="3"/>
    <s v="Pediatrics"/>
    <s v="Pediatrics"/>
    <s v="dr priya"/>
    <s v="Dr Priya"/>
    <d v="2026-04-20T00:00:00"/>
    <s v="Valid"/>
    <b v="1"/>
    <b v="1"/>
    <d v="2026-04-07T00:00:00"/>
    <s v="+912163359923"/>
    <s v="912163359923"/>
    <s v="2163359923"/>
    <s v="Valid"/>
    <s v="hrishitarout@arora.com"/>
    <s v="N"/>
    <n v="16462.86"/>
    <s v="NO"/>
    <n v="348"/>
    <n v="348"/>
    <s v="A09"/>
  </r>
  <r>
    <s v="P1692"/>
    <s v="Kavya Raja"/>
    <s v="Kavya Raja"/>
    <x v="3"/>
    <n v="59"/>
    <n v="59"/>
    <s v="Oncology"/>
    <s v="Oncology"/>
    <s v="Dr Mehta"/>
    <s v="Dr Mehta"/>
    <d v="2026-05-24T00:00:00"/>
    <s v="Valid"/>
    <b v="1"/>
    <b v="1"/>
    <d v="2026-04-26T00:00:00"/>
    <s v="+912793416033"/>
    <s v="912793416033"/>
    <s v="2793416033"/>
    <s v="Valid"/>
    <s v="miraya68@hotmail.com"/>
    <s v="Y"/>
    <n v="4459.08"/>
    <s v="Yes"/>
    <n v="216"/>
    <n v="216"/>
    <s v="M54"/>
  </r>
  <r>
    <s v="P1693"/>
    <s v="Riya Golla"/>
    <s v="Riya Golla"/>
    <x v="2"/>
    <n v="37"/>
    <n v="37"/>
    <s v="Cardiology"/>
    <s v="Cardiology"/>
    <s v="Dr Mehta"/>
    <s v="Dr Mehta"/>
    <d v="2026-02-23T00:00:00"/>
    <s v="Valid"/>
    <b v="1"/>
    <b v="1"/>
    <d v="2026-02-12T00:00:00"/>
    <s v="4403183011"/>
    <s v="4403183011"/>
    <s v="4403183011"/>
    <s v="Valid"/>
    <s v="zchar@hotmail.com"/>
    <s v="Y"/>
    <n v="11506.98"/>
    <s v="Y"/>
    <n v="416"/>
    <n v="416"/>
    <s v="E11"/>
  </r>
  <r>
    <s v="P1694"/>
    <s v="Jayesh Lad"/>
    <s v="Jayesh Lad"/>
    <x v="0"/>
    <n v="24"/>
    <n v="24"/>
    <s v="Orthopedics"/>
    <s v="Orthopedics"/>
    <s v="Dr Mehta"/>
    <s v="Dr Mehta"/>
    <d v="2026-04-25T00:00:00"/>
    <s v="Valid"/>
    <b v="1"/>
    <b v="1"/>
    <d v="2026-04-20T00:00:00"/>
    <s v="2734392857"/>
    <s v="2734392857"/>
    <s v="2734392857"/>
    <s v="Valid"/>
    <s v="qgera@hotmail.com"/>
    <s v="NO"/>
    <n v="3099.55"/>
    <s v="NO"/>
    <n v="394"/>
    <n v="394"/>
    <s v="E11"/>
  </r>
  <r>
    <s v="P1695"/>
    <s v="Zaina Randhawa"/>
    <s v="Zaina Randhawa"/>
    <x v="3"/>
    <n v="34"/>
    <n v="34"/>
    <s v="ENT"/>
    <s v="ENT"/>
    <s v="Dr Mehta"/>
    <s v="Dr Mehta"/>
    <d v="2026-04-30T00:00:00"/>
    <s v="Valid"/>
    <b v="1"/>
    <b v="1"/>
    <d v="2026-04-24T00:00:00"/>
    <s v="9665441874"/>
    <s v="9665441874"/>
    <s v="9665441874"/>
    <s v="Valid"/>
    <s v="hirandube@gmail.com"/>
    <s v="Yes"/>
    <n v="16705.72"/>
    <s v="NO"/>
    <n v="175"/>
    <n v="175"/>
    <s v="J20"/>
  </r>
  <r>
    <s v="P1696"/>
    <s v="Samaira Chacko"/>
    <s v="Samaira Chacko"/>
    <x v="3"/>
    <n v="70"/>
    <n v="70"/>
    <s v="Orthopedics"/>
    <s v="Orthopedics"/>
    <s v="Dr. Sharma"/>
    <s v="Dr. Sharma"/>
    <d v="2026-03-21T00:00:00"/>
    <s v="Valid"/>
    <b v="1"/>
    <b v="1"/>
    <d v="2026-03-18T00:00:00"/>
    <s v="7085556926"/>
    <s v="7085556926"/>
    <s v="7085556926"/>
    <s v="Valid"/>
    <s v="lghose@hotmail.com"/>
    <s v="Yes"/>
    <n v="10233.15"/>
    <m/>
    <n v="493"/>
    <n v="493"/>
    <s v="E11"/>
  </r>
  <r>
    <s v="P1697"/>
    <s v="Rohan Koshy"/>
    <s v="Rohan Koshy"/>
    <x v="3"/>
    <n v="41"/>
    <n v="41"/>
    <s v="Orthopedics"/>
    <s v="Orthopedics"/>
    <s v="Dr Rao"/>
    <s v="Dr Rao"/>
    <d v="2026-02-15T00:00:00"/>
    <s v="Valid"/>
    <b v="1"/>
    <b v="1"/>
    <d v="2026-01-23T00:00:00"/>
    <s v="1405729456"/>
    <s v="1405729456"/>
    <s v="1405729456"/>
    <s v="Valid"/>
    <s v="chowdhuryyuvraj@yahoo.com"/>
    <s v="N"/>
    <n v="16251.65"/>
    <s v="Yes"/>
    <n v="342"/>
    <n v="342"/>
    <s v="J20"/>
  </r>
  <r>
    <s v="P1698"/>
    <s v="Kimaya Toor"/>
    <s v="Kimaya Toor"/>
    <x v="4"/>
    <n v="73"/>
    <n v="73"/>
    <s v="General Medicine"/>
    <s v="General Medicine"/>
    <s v="dr priya"/>
    <s v="Dr Priya"/>
    <d v="2026-05-19T00:00:00"/>
    <s v="Valid"/>
    <b v="1"/>
    <b v="1"/>
    <d v="2026-04-27T00:00:00"/>
    <s v="0343938875"/>
    <s v="0343938875"/>
    <s v="0343938875"/>
    <s v="Valid"/>
    <s v="nirvaan75@bhagat-banerjee.com"/>
    <s v="NO"/>
    <n v="18344.68"/>
    <s v="Yes"/>
    <n v="171"/>
    <n v="171"/>
    <s v="C34"/>
  </r>
  <r>
    <s v="P1699"/>
    <s v="Shalv Kar"/>
    <s v="Shalv Kar"/>
    <x v="2"/>
    <n v="40"/>
    <n v="40"/>
    <s v="Cardiology"/>
    <s v="Cardiology"/>
    <s v="dr priya"/>
    <s v="Dr Priya"/>
    <d v="2026-01-18T00:00:00"/>
    <s v="Valid"/>
    <b v="1"/>
    <b v="1"/>
    <d v="2025-12-30T00:00:00"/>
    <s v="04219171751"/>
    <s v="04219171751"/>
    <s v="4219171751"/>
    <s v="Valid"/>
    <s v="tara56@khare-anand.net"/>
    <s v="NO"/>
    <n v="11260.12"/>
    <s v="NO"/>
    <n v="267"/>
    <n v="267"/>
    <s v="I10"/>
  </r>
  <r>
    <s v="P1701"/>
    <s v="Sumer Bhakta"/>
    <s v="Sumer Bhakta"/>
    <x v="2"/>
    <n v="66"/>
    <n v="66"/>
    <s v="Dermatology"/>
    <s v="Dermatology"/>
    <s v="DR SHARMA"/>
    <s v="Dr Sharma"/>
    <d v="2026-03-15T00:00:00"/>
    <s v="Valid"/>
    <b v="1"/>
    <b v="1"/>
    <d v="2026-02-28T00:00:00"/>
    <s v="+913855111685"/>
    <s v="913855111685"/>
    <s v="3855111685"/>
    <s v="Valid"/>
    <s v="eanand@bhagat.com"/>
    <s v="N"/>
    <n v="15158.66"/>
    <s v="Yes"/>
    <n v="441"/>
    <n v="441"/>
    <s v="J20"/>
  </r>
  <r>
    <s v="P1702"/>
    <s v="Tarini Gaba"/>
    <s v="Tarini Gaba"/>
    <x v="1"/>
    <n v="19"/>
    <n v="19"/>
    <s v="Dermatology"/>
    <s v="Dermatology"/>
    <s v="dr priya"/>
    <s v="Dr Priya"/>
    <d v="2026-04-09T00:00:00"/>
    <s v="Valid"/>
    <b v="1"/>
    <b v="1"/>
    <d v="2026-03-28T00:00:00"/>
    <s v="0487868103"/>
    <s v="0487868103"/>
    <s v="0487868103"/>
    <s v="Valid"/>
    <s v="wableazad@gandhi-bhavsar.biz"/>
    <s v="N"/>
    <n v="502.33"/>
    <s v="NO"/>
    <n v="279"/>
    <n v="279"/>
    <s v="J20"/>
  </r>
  <r>
    <s v="P1703"/>
    <s v="Saira Kibe"/>
    <s v="Saira Kibe"/>
    <x v="3"/>
    <n v="72"/>
    <n v="72"/>
    <s v="Neurology"/>
    <s v="Neurology"/>
    <s v="DR SHARMA"/>
    <s v="Dr Sharma"/>
    <d v="2026-05-07T00:00:00"/>
    <s v="Valid"/>
    <b v="1"/>
    <b v="1"/>
    <d v="2026-04-14T00:00:00"/>
    <s v="2325321959"/>
    <s v="2325321959"/>
    <s v="2325321959"/>
    <s v="Valid"/>
    <s v="kaulaarna@hotmail.com"/>
    <m/>
    <n v="18589.89"/>
    <m/>
    <n v="511"/>
    <n v="511"/>
    <s v="M54"/>
  </r>
  <r>
    <s v="P1704"/>
    <s v="Charvi Datta"/>
    <s v="Charvi Datta"/>
    <x v="0"/>
    <n v="21"/>
    <n v="21"/>
    <s v="Dermatology"/>
    <s v="Dermatology"/>
    <s v="dr priya"/>
    <s v="Dr Priya"/>
    <d v="2026-02-27T00:00:00"/>
    <s v="Valid"/>
    <b v="1"/>
    <b v="1"/>
    <d v="2026-02-23T00:00:00"/>
    <s v="9855287115"/>
    <s v="9855287115"/>
    <s v="9855287115"/>
    <s v="Valid"/>
    <s v="ramanathanjayant@koshy-bath.com"/>
    <s v="NO"/>
    <n v="3762.25"/>
    <s v="Yes"/>
    <n v="343"/>
    <n v="343"/>
    <s v="K21"/>
  </r>
  <r>
    <s v="P1706"/>
    <s v="Urvi Chokshi"/>
    <s v="Urvi Chokshi"/>
    <x v="3"/>
    <n v="73"/>
    <n v="73"/>
    <s v="Orthopedics"/>
    <s v="Orthopedics"/>
    <s v="DR SHARMA"/>
    <s v="Dr Sharma"/>
    <d v="2026-02-25T00:00:00"/>
    <s v="Valid"/>
    <b v="1"/>
    <b v="1"/>
    <d v="2026-02-20T00:00:00"/>
    <s v="7740782055"/>
    <s v="7740782055"/>
    <s v="7740782055"/>
    <s v="Valid"/>
    <s v="sbail@chad-goel.com"/>
    <m/>
    <n v="7378.69"/>
    <m/>
    <n v="121"/>
    <n v="121"/>
    <s v="K21"/>
  </r>
  <r>
    <s v="P1707"/>
    <s v="Kabir Basak"/>
    <s v="Kabir Basak"/>
    <x v="0"/>
    <n v="75"/>
    <n v="75"/>
    <s v="Oncology"/>
    <s v="Oncology"/>
    <s v="Dr Khan"/>
    <s v="Dr Khan"/>
    <d v="2026-03-05T00:00:00"/>
    <s v="Valid"/>
    <b v="1"/>
    <b v="1"/>
    <d v="2026-02-16T00:00:00"/>
    <s v="09915727013"/>
    <s v="09915727013"/>
    <s v="9915727013"/>
    <s v="Valid"/>
    <s v="vihaanhans@sur-gole.com"/>
    <m/>
    <n v="5768.1"/>
    <s v="Yes"/>
    <n v="178"/>
    <n v="178"/>
    <s v="J20"/>
  </r>
  <r>
    <s v="P1708"/>
    <s v="Ojas Dutta"/>
    <s v="Ojas Dutta"/>
    <x v="0"/>
    <n v="82"/>
    <n v="82"/>
    <s v="General Medicine"/>
    <s v="General Medicine"/>
    <s v="Dr Mehta"/>
    <s v="Dr Mehta"/>
    <d v="2026-01-08T00:00:00"/>
    <s v="Valid"/>
    <b v="1"/>
    <b v="1"/>
    <d v="2025-12-19T00:00:00"/>
    <s v="01164203429"/>
    <s v="01164203429"/>
    <s v="1164203429"/>
    <s v="Valid"/>
    <s v="sgala@gmail.com"/>
    <s v="Y"/>
    <n v="10545.49"/>
    <m/>
    <n v="452"/>
    <n v="452"/>
    <s v="C34"/>
  </r>
  <r>
    <s v="P1709"/>
    <s v="Darshit Uppal"/>
    <s v="Darshit Uppal"/>
    <x v="5"/>
    <n v="4"/>
    <n v="4"/>
    <s v="Neurology"/>
    <s v="Neurology"/>
    <s v="Dr. Sharma"/>
    <s v="Dr. Sharma"/>
    <d v="2026-01-07T00:00:00"/>
    <s v="Valid"/>
    <b v="1"/>
    <b v="1"/>
    <d v="2025-12-23T00:00:00"/>
    <s v="06043227943"/>
    <s v="06043227943"/>
    <s v="6043227943"/>
    <s v="Valid"/>
    <s v="ravidhanuk@walla.com"/>
    <s v="NO"/>
    <n v="15052.5"/>
    <s v="NO"/>
    <n v="397"/>
    <n v="397"/>
    <s v="M54"/>
  </r>
  <r>
    <s v="P1710"/>
    <s v="Akarsh Balakrishnan"/>
    <s v="Akarsh Balakrishnan"/>
    <x v="1"/>
    <n v="34"/>
    <n v="34"/>
    <s v="General Medicine"/>
    <s v="General Medicine"/>
    <s v="Dr Mehta"/>
    <s v="Dr Mehta"/>
    <d v="2026-03-08T00:00:00"/>
    <s v="Valid"/>
    <b v="1"/>
    <b v="1"/>
    <d v="2026-02-25T00:00:00"/>
    <s v="+914145369146"/>
    <s v="914145369146"/>
    <s v="4145369146"/>
    <s v="Valid"/>
    <s v="tejassaha@hotmail.com"/>
    <s v="Yes"/>
    <n v="21162.95"/>
    <s v="Y"/>
    <n v="397"/>
    <n v="397"/>
    <s v="I10"/>
  </r>
  <r>
    <s v="P1711"/>
    <s v="Yakshit Bhasin"/>
    <s v="Yakshit Bhasin"/>
    <x v="4"/>
    <n v="41"/>
    <n v="41"/>
    <s v="General Medicine"/>
    <s v="General Medicine"/>
    <s v="Dr Mehta"/>
    <s v="Dr Mehta"/>
    <d v="2026-01-31T00:00:00"/>
    <s v="Valid"/>
    <b v="1"/>
    <b v="1"/>
    <d v="2026-01-20T00:00:00"/>
    <s v="+917872977699"/>
    <s v="917872977699"/>
    <s v="7872977699"/>
    <s v="Valid"/>
    <s v="parinaaz39@gmail.com"/>
    <s v="Yes"/>
    <n v="1511.63"/>
    <s v="NO"/>
    <n v="314"/>
    <n v="314"/>
    <s v="C34"/>
  </r>
  <r>
    <s v="P1712"/>
    <s v="Lagan Khurana"/>
    <s v="Lagan Khurana"/>
    <x v="2"/>
    <n v="7"/>
    <n v="7"/>
    <s v="Oncology"/>
    <s v="Oncology"/>
    <s v="Dr. Sharma"/>
    <s v="Dr. Sharma"/>
    <d v="2026-01-05T00:00:00"/>
    <s v="Valid"/>
    <b v="1"/>
    <b v="1"/>
    <d v="2025-12-20T00:00:00"/>
    <s v="6130740120"/>
    <s v="6130740120"/>
    <s v="6130740120"/>
    <s v="Valid"/>
    <s v="neysa06@gmail.com"/>
    <s v="NO"/>
    <n v="12943.89"/>
    <s v="Y"/>
    <n v="491"/>
    <n v="491"/>
    <s v="I10"/>
  </r>
  <r>
    <s v="P1713"/>
    <s v="Pari Bhargava"/>
    <s v="Pari Bhargava"/>
    <x v="4"/>
    <n v="70"/>
    <n v="70"/>
    <s v="ENT"/>
    <s v="ENT"/>
    <s v="dr priya"/>
    <s v="Dr Priya"/>
    <d v="2026-04-04T00:00:00"/>
    <s v="Valid"/>
    <b v="1"/>
    <b v="1"/>
    <d v="2026-03-09T00:00:00"/>
    <s v="07318984031"/>
    <s v="07318984031"/>
    <s v="7318984031"/>
    <s v="Valid"/>
    <s v="anahi11@tara.biz"/>
    <s v="Y"/>
    <n v="6932.18"/>
    <s v="NO"/>
    <n v="149"/>
    <n v="149"/>
    <s v="A09"/>
  </r>
  <r>
    <s v="P1714"/>
    <s v="Dishani Sha"/>
    <s v="Dishani Sha"/>
    <x v="2"/>
    <n v="19"/>
    <n v="19"/>
    <s v="Cardiology"/>
    <s v="Cardiology"/>
    <s v="Dr Mehta"/>
    <s v="Dr Mehta"/>
    <d v="2026-04-18T00:00:00"/>
    <s v="Valid"/>
    <b v="1"/>
    <b v="1"/>
    <d v="2026-04-02T00:00:00"/>
    <s v="+910040661721"/>
    <s v="910040661721"/>
    <s v="0040661721"/>
    <s v="Valid"/>
    <s v="emaharaj@johal-atwal.com"/>
    <s v="Y"/>
    <n v="9450.75"/>
    <m/>
    <n v="310"/>
    <n v="310"/>
    <s v="J20"/>
  </r>
  <r>
    <s v="P1715"/>
    <s v="Nehmat Wali"/>
    <s v="Nehmat Wali"/>
    <x v="4"/>
    <n v="14"/>
    <n v="14"/>
    <s v="Pediatrics"/>
    <s v="Pediatrics"/>
    <s v="Dr Mehta"/>
    <s v="Dr Mehta"/>
    <d v="2025-12-25T00:00:00"/>
    <s v="Valid"/>
    <b v="1"/>
    <b v="1"/>
    <d v="2025-12-09T00:00:00"/>
    <s v="02303767307"/>
    <s v="02303767307"/>
    <s v="2303767307"/>
    <s v="Valid"/>
    <s v="dhanuk90@hotmail.com"/>
    <s v="NO"/>
    <n v="20823.02"/>
    <s v="NO"/>
    <n v="313"/>
    <n v="313"/>
    <s v="M54"/>
  </r>
  <r>
    <s v="P1716"/>
    <s v="Gatik Savant"/>
    <s v="Gatik Savant"/>
    <x v="2"/>
    <n v="15"/>
    <n v="15"/>
    <s v="Orthopedics"/>
    <s v="Orthopedics"/>
    <s v="Dr Rao"/>
    <s v="Dr Rao"/>
    <d v="2025-12-23T00:00:00"/>
    <s v="Valid"/>
    <b v="1"/>
    <b v="1"/>
    <d v="2025-12-08T00:00:00"/>
    <s v="07923792081"/>
    <s v="07923792081"/>
    <s v="7923792081"/>
    <s v="Valid"/>
    <s v="vdhingra@hari-rout.com"/>
    <s v="N"/>
    <n v="7927.02"/>
    <s v="NO"/>
    <n v="171"/>
    <n v="171"/>
    <s v="K21"/>
  </r>
  <r>
    <s v="P1717"/>
    <s v="Vivaan Chaudhary"/>
    <s v="Vivaan Chaudhary"/>
    <x v="3"/>
    <n v="77"/>
    <n v="77"/>
    <s v="ENT"/>
    <s v="ENT"/>
    <s v="Dr Mehta"/>
    <s v="Dr Mehta"/>
    <d v="2026-03-26T00:00:00"/>
    <s v="Valid"/>
    <b v="1"/>
    <b v="1"/>
    <d v="2026-03-04T00:00:00"/>
    <s v="+917212205099"/>
    <s v="917212205099"/>
    <s v="7212205099"/>
    <s v="Valid"/>
    <s v="amiragrover@hotmail.com"/>
    <s v="Y"/>
    <n v="913.24"/>
    <s v="NO"/>
    <n v="213"/>
    <n v="213"/>
    <s v="E11"/>
  </r>
  <r>
    <s v="P1718"/>
    <s v="Samarth Deshmukh"/>
    <s v="Samarth Deshmukh"/>
    <x v="4"/>
    <n v="89"/>
    <n v="89"/>
    <s v="Pediatrics"/>
    <s v="Pediatrics"/>
    <s v="Dr. Sharma"/>
    <s v="Dr. Sharma"/>
    <d v="2026-02-16T00:00:00"/>
    <s v="Valid"/>
    <b v="1"/>
    <b v="1"/>
    <d v="2026-02-12T00:00:00"/>
    <s v="09754732185"/>
    <s v="09754732185"/>
    <s v="9754732185"/>
    <s v="Valid"/>
    <s v="gatik54@dhar.com"/>
    <s v="NO"/>
    <n v="3429.41"/>
    <s v="NO"/>
    <n v="317"/>
    <n v="317"/>
    <s v="C34"/>
  </r>
  <r>
    <s v="P1719"/>
    <s v="Hridaan Sridhar"/>
    <s v="Hridaan Sridhar"/>
    <x v="2"/>
    <n v="10"/>
    <n v="10"/>
    <s v="Cardiology"/>
    <s v="Cardiology"/>
    <s v="Dr Khan"/>
    <s v="Dr Khan"/>
    <d v="2026-03-03T00:00:00"/>
    <s v="Valid"/>
    <b v="1"/>
    <b v="1"/>
    <d v="2026-02-07T00:00:00"/>
    <s v="8680917150"/>
    <s v="8680917150"/>
    <s v="8680917150"/>
    <s v="Valid"/>
    <s v="dhillonprerak@raja.com"/>
    <m/>
    <n v="1254.42"/>
    <s v="NO"/>
    <n v="116"/>
    <n v="116"/>
    <s v="K21"/>
  </r>
  <r>
    <s v="P1720"/>
    <s v="  Krish Dubey "/>
    <s v="Krish Dubey"/>
    <x v="0"/>
    <n v="61"/>
    <n v="61"/>
    <s v="Neurology"/>
    <s v="Neurology"/>
    <s v="Dr. Sharma"/>
    <s v="Dr. Sharma"/>
    <d v="2026-02-23T00:00:00"/>
    <s v="Valid"/>
    <b v="1"/>
    <b v="1"/>
    <d v="2026-02-22T00:00:00"/>
    <s v="8832068803"/>
    <s v="8832068803"/>
    <s v="8832068803"/>
    <s v="Valid"/>
    <m/>
    <s v="NO"/>
    <n v="7680.82"/>
    <s v="Yes"/>
    <n v="486"/>
    <n v="486"/>
    <s v="I10"/>
  </r>
  <r>
    <s v="P1721"/>
    <s v="Sumer Kashyap"/>
    <s v="Sumer Kashyap"/>
    <x v="2"/>
    <n v="78"/>
    <n v="78"/>
    <s v="Pediatrics"/>
    <s v="Pediatrics"/>
    <s v="DR SHARMA"/>
    <s v="Dr Sharma"/>
    <d v="2026-01-16T00:00:00"/>
    <s v="Valid"/>
    <b v="1"/>
    <b v="1"/>
    <d v="2026-01-11T00:00:00"/>
    <s v="+913050153787"/>
    <s v="913050153787"/>
    <s v="3050153787"/>
    <s v="Valid"/>
    <s v="jayant05@kanda.com"/>
    <s v="N"/>
    <n v="925.63"/>
    <s v="Y"/>
    <n v="533"/>
    <n v="533"/>
    <s v="C34"/>
  </r>
  <r>
    <s v="P1722"/>
    <s v="Nirvaan Mannan"/>
    <s v="Nirvaan Mannan"/>
    <x v="0"/>
    <n v="75"/>
    <n v="75"/>
    <s v="ENT"/>
    <s v="ENT"/>
    <s v="dr priya"/>
    <s v="Dr Priya"/>
    <d v="2026-04-06T00:00:00"/>
    <s v="Valid"/>
    <b v="1"/>
    <b v="1"/>
    <d v="2026-04-01T00:00:00"/>
    <s v="+916462288350"/>
    <s v="916462288350"/>
    <s v="6462288350"/>
    <s v="Valid"/>
    <s v="mamootyraval@chakrabarti.org"/>
    <s v="NO"/>
    <n v="12721.75"/>
    <s v="NO"/>
    <n v="150"/>
    <n v="150"/>
    <s v="K21"/>
  </r>
  <r>
    <s v="P1723"/>
    <s v="Anvi Bora"/>
    <s v="Anvi Bora"/>
    <x v="0"/>
    <n v="68"/>
    <n v="68"/>
    <s v="Pediatrics"/>
    <s v="Pediatrics"/>
    <s v="DR SHARMA"/>
    <s v="Dr Sharma"/>
    <d v="2025-12-31T00:00:00"/>
    <s v="Valid"/>
    <b v="1"/>
    <b v="1"/>
    <d v="2025-12-01T00:00:00"/>
    <s v="+912111173773"/>
    <s v="912111173773"/>
    <s v="2111173773"/>
    <s v="Valid"/>
    <s v="chiragamble@gmail.com"/>
    <s v="Y"/>
    <n v="4459.9799999999996"/>
    <s v="Yes"/>
    <n v="471"/>
    <n v="471"/>
    <s v="I10"/>
  </r>
  <r>
    <s v="P1724"/>
    <s v="Saksham Rajan"/>
    <s v="Saksham Rajan"/>
    <x v="5"/>
    <n v="65"/>
    <n v="65"/>
    <s v="General Medicine"/>
    <s v="General Medicine"/>
    <s v="dr priya"/>
    <s v="Dr Priya"/>
    <d v="2026-01-04T00:00:00"/>
    <s v="Valid"/>
    <b v="1"/>
    <b v="1"/>
    <d v="2025-12-13T00:00:00"/>
    <s v="03511359787"/>
    <s v="03511359787"/>
    <s v="3511359787"/>
    <s v="Valid"/>
    <s v="rohan48@sarkar.com"/>
    <s v="Yes"/>
    <n v="11103.71"/>
    <s v="NO"/>
    <n v="192"/>
    <n v="192"/>
    <s v="K21"/>
  </r>
  <r>
    <s v="P1725"/>
    <s v="Divij Gara"/>
    <s v="Divij Gara"/>
    <x v="2"/>
    <n v="49"/>
    <n v="49"/>
    <s v="Dermatology"/>
    <s v="Dermatology"/>
    <s v="DR SHARMA"/>
    <s v="Dr Sharma"/>
    <d v="2025-12-07T00:00:00"/>
    <s v="Valid"/>
    <b v="1"/>
    <b v="1"/>
    <d v="2025-11-21T00:00:00"/>
    <s v="12345"/>
    <s v="12345"/>
    <s v="12345"/>
    <s v="Valid"/>
    <s v="apteanahita@gmail.com"/>
    <s v="NO"/>
    <n v="10307.93"/>
    <s v="NO"/>
    <n v="163"/>
    <n v="163"/>
    <s v="M54"/>
  </r>
  <r>
    <s v="P1726"/>
    <s v="Stuvan Batra"/>
    <s v="Stuvan Batra"/>
    <x v="2"/>
    <n v="67"/>
    <n v="67"/>
    <s v="Orthopedics"/>
    <s v="Orthopedics"/>
    <s v="Dr Khan"/>
    <s v="Dr Khan"/>
    <d v="2026-03-18T00:00:00"/>
    <s v="Valid"/>
    <b v="1"/>
    <b v="1"/>
    <d v="2026-02-22T00:00:00"/>
    <s v="1070769903"/>
    <s v="1070769903"/>
    <s v="1070769903"/>
    <s v="Valid"/>
    <s v="kaira10@gmail.com"/>
    <s v="N"/>
    <n v="17677.330000000002"/>
    <s v="Yes"/>
    <n v="142"/>
    <n v="142"/>
    <s v="J20"/>
  </r>
  <r>
    <s v="P1727"/>
    <s v="Drishya Zacharia"/>
    <s v="Drishya Zacharia"/>
    <x v="3"/>
    <n v="15"/>
    <n v="15"/>
    <s v="Dermatology"/>
    <s v="Dermatology"/>
    <s v="Dr. Sharma"/>
    <s v="Dr. Sharma"/>
    <d v="2026-04-22T00:00:00"/>
    <s v="Valid"/>
    <b v="1"/>
    <b v="1"/>
    <d v="2026-04-08T00:00:00"/>
    <s v="+916001614661"/>
    <s v="916001614661"/>
    <s v="6001614661"/>
    <s v="Valid"/>
    <s v="sarkarkeya@yahoo.com"/>
    <s v="Y"/>
    <n v="17238.75"/>
    <m/>
    <n v="215"/>
    <n v="215"/>
    <s v="A09"/>
  </r>
  <r>
    <s v="P1728"/>
    <s v="Rohan Chand"/>
    <s v="Rohan Chand"/>
    <x v="1"/>
    <n v="38"/>
    <n v="38"/>
    <s v="Dermatology"/>
    <s v="Dermatology"/>
    <s v="DR SHARMA"/>
    <s v="Dr Sharma"/>
    <d v="2025-12-25T00:00:00"/>
    <s v="Valid"/>
    <b v="1"/>
    <b v="1"/>
    <d v="2025-11-28T00:00:00"/>
    <s v="08244066523"/>
    <s v="08244066523"/>
    <s v="8244066523"/>
    <s v="Valid"/>
    <s v="karavedika@mall.info"/>
    <s v="NO"/>
    <n v="22389.919999999998"/>
    <m/>
    <n v="447"/>
    <n v="447"/>
    <s v="J20"/>
  </r>
  <r>
    <s v="P1729"/>
    <s v="Hunar Ranganathan"/>
    <s v="Hunar Ranganathan"/>
    <x v="4"/>
    <n v="2"/>
    <n v="2"/>
    <s v="General Medicine"/>
    <s v="General Medicine"/>
    <s v="Dr Mehta"/>
    <s v="Dr Mehta"/>
    <d v="2026-05-10T00:00:00"/>
    <s v="Valid"/>
    <b v="1"/>
    <b v="1"/>
    <d v="2026-04-28T00:00:00"/>
    <s v="03891332697"/>
    <s v="03891332697"/>
    <s v="3891332697"/>
    <s v="Valid"/>
    <s v="johalsamaira@halder.net"/>
    <m/>
    <n v="13162.03"/>
    <s v="NO"/>
    <n v="161"/>
    <n v="161"/>
    <s v="E11"/>
  </r>
  <r>
    <s v="P1730"/>
    <s v="Seher Sathe"/>
    <s v="Seher Sathe"/>
    <x v="1"/>
    <n v="52"/>
    <n v="52"/>
    <s v="Neurology"/>
    <s v="Neurology"/>
    <s v="Dr Mehta"/>
    <s v="Dr Mehta"/>
    <d v="2025-12-25T00:00:00"/>
    <s v="Valid"/>
    <b v="1"/>
    <b v="1"/>
    <d v="2025-12-23T00:00:00"/>
    <s v="01823613679"/>
    <s v="01823613679"/>
    <s v="1823613679"/>
    <s v="Valid"/>
    <s v="farhankorpal@hotmail.com"/>
    <s v="N"/>
    <n v="24385.15"/>
    <s v="NO"/>
    <n v="202"/>
    <n v="202"/>
    <s v="A09"/>
  </r>
  <r>
    <s v="P1731"/>
    <s v="Vaibhav Aurora"/>
    <s v="Vaibhav Aurora"/>
    <x v="1"/>
    <n v="16"/>
    <n v="16"/>
    <s v="Pediatrics"/>
    <s v="Pediatrics"/>
    <s v="dr priya"/>
    <s v="Dr Priya"/>
    <d v="2026-04-06T00:00:00"/>
    <s v="Valid"/>
    <b v="1"/>
    <b v="1"/>
    <d v="2026-03-14T00:00:00"/>
    <s v="5447994639"/>
    <s v="5447994639"/>
    <s v="5447994639"/>
    <s v="Valid"/>
    <s v="nitya91@varkey.com"/>
    <m/>
    <n v="7107.25"/>
    <s v="Yes"/>
    <n v="487"/>
    <n v="487"/>
    <s v="K21"/>
  </r>
  <r>
    <s v="P1732"/>
    <s v="Sumer Arora"/>
    <s v="Sumer Arora"/>
    <x v="1"/>
    <n v="46"/>
    <n v="46"/>
    <s v="General Medicine"/>
    <s v="General Medicine"/>
    <s v="dr priya"/>
    <s v="Dr Priya"/>
    <d v="2026-03-03T00:00:00"/>
    <s v="Valid"/>
    <b v="1"/>
    <b v="1"/>
    <d v="2026-02-16T00:00:00"/>
    <s v="8709371704"/>
    <s v="8709371704"/>
    <s v="8709371704"/>
    <s v="Valid"/>
    <s v="kabir42@hotmail.com"/>
    <s v="Y"/>
    <n v="3854.88"/>
    <m/>
    <n v="155"/>
    <n v="155"/>
    <s v="I10"/>
  </r>
  <r>
    <s v="P1733"/>
    <s v="Myra Gour"/>
    <s v="Myra Gour"/>
    <x v="0"/>
    <n v="63"/>
    <n v="63"/>
    <s v="General Medicine"/>
    <s v="General Medicine"/>
    <s v="DR SHARMA"/>
    <s v="Dr Sharma"/>
    <d v="2026-05-19T00:00:00"/>
    <s v="Valid"/>
    <b v="1"/>
    <b v="1"/>
    <d v="2026-04-29T00:00:00"/>
    <s v="+911669214430"/>
    <s v="911669214430"/>
    <s v="1669214430"/>
    <s v="Valid"/>
    <s v="kalarania@hotmail.com"/>
    <s v="Yes"/>
    <n v="937.14"/>
    <s v="Yes"/>
    <n v="525"/>
    <n v="525"/>
    <s v="I10"/>
  </r>
  <r>
    <s v="P1734"/>
    <s v="Badal Soni"/>
    <s v="Badal Soni"/>
    <x v="3"/>
    <n v="87"/>
    <n v="87"/>
    <s v="Cardiology"/>
    <s v="Cardiology"/>
    <s v="Dr Mehta"/>
    <s v="Dr Mehta"/>
    <d v="2026-03-23T00:00:00"/>
    <s v="Valid"/>
    <b v="1"/>
    <b v="1"/>
    <d v="2026-03-11T00:00:00"/>
    <s v="+919650815418"/>
    <s v="919650815418"/>
    <s v="9650815418"/>
    <s v="Valid"/>
    <s v="ranbirgopal@hotmail.com"/>
    <s v="N"/>
    <n v="3987.87"/>
    <s v="NO"/>
    <n v="489"/>
    <n v="489"/>
    <s v="I10"/>
  </r>
  <r>
    <s v="P1735"/>
    <s v="Miraya Walia"/>
    <s v="Miraya Walia"/>
    <x v="3"/>
    <n v="60"/>
    <n v="60"/>
    <s v="Pediatrics"/>
    <s v="Pediatrics"/>
    <s v="Dr. Sharma"/>
    <s v="Dr. Sharma"/>
    <d v="2026-04-04T00:00:00"/>
    <s v="Valid"/>
    <b v="1"/>
    <b v="1"/>
    <d v="2026-03-14T00:00:00"/>
    <s v="09759993293"/>
    <s v="09759993293"/>
    <s v="9759993293"/>
    <s v="Valid"/>
    <s v="yuvaan33@yahoo.com"/>
    <m/>
    <n v="12358.21"/>
    <s v="Yes"/>
    <n v="377"/>
    <n v="377"/>
    <s v="J20"/>
  </r>
  <r>
    <s v="P1736"/>
    <s v="Kaira Swamy"/>
    <s v="Kaira Swamy"/>
    <x v="0"/>
    <n v="5"/>
    <n v="5"/>
    <s v="Dermatology"/>
    <s v="Dermatology"/>
    <s v="Dr Mehta"/>
    <s v="Dr Mehta"/>
    <d v="2026-05-10T00:00:00"/>
    <s v="Valid"/>
    <b v="1"/>
    <b v="1"/>
    <d v="2026-04-28T00:00:00"/>
    <s v="7291193100"/>
    <s v="7291193100"/>
    <s v="7291193100"/>
    <s v="Valid"/>
    <s v="ishitadyal@jain.net"/>
    <m/>
    <n v="8001.07"/>
    <m/>
    <n v="326"/>
    <n v="326"/>
    <s v="M54"/>
  </r>
  <r>
    <s v="P1737"/>
    <s v="Pari Kaur"/>
    <s v="Pari Kaur"/>
    <x v="0"/>
    <n v="5"/>
    <n v="5"/>
    <s v="Orthopedics"/>
    <s v="Orthopedics"/>
    <s v="Dr. Sharma"/>
    <s v="Dr. Sharma"/>
    <d v="2025-12-28T00:00:00"/>
    <s v="Valid"/>
    <b v="1"/>
    <b v="1"/>
    <d v="2025-11-30T00:00:00"/>
    <s v="07369657689"/>
    <s v="07369657689"/>
    <s v="7369657689"/>
    <s v="Valid"/>
    <s v="myra21@shetty.com"/>
    <s v="Yes"/>
    <n v="12388.69"/>
    <s v="Y"/>
    <n v="259"/>
    <n v="259"/>
    <s v="C34"/>
  </r>
  <r>
    <s v="P1738"/>
    <s v="Ela Goel"/>
    <s v="Ela Goel"/>
    <x v="1"/>
    <n v="63"/>
    <n v="63"/>
    <s v="Neurology"/>
    <s v="Neurology"/>
    <s v="Dr Khan"/>
    <s v="Dr Khan"/>
    <d v="2025-12-06T00:00:00"/>
    <s v="Valid"/>
    <b v="1"/>
    <b v="1"/>
    <d v="2025-11-15T00:00:00"/>
    <s v="01575571698"/>
    <s v="01575571698"/>
    <s v="1575571698"/>
    <s v="Valid"/>
    <s v="ojas23@ahluwalia.biz"/>
    <m/>
    <n v="12002.59"/>
    <s v="Y"/>
    <n v="359"/>
    <n v="359"/>
    <s v="I10"/>
  </r>
  <r>
    <s v="P1739"/>
    <s v="Miraya Sheth"/>
    <s v="Miraya Sheth"/>
    <x v="1"/>
    <n v="34"/>
    <n v="34"/>
    <s v="General Medicine"/>
    <s v="General Medicine"/>
    <s v="dr priya"/>
    <s v="Dr Priya"/>
    <d v="2026-01-20T00:00:00"/>
    <s v="Valid"/>
    <b v="1"/>
    <b v="1"/>
    <d v="2026-01-01T00:00:00"/>
    <s v="+911083778454"/>
    <s v="911083778454"/>
    <s v="1083778454"/>
    <s v="Valid"/>
    <s v="emirde@kulkarni.com"/>
    <s v="N"/>
    <n v="19208.48"/>
    <s v="Yes"/>
    <n v="264"/>
    <n v="264"/>
    <s v="I10"/>
  </r>
  <r>
    <s v="P1740"/>
    <s v="Aarush Grover"/>
    <s v="Aarush Grover"/>
    <x v="0"/>
    <n v="76"/>
    <n v="76"/>
    <s v="Cardiology"/>
    <s v="Cardiology"/>
    <s v="Dr Mehta"/>
    <s v="Dr Mehta"/>
    <d v="2026-03-24T00:00:00"/>
    <s v="Valid"/>
    <b v="1"/>
    <b v="1"/>
    <d v="2026-02-26T00:00:00"/>
    <s v="+913916742222"/>
    <s v="913916742222"/>
    <s v="3916742222"/>
    <s v="Valid"/>
    <s v="nirviagrawal@gmail.com"/>
    <s v="N"/>
    <n v="8852.14"/>
    <s v="Yes"/>
    <n v="491"/>
    <n v="491"/>
    <s v="C34"/>
  </r>
  <r>
    <s v="P1741"/>
    <s v="Saanvi Gade"/>
    <s v="Saanvi Gade"/>
    <x v="2"/>
    <n v="49"/>
    <n v="49"/>
    <s v="Neurology"/>
    <s v="Neurology"/>
    <s v="dr priya"/>
    <s v="Dr Priya"/>
    <d v="2025-12-25T00:00:00"/>
    <s v="Valid"/>
    <b v="1"/>
    <b v="1"/>
    <d v="2025-12-14T00:00:00"/>
    <s v="00353123416"/>
    <s v="00353123416"/>
    <s v="0353123416"/>
    <s v="Valid"/>
    <s v="sbaria@gmail.com"/>
    <s v="N"/>
    <n v="10415.85"/>
    <s v="Yes"/>
    <n v="438"/>
    <n v="438"/>
    <s v="E11"/>
  </r>
  <r>
    <s v="P1742"/>
    <s v="Navya Roy"/>
    <s v="Navya Roy"/>
    <x v="5"/>
    <n v="31"/>
    <n v="31"/>
    <s v="Oncology"/>
    <s v="Oncology"/>
    <s v="Dr Mehta"/>
    <s v="Dr Mehta"/>
    <d v="2026-01-05T00:00:00"/>
    <s v="Valid"/>
    <b v="1"/>
    <b v="1"/>
    <d v="2025-12-07T00:00:00"/>
    <s v="9436398484"/>
    <s v="9436398484"/>
    <s v="9436398484"/>
    <s v="Valid"/>
    <s v="yuvraj-63@vasa.net"/>
    <s v="NO"/>
    <n v="21749.71"/>
    <s v="NO"/>
    <n v="272"/>
    <n v="272"/>
    <s v="E11"/>
  </r>
  <r>
    <s v="P1743"/>
    <s v="Indrans Chana"/>
    <s v="Indrans Chana"/>
    <x v="0"/>
    <n v="69"/>
    <n v="69"/>
    <s v="ENT"/>
    <s v="ENT"/>
    <s v="Dr Rao"/>
    <s v="Dr Rao"/>
    <d v="2026-04-21T00:00:00"/>
    <s v="Valid"/>
    <b v="1"/>
    <b v="1"/>
    <d v="2026-04-07T00:00:00"/>
    <s v="5412693673"/>
    <s v="5412693673"/>
    <s v="5412693673"/>
    <s v="Valid"/>
    <s v="dkhurana@kadakia-mand.net"/>
    <m/>
    <n v="14287.63"/>
    <m/>
    <n v="236"/>
    <n v="236"/>
    <s v="I10"/>
  </r>
  <r>
    <s v="P1744"/>
    <s v="Yashvi Master"/>
    <s v="Yashvi Master"/>
    <x v="3"/>
    <n v="76"/>
    <n v="76"/>
    <s v="Cardiology"/>
    <s v="Cardiology"/>
    <s v="dr priya"/>
    <s v="Dr Priya"/>
    <d v="2025-11-29T00:00:00"/>
    <s v="Valid"/>
    <b v="1"/>
    <b v="1"/>
    <d v="2025-11-17T00:00:00"/>
    <s v="5452965840"/>
    <s v="5452965840"/>
    <s v="5452965840"/>
    <s v="Valid"/>
    <s v="myra68@hotmail.com"/>
    <m/>
    <n v="8196.0499999999993"/>
    <s v="NO"/>
    <n v="513"/>
    <n v="513"/>
    <s v="M54"/>
  </r>
  <r>
    <s v="P1745"/>
    <s v="Adah Chowdhury"/>
    <s v="Adah Chowdhury"/>
    <x v="2"/>
    <n v="89"/>
    <n v="89"/>
    <s v="Pediatrics"/>
    <s v="Pediatrics"/>
    <s v="dr priya"/>
    <s v="Dr Priya"/>
    <d v="2026-02-20T00:00:00"/>
    <s v="Valid"/>
    <b v="1"/>
    <b v="1"/>
    <d v="2026-02-05T00:00:00"/>
    <s v="+914786757377"/>
    <s v="914786757377"/>
    <s v="4786757377"/>
    <s v="Valid"/>
    <s v="samrakaira@bhalla-singhal.com"/>
    <s v="N"/>
    <n v="4332.3599999999997"/>
    <s v="Yes"/>
    <n v="286"/>
    <n v="286"/>
    <s v="M54"/>
  </r>
  <r>
    <s v="P1746"/>
    <s v="Lakshit Mallick"/>
    <s v="Lakshit Mallick"/>
    <x v="5"/>
    <n v="64"/>
    <n v="64"/>
    <s v="Neurology"/>
    <s v="Neurology"/>
    <s v="DR SHARMA"/>
    <s v="Dr Sharma"/>
    <d v="2025-12-12T00:00:00"/>
    <s v="Valid"/>
    <b v="1"/>
    <b v="1"/>
    <d v="2025-12-03T00:00:00"/>
    <s v="+911063992343"/>
    <s v="911063992343"/>
    <s v="1063992343"/>
    <s v="Valid"/>
    <s v="mohanlalmander@guha.org"/>
    <s v="Y"/>
    <n v="1378.78"/>
    <m/>
    <n v="511"/>
    <n v="511"/>
    <s v="E11"/>
  </r>
  <r>
    <s v="P1747"/>
    <s v="Renee Keer"/>
    <s v="Renee Keer"/>
    <x v="2"/>
    <n v="75"/>
    <n v="75"/>
    <s v="Neurology"/>
    <s v="Neurology"/>
    <s v="dr priya"/>
    <s v="Dr Priya"/>
    <d v="2026-01-02T00:00:00"/>
    <s v="Valid"/>
    <b v="1"/>
    <b v="1"/>
    <d v="2025-12-25T00:00:00"/>
    <s v="07991313219"/>
    <s v="07991313219"/>
    <s v="7991313219"/>
    <s v="Valid"/>
    <s v="lakshitrout@gmail.com"/>
    <s v="NO"/>
    <n v="14247.42"/>
    <m/>
    <n v="318"/>
    <n v="318"/>
    <s v="E11"/>
  </r>
  <r>
    <s v="P1748"/>
    <s v="Eva Gera"/>
    <s v="Eva Gera"/>
    <x v="2"/>
    <n v="10"/>
    <n v="10"/>
    <s v="Oncology"/>
    <s v="Oncology"/>
    <s v="Dr. Sharma"/>
    <s v="Dr. Sharma"/>
    <d v="2025-12-16T00:00:00"/>
    <s v="Valid"/>
    <b v="1"/>
    <b v="1"/>
    <d v="2025-12-03T00:00:00"/>
    <s v="3945363161"/>
    <s v="3945363161"/>
    <s v="3945363161"/>
    <s v="Valid"/>
    <s v="zchoudhury@yahoo.com"/>
    <s v="N"/>
    <n v="5161.91"/>
    <m/>
    <n v="228"/>
    <n v="228"/>
    <s v="A09"/>
  </r>
  <r>
    <s v="P1749"/>
    <s v="Indranil Ahuja"/>
    <s v="Indranil Ahuja"/>
    <x v="3"/>
    <n v="86"/>
    <n v="86"/>
    <s v="Orthopedics"/>
    <s v="Orthopedics"/>
    <s v="Dr Rao"/>
    <s v="Dr Rao"/>
    <d v="2026-01-13T00:00:00"/>
    <s v="Valid"/>
    <b v="1"/>
    <b v="1"/>
    <d v="2025-12-24T00:00:00"/>
    <s v="02120981155"/>
    <s v="02120981155"/>
    <s v="2120981155"/>
    <s v="Valid"/>
    <s v="kvala@gmail.com"/>
    <s v="Yes"/>
    <n v="14505.71"/>
    <s v="N"/>
    <n v="438"/>
    <n v="438"/>
    <s v="K21"/>
  </r>
  <r>
    <s v="P1750"/>
    <s v="Yasmin Zachariah"/>
    <s v="Yasmin Zachariah"/>
    <x v="3"/>
    <n v="35"/>
    <n v="35"/>
    <s v="Dermatology"/>
    <s v="Dermatology"/>
    <s v="Dr Rao"/>
    <s v="Dr Rao"/>
    <d v="2026-04-22T00:00:00"/>
    <s v="Valid"/>
    <b v="1"/>
    <b v="1"/>
    <d v="2026-04-06T00:00:00"/>
    <s v="4008751178"/>
    <s v="4008751178"/>
    <s v="4008751178"/>
    <s v="Valid"/>
    <s v="zhalder@gmail.com"/>
    <s v="NO"/>
    <n v="9234.01"/>
    <s v="Y"/>
    <n v="223"/>
    <n v="223"/>
    <s v="E11"/>
  </r>
  <r>
    <s v="P1751"/>
    <s v="Aarav Barman"/>
    <s v="Aarav Barman"/>
    <x v="0"/>
    <n v="56"/>
    <n v="56"/>
    <s v="Dermatology"/>
    <s v="Dermatology"/>
    <s v="dr priya"/>
    <s v="Dr Priya"/>
    <d v="2026-02-27T00:00:00"/>
    <s v="Valid"/>
    <b v="1"/>
    <b v="1"/>
    <d v="2026-01-31T00:00:00"/>
    <s v="02049113694"/>
    <s v="02049113694"/>
    <s v="2049113694"/>
    <s v="Valid"/>
    <s v="bahlparinaaz@tara.com"/>
    <s v="NO"/>
    <n v="15921.4"/>
    <m/>
    <n v="236"/>
    <n v="236"/>
    <s v="K21"/>
  </r>
  <r>
    <s v="P1752"/>
    <s v="Ivana Kashyap"/>
    <s v="Ivana Kashyap"/>
    <x v="0"/>
    <n v="83"/>
    <n v="83"/>
    <s v="Orthopedics"/>
    <s v="Orthopedics"/>
    <s v="Dr. Sharma"/>
    <s v="Dr. Sharma"/>
    <d v="2025-12-07T00:00:00"/>
    <s v="Valid"/>
    <b v="1"/>
    <b v="1"/>
    <d v="2025-11-16T00:00:00"/>
    <s v="7234198105"/>
    <s v="7234198105"/>
    <s v="7234198105"/>
    <s v="Valid"/>
    <s v="ivohra@chaudhuri-gera.com"/>
    <s v="NO"/>
    <n v="10265.48"/>
    <s v="NO"/>
    <n v="176"/>
    <n v="176"/>
    <s v="E11"/>
  </r>
  <r>
    <s v="P1753"/>
    <s v="Tara Bahri"/>
    <s v="Tara Bahri"/>
    <x v="0"/>
    <n v="32"/>
    <n v="32"/>
    <s v="Oncology"/>
    <s v="Oncology"/>
    <s v="Dr Khan"/>
    <s v="Dr Khan"/>
    <d v="2026-04-17T00:00:00"/>
    <s v="Valid"/>
    <b v="1"/>
    <b v="1"/>
    <d v="2026-04-02T00:00:00"/>
    <s v="4512992343"/>
    <s v="4512992343"/>
    <s v="4512992343"/>
    <s v="Valid"/>
    <s v="bediyakshit@yahoo.com"/>
    <m/>
    <n v="10666.07"/>
    <s v="Yes"/>
    <n v="203"/>
    <n v="203"/>
    <s v="E11"/>
  </r>
  <r>
    <s v="P1754"/>
    <s v="Anya Bahri"/>
    <s v="Anya Bahri"/>
    <x v="0"/>
    <n v="18"/>
    <n v="18"/>
    <s v="Cardiology"/>
    <s v="Cardiology"/>
    <s v="Dr. Sharma"/>
    <s v="Dr. Sharma"/>
    <d v="2025-12-18T00:00:00"/>
    <s v="Valid"/>
    <b v="1"/>
    <b v="1"/>
    <d v="2025-11-23T00:00:00"/>
    <s v="1129240311"/>
    <s v="1129240311"/>
    <s v="1129240311"/>
    <s v="Valid"/>
    <s v="egulati@yahoo.com"/>
    <s v="Y"/>
    <n v="16535.03"/>
    <s v="Y"/>
    <n v="429"/>
    <n v="429"/>
    <s v="K21"/>
  </r>
  <r>
    <s v="P1755"/>
    <s v="Kavya Kibe"/>
    <s v="Kavya Kibe"/>
    <x v="0"/>
    <n v="63"/>
    <n v="63"/>
    <s v="Cardiology"/>
    <s v="Cardiology"/>
    <s v="Dr Rao"/>
    <s v="Dr Rao"/>
    <d v="2026-05-31T00:00:00"/>
    <s v="Valid"/>
    <b v="1"/>
    <b v="1"/>
    <d v="2026-05-04T00:00:00"/>
    <s v="02050131840"/>
    <s v="02050131840"/>
    <s v="2050131840"/>
    <s v="Valid"/>
    <s v="pjani@hotmail.com"/>
    <s v="NO"/>
    <n v="7984.84"/>
    <s v="Yes"/>
    <n v="543"/>
    <n v="543"/>
    <s v="I10"/>
  </r>
  <r>
    <s v="P1756"/>
    <s v="Samar Rajan"/>
    <s v="Samar Rajan"/>
    <x v="1"/>
    <n v="47"/>
    <n v="47"/>
    <s v="Neurology"/>
    <s v="Neurology"/>
    <s v="dr priya"/>
    <s v="Dr Priya"/>
    <d v="2025-12-21T00:00:00"/>
    <s v="Valid"/>
    <b v="1"/>
    <b v="1"/>
    <d v="2025-11-21T00:00:00"/>
    <s v="+919816934830"/>
    <s v="919816934830"/>
    <s v="9816934830"/>
    <s v="Valid"/>
    <s v="yakshit78@yahoo.com"/>
    <s v="Yes"/>
    <n v="6053.82"/>
    <s v="NO"/>
    <n v="367"/>
    <n v="367"/>
    <s v="C34"/>
  </r>
  <r>
    <s v="P1757"/>
    <s v="Alia Sarkar"/>
    <s v="Alia Sarkar"/>
    <x v="0"/>
    <n v="64"/>
    <n v="64"/>
    <s v="Neurology"/>
    <s v="Neurology"/>
    <s v="DR SHARMA"/>
    <s v="Dr Sharma"/>
    <d v="2026-01-11T00:00:00"/>
    <s v="Valid"/>
    <b v="1"/>
    <b v="1"/>
    <d v="2025-12-23T00:00:00"/>
    <s v="2418864620"/>
    <s v="2418864620"/>
    <s v="2418864620"/>
    <s v="Valid"/>
    <s v="ojas13@gmail.com"/>
    <s v="NO"/>
    <n v="19375.13"/>
    <s v="NO"/>
    <n v="268"/>
    <n v="268"/>
    <s v="K21"/>
  </r>
  <r>
    <s v="P1758"/>
    <s v="Jayant Gera"/>
    <s v="Jayant Gera"/>
    <x v="1"/>
    <n v="31"/>
    <n v="31"/>
    <s v="Dermatology"/>
    <s v="Dermatology"/>
    <s v="DR SHARMA"/>
    <s v="Dr Sharma"/>
    <d v="2025-12-25T00:00:00"/>
    <s v="Valid"/>
    <b v="1"/>
    <b v="1"/>
    <d v="2025-12-21T00:00:00"/>
    <s v="+911668137245"/>
    <s v="911668137245"/>
    <s v="1668137245"/>
    <s v="Valid"/>
    <s v="oratti@shukla.info"/>
    <s v="NO"/>
    <n v="4543.83"/>
    <s v="Yes"/>
    <n v="325"/>
    <n v="325"/>
    <s v="M54"/>
  </r>
  <r>
    <s v="P1759"/>
    <s v="Jayesh Bassi"/>
    <s v="Jayesh Bassi"/>
    <x v="0"/>
    <n v="76"/>
    <n v="76"/>
    <s v="Cardiology"/>
    <s v="Cardiology"/>
    <s v="Dr Khan"/>
    <s v="Dr Khan"/>
    <d v="2026-02-17T00:00:00"/>
    <s v="Valid"/>
    <b v="1"/>
    <b v="1"/>
    <d v="2026-01-31T00:00:00"/>
    <s v="3423302956"/>
    <s v="3423302956"/>
    <s v="3423302956"/>
    <s v="Valid"/>
    <s v="bahrijiya@gmail.com"/>
    <s v="N"/>
    <n v="17550.52"/>
    <s v="NO"/>
    <n v="262"/>
    <n v="262"/>
    <s v="A09"/>
  </r>
  <r>
    <s v="P1760"/>
    <s v="Jivin Raval"/>
    <s v="Jivin Raval"/>
    <x v="1"/>
    <n v="61"/>
    <n v="61"/>
    <s v="Pediatrics"/>
    <s v="Pediatrics"/>
    <s v="Dr. Sharma"/>
    <s v="Dr. Sharma"/>
    <d v="2026-03-06T00:00:00"/>
    <s v="Valid"/>
    <b v="1"/>
    <b v="1"/>
    <d v="2026-02-06T00:00:00"/>
    <s v="01404233654"/>
    <s v="01404233654"/>
    <s v="1404233654"/>
    <s v="Valid"/>
    <s v="balitejas@khanna.net"/>
    <s v="Yes"/>
    <n v="9202.35"/>
    <s v="NO"/>
    <n v="520"/>
    <n v="520"/>
    <s v="J20"/>
  </r>
  <r>
    <s v="P1761"/>
    <s v="Rania Bora"/>
    <s v="Rania Bora"/>
    <x v="0"/>
    <n v="83"/>
    <n v="83"/>
    <s v="Cardiology"/>
    <s v="Cardiology"/>
    <s v="Dr Rao"/>
    <s v="Dr Rao"/>
    <d v="2026-02-26T00:00:00"/>
    <s v="Valid"/>
    <b v="1"/>
    <b v="1"/>
    <d v="2026-02-04T00:00:00"/>
    <s v="02152507402"/>
    <s v="02152507402"/>
    <s v="2152507402"/>
    <s v="Valid"/>
    <s v="jayansanghvi@wali.com"/>
    <s v="NO"/>
    <n v="6473.98"/>
    <m/>
    <n v="258"/>
    <n v="258"/>
    <s v="C34"/>
  </r>
  <r>
    <s v="P1762"/>
    <s v="Shalv Ram"/>
    <s v="Shalv Ram"/>
    <x v="2"/>
    <n v="88"/>
    <n v="88"/>
    <s v="Neurology"/>
    <s v="Neurology"/>
    <s v="DR SHARMA"/>
    <s v="Dr Sharma"/>
    <d v="2025-12-18T00:00:00"/>
    <s v="Valid"/>
    <b v="1"/>
    <b v="1"/>
    <d v="2025-11-21T00:00:00"/>
    <s v="0984872589"/>
    <s v="0984872589"/>
    <s v="0984872589"/>
    <s v="Valid"/>
    <s v="keya13@kapoor-srinivas.com"/>
    <m/>
    <n v="9834.08"/>
    <m/>
    <n v="230"/>
    <n v="230"/>
    <s v="J20"/>
  </r>
  <r>
    <s v="P1763"/>
    <s v="Drishya Gokhale"/>
    <s v="Drishya Gokhale"/>
    <x v="2"/>
    <n v="31"/>
    <n v="31"/>
    <s v="Oncology"/>
    <s v="Oncology"/>
    <s v="DR SHARMA"/>
    <s v="Dr Sharma"/>
    <d v="2025-12-30T00:00:00"/>
    <s v="Valid"/>
    <b v="1"/>
    <b v="1"/>
    <d v="2025-12-03T00:00:00"/>
    <s v="8013249753"/>
    <s v="8013249753"/>
    <s v="8013249753"/>
    <s v="Valid"/>
    <s v="yasmindivan@hotmail.com"/>
    <s v="Yes"/>
    <n v="22914.09"/>
    <s v="NO"/>
    <n v="550"/>
    <n v="550"/>
    <s v="K21"/>
  </r>
  <r>
    <s v="P1764"/>
    <s v="Shray Lad"/>
    <s v="Shray Lad"/>
    <x v="1"/>
    <n v="5"/>
    <n v="5"/>
    <s v="Oncology"/>
    <s v="Oncology"/>
    <s v="Dr Mehta"/>
    <s v="Dr Mehta"/>
    <d v="2026-01-15T00:00:00"/>
    <s v="Valid"/>
    <b v="1"/>
    <b v="1"/>
    <d v="2025-12-20T00:00:00"/>
    <s v="5408280165"/>
    <s v="5408280165"/>
    <s v="5408280165"/>
    <s v="Valid"/>
    <s v="damini48@chawla.info"/>
    <m/>
    <n v="11883.06"/>
    <m/>
    <n v="530"/>
    <n v="530"/>
    <s v="J20"/>
  </r>
  <r>
    <s v="P1765"/>
    <s v="Aayush Thakur"/>
    <s v="Aayush Thakur"/>
    <x v="1"/>
    <n v="13"/>
    <n v="13"/>
    <s v="Orthopedics"/>
    <s v="Orthopedics"/>
    <s v="Dr. Sharma"/>
    <s v="Dr. Sharma"/>
    <d v="2026-02-24T00:00:00"/>
    <s v="Valid"/>
    <b v="1"/>
    <b v="1"/>
    <d v="2026-02-08T00:00:00"/>
    <s v="03681025465"/>
    <s v="03681025465"/>
    <s v="3681025465"/>
    <s v="Valid"/>
    <s v="vivaanmangal@hotmail.com"/>
    <s v="NO"/>
    <n v="8926.0400000000009"/>
    <s v="NO"/>
    <n v="332"/>
    <n v="332"/>
    <s v="C34"/>
  </r>
  <r>
    <s v="P1766"/>
    <s v="Krish Toor"/>
    <s v="Krish Toor"/>
    <x v="0"/>
    <n v="7"/>
    <n v="7"/>
    <s v="Orthopedics"/>
    <s v="Orthopedics"/>
    <s v="Dr Khan"/>
    <s v="Dr Khan"/>
    <d v="2026-03-03T00:00:00"/>
    <s v="Valid"/>
    <b v="1"/>
    <b v="1"/>
    <d v="2026-02-06T00:00:00"/>
    <s v="+911678497722"/>
    <s v="911678497722"/>
    <s v="1678497722"/>
    <s v="Valid"/>
    <s v="hridaan87@din-soman.info"/>
    <s v="Yes"/>
    <n v="276.27999999999997"/>
    <s v="N"/>
    <n v="421"/>
    <n v="421"/>
    <s v="J20"/>
  </r>
  <r>
    <s v="P1767"/>
    <s v="Saanvi Dani"/>
    <s v="Saanvi Dani"/>
    <x v="2"/>
    <n v="74"/>
    <n v="74"/>
    <s v="Neurology"/>
    <s v="Neurology"/>
    <s v="Dr Mehta"/>
    <s v="Dr Mehta"/>
    <d v="2026-04-18T00:00:00"/>
    <s v="Valid"/>
    <b v="1"/>
    <b v="1"/>
    <d v="2026-04-13T00:00:00"/>
    <s v="3256049810"/>
    <s v="3256049810"/>
    <s v="3256049810"/>
    <s v="Valid"/>
    <s v="jaggiadah@yahoo.com"/>
    <s v="NO"/>
    <n v="13005.87"/>
    <s v="Y"/>
    <n v="533"/>
    <n v="533"/>
    <s v="A09"/>
  </r>
  <r>
    <s v="P1768"/>
    <s v="Faiyaz Kuruvilla"/>
    <s v="Faiyaz Kuruvilla"/>
    <x v="1"/>
    <n v="41"/>
    <n v="41"/>
    <s v="General Medicine"/>
    <s v="General Medicine"/>
    <s v="Dr Khan"/>
    <s v="Dr Khan"/>
    <d v="2026-02-25T00:00:00"/>
    <s v="Valid"/>
    <b v="1"/>
    <b v="1"/>
    <d v="2026-01-29T00:00:00"/>
    <s v="5047247078"/>
    <s v="5047247078"/>
    <s v="5047247078"/>
    <s v="Valid"/>
    <s v="bhaminisolanki@hotmail.com"/>
    <s v="Yes"/>
    <n v="6664.86"/>
    <s v="NO"/>
    <n v="509"/>
    <n v="509"/>
    <s v="J20"/>
  </r>
  <r>
    <s v="P1769"/>
    <s v="Aarav Ramachandran"/>
    <s v="Aarav Ramachandran"/>
    <x v="5"/>
    <n v="11"/>
    <n v="11"/>
    <s v="Dermatology"/>
    <s v="Dermatology"/>
    <s v="dr priya"/>
    <s v="Dr Priya"/>
    <d v="2026-04-13T00:00:00"/>
    <s v="Valid"/>
    <b v="1"/>
    <b v="1"/>
    <d v="2026-04-08T00:00:00"/>
    <s v="2897685941"/>
    <s v="2897685941"/>
    <s v="2897685941"/>
    <s v="Valid"/>
    <s v="amani57@dua-chopra.com"/>
    <m/>
    <n v="21934.47"/>
    <s v="N"/>
    <n v="110"/>
    <n v="110"/>
    <s v="I10"/>
  </r>
  <r>
    <s v="P1770"/>
    <s v="Ivan Gola"/>
    <s v="Ivan Gola"/>
    <x v="5"/>
    <n v="12"/>
    <n v="12"/>
    <s v="General Medicine"/>
    <s v="General Medicine"/>
    <s v="DR SHARMA"/>
    <s v="Dr Sharma"/>
    <d v="2026-04-05T00:00:00"/>
    <s v="Valid"/>
    <b v="1"/>
    <b v="1"/>
    <d v="2026-03-28T00:00:00"/>
    <s v="08453952156"/>
    <s v="08453952156"/>
    <s v="8453952156"/>
    <s v="Valid"/>
    <s v="mahalnavya@sunder.com"/>
    <s v="Yes"/>
    <n v="1434.62"/>
    <m/>
    <n v="407"/>
    <n v="407"/>
    <s v="J20"/>
  </r>
  <r>
    <s v="P1771"/>
    <s v="Hiran Kanda"/>
    <s v="Hiran Kanda"/>
    <x v="4"/>
    <n v="12"/>
    <n v="12"/>
    <s v="ENT"/>
    <s v="ENT"/>
    <s v="Dr Mehta"/>
    <s v="Dr Mehta"/>
    <d v="2026-03-31T00:00:00"/>
    <s v="Valid"/>
    <b v="1"/>
    <b v="1"/>
    <d v="2026-03-01T00:00:00"/>
    <s v="+916965597942"/>
    <s v="916965597942"/>
    <s v="6965597942"/>
    <s v="Valid"/>
    <s v="maharajtara@hotmail.com"/>
    <s v="NO"/>
    <n v="550.04999999999995"/>
    <m/>
    <n v="495"/>
    <n v="495"/>
    <s v="M54"/>
  </r>
  <r>
    <s v="P1772"/>
    <s v="Stuvan Suri"/>
    <s v="Stuvan Suri"/>
    <x v="3"/>
    <n v="16"/>
    <n v="16"/>
    <s v="Pediatrics"/>
    <s v="Pediatrics"/>
    <s v="DR SHARMA"/>
    <s v="Dr Sharma"/>
    <d v="2025-11-22T00:00:00"/>
    <s v="Valid"/>
    <b v="1"/>
    <b v="1"/>
    <d v="2025-11-16T00:00:00"/>
    <s v="03436600625"/>
    <s v="03436600625"/>
    <s v="3436600625"/>
    <s v="Valid"/>
    <s v="sahniindrans@hotmail.com"/>
    <s v="Y"/>
    <n v="7341.46"/>
    <m/>
    <n v="295"/>
    <n v="295"/>
    <s v="E11"/>
  </r>
  <r>
    <s v="P1773"/>
    <s v="Bhavin Mangat"/>
    <s v="Bhavin Mangat"/>
    <x v="1"/>
    <n v="27"/>
    <n v="27"/>
    <s v="Pediatrics"/>
    <s v="Pediatrics"/>
    <s v="Dr. Sharma"/>
    <s v="Dr. Sharma"/>
    <d v="2026-02-27T00:00:00"/>
    <s v="Valid"/>
    <b v="1"/>
    <b v="1"/>
    <d v="2026-02-04T00:00:00"/>
    <s v="+918531148606"/>
    <s v="918531148606"/>
    <s v="8531148606"/>
    <s v="Valid"/>
    <s v="eshanijayaraman@yahoo.com"/>
    <s v="NO"/>
    <n v="10574.61"/>
    <m/>
    <n v="505"/>
    <n v="505"/>
    <s v="E11"/>
  </r>
  <r>
    <s v="P1774"/>
    <s v="Advik Sidhu"/>
    <s v="Advik Sidhu"/>
    <x v="0"/>
    <n v="38"/>
    <n v="38"/>
    <s v="Oncology"/>
    <s v="Oncology"/>
    <s v="DR SHARMA"/>
    <s v="Dr Sharma"/>
    <d v="2025-12-09T00:00:00"/>
    <s v="Valid"/>
    <b v="1"/>
    <b v="1"/>
    <d v="2025-11-20T00:00:00"/>
    <s v="7779110023"/>
    <s v="7779110023"/>
    <s v="7779110023"/>
    <s v="Valid"/>
    <s v="anvi69@hotmail.com"/>
    <m/>
    <n v="22701.74"/>
    <s v="NO"/>
    <n v="398"/>
    <n v="398"/>
    <s v="C34"/>
  </r>
  <r>
    <s v="P1776"/>
    <s v="Nishith Chaudhari"/>
    <s v="Nishith Chaudhari"/>
    <x v="1"/>
    <n v="55"/>
    <n v="55"/>
    <s v="Oncology"/>
    <s v="Oncology"/>
    <s v="Dr Mehta"/>
    <s v="Dr Mehta"/>
    <d v="2026-01-08T00:00:00"/>
    <s v="Valid"/>
    <b v="1"/>
    <b v="1"/>
    <d v="2026-01-05T00:00:00"/>
    <s v="07978338800"/>
    <s v="07978338800"/>
    <s v="7978338800"/>
    <s v="Valid"/>
    <s v="taimur98@gmail.com"/>
    <s v="Yes"/>
    <n v="1492.39"/>
    <s v="N"/>
    <n v="341"/>
    <n v="341"/>
    <s v="J20"/>
  </r>
  <r>
    <s v="P1777"/>
    <s v="Umang Rana"/>
    <s v="Umang Rana"/>
    <x v="0"/>
    <n v="1"/>
    <n v="1"/>
    <s v="Oncology"/>
    <s v="Oncology"/>
    <s v="dr priya"/>
    <s v="Dr Priya"/>
    <d v="2026-02-27T00:00:00"/>
    <s v="Valid"/>
    <b v="1"/>
    <b v="1"/>
    <d v="2026-02-18T00:00:00"/>
    <s v="4235041107"/>
    <s v="4235041107"/>
    <s v="4235041107"/>
    <s v="Valid"/>
    <s v="wasonira@gmail.com"/>
    <m/>
    <n v="16847.3"/>
    <s v="Y"/>
    <n v="386"/>
    <n v="386"/>
    <s v="I10"/>
  </r>
  <r>
    <s v="P1778"/>
    <s v="Advik Aurora"/>
    <s v="Advik Aurora"/>
    <x v="4"/>
    <n v="34"/>
    <n v="34"/>
    <s v="Orthopedics"/>
    <s v="Orthopedics"/>
    <s v="Dr Khan"/>
    <s v="Dr Khan"/>
    <d v="2026-04-04T00:00:00"/>
    <s v="Valid"/>
    <b v="1"/>
    <b v="1"/>
    <d v="2026-03-06T00:00:00"/>
    <s v="+912486820596"/>
    <s v="912486820596"/>
    <s v="2486820596"/>
    <s v="Valid"/>
    <s v="ravalshaan@gmail.com"/>
    <s v="N"/>
    <n v="21971.84"/>
    <s v="Y"/>
    <n v="145"/>
    <n v="145"/>
    <s v="J20"/>
  </r>
  <r>
    <s v="P1779"/>
    <s v="Nitara Krishnamurthy"/>
    <s v="Nitara Krishnamurthy"/>
    <x v="1"/>
    <n v="19"/>
    <n v="19"/>
    <s v="Oncology"/>
    <s v="Oncology"/>
    <s v="Dr Mehta"/>
    <s v="Dr Mehta"/>
    <d v="2025-12-17T00:00:00"/>
    <s v="Valid"/>
    <b v="1"/>
    <b v="1"/>
    <d v="2025-12-07T00:00:00"/>
    <s v="05647939109"/>
    <s v="05647939109"/>
    <s v="5647939109"/>
    <s v="Valid"/>
    <s v="mohanlalgade@hotmail.com"/>
    <s v="Yes"/>
    <n v="24467.21"/>
    <m/>
    <n v="546"/>
    <n v="546"/>
    <s v="K21"/>
  </r>
  <r>
    <s v="P1781"/>
    <s v="Shray Swamy"/>
    <s v="Shray Swamy"/>
    <x v="1"/>
    <n v="22"/>
    <n v="22"/>
    <s v="ENT"/>
    <s v="ENT"/>
    <s v="Dr Khan"/>
    <s v="Dr Khan"/>
    <d v="2026-04-08T00:00:00"/>
    <s v="Valid"/>
    <b v="1"/>
    <b v="1"/>
    <d v="2026-03-15T00:00:00"/>
    <s v="08536266390"/>
    <s v="08536266390"/>
    <s v="8536266390"/>
    <s v="Valid"/>
    <s v="jayeshvirk@das-kata.com"/>
    <s v="Yes"/>
    <n v="13980.73"/>
    <m/>
    <n v="127"/>
    <n v="127"/>
    <s v="E11"/>
  </r>
  <r>
    <s v="P1782"/>
    <s v="Hridaan Keer"/>
    <s v="Hridaan Keer"/>
    <x v="4"/>
    <n v="7"/>
    <n v="7"/>
    <s v="Pediatrics"/>
    <s v="Pediatrics"/>
    <s v="Dr Mehta"/>
    <s v="Dr Mehta"/>
    <d v="2026-03-25T00:00:00"/>
    <s v="Valid"/>
    <b v="1"/>
    <b v="1"/>
    <d v="2026-03-24T00:00:00"/>
    <s v="+910823101746"/>
    <s v="910823101746"/>
    <s v="0823101746"/>
    <s v="Valid"/>
    <s v="usura@jain.com"/>
    <m/>
    <n v="6653.55"/>
    <m/>
    <n v="323"/>
    <n v="323"/>
    <s v="I10"/>
  </r>
  <r>
    <s v="P1783"/>
    <s v="Aarush Balay"/>
    <s v="Aarush Balay"/>
    <x v="3"/>
    <n v="6"/>
    <n v="6"/>
    <s v="General Medicine"/>
    <s v="General Medicine"/>
    <s v="dr priya"/>
    <s v="Dr Priya"/>
    <d v="2026-01-06T00:00:00"/>
    <s v="Valid"/>
    <b v="1"/>
    <b v="1"/>
    <d v="2025-12-15T00:00:00"/>
    <s v="+914093933934"/>
    <s v="914093933934"/>
    <s v="4093933934"/>
    <s v="Valid"/>
    <s v="ishitaamble@gmail.com"/>
    <m/>
    <n v="11552.44"/>
    <s v="NO"/>
    <n v="533"/>
    <n v="533"/>
    <s v="C34"/>
  </r>
  <r>
    <s v="P1784"/>
    <s v="Dharmajan Kohli"/>
    <s v="Dharmajan Kohli"/>
    <x v="4"/>
    <n v="16"/>
    <n v="16"/>
    <s v="ENT"/>
    <s v="ENT"/>
    <s v="Dr Mehta"/>
    <s v="Dr Mehta"/>
    <d v="2026-03-25T00:00:00"/>
    <s v="Valid"/>
    <b v="1"/>
    <b v="1"/>
    <d v="2026-03-19T00:00:00"/>
    <s v="+919315017549"/>
    <s v="919315017549"/>
    <s v="9315017549"/>
    <s v="Valid"/>
    <s v="chahalshlok@gmail.com"/>
    <s v="Y"/>
    <n v="4680.24"/>
    <s v="Y"/>
    <n v="483"/>
    <n v="483"/>
    <s v="A09"/>
  </r>
  <r>
    <s v="P1785"/>
    <s v="Pari Bhattacharyya"/>
    <s v="Pari Bhattacharyya"/>
    <x v="0"/>
    <n v="73"/>
    <n v="73"/>
    <s v="Pediatrics"/>
    <s v="Pediatrics"/>
    <s v="Dr Rao"/>
    <s v="Dr Rao"/>
    <d v="2026-03-09T00:00:00"/>
    <s v="Valid"/>
    <b v="1"/>
    <b v="1"/>
    <d v="2026-02-21T00:00:00"/>
    <s v="+915661323823"/>
    <s v="915661323823"/>
    <s v="5661323823"/>
    <s v="Valid"/>
    <s v="fkalita@gaba.org"/>
    <s v="Yes"/>
    <n v="10527.19"/>
    <s v="NO"/>
    <n v="226"/>
    <n v="226"/>
    <s v="K21"/>
  </r>
  <r>
    <s v="P1787"/>
    <s v="Anahita Krishna"/>
    <s v="Anahita Krishna"/>
    <x v="2"/>
    <n v="42"/>
    <n v="42"/>
    <s v="Orthopedics"/>
    <s v="Orthopedics"/>
    <s v="Dr Rao"/>
    <s v="Dr Rao"/>
    <d v="2025-11-17T00:00:00"/>
    <s v="Valid"/>
    <b v="1"/>
    <b v="1"/>
    <d v="2025-11-15T00:00:00"/>
    <s v="07065050228"/>
    <s v="07065050228"/>
    <s v="7065050228"/>
    <s v="Valid"/>
    <s v="mishtisoman@hotmail.com"/>
    <m/>
    <n v="20801.34"/>
    <m/>
    <n v="332"/>
    <n v="332"/>
    <s v="C34"/>
  </r>
  <r>
    <s v="P1788"/>
    <s v="Krish Sachdeva"/>
    <s v="Krish Sachdeva"/>
    <x v="0"/>
    <n v="77"/>
    <n v="77"/>
    <s v="Cardiology"/>
    <s v="Cardiology"/>
    <s v="dr priya"/>
    <s v="Dr Priya"/>
    <d v="2026-03-04T00:00:00"/>
    <s v="Valid"/>
    <b v="1"/>
    <b v="1"/>
    <d v="2026-03-03T00:00:00"/>
    <s v="04978948916"/>
    <s v="04978948916"/>
    <s v="4978948916"/>
    <s v="Valid"/>
    <s v="jchatterjee@yahoo.com"/>
    <m/>
    <n v="8257.9"/>
    <s v="Y"/>
    <n v="208"/>
    <n v="208"/>
    <s v="K21"/>
  </r>
  <r>
    <s v="P1789"/>
    <s v="Vanya Atwal"/>
    <s v="Vanya Atwal"/>
    <x v="0"/>
    <n v="83"/>
    <n v="83"/>
    <s v="Oncology"/>
    <s v="Oncology"/>
    <s v="dr priya"/>
    <s v="Dr Priya"/>
    <d v="2025-12-18T00:00:00"/>
    <s v="Valid"/>
    <b v="1"/>
    <b v="1"/>
    <d v="2025-11-23T00:00:00"/>
    <s v="04786994139"/>
    <s v="04786994139"/>
    <s v="4786994139"/>
    <s v="Valid"/>
    <s v="abawa@hotmail.com"/>
    <s v="Yes"/>
    <n v="18646.240000000002"/>
    <m/>
    <n v="147"/>
    <n v="147"/>
    <s v="M54"/>
  </r>
  <r>
    <s v="P1790"/>
    <s v="Nirvi Doctor"/>
    <s v="Nirvi Doctor"/>
    <x v="0"/>
    <n v="23"/>
    <n v="23"/>
    <s v="Pediatrics"/>
    <s v="Pediatrics"/>
    <s v="dr priya"/>
    <s v="Dr Priya"/>
    <d v="2026-05-02T00:00:00"/>
    <s v="Valid"/>
    <b v="1"/>
    <b v="1"/>
    <d v="2026-04-30T00:00:00"/>
    <s v="+916856386385"/>
    <s v="916856386385"/>
    <s v="6856386385"/>
    <s v="Valid"/>
    <s v="chawlajayesh@gmail.com"/>
    <s v="Yes"/>
    <n v="21338.18"/>
    <s v="Y"/>
    <n v="298"/>
    <n v="298"/>
    <s v="K21"/>
  </r>
  <r>
    <s v="P1791"/>
    <s v="Eva Banerjee"/>
    <s v="Eva Banerjee"/>
    <x v="1"/>
    <n v="37"/>
    <n v="37"/>
    <s v="Orthopedics"/>
    <s v="Orthopedics"/>
    <s v="Dr Mehta"/>
    <s v="Dr Mehta"/>
    <d v="2026-04-22T00:00:00"/>
    <s v="Valid"/>
    <b v="1"/>
    <b v="1"/>
    <d v="2026-04-13T00:00:00"/>
    <s v="3892383874"/>
    <s v="3892383874"/>
    <s v="3892383874"/>
    <s v="Valid"/>
    <s v="heer99@sagar-chauhan.info"/>
    <m/>
    <n v="20067.29"/>
    <s v="Yes"/>
    <n v="450"/>
    <n v="450"/>
    <s v="A09"/>
  </r>
  <r>
    <s v="P1792"/>
    <s v="Mohanlal Mannan"/>
    <s v="Mohanlal Mannan"/>
    <x v="4"/>
    <n v="46"/>
    <n v="46"/>
    <s v="Neurology"/>
    <s v="Neurology"/>
    <s v="dr priya"/>
    <s v="Dr Priya"/>
    <d v="2025-12-31T00:00:00"/>
    <s v="Valid"/>
    <b v="1"/>
    <b v="1"/>
    <d v="2025-12-15T00:00:00"/>
    <s v="7755857093"/>
    <s v="7755857093"/>
    <s v="7755857093"/>
    <s v="Valid"/>
    <s v="vchaudhuri@bhat.com"/>
    <s v="NO"/>
    <n v="12342.65"/>
    <m/>
    <n v="343"/>
    <n v="343"/>
    <s v="J20"/>
  </r>
  <r>
    <s v="P1793"/>
    <s v="Zara Bala"/>
    <s v="Zara Bala"/>
    <x v="1"/>
    <n v="12"/>
    <n v="12"/>
    <s v="Dermatology"/>
    <s v="Dermatology"/>
    <s v="dr priya"/>
    <s v="Dr Priya"/>
    <d v="2025-12-26T00:00:00"/>
    <s v="Valid"/>
    <b v="1"/>
    <b v="1"/>
    <d v="2025-12-07T00:00:00"/>
    <s v="9246634671"/>
    <s v="9246634671"/>
    <s v="9246634671"/>
    <s v="Valid"/>
    <s v="bajajdivit@hotmail.com"/>
    <s v="Yes"/>
    <n v="10965.83"/>
    <m/>
    <n v="147"/>
    <n v="147"/>
    <s v="I10"/>
  </r>
  <r>
    <s v="P1794"/>
    <s v="Hazel Vig"/>
    <s v="Hazel Vig"/>
    <x v="2"/>
    <n v="60"/>
    <n v="60"/>
    <s v="Pediatrics"/>
    <s v="Pediatrics"/>
    <s v="Dr Mehta"/>
    <s v="Dr Mehta"/>
    <d v="2026-05-11T00:00:00"/>
    <s v="Valid"/>
    <b v="1"/>
    <b v="1"/>
    <d v="2026-04-12T00:00:00"/>
    <s v="+919381091906"/>
    <s v="919381091906"/>
    <s v="9381091906"/>
    <s v="Valid"/>
    <s v="vshankar@yahoo.com"/>
    <m/>
    <n v="13276.51"/>
    <s v="NO"/>
    <n v="248"/>
    <n v="248"/>
    <s v="M54"/>
  </r>
  <r>
    <s v="P1795"/>
    <s v="Bhavin Mand"/>
    <s v="Bhavin Mand"/>
    <x v="1"/>
    <n v="11"/>
    <n v="11"/>
    <s v="General Medicine"/>
    <s v="General Medicine"/>
    <s v="Dr. Sharma"/>
    <s v="Dr. Sharma"/>
    <d v="2026-04-13T00:00:00"/>
    <s v="Valid"/>
    <b v="1"/>
    <b v="1"/>
    <d v="2026-04-09T00:00:00"/>
    <s v="+915404946698"/>
    <s v="915404946698"/>
    <s v="5404946698"/>
    <s v="Valid"/>
    <s v="sakshammaharaj@lala.com"/>
    <s v="Yes"/>
    <n v="17170.990000000002"/>
    <s v="Yes"/>
    <n v="530"/>
    <n v="530"/>
    <s v="E11"/>
  </r>
  <r>
    <s v="P1796"/>
    <s v="Shray Bhasin"/>
    <s v="Shray Bhasin"/>
    <x v="1"/>
    <n v="38"/>
    <n v="38"/>
    <s v="Cardiology"/>
    <s v="Cardiology"/>
    <s v="Dr Mehta"/>
    <s v="Dr Mehta"/>
    <d v="2026-02-08T00:00:00"/>
    <s v="Valid"/>
    <b v="1"/>
    <b v="1"/>
    <d v="2026-01-10T00:00:00"/>
    <s v="+913414356493"/>
    <s v="913414356493"/>
    <s v="3414356493"/>
    <s v="Valid"/>
    <s v="farhansampath@yahoo.com"/>
    <s v="Yes"/>
    <n v="12932.68"/>
    <m/>
    <n v="311"/>
    <n v="311"/>
    <s v="I10"/>
  </r>
  <r>
    <s v="P1797"/>
    <s v="Madhup Bajaj"/>
    <s v="Madhup Bajaj"/>
    <x v="3"/>
    <n v="85"/>
    <n v="85"/>
    <s v="Oncology"/>
    <s v="Oncology"/>
    <s v="dr priya"/>
    <s v="Dr Priya"/>
    <d v="2026-01-18T00:00:00"/>
    <s v="Valid"/>
    <b v="1"/>
    <b v="1"/>
    <d v="2026-01-10T00:00:00"/>
    <s v="2407007029"/>
    <s v="2407007029"/>
    <s v="2407007029"/>
    <s v="Valid"/>
    <s v="vedikadani@gala.com"/>
    <s v="NO"/>
    <n v="19262.439999999999"/>
    <s v="Yes"/>
    <n v="158"/>
    <n v="158"/>
    <s v="C34"/>
  </r>
  <r>
    <s v="P1798"/>
    <s v="Indrajit Toor"/>
    <s v="Indrajit Toor"/>
    <x v="3"/>
    <n v="23"/>
    <n v="23"/>
    <s v="Orthopedics"/>
    <s v="Orthopedics"/>
    <s v="dr priya"/>
    <s v="Dr Priya"/>
    <d v="2026-01-22T00:00:00"/>
    <s v="Valid"/>
    <b v="1"/>
    <b v="1"/>
    <d v="2026-01-21T00:00:00"/>
    <s v="0243073644"/>
    <s v="0243073644"/>
    <s v="0243073644"/>
    <s v="Valid"/>
    <s v="kartikchadha@basak.info"/>
    <s v="NO"/>
    <n v="10523.04"/>
    <s v="Yes"/>
    <n v="260"/>
    <n v="260"/>
    <s v="A09"/>
  </r>
  <r>
    <s v="P1799"/>
    <s v="Eva Chakraborty"/>
    <s v="Eva Chakraborty"/>
    <x v="3"/>
    <n v="86"/>
    <n v="86"/>
    <s v="General Medicine"/>
    <s v="General Medicine"/>
    <s v="Dr. Sharma"/>
    <s v="Dr. Sharma"/>
    <d v="2026-03-22T00:00:00"/>
    <s v="Valid"/>
    <b v="1"/>
    <b v="1"/>
    <d v="2026-03-12T00:00:00"/>
    <s v="7278335763"/>
    <s v="7278335763"/>
    <s v="7278335763"/>
    <s v="Valid"/>
    <s v="zeeshanjoshi@yahoo.com"/>
    <s v="Yes"/>
    <n v="5434.5"/>
    <s v="NO"/>
    <n v="482"/>
    <n v="482"/>
    <s v="A09"/>
  </r>
  <r>
    <s v="P1800"/>
    <s v="Miraya Gaba"/>
    <s v="Miraya Gaba"/>
    <x v="0"/>
    <n v="87"/>
    <n v="87"/>
    <s v="Neurology"/>
    <s v="Neurology"/>
    <s v="dr priya"/>
    <s v="Dr Priya"/>
    <d v="2026-02-23T00:00:00"/>
    <s v="Valid"/>
    <b v="1"/>
    <b v="1"/>
    <d v="2026-02-06T00:00:00"/>
    <s v="06286063566"/>
    <s v="06286063566"/>
    <s v="6286063566"/>
    <s v="Valid"/>
    <m/>
    <s v="Yes"/>
    <n v="-500"/>
    <s v="NO"/>
    <n v="106"/>
    <n v="106"/>
    <s v="E11"/>
  </r>
  <r>
    <s v="P1801"/>
    <s v="Anay Sodhi"/>
    <s v="Anay Sodhi"/>
    <x v="3"/>
    <n v="59"/>
    <n v="59"/>
    <s v="Dermatology"/>
    <s v="Dermatology"/>
    <s v="Dr Khan"/>
    <s v="Dr Khan"/>
    <d v="2025-12-07T00:00:00"/>
    <s v="Valid"/>
    <b v="1"/>
    <b v="1"/>
    <d v="2025-11-28T00:00:00"/>
    <s v="01228817591"/>
    <s v="01228817591"/>
    <s v="1228817591"/>
    <s v="Valid"/>
    <s v="chanajayant@gmail.com"/>
    <s v="N"/>
    <n v="17328.419999999998"/>
    <m/>
    <n v="511"/>
    <n v="511"/>
    <s v="J20"/>
  </r>
  <r>
    <s v="P1802"/>
    <s v="Aayush Srinivas"/>
    <s v="Aayush Srinivas"/>
    <x v="2"/>
    <n v="17"/>
    <n v="17"/>
    <s v="Orthopedics"/>
    <s v="Orthopedics"/>
    <s v="Dr Rao"/>
    <s v="Dr Rao"/>
    <d v="2026-02-19T00:00:00"/>
    <s v="Valid"/>
    <b v="1"/>
    <b v="1"/>
    <d v="2026-02-13T00:00:00"/>
    <s v="+911809872278"/>
    <s v="911809872278"/>
    <s v="1809872278"/>
    <s v="Valid"/>
    <s v="magarranbir@gmail.com"/>
    <s v="NO"/>
    <n v="20436.009999999998"/>
    <s v="N"/>
    <n v="539"/>
    <n v="539"/>
    <s v="I10"/>
  </r>
  <r>
    <s v="P1803"/>
    <s v="Hansh Verma"/>
    <s v="Hansh Verma"/>
    <x v="5"/>
    <n v="62"/>
    <n v="62"/>
    <s v="Orthopedics"/>
    <s v="Orthopedics"/>
    <s v="DR SHARMA"/>
    <s v="Dr Sharma"/>
    <d v="2025-12-03T00:00:00"/>
    <s v="Valid"/>
    <b v="1"/>
    <b v="1"/>
    <d v="2025-11-20T00:00:00"/>
    <s v="1571789946"/>
    <s v="1571789946"/>
    <s v="1571789946"/>
    <s v="Valid"/>
    <s v="yiyer@gmail.com"/>
    <s v="NO"/>
    <n v="2335.12"/>
    <m/>
    <n v="175"/>
    <n v="175"/>
    <s v="M54"/>
  </r>
  <r>
    <s v="P1804"/>
    <s v="Manikya Gokhale"/>
    <s v="Manikya Gokhale"/>
    <x v="1"/>
    <n v="3"/>
    <n v="3"/>
    <s v="Neurology"/>
    <s v="Neurology"/>
    <s v="Dr Mehta"/>
    <s v="Dr Mehta"/>
    <d v="2026-05-17T00:00:00"/>
    <s v="Valid"/>
    <b v="1"/>
    <b v="1"/>
    <d v="2026-04-19T00:00:00"/>
    <s v="7690471670"/>
    <s v="7690471670"/>
    <s v="7690471670"/>
    <s v="Valid"/>
    <s v="mtella@hotmail.com"/>
    <s v="Yes"/>
    <n v="18521.77"/>
    <m/>
    <n v="348"/>
    <n v="348"/>
    <s v="M54"/>
  </r>
  <r>
    <s v="P1805"/>
    <s v="Mahika Borde"/>
    <s v="Mahika Borde"/>
    <x v="0"/>
    <n v="58"/>
    <n v="58"/>
    <s v="Pediatrics"/>
    <s v="Pediatrics"/>
    <s v="DR SHARMA"/>
    <s v="Dr Sharma"/>
    <d v="2026-01-08T00:00:00"/>
    <s v="Valid"/>
    <b v="1"/>
    <b v="1"/>
    <d v="2025-12-30T00:00:00"/>
    <s v="0563830522"/>
    <s v="0563830522"/>
    <s v="0563830522"/>
    <s v="Valid"/>
    <s v="kiara83@kunda.info"/>
    <m/>
    <n v="1462.87"/>
    <s v="Yes"/>
    <n v="152"/>
    <n v="152"/>
    <s v="C34"/>
  </r>
  <r>
    <s v="P1806"/>
    <s v="Ira Brahmbhatt"/>
    <s v="Ira Brahmbhatt"/>
    <x v="1"/>
    <n v="54"/>
    <n v="54"/>
    <s v="General Medicine"/>
    <s v="General Medicine"/>
    <s v="Dr. Sharma"/>
    <s v="Dr. Sharma"/>
    <d v="2026-01-14T00:00:00"/>
    <s v="Valid"/>
    <b v="1"/>
    <b v="1"/>
    <d v="2026-01-13T00:00:00"/>
    <s v="0278852990"/>
    <s v="0278852990"/>
    <s v="0278852990"/>
    <s v="Valid"/>
    <s v="pramesh@yahoo.com"/>
    <m/>
    <n v="10112.07"/>
    <m/>
    <n v="218"/>
    <n v="218"/>
    <s v="C34"/>
  </r>
  <r>
    <s v="P1807"/>
    <s v="Akarsh Chandran"/>
    <s v="Akarsh Chandran"/>
    <x v="0"/>
    <n v="68"/>
    <n v="68"/>
    <s v="Cardiology"/>
    <s v="Cardiology"/>
    <s v="dr priya"/>
    <s v="Dr Priya"/>
    <d v="2026-05-18T00:00:00"/>
    <s v="Valid"/>
    <b v="1"/>
    <b v="1"/>
    <d v="2026-04-30T00:00:00"/>
    <s v="+910562089731"/>
    <s v="910562089731"/>
    <s v="0562089731"/>
    <s v="Valid"/>
    <s v="brahmbhattbadal@sankaran-chanda.biz"/>
    <s v="N"/>
    <n v="13920.74"/>
    <s v="Yes"/>
    <n v="431"/>
    <n v="431"/>
    <s v="M54"/>
  </r>
  <r>
    <s v="P1808"/>
    <s v="Jiya Sem"/>
    <s v="Jiya Sem"/>
    <x v="3"/>
    <n v="15"/>
    <n v="15"/>
    <s v="General Medicine"/>
    <s v="General Medicine"/>
    <s v="dr priya"/>
    <s v="Dr Priya"/>
    <d v="2025-11-29T00:00:00"/>
    <s v="Valid"/>
    <b v="1"/>
    <b v="1"/>
    <d v="2025-11-15T00:00:00"/>
    <s v="+918450880725"/>
    <s v="918450880725"/>
    <s v="8450880725"/>
    <s v="Valid"/>
    <s v="kkalla@seshadri.com"/>
    <m/>
    <n v="716.01"/>
    <s v="Yes"/>
    <n v="471"/>
    <n v="471"/>
    <s v="E11"/>
  </r>
  <r>
    <s v="P1809"/>
    <s v="Hunar Yohannan"/>
    <s v="Hunar Yohannan"/>
    <x v="3"/>
    <n v="45"/>
    <n v="45"/>
    <s v="General Medicine"/>
    <s v="General Medicine"/>
    <s v="DR SHARMA"/>
    <s v="Dr Sharma"/>
    <d v="2026-01-30T00:00:00"/>
    <s v="Valid"/>
    <b v="1"/>
    <b v="1"/>
    <d v="2026-01-14T00:00:00"/>
    <s v="05215523084"/>
    <s v="05215523084"/>
    <s v="5215523084"/>
    <s v="Valid"/>
    <s v="heerkale@wali.biz"/>
    <s v="NO"/>
    <n v="14773.94"/>
    <s v="NO"/>
    <n v="408"/>
    <n v="408"/>
    <s v="K21"/>
  </r>
  <r>
    <s v="P1810"/>
    <s v="  Kanav Ram "/>
    <s v="Kanav Ram"/>
    <x v="3"/>
    <n v="17"/>
    <n v="17"/>
    <s v="Oncology"/>
    <s v="Oncology"/>
    <s v="dr priya"/>
    <s v="Dr Priya"/>
    <d v="2025-12-15T00:00:00"/>
    <s v="Valid"/>
    <b v="1"/>
    <b v="1"/>
    <d v="2025-11-15T00:00:00"/>
    <s v="+915431934838"/>
    <s v="915431934838"/>
    <s v="5431934838"/>
    <s v="Valid"/>
    <s v="kkamdar@arora-yohannan.net"/>
    <m/>
    <n v="20860.400000000001"/>
    <s v="NO"/>
    <n v="507"/>
    <n v="507"/>
    <s v="M54"/>
  </r>
  <r>
    <s v="P1811"/>
    <s v="Navya Chahal"/>
    <s v="Navya Chahal"/>
    <x v="4"/>
    <n v="80"/>
    <n v="80"/>
    <s v="Pediatrics"/>
    <s v="Pediatrics"/>
    <s v="Dr. Sharma"/>
    <s v="Dr. Sharma"/>
    <d v="2026-05-18T00:00:00"/>
    <s v="Valid"/>
    <b v="1"/>
    <b v="1"/>
    <d v="2026-04-26T00:00:00"/>
    <s v="06860155089"/>
    <s v="06860155089"/>
    <s v="6860155089"/>
    <s v="Valid"/>
    <s v="aayush03@gmail.com"/>
    <s v="NO"/>
    <n v="16743"/>
    <s v="Y"/>
    <n v="188"/>
    <n v="188"/>
    <s v="E11"/>
  </r>
  <r>
    <s v="P1812"/>
    <s v="Dhanush Khatri"/>
    <s v="Dhanush Khatri"/>
    <x v="4"/>
    <n v="78"/>
    <n v="78"/>
    <s v="General Medicine"/>
    <s v="General Medicine"/>
    <s v="Dr Mehta"/>
    <s v="Dr Mehta"/>
    <d v="2026-01-29T00:00:00"/>
    <s v="Valid"/>
    <b v="1"/>
    <b v="1"/>
    <d v="2026-01-04T00:00:00"/>
    <s v="9762871484"/>
    <s v="9762871484"/>
    <s v="9762871484"/>
    <s v="Valid"/>
    <s v="bhattacharyyavihaan@hotmail.com"/>
    <m/>
    <n v="23587.759999999998"/>
    <m/>
    <n v="255"/>
    <n v="255"/>
    <s v="E11"/>
  </r>
  <r>
    <s v="P1813"/>
    <s v="Divij Sampath"/>
    <s v="Divij Sampath"/>
    <x v="5"/>
    <n v="72"/>
    <n v="72"/>
    <s v="Cardiology"/>
    <s v="Cardiology"/>
    <s v="Dr Rao"/>
    <s v="Dr Rao"/>
    <d v="2026-03-11T00:00:00"/>
    <s v="Valid"/>
    <b v="1"/>
    <b v="1"/>
    <d v="2026-02-28T00:00:00"/>
    <s v="9702794044"/>
    <s v="9702794044"/>
    <s v="9702794044"/>
    <s v="Valid"/>
    <s v="qbhavsar@yahoo.com"/>
    <s v="Y"/>
    <n v="9054.69"/>
    <s v="Y"/>
    <n v="189"/>
    <n v="189"/>
    <s v="K21"/>
  </r>
  <r>
    <s v="P1814"/>
    <s v="Emir Jayaraman"/>
    <s v="Emir Jayaraman"/>
    <x v="0"/>
    <n v="9"/>
    <n v="9"/>
    <s v="ENT"/>
    <s v="ENT"/>
    <s v="dr priya"/>
    <s v="Dr Priya"/>
    <d v="2026-04-26T00:00:00"/>
    <s v="Valid"/>
    <b v="1"/>
    <b v="1"/>
    <d v="2026-04-23T00:00:00"/>
    <s v="+911404944561"/>
    <s v="911404944561"/>
    <s v="1404944561"/>
    <s v="Valid"/>
    <s v="tiya04@hotmail.com"/>
    <s v="NO"/>
    <n v="3193.06"/>
    <s v="N"/>
    <n v="349"/>
    <n v="349"/>
    <s v="J20"/>
  </r>
  <r>
    <s v="P1815"/>
    <s v="Myra Saxena"/>
    <s v="Myra Saxena"/>
    <x v="2"/>
    <n v="46"/>
    <n v="46"/>
    <s v="Cardiology"/>
    <s v="Cardiology"/>
    <s v="Dr. Sharma"/>
    <s v="Dr. Sharma"/>
    <d v="2026-03-06T00:00:00"/>
    <s v="Valid"/>
    <b v="1"/>
    <b v="1"/>
    <d v="2026-02-06T00:00:00"/>
    <s v="+916960371198"/>
    <s v="916960371198"/>
    <s v="6960371198"/>
    <s v="Valid"/>
    <s v="ivan21@hotmail.com"/>
    <s v="Yes"/>
    <n v="21364.52"/>
    <s v="NO"/>
    <n v="461"/>
    <n v="461"/>
    <s v="I10"/>
  </r>
  <r>
    <s v="P1816"/>
    <s v="Drishya Shankar"/>
    <s v="Drishya Shankar"/>
    <x v="3"/>
    <n v="59"/>
    <n v="59"/>
    <s v="Neurology"/>
    <s v="Neurology"/>
    <s v="Dr Mehta"/>
    <s v="Dr Mehta"/>
    <d v="2026-05-26T00:00:00"/>
    <s v="Valid"/>
    <b v="1"/>
    <b v="1"/>
    <d v="2026-05-01T00:00:00"/>
    <s v="+910149185401"/>
    <s v="910149185401"/>
    <s v="0149185401"/>
    <s v="Valid"/>
    <s v="elakshisastry@bassi.com"/>
    <s v="NO"/>
    <n v="20625.53"/>
    <s v="Yes"/>
    <n v="359"/>
    <n v="359"/>
    <s v="I10"/>
  </r>
  <r>
    <s v="P1817"/>
    <s v="Veer Saraf"/>
    <s v="Veer Saraf"/>
    <x v="4"/>
    <n v="81"/>
    <n v="81"/>
    <s v="Neurology"/>
    <s v="Neurology"/>
    <s v="DR SHARMA"/>
    <s v="Dr Sharma"/>
    <d v="2026-01-09T00:00:00"/>
    <s v="Valid"/>
    <b v="1"/>
    <b v="1"/>
    <d v="2025-12-11T00:00:00"/>
    <s v="3511838794"/>
    <s v="3511838794"/>
    <s v="3511838794"/>
    <s v="Valid"/>
    <s v="wablealisha@shan.com"/>
    <s v="N"/>
    <n v="4094.41"/>
    <s v="Yes"/>
    <n v="462"/>
    <n v="462"/>
    <s v="M54"/>
  </r>
  <r>
    <s v="P1818"/>
    <s v="Pihu Suri"/>
    <s v="Pihu Suri"/>
    <x v="3"/>
    <n v="13"/>
    <n v="13"/>
    <s v="Orthopedics"/>
    <s v="Orthopedics"/>
    <s v="dr priya"/>
    <s v="Dr Priya"/>
    <d v="2026-03-18T00:00:00"/>
    <s v="Valid"/>
    <b v="1"/>
    <b v="1"/>
    <d v="2026-03-08T00:00:00"/>
    <s v="04609805376"/>
    <s v="04609805376"/>
    <s v="4609805376"/>
    <s v="Valid"/>
    <s v="saksham10@gmail.com"/>
    <s v="Yes"/>
    <n v="3249.99"/>
    <s v="N"/>
    <n v="324"/>
    <n v="324"/>
    <s v="M54"/>
  </r>
  <r>
    <s v="P1819"/>
    <s v="Purab Gulati"/>
    <s v="Purab Gulati"/>
    <x v="0"/>
    <n v="32"/>
    <n v="32"/>
    <s v="General Medicine"/>
    <s v="General Medicine"/>
    <s v="dr priya"/>
    <s v="Dr Priya"/>
    <d v="2026-03-08T00:00:00"/>
    <s v="Valid"/>
    <b v="1"/>
    <b v="1"/>
    <d v="2026-02-27T00:00:00"/>
    <s v="+912289887809"/>
    <s v="912289887809"/>
    <s v="2289887809"/>
    <s v="Valid"/>
    <s v="wchoudhary@gmail.com"/>
    <s v="Yes"/>
    <n v="2313.8000000000002"/>
    <s v="NO"/>
    <n v="466"/>
    <n v="466"/>
    <s v="K21"/>
  </r>
  <r>
    <s v="P1820"/>
    <s v="Lakshit Choudhury"/>
    <s v="Lakshit Choudhury"/>
    <x v="1"/>
    <n v="47"/>
    <n v="47"/>
    <s v="Pediatrics"/>
    <s v="Pediatrics"/>
    <s v="Dr Mehta"/>
    <s v="Dr Mehta"/>
    <d v="2026-04-12T00:00:00"/>
    <s v="Valid"/>
    <b v="1"/>
    <b v="1"/>
    <d v="2026-03-19T00:00:00"/>
    <s v="4111836831"/>
    <s v="4111836831"/>
    <s v="4111836831"/>
    <s v="Valid"/>
    <s v="hbajaj@yahoo.com"/>
    <m/>
    <n v="19722.95"/>
    <s v="Y"/>
    <n v="510"/>
    <n v="510"/>
    <s v="M54"/>
  </r>
  <r>
    <s v="P1821"/>
    <s v="Shamik Gulati"/>
    <s v="Shamik Gulati"/>
    <x v="1"/>
    <n v="53"/>
    <n v="53"/>
    <s v="General Medicine"/>
    <s v="General Medicine"/>
    <s v="dr priya"/>
    <s v="Dr Priya"/>
    <d v="2025-12-26T00:00:00"/>
    <s v="Valid"/>
    <b v="1"/>
    <b v="1"/>
    <d v="2025-11-26T00:00:00"/>
    <s v="04533329148"/>
    <s v="04533329148"/>
    <s v="4533329148"/>
    <s v="Valid"/>
    <s v="xkaran@gmail.com"/>
    <s v="Yes"/>
    <n v="11175.95"/>
    <s v="Yes"/>
    <n v="467"/>
    <n v="467"/>
    <s v="K21"/>
  </r>
  <r>
    <s v="P1822"/>
    <s v="Ivan Malhotra"/>
    <s v="Ivan Malhotra"/>
    <x v="2"/>
    <n v="11"/>
    <n v="11"/>
    <s v="ENT"/>
    <s v="ENT"/>
    <s v="dr priya"/>
    <s v="Dr Priya"/>
    <d v="2026-02-22T00:00:00"/>
    <s v="Valid"/>
    <b v="1"/>
    <b v="1"/>
    <d v="2026-02-10T00:00:00"/>
    <s v="09581520644"/>
    <s v="09581520644"/>
    <s v="9581520644"/>
    <s v="Valid"/>
    <s v="jivikajain@chopra.info"/>
    <s v="Yes"/>
    <n v="10964.99"/>
    <m/>
    <n v="488"/>
    <n v="488"/>
    <s v="I10"/>
  </r>
  <r>
    <s v="P1823"/>
    <s v="Chirag Sodhi"/>
    <s v="Chirag Sodhi"/>
    <x v="4"/>
    <n v="74"/>
    <n v="74"/>
    <s v="Cardiology"/>
    <s v="Cardiology"/>
    <s v="Dr. Sharma"/>
    <s v="Dr. Sharma"/>
    <d v="2026-03-24T00:00:00"/>
    <s v="Valid"/>
    <b v="1"/>
    <b v="1"/>
    <d v="2026-03-11T00:00:00"/>
    <s v="+914981919233"/>
    <s v="914981919233"/>
    <s v="4981919233"/>
    <s v="Valid"/>
    <s v="lgala@dave.info"/>
    <m/>
    <n v="22167.41"/>
    <s v="Yes"/>
    <n v="469"/>
    <n v="469"/>
    <s v="C34"/>
  </r>
  <r>
    <s v="P1824"/>
    <s v="Siya Das"/>
    <s v="Siya Das"/>
    <x v="2"/>
    <n v="45"/>
    <n v="45"/>
    <s v="Cardiology"/>
    <s v="Cardiology"/>
    <s v="Dr. Sharma"/>
    <s v="Dr. Sharma"/>
    <d v="2026-05-20T00:00:00"/>
    <s v="Valid"/>
    <b v="1"/>
    <b v="1"/>
    <d v="2026-04-22T00:00:00"/>
    <s v="+918134091496"/>
    <s v="918134091496"/>
    <s v="8134091496"/>
    <s v="Valid"/>
    <s v="shlok56@edwin.com"/>
    <s v="Yes"/>
    <n v="17567.32"/>
    <m/>
    <n v="429"/>
    <n v="429"/>
    <s v="E11"/>
  </r>
  <r>
    <s v="P1825"/>
    <s v="Shalv Soman"/>
    <s v="Shalv Soman"/>
    <x v="3"/>
    <n v="90"/>
    <n v="90"/>
    <s v="ENT"/>
    <s v="ENT"/>
    <s v="dr priya"/>
    <s v="Dr Priya"/>
    <d v="2026-03-14T00:00:00"/>
    <s v="Valid"/>
    <b v="1"/>
    <b v="1"/>
    <d v="2026-02-18T00:00:00"/>
    <s v="03098173467"/>
    <s v="03098173467"/>
    <s v="3098173467"/>
    <s v="Valid"/>
    <s v="dhruv82@korpal-saini.com"/>
    <s v="NO"/>
    <n v="22048.17"/>
    <s v="NO"/>
    <n v="118"/>
    <n v="118"/>
    <s v="A09"/>
  </r>
  <r>
    <s v="P1826"/>
    <s v="Tiya Shah"/>
    <s v="Tiya Shah"/>
    <x v="2"/>
    <n v="50"/>
    <n v="50"/>
    <s v="Orthopedics"/>
    <s v="Orthopedics"/>
    <s v="Dr. Sharma"/>
    <s v="Dr. Sharma"/>
    <d v="2026-02-24T00:00:00"/>
    <s v="Valid"/>
    <b v="1"/>
    <b v="1"/>
    <d v="2026-02-18T00:00:00"/>
    <s v="+911383854234"/>
    <s v="911383854234"/>
    <s v="1383854234"/>
    <s v="Valid"/>
    <s v="madantejas@kapadia.com"/>
    <s v="NO"/>
    <n v="12889.46"/>
    <s v="Yes"/>
    <n v="366"/>
    <n v="366"/>
    <s v="J20"/>
  </r>
  <r>
    <s v="P1827"/>
    <s v="Anika Dugal"/>
    <s v="Anika Dugal"/>
    <x v="4"/>
    <n v="3"/>
    <n v="3"/>
    <s v="Cardiology"/>
    <s v="Cardiology"/>
    <s v="Dr. Sharma"/>
    <s v="Dr. Sharma"/>
    <d v="2026-05-07T00:00:00"/>
    <s v="Valid"/>
    <b v="1"/>
    <b v="1"/>
    <d v="2026-04-30T00:00:00"/>
    <s v="1396906779"/>
    <s v="1396906779"/>
    <s v="1396906779"/>
    <s v="Valid"/>
    <s v="korpalpiya@yahoo.com"/>
    <s v="Y"/>
    <n v="18217.43"/>
    <s v="NO"/>
    <n v="474"/>
    <n v="474"/>
    <s v="I10"/>
  </r>
  <r>
    <s v="P1828"/>
    <s v="Kavya Goswami"/>
    <s v="Kavya Goswami"/>
    <x v="2"/>
    <n v="34"/>
    <n v="34"/>
    <s v="ENT"/>
    <s v="ENT"/>
    <s v="Dr Mehta"/>
    <s v="Dr Mehta"/>
    <d v="2025-11-23T00:00:00"/>
    <s v="Valid"/>
    <b v="1"/>
    <b v="1"/>
    <d v="2025-11-22T00:00:00"/>
    <s v="5701173758"/>
    <s v="5701173758"/>
    <s v="5701173758"/>
    <s v="Valid"/>
    <s v="ehsaanagarwal@yahoo.com"/>
    <s v="NO"/>
    <n v="11328.67"/>
    <s v="Yes"/>
    <n v="332"/>
    <n v="332"/>
    <s v="J20"/>
  </r>
  <r>
    <s v="P1829"/>
    <s v="Rania Sane"/>
    <s v="Rania Sane"/>
    <x v="5"/>
    <n v="75"/>
    <n v="75"/>
    <s v="Pediatrics"/>
    <s v="Pediatrics"/>
    <s v="dr priya"/>
    <s v="Dr Priya"/>
    <d v="2026-03-06T00:00:00"/>
    <s v="Valid"/>
    <b v="1"/>
    <b v="1"/>
    <d v="2026-02-25T00:00:00"/>
    <s v="+911624492488"/>
    <s v="911624492488"/>
    <s v="1624492488"/>
    <s v="Valid"/>
    <s v="kimayadube@gmail.com"/>
    <s v="Y"/>
    <n v="16739.669999999998"/>
    <s v="Y"/>
    <n v="465"/>
    <n v="465"/>
    <s v="M54"/>
  </r>
  <r>
    <s v="P1830"/>
    <s v="Damini Wali"/>
    <s v="Damini Wali"/>
    <x v="5"/>
    <n v="14"/>
    <n v="14"/>
    <s v="ENT"/>
    <s v="ENT"/>
    <s v="DR SHARMA"/>
    <s v="Dr Sharma"/>
    <d v="2026-04-07T00:00:00"/>
    <s v="Valid"/>
    <b v="1"/>
    <b v="1"/>
    <d v="2026-03-12T00:00:00"/>
    <s v="+911681959736"/>
    <s v="911681959736"/>
    <s v="1681959736"/>
    <s v="Valid"/>
    <s v="jayeshkunda@kapur-krish.com"/>
    <s v="N"/>
    <n v="11466.88"/>
    <s v="Y"/>
    <n v="464"/>
    <n v="464"/>
    <s v="M54"/>
  </r>
  <r>
    <s v="P1831"/>
    <s v="Indrajit Tak"/>
    <s v="Indrajit Tak"/>
    <x v="1"/>
    <n v="11"/>
    <n v="11"/>
    <s v="Neurology"/>
    <s v="Neurology"/>
    <s v="Dr Rao"/>
    <s v="Dr Rao"/>
    <d v="2026-01-07T00:00:00"/>
    <s v="Valid"/>
    <b v="1"/>
    <b v="1"/>
    <d v="2025-12-25T00:00:00"/>
    <s v="1002570658"/>
    <s v="1002570658"/>
    <s v="1002570658"/>
    <s v="Valid"/>
    <s v="tanya38@gulati-som.com"/>
    <s v="Yes"/>
    <n v="12011.08"/>
    <m/>
    <n v="139"/>
    <n v="139"/>
    <s v="J20"/>
  </r>
  <r>
    <s v="P1832"/>
    <s v="Taran Choudhry"/>
    <s v="Taran Choudhry"/>
    <x v="1"/>
    <n v="76"/>
    <n v="76"/>
    <s v="Dermatology"/>
    <s v="Dermatology"/>
    <s v="Dr. Sharma"/>
    <s v="Dr. Sharma"/>
    <d v="2026-02-11T00:00:00"/>
    <s v="Valid"/>
    <b v="1"/>
    <b v="1"/>
    <d v="2026-01-24T00:00:00"/>
    <s v="+918508196762"/>
    <s v="918508196762"/>
    <s v="8508196762"/>
    <s v="Valid"/>
    <s v="pacharya@yohannan-tella.com"/>
    <m/>
    <n v="15984.24"/>
    <m/>
    <n v="452"/>
    <n v="452"/>
    <s v="M54"/>
  </r>
  <r>
    <s v="P1833"/>
    <s v="Riya Trivedi"/>
    <s v="Riya Trivedi"/>
    <x v="1"/>
    <n v="21"/>
    <n v="21"/>
    <s v="Orthopedics"/>
    <s v="Orthopedics"/>
    <s v="Dr Mehta"/>
    <s v="Dr Mehta"/>
    <d v="2026-04-24T00:00:00"/>
    <s v="Valid"/>
    <b v="1"/>
    <b v="1"/>
    <d v="2026-04-09T00:00:00"/>
    <s v="06412308410"/>
    <s v="06412308410"/>
    <s v="6412308410"/>
    <s v="Valid"/>
    <s v="krish87@ratta.info"/>
    <m/>
    <n v="3408.75"/>
    <s v="NO"/>
    <n v="455"/>
    <n v="455"/>
    <s v="E11"/>
  </r>
  <r>
    <s v="P1834"/>
    <s v="Uthkarsh Chadha"/>
    <s v="Uthkarsh Chadha"/>
    <x v="3"/>
    <n v="61"/>
    <n v="61"/>
    <s v="Cardiology"/>
    <s v="Cardiology"/>
    <s v="Dr Mehta"/>
    <s v="Dr Mehta"/>
    <d v="2026-02-27T00:00:00"/>
    <s v="Valid"/>
    <b v="1"/>
    <b v="1"/>
    <d v="2026-01-28T00:00:00"/>
    <s v="6904056157"/>
    <s v="6904056157"/>
    <s v="6904056157"/>
    <s v="Valid"/>
    <s v="ramaswamyjhanvi@hotmail.com"/>
    <s v="N"/>
    <n v="23058.09"/>
    <s v="NO"/>
    <n v="408"/>
    <n v="408"/>
    <s v="K21"/>
  </r>
  <r>
    <s v="P1835"/>
    <s v="Advik Bose"/>
    <s v="Advik Bose"/>
    <x v="1"/>
    <n v="15"/>
    <n v="15"/>
    <s v="Neurology"/>
    <s v="Neurology"/>
    <s v="dr priya"/>
    <s v="Dr Priya"/>
    <d v="2026-02-14T00:00:00"/>
    <s v="Valid"/>
    <b v="1"/>
    <b v="1"/>
    <d v="2026-01-27T00:00:00"/>
    <s v="00595672977"/>
    <s v="00595672977"/>
    <s v="0595672977"/>
    <s v="Valid"/>
    <s v="aarav53@gupta.info"/>
    <s v="Y"/>
    <n v="1199"/>
    <s v="Y"/>
    <n v="160"/>
    <n v="160"/>
    <s v="J20"/>
  </r>
  <r>
    <s v="P1836"/>
    <s v="Indrans Boase"/>
    <s v="Indrans Boase"/>
    <x v="0"/>
    <n v="48"/>
    <n v="48"/>
    <s v="Oncology"/>
    <s v="Oncology"/>
    <s v="Dr. Sharma"/>
    <s v="Dr. Sharma"/>
    <d v="2026-05-11T00:00:00"/>
    <s v="Valid"/>
    <b v="1"/>
    <b v="1"/>
    <d v="2026-04-26T00:00:00"/>
    <s v="03320293484"/>
    <s v="03320293484"/>
    <s v="3320293484"/>
    <s v="Valid"/>
    <s v="varkeyaarav@hotmail.com"/>
    <s v="Yes"/>
    <n v="19821.849999999999"/>
    <s v="Y"/>
    <n v="501"/>
    <n v="501"/>
    <s v="A09"/>
  </r>
  <r>
    <s v="P1837"/>
    <s v="Shray Salvi"/>
    <s v="Shray Salvi"/>
    <x v="1"/>
    <n v="7"/>
    <n v="7"/>
    <s v="Oncology"/>
    <s v="Oncology"/>
    <s v="Dr. Sharma"/>
    <s v="Dr. Sharma"/>
    <d v="2026-01-28T00:00:00"/>
    <s v="Valid"/>
    <b v="1"/>
    <b v="1"/>
    <d v="2026-01-22T00:00:00"/>
    <s v="09258627857"/>
    <s v="09258627857"/>
    <s v="9258627857"/>
    <s v="Valid"/>
    <s v="subramanianshalv@gmail.com"/>
    <s v="Yes"/>
    <n v="20514.3"/>
    <m/>
    <n v="101"/>
    <n v="101"/>
    <s v="I10"/>
  </r>
  <r>
    <s v="P1838"/>
    <s v="Hunar Kakar"/>
    <s v="Hunar Kakar"/>
    <x v="2"/>
    <n v="9"/>
    <n v="9"/>
    <s v="Cardiology"/>
    <s v="Cardiology"/>
    <s v="dr priya"/>
    <s v="Dr Priya"/>
    <d v="2026-04-13T00:00:00"/>
    <s v="Valid"/>
    <b v="1"/>
    <b v="1"/>
    <d v="2026-03-29T00:00:00"/>
    <s v="+917341694517"/>
    <s v="917341694517"/>
    <s v="7341694517"/>
    <s v="Valid"/>
    <s v="htripathi@hotmail.com"/>
    <s v="Y"/>
    <n v="14230.95"/>
    <s v="NO"/>
    <n v="500"/>
    <n v="500"/>
    <s v="M54"/>
  </r>
  <r>
    <s v="P1839"/>
    <s v="Indrajit Sankaran"/>
    <s v="Indrajit Sankaran"/>
    <x v="3"/>
    <n v="78"/>
    <n v="78"/>
    <s v="Orthopedics"/>
    <s v="Orthopedics"/>
    <s v="Dr Mehta"/>
    <s v="Dr Mehta"/>
    <d v="2026-05-15T00:00:00"/>
    <s v="Valid"/>
    <b v="1"/>
    <b v="1"/>
    <d v="2026-04-29T00:00:00"/>
    <s v="00373222219"/>
    <s v="00373222219"/>
    <s v="0373222219"/>
    <s v="Valid"/>
    <s v="tarinihora@dewan-kohli.com"/>
    <m/>
    <n v="19089.63"/>
    <m/>
    <n v="176"/>
    <n v="176"/>
    <s v="K21"/>
  </r>
  <r>
    <s v="P1841"/>
    <s v="Tiya Mallick"/>
    <s v="Tiya Mallick"/>
    <x v="0"/>
    <n v="83"/>
    <n v="83"/>
    <s v="Neurology"/>
    <s v="Neurology"/>
    <s v="Dr Mehta"/>
    <s v="Dr Mehta"/>
    <d v="2026-01-18T00:00:00"/>
    <s v="Valid"/>
    <b v="1"/>
    <b v="1"/>
    <d v="2025-12-27T00:00:00"/>
    <s v="9671778878"/>
    <s v="9671778878"/>
    <s v="9671778878"/>
    <s v="Valid"/>
    <s v="fateh39@ratta.net"/>
    <s v="Yes"/>
    <n v="14385.47"/>
    <s v="Yes"/>
    <n v="387"/>
    <n v="387"/>
    <s v="C34"/>
  </r>
  <r>
    <s v="P1842"/>
    <s v="Ishita Brahmbhatt"/>
    <s v="Ishita Brahmbhatt"/>
    <x v="2"/>
    <n v="83"/>
    <n v="83"/>
    <s v="Neurology"/>
    <s v="Neurology"/>
    <s v="DR SHARMA"/>
    <s v="Dr Sharma"/>
    <d v="2026-04-19T00:00:00"/>
    <s v="Valid"/>
    <b v="1"/>
    <b v="1"/>
    <d v="2026-03-20T00:00:00"/>
    <s v="8960354124"/>
    <s v="8960354124"/>
    <s v="8960354124"/>
    <s v="Valid"/>
    <s v="qmangat@gmail.com"/>
    <s v="Yes"/>
    <n v="23940.86"/>
    <s v="N"/>
    <n v="484"/>
    <n v="484"/>
    <s v="M54"/>
  </r>
  <r>
    <s v="P1843"/>
    <s v="Shaan Bala"/>
    <s v="Shaan Bala"/>
    <x v="0"/>
    <n v="16"/>
    <n v="16"/>
    <s v="Orthopedics"/>
    <s v="Orthopedics"/>
    <s v="Dr Rao"/>
    <s v="Dr Rao"/>
    <d v="2026-03-25T00:00:00"/>
    <s v="Valid"/>
    <b v="1"/>
    <b v="1"/>
    <d v="2026-03-17T00:00:00"/>
    <s v="09710694788"/>
    <s v="09710694788"/>
    <s v="9710694788"/>
    <s v="Valid"/>
    <s v="bailadvika@gmail.com"/>
    <s v="NO"/>
    <n v="6283.11"/>
    <m/>
    <n v="143"/>
    <n v="143"/>
    <s v="K21"/>
  </r>
  <r>
    <s v="P1844"/>
    <s v="Prerak Shroff"/>
    <s v="Prerak Shroff"/>
    <x v="2"/>
    <n v="52"/>
    <n v="52"/>
    <s v="Cardiology"/>
    <s v="Cardiology"/>
    <s v="Dr Khan"/>
    <s v="Dr Khan"/>
    <d v="2026-03-24T00:00:00"/>
    <s v="Valid"/>
    <b v="1"/>
    <b v="1"/>
    <d v="2026-02-25T00:00:00"/>
    <s v="+913784696920"/>
    <s v="913784696920"/>
    <s v="3784696920"/>
    <s v="Valid"/>
    <s v="bhaminiaurora@yahoo.com"/>
    <s v="Yes"/>
    <n v="8630.92"/>
    <s v="Y"/>
    <n v="312"/>
    <n v="312"/>
    <s v="I10"/>
  </r>
  <r>
    <s v="P1845"/>
    <s v="Renee Biswas"/>
    <s v="Renee Biswas"/>
    <x v="2"/>
    <n v="49"/>
    <n v="49"/>
    <s v="Oncology"/>
    <s v="Oncology"/>
    <s v="Dr Mehta"/>
    <s v="Dr Mehta"/>
    <d v="2025-12-30T00:00:00"/>
    <s v="Valid"/>
    <b v="1"/>
    <b v="1"/>
    <d v="2025-12-27T00:00:00"/>
    <s v="+912049796512"/>
    <s v="912049796512"/>
    <s v="2049796512"/>
    <s v="Valid"/>
    <s v="vyasanvi@chaudry.com"/>
    <s v="NO"/>
    <n v="13636.13"/>
    <s v="Yes"/>
    <n v="173"/>
    <n v="173"/>
    <s v="E11"/>
  </r>
  <r>
    <s v="P1846"/>
    <s v="Shray Agrawal"/>
    <s v="Shray Agrawal"/>
    <x v="0"/>
    <n v="12"/>
    <n v="12"/>
    <s v="Orthopedics"/>
    <s v="Orthopedics"/>
    <s v="Dr. Sharma"/>
    <s v="Dr. Sharma"/>
    <d v="2026-01-12T00:00:00"/>
    <s v="Valid"/>
    <b v="1"/>
    <b v="1"/>
    <d v="2025-12-13T00:00:00"/>
    <s v="03629450243"/>
    <s v="03629450243"/>
    <s v="3629450243"/>
    <s v="Valid"/>
    <s v="jayan58@agrawal.com"/>
    <m/>
    <n v="17029.490000000002"/>
    <s v="Yes"/>
    <n v="414"/>
    <n v="414"/>
    <s v="J20"/>
  </r>
  <r>
    <s v="P1847"/>
    <s v="Aaina Randhawa"/>
    <s v="Aaina Randhawa"/>
    <x v="4"/>
    <n v="4"/>
    <n v="4"/>
    <s v="Cardiology"/>
    <s v="Cardiology"/>
    <s v="Dr. Sharma"/>
    <s v="Dr. Sharma"/>
    <d v="2026-01-09T00:00:00"/>
    <s v="Valid"/>
    <b v="1"/>
    <b v="1"/>
    <d v="2025-12-28T00:00:00"/>
    <s v="+913877918360"/>
    <s v="913877918360"/>
    <s v="3877918360"/>
    <s v="Valid"/>
    <s v="akarshbhalla@garg.biz"/>
    <s v="NO"/>
    <n v="8137.03"/>
    <m/>
    <n v="265"/>
    <n v="265"/>
    <s v="J20"/>
  </r>
  <r>
    <s v="P1848"/>
    <s v="Lavanya Golla"/>
    <s v="Lavanya Golla"/>
    <x v="1"/>
    <n v="16"/>
    <n v="16"/>
    <s v="Cardiology"/>
    <s v="Cardiology"/>
    <s v="DR SHARMA"/>
    <s v="Dr Sharma"/>
    <d v="2026-05-12T00:00:00"/>
    <s v="Valid"/>
    <b v="1"/>
    <b v="1"/>
    <d v="2026-05-05T00:00:00"/>
    <s v="7193482358"/>
    <s v="7193482358"/>
    <s v="7193482358"/>
    <s v="Valid"/>
    <s v="kulkarniazad@gmail.com"/>
    <s v="NO"/>
    <n v="12425.89"/>
    <m/>
    <n v="158"/>
    <n v="158"/>
    <s v="J20"/>
  </r>
  <r>
    <s v="P1849"/>
    <s v="Nirvaan Bhakta"/>
    <s v="Nirvaan Bhakta"/>
    <x v="0"/>
    <n v="41"/>
    <n v="41"/>
    <s v="General Medicine"/>
    <s v="General Medicine"/>
    <s v="dr priya"/>
    <s v="Dr Priya"/>
    <d v="2026-02-14T00:00:00"/>
    <s v="Valid"/>
    <b v="1"/>
    <b v="1"/>
    <d v="2026-02-12T00:00:00"/>
    <s v="8641158424"/>
    <s v="8641158424"/>
    <s v="8641158424"/>
    <s v="Valid"/>
    <s v="samiha88@sankaran.com"/>
    <m/>
    <n v="916.88"/>
    <s v="N"/>
    <n v="109"/>
    <n v="109"/>
    <s v="J20"/>
  </r>
  <r>
    <s v="P1851"/>
    <s v="Nayantara Raju"/>
    <s v="Nayantara Raju"/>
    <x v="2"/>
    <n v="70"/>
    <n v="70"/>
    <s v="Orthopedics"/>
    <s v="Orthopedics"/>
    <s v="DR SHARMA"/>
    <s v="Dr Sharma"/>
    <d v="2026-01-27T00:00:00"/>
    <s v="Valid"/>
    <b v="1"/>
    <b v="1"/>
    <d v="2026-01-10T00:00:00"/>
    <s v="2024507162"/>
    <s v="2024507162"/>
    <s v="2024507162"/>
    <s v="Valid"/>
    <s v="vyasarnav@balasubramanian-chopra.com"/>
    <m/>
    <n v="24041.53"/>
    <m/>
    <n v="121"/>
    <n v="121"/>
    <s v="I10"/>
  </r>
  <r>
    <s v="P1853"/>
    <s v="Akarsh Karan"/>
    <s v="Akarsh Karan"/>
    <x v="0"/>
    <n v="88"/>
    <n v="88"/>
    <s v="Dermatology"/>
    <s v="Dermatology"/>
    <s v="dr priya"/>
    <s v="Dr Priya"/>
    <d v="2026-01-29T00:00:00"/>
    <s v="Valid"/>
    <b v="1"/>
    <b v="1"/>
    <d v="2026-01-03T00:00:00"/>
    <s v="+915390854322"/>
    <s v="915390854322"/>
    <s v="5390854322"/>
    <s v="Valid"/>
    <s v="dinvivaan@yahoo.com"/>
    <s v="NO"/>
    <n v="14711.95"/>
    <s v="Yes"/>
    <n v="123"/>
    <n v="123"/>
    <s v="E11"/>
  </r>
  <r>
    <s v="P1854"/>
    <s v="Ranbir Walia"/>
    <s v="Ranbir Walia"/>
    <x v="2"/>
    <n v="39"/>
    <n v="39"/>
    <s v="Neurology"/>
    <s v="Neurology"/>
    <s v="dr priya"/>
    <s v="Dr Priya"/>
    <d v="2025-12-12T00:00:00"/>
    <s v="Valid"/>
    <b v="1"/>
    <b v="1"/>
    <d v="2025-11-20T00:00:00"/>
    <s v="+917653208502"/>
    <s v="917653208502"/>
    <s v="7653208502"/>
    <s v="Valid"/>
    <s v="ayeshakarnik@gmail.com"/>
    <s v="NO"/>
    <n v="20796.349999999999"/>
    <s v="Yes"/>
    <n v="549"/>
    <n v="549"/>
    <s v="M54"/>
  </r>
  <r>
    <s v="P1855"/>
    <s v="Hansh Dugar"/>
    <s v="Hansh Dugar"/>
    <x v="5"/>
    <n v="79"/>
    <n v="79"/>
    <s v="ENT"/>
    <s v="ENT"/>
    <s v="dr priya"/>
    <s v="Dr Priya"/>
    <d v="2025-12-27T00:00:00"/>
    <s v="Valid"/>
    <b v="1"/>
    <b v="1"/>
    <d v="2025-12-07T00:00:00"/>
    <s v="+914387197632"/>
    <s v="914387197632"/>
    <s v="4387197632"/>
    <s v="Valid"/>
    <s v="sharmastuvan@hotmail.com"/>
    <s v="Y"/>
    <n v="24495.08"/>
    <m/>
    <n v="239"/>
    <n v="239"/>
    <s v="E11"/>
  </r>
  <r>
    <s v="P1856"/>
    <s v="Riaan Mallick"/>
    <s v="Riaan Mallick"/>
    <x v="2"/>
    <n v="44"/>
    <n v="44"/>
    <s v="Pediatrics"/>
    <s v="Pediatrics"/>
    <s v="Dr Khan"/>
    <s v="Dr Khan"/>
    <d v="2026-05-17T00:00:00"/>
    <s v="Valid"/>
    <b v="1"/>
    <b v="1"/>
    <d v="2026-04-17T00:00:00"/>
    <s v="+916904477813"/>
    <s v="916904477813"/>
    <s v="6904477813"/>
    <s v="Valid"/>
    <s v="tsandhu@gmail.com"/>
    <s v="N"/>
    <n v="593.69000000000005"/>
    <s v="Y"/>
    <n v="430"/>
    <n v="430"/>
    <s v="I10"/>
  </r>
  <r>
    <s v="P1857"/>
    <s v="Hazel Chaudhry"/>
    <s v="Hazel Chaudhry"/>
    <x v="3"/>
    <n v="1"/>
    <n v="1"/>
    <s v="Cardiology"/>
    <s v="Cardiology"/>
    <s v="Dr Mehta"/>
    <s v="Dr Mehta"/>
    <d v="2025-12-28T00:00:00"/>
    <s v="Valid"/>
    <b v="1"/>
    <b v="1"/>
    <d v="2025-12-15T00:00:00"/>
    <s v="02138508430"/>
    <s v="02138508430"/>
    <s v="2138508430"/>
    <s v="Valid"/>
    <s v="qvyas@yahoo.com"/>
    <m/>
    <n v="19109.14"/>
    <s v="NO"/>
    <n v="503"/>
    <n v="503"/>
    <s v="C34"/>
  </r>
  <r>
    <s v="P1858"/>
    <s v="Vidur Lala"/>
    <s v="Vidur Lala"/>
    <x v="2"/>
    <n v="69"/>
    <n v="69"/>
    <s v="Cardiology"/>
    <s v="Cardiology"/>
    <s v="Dr Khan"/>
    <s v="Dr Khan"/>
    <d v="2026-05-09T00:00:00"/>
    <s v="Valid"/>
    <b v="1"/>
    <b v="1"/>
    <d v="2026-04-18T00:00:00"/>
    <s v="05119084581"/>
    <s v="05119084581"/>
    <s v="5119084581"/>
    <s v="Valid"/>
    <s v="nityadhar@gmail.com"/>
    <s v="NO"/>
    <n v="8954.27"/>
    <m/>
    <n v="523"/>
    <n v="523"/>
    <s v="A09"/>
  </r>
  <r>
    <s v="P1859"/>
    <s v="Umang Ramachandran"/>
    <s v="Umang Ramachandran"/>
    <x v="2"/>
    <n v="50"/>
    <n v="50"/>
    <s v="Orthopedics"/>
    <s v="Orthopedics"/>
    <s v="Dr Rao"/>
    <s v="Dr Rao"/>
    <d v="2026-01-28T00:00:00"/>
    <s v="Valid"/>
    <b v="1"/>
    <b v="1"/>
    <d v="2026-01-25T00:00:00"/>
    <s v="+915971170235"/>
    <s v="915971170235"/>
    <s v="5971170235"/>
    <s v="Valid"/>
    <s v="mirayabail@golla.com"/>
    <m/>
    <n v="9387.92"/>
    <s v="N"/>
    <n v="327"/>
    <n v="327"/>
    <s v="I10"/>
  </r>
  <r>
    <s v="P1860"/>
    <s v="Mannat Madan"/>
    <s v="Mannat Madan"/>
    <x v="5"/>
    <n v="3"/>
    <n v="3"/>
    <s v="Oncology"/>
    <s v="Oncology"/>
    <s v="dr priya"/>
    <s v="Dr Priya"/>
    <d v="2025-12-19T00:00:00"/>
    <s v="Valid"/>
    <b v="1"/>
    <b v="1"/>
    <d v="2025-12-13T00:00:00"/>
    <s v="+912223617937"/>
    <s v="912223617937"/>
    <s v="2223617937"/>
    <s v="Valid"/>
    <s v="himmat31@yahoo.com"/>
    <s v="NO"/>
    <n v="20443.759999999998"/>
    <s v="Yes"/>
    <n v="513"/>
    <n v="513"/>
    <s v="C34"/>
  </r>
  <r>
    <s v="P1861"/>
    <s v="Saksham Sood"/>
    <s v="Saksham Sood"/>
    <x v="5"/>
    <n v="30"/>
    <n v="30"/>
    <s v="General Medicine"/>
    <s v="General Medicine"/>
    <s v="dr priya"/>
    <s v="Dr Priya"/>
    <d v="2026-04-16T00:00:00"/>
    <s v="Valid"/>
    <b v="1"/>
    <b v="1"/>
    <d v="2026-04-15T00:00:00"/>
    <s v="1470310986"/>
    <s v="1470310986"/>
    <s v="1470310986"/>
    <s v="Valid"/>
    <s v="alisha46@yahoo.com"/>
    <s v="Y"/>
    <n v="12422.38"/>
    <s v="N"/>
    <n v="103"/>
    <n v="103"/>
    <s v="E11"/>
  </r>
  <r>
    <s v="P1862"/>
    <s v="Reyansh Lata"/>
    <s v="Reyansh Lata"/>
    <x v="1"/>
    <n v="15"/>
    <n v="15"/>
    <s v="Oncology"/>
    <s v="Oncology"/>
    <s v="Dr Khan"/>
    <s v="Dr Khan"/>
    <d v="2026-02-22T00:00:00"/>
    <s v="Valid"/>
    <b v="1"/>
    <b v="1"/>
    <d v="2026-02-17T00:00:00"/>
    <s v="5954916809"/>
    <s v="5954916809"/>
    <s v="5954916809"/>
    <s v="Valid"/>
    <s v="mishachanda@hotmail.com"/>
    <s v="NO"/>
    <n v="16563.990000000002"/>
    <s v="Y"/>
    <n v="133"/>
    <n v="133"/>
    <s v="A09"/>
  </r>
  <r>
    <s v="P1863"/>
    <s v="Aaryahi Kaur"/>
    <s v="Aaryahi Kaur"/>
    <x v="4"/>
    <n v="9"/>
    <n v="9"/>
    <s v="Orthopedics"/>
    <s v="Orthopedics"/>
    <s v="Dr. Sharma"/>
    <s v="Dr. Sharma"/>
    <d v="2026-06-01T00:00:00"/>
    <s v="Valid"/>
    <b v="1"/>
    <b v="1"/>
    <d v="2026-05-03T00:00:00"/>
    <s v="5604127413"/>
    <s v="5604127413"/>
    <s v="5604127413"/>
    <s v="Valid"/>
    <s v="wadhwaneysa@chanda-vora.info"/>
    <s v="NO"/>
    <n v="22048.880000000001"/>
    <s v="Yes"/>
    <n v="198"/>
    <n v="198"/>
    <s v="K21"/>
  </r>
  <r>
    <s v="P1865"/>
    <s v="Vivaan Bora"/>
    <s v="Vivaan Bora"/>
    <x v="1"/>
    <n v="53"/>
    <n v="53"/>
    <s v="Oncology"/>
    <s v="Oncology"/>
    <s v="Dr Mehta"/>
    <s v="Dr Mehta"/>
    <d v="2025-12-09T00:00:00"/>
    <s v="Valid"/>
    <b v="1"/>
    <b v="1"/>
    <d v="2025-11-18T00:00:00"/>
    <s v="+914402409793"/>
    <s v="914402409793"/>
    <s v="4402409793"/>
    <s v="Valid"/>
    <s v="valakashvi@gmail.com"/>
    <m/>
    <n v="12490.25"/>
    <s v="Yes"/>
    <n v="469"/>
    <n v="469"/>
    <s v="E11"/>
  </r>
  <r>
    <s v="P1866"/>
    <s v="Shray Gupta"/>
    <s v="Shray Gupta"/>
    <x v="0"/>
    <n v="36"/>
    <n v="36"/>
    <s v="Dermatology"/>
    <s v="Dermatology"/>
    <s v="Dr Khan"/>
    <s v="Dr Khan"/>
    <d v="2026-03-03T00:00:00"/>
    <s v="Valid"/>
    <b v="1"/>
    <b v="1"/>
    <d v="2026-02-21T00:00:00"/>
    <s v="+911138744646"/>
    <s v="911138744646"/>
    <s v="1138744646"/>
    <s v="Valid"/>
    <s v="nakul91@trivedi.org"/>
    <s v="Yes"/>
    <n v="9918.1"/>
    <s v="NO"/>
    <n v="141"/>
    <n v="141"/>
    <s v="A09"/>
  </r>
  <r>
    <s v="P1867"/>
    <s v="Pranay Dube"/>
    <s v="Pranay Dube"/>
    <x v="0"/>
    <n v="29"/>
    <n v="29"/>
    <s v="Dermatology"/>
    <s v="Dermatology"/>
    <s v="Dr Mehta"/>
    <s v="Dr Mehta"/>
    <d v="2026-03-31T00:00:00"/>
    <s v="Valid"/>
    <b v="1"/>
    <b v="1"/>
    <d v="2026-03-02T00:00:00"/>
    <s v="03358512982"/>
    <s v="03358512982"/>
    <s v="3358512982"/>
    <s v="Valid"/>
    <s v="nbahl@yahoo.com"/>
    <s v="NO"/>
    <n v="5082.55"/>
    <s v="NO"/>
    <n v="259"/>
    <n v="259"/>
    <s v="I10"/>
  </r>
  <r>
    <s v="P1868"/>
    <s v="Nishith Bhavsar"/>
    <s v="Nishith Bhavsar"/>
    <x v="2"/>
    <n v="4"/>
    <n v="4"/>
    <s v="General Medicine"/>
    <s v="General Medicine"/>
    <s v="dr priya"/>
    <s v="Dr Priya"/>
    <d v="2026-04-25T00:00:00"/>
    <s v="Valid"/>
    <b v="1"/>
    <b v="1"/>
    <d v="2026-03-31T00:00:00"/>
    <s v="+916010819930"/>
    <s v="916010819930"/>
    <s v="6010819930"/>
    <s v="Valid"/>
    <s v="edhar@yahoo.com"/>
    <s v="Yes"/>
    <n v="14894.76"/>
    <s v="NO"/>
    <n v="530"/>
    <n v="530"/>
    <s v="J20"/>
  </r>
  <r>
    <s v="P1869"/>
    <s v="Vanya Suri"/>
    <s v="Vanya Suri"/>
    <x v="5"/>
    <n v="14"/>
    <n v="14"/>
    <s v="General Medicine"/>
    <s v="General Medicine"/>
    <s v="DR SHARMA"/>
    <s v="Dr Sharma"/>
    <d v="2026-02-26T00:00:00"/>
    <s v="Valid"/>
    <b v="1"/>
    <b v="1"/>
    <d v="2026-01-27T00:00:00"/>
    <s v="1520657991"/>
    <s v="1520657991"/>
    <s v="1520657991"/>
    <s v="Valid"/>
    <s v="samairawalia@hotmail.com"/>
    <s v="N"/>
    <n v="20846.43"/>
    <s v="NO"/>
    <n v="366"/>
    <n v="366"/>
    <s v="K21"/>
  </r>
  <r>
    <s v="P1870"/>
    <s v="Ryan Bakshi"/>
    <s v="Ryan Bakshi"/>
    <x v="5"/>
    <n v="10"/>
    <n v="10"/>
    <s v="General Medicine"/>
    <s v="General Medicine"/>
    <s v="Dr Mehta"/>
    <s v="Dr Mehta"/>
    <d v="2026-03-16T00:00:00"/>
    <s v="Valid"/>
    <b v="1"/>
    <b v="1"/>
    <d v="2026-02-24T00:00:00"/>
    <s v="12345"/>
    <s v="12345"/>
    <s v="12345"/>
    <s v="Valid"/>
    <s v="kondaelakshi@hotmail.com"/>
    <m/>
    <n v="14557.57"/>
    <s v="NO"/>
    <n v="131"/>
    <n v="131"/>
    <s v="I10"/>
  </r>
  <r>
    <s v="P1871"/>
    <s v="Ishita Kibe"/>
    <s v="Ishita Kibe"/>
    <x v="1"/>
    <n v="41"/>
    <n v="41"/>
    <s v="Neurology"/>
    <s v="Neurology"/>
    <s v="Dr Mehta"/>
    <s v="Dr Mehta"/>
    <d v="2026-04-12T00:00:00"/>
    <s v="Valid"/>
    <b v="1"/>
    <b v="1"/>
    <d v="2026-04-11T00:00:00"/>
    <s v="+915757535547"/>
    <s v="915757535547"/>
    <s v="5757535547"/>
    <s v="Valid"/>
    <s v="krishtella@ganesan.com"/>
    <m/>
    <n v="1558.76"/>
    <m/>
    <n v="133"/>
    <n v="133"/>
    <s v="I10"/>
  </r>
  <r>
    <s v="P1872"/>
    <s v="Akarsh Issac"/>
    <s v="Akarsh Issac"/>
    <x v="0"/>
    <n v="72"/>
    <n v="72"/>
    <s v="Cardiology"/>
    <s v="Cardiology"/>
    <s v="Dr. Sharma"/>
    <s v="Dr. Sharma"/>
    <d v="2026-02-20T00:00:00"/>
    <s v="Valid"/>
    <b v="1"/>
    <b v="1"/>
    <d v="2026-01-24T00:00:00"/>
    <s v="+910642417890"/>
    <s v="910642417890"/>
    <s v="0642417890"/>
    <s v="Valid"/>
    <s v="aradhya53@yahoo.com"/>
    <m/>
    <n v="10161.74"/>
    <m/>
    <n v="219"/>
    <n v="219"/>
    <s v="K21"/>
  </r>
  <r>
    <s v="P1873"/>
    <s v="Vedika Dugar"/>
    <s v="Vedika Dugar"/>
    <x v="0"/>
    <n v="59"/>
    <n v="59"/>
    <s v="Dermatology"/>
    <s v="Dermatology"/>
    <s v="Dr Khan"/>
    <s v="Dr Khan"/>
    <d v="2026-05-14T00:00:00"/>
    <s v="Valid"/>
    <b v="1"/>
    <b v="1"/>
    <d v="2026-04-19T00:00:00"/>
    <s v="07398090396"/>
    <s v="07398090396"/>
    <s v="7398090396"/>
    <s v="Valid"/>
    <s v="oorja57@gmail.com"/>
    <m/>
    <n v="22022.47"/>
    <s v="NO"/>
    <n v="273"/>
    <n v="273"/>
    <s v="C34"/>
  </r>
  <r>
    <s v="P1874"/>
    <s v="Gatik Randhawa"/>
    <s v="Gatik Randhawa"/>
    <x v="0"/>
    <n v="59"/>
    <n v="59"/>
    <s v="ENT"/>
    <s v="ENT"/>
    <s v="DR SHARMA"/>
    <s v="Dr Sharma"/>
    <d v="2025-11-23T00:00:00"/>
    <s v="Valid"/>
    <b v="1"/>
    <b v="1"/>
    <d v="2025-11-20T00:00:00"/>
    <s v="2534964184"/>
    <s v="2534964184"/>
    <s v="2534964184"/>
    <s v="Valid"/>
    <s v="veersamra@mander-loyal.biz"/>
    <s v="NO"/>
    <n v="504.76"/>
    <s v="NO"/>
    <n v="403"/>
    <n v="403"/>
    <s v="K21"/>
  </r>
  <r>
    <s v="P1875"/>
    <s v="Rhea Shetty"/>
    <s v="Rhea Shetty"/>
    <x v="5"/>
    <n v="74"/>
    <n v="74"/>
    <s v="Orthopedics"/>
    <s v="Orthopedics"/>
    <s v="Dr. Sharma"/>
    <s v="Dr. Sharma"/>
    <d v="2025-12-11T00:00:00"/>
    <s v="Valid"/>
    <b v="1"/>
    <b v="1"/>
    <d v="2025-11-30T00:00:00"/>
    <s v="+918600651837"/>
    <s v="918600651837"/>
    <s v="8600651837"/>
    <s v="Valid"/>
    <s v="shalv82@yahoo.com"/>
    <m/>
    <n v="12138.7"/>
    <m/>
    <s v="Room-X"/>
    <n v="0"/>
    <s v="E11"/>
  </r>
  <r>
    <s v="P1876"/>
    <s v="Navya Mand"/>
    <s v="Navya Mand"/>
    <x v="4"/>
    <n v="6"/>
    <n v="6"/>
    <s v="Cardiology"/>
    <s v="Cardiology"/>
    <s v="Dr Mehta"/>
    <s v="Dr Mehta"/>
    <d v="2026-03-13T00:00:00"/>
    <s v="Valid"/>
    <b v="1"/>
    <b v="1"/>
    <d v="2026-03-04T00:00:00"/>
    <s v="+918609976851"/>
    <s v="918609976851"/>
    <s v="8609976851"/>
    <s v="Valid"/>
    <s v="aradhya47@gmail.com"/>
    <m/>
    <n v="12925.52"/>
    <s v="NO"/>
    <n v="259"/>
    <n v="259"/>
    <s v="A09"/>
  </r>
  <r>
    <s v="P1877"/>
    <s v="Anay Dugar"/>
    <s v="Anay Dugar"/>
    <x v="4"/>
    <n v="19"/>
    <n v="19"/>
    <s v="General Medicine"/>
    <s v="General Medicine"/>
    <s v="Dr. Sharma"/>
    <s v="Dr. Sharma"/>
    <d v="2025-12-28T00:00:00"/>
    <s v="Valid"/>
    <b v="1"/>
    <b v="1"/>
    <d v="2025-12-09T00:00:00"/>
    <s v="09220372303"/>
    <s v="09220372303"/>
    <s v="9220372303"/>
    <s v="Valid"/>
    <s v="kohlianvi@yogi-master.net"/>
    <s v="N"/>
    <n v="7418.39"/>
    <s v="Yes"/>
    <n v="365"/>
    <n v="365"/>
    <s v="A09"/>
  </r>
  <r>
    <s v="P1878"/>
    <s v="Taimur Manne"/>
    <s v="Taimur Manne"/>
    <x v="4"/>
    <n v="8"/>
    <n v="8"/>
    <s v="Pediatrics"/>
    <s v="Pediatrics"/>
    <s v="Dr Rao"/>
    <s v="Dr Rao"/>
    <d v="2026-01-28T00:00:00"/>
    <s v="Valid"/>
    <b v="1"/>
    <b v="1"/>
    <d v="2026-01-15T00:00:00"/>
    <s v="01987800812"/>
    <s v="01987800812"/>
    <s v="1987800812"/>
    <s v="Valid"/>
    <s v="nsarna@hotmail.com"/>
    <s v="N"/>
    <n v="5046.1000000000004"/>
    <s v="N"/>
    <n v="427"/>
    <n v="427"/>
    <s v="E11"/>
  </r>
  <r>
    <s v="P1879"/>
    <s v="Faiyaz Din"/>
    <s v="Faiyaz Din"/>
    <x v="2"/>
    <n v="44"/>
    <n v="44"/>
    <s v="Pediatrics"/>
    <s v="Pediatrics"/>
    <s v="Dr Khan"/>
    <s v="Dr Khan"/>
    <d v="2026-04-08T00:00:00"/>
    <s v="Valid"/>
    <b v="1"/>
    <b v="1"/>
    <d v="2026-03-17T00:00:00"/>
    <s v="00900351538"/>
    <s v="00900351538"/>
    <s v="0900351538"/>
    <s v="Valid"/>
    <s v="chaudhurisaira@gmail.com"/>
    <m/>
    <n v="15074.11"/>
    <s v="NO"/>
    <n v="536"/>
    <n v="536"/>
    <s v="A09"/>
  </r>
  <r>
    <s v="P1880"/>
    <s v="Manjari Deep"/>
    <s v="Manjari Deep"/>
    <x v="2"/>
    <n v="79"/>
    <n v="79"/>
    <s v="Oncology"/>
    <s v="Oncology"/>
    <s v="dr priya"/>
    <s v="Dr Priya"/>
    <d v="2026-02-28T00:00:00"/>
    <s v="Valid"/>
    <b v="1"/>
    <b v="1"/>
    <d v="2026-02-18T00:00:00"/>
    <s v="01534138884"/>
    <s v="01534138884"/>
    <s v="1534138884"/>
    <s v="Valid"/>
    <m/>
    <s v="Yes"/>
    <n v="2800.23"/>
    <s v="Yes"/>
    <n v="353"/>
    <n v="353"/>
    <s v="E11"/>
  </r>
  <r>
    <s v="P1881"/>
    <s v="Nayantara Iyer"/>
    <s v="Nayantara Iyer"/>
    <x v="0"/>
    <n v="82"/>
    <n v="82"/>
    <s v="Pediatrics"/>
    <s v="Pediatrics"/>
    <s v="DR SHARMA"/>
    <s v="Dr Sharma"/>
    <d v="2025-12-05T00:00:00"/>
    <s v="Valid"/>
    <b v="1"/>
    <b v="1"/>
    <d v="2025-11-21T00:00:00"/>
    <s v="+919835549658"/>
    <s v="919835549658"/>
    <s v="9835549658"/>
    <s v="Valid"/>
    <s v="wableraunak@gmail.com"/>
    <s v="NO"/>
    <n v="6127.67"/>
    <s v="NO"/>
    <n v="513"/>
    <n v="513"/>
    <s v="C34"/>
  </r>
  <r>
    <s v="P1882"/>
    <s v="Neysa Bava"/>
    <s v="Neysa Bava"/>
    <x v="1"/>
    <n v="27"/>
    <n v="27"/>
    <s v="Dermatology"/>
    <s v="Dermatology"/>
    <s v="Dr Mehta"/>
    <s v="Dr Mehta"/>
    <d v="2026-05-07T00:00:00"/>
    <s v="Valid"/>
    <b v="1"/>
    <b v="1"/>
    <d v="2026-04-11T00:00:00"/>
    <s v="+916145057479"/>
    <s v="916145057479"/>
    <s v="6145057479"/>
    <s v="Valid"/>
    <s v="anahi50@yahoo.com"/>
    <s v="Yes"/>
    <n v="9197.8700000000008"/>
    <s v="NO"/>
    <n v="283"/>
    <n v="283"/>
    <s v="I10"/>
  </r>
  <r>
    <s v="P1883"/>
    <s v="Lagan Raval"/>
    <s v="Lagan Raval"/>
    <x v="2"/>
    <n v="19"/>
    <n v="19"/>
    <s v="Oncology"/>
    <s v="Oncology"/>
    <s v="Dr Khan"/>
    <s v="Dr Khan"/>
    <d v="2025-11-26T00:00:00"/>
    <s v="Valid"/>
    <b v="1"/>
    <b v="1"/>
    <d v="2025-11-20T00:00:00"/>
    <s v="+918544049700"/>
    <s v="918544049700"/>
    <s v="8544049700"/>
    <s v="Valid"/>
    <s v="ddey@gmail.com"/>
    <s v="N"/>
    <n v="1288.8399999999999"/>
    <s v="Yes"/>
    <n v="201"/>
    <n v="201"/>
    <s v="E11"/>
  </r>
  <r>
    <s v="P1884"/>
    <s v="Raunak Kar"/>
    <s v="Raunak Kar"/>
    <x v="0"/>
    <n v="23"/>
    <n v="23"/>
    <s v="Pediatrics"/>
    <s v="Pediatrics"/>
    <s v="Dr. Sharma"/>
    <s v="Dr. Sharma"/>
    <d v="2026-03-31T00:00:00"/>
    <s v="Valid"/>
    <b v="1"/>
    <b v="1"/>
    <d v="2026-03-08T00:00:00"/>
    <s v="+910558172262"/>
    <s v="910558172262"/>
    <s v="0558172262"/>
    <s v="Valid"/>
    <s v="arhaanborah@manne-borah.com"/>
    <s v="Yes"/>
    <n v="8627.4699999999993"/>
    <s v="N"/>
    <n v="191"/>
    <n v="191"/>
    <s v="E11"/>
  </r>
  <r>
    <s v="P1886"/>
    <s v="Parinaaz Barad"/>
    <s v="Parinaaz Barad"/>
    <x v="0"/>
    <n v="59"/>
    <n v="59"/>
    <s v="Pediatrics"/>
    <s v="Pediatrics"/>
    <s v="dr priya"/>
    <s v="Dr Priya"/>
    <d v="2026-01-19T00:00:00"/>
    <s v="Valid"/>
    <b v="1"/>
    <b v="1"/>
    <d v="2025-12-25T00:00:00"/>
    <s v="4695202262"/>
    <s v="4695202262"/>
    <s v="4695202262"/>
    <s v="Valid"/>
    <s v="gbera@sani-madan.com"/>
    <s v="N"/>
    <n v="16590.54"/>
    <m/>
    <n v="549"/>
    <n v="549"/>
    <s v="C34"/>
  </r>
  <r>
    <s v="P1887"/>
    <s v="Myra Banik"/>
    <s v="Myra Banik"/>
    <x v="2"/>
    <n v="16"/>
    <n v="16"/>
    <s v="Orthopedics"/>
    <s v="Orthopedics"/>
    <s v="Dr Mehta"/>
    <s v="Dr Mehta"/>
    <d v="2026-05-06T00:00:00"/>
    <s v="Valid"/>
    <b v="1"/>
    <b v="1"/>
    <d v="2026-04-11T00:00:00"/>
    <s v="5120387227"/>
    <s v="5120387227"/>
    <s v="5120387227"/>
    <s v="Valid"/>
    <s v="sidhuira@shukla.biz"/>
    <s v="NO"/>
    <n v="4953.7"/>
    <m/>
    <n v="455"/>
    <n v="455"/>
    <s v="J20"/>
  </r>
  <r>
    <s v="P1888"/>
    <s v="Sumer Din"/>
    <s v="Sumer Din"/>
    <x v="2"/>
    <n v="77"/>
    <n v="77"/>
    <s v="Dermatology"/>
    <s v="Dermatology"/>
    <s v="DR SHARMA"/>
    <s v="Dr Sharma"/>
    <d v="2026-05-30T00:00:00"/>
    <s v="Valid"/>
    <b v="1"/>
    <b v="1"/>
    <d v="2026-05-01T00:00:00"/>
    <s v="+911015857577"/>
    <s v="911015857577"/>
    <s v="1015857577"/>
    <s v="Valid"/>
    <s v="zvarghese@sheth.net"/>
    <s v="Yes"/>
    <n v="19124.439999999999"/>
    <s v="N"/>
    <n v="537"/>
    <n v="537"/>
    <s v="A09"/>
  </r>
  <r>
    <s v="P1889"/>
    <s v="Kismat Sidhu"/>
    <s v="Kismat Sidhu"/>
    <x v="0"/>
    <n v="20"/>
    <n v="20"/>
    <s v="ENT"/>
    <s v="ENT"/>
    <s v="DR SHARMA"/>
    <s v="Dr Sharma"/>
    <d v="2025-12-10T00:00:00"/>
    <s v="Valid"/>
    <b v="1"/>
    <b v="1"/>
    <d v="2025-12-09T00:00:00"/>
    <s v="+913235442482"/>
    <s v="913235442482"/>
    <s v="3235442482"/>
    <s v="Valid"/>
    <s v="vanyabhandari@bali-chaudry.com"/>
    <s v="Y"/>
    <n v="21846.720000000001"/>
    <m/>
    <n v="207"/>
    <n v="207"/>
    <s v="C34"/>
  </r>
  <r>
    <s v="P1890"/>
    <s v="Badal Handa"/>
    <s v="Badal Handa"/>
    <x v="2"/>
    <n v="61"/>
    <n v="61"/>
    <s v="Neurology"/>
    <s v="Neurology"/>
    <s v="Dr Mehta"/>
    <s v="Dr Mehta"/>
    <d v="2026-01-17T00:00:00"/>
    <s v="Valid"/>
    <b v="1"/>
    <b v="1"/>
    <d v="2026-01-01T00:00:00"/>
    <s v="3776498944"/>
    <s v="3776498944"/>
    <s v="3776498944"/>
    <s v="Valid"/>
    <s v="hiran19@gmail.com"/>
    <m/>
    <n v="18832.439999999999"/>
    <s v="NO"/>
    <n v="355"/>
    <n v="355"/>
    <s v="A09"/>
  </r>
  <r>
    <s v="P1891"/>
    <s v="Anvi Sastry"/>
    <s v="Anvi Sastry"/>
    <x v="3"/>
    <n v="23"/>
    <n v="23"/>
    <s v="ENT"/>
    <s v="ENT"/>
    <s v="dr priya"/>
    <s v="Dr Priya"/>
    <d v="2025-12-07T00:00:00"/>
    <s v="Valid"/>
    <b v="1"/>
    <b v="1"/>
    <d v="2025-11-21T00:00:00"/>
    <s v="+919717970793"/>
    <s v="919717970793"/>
    <s v="9717970793"/>
    <s v="Valid"/>
    <s v="pdeep@sandhu.com"/>
    <m/>
    <n v="17948.12"/>
    <m/>
    <n v="342"/>
    <n v="342"/>
    <s v="J20"/>
  </r>
  <r>
    <s v="P1892"/>
    <s v="Saksham Behl"/>
    <s v="Saksham Behl"/>
    <x v="1"/>
    <n v="82"/>
    <n v="82"/>
    <s v="Cardiology"/>
    <s v="Cardiology"/>
    <s v="DR SHARMA"/>
    <s v="Dr Sharma"/>
    <d v="2026-01-02T00:00:00"/>
    <s v="Valid"/>
    <b v="1"/>
    <b v="1"/>
    <d v="2025-12-26T00:00:00"/>
    <s v="1515109442"/>
    <s v="1515109442"/>
    <s v="1515109442"/>
    <s v="Valid"/>
    <s v="rvarkey@yahoo.com"/>
    <s v="NO"/>
    <n v="11411.59"/>
    <s v="N"/>
    <n v="302"/>
    <n v="302"/>
    <s v="E11"/>
  </r>
  <r>
    <s v="P1893"/>
    <s v="Kavya Rout"/>
    <s v="Kavya Rout"/>
    <x v="0"/>
    <n v="55"/>
    <n v="55"/>
    <s v="Dermatology"/>
    <s v="Dermatology"/>
    <s v="Dr Mehta"/>
    <s v="Dr Mehta"/>
    <d v="2026-02-15T00:00:00"/>
    <s v="Valid"/>
    <b v="1"/>
    <b v="1"/>
    <d v="2026-01-17T00:00:00"/>
    <s v="+917595164610"/>
    <s v="917595164610"/>
    <s v="7595164610"/>
    <s v="Valid"/>
    <s v="grewallakshay@shankar.com"/>
    <s v="N"/>
    <n v="6512.33"/>
    <s v="NO"/>
    <n v="168"/>
    <n v="168"/>
    <s v="K21"/>
  </r>
  <r>
    <s v="P1894"/>
    <s v="Mishti Manda"/>
    <s v="Mishti Manda"/>
    <x v="2"/>
    <n v="38"/>
    <n v="38"/>
    <s v="General Medicine"/>
    <s v="General Medicine"/>
    <s v="dr priya"/>
    <s v="Dr Priya"/>
    <d v="2026-05-02T00:00:00"/>
    <s v="Valid"/>
    <b v="1"/>
    <b v="1"/>
    <d v="2026-04-25T00:00:00"/>
    <s v="+912682175426"/>
    <s v="912682175426"/>
    <s v="2682175426"/>
    <s v="Valid"/>
    <s v="kalabaiju@seshadri.com"/>
    <s v="Yes"/>
    <n v="11738.28"/>
    <s v="NO"/>
    <n v="318"/>
    <n v="318"/>
    <s v="M54"/>
  </r>
  <r>
    <s v="P1895"/>
    <s v="Heer Saran"/>
    <s v="Heer Saran"/>
    <x v="3"/>
    <n v="56"/>
    <n v="56"/>
    <s v="Dermatology"/>
    <s v="Dermatology"/>
    <s v="dr priya"/>
    <s v="Dr Priya"/>
    <d v="2026-05-10T00:00:00"/>
    <s v="Valid"/>
    <b v="1"/>
    <b v="1"/>
    <d v="2026-04-15T00:00:00"/>
    <s v="3617387085"/>
    <s v="3617387085"/>
    <s v="3617387085"/>
    <s v="Valid"/>
    <s v="arnav64@gmail.com"/>
    <m/>
    <n v="8062.11"/>
    <m/>
    <n v="112"/>
    <n v="112"/>
    <s v="E11"/>
  </r>
  <r>
    <s v="P1896"/>
    <s v="Yashvi Apte"/>
    <s v="Yashvi Apte"/>
    <x v="3"/>
    <n v="30"/>
    <n v="30"/>
    <s v="Oncology"/>
    <s v="Oncology"/>
    <s v="Dr Mehta"/>
    <s v="Dr Mehta"/>
    <d v="2025-12-18T00:00:00"/>
    <s v="Valid"/>
    <b v="1"/>
    <b v="1"/>
    <d v="2025-12-07T00:00:00"/>
    <s v="0129551913"/>
    <s v="0129551913"/>
    <s v="0129551913"/>
    <s v="Valid"/>
    <s v="gjohal@sabharwal.com"/>
    <s v="NO"/>
    <n v="7504.04"/>
    <s v="NO"/>
    <n v="502"/>
    <n v="502"/>
    <s v="J20"/>
  </r>
  <r>
    <s v="P1897"/>
    <s v="Ojas Kant"/>
    <s v="Ojas Kant"/>
    <x v="5"/>
    <n v="13"/>
    <n v="13"/>
    <s v="Neurology"/>
    <s v="Neurology"/>
    <s v="Dr Mehta"/>
    <s v="Dr Mehta"/>
    <d v="2025-12-16T00:00:00"/>
    <s v="Valid"/>
    <b v="1"/>
    <b v="1"/>
    <d v="2025-12-05T00:00:00"/>
    <s v="+919461141514"/>
    <s v="919461141514"/>
    <s v="9461141514"/>
    <s v="Valid"/>
    <s v="abram01@gmail.com"/>
    <s v="Yes"/>
    <n v="13741.45"/>
    <s v="NO"/>
    <n v="200"/>
    <n v="200"/>
    <s v="C34"/>
  </r>
  <r>
    <s v="P1898"/>
    <s v="Keya Kapadia"/>
    <s v="Keya Kapadia"/>
    <x v="2"/>
    <n v="33"/>
    <n v="33"/>
    <s v="Oncology"/>
    <s v="Oncology"/>
    <s v="Dr. Sharma"/>
    <s v="Dr. Sharma"/>
    <d v="2026-03-05T00:00:00"/>
    <s v="Valid"/>
    <b v="1"/>
    <b v="1"/>
    <d v="2026-02-27T00:00:00"/>
    <s v="06267103955"/>
    <s v="06267103955"/>
    <s v="6267103955"/>
    <s v="Valid"/>
    <s v="trivediadah@rajan.com"/>
    <s v="Yes"/>
    <n v="24960.45"/>
    <s v="Yes"/>
    <n v="104"/>
    <n v="104"/>
    <s v="K21"/>
  </r>
  <r>
    <s v="P1899"/>
    <s v="Adira Cheema"/>
    <s v="Adira Cheema"/>
    <x v="0"/>
    <n v="37"/>
    <n v="37"/>
    <s v="ENT"/>
    <s v="ENT"/>
    <s v="dr priya"/>
    <s v="Dr Priya"/>
    <d v="2026-03-29T00:00:00"/>
    <s v="Valid"/>
    <b v="1"/>
    <b v="1"/>
    <d v="2026-02-27T00:00:00"/>
    <s v="6822244500"/>
    <s v="6822244500"/>
    <s v="6822244500"/>
    <s v="Valid"/>
    <s v="purabvarughese@bal-sood.net"/>
    <m/>
    <n v="20582.16"/>
    <s v="Yes"/>
    <n v="341"/>
    <n v="341"/>
    <s v="C34"/>
  </r>
  <r>
    <s v="P1900"/>
    <s v="  Piya Vaidya "/>
    <s v="Piya Vaidya"/>
    <x v="4"/>
    <n v="51"/>
    <n v="51"/>
    <s v="Pediatrics"/>
    <s v="Pediatrics"/>
    <s v="DR SHARMA"/>
    <s v="Dr Sharma"/>
    <d v="2026-01-20T00:00:00"/>
    <s v="Valid"/>
    <b v="1"/>
    <b v="1"/>
    <d v="2025-12-28T00:00:00"/>
    <s v="+916621928279"/>
    <s v="916621928279"/>
    <s v="6621928279"/>
    <s v="Valid"/>
    <s v="fjani@yahoo.com"/>
    <s v="NO"/>
    <n v="11966.07"/>
    <m/>
    <n v="469"/>
    <n v="469"/>
    <s v="K21"/>
  </r>
  <r>
    <s v="P1901"/>
    <s v="Samar Lalla"/>
    <s v="Samar Lalla"/>
    <x v="3"/>
    <n v="44"/>
    <n v="44"/>
    <s v="Neurology"/>
    <s v="Neurology"/>
    <s v="dr priya"/>
    <s v="Dr Priya"/>
    <d v="2026-02-12T00:00:00"/>
    <s v="Valid"/>
    <b v="1"/>
    <b v="1"/>
    <d v="2026-01-16T00:00:00"/>
    <s v="+918360964300"/>
    <s v="918360964300"/>
    <s v="8360964300"/>
    <s v="Valid"/>
    <s v="fvohra@yahoo.com"/>
    <s v="NO"/>
    <n v="10834.07"/>
    <m/>
    <n v="207"/>
    <n v="207"/>
    <s v="M54"/>
  </r>
  <r>
    <s v="P1902"/>
    <s v="Navya Taneja"/>
    <s v="Navya Taneja"/>
    <x v="3"/>
    <n v="72"/>
    <n v="72"/>
    <s v="Cardiology"/>
    <s v="Cardiology"/>
    <s v="dr priya"/>
    <s v="Dr Priya"/>
    <d v="2025-12-28T00:00:00"/>
    <s v="Valid"/>
    <b v="1"/>
    <b v="1"/>
    <d v="2025-12-24T00:00:00"/>
    <s v="+912969817701"/>
    <s v="912969817701"/>
    <s v="2969817701"/>
    <s v="Valid"/>
    <s v="tchoudhury@hotmail.com"/>
    <s v="Yes"/>
    <n v="7778.18"/>
    <s v="Yes"/>
    <n v="355"/>
    <n v="355"/>
    <s v="K21"/>
  </r>
  <r>
    <s v="P1903"/>
    <s v="Diya Chowdhury"/>
    <s v="Diya Chowdhury"/>
    <x v="2"/>
    <n v="44"/>
    <n v="44"/>
    <s v="Pediatrics"/>
    <s v="Pediatrics"/>
    <s v="dr priya"/>
    <s v="Dr Priya"/>
    <d v="2026-03-04T00:00:00"/>
    <s v="Valid"/>
    <b v="1"/>
    <b v="1"/>
    <d v="2026-02-19T00:00:00"/>
    <s v="+916917576194"/>
    <s v="916917576194"/>
    <s v="6917576194"/>
    <s v="Valid"/>
    <s v="lalaishita@bhargava.com"/>
    <m/>
    <n v="19118.47"/>
    <s v="Yes"/>
    <n v="266"/>
    <n v="266"/>
    <s v="A09"/>
  </r>
  <r>
    <s v="P1904"/>
    <s v="Samiha Doctor"/>
    <s v="Samiha Doctor"/>
    <x v="0"/>
    <n v="73"/>
    <n v="73"/>
    <s v="Cardiology"/>
    <s v="Cardiology"/>
    <s v="Dr Mehta"/>
    <s v="Dr Mehta"/>
    <d v="2026-04-10T00:00:00"/>
    <s v="Valid"/>
    <b v="1"/>
    <b v="1"/>
    <d v="2026-04-06T00:00:00"/>
    <s v="+910967248506"/>
    <s v="910967248506"/>
    <s v="0967248506"/>
    <s v="Valid"/>
    <s v="reddymadhup@gmail.com"/>
    <s v="N"/>
    <n v="14291.13"/>
    <m/>
    <n v="295"/>
    <n v="295"/>
    <s v="E11"/>
  </r>
  <r>
    <s v="P1905"/>
    <s v="Ahana  Shah"/>
    <s v="Ahana Shah"/>
    <x v="1"/>
    <n v="9"/>
    <n v="9"/>
    <s v="Dermatology"/>
    <s v="Dermatology"/>
    <s v="DR SHARMA"/>
    <s v="Dr Sharma"/>
    <d v="2026-04-27T00:00:00"/>
    <s v="Valid"/>
    <b v="1"/>
    <b v="1"/>
    <d v="2026-04-12T00:00:00"/>
    <s v="07264184036"/>
    <s v="07264184036"/>
    <s v="7264184036"/>
    <s v="Valid"/>
    <s v="yakshitdalia@goel-sachdeva.com"/>
    <s v="NO"/>
    <n v="8355.27"/>
    <m/>
    <n v="427"/>
    <n v="427"/>
    <s v="J20"/>
  </r>
  <r>
    <s v="P1906"/>
    <s v="Nitara Bobal"/>
    <s v="Nitara Bobal"/>
    <x v="2"/>
    <n v="22"/>
    <n v="22"/>
    <s v="Neurology"/>
    <s v="Neurology"/>
    <s v="Dr Mehta"/>
    <s v="Dr Mehta"/>
    <d v="2025-11-19T00:00:00"/>
    <s v="Valid"/>
    <b v="1"/>
    <b v="1"/>
    <d v="2025-11-18T00:00:00"/>
    <s v="05614320046"/>
    <s v="05614320046"/>
    <s v="5614320046"/>
    <s v="Valid"/>
    <s v="rajubhavin@hotmail.com"/>
    <m/>
    <n v="865.59"/>
    <s v="N"/>
    <n v="135"/>
    <n v="135"/>
    <s v="M54"/>
  </r>
  <r>
    <s v="P1907"/>
    <s v="Shayak Rana"/>
    <s v="Shayak Rana"/>
    <x v="0"/>
    <n v="27"/>
    <n v="27"/>
    <s v="Pediatrics"/>
    <s v="Pediatrics"/>
    <s v="Dr. Sharma"/>
    <s v="Dr. Sharma"/>
    <d v="2026-01-01T00:00:00"/>
    <s v="Valid"/>
    <b v="1"/>
    <b v="1"/>
    <d v="2025-12-11T00:00:00"/>
    <s v="5404125695"/>
    <s v="5404125695"/>
    <s v="5404125695"/>
    <s v="Valid"/>
    <s v="btrivedi@yahoo.com"/>
    <s v="NO"/>
    <n v="11475.66"/>
    <s v="NO"/>
    <n v="365"/>
    <n v="365"/>
    <s v="I10"/>
  </r>
  <r>
    <s v="P1908"/>
    <s v="Ira Mallick"/>
    <s v="Ira Mallick"/>
    <x v="4"/>
    <n v="42"/>
    <n v="42"/>
    <s v="Dermatology"/>
    <s v="Dermatology"/>
    <s v="dr priya"/>
    <s v="Dr Priya"/>
    <d v="2026-02-18T00:00:00"/>
    <s v="Valid"/>
    <b v="1"/>
    <b v="1"/>
    <d v="2026-02-13T00:00:00"/>
    <s v="07791567603"/>
    <s v="07791567603"/>
    <s v="7791567603"/>
    <s v="Valid"/>
    <s v="nehmat19@mangal-lala.com"/>
    <s v="NO"/>
    <n v="3402.61"/>
    <m/>
    <n v="344"/>
    <n v="344"/>
    <s v="C34"/>
  </r>
  <r>
    <s v="P1909"/>
    <s v="Manjari Guha"/>
    <s v="Manjari Guha"/>
    <x v="2"/>
    <n v="50"/>
    <n v="50"/>
    <s v="Pediatrics"/>
    <s v="Pediatrics"/>
    <s v="Dr Mehta"/>
    <s v="Dr Mehta"/>
    <d v="2026-03-23T00:00:00"/>
    <s v="Valid"/>
    <b v="1"/>
    <b v="1"/>
    <d v="2026-02-24T00:00:00"/>
    <s v="5631629013"/>
    <s v="5631629013"/>
    <s v="5631629013"/>
    <s v="Valid"/>
    <s v="darshitmagar@gmail.com"/>
    <s v="NO"/>
    <n v="7881.98"/>
    <m/>
    <n v="181"/>
    <n v="181"/>
    <s v="A09"/>
  </r>
  <r>
    <s v="P1911"/>
    <s v="Umang Mahal"/>
    <s v="Umang Mahal"/>
    <x v="1"/>
    <n v="78"/>
    <n v="78"/>
    <s v="Pediatrics"/>
    <s v="Pediatrics"/>
    <s v="dr priya"/>
    <s v="Dr Priya"/>
    <d v="2026-02-21T00:00:00"/>
    <s v="Valid"/>
    <b v="1"/>
    <b v="1"/>
    <d v="2026-01-23T00:00:00"/>
    <s v="+918755798149"/>
    <s v="918755798149"/>
    <s v="8755798149"/>
    <s v="Valid"/>
    <s v="aradhyababu@master.com"/>
    <m/>
    <n v="11613.07"/>
    <s v="Yes"/>
    <n v="477"/>
    <n v="477"/>
    <s v="I10"/>
  </r>
  <r>
    <s v="P1912"/>
    <s v="Heer Dhar"/>
    <s v="Heer Dhar"/>
    <x v="0"/>
    <n v="83"/>
    <n v="83"/>
    <s v="General Medicine"/>
    <s v="General Medicine"/>
    <s v="dr priya"/>
    <s v="Dr Priya"/>
    <d v="2026-05-18T00:00:00"/>
    <s v="Valid"/>
    <b v="1"/>
    <b v="1"/>
    <d v="2026-04-26T00:00:00"/>
    <s v="2277347822"/>
    <s v="2277347822"/>
    <s v="2277347822"/>
    <s v="Valid"/>
    <s v="gcheema@hotmail.com"/>
    <s v="Y"/>
    <n v="9899.0400000000009"/>
    <s v="Y"/>
    <n v="312"/>
    <n v="312"/>
    <s v="E11"/>
  </r>
  <r>
    <s v="P1913"/>
    <s v="Krish Bains"/>
    <s v="Krish Bains"/>
    <x v="4"/>
    <n v="80"/>
    <n v="80"/>
    <s v="Dermatology"/>
    <s v="Dermatology"/>
    <s v="Dr Khan"/>
    <s v="Dr Khan"/>
    <d v="2026-04-10T00:00:00"/>
    <s v="Valid"/>
    <b v="1"/>
    <b v="1"/>
    <d v="2026-03-29T00:00:00"/>
    <s v="4163851415"/>
    <s v="4163851415"/>
    <s v="4163851415"/>
    <s v="Valid"/>
    <s v="slal@dave.biz"/>
    <s v="Yes"/>
    <n v="17523.349999999999"/>
    <s v="NO"/>
    <n v="301"/>
    <n v="301"/>
    <s v="C34"/>
  </r>
  <r>
    <s v="P1914"/>
    <s v="Anvi Shere"/>
    <s v="Anvi Shere"/>
    <x v="0"/>
    <n v="31"/>
    <n v="31"/>
    <s v="Orthopedics"/>
    <s v="Orthopedics"/>
    <s v="Dr. Sharma"/>
    <s v="Dr. Sharma"/>
    <d v="2026-01-30T00:00:00"/>
    <s v="Valid"/>
    <b v="1"/>
    <b v="1"/>
    <d v="2026-01-02T00:00:00"/>
    <s v="04108555823"/>
    <s v="04108555823"/>
    <s v="4108555823"/>
    <s v="Valid"/>
    <s v="yashvi68@gmail.com"/>
    <s v="Y"/>
    <n v="16733.09"/>
    <s v="NO"/>
    <n v="457"/>
    <n v="457"/>
    <s v="C34"/>
  </r>
  <r>
    <s v="P1915"/>
    <s v="Yuvraj  Luthra"/>
    <s v="Yuvraj Luthra"/>
    <x v="5"/>
    <n v="64"/>
    <n v="64"/>
    <s v="Dermatology"/>
    <s v="Dermatology"/>
    <s v="Dr Mehta"/>
    <s v="Dr Mehta"/>
    <d v="2026-03-15T00:00:00"/>
    <s v="Valid"/>
    <b v="1"/>
    <b v="1"/>
    <d v="2026-03-04T00:00:00"/>
    <s v="03667012213"/>
    <s v="03667012213"/>
    <s v="3667012213"/>
    <s v="Valid"/>
    <s v="qbadal@gmail.com"/>
    <s v="NO"/>
    <n v="18933.84"/>
    <s v="NO"/>
    <n v="309"/>
    <n v="309"/>
    <s v="M54"/>
  </r>
  <r>
    <s v="P1916"/>
    <s v="Jayesh Kaul"/>
    <s v="Jayesh Kaul"/>
    <x v="4"/>
    <n v="33"/>
    <n v="33"/>
    <s v="Pediatrics"/>
    <s v="Pediatrics"/>
    <s v="Dr Rao"/>
    <s v="Dr Rao"/>
    <d v="2026-03-07T00:00:00"/>
    <s v="Valid"/>
    <b v="1"/>
    <b v="1"/>
    <d v="2026-02-21T00:00:00"/>
    <s v="+911076462848"/>
    <s v="911076462848"/>
    <s v="1076462848"/>
    <s v="Valid"/>
    <s v="mannatgour@verma.com"/>
    <s v="Yes"/>
    <n v="2015.25"/>
    <m/>
    <n v="295"/>
    <n v="295"/>
    <s v="J20"/>
  </r>
  <r>
    <s v="P1918"/>
    <s v="Bhavin Saha"/>
    <s v="Bhavin Saha"/>
    <x v="3"/>
    <n v="63"/>
    <n v="63"/>
    <s v="General Medicine"/>
    <s v="General Medicine"/>
    <s v="Dr Mehta"/>
    <s v="Dr Mehta"/>
    <d v="2026-05-05T00:00:00"/>
    <s v="Valid"/>
    <b v="1"/>
    <b v="1"/>
    <d v="2026-05-03T00:00:00"/>
    <s v="08072680527"/>
    <s v="08072680527"/>
    <s v="8072680527"/>
    <s v="Valid"/>
    <s v="zara71@kohli.com"/>
    <s v="NO"/>
    <n v="17896.82"/>
    <m/>
    <n v="171"/>
    <n v="171"/>
    <s v="M54"/>
  </r>
  <r>
    <s v="P1919"/>
    <s v="Anaya Ravi"/>
    <s v="Anaya Ravi"/>
    <x v="0"/>
    <n v="21"/>
    <n v="21"/>
    <s v="Orthopedics"/>
    <s v="Orthopedics"/>
    <s v="Dr Rao"/>
    <s v="Dr Rao"/>
    <d v="2026-01-12T00:00:00"/>
    <s v="Valid"/>
    <b v="1"/>
    <b v="1"/>
    <d v="2025-12-24T00:00:00"/>
    <s v="06179994933"/>
    <s v="06179994933"/>
    <s v="6179994933"/>
    <s v="Valid"/>
    <s v="dadashalv@buch.com"/>
    <s v="NO"/>
    <n v="4595.47"/>
    <s v="NO"/>
    <n v="373"/>
    <n v="373"/>
    <s v="C34"/>
  </r>
  <r>
    <s v="P1920"/>
    <s v="Samaira Chacko"/>
    <s v="Samaira Chacko"/>
    <x v="1"/>
    <n v="22"/>
    <n v="22"/>
    <s v="Neurology"/>
    <s v="Neurology"/>
    <s v="Dr Rao"/>
    <s v="Dr Rao"/>
    <d v="2025-12-06T00:00:00"/>
    <s v="Valid"/>
    <b v="1"/>
    <b v="1"/>
    <d v="2025-11-15T00:00:00"/>
    <s v="+916634347298"/>
    <s v="916634347298"/>
    <s v="6634347298"/>
    <s v="Valid"/>
    <s v="rajashanaya@divan-kapadia.net"/>
    <s v="Y"/>
    <n v="4006.71"/>
    <s v="NO"/>
    <n v="191"/>
    <n v="191"/>
    <s v="E11"/>
  </r>
  <r>
    <s v="P1921"/>
    <s v="Elakshi Chakrabarti"/>
    <s v="Elakshi Chakrabarti"/>
    <x v="0"/>
    <n v="87"/>
    <n v="87"/>
    <s v="Pediatrics"/>
    <s v="Pediatrics"/>
    <s v="Dr Khan"/>
    <s v="Dr Khan"/>
    <d v="2026-02-24T00:00:00"/>
    <s v="Valid"/>
    <b v="1"/>
    <b v="1"/>
    <d v="2026-02-02T00:00:00"/>
    <s v="+911757766368"/>
    <s v="911757766368"/>
    <s v="1757766368"/>
    <s v="Valid"/>
    <s v="heershere@gmail.com"/>
    <s v="Yes"/>
    <n v="20945.23"/>
    <s v="NO"/>
    <n v="299"/>
    <n v="299"/>
    <s v="C34"/>
  </r>
  <r>
    <s v="P1922"/>
    <s v="Sumer Kari"/>
    <s v="Sumer Kari"/>
    <x v="0"/>
    <n v="57"/>
    <n v="57"/>
    <s v="Cardiology"/>
    <s v="Cardiology"/>
    <s v="Dr Rao"/>
    <s v="Dr Rao"/>
    <d v="2026-01-07T00:00:00"/>
    <s v="Valid"/>
    <b v="1"/>
    <b v="1"/>
    <d v="2026-01-06T00:00:00"/>
    <s v="3111112936"/>
    <s v="3111112936"/>
    <s v="3111112936"/>
    <s v="Valid"/>
    <s v="duashayak@gmail.com"/>
    <m/>
    <n v="19224.43"/>
    <s v="N"/>
    <n v="291"/>
    <n v="291"/>
    <s v="E11"/>
  </r>
  <r>
    <s v="P1924"/>
    <s v="Elakshi Ranganathan"/>
    <s v="Elakshi Ranganathan"/>
    <x v="2"/>
    <n v="29"/>
    <n v="29"/>
    <s v="Neurology"/>
    <s v="Neurology"/>
    <s v="Dr Mehta"/>
    <s v="Dr Mehta"/>
    <d v="2026-05-24T00:00:00"/>
    <s v="Valid"/>
    <b v="1"/>
    <b v="1"/>
    <d v="2026-05-01T00:00:00"/>
    <s v="06489084001"/>
    <s v="06489084001"/>
    <s v="6489084001"/>
    <s v="Valid"/>
    <s v="settymahika@chahal.info"/>
    <s v="Yes"/>
    <n v="1291.51"/>
    <s v="NO"/>
    <n v="517"/>
    <n v="517"/>
    <s v="J20"/>
  </r>
  <r>
    <s v="P1925"/>
    <s v="Taran Kohli"/>
    <s v="Taran Kohli"/>
    <x v="2"/>
    <n v="72"/>
    <n v="72"/>
    <s v="Pediatrics"/>
    <s v="Pediatrics"/>
    <s v="DR SHARMA"/>
    <s v="Dr Sharma"/>
    <d v="2026-05-18T00:00:00"/>
    <s v="Valid"/>
    <b v="1"/>
    <b v="1"/>
    <d v="2026-04-19T00:00:00"/>
    <s v="7000015244"/>
    <s v="7000015244"/>
    <s v="7000015244"/>
    <s v="Valid"/>
    <s v="sawhneyarnav@chandra-singh.com"/>
    <m/>
    <n v="23485.3"/>
    <s v="NO"/>
    <n v="218"/>
    <n v="218"/>
    <s v="E11"/>
  </r>
  <r>
    <s v="P1927"/>
    <s v="Riaan Buch"/>
    <s v="Riaan Buch"/>
    <x v="3"/>
    <n v="29"/>
    <n v="29"/>
    <s v="Neurology"/>
    <s v="Neurology"/>
    <s v="Dr. Sharma"/>
    <s v="Dr. Sharma"/>
    <d v="2026-03-27T00:00:00"/>
    <s v="Valid"/>
    <b v="1"/>
    <b v="1"/>
    <d v="2026-03-07T00:00:00"/>
    <s v="6715918305"/>
    <s v="6715918305"/>
    <s v="6715918305"/>
    <s v="Valid"/>
    <s v="suleparinaaz@yahoo.com"/>
    <s v="N"/>
    <n v="1289.69"/>
    <s v="N"/>
    <n v="310"/>
    <n v="310"/>
    <s v="J20"/>
  </r>
  <r>
    <s v="P1928"/>
    <s v="Oorja Suresh"/>
    <s v="Oorja Suresh"/>
    <x v="3"/>
    <n v="14"/>
    <n v="14"/>
    <s v="Orthopedics"/>
    <s v="Orthopedics"/>
    <s v="Dr. Sharma"/>
    <s v="Dr. Sharma"/>
    <d v="2026-04-03T00:00:00"/>
    <s v="Valid"/>
    <b v="1"/>
    <b v="1"/>
    <d v="2026-03-04T00:00:00"/>
    <s v="9634515512"/>
    <s v="9634515512"/>
    <s v="9634515512"/>
    <s v="Valid"/>
    <s v="zoya97@hotmail.com"/>
    <s v="NO"/>
    <n v="15076.71"/>
    <m/>
    <n v="447"/>
    <n v="447"/>
    <s v="K21"/>
  </r>
  <r>
    <s v="P1929"/>
    <s v="Saira Bansal"/>
    <s v="Saira Bansal"/>
    <x v="4"/>
    <n v="43"/>
    <n v="43"/>
    <s v="Orthopedics"/>
    <s v="Orthopedics"/>
    <s v="dr priya"/>
    <s v="Dr Priya"/>
    <d v="2026-03-14T00:00:00"/>
    <s v="Valid"/>
    <b v="1"/>
    <b v="1"/>
    <d v="2026-02-15T00:00:00"/>
    <s v="09100219392"/>
    <s v="09100219392"/>
    <s v="9100219392"/>
    <s v="Valid"/>
    <s v="gourkiara@gmail.com"/>
    <m/>
    <n v="1874.33"/>
    <s v="Yes"/>
    <n v="411"/>
    <n v="411"/>
    <s v="A09"/>
  </r>
  <r>
    <s v="P1931"/>
    <s v="Samiha Bhargava"/>
    <s v="Samiha Bhargava"/>
    <x v="1"/>
    <n v="32"/>
    <n v="32"/>
    <s v="Neurology"/>
    <s v="Neurology"/>
    <s v="Dr Rao"/>
    <s v="Dr Rao"/>
    <d v="2026-02-01T00:00:00"/>
    <s v="Valid"/>
    <b v="1"/>
    <b v="1"/>
    <d v="2026-01-28T00:00:00"/>
    <s v="+919545712832"/>
    <s v="919545712832"/>
    <s v="9545712832"/>
    <s v="Valid"/>
    <s v="veerde@reddy.info"/>
    <s v="N"/>
    <n v="12568.42"/>
    <s v="N"/>
    <n v="177"/>
    <n v="177"/>
    <s v="M54"/>
  </r>
  <r>
    <s v="P1932"/>
    <s v="Anay Gulati"/>
    <s v="Anay Gulati"/>
    <x v="5"/>
    <n v="83"/>
    <n v="83"/>
    <s v="Cardiology"/>
    <s v="Cardiology"/>
    <s v="DR SHARMA"/>
    <s v="Dr Sharma"/>
    <d v="2026-01-03T00:00:00"/>
    <s v="Valid"/>
    <b v="1"/>
    <b v="1"/>
    <d v="2025-12-05T00:00:00"/>
    <s v="7989037221"/>
    <s v="7989037221"/>
    <s v="7989037221"/>
    <s v="Valid"/>
    <s v="shamiksule@hegde.com"/>
    <m/>
    <n v="18533.54"/>
    <s v="NO"/>
    <n v="168"/>
    <n v="168"/>
    <s v="J20"/>
  </r>
  <r>
    <s v="P1933"/>
    <s v="Rhea Mammen"/>
    <s v="Rhea Mammen"/>
    <x v="2"/>
    <n v="83"/>
    <n v="83"/>
    <s v="Cardiology"/>
    <s v="Cardiology"/>
    <s v="dr priya"/>
    <s v="Dr Priya"/>
    <d v="2026-05-02T00:00:00"/>
    <s v="Valid"/>
    <b v="1"/>
    <b v="1"/>
    <d v="2026-04-12T00:00:00"/>
    <s v="02457702056"/>
    <s v="02457702056"/>
    <s v="2457702056"/>
    <s v="Valid"/>
    <s v="kabirbir@gmail.com"/>
    <s v="Y"/>
    <n v="18813.66"/>
    <s v="N"/>
    <n v="533"/>
    <n v="533"/>
    <s v="C34"/>
  </r>
  <r>
    <s v="P1934"/>
    <s v="Veer Kalita"/>
    <s v="Veer Kalita"/>
    <x v="2"/>
    <n v="44"/>
    <n v="44"/>
    <s v="Pediatrics"/>
    <s v="Pediatrics"/>
    <s v="DR SHARMA"/>
    <s v="Dr Sharma"/>
    <d v="2026-01-27T00:00:00"/>
    <s v="Valid"/>
    <b v="1"/>
    <b v="1"/>
    <d v="2026-01-10T00:00:00"/>
    <s v="8033806563"/>
    <s v="8033806563"/>
    <s v="8033806563"/>
    <s v="Valid"/>
    <s v="shaantoor@khosla.com"/>
    <s v="Yes"/>
    <n v="22684.48"/>
    <s v="N"/>
    <n v="510"/>
    <n v="510"/>
    <s v="C34"/>
  </r>
  <r>
    <s v="P1935"/>
    <s v="Abram Bandi"/>
    <s v="Abram Bandi"/>
    <x v="5"/>
    <n v="78"/>
    <n v="78"/>
    <s v="Dermatology"/>
    <s v="Dermatology"/>
    <s v="dr priya"/>
    <s v="Dr Priya"/>
    <d v="2026-01-04T00:00:00"/>
    <s v="Valid"/>
    <b v="1"/>
    <b v="1"/>
    <d v="2025-12-30T00:00:00"/>
    <s v="05788096535"/>
    <s v="05788096535"/>
    <s v="5788096535"/>
    <s v="Valid"/>
    <s v="singhprisha@gmail.com"/>
    <m/>
    <n v="15818.61"/>
    <s v="NO"/>
    <n v="545"/>
    <n v="545"/>
    <s v="M54"/>
  </r>
  <r>
    <s v="P1936"/>
    <s v="Elakshi Trivedi"/>
    <s v="Elakshi Trivedi"/>
    <x v="2"/>
    <n v="25"/>
    <n v="25"/>
    <s v="Cardiology"/>
    <s v="Cardiology"/>
    <s v="Dr Mehta"/>
    <s v="Dr Mehta"/>
    <d v="2026-05-09T00:00:00"/>
    <s v="Valid"/>
    <b v="1"/>
    <b v="1"/>
    <d v="2026-04-09T00:00:00"/>
    <s v="00263684234"/>
    <s v="00263684234"/>
    <s v="0263684234"/>
    <s v="Valid"/>
    <s v="zshah@sehgal-mangal.net"/>
    <s v="NO"/>
    <n v="3313.91"/>
    <s v="Y"/>
    <n v="403"/>
    <n v="403"/>
    <s v="A09"/>
  </r>
  <r>
    <s v="P1937"/>
    <s v="Stuvan Dugal"/>
    <s v="Stuvan Dugal"/>
    <x v="5"/>
    <n v="31"/>
    <n v="31"/>
    <s v="Neurology"/>
    <s v="Neurology"/>
    <s v="dr priya"/>
    <s v="Dr Priya"/>
    <d v="2026-05-16T00:00:00"/>
    <s v="Valid"/>
    <b v="1"/>
    <b v="1"/>
    <d v="2026-04-23T00:00:00"/>
    <s v="+917724412766"/>
    <s v="917724412766"/>
    <s v="7724412766"/>
    <s v="Valid"/>
    <s v="mamooty54@yahoo.com"/>
    <m/>
    <n v="7924.28"/>
    <s v="N"/>
    <n v="225"/>
    <n v="225"/>
    <s v="M54"/>
  </r>
  <r>
    <s v="P1938"/>
    <s v="Nirvi Seshadri"/>
    <s v="Nirvi Seshadri"/>
    <x v="4"/>
    <n v="78"/>
    <n v="78"/>
    <s v="Pediatrics"/>
    <s v="Pediatrics"/>
    <s v="Dr. Sharma"/>
    <s v="Dr. Sharma"/>
    <d v="2025-12-08T00:00:00"/>
    <s v="Valid"/>
    <b v="1"/>
    <b v="1"/>
    <d v="2025-11-29T00:00:00"/>
    <s v="+919224154305"/>
    <s v="919224154305"/>
    <s v="9224154305"/>
    <s v="Valid"/>
    <s v="samairabalay@tak.net"/>
    <m/>
    <n v="24199.599999999999"/>
    <s v="N"/>
    <n v="239"/>
    <n v="239"/>
    <s v="K21"/>
  </r>
  <r>
    <s v="P1939"/>
    <s v="Reyansh Mall"/>
    <s v="Reyansh Mall"/>
    <x v="3"/>
    <n v="11"/>
    <n v="11"/>
    <s v="ENT"/>
    <s v="ENT"/>
    <s v="dr priya"/>
    <s v="Dr Priya"/>
    <d v="2026-01-09T00:00:00"/>
    <s v="Valid"/>
    <b v="1"/>
    <b v="1"/>
    <d v="2025-12-28T00:00:00"/>
    <s v="08809071866"/>
    <s v="08809071866"/>
    <s v="8809071866"/>
    <s v="Valid"/>
    <s v="ywadhwa@anne.com"/>
    <s v="Yes"/>
    <n v="11873.69"/>
    <m/>
    <n v="358"/>
    <n v="358"/>
    <s v="A09"/>
  </r>
  <r>
    <s v="P1940"/>
    <s v="Lakshit Jani"/>
    <s v="Lakshit Jani"/>
    <x v="1"/>
    <n v="20"/>
    <n v="20"/>
    <s v="General Medicine"/>
    <s v="General Medicine"/>
    <s v="Dr Rao"/>
    <s v="Dr Rao"/>
    <d v="2026-04-21T00:00:00"/>
    <s v="Valid"/>
    <b v="1"/>
    <b v="1"/>
    <d v="2026-03-28T00:00:00"/>
    <s v="6119441559"/>
    <s v="6119441559"/>
    <s v="6119441559"/>
    <s v="Valid"/>
    <s v="gswaminathan@gmail.com"/>
    <m/>
    <n v="10799.45"/>
    <s v="NO"/>
    <n v="488"/>
    <n v="488"/>
    <s v="J20"/>
  </r>
  <r>
    <s v="P1941"/>
    <s v="Mishti Arora"/>
    <s v="Mishti Arora"/>
    <x v="4"/>
    <n v="71"/>
    <n v="71"/>
    <s v="Orthopedics"/>
    <s v="Orthopedics"/>
    <s v="Dr. Sharma"/>
    <s v="Dr. Sharma"/>
    <d v="2025-12-24T00:00:00"/>
    <s v="Valid"/>
    <b v="1"/>
    <b v="1"/>
    <d v="2025-12-12T00:00:00"/>
    <s v="00337612730"/>
    <s v="00337612730"/>
    <s v="0337612730"/>
    <s v="Valid"/>
    <s v="tanyakar@walia.com"/>
    <m/>
    <n v="7785.01"/>
    <s v="Yes"/>
    <n v="292"/>
    <n v="292"/>
    <s v="A09"/>
  </r>
  <r>
    <s v="P1942"/>
    <s v="Vedika Setty"/>
    <s v="Vedika Setty"/>
    <x v="3"/>
    <n v="10"/>
    <n v="10"/>
    <s v="ENT"/>
    <s v="ENT"/>
    <s v="Dr Mehta"/>
    <s v="Dr Mehta"/>
    <d v="2026-03-17T00:00:00"/>
    <s v="Valid"/>
    <b v="1"/>
    <b v="1"/>
    <d v="2026-02-23T00:00:00"/>
    <s v="+916443921863"/>
    <s v="916443921863"/>
    <s v="6443921863"/>
    <s v="Valid"/>
    <s v="alisha95@wable-kale.com"/>
    <m/>
    <n v="5053.75"/>
    <s v="N"/>
    <n v="102"/>
    <n v="102"/>
    <s v="I10"/>
  </r>
  <r>
    <s v="P1943"/>
    <s v="Hansh Gade"/>
    <s v="Hansh Gade"/>
    <x v="2"/>
    <n v="63"/>
    <n v="63"/>
    <s v="Dermatology"/>
    <s v="Dermatology"/>
    <s v="dr priya"/>
    <s v="Dr Priya"/>
    <d v="2026-03-28T00:00:00"/>
    <s v="Valid"/>
    <b v="1"/>
    <b v="1"/>
    <d v="2026-02-26T00:00:00"/>
    <s v="01528683574"/>
    <s v="01528683574"/>
    <s v="1528683574"/>
    <s v="Valid"/>
    <s v="lbhavsar@gmail.com"/>
    <m/>
    <n v="24268.22"/>
    <s v="NO"/>
    <n v="296"/>
    <n v="296"/>
    <s v="M54"/>
  </r>
  <r>
    <s v="P1944"/>
    <s v="Samaira Ratti"/>
    <s v="Samaira Ratti"/>
    <x v="0"/>
    <n v="83"/>
    <n v="83"/>
    <s v="Neurology"/>
    <s v="Neurology"/>
    <s v="dr priya"/>
    <s v="Dr Priya"/>
    <d v="2026-04-10T00:00:00"/>
    <s v="Valid"/>
    <b v="1"/>
    <b v="1"/>
    <d v="2026-03-13T00:00:00"/>
    <s v="03181393333"/>
    <s v="03181393333"/>
    <s v="3181393333"/>
    <s v="Valid"/>
    <s v="hrishitasastry@mani-som.com"/>
    <s v="Yes"/>
    <n v="24813.32"/>
    <s v="NO"/>
    <n v="297"/>
    <n v="297"/>
    <s v="A09"/>
  </r>
  <r>
    <s v="P1945"/>
    <s v="Madhup Sarna"/>
    <s v="Madhup Sarna"/>
    <x v="4"/>
    <n v="25"/>
    <n v="25"/>
    <s v="Dermatology"/>
    <s v="Dermatology"/>
    <s v="Dr. Sharma"/>
    <s v="Dr. Sharma"/>
    <d v="2025-12-15T00:00:00"/>
    <s v="Valid"/>
    <b v="1"/>
    <b v="1"/>
    <d v="2025-11-21T00:00:00"/>
    <s v="2319703283"/>
    <s v="2319703283"/>
    <s v="2319703283"/>
    <s v="Valid"/>
    <s v="hayreneelofar@hotmail.com"/>
    <s v="N"/>
    <n v="12838.29"/>
    <m/>
    <n v="425"/>
    <n v="425"/>
    <s v="C34"/>
  </r>
  <r>
    <s v="P1946"/>
    <s v="Anay Ghosh"/>
    <s v="Anay Ghosh"/>
    <x v="2"/>
    <n v="90"/>
    <n v="90"/>
    <s v="Cardiology"/>
    <s v="Cardiology"/>
    <s v="dr priya"/>
    <s v="Dr Priya"/>
    <d v="2026-02-07T00:00:00"/>
    <s v="Valid"/>
    <b v="1"/>
    <b v="1"/>
    <d v="2026-01-09T00:00:00"/>
    <s v="+917348496772"/>
    <s v="917348496772"/>
    <s v="7348496772"/>
    <s v="Valid"/>
    <s v="manjari63@kar-chaudhry.org"/>
    <m/>
    <n v="18444.47"/>
    <s v="N"/>
    <n v="344"/>
    <n v="344"/>
    <s v="I10"/>
  </r>
  <r>
    <s v="P1947"/>
    <s v="Oorja Dutta"/>
    <s v="Oorja Dutta"/>
    <x v="2"/>
    <n v="81"/>
    <n v="81"/>
    <s v="Cardiology"/>
    <s v="Cardiology"/>
    <s v="Dr Mehta"/>
    <s v="Dr Mehta"/>
    <d v="2026-02-13T00:00:00"/>
    <s v="Valid"/>
    <b v="1"/>
    <b v="1"/>
    <d v="2026-02-05T00:00:00"/>
    <s v="+911798073999"/>
    <s v="911798073999"/>
    <s v="1798073999"/>
    <s v="Valid"/>
    <s v="korpalmiraan@gmail.com"/>
    <m/>
    <n v="23617.78"/>
    <s v="Y"/>
    <n v="230"/>
    <n v="230"/>
    <s v="E11"/>
  </r>
  <r>
    <s v="P1948"/>
    <s v="Shray Talwar"/>
    <s v="Shray Talwar"/>
    <x v="4"/>
    <n v="2"/>
    <n v="2"/>
    <s v="Neurology"/>
    <s v="Neurology"/>
    <s v="Dr Mehta"/>
    <s v="Dr Mehta"/>
    <d v="2026-05-17T00:00:00"/>
    <s v="Valid"/>
    <b v="1"/>
    <b v="1"/>
    <d v="2026-04-27T00:00:00"/>
    <s v="+916995976467"/>
    <s v="916995976467"/>
    <s v="6995976467"/>
    <s v="Valid"/>
    <s v="semmehul@dalal.com"/>
    <m/>
    <n v="10062.14"/>
    <s v="NO"/>
    <n v="365"/>
    <n v="365"/>
    <s v="E11"/>
  </r>
  <r>
    <s v="P1949"/>
    <s v="Raunak Borah"/>
    <s v="Raunak Borah"/>
    <x v="1"/>
    <n v="22"/>
    <n v="22"/>
    <s v="Dermatology"/>
    <s v="Dermatology"/>
    <s v="Dr. Sharma"/>
    <s v="Dr. Sharma"/>
    <d v="2026-01-05T00:00:00"/>
    <s v="Valid"/>
    <b v="1"/>
    <b v="1"/>
    <d v="2025-12-14T00:00:00"/>
    <s v="+913186135085"/>
    <s v="913186135085"/>
    <s v="3186135085"/>
    <s v="Valid"/>
    <s v="ghoshvritika@gmail.com"/>
    <s v="Y"/>
    <n v="12616.04"/>
    <m/>
    <n v="400"/>
    <n v="400"/>
    <s v="J20"/>
  </r>
  <r>
    <s v="P1950"/>
    <s v="Rania Lalla"/>
    <s v="Rania Lalla"/>
    <x v="1"/>
    <n v="12"/>
    <n v="12"/>
    <s v="Neurology"/>
    <s v="Neurology"/>
    <s v="dr priya"/>
    <s v="Dr Priya"/>
    <d v="2026-05-06T00:00:00"/>
    <s v="Valid"/>
    <b v="1"/>
    <b v="1"/>
    <d v="2026-04-10T00:00:00"/>
    <s v="01304012708"/>
    <s v="01304012708"/>
    <s v="1304012708"/>
    <s v="Valid"/>
    <s v="ira07@kohli.com"/>
    <s v="Yes"/>
    <n v="6871.73"/>
    <s v="N"/>
    <n v="483"/>
    <n v="483"/>
    <s v="M54"/>
  </r>
  <r>
    <s v="P1952"/>
    <s v="Arnav Aurora"/>
    <s v="Arnav Aurora"/>
    <x v="0"/>
    <n v="56"/>
    <n v="56"/>
    <s v="Orthopedics"/>
    <s v="Orthopedics"/>
    <s v="Dr Mehta"/>
    <s v="Dr Mehta"/>
    <d v="2026-04-12T00:00:00"/>
    <s v="Valid"/>
    <b v="1"/>
    <b v="1"/>
    <d v="2026-04-01T00:00:00"/>
    <s v="7871151062"/>
    <s v="7871151062"/>
    <s v="7871151062"/>
    <s v="Valid"/>
    <s v="elakshi25@gandhi-bedi.net"/>
    <s v="Yes"/>
    <n v="17660.37"/>
    <s v="N"/>
    <n v="349"/>
    <n v="349"/>
    <s v="E11"/>
  </r>
  <r>
    <s v="P1953"/>
    <s v="Anya Srinivas"/>
    <s v="Anya Srinivas"/>
    <x v="2"/>
    <n v="58"/>
    <n v="58"/>
    <s v="Pediatrics"/>
    <s v="Pediatrics"/>
    <s v="Dr Mehta"/>
    <s v="Dr Mehta"/>
    <d v="2025-11-20T00:00:00"/>
    <s v="Valid"/>
    <b v="1"/>
    <b v="1"/>
    <d v="2025-11-14T00:00:00"/>
    <s v="08824763397"/>
    <s v="08824763397"/>
    <s v="8824763397"/>
    <s v="Valid"/>
    <s v="mishti90@bansal.com"/>
    <s v="Yes"/>
    <n v="18797.91"/>
    <s v="N"/>
    <n v="232"/>
    <n v="232"/>
    <s v="K21"/>
  </r>
  <r>
    <s v="P1954"/>
    <s v="Madhav Andra"/>
    <s v="Madhav Andra"/>
    <x v="1"/>
    <n v="57"/>
    <n v="57"/>
    <s v="Neurology"/>
    <s v="Neurology"/>
    <s v="Dr Mehta"/>
    <s v="Dr Mehta"/>
    <d v="2026-03-10T00:00:00"/>
    <s v="Valid"/>
    <b v="1"/>
    <b v="1"/>
    <d v="2026-03-08T00:00:00"/>
    <s v="+914890147030"/>
    <s v="914890147030"/>
    <s v="4890147030"/>
    <s v="Valid"/>
    <s v="keerbiju@bandi.com"/>
    <s v="Y"/>
    <n v="2325.54"/>
    <s v="NO"/>
    <n v="241"/>
    <n v="241"/>
    <s v="I10"/>
  </r>
  <r>
    <s v="P1955"/>
    <s v="Ivan Lanka"/>
    <s v="Ivan Lanka"/>
    <x v="2"/>
    <n v="4"/>
    <n v="4"/>
    <s v="Pediatrics"/>
    <s v="Pediatrics"/>
    <s v="Dr Khan"/>
    <s v="Dr Khan"/>
    <d v="2025-12-05T00:00:00"/>
    <s v="Valid"/>
    <b v="1"/>
    <b v="1"/>
    <d v="2025-11-20T00:00:00"/>
    <s v="7076815594"/>
    <s v="7076815594"/>
    <s v="7076815594"/>
    <s v="Valid"/>
    <s v="latadrishya@sharma.info"/>
    <s v="NO"/>
    <n v="435.76"/>
    <s v="Yes"/>
    <n v="484"/>
    <n v="484"/>
    <s v="I10"/>
  </r>
  <r>
    <s v="P1956"/>
    <s v="Anaya Uppal"/>
    <s v="Anaya Uppal"/>
    <x v="0"/>
    <n v="13"/>
    <n v="13"/>
    <s v="Pediatrics"/>
    <s v="Pediatrics"/>
    <s v="Dr Rao"/>
    <s v="Dr Rao"/>
    <d v="2026-02-04T00:00:00"/>
    <s v="Valid"/>
    <b v="1"/>
    <b v="1"/>
    <d v="2026-01-23T00:00:00"/>
    <s v="+916114411405"/>
    <s v="916114411405"/>
    <s v="6114411405"/>
    <s v="Valid"/>
    <s v="ranbir79@yahoo.com"/>
    <s v="Y"/>
    <n v="23316.78"/>
    <m/>
    <n v="487"/>
    <n v="487"/>
    <s v="J20"/>
  </r>
  <r>
    <s v="P1957"/>
    <s v="Shlok De"/>
    <s v="Shlok De"/>
    <x v="1"/>
    <n v="44"/>
    <n v="44"/>
    <s v="ENT"/>
    <s v="ENT"/>
    <s v="dr priya"/>
    <s v="Dr Priya"/>
    <d v="2026-02-03T00:00:00"/>
    <s v="Valid"/>
    <b v="1"/>
    <b v="1"/>
    <d v="2026-01-24T00:00:00"/>
    <s v="+917757353448"/>
    <s v="917757353448"/>
    <s v="7757353448"/>
    <s v="Valid"/>
    <s v="ramakrishnanehsaan@bhatia-dhar.info"/>
    <s v="NO"/>
    <n v="23536.58"/>
    <m/>
    <n v="293"/>
    <n v="293"/>
    <s v="A09"/>
  </r>
  <r>
    <s v="P1959"/>
    <s v="Riya Gera"/>
    <s v="Riya Gera"/>
    <x v="4"/>
    <n v="4"/>
    <n v="4"/>
    <s v="Neurology"/>
    <s v="Neurology"/>
    <s v="Dr. Sharma"/>
    <s v="Dr. Sharma"/>
    <d v="2026-04-21T00:00:00"/>
    <s v="Valid"/>
    <b v="1"/>
    <b v="1"/>
    <d v="2026-03-22T00:00:00"/>
    <s v="03517952085"/>
    <s v="03517952085"/>
    <s v="3517952085"/>
    <s v="Valid"/>
    <s v="vaidyamamooty@sachdeva-srinivas.biz"/>
    <s v="NO"/>
    <n v="9337.06"/>
    <m/>
    <n v="363"/>
    <n v="363"/>
    <s v="M54"/>
  </r>
  <r>
    <s v="P1960"/>
    <s v="Keya Gala"/>
    <s v="Keya Gala"/>
    <x v="5"/>
    <n v="1"/>
    <n v="1"/>
    <s v="ENT"/>
    <s v="ENT"/>
    <s v="Dr Rao"/>
    <s v="Dr Rao"/>
    <d v="2026-03-03T00:00:00"/>
    <s v="Valid"/>
    <b v="1"/>
    <b v="1"/>
    <d v="2026-02-11T00:00:00"/>
    <s v="+916054714035"/>
    <s v="916054714035"/>
    <s v="6054714035"/>
    <s v="Valid"/>
    <m/>
    <s v="N"/>
    <n v="-500"/>
    <s v="NO"/>
    <n v="447"/>
    <n v="447"/>
    <s v="M54"/>
  </r>
  <r>
    <s v="P1961"/>
    <s v="Pihu Ahuja"/>
    <s v="Pihu Ahuja"/>
    <x v="5"/>
    <n v="78"/>
    <n v="78"/>
    <s v="General Medicine"/>
    <s v="General Medicine"/>
    <s v="dr priya"/>
    <s v="Dr Priya"/>
    <d v="2025-12-26T00:00:00"/>
    <s v="Valid"/>
    <b v="1"/>
    <b v="1"/>
    <d v="2025-12-03T00:00:00"/>
    <s v="4251423487"/>
    <s v="4251423487"/>
    <s v="4251423487"/>
    <s v="Valid"/>
    <s v="mehulchopra@baria.com"/>
    <s v="NO"/>
    <n v="8838.68"/>
    <m/>
    <n v="437"/>
    <n v="437"/>
    <s v="K21"/>
  </r>
  <r>
    <s v="P1962"/>
    <s v="Zoya Balakrishnan"/>
    <s v="Zoya Balakrishnan"/>
    <x v="2"/>
    <n v="50"/>
    <n v="50"/>
    <s v="Oncology"/>
    <s v="Oncology"/>
    <s v="DR SHARMA"/>
    <s v="Dr Sharma"/>
    <d v="2025-12-27T00:00:00"/>
    <s v="Valid"/>
    <b v="1"/>
    <b v="1"/>
    <d v="2025-12-05T00:00:00"/>
    <s v="04073270267"/>
    <s v="04073270267"/>
    <s v="4073270267"/>
    <s v="Valid"/>
    <s v="nkale@kashyap-goel.biz"/>
    <s v="Yes"/>
    <n v="21772.5"/>
    <s v="Yes"/>
    <n v="165"/>
    <n v="165"/>
    <s v="M54"/>
  </r>
  <r>
    <s v="P1963"/>
    <s v="Divit Mangat"/>
    <s v="Divit Mangat"/>
    <x v="2"/>
    <n v="39"/>
    <n v="39"/>
    <s v="General Medicine"/>
    <s v="General Medicine"/>
    <s v="Dr Mehta"/>
    <s v="Dr Mehta"/>
    <d v="2026-02-14T00:00:00"/>
    <s v="Valid"/>
    <b v="1"/>
    <b v="1"/>
    <d v="2026-01-17T00:00:00"/>
    <s v="+916450467735"/>
    <s v="916450467735"/>
    <s v="6450467735"/>
    <s v="Valid"/>
    <s v="rohan14@gmail.com"/>
    <m/>
    <n v="23885.27"/>
    <m/>
    <n v="439"/>
    <n v="439"/>
    <s v="A09"/>
  </r>
  <r>
    <s v="P1964"/>
    <s v="Abram Ratta"/>
    <s v="Abram Ratta"/>
    <x v="5"/>
    <n v="32"/>
    <n v="32"/>
    <s v="Pediatrics"/>
    <s v="Pediatrics"/>
    <s v="Dr Mehta"/>
    <s v="Dr Mehta"/>
    <d v="2026-05-27T00:00:00"/>
    <s v="Valid"/>
    <b v="1"/>
    <b v="1"/>
    <d v="2026-05-03T00:00:00"/>
    <s v="7142142509"/>
    <s v="7142142509"/>
    <s v="7142142509"/>
    <s v="Valid"/>
    <s v="kapoorromil@gmail.com"/>
    <s v="NO"/>
    <n v="2815.65"/>
    <s v="Yes"/>
    <n v="182"/>
    <n v="182"/>
    <s v="J20"/>
  </r>
  <r>
    <s v="P1965"/>
    <s v="Urvi Mahal"/>
    <s v="Urvi Mahal"/>
    <x v="1"/>
    <n v="36"/>
    <n v="36"/>
    <s v="Pediatrics"/>
    <s v="Pediatrics"/>
    <s v="Dr. Sharma"/>
    <s v="Dr. Sharma"/>
    <d v="2026-04-08T00:00:00"/>
    <s v="Valid"/>
    <b v="1"/>
    <b v="1"/>
    <d v="2026-03-18T00:00:00"/>
    <s v="+917290558396"/>
    <s v="917290558396"/>
    <s v="7290558396"/>
    <s v="Valid"/>
    <s v="miraya61@yahoo.com"/>
    <m/>
    <n v="23797.3"/>
    <s v="NO"/>
    <n v="440"/>
    <n v="440"/>
    <s v="E11"/>
  </r>
  <r>
    <s v="P1966"/>
    <s v="Anahi Kanda"/>
    <s v="Anahi Kanda"/>
    <x v="3"/>
    <n v="12"/>
    <n v="12"/>
    <s v="ENT"/>
    <s v="ENT"/>
    <s v="DR SHARMA"/>
    <s v="Dr Sharma"/>
    <d v="2026-03-21T00:00:00"/>
    <s v="Valid"/>
    <b v="1"/>
    <b v="1"/>
    <d v="2026-02-20T00:00:00"/>
    <s v="04233855803"/>
    <s v="04233855803"/>
    <s v="4233855803"/>
    <s v="Valid"/>
    <s v="aradhyamane@hotmail.com"/>
    <s v="NO"/>
    <n v="16170.87"/>
    <m/>
    <n v="467"/>
    <n v="467"/>
    <s v="C34"/>
  </r>
  <r>
    <s v="P1967"/>
    <s v="Jayant Bhagat"/>
    <s v="Jayant Bhagat"/>
    <x v="1"/>
    <n v="84"/>
    <n v="84"/>
    <s v="Dermatology"/>
    <s v="Dermatology"/>
    <s v="DR SHARMA"/>
    <s v="Dr Sharma"/>
    <d v="2025-12-31T00:00:00"/>
    <s v="Valid"/>
    <b v="1"/>
    <b v="1"/>
    <d v="2025-12-24T00:00:00"/>
    <s v="7415692208"/>
    <s v="7415692208"/>
    <s v="7415692208"/>
    <s v="Valid"/>
    <s v="saksham04@hotmail.com"/>
    <s v="Y"/>
    <n v="3069.11"/>
    <s v="NO"/>
    <n v="157"/>
    <n v="157"/>
    <s v="I10"/>
  </r>
  <r>
    <s v="P1968"/>
    <s v="Abram Rattan"/>
    <s v="Abram Rattan"/>
    <x v="2"/>
    <n v="76"/>
    <n v="76"/>
    <s v="Pediatrics"/>
    <s v="Pediatrics"/>
    <s v="Dr Mehta"/>
    <s v="Dr Mehta"/>
    <d v="2025-12-16T00:00:00"/>
    <s v="Valid"/>
    <b v="1"/>
    <b v="1"/>
    <d v="2025-11-28T00:00:00"/>
    <s v="+912914361189"/>
    <s v="912914361189"/>
    <s v="2914361189"/>
    <s v="Valid"/>
    <s v="oacharya@gmail.com"/>
    <s v="N"/>
    <n v="3359.95"/>
    <s v="NO"/>
    <n v="294"/>
    <n v="294"/>
    <s v="A09"/>
  </r>
  <r>
    <s v="P1969"/>
    <s v="Vidur Saini"/>
    <s v="Vidur Saini"/>
    <x v="0"/>
    <n v="40"/>
    <n v="40"/>
    <s v="Cardiology"/>
    <s v="Cardiology"/>
    <s v="DR SHARMA"/>
    <s v="Dr Sharma"/>
    <d v="2026-03-22T00:00:00"/>
    <s v="Valid"/>
    <b v="1"/>
    <b v="1"/>
    <d v="2026-02-23T00:00:00"/>
    <s v="6245595848"/>
    <s v="6245595848"/>
    <s v="6245595848"/>
    <s v="Valid"/>
    <s v="mangalshalv@upadhyay-upadhyay.info"/>
    <m/>
    <n v="24500.27"/>
    <s v="NO"/>
    <n v="494"/>
    <n v="494"/>
    <s v="J20"/>
  </r>
  <r>
    <s v="P1970"/>
    <s v="Lakshay Chana"/>
    <s v="Lakshay Chana"/>
    <x v="4"/>
    <n v="67"/>
    <n v="67"/>
    <s v="Pediatrics"/>
    <s v="Pediatrics"/>
    <s v="Dr Mehta"/>
    <s v="Dr Mehta"/>
    <d v="2026-03-05T00:00:00"/>
    <s v="Valid"/>
    <b v="1"/>
    <b v="1"/>
    <d v="2026-02-21T00:00:00"/>
    <s v="09409949966"/>
    <s v="09409949966"/>
    <s v="9409949966"/>
    <s v="Valid"/>
    <s v="rania69@yahoo.com"/>
    <s v="Yes"/>
    <n v="13549.66"/>
    <m/>
    <n v="261"/>
    <n v="261"/>
    <s v="E11"/>
  </r>
  <r>
    <s v="P1971"/>
    <s v="Tanya Rout"/>
    <s v="Tanya Rout"/>
    <x v="0"/>
    <n v="29"/>
    <n v="29"/>
    <s v="General Medicine"/>
    <s v="General Medicine"/>
    <s v="Dr Khan"/>
    <s v="Dr Khan"/>
    <d v="2026-01-20T00:00:00"/>
    <s v="Valid"/>
    <b v="1"/>
    <b v="1"/>
    <d v="2026-01-16T00:00:00"/>
    <s v="8297639633"/>
    <s v="8297639633"/>
    <s v="8297639633"/>
    <s v="Valid"/>
    <s v="mbath@yahoo.com"/>
    <s v="Y"/>
    <n v="3817.59"/>
    <s v="Yes"/>
    <n v="406"/>
    <n v="406"/>
    <s v="J20"/>
  </r>
  <r>
    <s v="P1972"/>
    <s v="Zain Jaggi"/>
    <s v="Zain Jaggi"/>
    <x v="0"/>
    <n v="65"/>
    <n v="65"/>
    <s v="Neurology"/>
    <s v="Neurology"/>
    <s v="Dr. Sharma"/>
    <s v="Dr. Sharma"/>
    <d v="2026-04-19T00:00:00"/>
    <s v="Valid"/>
    <b v="1"/>
    <b v="1"/>
    <d v="2026-03-23T00:00:00"/>
    <s v="04319045600"/>
    <s v="04319045600"/>
    <s v="4319045600"/>
    <s v="Valid"/>
    <s v="gbatra@dhingra.biz"/>
    <m/>
    <n v="15850.71"/>
    <s v="N"/>
    <n v="353"/>
    <n v="353"/>
    <s v="J20"/>
  </r>
  <r>
    <s v="P1973"/>
    <s v="Advika Banerjee"/>
    <s v="Advika Banerjee"/>
    <x v="1"/>
    <n v="8"/>
    <n v="8"/>
    <s v="ENT"/>
    <s v="ENT"/>
    <s v="Dr Mehta"/>
    <s v="Dr Mehta"/>
    <d v="2026-04-25T00:00:00"/>
    <s v="Valid"/>
    <b v="1"/>
    <b v="1"/>
    <d v="2026-03-30T00:00:00"/>
    <s v="03891341273"/>
    <s v="03891341273"/>
    <s v="3891341273"/>
    <s v="Valid"/>
    <s v="devanshkrishnamurthy@hotmail.com"/>
    <s v="NO"/>
    <n v="21232.13"/>
    <s v="N"/>
    <n v="458"/>
    <n v="458"/>
    <s v="C34"/>
  </r>
  <r>
    <s v="P1974"/>
    <s v="Hunar Tiwari"/>
    <s v="Hunar Tiwari"/>
    <x v="0"/>
    <n v="23"/>
    <n v="23"/>
    <s v="General Medicine"/>
    <s v="General Medicine"/>
    <s v="dr priya"/>
    <s v="Dr Priya"/>
    <d v="2025-12-24T00:00:00"/>
    <s v="Valid"/>
    <b v="1"/>
    <b v="1"/>
    <d v="2025-12-15T00:00:00"/>
    <s v="06959097840"/>
    <s v="06959097840"/>
    <s v="6959097840"/>
    <s v="Valid"/>
    <s v="raghav79@ghosh.com"/>
    <s v="Yes"/>
    <n v="24778.37"/>
    <m/>
    <n v="272"/>
    <n v="272"/>
    <s v="M54"/>
  </r>
  <r>
    <s v="P1975"/>
    <s v="Aradhya Yohannan"/>
    <s v="Aradhya Yohannan"/>
    <x v="3"/>
    <n v="45"/>
    <n v="45"/>
    <s v="Dermatology"/>
    <s v="Dermatology"/>
    <s v="dr priya"/>
    <s v="Dr Priya"/>
    <d v="2025-12-05T00:00:00"/>
    <s v="Valid"/>
    <b v="1"/>
    <b v="1"/>
    <d v="2025-12-03T00:00:00"/>
    <s v="+917645883887"/>
    <s v="917645883887"/>
    <s v="7645883887"/>
    <s v="Valid"/>
    <s v="xbala@walia.net"/>
    <s v="Y"/>
    <n v="7202.63"/>
    <s v="N"/>
    <n v="458"/>
    <n v="458"/>
    <s v="K21"/>
  </r>
  <r>
    <s v="P1976"/>
    <s v="Ivana Bains"/>
    <s v="Ivana Bains"/>
    <x v="1"/>
    <n v="13"/>
    <n v="13"/>
    <s v="Orthopedics"/>
    <s v="Orthopedics"/>
    <s v="dr priya"/>
    <s v="Dr Priya"/>
    <d v="2026-04-10T00:00:00"/>
    <s v="Valid"/>
    <b v="1"/>
    <b v="1"/>
    <d v="2026-03-17T00:00:00"/>
    <s v="9521741742"/>
    <s v="9521741742"/>
    <s v="9521741742"/>
    <s v="Valid"/>
    <s v="xgrover@edwin-kulkarni.org"/>
    <s v="Yes"/>
    <n v="21275.279999999999"/>
    <s v="Yes"/>
    <n v="334"/>
    <n v="334"/>
    <s v="C34"/>
  </r>
  <r>
    <s v="P1977"/>
    <s v="Veer Das"/>
    <s v="Veer Das"/>
    <x v="4"/>
    <n v="74"/>
    <n v="74"/>
    <s v="Orthopedics"/>
    <s v="Orthopedics"/>
    <s v="Dr Khan"/>
    <s v="Dr Khan"/>
    <d v="2026-04-14T00:00:00"/>
    <s v="Valid"/>
    <b v="1"/>
    <b v="1"/>
    <d v="2026-03-23T00:00:00"/>
    <s v="01888525076"/>
    <s v="01888525076"/>
    <s v="1888525076"/>
    <s v="Valid"/>
    <s v="batrashray@yahoo.com"/>
    <m/>
    <n v="7418.82"/>
    <s v="Y"/>
    <n v="207"/>
    <n v="207"/>
    <s v="E11"/>
  </r>
  <r>
    <s v="P1978"/>
    <s v="Priyansh Kari"/>
    <s v="Priyansh Kari"/>
    <x v="5"/>
    <n v="84"/>
    <n v="84"/>
    <s v="Cardiology"/>
    <s v="Cardiology"/>
    <s v="dr priya"/>
    <s v="Dr Priya"/>
    <d v="2026-04-28T00:00:00"/>
    <s v="Valid"/>
    <b v="1"/>
    <b v="1"/>
    <d v="2026-04-05T00:00:00"/>
    <s v="+913413608833"/>
    <s v="913413608833"/>
    <s v="3413608833"/>
    <s v="Valid"/>
    <s v="jbalay@borde-uppal.info"/>
    <s v="NO"/>
    <n v="17022.28"/>
    <s v="Y"/>
    <n v="292"/>
    <n v="292"/>
    <s v="M54"/>
  </r>
  <r>
    <s v="P1979"/>
    <s v="Misha Kara"/>
    <s v="Misha Kara"/>
    <x v="4"/>
    <n v="8"/>
    <n v="8"/>
    <s v="Neurology"/>
    <s v="Neurology"/>
    <s v="dr priya"/>
    <s v="Dr Priya"/>
    <d v="2025-12-16T00:00:00"/>
    <s v="Valid"/>
    <b v="1"/>
    <b v="1"/>
    <d v="2025-12-01T00:00:00"/>
    <s v="00547051255"/>
    <s v="00547051255"/>
    <s v="0547051255"/>
    <s v="Valid"/>
    <s v="dhruv39@hotmail.com"/>
    <s v="Yes"/>
    <n v="23637.57"/>
    <s v="NO"/>
    <n v="363"/>
    <n v="363"/>
    <s v="C34"/>
  </r>
  <r>
    <s v="P1981"/>
    <s v="Raunak Lanka"/>
    <s v="Raunak Lanka"/>
    <x v="3"/>
    <n v="39"/>
    <n v="39"/>
    <s v="Orthopedics"/>
    <s v="Orthopedics"/>
    <s v="dr priya"/>
    <s v="Dr Priya"/>
    <d v="2026-03-18T00:00:00"/>
    <s v="Valid"/>
    <b v="1"/>
    <b v="1"/>
    <d v="2026-02-22T00:00:00"/>
    <s v="00309654923"/>
    <s v="00309654923"/>
    <s v="0309654923"/>
    <s v="Valid"/>
    <s v="mishtihalder@kar.com"/>
    <s v="NO"/>
    <n v="19487.72"/>
    <m/>
    <n v="240"/>
    <n v="240"/>
    <s v="C34"/>
  </r>
  <r>
    <s v="P1982"/>
    <s v="Amira Aurora"/>
    <s v="Amira Aurora"/>
    <x v="3"/>
    <n v="48"/>
    <n v="48"/>
    <s v="Cardiology"/>
    <s v="Cardiology"/>
    <s v="Dr Mehta"/>
    <s v="Dr Mehta"/>
    <d v="2025-11-21T00:00:00"/>
    <s v="Valid"/>
    <b v="1"/>
    <b v="1"/>
    <d v="2025-11-18T00:00:00"/>
    <s v="09104289127"/>
    <s v="09104289127"/>
    <s v="9104289127"/>
    <s v="Valid"/>
    <s v="sjha@sama.org"/>
    <s v="NO"/>
    <n v="3226.88"/>
    <s v="N"/>
    <n v="111"/>
    <n v="111"/>
    <s v="A09"/>
  </r>
  <r>
    <s v="P1983"/>
    <s v="Stuvan Bhakta"/>
    <s v="Stuvan Bhakta"/>
    <x v="3"/>
    <n v="36"/>
    <n v="36"/>
    <s v="Neurology"/>
    <s v="Neurology"/>
    <s v="Dr Mehta"/>
    <s v="Dr Mehta"/>
    <d v="2026-03-31T00:00:00"/>
    <s v="Valid"/>
    <b v="1"/>
    <b v="1"/>
    <d v="2026-03-19T00:00:00"/>
    <s v="0323955447"/>
    <s v="0323955447"/>
    <s v="0323955447"/>
    <s v="Valid"/>
    <s v="bsawhney@yahoo.com"/>
    <m/>
    <n v="24998.86"/>
    <m/>
    <n v="252"/>
    <n v="252"/>
    <s v="A09"/>
  </r>
  <r>
    <s v="P1984"/>
    <s v="Aarna Vyas"/>
    <s v="Aarna Vyas"/>
    <x v="4"/>
    <n v="13"/>
    <n v="13"/>
    <s v="ENT"/>
    <s v="ENT"/>
    <s v="Dr Mehta"/>
    <s v="Dr Mehta"/>
    <d v="2026-04-07T00:00:00"/>
    <s v="Valid"/>
    <b v="1"/>
    <b v="1"/>
    <d v="2026-03-16T00:00:00"/>
    <s v="02019099379"/>
    <s v="02019099379"/>
    <s v="2019099379"/>
    <s v="Valid"/>
    <s v="jiya57@wason.com"/>
    <s v="Yes"/>
    <n v="10252.200000000001"/>
    <s v="Yes"/>
    <n v="301"/>
    <n v="301"/>
    <s v="A09"/>
  </r>
  <r>
    <s v="P1985"/>
    <s v="Tanya Kota"/>
    <s v="Tanya Kota"/>
    <x v="3"/>
    <n v="9"/>
    <n v="9"/>
    <s v="Neurology"/>
    <s v="Neurology"/>
    <s v="DR SHARMA"/>
    <s v="Dr Sharma"/>
    <d v="2026-05-13T00:00:00"/>
    <s v="Valid"/>
    <b v="1"/>
    <b v="1"/>
    <d v="2026-04-13T00:00:00"/>
    <s v="+910022861500"/>
    <s v="910022861500"/>
    <s v="0022861500"/>
    <s v="Valid"/>
    <s v="sastrychirag@hotmail.com"/>
    <s v="NO"/>
    <n v="4680.47"/>
    <s v="Y"/>
    <n v="102"/>
    <n v="102"/>
    <s v="A09"/>
  </r>
  <r>
    <s v="P1986"/>
    <s v="Aaina Walia"/>
    <s v="Aaina Walia"/>
    <x v="3"/>
    <n v="41"/>
    <n v="41"/>
    <s v="Neurology"/>
    <s v="Neurology"/>
    <s v="Dr Rao"/>
    <s v="Dr Rao"/>
    <d v="2026-01-10T00:00:00"/>
    <s v="Valid"/>
    <b v="1"/>
    <b v="1"/>
    <d v="2026-01-06T00:00:00"/>
    <s v="+916251878470"/>
    <s v="916251878470"/>
    <s v="6251878470"/>
    <s v="Valid"/>
    <s v="bhavinatwal@bhatti.com"/>
    <s v="NO"/>
    <n v="16385.48"/>
    <s v="NO"/>
    <n v="387"/>
    <n v="387"/>
    <s v="J20"/>
  </r>
  <r>
    <s v="P1987"/>
    <s v="Faiyaz Yohannan"/>
    <s v="Faiyaz Yohannan"/>
    <x v="0"/>
    <n v="11"/>
    <n v="11"/>
    <s v="Neurology"/>
    <s v="Neurology"/>
    <s v="Dr. Sharma"/>
    <s v="Dr. Sharma"/>
    <d v="2026-01-30T00:00:00"/>
    <s v="Valid"/>
    <b v="1"/>
    <b v="1"/>
    <d v="2026-01-19T00:00:00"/>
    <s v="+912245481746"/>
    <s v="912245481746"/>
    <s v="2245481746"/>
    <s v="Valid"/>
    <s v="kgade@yahoo.com"/>
    <s v="Yes"/>
    <n v="10691.67"/>
    <s v="Yes"/>
    <n v="227"/>
    <n v="227"/>
    <s v="J20"/>
  </r>
  <r>
    <s v="P1988"/>
    <s v="Jhanvi Krish"/>
    <s v="Jhanvi Krish"/>
    <x v="0"/>
    <n v="67"/>
    <n v="67"/>
    <s v="Oncology"/>
    <s v="Oncology"/>
    <s v="Dr Khan"/>
    <s v="Dr Khan"/>
    <d v="2026-04-26T00:00:00"/>
    <s v="Valid"/>
    <b v="1"/>
    <b v="1"/>
    <d v="2026-04-22T00:00:00"/>
    <s v="7257671139"/>
    <s v="7257671139"/>
    <s v="7257671139"/>
    <s v="Valid"/>
    <s v="gokulravi@gmail.com"/>
    <m/>
    <n v="17438.52"/>
    <s v="NO"/>
    <n v="410"/>
    <n v="410"/>
    <s v="A09"/>
  </r>
  <r>
    <s v="P1989"/>
    <s v="Ira Kapur"/>
    <s v="Ira Kapur"/>
    <x v="5"/>
    <n v="89"/>
    <n v="89"/>
    <s v="Neurology"/>
    <s v="Neurology"/>
    <s v="Dr Rao"/>
    <s v="Dr Rao"/>
    <d v="2026-02-09T00:00:00"/>
    <s v="Valid"/>
    <b v="1"/>
    <b v="1"/>
    <d v="2026-02-02T00:00:00"/>
    <s v="+918649951831"/>
    <s v="918649951831"/>
    <s v="8649951831"/>
    <s v="Valid"/>
    <s v="idesai@bhalla.com"/>
    <s v="Yes"/>
    <n v="4864.2299999999996"/>
    <s v="Yes"/>
    <n v="538"/>
    <n v="538"/>
    <s v="K21"/>
  </r>
  <r>
    <s v="P1990"/>
    <s v="  Sahil Sarraf "/>
    <s v="Sahil Sarraf"/>
    <x v="5"/>
    <n v="18"/>
    <n v="18"/>
    <s v="Pediatrics"/>
    <s v="Pediatrics"/>
    <s v="dr priya"/>
    <s v="Dr Priya"/>
    <d v="2026-04-01T00:00:00"/>
    <s v="Valid"/>
    <b v="1"/>
    <b v="1"/>
    <d v="2026-03-24T00:00:00"/>
    <s v="+911540387046"/>
    <s v="911540387046"/>
    <s v="1540387046"/>
    <s v="Valid"/>
    <s v="mishti35@gmail.com"/>
    <s v="Yes"/>
    <n v="18281.79"/>
    <m/>
    <n v="138"/>
    <n v="138"/>
    <s v="A09"/>
  </r>
  <r>
    <s v="P1991"/>
    <s v="Adira Cherian"/>
    <s v="Adira Cherian"/>
    <x v="0"/>
    <n v="34"/>
    <n v="34"/>
    <s v="Dermatology"/>
    <s v="Dermatology"/>
    <s v="Dr Mehta"/>
    <s v="Dr Mehta"/>
    <d v="2026-02-26T00:00:00"/>
    <s v="Valid"/>
    <b v="1"/>
    <b v="1"/>
    <d v="2026-02-14T00:00:00"/>
    <s v="09945844361"/>
    <s v="09945844361"/>
    <s v="9945844361"/>
    <s v="Valid"/>
    <s v="taratalwar@hotmail.com"/>
    <m/>
    <n v="2264.6999999999998"/>
    <s v="Yes"/>
    <n v="446"/>
    <n v="446"/>
    <s v="M54"/>
  </r>
  <r>
    <s v="P1992"/>
    <s v="Jivin Barman"/>
    <s v="Jivin Barman"/>
    <x v="4"/>
    <n v="69"/>
    <n v="69"/>
    <s v="Pediatrics"/>
    <s v="Pediatrics"/>
    <s v="Dr Mehta"/>
    <s v="Dr Mehta"/>
    <d v="2026-01-28T00:00:00"/>
    <s v="Valid"/>
    <b v="1"/>
    <b v="1"/>
    <d v="2026-01-08T00:00:00"/>
    <s v="0003504482"/>
    <s v="0003504482"/>
    <s v="0003504482"/>
    <s v="Valid"/>
    <s v="sumerbalasubramanian@yahoo.com"/>
    <s v="Y"/>
    <n v="24884.91"/>
    <s v="N"/>
    <n v="465"/>
    <n v="465"/>
    <s v="J20"/>
  </r>
  <r>
    <s v="P1993"/>
    <s v="Ivan Yogi"/>
    <s v="Ivan Yogi"/>
    <x v="4"/>
    <n v="54"/>
    <n v="54"/>
    <s v="Orthopedics"/>
    <s v="Orthopedics"/>
    <s v="dr priya"/>
    <s v="Dr Priya"/>
    <d v="2026-05-02T00:00:00"/>
    <s v="Valid"/>
    <b v="1"/>
    <b v="1"/>
    <d v="2026-04-07T00:00:00"/>
    <s v="7862989845"/>
    <s v="7862989845"/>
    <s v="7862989845"/>
    <s v="Valid"/>
    <s v="krishnanaarav@viswanathan.biz"/>
    <m/>
    <n v="9597.76"/>
    <s v="N"/>
    <n v="139"/>
    <n v="139"/>
    <s v="J20"/>
  </r>
  <r>
    <s v="P1994"/>
    <s v="Oorja Balay"/>
    <s v="Oorja Balay"/>
    <x v="2"/>
    <n v="69"/>
    <n v="69"/>
    <s v="Neurology"/>
    <s v="Neurology"/>
    <s v="dr priya"/>
    <s v="Dr Priya"/>
    <d v="2026-02-16T00:00:00"/>
    <s v="Valid"/>
    <b v="1"/>
    <b v="1"/>
    <d v="2026-02-14T00:00:00"/>
    <s v="05184616515"/>
    <s v="05184616515"/>
    <s v="5184616515"/>
    <s v="Valid"/>
    <s v="subramanianrohan@gala.org"/>
    <s v="N"/>
    <n v="16076.4"/>
    <s v="NO"/>
    <n v="270"/>
    <n v="270"/>
    <s v="K21"/>
  </r>
  <r>
    <s v="P1996"/>
    <s v="Raghav Thakkar"/>
    <s v="Raghav Thakkar"/>
    <x v="2"/>
    <n v="23"/>
    <n v="23"/>
    <s v="Oncology"/>
    <s v="Oncology"/>
    <s v="Dr Khan"/>
    <s v="Dr Khan"/>
    <d v="2026-04-15T00:00:00"/>
    <s v="Valid"/>
    <b v="1"/>
    <b v="1"/>
    <d v="2026-04-12T00:00:00"/>
    <s v="+914635554251"/>
    <s v="914635554251"/>
    <s v="4635554251"/>
    <s v="Valid"/>
    <s v="varmarasha@gmail.com"/>
    <s v="N"/>
    <n v="17571.3"/>
    <s v="Yes"/>
    <n v="382"/>
    <n v="382"/>
    <s v="J20"/>
  </r>
  <r>
    <s v="P1997"/>
    <s v="Rania Sehgal"/>
    <s v="Rania Sehgal"/>
    <x v="2"/>
    <n v="7"/>
    <n v="7"/>
    <s v="Orthopedics"/>
    <s v="Orthopedics"/>
    <s v="dr priya"/>
    <s v="Dr Priya"/>
    <d v="2026-05-28T00:00:00"/>
    <s v="Valid"/>
    <b v="1"/>
    <b v="1"/>
    <d v="2026-04-28T00:00:00"/>
    <s v="+917542095639"/>
    <s v="917542095639"/>
    <s v="7542095639"/>
    <s v="Valid"/>
    <s v="saranshlok@hotmail.com"/>
    <m/>
    <n v="4680.68"/>
    <m/>
    <n v="344"/>
    <n v="344"/>
    <s v="A09"/>
  </r>
  <r>
    <s v="P1998"/>
    <s v="Mehul Kashyap"/>
    <s v="Mehul Kashyap"/>
    <x v="4"/>
    <n v="34"/>
    <n v="34"/>
    <s v="Cardiology"/>
    <s v="Cardiology"/>
    <s v="Dr Mehta"/>
    <s v="Dr Mehta"/>
    <d v="2026-04-21T00:00:00"/>
    <s v="Valid"/>
    <b v="1"/>
    <b v="1"/>
    <d v="2026-03-31T00:00:00"/>
    <s v="+919264941056"/>
    <s v="919264941056"/>
    <s v="9264941056"/>
    <s v="Valid"/>
    <s v="neelofar65@chakrabarti-sankaran.com"/>
    <s v="Yes"/>
    <n v="3738.22"/>
    <s v="Yes"/>
    <n v="127"/>
    <n v="127"/>
    <s v="C34"/>
  </r>
  <r>
    <s v="P1999"/>
    <s v="Dhanush Arya"/>
    <s v="Dhanush Arya"/>
    <x v="2"/>
    <n v="32"/>
    <n v="32"/>
    <s v="Dermatology"/>
    <s v="Dermatology"/>
    <s v="Dr Khan"/>
    <s v="Dr Khan"/>
    <d v="2026-04-20T00:00:00"/>
    <s v="Valid"/>
    <b v="1"/>
    <b v="1"/>
    <d v="2026-04-15T00:00:00"/>
    <s v="00560221981"/>
    <s v="00560221981"/>
    <s v="0560221981"/>
    <s v="Valid"/>
    <s v="shayakchoudhry@bhattacharyya-kibe.com"/>
    <m/>
    <n v="24658.91"/>
    <m/>
    <n v="357"/>
    <n v="357"/>
    <s v="J20"/>
  </r>
  <r>
    <s v="P2000"/>
    <s v="Adah Barad"/>
    <s v="Adah Barad"/>
    <x v="0"/>
    <n v="55"/>
    <n v="55"/>
    <s v="Pediatrics"/>
    <s v="Pediatrics"/>
    <s v="Dr. Sharma"/>
    <s v="Dr. Sharma"/>
    <d v="2026-05-12T00:00:00"/>
    <s v="Valid"/>
    <b v="1"/>
    <b v="1"/>
    <d v="2026-04-22T00:00:00"/>
    <s v="+913179638749"/>
    <s v="913179638749"/>
    <s v="3179638749"/>
    <s v="Valid"/>
    <s v="samaira26@hotmail.com"/>
    <s v="NO"/>
    <n v="23696.880000000001"/>
    <m/>
    <n v="494"/>
    <n v="494"/>
    <s v="J20"/>
  </r>
  <r>
    <s v="P2001"/>
    <s v="Sana Chawla"/>
    <s v="Sana Chawla"/>
    <x v="2"/>
    <n v="82"/>
    <n v="82"/>
    <s v="Neurology"/>
    <s v="Neurology"/>
    <s v="Dr Mehta"/>
    <s v="Dr Mehta"/>
    <d v="2026-05-11T00:00:00"/>
    <s v="Valid"/>
    <b v="1"/>
    <b v="1"/>
    <d v="2026-04-18T00:00:00"/>
    <s v="9621844967"/>
    <s v="9621844967"/>
    <s v="9621844967"/>
    <s v="Valid"/>
    <s v="dgokhale@gmail.com"/>
    <s v="NO"/>
    <n v="23632.7"/>
    <s v="Y"/>
    <n v="394"/>
    <n v="394"/>
    <s v="I10"/>
  </r>
  <r>
    <s v="P2002"/>
    <s v="Prerak Sahota"/>
    <s v="Prerak Sahota"/>
    <x v="2"/>
    <n v="37"/>
    <n v="37"/>
    <s v="General Medicine"/>
    <s v="General Medicine"/>
    <s v="Dr Rao"/>
    <s v="Dr Rao"/>
    <d v="2026-01-13T00:00:00"/>
    <s v="Valid"/>
    <b v="1"/>
    <b v="1"/>
    <d v="2025-12-14T00:00:00"/>
    <s v="+918649838528"/>
    <s v="918649838528"/>
    <s v="8649838528"/>
    <s v="Valid"/>
    <s v="swamyzain@hotmail.com"/>
    <m/>
    <n v="16990.419999999998"/>
    <s v="Y"/>
    <n v="345"/>
    <n v="345"/>
    <s v="M54"/>
  </r>
  <r>
    <s v="P2003"/>
    <s v="Bhamini Bajwa"/>
    <s v="Bhamini Bajwa"/>
    <x v="2"/>
    <n v="52"/>
    <n v="52"/>
    <s v="Cardiology"/>
    <s v="Cardiology"/>
    <s v="DR SHARMA"/>
    <s v="Dr Sharma"/>
    <d v="2026-05-06T00:00:00"/>
    <s v="Valid"/>
    <b v="1"/>
    <b v="1"/>
    <d v="2026-04-07T00:00:00"/>
    <s v="05250882702"/>
    <s v="05250882702"/>
    <s v="5250882702"/>
    <s v="Valid"/>
    <s v="fdewan@sarma-shroff.info"/>
    <s v="Yes"/>
    <n v="17911.169999999998"/>
    <s v="NO"/>
    <n v="225"/>
    <n v="225"/>
    <s v="C34"/>
  </r>
  <r>
    <s v="P2004"/>
    <s v="Jivika Shah"/>
    <s v="Jivika Shah"/>
    <x v="0"/>
    <n v="78"/>
    <n v="78"/>
    <s v="General Medicine"/>
    <s v="General Medicine"/>
    <s v="Dr Mehta"/>
    <s v="Dr Mehta"/>
    <d v="2026-03-16T00:00:00"/>
    <s v="Valid"/>
    <b v="1"/>
    <b v="1"/>
    <d v="2026-02-23T00:00:00"/>
    <s v="6175337366"/>
    <s v="6175337366"/>
    <s v="6175337366"/>
    <s v="Valid"/>
    <s v="gillpihu@yahoo.com"/>
    <s v="NO"/>
    <n v="4535.3900000000003"/>
    <s v="NO"/>
    <n v="529"/>
    <n v="529"/>
    <s v="E11"/>
  </r>
  <r>
    <s v="P2005"/>
    <s v="Hrishita Vora"/>
    <s v="Hrishita Vora"/>
    <x v="2"/>
    <n v="7"/>
    <n v="7"/>
    <s v="Dermatology"/>
    <s v="Dermatology"/>
    <s v="Dr Khan"/>
    <s v="Dr Khan"/>
    <d v="2025-12-19T00:00:00"/>
    <s v="Valid"/>
    <b v="1"/>
    <b v="1"/>
    <d v="2025-12-07T00:00:00"/>
    <s v="+919016251720"/>
    <s v="919016251720"/>
    <s v="9016251720"/>
    <s v="Valid"/>
    <s v="vritika34@ratta.com"/>
    <s v="Yes"/>
    <n v="9457.44"/>
    <s v="NO"/>
    <n v="273"/>
    <n v="273"/>
    <s v="C34"/>
  </r>
  <r>
    <s v="P2006"/>
    <s v="Aarush Sant"/>
    <s v="Aarush Sant"/>
    <x v="5"/>
    <n v="70"/>
    <n v="70"/>
    <s v="Neurology"/>
    <s v="Neurology"/>
    <s v="Dr. Sharma"/>
    <s v="Dr. Sharma"/>
    <d v="2026-02-19T00:00:00"/>
    <s v="Valid"/>
    <b v="1"/>
    <b v="1"/>
    <d v="2026-02-10T00:00:00"/>
    <s v="+913597869992"/>
    <s v="913597869992"/>
    <s v="3597869992"/>
    <s v="Valid"/>
    <s v="brahmbhattela@ramanathan.com"/>
    <m/>
    <n v="7479.92"/>
    <s v="N"/>
    <n v="101"/>
    <n v="101"/>
    <s v="C34"/>
  </r>
  <r>
    <s v="P2007"/>
    <s v="Vritika Khurana"/>
    <s v="Vritika Khurana"/>
    <x v="1"/>
    <n v="28"/>
    <n v="28"/>
    <s v="Oncology"/>
    <s v="Oncology"/>
    <s v="Dr Rao"/>
    <s v="Dr Rao"/>
    <d v="2026-04-11T00:00:00"/>
    <s v="Valid"/>
    <b v="1"/>
    <b v="1"/>
    <d v="2026-03-13T00:00:00"/>
    <s v="00072927338"/>
    <s v="00072927338"/>
    <s v="0072927338"/>
    <s v="Valid"/>
    <s v="baliamani@hotmail.com"/>
    <m/>
    <n v="22333.85"/>
    <m/>
    <n v="129"/>
    <n v="129"/>
    <s v="J20"/>
  </r>
  <r>
    <s v="P2008"/>
    <s v="Saira Raman"/>
    <s v="Saira Raman"/>
    <x v="0"/>
    <n v="79"/>
    <n v="79"/>
    <s v="General Medicine"/>
    <s v="General Medicine"/>
    <s v="dr priya"/>
    <s v="Dr Priya"/>
    <d v="2026-01-29T00:00:00"/>
    <s v="Valid"/>
    <b v="1"/>
    <b v="1"/>
    <d v="2026-01-20T00:00:00"/>
    <s v="0070025256"/>
    <s v="0070025256"/>
    <s v="0070025256"/>
    <s v="Valid"/>
    <s v="vgarg@vala.com"/>
    <s v="N"/>
    <n v="2857.67"/>
    <s v="NO"/>
    <n v="469"/>
    <n v="469"/>
    <s v="E11"/>
  </r>
  <r>
    <s v="P2009"/>
    <s v="Aaryahi Dubey"/>
    <s v="Aaryahi Dubey"/>
    <x v="1"/>
    <n v="46"/>
    <n v="46"/>
    <s v="Cardiology"/>
    <s v="Cardiology"/>
    <s v="Dr Mehta"/>
    <s v="Dr Mehta"/>
    <d v="2026-03-23T00:00:00"/>
    <s v="Valid"/>
    <b v="1"/>
    <b v="1"/>
    <d v="2026-03-10T00:00:00"/>
    <s v="05556437645"/>
    <s v="05556437645"/>
    <s v="5556437645"/>
    <s v="Valid"/>
    <s v="asachar@hotmail.com"/>
    <m/>
    <n v="5099.1000000000004"/>
    <s v="Y"/>
    <n v="310"/>
    <n v="310"/>
    <s v="I10"/>
  </r>
  <r>
    <s v="P2010"/>
    <s v="Kismat Dalal"/>
    <s v="Kismat Dalal"/>
    <x v="3"/>
    <n v="1"/>
    <n v="1"/>
    <s v="Orthopedics"/>
    <s v="Orthopedics"/>
    <s v="Dr. Sharma"/>
    <s v="Dr. Sharma"/>
    <d v="2026-04-07T00:00:00"/>
    <s v="Valid"/>
    <b v="1"/>
    <b v="1"/>
    <d v="2026-03-31T00:00:00"/>
    <s v="4111083259"/>
    <s v="4111083259"/>
    <s v="4111083259"/>
    <s v="Valid"/>
    <s v="ivanasidhu@hotmail.com"/>
    <m/>
    <n v="10004.9"/>
    <s v="Yes"/>
    <n v="286"/>
    <n v="286"/>
    <s v="M54"/>
  </r>
  <r>
    <s v="P2011"/>
    <s v="Tanya Vyas"/>
    <s v="Tanya Vyas"/>
    <x v="4"/>
    <n v="69"/>
    <n v="69"/>
    <s v="Oncology"/>
    <s v="Oncology"/>
    <s v="Dr Mehta"/>
    <s v="Dr Mehta"/>
    <d v="2026-01-15T00:00:00"/>
    <s v="Valid"/>
    <b v="1"/>
    <b v="1"/>
    <d v="2026-01-01T00:00:00"/>
    <s v="+910784498078"/>
    <s v="910784498078"/>
    <s v="0784498078"/>
    <s v="Valid"/>
    <s v="aainabasu@toor.org"/>
    <m/>
    <n v="4213.49"/>
    <s v="NO"/>
    <n v="482"/>
    <n v="482"/>
    <s v="M54"/>
  </r>
  <r>
    <s v="P2012"/>
    <s v="Ritvik Kurian"/>
    <s v="Ritvik Kurian"/>
    <x v="0"/>
    <n v="46"/>
    <n v="46"/>
    <s v="Pediatrics"/>
    <s v="Pediatrics"/>
    <s v="Dr Mehta"/>
    <s v="Dr Mehta"/>
    <d v="2026-01-16T00:00:00"/>
    <s v="Valid"/>
    <b v="1"/>
    <b v="1"/>
    <d v="2026-01-10T00:00:00"/>
    <s v="0808941296"/>
    <s v="0808941296"/>
    <s v="0808941296"/>
    <s v="Valid"/>
    <s v="bijutella@kapadia.net"/>
    <s v="Y"/>
    <n v="1198.3599999999999"/>
    <m/>
    <n v="315"/>
    <n v="315"/>
    <s v="C34"/>
  </r>
  <r>
    <s v="P2013"/>
    <s v="Krish Sha"/>
    <s v="Krish Sha"/>
    <x v="2"/>
    <n v="5"/>
    <n v="5"/>
    <s v="Orthopedics"/>
    <s v="Orthopedics"/>
    <s v="DR SHARMA"/>
    <s v="Dr Sharma"/>
    <d v="2026-01-29T00:00:00"/>
    <s v="Valid"/>
    <b v="1"/>
    <b v="1"/>
    <d v="2025-12-30T00:00:00"/>
    <s v="+915921132202"/>
    <s v="915921132202"/>
    <s v="5921132202"/>
    <s v="Valid"/>
    <s v="ygupta@andra-bail.com"/>
    <m/>
    <n v="24000.53"/>
    <s v="Yes"/>
    <n v="160"/>
    <n v="160"/>
    <s v="M54"/>
  </r>
  <r>
    <s v="P2014"/>
    <s v="Arnav Lanka"/>
    <s v="Arnav Lanka"/>
    <x v="3"/>
    <n v="71"/>
    <n v="71"/>
    <s v="General Medicine"/>
    <s v="General Medicine"/>
    <s v="Dr Mehta"/>
    <s v="Dr Mehta"/>
    <d v="2025-12-11T00:00:00"/>
    <s v="Valid"/>
    <b v="1"/>
    <b v="1"/>
    <d v="2025-12-01T00:00:00"/>
    <s v="+918437379337"/>
    <s v="918437379337"/>
    <s v="8437379337"/>
    <s v="Valid"/>
    <s v="zsagar@shere-dugar.info"/>
    <m/>
    <n v="12646.09"/>
    <m/>
    <n v="167"/>
    <n v="167"/>
    <s v="I10"/>
  </r>
  <r>
    <s v="P2015"/>
    <s v="Kabir Ramaswamy"/>
    <s v="Kabir Ramaswamy"/>
    <x v="2"/>
    <n v="3"/>
    <n v="3"/>
    <s v="Orthopedics"/>
    <s v="Orthopedics"/>
    <s v="Dr Mehta"/>
    <s v="Dr Mehta"/>
    <d v="2026-01-15T00:00:00"/>
    <s v="Valid"/>
    <b v="1"/>
    <b v="1"/>
    <d v="2026-01-04T00:00:00"/>
    <s v="12345"/>
    <s v="12345"/>
    <s v="12345"/>
    <s v="Valid"/>
    <s v="mannatsethi@khurana.biz"/>
    <s v="Yes"/>
    <n v="19231.150000000001"/>
    <s v="N"/>
    <n v="126"/>
    <n v="126"/>
    <s v="C34"/>
  </r>
  <r>
    <s v="P2016"/>
    <s v="Dishani Kota"/>
    <s v="Dishani Kota"/>
    <x v="2"/>
    <n v="55"/>
    <n v="55"/>
    <s v="Cardiology"/>
    <s v="Cardiology"/>
    <s v="dr priya"/>
    <s v="Dr Priya"/>
    <d v="2026-04-03T00:00:00"/>
    <s v="Valid"/>
    <b v="1"/>
    <b v="1"/>
    <d v="2026-03-19T00:00:00"/>
    <s v="6338327272"/>
    <s v="6338327272"/>
    <s v="6338327272"/>
    <s v="Valid"/>
    <s v="biju12@yahoo.com"/>
    <s v="Y"/>
    <n v="7199.14"/>
    <s v="NO"/>
    <n v="489"/>
    <n v="489"/>
    <s v="M54"/>
  </r>
  <r>
    <s v="P2017"/>
    <s v="Darshit Kari"/>
    <s v="Darshit Kari"/>
    <x v="5"/>
    <n v="80"/>
    <n v="80"/>
    <s v="Orthopedics"/>
    <s v="Orthopedics"/>
    <s v="Dr Mehta"/>
    <s v="Dr Mehta"/>
    <d v="2025-12-11T00:00:00"/>
    <s v="Valid"/>
    <b v="1"/>
    <b v="1"/>
    <d v="2025-12-04T00:00:00"/>
    <s v="08464570622"/>
    <s v="08464570622"/>
    <s v="8464570622"/>
    <s v="Valid"/>
    <s v="korpaldivij@hotmail.com"/>
    <s v="Y"/>
    <n v="19214.84"/>
    <s v="Yes"/>
    <n v="458"/>
    <n v="458"/>
    <s v="E11"/>
  </r>
  <r>
    <s v="P2018"/>
    <s v="Dishani Kurian"/>
    <s v="Dishani Kurian"/>
    <x v="1"/>
    <n v="26"/>
    <n v="26"/>
    <s v="General Medicine"/>
    <s v="General Medicine"/>
    <s v="Dr Mehta"/>
    <s v="Dr Mehta"/>
    <d v="2026-04-27T00:00:00"/>
    <s v="Valid"/>
    <b v="1"/>
    <b v="1"/>
    <d v="2026-04-05T00:00:00"/>
    <s v="7904575340"/>
    <s v="7904575340"/>
    <s v="7904575340"/>
    <s v="Valid"/>
    <s v="voramishti@lal.com"/>
    <s v="Yes"/>
    <n v="4878.99"/>
    <s v="Y"/>
    <n v="217"/>
    <n v="217"/>
    <s v="I10"/>
  </r>
  <r>
    <s v="P2019"/>
    <s v="Madhav Kala"/>
    <s v="Madhav Kala"/>
    <x v="4"/>
    <n v="52"/>
    <n v="52"/>
    <s v="Cardiology"/>
    <s v="Cardiology"/>
    <s v="Dr. Sharma"/>
    <s v="Dr. Sharma"/>
    <d v="2026-02-15T00:00:00"/>
    <s v="Valid"/>
    <b v="1"/>
    <b v="1"/>
    <d v="2026-02-09T00:00:00"/>
    <s v="01027368229"/>
    <s v="01027368229"/>
    <s v="1027368229"/>
    <s v="Valid"/>
    <s v="jayaramanhiran@joshi.com"/>
    <s v="Yes"/>
    <n v="10772.31"/>
    <s v="N"/>
    <n v="146"/>
    <n v="146"/>
    <s v="K21"/>
  </r>
  <r>
    <s v="P2021"/>
    <s v="Bhamini Bahl"/>
    <s v="Bhamini Bahl"/>
    <x v="1"/>
    <n v="83"/>
    <n v="83"/>
    <s v="Cardiology"/>
    <s v="Cardiology"/>
    <s v="Dr. Sharma"/>
    <s v="Dr. Sharma"/>
    <d v="2026-01-29T00:00:00"/>
    <s v="Valid"/>
    <b v="1"/>
    <b v="1"/>
    <d v="2026-01-26T00:00:00"/>
    <s v="07041425516"/>
    <s v="07041425516"/>
    <s v="7041425516"/>
    <s v="Valid"/>
    <s v="himmat64@yahoo.com"/>
    <s v="Y"/>
    <n v="9216.69"/>
    <s v="NO"/>
    <n v="464"/>
    <n v="464"/>
    <s v="M54"/>
  </r>
  <r>
    <s v="P2022"/>
    <s v="Uthkarsh Doshi"/>
    <s v="Uthkarsh Doshi"/>
    <x v="5"/>
    <n v="41"/>
    <n v="41"/>
    <s v="Cardiology"/>
    <s v="Cardiology"/>
    <s v="Dr Mehta"/>
    <s v="Dr Mehta"/>
    <d v="2026-01-26T00:00:00"/>
    <s v="Valid"/>
    <b v="1"/>
    <b v="1"/>
    <d v="2026-01-25T00:00:00"/>
    <s v="04201535713"/>
    <s v="04201535713"/>
    <s v="4201535713"/>
    <s v="Valid"/>
    <s v="fatehvarghese@yahoo.com"/>
    <s v="Yes"/>
    <n v="1492.84"/>
    <s v="NO"/>
    <n v="208"/>
    <n v="208"/>
    <s v="J20"/>
  </r>
  <r>
    <s v="P2023"/>
    <s v="Anahi Kale"/>
    <s v="Anahi Kale"/>
    <x v="3"/>
    <n v="36"/>
    <n v="36"/>
    <s v="Neurology"/>
    <s v="Neurology"/>
    <s v="dr priya"/>
    <s v="Dr Priya"/>
    <d v="2026-02-06T00:00:00"/>
    <s v="Valid"/>
    <b v="1"/>
    <b v="1"/>
    <d v="2026-02-01T00:00:00"/>
    <s v="+918372814091"/>
    <s v="918372814091"/>
    <s v="8372814091"/>
    <s v="Valid"/>
    <s v="ehsaangrover@yahoo.com"/>
    <s v="Y"/>
    <n v="23718.54"/>
    <s v="NO"/>
    <n v="271"/>
    <n v="271"/>
    <s v="J20"/>
  </r>
  <r>
    <s v="P2024"/>
    <s v="Dhanush Bhattacharyya"/>
    <s v="Dhanush Bhattacharyya"/>
    <x v="2"/>
    <n v="13"/>
    <n v="13"/>
    <s v="Cardiology"/>
    <s v="Cardiology"/>
    <s v="Dr Mehta"/>
    <s v="Dr Mehta"/>
    <d v="2025-12-30T00:00:00"/>
    <s v="Valid"/>
    <b v="1"/>
    <b v="1"/>
    <d v="2025-12-20T00:00:00"/>
    <s v="04922734686"/>
    <s v="04922734686"/>
    <s v="4922734686"/>
    <s v="Valid"/>
    <s v="xdugar@rao.com"/>
    <s v="N"/>
    <n v="18584.04"/>
    <s v="NO"/>
    <n v="480"/>
    <n v="480"/>
    <s v="K21"/>
  </r>
  <r>
    <s v="P2025"/>
    <s v="Saanvi Hari"/>
    <s v="Saanvi Hari"/>
    <x v="2"/>
    <n v="31"/>
    <n v="31"/>
    <s v="Oncology"/>
    <s v="Oncology"/>
    <s v="DR SHARMA"/>
    <s v="Dr Sharma"/>
    <d v="2026-05-22T00:00:00"/>
    <s v="Valid"/>
    <b v="1"/>
    <b v="1"/>
    <d v="2026-05-04T00:00:00"/>
    <s v="05839191603"/>
    <s v="05839191603"/>
    <s v="5839191603"/>
    <s v="Valid"/>
    <s v="dhruv94@garde-agarwal.info"/>
    <m/>
    <n v="2363.33"/>
    <s v="NO"/>
    <n v="166"/>
    <n v="166"/>
    <s v="C34"/>
  </r>
  <r>
    <s v="P2026"/>
    <s v="Vardaniya Bose"/>
    <s v="Vardaniya Bose"/>
    <x v="2"/>
    <n v="6"/>
    <n v="6"/>
    <s v="Pediatrics"/>
    <s v="Pediatrics"/>
    <s v="DR SHARMA"/>
    <s v="Dr Sharma"/>
    <d v="2026-02-21T00:00:00"/>
    <s v="Valid"/>
    <b v="1"/>
    <b v="1"/>
    <d v="2026-01-30T00:00:00"/>
    <s v="7298016429"/>
    <s v="7298016429"/>
    <s v="7298016429"/>
    <s v="Valid"/>
    <s v="shaanbhatia@hotmail.com"/>
    <m/>
    <n v="23152.42"/>
    <s v="NO"/>
    <n v="379"/>
    <n v="379"/>
    <s v="A09"/>
  </r>
  <r>
    <s v="P2027"/>
    <s v="Kimaya Sanghvi"/>
    <s v="Kimaya Sanghvi"/>
    <x v="2"/>
    <n v="39"/>
    <n v="39"/>
    <s v="General Medicine"/>
    <s v="General Medicine"/>
    <s v="DR SHARMA"/>
    <s v="Dr Sharma"/>
    <d v="2026-04-02T00:00:00"/>
    <s v="Valid"/>
    <b v="1"/>
    <b v="1"/>
    <d v="2026-03-16T00:00:00"/>
    <s v="+917850687657"/>
    <s v="917850687657"/>
    <s v="7850687657"/>
    <s v="Valid"/>
    <s v="bhattacharyyakismat@dugar.com"/>
    <s v="Yes"/>
    <n v="1286.52"/>
    <s v="N"/>
    <n v="314"/>
    <n v="314"/>
    <s v="A09"/>
  </r>
  <r>
    <s v="P2028"/>
    <s v="Chirag Sibal"/>
    <s v="Chirag Sibal"/>
    <x v="0"/>
    <n v="72"/>
    <n v="72"/>
    <s v="ENT"/>
    <s v="ENT"/>
    <s v="dr priya"/>
    <s v="Dr Priya"/>
    <d v="2026-01-03T00:00:00"/>
    <s v="Valid"/>
    <b v="1"/>
    <b v="1"/>
    <d v="2025-12-20T00:00:00"/>
    <s v="+914472720803"/>
    <s v="914472720803"/>
    <s v="4472720803"/>
    <s v="Valid"/>
    <s v="tara87@thakkar.com"/>
    <s v="NO"/>
    <n v="22789.06"/>
    <s v="NO"/>
    <n v="347"/>
    <n v="347"/>
    <s v="M54"/>
  </r>
  <r>
    <s v="P2029"/>
    <s v="Gokul Lanka"/>
    <s v="Gokul Lanka"/>
    <x v="0"/>
    <n v="22"/>
    <n v="22"/>
    <s v="Oncology"/>
    <s v="Oncology"/>
    <s v="Dr Mehta"/>
    <s v="Dr Mehta"/>
    <d v="2025-12-01T00:00:00"/>
    <s v="Valid"/>
    <b v="1"/>
    <b v="1"/>
    <d v="2025-11-22T00:00:00"/>
    <s v="0762692864"/>
    <s v="0762692864"/>
    <s v="0762692864"/>
    <s v="Valid"/>
    <s v="sridharumang@baral.com"/>
    <s v="Yes"/>
    <n v="23903.91"/>
    <s v="Yes"/>
    <n v="506"/>
    <n v="506"/>
    <s v="C34"/>
  </r>
  <r>
    <s v="P2030"/>
    <s v="Seher Sahni"/>
    <s v="Seher Sahni"/>
    <x v="5"/>
    <n v="51"/>
    <n v="51"/>
    <s v="General Medicine"/>
    <s v="General Medicine"/>
    <s v="Dr Mehta"/>
    <s v="Dr Mehta"/>
    <d v="2026-02-09T00:00:00"/>
    <s v="Valid"/>
    <b v="1"/>
    <b v="1"/>
    <d v="2026-02-04T00:00:00"/>
    <s v="+919688846532"/>
    <s v="919688846532"/>
    <s v="9688846532"/>
    <s v="Valid"/>
    <s v="sahnitara@gmail.com"/>
    <m/>
    <n v="18818.05"/>
    <m/>
    <n v="387"/>
    <n v="387"/>
    <s v="K21"/>
  </r>
  <r>
    <s v="P2031"/>
    <s v="Uthkarsh Kapur"/>
    <s v="Uthkarsh Kapur"/>
    <x v="1"/>
    <n v="52"/>
    <n v="52"/>
    <s v="Oncology"/>
    <s v="Oncology"/>
    <s v="DR SHARMA"/>
    <s v="Dr Sharma"/>
    <d v="2026-04-24T00:00:00"/>
    <s v="Valid"/>
    <b v="1"/>
    <b v="1"/>
    <d v="2026-04-19T00:00:00"/>
    <s v="+916007189550"/>
    <s v="916007189550"/>
    <s v="6007189550"/>
    <s v="Valid"/>
    <s v="shethtarini@yahoo.com"/>
    <s v="Yes"/>
    <n v="4168.08"/>
    <s v="N"/>
    <n v="403"/>
    <n v="403"/>
    <s v="C34"/>
  </r>
  <r>
    <s v="P2032"/>
    <s v="Bhamini Setty"/>
    <s v="Bhamini Setty"/>
    <x v="0"/>
    <n v="66"/>
    <n v="66"/>
    <s v="General Medicine"/>
    <s v="General Medicine"/>
    <s v="Dr. Sharma"/>
    <s v="Dr. Sharma"/>
    <d v="2026-03-21T00:00:00"/>
    <s v="Valid"/>
    <b v="1"/>
    <b v="1"/>
    <d v="2026-03-12T00:00:00"/>
    <s v="04308843804"/>
    <s v="04308843804"/>
    <s v="4308843804"/>
    <s v="Valid"/>
    <s v="bainsmannat@bhardwaj-lall.com"/>
    <s v="NO"/>
    <n v="7549.82"/>
    <s v="Yes"/>
    <n v="382"/>
    <n v="382"/>
    <s v="I10"/>
  </r>
  <r>
    <s v="P2033"/>
    <s v="Ela Dutta"/>
    <s v="Ela Dutta"/>
    <x v="4"/>
    <n v="29"/>
    <n v="29"/>
    <s v="Cardiology"/>
    <s v="Cardiology"/>
    <s v="DR SHARMA"/>
    <s v="Dr Sharma"/>
    <d v="2026-02-18T00:00:00"/>
    <s v="Valid"/>
    <b v="1"/>
    <b v="1"/>
    <d v="2026-02-09T00:00:00"/>
    <s v="+911355735011"/>
    <s v="911355735011"/>
    <s v="1355735011"/>
    <s v="Valid"/>
    <s v="akala@tank.com"/>
    <s v="Yes"/>
    <n v="16062.46"/>
    <s v="Yes"/>
    <n v="168"/>
    <n v="168"/>
    <s v="J20"/>
  </r>
  <r>
    <s v="P2034"/>
    <s v="Vidur Mani"/>
    <s v="Vidur Mani"/>
    <x v="0"/>
    <n v="83"/>
    <n v="83"/>
    <s v="Pediatrics"/>
    <s v="Pediatrics"/>
    <s v="DR SHARMA"/>
    <s v="Dr Sharma"/>
    <d v="2026-02-16T00:00:00"/>
    <s v="Valid"/>
    <b v="1"/>
    <b v="1"/>
    <d v="2026-01-30T00:00:00"/>
    <s v="7984376988"/>
    <s v="7984376988"/>
    <s v="7984376988"/>
    <s v="Valid"/>
    <s v="xchanda@yohannan-sandhu.biz"/>
    <s v="NO"/>
    <n v="234.72"/>
    <s v="NO"/>
    <n v="423"/>
    <n v="423"/>
    <s v="A09"/>
  </r>
  <r>
    <s v="P2035"/>
    <s v="Tanya Loyal"/>
    <s v="Tanya Loyal"/>
    <x v="2"/>
    <n v="42"/>
    <n v="42"/>
    <s v="Neurology"/>
    <s v="Neurology"/>
    <s v="Dr. Sharma"/>
    <s v="Dr. Sharma"/>
    <d v="2026-03-07T00:00:00"/>
    <s v="Valid"/>
    <b v="1"/>
    <b v="1"/>
    <d v="2026-02-12T00:00:00"/>
    <s v="+918487502372"/>
    <s v="918487502372"/>
    <s v="8487502372"/>
    <s v="Valid"/>
    <s v="sundaramyasmin@sampath.biz"/>
    <s v="Yes"/>
    <n v="10326.9"/>
    <s v="Yes"/>
    <n v="266"/>
    <n v="266"/>
    <s v="I10"/>
  </r>
  <r>
    <s v="P2036"/>
    <s v="Suhana Dhar"/>
    <s v="Suhana Dhar"/>
    <x v="0"/>
    <n v="46"/>
    <n v="46"/>
    <s v="Pediatrics"/>
    <s v="Pediatrics"/>
    <s v="Dr. Sharma"/>
    <s v="Dr. Sharma"/>
    <d v="2026-04-20T00:00:00"/>
    <s v="Valid"/>
    <b v="1"/>
    <b v="1"/>
    <d v="2026-04-15T00:00:00"/>
    <s v="3207744536"/>
    <s v="3207744536"/>
    <s v="3207744536"/>
    <s v="Valid"/>
    <s v="sethnitya@hotmail.com"/>
    <s v="Y"/>
    <n v="24295.8"/>
    <s v="NO"/>
    <n v="469"/>
    <n v="469"/>
    <s v="C34"/>
  </r>
  <r>
    <s v="P2037"/>
    <s v="Jhanvi Swamy"/>
    <s v="Jhanvi Swamy"/>
    <x v="1"/>
    <n v="84"/>
    <n v="84"/>
    <s v="Oncology"/>
    <s v="Oncology"/>
    <s v="DR SHARMA"/>
    <s v="Dr Sharma"/>
    <d v="2026-04-28T00:00:00"/>
    <s v="Valid"/>
    <b v="1"/>
    <b v="1"/>
    <d v="2026-04-02T00:00:00"/>
    <s v="+919868560133"/>
    <s v="919868560133"/>
    <s v="9868560133"/>
    <s v="Valid"/>
    <s v="jbhatti@hotmail.com"/>
    <m/>
    <n v="5671.85"/>
    <s v="Yes"/>
    <n v="204"/>
    <n v="204"/>
    <s v="A09"/>
  </r>
  <r>
    <s v="P2038"/>
    <s v="Jiya Swamy"/>
    <s v="Jiya Swamy"/>
    <x v="1"/>
    <n v="20"/>
    <n v="20"/>
    <s v="General Medicine"/>
    <s v="General Medicine"/>
    <s v="DR SHARMA"/>
    <s v="Dr Sharma"/>
    <d v="2026-02-28T00:00:00"/>
    <s v="Valid"/>
    <b v="1"/>
    <b v="1"/>
    <d v="2026-02-05T00:00:00"/>
    <s v="+915715165797"/>
    <s v="915715165797"/>
    <s v="5715165797"/>
    <s v="Valid"/>
    <s v="divijmadan@banik-sarraf.com"/>
    <m/>
    <n v="9342.27"/>
    <m/>
    <n v="147"/>
    <n v="147"/>
    <s v="M54"/>
  </r>
  <r>
    <s v="P2039"/>
    <s v="Urvi Yadav"/>
    <s v="Urvi Yadav"/>
    <x v="4"/>
    <n v="59"/>
    <n v="59"/>
    <s v="Orthopedics"/>
    <s v="Orthopedics"/>
    <s v="Dr Mehta"/>
    <s v="Dr Mehta"/>
    <d v="2025-12-13T00:00:00"/>
    <s v="Valid"/>
    <b v="1"/>
    <b v="1"/>
    <d v="2025-12-07T00:00:00"/>
    <s v="02809203832"/>
    <s v="02809203832"/>
    <s v="2809203832"/>
    <s v="Valid"/>
    <s v="chadasamiha@korpal.info"/>
    <m/>
    <n v="23595.21"/>
    <s v="Y"/>
    <n v="431"/>
    <n v="431"/>
    <s v="J20"/>
  </r>
  <r>
    <s v="P2041"/>
    <s v="Jiya Sha"/>
    <s v="Jiya Sha"/>
    <x v="2"/>
    <n v="55"/>
    <n v="55"/>
    <s v="Pediatrics"/>
    <s v="Pediatrics"/>
    <s v="Dr Khan"/>
    <s v="Dr Khan"/>
    <d v="2026-03-15T00:00:00"/>
    <s v="Valid"/>
    <b v="1"/>
    <b v="1"/>
    <d v="2026-02-14T00:00:00"/>
    <s v="+912762179692"/>
    <s v="912762179692"/>
    <s v="2762179692"/>
    <s v="Valid"/>
    <s v="ndivan@gmail.com"/>
    <m/>
    <n v="2685.8"/>
    <s v="Y"/>
    <n v="472"/>
    <n v="472"/>
    <s v="K21"/>
  </r>
  <r>
    <s v="P2042"/>
    <s v="Jivika Tripathi"/>
    <s v="Jivika Tripathi"/>
    <x v="0"/>
    <n v="78"/>
    <n v="78"/>
    <s v="Neurology"/>
    <s v="Neurology"/>
    <s v="dr priya"/>
    <s v="Dr Priya"/>
    <d v="2026-02-16T00:00:00"/>
    <s v="Valid"/>
    <b v="1"/>
    <b v="1"/>
    <d v="2026-02-04T00:00:00"/>
    <s v="4211413529"/>
    <s v="4211413529"/>
    <s v="4211413529"/>
    <s v="Valid"/>
    <s v="dasguptaishaan@yahoo.com"/>
    <s v="Yes"/>
    <n v="2928.88"/>
    <s v="Yes"/>
    <n v="490"/>
    <n v="490"/>
    <s v="K21"/>
  </r>
  <r>
    <s v="P2043"/>
    <s v="Charvi Badami"/>
    <s v="Charvi Badami"/>
    <x v="0"/>
    <n v="17"/>
    <n v="17"/>
    <s v="Pediatrics"/>
    <s v="Pediatrics"/>
    <s v="Dr Mehta"/>
    <s v="Dr Mehta"/>
    <d v="2026-01-03T00:00:00"/>
    <s v="Valid"/>
    <b v="1"/>
    <b v="1"/>
    <d v="2025-12-26T00:00:00"/>
    <s v="8329216080"/>
    <s v="8329216080"/>
    <s v="8329216080"/>
    <s v="Valid"/>
    <s v="vivaantaneja@dewan.info"/>
    <s v="Yes"/>
    <n v="23477.24"/>
    <s v="Yes"/>
    <n v="505"/>
    <n v="505"/>
    <s v="I10"/>
  </r>
  <r>
    <s v="P2044"/>
    <s v="Rohan Saxena"/>
    <s v="Rohan Saxena"/>
    <x v="2"/>
    <n v="70"/>
    <n v="70"/>
    <s v="ENT"/>
    <s v="ENT"/>
    <s v="Dr Mehta"/>
    <s v="Dr Mehta"/>
    <d v="2026-02-10T00:00:00"/>
    <s v="Valid"/>
    <b v="1"/>
    <b v="1"/>
    <d v="2026-02-04T00:00:00"/>
    <s v="+918814240007"/>
    <s v="918814240007"/>
    <s v="8814240007"/>
    <s v="Valid"/>
    <s v="xsolanki@mann.net"/>
    <s v="Yes"/>
    <n v="12114.55"/>
    <m/>
    <n v="517"/>
    <n v="517"/>
    <s v="E11"/>
  </r>
  <r>
    <s v="P2045"/>
    <s v="Aarav Sarma"/>
    <s v="Aarav Sarma"/>
    <x v="0"/>
    <n v="43"/>
    <n v="43"/>
    <s v="General Medicine"/>
    <s v="General Medicine"/>
    <s v="Dr Mehta"/>
    <s v="Dr Mehta"/>
    <d v="2026-01-16T00:00:00"/>
    <s v="Valid"/>
    <b v="1"/>
    <b v="1"/>
    <d v="2026-01-09T00:00:00"/>
    <s v="6934346490"/>
    <s v="6934346490"/>
    <s v="6934346490"/>
    <s v="Valid"/>
    <s v="luthraalia@ramachandran.com"/>
    <s v="Yes"/>
    <n v="13679.46"/>
    <s v="Yes"/>
    <n v="421"/>
    <n v="421"/>
    <s v="A09"/>
  </r>
  <r>
    <s v="P2046"/>
    <s v="Zaina Sant"/>
    <s v="Zaina Sant"/>
    <x v="2"/>
    <n v="3"/>
    <n v="3"/>
    <s v="Cardiology"/>
    <s v="Cardiology"/>
    <s v="Dr Mehta"/>
    <s v="Dr Mehta"/>
    <d v="2025-12-23T00:00:00"/>
    <s v="Valid"/>
    <b v="1"/>
    <b v="1"/>
    <d v="2025-12-06T00:00:00"/>
    <s v="05074420033"/>
    <s v="05074420033"/>
    <s v="5074420033"/>
    <s v="Valid"/>
    <s v="sanachawla@hotmail.com"/>
    <s v="Y"/>
    <n v="2743.64"/>
    <m/>
    <n v="172"/>
    <n v="172"/>
    <s v="I10"/>
  </r>
  <r>
    <s v="P2047"/>
    <s v="Pihu Lall"/>
    <s v="Pihu Lall"/>
    <x v="5"/>
    <n v="4"/>
    <n v="4"/>
    <s v="Pediatrics"/>
    <s v="Pediatrics"/>
    <s v="dr priya"/>
    <s v="Dr Priya"/>
    <d v="2026-02-20T00:00:00"/>
    <s v="Valid"/>
    <b v="1"/>
    <b v="1"/>
    <d v="2026-02-08T00:00:00"/>
    <s v="3954961585"/>
    <s v="3954961585"/>
    <s v="3954961585"/>
    <s v="Valid"/>
    <s v="faiyazde@hotmail.com"/>
    <s v="Yes"/>
    <n v="8962.09"/>
    <s v="Yes"/>
    <n v="215"/>
    <n v="215"/>
    <s v="C34"/>
  </r>
  <r>
    <s v="P2048"/>
    <s v="Ira Singh"/>
    <s v="Ira Singh"/>
    <x v="1"/>
    <n v="88"/>
    <n v="88"/>
    <s v="Neurology"/>
    <s v="Neurology"/>
    <s v="Dr Khan"/>
    <s v="Dr Khan"/>
    <d v="2026-01-11T00:00:00"/>
    <s v="Valid"/>
    <b v="1"/>
    <b v="1"/>
    <d v="2026-01-06T00:00:00"/>
    <s v="04912840758"/>
    <s v="04912840758"/>
    <s v="4912840758"/>
    <s v="Valid"/>
    <s v="aayushsathe@gmail.com"/>
    <s v="NO"/>
    <n v="5768.16"/>
    <s v="Yes"/>
    <n v="282"/>
    <n v="282"/>
    <s v="I10"/>
  </r>
  <r>
    <s v="P2049"/>
    <s v="Samaira Soman"/>
    <s v="Samaira Soman"/>
    <x v="2"/>
    <n v="16"/>
    <n v="16"/>
    <s v="ENT"/>
    <s v="ENT"/>
    <s v="Dr Mehta"/>
    <s v="Dr Mehta"/>
    <d v="2026-05-09T00:00:00"/>
    <s v="Valid"/>
    <b v="1"/>
    <b v="1"/>
    <d v="2026-04-11T00:00:00"/>
    <s v="+916512028767"/>
    <s v="916512028767"/>
    <s v="6512028767"/>
    <s v="Valid"/>
    <s v="xdevan@yahoo.com"/>
    <s v="Yes"/>
    <n v="15191.76"/>
    <s v="Y"/>
    <n v="319"/>
    <n v="319"/>
    <s v="A09"/>
  </r>
  <r>
    <s v="P2050"/>
    <s v="Krish Dar"/>
    <s v="Krish Dar"/>
    <x v="2"/>
    <n v="77"/>
    <n v="77"/>
    <s v="Orthopedics"/>
    <s v="Orthopedics"/>
    <s v="dr priya"/>
    <s v="Dr Priya"/>
    <d v="2025-11-19T00:00:00"/>
    <s v="Valid"/>
    <b v="1"/>
    <b v="1"/>
    <d v="2025-11-15T00:00:00"/>
    <s v="07194390327"/>
    <s v="07194390327"/>
    <s v="7194390327"/>
    <s v="Valid"/>
    <s v="oaggarwal@deshpande-chaudhari.info"/>
    <s v="Y"/>
    <s v="twenty thousand"/>
    <s v="Yes"/>
    <s v="Room-X"/>
    <n v="0"/>
    <s v="I10"/>
  </r>
  <r>
    <s v="P2051"/>
    <s v="Raghav Saini"/>
    <s v="Raghav Saini"/>
    <x v="0"/>
    <n v="64"/>
    <n v="64"/>
    <s v="ENT"/>
    <s v="ENT"/>
    <s v="Dr. Sharma"/>
    <s v="Dr. Sharma"/>
    <d v="2026-03-18T00:00:00"/>
    <s v="Valid"/>
    <b v="1"/>
    <b v="1"/>
    <d v="2026-02-21T00:00:00"/>
    <s v="04917593585"/>
    <s v="04917593585"/>
    <s v="4917593585"/>
    <s v="Valid"/>
    <s v="nitara77@gmail.com"/>
    <s v="NO"/>
    <n v="19763.63"/>
    <s v="Y"/>
    <n v="498"/>
    <n v="498"/>
    <s v="C34"/>
  </r>
  <r>
    <s v="P2052"/>
    <s v="Sana Batra"/>
    <s v="Sana Batra"/>
    <x v="4"/>
    <n v="41"/>
    <n v="41"/>
    <s v="Orthopedics"/>
    <s v="Orthopedics"/>
    <s v="dr priya"/>
    <s v="Dr Priya"/>
    <d v="2026-02-18T00:00:00"/>
    <s v="Valid"/>
    <b v="1"/>
    <b v="1"/>
    <d v="2026-02-04T00:00:00"/>
    <s v="6259907094"/>
    <s v="6259907094"/>
    <s v="6259907094"/>
    <s v="Valid"/>
    <s v="qdeep@hotmail.com"/>
    <m/>
    <n v="20403.310000000001"/>
    <s v="NO"/>
    <n v="395"/>
    <n v="395"/>
    <s v="M54"/>
  </r>
  <r>
    <s v="P2053"/>
    <s v="Anvi Dasgupta"/>
    <s v="Anvi Dasgupta"/>
    <x v="0"/>
    <n v="19"/>
    <n v="19"/>
    <s v="Neurology"/>
    <s v="Neurology"/>
    <s v="dr priya"/>
    <s v="Dr Priya"/>
    <d v="2025-12-17T00:00:00"/>
    <s v="Valid"/>
    <b v="1"/>
    <b v="1"/>
    <d v="2025-12-13T00:00:00"/>
    <s v="07010183185"/>
    <s v="07010183185"/>
    <s v="7010183185"/>
    <s v="Valid"/>
    <s v="aurorasaksham@zachariah-kamdar.org"/>
    <s v="Yes"/>
    <n v="19234.88"/>
    <s v="NO"/>
    <n v="263"/>
    <n v="263"/>
    <s v="M54"/>
  </r>
  <r>
    <s v="P2054"/>
    <s v="Anay Barad"/>
    <s v="Anay Barad"/>
    <x v="1"/>
    <n v="62"/>
    <n v="62"/>
    <s v="Dermatology"/>
    <s v="Dermatology"/>
    <s v="dr priya"/>
    <s v="Dr Priya"/>
    <d v="2025-12-15T00:00:00"/>
    <s v="Valid"/>
    <b v="1"/>
    <b v="1"/>
    <d v="2025-12-11T00:00:00"/>
    <s v="6908966057"/>
    <s v="6908966057"/>
    <s v="6908966057"/>
    <s v="Valid"/>
    <s v="yasminsavant@gulati.com"/>
    <s v="NO"/>
    <n v="9702.99"/>
    <m/>
    <n v="375"/>
    <n v="375"/>
    <s v="A09"/>
  </r>
  <r>
    <s v="P2055"/>
    <s v="Charvi Kaur"/>
    <s v="Charvi Kaur"/>
    <x v="3"/>
    <n v="69"/>
    <n v="69"/>
    <s v="Pediatrics"/>
    <s v="Pediatrics"/>
    <s v="dr priya"/>
    <s v="Dr Priya"/>
    <d v="2026-01-07T00:00:00"/>
    <s v="Valid"/>
    <b v="1"/>
    <b v="1"/>
    <d v="2026-01-05T00:00:00"/>
    <s v="6221418128"/>
    <s v="6221418128"/>
    <s v="6221418128"/>
    <s v="Valid"/>
    <s v="vaidyabhamini@yahoo.com"/>
    <m/>
    <n v="13268.26"/>
    <s v="N"/>
    <n v="459"/>
    <n v="459"/>
    <s v="I10"/>
  </r>
  <r>
    <s v="P2056"/>
    <s v="Yasmin Anne"/>
    <s v="Yasmin Anne"/>
    <x v="5"/>
    <n v="47"/>
    <n v="47"/>
    <s v="Cardiology"/>
    <s v="Cardiology"/>
    <s v="DR SHARMA"/>
    <s v="Dr Sharma"/>
    <d v="2025-12-16T00:00:00"/>
    <s v="Valid"/>
    <b v="1"/>
    <b v="1"/>
    <d v="2025-11-19T00:00:00"/>
    <s v="3178409759"/>
    <s v="3178409759"/>
    <s v="3178409759"/>
    <s v="Valid"/>
    <s v="waliavivaan@gmail.com"/>
    <s v="Yes"/>
    <n v="9187.48"/>
    <m/>
    <n v="168"/>
    <n v="168"/>
    <s v="I10"/>
  </r>
  <r>
    <s v="P2057"/>
    <s v="Jivin Dass"/>
    <s v="Jivin Dass"/>
    <x v="0"/>
    <n v="45"/>
    <n v="45"/>
    <s v="ENT"/>
    <s v="ENT"/>
    <s v="Dr Mehta"/>
    <s v="Dr Mehta"/>
    <d v="2026-01-11T00:00:00"/>
    <s v="Valid"/>
    <b v="1"/>
    <b v="1"/>
    <d v="2026-01-02T00:00:00"/>
    <s v="+915252904998"/>
    <s v="915252904998"/>
    <s v="5252904998"/>
    <s v="Valid"/>
    <s v="vshankar@hotmail.com"/>
    <m/>
    <n v="3774.68"/>
    <m/>
    <n v="224"/>
    <n v="224"/>
    <s v="E11"/>
  </r>
  <r>
    <s v="P2058"/>
    <s v="Shayak Tak"/>
    <s v="Shayak Tak"/>
    <x v="5"/>
    <n v="8"/>
    <n v="8"/>
    <s v="Orthopedics"/>
    <s v="Orthopedics"/>
    <s v="Dr Mehta"/>
    <s v="Dr Mehta"/>
    <d v="2026-02-09T00:00:00"/>
    <s v="Valid"/>
    <b v="1"/>
    <b v="1"/>
    <d v="2026-01-10T00:00:00"/>
    <s v="02701755101"/>
    <s v="02701755101"/>
    <s v="2701755101"/>
    <s v="Valid"/>
    <s v="anneseher@hotmail.com"/>
    <s v="Yes"/>
    <n v="9561.0300000000007"/>
    <s v="Yes"/>
    <n v="456"/>
    <n v="456"/>
    <s v="M54"/>
  </r>
  <r>
    <s v="P2059"/>
    <s v="Saira Uppal"/>
    <s v="Saira Uppal"/>
    <x v="2"/>
    <n v="7"/>
    <n v="7"/>
    <s v="Neurology"/>
    <s v="Neurology"/>
    <s v="Dr Mehta"/>
    <s v="Dr Mehta"/>
    <d v="2026-04-02T00:00:00"/>
    <s v="Valid"/>
    <b v="1"/>
    <b v="1"/>
    <d v="2026-03-18T00:00:00"/>
    <s v="04457489183"/>
    <s v="04457489183"/>
    <s v="4457489183"/>
    <s v="Valid"/>
    <s v="ubutala@yahoo.com"/>
    <s v="Yes"/>
    <n v="948.61"/>
    <s v="NO"/>
    <n v="172"/>
    <n v="172"/>
    <s v="I10"/>
  </r>
  <r>
    <s v="P2060"/>
    <s v="Riya Ramesh"/>
    <s v="Riya Ramesh"/>
    <x v="5"/>
    <n v="10"/>
    <n v="10"/>
    <s v="Cardiology"/>
    <s v="Cardiology"/>
    <s v="dr priya"/>
    <s v="Dr Priya"/>
    <d v="2026-04-07T00:00:00"/>
    <s v="Valid"/>
    <b v="1"/>
    <b v="1"/>
    <d v="2026-04-03T00:00:00"/>
    <s v="+917962730480"/>
    <s v="917962730480"/>
    <s v="7962730480"/>
    <s v="Valid"/>
    <s v="pranaykala@kadakia.com"/>
    <s v="Yes"/>
    <n v="11850.17"/>
    <s v="Y"/>
    <n v="483"/>
    <n v="483"/>
    <s v="A09"/>
  </r>
  <r>
    <s v="P2061"/>
    <s v="Adira Ghose"/>
    <s v="Adira Ghose"/>
    <x v="0"/>
    <n v="61"/>
    <n v="61"/>
    <s v="Dermatology"/>
    <s v="Dermatology"/>
    <s v="dr priya"/>
    <s v="Dr Priya"/>
    <d v="2026-04-14T00:00:00"/>
    <s v="Valid"/>
    <b v="1"/>
    <b v="1"/>
    <d v="2026-03-31T00:00:00"/>
    <s v="7763551430"/>
    <s v="7763551430"/>
    <s v="7763551430"/>
    <s v="Valid"/>
    <s v="fdas@gmail.com"/>
    <s v="Yes"/>
    <n v="7311.87"/>
    <s v="Y"/>
    <n v="130"/>
    <n v="130"/>
    <s v="C34"/>
  </r>
  <r>
    <s v="P2063"/>
    <s v="Samiha Rama"/>
    <s v="Samiha Rama"/>
    <x v="0"/>
    <n v="74"/>
    <n v="74"/>
    <s v="Oncology"/>
    <s v="Oncology"/>
    <s v="DR SHARMA"/>
    <s v="Dr Sharma"/>
    <d v="2026-04-30T00:00:00"/>
    <s v="Valid"/>
    <b v="1"/>
    <b v="1"/>
    <d v="2026-04-17T00:00:00"/>
    <s v="00610441180"/>
    <s v="00610441180"/>
    <s v="0610441180"/>
    <s v="Valid"/>
    <s v="kharedhanuk@sridhar.biz"/>
    <s v="Yes"/>
    <n v="6941.32"/>
    <s v="NO"/>
    <n v="367"/>
    <n v="367"/>
    <s v="M54"/>
  </r>
  <r>
    <s v="P2064"/>
    <s v="Raunak Chauhan"/>
    <s v="Raunak Chauhan"/>
    <x v="4"/>
    <n v="28"/>
    <n v="28"/>
    <s v="Dermatology"/>
    <s v="Dermatology"/>
    <s v="Dr Rao"/>
    <s v="Dr Rao"/>
    <d v="2025-12-02T00:00:00"/>
    <s v="Valid"/>
    <b v="1"/>
    <b v="1"/>
    <d v="2025-11-25T00:00:00"/>
    <s v="6352863387"/>
    <s v="6352863387"/>
    <s v="6352863387"/>
    <s v="Valid"/>
    <s v="goelshalv@hotmail.com"/>
    <m/>
    <n v="4755.6099999999997"/>
    <s v="NO"/>
    <n v="518"/>
    <n v="518"/>
    <s v="C34"/>
  </r>
  <r>
    <s v="P2065"/>
    <s v="Anvi Cherian"/>
    <s v="Anvi Cherian"/>
    <x v="3"/>
    <n v="62"/>
    <n v="62"/>
    <s v="ENT"/>
    <s v="ENT"/>
    <s v="dr priya"/>
    <s v="Dr Priya"/>
    <d v="2026-03-25T00:00:00"/>
    <s v="Valid"/>
    <b v="1"/>
    <b v="1"/>
    <d v="2026-02-27T00:00:00"/>
    <s v="5368939095"/>
    <s v="5368939095"/>
    <s v="5368939095"/>
    <s v="Valid"/>
    <s v="traja@yahoo.com"/>
    <m/>
    <n v="4287.6400000000003"/>
    <s v="NO"/>
    <n v="431"/>
    <n v="431"/>
    <s v="M54"/>
  </r>
  <r>
    <s v="P2066"/>
    <s v="Parinaaz Madan"/>
    <s v="Parinaaz Madan"/>
    <x v="5"/>
    <n v="35"/>
    <n v="35"/>
    <s v="Neurology"/>
    <s v="Neurology"/>
    <s v="Dr Mehta"/>
    <s v="Dr Mehta"/>
    <d v="2025-12-29T00:00:00"/>
    <s v="Valid"/>
    <b v="1"/>
    <b v="1"/>
    <d v="2025-12-27T00:00:00"/>
    <s v="+916083586367"/>
    <s v="916083586367"/>
    <s v="6083586367"/>
    <s v="Valid"/>
    <s v="samaira40@basu.com"/>
    <s v="N"/>
    <n v="15159.12"/>
    <s v="NO"/>
    <n v="114"/>
    <n v="114"/>
    <s v="E11"/>
  </r>
  <r>
    <s v="P2067"/>
    <s v="Jayant Bajaj"/>
    <s v="Jayant Bajaj"/>
    <x v="0"/>
    <n v="21"/>
    <n v="21"/>
    <s v="Neurology"/>
    <s v="Neurology"/>
    <s v="Dr Mehta"/>
    <s v="Dr Mehta"/>
    <d v="2025-12-10T00:00:00"/>
    <s v="Valid"/>
    <b v="1"/>
    <b v="1"/>
    <d v="2025-12-04T00:00:00"/>
    <s v="00418730057"/>
    <s v="00418730057"/>
    <s v="0418730057"/>
    <s v="Valid"/>
    <s v="nkari@batra.com"/>
    <s v="Yes"/>
    <n v="18961.73"/>
    <s v="Yes"/>
    <n v="196"/>
    <n v="196"/>
    <s v="A09"/>
  </r>
  <r>
    <s v="P2068"/>
    <s v="Dharmajan Lanka"/>
    <s v="Dharmajan Lanka"/>
    <x v="5"/>
    <n v="82"/>
    <n v="82"/>
    <s v="Cardiology"/>
    <s v="Cardiology"/>
    <s v="DR SHARMA"/>
    <s v="Dr Sharma"/>
    <d v="2026-02-16T00:00:00"/>
    <s v="Valid"/>
    <b v="1"/>
    <b v="1"/>
    <d v="2026-02-08T00:00:00"/>
    <s v="02711683424"/>
    <s v="02711683424"/>
    <s v="2711683424"/>
    <s v="Valid"/>
    <s v="fkarnik@sem.biz"/>
    <s v="NO"/>
    <n v="24421.25"/>
    <s v="Yes"/>
    <n v="388"/>
    <n v="388"/>
    <s v="K21"/>
  </r>
  <r>
    <s v="P2069"/>
    <s v="Shanaya Randhawa"/>
    <s v="Shanaya Randhawa"/>
    <x v="3"/>
    <n v="6"/>
    <n v="6"/>
    <s v="Cardiology"/>
    <s v="Cardiology"/>
    <s v="dr priya"/>
    <s v="Dr Priya"/>
    <d v="2026-04-23T00:00:00"/>
    <s v="Valid"/>
    <b v="1"/>
    <b v="1"/>
    <d v="2026-04-21T00:00:00"/>
    <s v="+916901118964"/>
    <s v="916901118964"/>
    <s v="6901118964"/>
    <s v="Valid"/>
    <s v="dhanuksawhney@hotmail.com"/>
    <s v="Y"/>
    <n v="410.27"/>
    <s v="NO"/>
    <n v="484"/>
    <n v="484"/>
    <s v="J20"/>
  </r>
  <r>
    <s v="P2070"/>
    <s v="Taran Wason"/>
    <s v="Taran Wason"/>
    <x v="1"/>
    <n v="65"/>
    <n v="65"/>
    <s v="Pediatrics"/>
    <s v="Pediatrics"/>
    <s v="dr priya"/>
    <s v="Dr Priya"/>
    <d v="2026-05-26T00:00:00"/>
    <s v="Valid"/>
    <b v="1"/>
    <b v="1"/>
    <d v="2026-05-02T00:00:00"/>
    <s v="05893226798"/>
    <s v="05893226798"/>
    <s v="5893226798"/>
    <s v="Valid"/>
    <s v="zkhosla@bhagat.biz"/>
    <m/>
    <n v="18197.07"/>
    <s v="Y"/>
    <n v="459"/>
    <n v="459"/>
    <s v="C34"/>
  </r>
  <r>
    <s v="P2071"/>
    <s v="Indranil Joshi"/>
    <s v="Indranil Joshi"/>
    <x v="2"/>
    <n v="43"/>
    <n v="43"/>
    <s v="Dermatology"/>
    <s v="Dermatology"/>
    <s v="Dr Mehta"/>
    <s v="Dr Mehta"/>
    <d v="2026-03-27T00:00:00"/>
    <s v="Valid"/>
    <b v="1"/>
    <b v="1"/>
    <d v="2026-03-11T00:00:00"/>
    <s v="+916211604235"/>
    <s v="916211604235"/>
    <s v="6211604235"/>
    <s v="Valid"/>
    <s v="pranay59@rau.com"/>
    <s v="Yes"/>
    <n v="787.4"/>
    <m/>
    <n v="344"/>
    <n v="344"/>
    <s v="A09"/>
  </r>
  <r>
    <s v="P2072"/>
    <s v="Raghav Koshy"/>
    <s v="Raghav Koshy"/>
    <x v="0"/>
    <n v="38"/>
    <n v="38"/>
    <s v="Orthopedics"/>
    <s v="Orthopedics"/>
    <s v="Dr Mehta"/>
    <s v="Dr Mehta"/>
    <d v="2026-03-01T00:00:00"/>
    <s v="Valid"/>
    <b v="1"/>
    <b v="1"/>
    <d v="2026-02-08T00:00:00"/>
    <s v="00108405943"/>
    <s v="00108405943"/>
    <s v="0108405943"/>
    <s v="Valid"/>
    <s v="umanggill@hotmail.com"/>
    <m/>
    <n v="2153.0700000000002"/>
    <s v="NO"/>
    <n v="467"/>
    <n v="467"/>
    <s v="E11"/>
  </r>
  <r>
    <s v="P2073"/>
    <s v="Aniruddh Vohra"/>
    <s v="Aniruddh Vohra"/>
    <x v="5"/>
    <n v="88"/>
    <n v="88"/>
    <s v="Orthopedics"/>
    <s v="Orthopedics"/>
    <s v="Dr Mehta"/>
    <s v="Dr Mehta"/>
    <d v="2026-05-27T00:00:00"/>
    <s v="Valid"/>
    <b v="1"/>
    <b v="1"/>
    <d v="2026-04-27T00:00:00"/>
    <s v="+911773336981"/>
    <s v="911773336981"/>
    <s v="1773336981"/>
    <s v="Valid"/>
    <s v="neysadayal@yahoo.com"/>
    <s v="N"/>
    <n v="11297.51"/>
    <s v="Y"/>
    <n v="273"/>
    <n v="273"/>
    <s v="J20"/>
  </r>
  <r>
    <s v="P2074"/>
    <s v="Tiya Bir"/>
    <s v="Tiya Bir"/>
    <x v="2"/>
    <n v="80"/>
    <n v="80"/>
    <s v="Dermatology"/>
    <s v="Dermatology"/>
    <s v="Dr Rao"/>
    <s v="Dr Rao"/>
    <d v="2026-01-24T00:00:00"/>
    <s v="Valid"/>
    <b v="1"/>
    <b v="1"/>
    <d v="2025-12-27T00:00:00"/>
    <s v="09403260145"/>
    <s v="09403260145"/>
    <s v="9403260145"/>
    <s v="Valid"/>
    <s v="choprasuhana@hayre.org"/>
    <m/>
    <n v="6129.94"/>
    <s v="NO"/>
    <n v="178"/>
    <n v="178"/>
    <s v="A09"/>
  </r>
  <r>
    <s v="P2075"/>
    <s v="Vanya Issac"/>
    <s v="Vanya Issac"/>
    <x v="3"/>
    <n v="13"/>
    <n v="13"/>
    <s v="Cardiology"/>
    <s v="Cardiology"/>
    <s v="Dr Mehta"/>
    <s v="Dr Mehta"/>
    <d v="2025-12-15T00:00:00"/>
    <s v="Valid"/>
    <b v="1"/>
    <b v="1"/>
    <d v="2025-11-21T00:00:00"/>
    <s v="+918409516332"/>
    <s v="918409516332"/>
    <s v="8409516332"/>
    <s v="Valid"/>
    <s v="vsampath@randhawa.org"/>
    <s v="Y"/>
    <n v="13768.97"/>
    <s v="NO"/>
    <n v="355"/>
    <n v="355"/>
    <s v="I10"/>
  </r>
  <r>
    <s v="P2076"/>
    <s v="Alia Dugal"/>
    <s v="Alia Dugal"/>
    <x v="3"/>
    <n v="41"/>
    <n v="41"/>
    <s v="Orthopedics"/>
    <s v="Orthopedics"/>
    <s v="Dr. Sharma"/>
    <s v="Dr. Sharma"/>
    <d v="2026-01-01T00:00:00"/>
    <s v="Valid"/>
    <b v="1"/>
    <b v="1"/>
    <d v="2025-12-27T00:00:00"/>
    <s v="+911102234605"/>
    <s v="911102234605"/>
    <s v="1102234605"/>
    <s v="Valid"/>
    <s v="lgoda@gmail.com"/>
    <s v="NO"/>
    <n v="7146.91"/>
    <s v="NO"/>
    <n v="280"/>
    <n v="280"/>
    <s v="I10"/>
  </r>
  <r>
    <s v="P2077"/>
    <s v="Reyansh Atwal"/>
    <s v="Reyansh Atwal"/>
    <x v="2"/>
    <n v="23"/>
    <n v="23"/>
    <s v="General Medicine"/>
    <s v="General Medicine"/>
    <s v="Dr. Sharma"/>
    <s v="Dr. Sharma"/>
    <d v="2026-02-17T00:00:00"/>
    <s v="Valid"/>
    <b v="1"/>
    <b v="1"/>
    <d v="2026-02-02T00:00:00"/>
    <s v="03391161613"/>
    <s v="03391161613"/>
    <s v="3391161613"/>
    <s v="Valid"/>
    <s v="aggarwalyakshit@hotmail.com"/>
    <s v="Y"/>
    <n v="19126.03"/>
    <m/>
    <n v="432"/>
    <n v="432"/>
    <s v="E11"/>
  </r>
  <r>
    <s v="P2078"/>
    <s v="Lakshit Maharaj"/>
    <s v="Lakshit Maharaj"/>
    <x v="2"/>
    <n v="73"/>
    <n v="73"/>
    <s v="General Medicine"/>
    <s v="General Medicine"/>
    <s v="Dr Rao"/>
    <s v="Dr Rao"/>
    <d v="2026-03-15T00:00:00"/>
    <s v="Valid"/>
    <b v="1"/>
    <b v="1"/>
    <d v="2026-03-04T00:00:00"/>
    <s v="8365821949"/>
    <s v="8365821949"/>
    <s v="8365821949"/>
    <s v="Valid"/>
    <s v="mkhalsa@mani.net"/>
    <s v="Y"/>
    <n v="10143.290000000001"/>
    <s v="Y"/>
    <n v="325"/>
    <n v="325"/>
    <s v="J20"/>
  </r>
  <r>
    <s v="P2079"/>
    <s v="Miraan Desai"/>
    <s v="Miraan Desai"/>
    <x v="2"/>
    <n v="48"/>
    <n v="48"/>
    <s v="Neurology"/>
    <s v="Neurology"/>
    <s v="dr priya"/>
    <s v="Dr Priya"/>
    <d v="2026-02-06T00:00:00"/>
    <s v="Valid"/>
    <b v="1"/>
    <b v="1"/>
    <d v="2026-01-21T00:00:00"/>
    <s v="01062541013"/>
    <s v="01062541013"/>
    <s v="1062541013"/>
    <s v="Valid"/>
    <s v="venkateshsamarth@hotmail.com"/>
    <m/>
    <n v="6718.12"/>
    <s v="Yes"/>
    <n v="417"/>
    <n v="417"/>
    <s v="C34"/>
  </r>
  <r>
    <s v="P2080"/>
    <s v="  Jhanvi Gala "/>
    <s v="Jhanvi Gala"/>
    <x v="0"/>
    <n v="32"/>
    <n v="32"/>
    <s v="Cardiology"/>
    <s v="Cardiology"/>
    <s v="Dr Mehta"/>
    <s v="Dr Mehta"/>
    <d v="2026-05-31T00:00:00"/>
    <s v="Valid"/>
    <b v="1"/>
    <b v="1"/>
    <d v="2026-05-04T00:00:00"/>
    <s v="05335065232"/>
    <s v="05335065232"/>
    <s v="5335065232"/>
    <s v="Valid"/>
    <s v="mallickanahi@yahoo.com"/>
    <s v="NO"/>
    <n v="7408.38"/>
    <s v="Y"/>
    <n v="391"/>
    <n v="391"/>
    <s v="M54"/>
  </r>
  <r>
    <s v="P2081"/>
    <s v="Rania Dey"/>
    <s v="Rania Dey"/>
    <x v="2"/>
    <n v="29"/>
    <n v="29"/>
    <s v="Dermatology"/>
    <s v="Dermatology"/>
    <s v="Dr Khan"/>
    <s v="Dr Khan"/>
    <d v="2026-02-27T00:00:00"/>
    <s v="Valid"/>
    <b v="1"/>
    <b v="1"/>
    <d v="2026-02-06T00:00:00"/>
    <s v="3963545883"/>
    <s v="3963545883"/>
    <s v="3963545883"/>
    <s v="Valid"/>
    <s v="samiha96@guha.com"/>
    <s v="NO"/>
    <n v="8853.66"/>
    <m/>
    <n v="428"/>
    <n v="428"/>
    <s v="A09"/>
  </r>
  <r>
    <s v="P2082"/>
    <s v="Advika Gade"/>
    <s v="Advika Gade"/>
    <x v="3"/>
    <n v="14"/>
    <n v="14"/>
    <s v="Neurology"/>
    <s v="Neurology"/>
    <s v="Dr Mehta"/>
    <s v="Dr Mehta"/>
    <d v="2026-01-08T00:00:00"/>
    <s v="Valid"/>
    <b v="1"/>
    <b v="1"/>
    <d v="2025-12-16T00:00:00"/>
    <s v="1531881648"/>
    <s v="1531881648"/>
    <s v="1531881648"/>
    <s v="Valid"/>
    <s v="bdugar@khurana.com"/>
    <s v="NO"/>
    <n v="22953.02"/>
    <m/>
    <n v="493"/>
    <n v="493"/>
    <s v="M54"/>
  </r>
  <r>
    <s v="P2083"/>
    <s v="Ryan Bhat"/>
    <s v="Ryan Bhat"/>
    <x v="5"/>
    <n v="52"/>
    <n v="52"/>
    <s v="ENT"/>
    <s v="ENT"/>
    <s v="Dr Mehta"/>
    <s v="Dr Mehta"/>
    <d v="2025-12-09T00:00:00"/>
    <s v="Valid"/>
    <b v="1"/>
    <b v="1"/>
    <d v="2025-11-29T00:00:00"/>
    <s v="9479334483"/>
    <s v="9479334483"/>
    <s v="9479334483"/>
    <s v="Valid"/>
    <s v="veer37@sangha.net"/>
    <s v="N"/>
    <n v="24911.67"/>
    <m/>
    <n v="208"/>
    <n v="208"/>
    <s v="C34"/>
  </r>
  <r>
    <s v="P2084"/>
    <s v="Saira Handa"/>
    <s v="Saira Handa"/>
    <x v="3"/>
    <n v="15"/>
    <n v="15"/>
    <s v="Oncology"/>
    <s v="Oncology"/>
    <s v="Dr Khan"/>
    <s v="Dr Khan"/>
    <d v="2026-04-25T00:00:00"/>
    <s v="Valid"/>
    <b v="1"/>
    <b v="1"/>
    <d v="2026-04-24T00:00:00"/>
    <s v="+916452818167"/>
    <s v="916452818167"/>
    <s v="6452818167"/>
    <s v="Valid"/>
    <s v="kabir64@shan.com"/>
    <s v="Yes"/>
    <n v="23723.64"/>
    <s v="Y"/>
    <n v="427"/>
    <n v="427"/>
    <s v="E11"/>
  </r>
  <r>
    <s v="P2086"/>
    <s v="Advika Halder"/>
    <s v="Advika Halder"/>
    <x v="5"/>
    <n v="3"/>
    <n v="3"/>
    <s v="Dermatology"/>
    <s v="Dermatology"/>
    <s v="Dr. Sharma"/>
    <s v="Dr. Sharma"/>
    <d v="2025-12-17T00:00:00"/>
    <s v="Valid"/>
    <b v="1"/>
    <b v="1"/>
    <d v="2025-12-09T00:00:00"/>
    <s v="8116734796"/>
    <s v="8116734796"/>
    <s v="8116734796"/>
    <s v="Valid"/>
    <s v="uraju@hotmail.com"/>
    <s v="Yes"/>
    <n v="2273.06"/>
    <s v="NO"/>
    <n v="240"/>
    <n v="240"/>
    <s v="M54"/>
  </r>
  <r>
    <s v="P2087"/>
    <s v="Arhaan Balasubramanian"/>
    <s v="Arhaan Balasubramanian"/>
    <x v="2"/>
    <n v="39"/>
    <n v="39"/>
    <s v="General Medicine"/>
    <s v="General Medicine"/>
    <s v="dr priya"/>
    <s v="Dr Priya"/>
    <d v="2026-03-07T00:00:00"/>
    <s v="Valid"/>
    <b v="1"/>
    <b v="1"/>
    <d v="2026-02-19T00:00:00"/>
    <s v="1090695959"/>
    <s v="1090695959"/>
    <s v="1090695959"/>
    <s v="Valid"/>
    <s v="glad@hotmail.com"/>
    <s v="NO"/>
    <n v="16807.18"/>
    <s v="Yes"/>
    <n v="194"/>
    <n v="194"/>
    <s v="K21"/>
  </r>
  <r>
    <s v="P2088"/>
    <s v="Nirvaan Zacharia"/>
    <s v="Nirvaan Zacharia"/>
    <x v="0"/>
    <n v="12"/>
    <n v="12"/>
    <s v="Dermatology"/>
    <s v="Dermatology"/>
    <s v="dr priya"/>
    <s v="Dr Priya"/>
    <d v="2026-02-28T00:00:00"/>
    <s v="Valid"/>
    <b v="1"/>
    <b v="1"/>
    <d v="2026-01-29T00:00:00"/>
    <s v="+917516060642"/>
    <s v="917516060642"/>
    <s v="7516060642"/>
    <s v="Valid"/>
    <s v="shayakhanda@kade.net"/>
    <s v="Y"/>
    <n v="4280.43"/>
    <s v="NO"/>
    <n v="314"/>
    <n v="314"/>
    <s v="M54"/>
  </r>
  <r>
    <s v="P2089"/>
    <s v="Drishya Agrawal"/>
    <s v="Drishya Agrawal"/>
    <x v="3"/>
    <n v="69"/>
    <n v="69"/>
    <s v="Orthopedics"/>
    <s v="Orthopedics"/>
    <s v="dr priya"/>
    <s v="Dr Priya"/>
    <d v="2026-02-12T00:00:00"/>
    <s v="Valid"/>
    <b v="1"/>
    <b v="1"/>
    <d v="2026-02-01T00:00:00"/>
    <s v="8821908730"/>
    <s v="8821908730"/>
    <s v="8821908730"/>
    <s v="Valid"/>
    <s v="auroranitara@seth-choudhary.com"/>
    <m/>
    <n v="20610.79"/>
    <s v="N"/>
    <n v="139"/>
    <n v="139"/>
    <s v="C34"/>
  </r>
  <r>
    <s v="P2090"/>
    <s v="Dhanuk Master"/>
    <s v="Dhanuk Master"/>
    <x v="4"/>
    <n v="42"/>
    <n v="42"/>
    <s v="ENT"/>
    <s v="ENT"/>
    <s v="Dr Rao"/>
    <s v="Dr Rao"/>
    <d v="2026-04-21T00:00:00"/>
    <s v="Valid"/>
    <b v="1"/>
    <b v="1"/>
    <d v="2026-04-17T00:00:00"/>
    <s v="2989717242"/>
    <s v="2989717242"/>
    <s v="2989717242"/>
    <s v="Valid"/>
    <s v="mehulchauhan@hotmail.com"/>
    <m/>
    <n v="23358.720000000001"/>
    <m/>
    <n v="542"/>
    <n v="542"/>
    <s v="J20"/>
  </r>
  <r>
    <s v="P2091"/>
    <s v="Alia Vora"/>
    <s v="Alia Vora"/>
    <x v="2"/>
    <n v="87"/>
    <n v="87"/>
    <s v="Dermatology"/>
    <s v="Dermatology"/>
    <s v="Dr. Sharma"/>
    <s v="Dr. Sharma"/>
    <d v="2025-12-17T00:00:00"/>
    <s v="Valid"/>
    <b v="1"/>
    <b v="1"/>
    <d v="2025-12-01T00:00:00"/>
    <s v="00743383478"/>
    <s v="00743383478"/>
    <s v="0743383478"/>
    <s v="Valid"/>
    <s v="anviagate@sankar.biz"/>
    <s v="Yes"/>
    <n v="24708.32"/>
    <s v="Y"/>
    <n v="424"/>
    <n v="424"/>
    <s v="M54"/>
  </r>
  <r>
    <s v="P2092"/>
    <s v="Jiya Kale"/>
    <s v="Jiya Kale"/>
    <x v="2"/>
    <n v="5"/>
    <n v="5"/>
    <s v="Pediatrics"/>
    <s v="Pediatrics"/>
    <s v="DR SHARMA"/>
    <s v="Dr Sharma"/>
    <d v="2026-05-15T00:00:00"/>
    <s v="Valid"/>
    <b v="1"/>
    <b v="1"/>
    <d v="2026-05-02T00:00:00"/>
    <s v="3703350099"/>
    <s v="3703350099"/>
    <s v="3703350099"/>
    <s v="Valid"/>
    <s v="kiara97@gmail.com"/>
    <s v="Yes"/>
    <n v="15103.4"/>
    <s v="N"/>
    <n v="278"/>
    <n v="278"/>
    <s v="E11"/>
  </r>
  <r>
    <s v="P2093"/>
    <s v="Elakshi Sawhney"/>
    <s v="Elakshi Sawhney"/>
    <x v="5"/>
    <n v="87"/>
    <n v="87"/>
    <s v="Cardiology"/>
    <s v="Cardiology"/>
    <s v="dr priya"/>
    <s v="Dr Priya"/>
    <d v="2025-12-27T00:00:00"/>
    <s v="Valid"/>
    <b v="1"/>
    <b v="1"/>
    <d v="2025-12-01T00:00:00"/>
    <s v="+914265046961"/>
    <s v="914265046961"/>
    <s v="4265046961"/>
    <s v="Valid"/>
    <s v="fdhawan@kalla.com"/>
    <s v="N"/>
    <n v="601.54"/>
    <s v="Yes"/>
    <n v="357"/>
    <n v="357"/>
    <s v="K21"/>
  </r>
  <r>
    <s v="P2094"/>
    <s v="Inaaya  Sen"/>
    <s v="Inaaya Sen"/>
    <x v="2"/>
    <n v="90"/>
    <n v="90"/>
    <s v="General Medicine"/>
    <s v="General Medicine"/>
    <s v="Dr Khan"/>
    <s v="Dr Khan"/>
    <d v="2026-02-06T00:00:00"/>
    <s v="Valid"/>
    <b v="1"/>
    <b v="1"/>
    <d v="2026-01-24T00:00:00"/>
    <s v="03745910029"/>
    <s v="03745910029"/>
    <s v="3745910029"/>
    <s v="Valid"/>
    <s v="okulkarni@kulkarni.com"/>
    <m/>
    <n v="8922.8799999999992"/>
    <m/>
    <n v="367"/>
    <n v="367"/>
    <s v="K21"/>
  </r>
  <r>
    <s v="P2095"/>
    <s v="Yuvraj  Raj"/>
    <s v="Yuvraj Raj"/>
    <x v="2"/>
    <n v="15"/>
    <n v="15"/>
    <s v="Orthopedics"/>
    <s v="Orthopedics"/>
    <s v="Dr Khan"/>
    <s v="Dr Khan"/>
    <d v="2026-01-07T00:00:00"/>
    <s v="Valid"/>
    <b v="1"/>
    <b v="1"/>
    <d v="2025-12-25T00:00:00"/>
    <s v="04425654971"/>
    <s v="04425654971"/>
    <s v="4425654971"/>
    <s v="Valid"/>
    <s v="imannan@agarwal.com"/>
    <s v="N"/>
    <n v="4587"/>
    <s v="Y"/>
    <n v="377"/>
    <n v="377"/>
    <s v="M54"/>
  </r>
  <r>
    <s v="P2096"/>
    <s v="Aniruddh Kurian"/>
    <s v="Aniruddh Kurian"/>
    <x v="1"/>
    <n v="37"/>
    <n v="37"/>
    <s v="Dermatology"/>
    <s v="Dermatology"/>
    <s v="Dr. Sharma"/>
    <s v="Dr. Sharma"/>
    <d v="2026-02-23T00:00:00"/>
    <s v="Valid"/>
    <b v="1"/>
    <b v="1"/>
    <d v="2026-02-01T00:00:00"/>
    <s v="08222664220"/>
    <s v="08222664220"/>
    <s v="8222664220"/>
    <s v="Valid"/>
    <s v="nirvaan70@gmail.com"/>
    <s v="NO"/>
    <n v="24885.01"/>
    <s v="NO"/>
    <n v="145"/>
    <n v="145"/>
    <s v="C34"/>
  </r>
  <r>
    <s v="P2097"/>
    <s v="Armaan Garde"/>
    <s v="Armaan Garde"/>
    <x v="0"/>
    <n v="79"/>
    <n v="79"/>
    <s v="Dermatology"/>
    <s v="Dermatology"/>
    <s v="Dr Mehta"/>
    <s v="Dr Mehta"/>
    <d v="2026-04-02T00:00:00"/>
    <s v="Valid"/>
    <b v="1"/>
    <b v="1"/>
    <d v="2026-03-18T00:00:00"/>
    <s v="3970982823"/>
    <s v="3970982823"/>
    <s v="3970982823"/>
    <s v="Valid"/>
    <s v="tarakuruvilla@kadakia.com"/>
    <s v="NO"/>
    <n v="15911.42"/>
    <s v="Yes"/>
    <n v="441"/>
    <n v="441"/>
    <s v="J20"/>
  </r>
  <r>
    <s v="P2098"/>
    <s v="Anahita Jaggi"/>
    <s v="Anahita Jaggi"/>
    <x v="1"/>
    <n v="28"/>
    <n v="28"/>
    <s v="Pediatrics"/>
    <s v="Pediatrics"/>
    <s v="Dr Khan"/>
    <s v="Dr Khan"/>
    <d v="2026-05-17T00:00:00"/>
    <s v="Valid"/>
    <b v="1"/>
    <b v="1"/>
    <d v="2026-04-30T00:00:00"/>
    <s v="2888597947"/>
    <s v="2888597947"/>
    <s v="2888597947"/>
    <s v="Valid"/>
    <s v="purab47@yahoo.com"/>
    <m/>
    <n v="3039.63"/>
    <m/>
    <n v="163"/>
    <n v="163"/>
    <s v="J20"/>
  </r>
  <r>
    <s v="P2099"/>
    <s v="Prisha Chandra"/>
    <s v="Prisha Chandra"/>
    <x v="3"/>
    <n v="53"/>
    <n v="53"/>
    <s v="Dermatology"/>
    <s v="Dermatology"/>
    <s v="Dr Rao"/>
    <s v="Dr Rao"/>
    <d v="2026-05-13T00:00:00"/>
    <s v="Valid"/>
    <b v="1"/>
    <b v="1"/>
    <d v="2026-04-13T00:00:00"/>
    <s v="3008441599"/>
    <s v="3008441599"/>
    <s v="3008441599"/>
    <s v="Valid"/>
    <s v="nitya04@hotmail.com"/>
    <s v="N"/>
    <n v="19598.46"/>
    <s v="Yes"/>
    <n v="237"/>
    <n v="237"/>
    <s v="C34"/>
  </r>
  <r>
    <s v="P2101"/>
    <s v="Yashvi Chauhan"/>
    <s v="Yashvi Chauhan"/>
    <x v="2"/>
    <n v="67"/>
    <n v="67"/>
    <s v="ENT"/>
    <s v="ENT"/>
    <s v="dr priya"/>
    <s v="Dr Priya"/>
    <d v="2025-11-27T00:00:00"/>
    <s v="Valid"/>
    <b v="1"/>
    <b v="1"/>
    <d v="2025-11-22T00:00:00"/>
    <s v="02850752240"/>
    <s v="02850752240"/>
    <s v="2850752240"/>
    <s v="Valid"/>
    <s v="nirvaan30@hotmail.com"/>
    <m/>
    <n v="6197.41"/>
    <m/>
    <n v="198"/>
    <n v="198"/>
    <s v="A09"/>
  </r>
  <r>
    <s v="P2102"/>
    <s v="Fateh Trivedi"/>
    <s v="Fateh Trivedi"/>
    <x v="1"/>
    <n v="7"/>
    <n v="7"/>
    <s v="Dermatology"/>
    <s v="Dermatology"/>
    <s v="Dr Mehta"/>
    <s v="Dr Mehta"/>
    <d v="2026-05-12T00:00:00"/>
    <s v="Valid"/>
    <b v="1"/>
    <b v="1"/>
    <d v="2026-04-12T00:00:00"/>
    <s v="4039042433"/>
    <s v="4039042433"/>
    <s v="4039042433"/>
    <s v="Valid"/>
    <s v="vanya77@hotmail.com"/>
    <m/>
    <n v="24438.42"/>
    <s v="Y"/>
    <n v="306"/>
    <n v="306"/>
    <s v="J20"/>
  </r>
  <r>
    <s v="P2103"/>
    <s v="Mannat Kohli"/>
    <s v="Mannat Kohli"/>
    <x v="4"/>
    <n v="56"/>
    <n v="56"/>
    <s v="Pediatrics"/>
    <s v="Pediatrics"/>
    <s v="Dr Mehta"/>
    <s v="Dr Mehta"/>
    <d v="2025-12-19T00:00:00"/>
    <s v="Valid"/>
    <b v="1"/>
    <b v="1"/>
    <d v="2025-11-27T00:00:00"/>
    <s v="5391152225"/>
    <s v="5391152225"/>
    <s v="5391152225"/>
    <s v="Valid"/>
    <s v="sanidamini@yahoo.com"/>
    <s v="Yes"/>
    <n v="12705.57"/>
    <m/>
    <n v="531"/>
    <n v="531"/>
    <s v="K21"/>
  </r>
  <r>
    <s v="P2104"/>
    <s v="Dhruv Saraf"/>
    <s v="Dhruv Saraf"/>
    <x v="0"/>
    <n v="71"/>
    <n v="71"/>
    <s v="Orthopedics"/>
    <s v="Orthopedics"/>
    <s v="dr priya"/>
    <s v="Dr Priya"/>
    <d v="2026-04-01T00:00:00"/>
    <s v="Valid"/>
    <b v="1"/>
    <b v="1"/>
    <d v="2026-03-26T00:00:00"/>
    <s v="2446752881"/>
    <s v="2446752881"/>
    <s v="2446752881"/>
    <s v="Valid"/>
    <s v="anay11@gmail.com"/>
    <s v="NO"/>
    <n v="2512.98"/>
    <m/>
    <n v="105"/>
    <n v="105"/>
    <s v="C34"/>
  </r>
  <r>
    <s v="P2106"/>
    <s v="Heer Mahal"/>
    <s v="Heer Mahal"/>
    <x v="5"/>
    <n v="39"/>
    <n v="39"/>
    <s v="Pediatrics"/>
    <s v="Pediatrics"/>
    <s v="DR SHARMA"/>
    <s v="Dr Sharma"/>
    <d v="2026-02-11T00:00:00"/>
    <s v="Valid"/>
    <b v="1"/>
    <b v="1"/>
    <d v="2026-01-19T00:00:00"/>
    <s v="08618773868"/>
    <s v="08618773868"/>
    <s v="8618773868"/>
    <s v="Valid"/>
    <s v="ekade@hotmail.com"/>
    <m/>
    <n v="19305.71"/>
    <s v="Yes"/>
    <n v="240"/>
    <n v="240"/>
    <s v="I10"/>
  </r>
  <r>
    <s v="P2107"/>
    <s v="Adah Krishnamurthy"/>
    <s v="Adah Krishnamurthy"/>
    <x v="4"/>
    <n v="81"/>
    <n v="81"/>
    <s v="Cardiology"/>
    <s v="Cardiology"/>
    <s v="Dr Mehta"/>
    <s v="Dr Mehta"/>
    <d v="2026-02-20T00:00:00"/>
    <s v="Valid"/>
    <b v="1"/>
    <b v="1"/>
    <d v="2026-02-17T00:00:00"/>
    <s v="7085238699"/>
    <s v="7085238699"/>
    <s v="7085238699"/>
    <s v="Valid"/>
    <s v="qchahal@aggarwal.org"/>
    <m/>
    <n v="23194.54"/>
    <s v="NO"/>
    <n v="154"/>
    <n v="154"/>
    <s v="E11"/>
  </r>
  <r>
    <s v="P2108"/>
    <s v="Farhan Chhabra"/>
    <s v="Farhan Chhabra"/>
    <x v="0"/>
    <n v="34"/>
    <n v="34"/>
    <s v="Orthopedics"/>
    <s v="Orthopedics"/>
    <s v="Dr Mehta"/>
    <s v="Dr Mehta"/>
    <d v="2025-12-28T00:00:00"/>
    <s v="Valid"/>
    <b v="1"/>
    <b v="1"/>
    <d v="2025-12-26T00:00:00"/>
    <s v="+916233869077"/>
    <s v="916233869077"/>
    <s v="6233869077"/>
    <s v="Valid"/>
    <s v="rati98@yahoo.com"/>
    <m/>
    <n v="21146.67"/>
    <s v="N"/>
    <n v="300"/>
    <n v="300"/>
    <s v="I10"/>
  </r>
  <r>
    <s v="P2109"/>
    <s v="Ojas Savant"/>
    <s v="Ojas Savant"/>
    <x v="3"/>
    <n v="3"/>
    <n v="3"/>
    <s v="Dermatology"/>
    <s v="Dermatology"/>
    <s v="Dr Mehta"/>
    <s v="Dr Mehta"/>
    <d v="2026-04-09T00:00:00"/>
    <s v="Valid"/>
    <b v="1"/>
    <b v="1"/>
    <d v="2026-03-25T00:00:00"/>
    <s v="3477591025"/>
    <s v="3477591025"/>
    <s v="3477591025"/>
    <s v="Valid"/>
    <s v="lavanyabath@bali.biz"/>
    <s v="NO"/>
    <n v="5415.34"/>
    <m/>
    <n v="292"/>
    <n v="292"/>
    <s v="J20"/>
  </r>
  <r>
    <s v="P2111"/>
    <s v="Hridaan Kashyap"/>
    <s v="Hridaan Kashyap"/>
    <x v="2"/>
    <n v="62"/>
    <n v="62"/>
    <s v="Cardiology"/>
    <s v="Cardiology"/>
    <s v="Dr Mehta"/>
    <s v="Dr Mehta"/>
    <d v="2025-12-02T00:00:00"/>
    <s v="Valid"/>
    <b v="1"/>
    <b v="1"/>
    <d v="2025-11-16T00:00:00"/>
    <s v="+919221884655"/>
    <s v="919221884655"/>
    <s v="9221884655"/>
    <s v="Valid"/>
    <s v="nakulguha@yahoo.com"/>
    <s v="Y"/>
    <n v="23179.26"/>
    <s v="N"/>
    <n v="410"/>
    <n v="410"/>
    <s v="I10"/>
  </r>
  <r>
    <s v="P2112"/>
    <s v="Sumer Rajan"/>
    <s v="Sumer Rajan"/>
    <x v="0"/>
    <n v="67"/>
    <n v="67"/>
    <s v="Orthopedics"/>
    <s v="Orthopedics"/>
    <s v="DR SHARMA"/>
    <s v="Dr Sharma"/>
    <d v="2026-03-27T00:00:00"/>
    <s v="Valid"/>
    <b v="1"/>
    <b v="1"/>
    <d v="2026-02-28T00:00:00"/>
    <s v="2747569809"/>
    <s v="2747569809"/>
    <s v="2747569809"/>
    <s v="Valid"/>
    <s v="kanavbanerjee@yahoo.com"/>
    <s v="N"/>
    <n v="3046.75"/>
    <s v="N"/>
    <n v="115"/>
    <n v="115"/>
    <s v="J20"/>
  </r>
  <r>
    <s v="P2113"/>
    <s v="Baiju Johal"/>
    <s v="Baiju Johal"/>
    <x v="4"/>
    <n v="29"/>
    <n v="29"/>
    <s v="Neurology"/>
    <s v="Neurology"/>
    <s v="Dr Mehta"/>
    <s v="Dr Mehta"/>
    <d v="2026-01-21T00:00:00"/>
    <s v="Valid"/>
    <b v="1"/>
    <b v="1"/>
    <d v="2026-01-13T00:00:00"/>
    <s v="03062251629"/>
    <s v="03062251629"/>
    <s v="3062251629"/>
    <s v="Valid"/>
    <s v="vartynishith@sankaran-butala.com"/>
    <s v="Y"/>
    <n v="12143.06"/>
    <s v="NO"/>
    <n v="278"/>
    <n v="278"/>
    <s v="C34"/>
  </r>
  <r>
    <s v="P2114"/>
    <s v="Tarini Vyas"/>
    <s v="Tarini Vyas"/>
    <x v="0"/>
    <n v="60"/>
    <n v="60"/>
    <s v="General Medicine"/>
    <s v="General Medicine"/>
    <s v="dr priya"/>
    <s v="Dr Priya"/>
    <d v="2026-02-13T00:00:00"/>
    <s v="Valid"/>
    <b v="1"/>
    <b v="1"/>
    <d v="2026-01-28T00:00:00"/>
    <s v="5909333792"/>
    <s v="5909333792"/>
    <s v="5909333792"/>
    <s v="Valid"/>
    <s v="fwason@vohra.com"/>
    <m/>
    <n v="23074.23"/>
    <s v="Yes"/>
    <n v="188"/>
    <n v="188"/>
    <s v="E11"/>
  </r>
  <r>
    <s v="P2115"/>
    <s v="Vidur Mallick"/>
    <s v="Vidur Mallick"/>
    <x v="0"/>
    <n v="51"/>
    <n v="51"/>
    <s v="Neurology"/>
    <s v="Neurology"/>
    <s v="Dr. Sharma"/>
    <s v="Dr. Sharma"/>
    <d v="2025-11-24T00:00:00"/>
    <s v="Valid"/>
    <b v="1"/>
    <b v="1"/>
    <d v="2025-11-19T00:00:00"/>
    <s v="5986185671"/>
    <s v="5986185671"/>
    <s v="5986185671"/>
    <s v="Valid"/>
    <s v="ekonda@andra.com"/>
    <s v="NO"/>
    <n v="23853.3"/>
    <m/>
    <n v="321"/>
    <n v="321"/>
    <s v="M54"/>
  </r>
  <r>
    <s v="P2116"/>
    <s v="Renee Lalla"/>
    <s v="Renee Lalla"/>
    <x v="1"/>
    <n v="77"/>
    <n v="77"/>
    <s v="Oncology"/>
    <s v="Oncology"/>
    <s v="dr priya"/>
    <s v="Dr Priya"/>
    <d v="2026-02-09T00:00:00"/>
    <s v="Valid"/>
    <b v="1"/>
    <b v="1"/>
    <d v="2026-01-21T00:00:00"/>
    <s v="07844279749"/>
    <s v="07844279749"/>
    <s v="7844279749"/>
    <s v="Valid"/>
    <s v="dashmadhav@konda-dugar.org"/>
    <s v="NO"/>
    <n v="15260.93"/>
    <m/>
    <n v="202"/>
    <n v="202"/>
    <s v="A09"/>
  </r>
  <r>
    <s v="P2117"/>
    <s v="Taran Doshi"/>
    <s v="Taran Doshi"/>
    <x v="2"/>
    <n v="48"/>
    <n v="48"/>
    <s v="Neurology"/>
    <s v="Neurology"/>
    <s v="Dr Khan"/>
    <s v="Dr Khan"/>
    <d v="2026-03-13T00:00:00"/>
    <s v="Valid"/>
    <b v="1"/>
    <b v="1"/>
    <d v="2026-03-08T00:00:00"/>
    <s v="+919741377310"/>
    <s v="919741377310"/>
    <s v="9741377310"/>
    <s v="Valid"/>
    <s v="khalsaraghav@gokhale-johal.biz"/>
    <s v="Yes"/>
    <n v="23960.82"/>
    <s v="Yes"/>
    <n v="400"/>
    <n v="400"/>
    <s v="M54"/>
  </r>
  <r>
    <s v="P2119"/>
    <s v="Prisha Kannan"/>
    <s v="Prisha Kannan"/>
    <x v="4"/>
    <n v="46"/>
    <n v="46"/>
    <s v="Pediatrics"/>
    <s v="Pediatrics"/>
    <s v="Dr Mehta"/>
    <s v="Dr Mehta"/>
    <d v="2025-12-14T00:00:00"/>
    <s v="Valid"/>
    <b v="1"/>
    <b v="1"/>
    <d v="2025-12-08T00:00:00"/>
    <s v="06179366536"/>
    <s v="06179366536"/>
    <s v="6179366536"/>
    <s v="Valid"/>
    <s v="jivinsarna@borah.biz"/>
    <s v="N"/>
    <n v="9424.7099999999991"/>
    <s v="NO"/>
    <n v="162"/>
    <n v="162"/>
    <s v="I10"/>
  </r>
  <r>
    <s v="P2121"/>
    <s v="Gokul Varkey"/>
    <s v="Gokul Varkey"/>
    <x v="2"/>
    <n v="50"/>
    <n v="50"/>
    <s v="Oncology"/>
    <s v="Oncology"/>
    <s v="DR SHARMA"/>
    <s v="Dr Sharma"/>
    <d v="2026-01-11T00:00:00"/>
    <s v="Valid"/>
    <b v="1"/>
    <b v="1"/>
    <d v="2025-12-26T00:00:00"/>
    <s v="+918705229853"/>
    <s v="918705229853"/>
    <s v="8705229853"/>
    <s v="Valid"/>
    <s v="ojasganesan@gmail.com"/>
    <s v="NO"/>
    <n v="2752.42"/>
    <s v="Yes"/>
    <n v="466"/>
    <n v="466"/>
    <s v="A09"/>
  </r>
  <r>
    <s v="P2122"/>
    <s v="Sana Chauhan"/>
    <s v="Sana Chauhan"/>
    <x v="2"/>
    <n v="74"/>
    <n v="74"/>
    <s v="Dermatology"/>
    <s v="Dermatology"/>
    <s v="dr priya"/>
    <s v="Dr Priya"/>
    <d v="2026-05-05T00:00:00"/>
    <s v="Valid"/>
    <b v="1"/>
    <b v="1"/>
    <d v="2026-04-25T00:00:00"/>
    <s v="+919558987889"/>
    <s v="919558987889"/>
    <s v="9558987889"/>
    <s v="Valid"/>
    <s v="gokul32@dutt.com"/>
    <s v="N"/>
    <n v="5114.13"/>
    <s v="Yes"/>
    <n v="510"/>
    <n v="510"/>
    <s v="M54"/>
  </r>
  <r>
    <s v="P2123"/>
    <s v="Misha Dutta"/>
    <s v="Misha Dutta"/>
    <x v="3"/>
    <n v="6"/>
    <n v="6"/>
    <s v="Oncology"/>
    <s v="Oncology"/>
    <s v="dr priya"/>
    <s v="Dr Priya"/>
    <d v="2026-03-14T00:00:00"/>
    <s v="Valid"/>
    <b v="1"/>
    <b v="1"/>
    <d v="2026-03-11T00:00:00"/>
    <s v="+914913450420"/>
    <s v="914913450420"/>
    <s v="4913450420"/>
    <s v="Valid"/>
    <s v="ahana-dave@yahoo.com"/>
    <s v="NO"/>
    <n v="11429.07"/>
    <s v="NO"/>
    <n v="402"/>
    <n v="402"/>
    <s v="M54"/>
  </r>
  <r>
    <s v="P2125"/>
    <s v="Divit Vora"/>
    <s v="Divit Vora"/>
    <x v="1"/>
    <n v="5"/>
    <n v="5"/>
    <s v="Cardiology"/>
    <s v="Cardiology"/>
    <s v="dr priya"/>
    <s v="Dr Priya"/>
    <d v="2025-12-21T00:00:00"/>
    <s v="Valid"/>
    <b v="1"/>
    <b v="1"/>
    <d v="2025-12-01T00:00:00"/>
    <s v="0927567874"/>
    <s v="0927567874"/>
    <s v="0927567874"/>
    <s v="Valid"/>
    <s v="ritvik74@gmail.com"/>
    <s v="Yes"/>
    <n v="1922.46"/>
    <s v="NO"/>
    <n v="524"/>
    <n v="524"/>
    <s v="K21"/>
  </r>
  <r>
    <s v="P2126"/>
    <s v="Umang Mallick"/>
    <s v="Umang Mallick"/>
    <x v="1"/>
    <n v="39"/>
    <n v="39"/>
    <s v="Oncology"/>
    <s v="Oncology"/>
    <s v="dr priya"/>
    <s v="Dr Priya"/>
    <d v="2026-03-15T00:00:00"/>
    <s v="Valid"/>
    <b v="1"/>
    <b v="1"/>
    <d v="2026-02-19T00:00:00"/>
    <s v="+912531434910"/>
    <s v="912531434910"/>
    <s v="2531434910"/>
    <s v="Valid"/>
    <s v="tushar73@yahoo.com"/>
    <s v="N"/>
    <n v="10128.540000000001"/>
    <s v="NO"/>
    <n v="352"/>
    <n v="352"/>
    <s v="A09"/>
  </r>
  <r>
    <s v="P2127"/>
    <s v="Anahita Mall"/>
    <s v="Anahita Mall"/>
    <x v="0"/>
    <n v="51"/>
    <n v="51"/>
    <s v="Oncology"/>
    <s v="Oncology"/>
    <s v="Dr Khan"/>
    <s v="Dr Khan"/>
    <d v="2026-02-21T00:00:00"/>
    <s v="Valid"/>
    <b v="1"/>
    <b v="1"/>
    <d v="2026-02-06T00:00:00"/>
    <s v="+919613502561"/>
    <s v="919613502561"/>
    <s v="9613502561"/>
    <s v="Valid"/>
    <s v="yasmin66@hotmail.com"/>
    <s v="NO"/>
    <n v="21108.28"/>
    <s v="NO"/>
    <n v="114"/>
    <n v="114"/>
    <s v="E11"/>
  </r>
  <r>
    <s v="P2128"/>
    <s v="Shlok Sane"/>
    <s v="Shlok Sane"/>
    <x v="0"/>
    <n v="2"/>
    <n v="2"/>
    <s v="Orthopedics"/>
    <s v="Orthopedics"/>
    <s v="Dr Mehta"/>
    <s v="Dr Mehta"/>
    <d v="2026-01-13T00:00:00"/>
    <s v="Valid"/>
    <b v="1"/>
    <b v="1"/>
    <d v="2026-01-03T00:00:00"/>
    <s v="5288546945"/>
    <s v="5288546945"/>
    <s v="5288546945"/>
    <s v="Valid"/>
    <s v="aradhya31@hotmail.com"/>
    <m/>
    <n v="5813.26"/>
    <s v="NO"/>
    <n v="197"/>
    <n v="197"/>
    <s v="C34"/>
  </r>
  <r>
    <s v="P2129"/>
    <s v="Gokul Ghose"/>
    <s v="Gokul Ghose"/>
    <x v="2"/>
    <n v="69"/>
    <n v="69"/>
    <s v="Cardiology"/>
    <s v="Cardiology"/>
    <s v="Dr Rao"/>
    <s v="Dr Rao"/>
    <d v="2026-05-05T00:00:00"/>
    <s v="Valid"/>
    <b v="1"/>
    <b v="1"/>
    <d v="2026-04-27T00:00:00"/>
    <s v="4440492661"/>
    <s v="4440492661"/>
    <s v="4440492661"/>
    <s v="Valid"/>
    <s v="dugalsara@datta.com"/>
    <s v="Yes"/>
    <n v="2947.93"/>
    <s v="Yes"/>
    <n v="138"/>
    <n v="138"/>
    <s v="J20"/>
  </r>
  <r>
    <s v="P2130"/>
    <s v="Krish Dutta"/>
    <s v="Krish Dutta"/>
    <x v="2"/>
    <n v="89"/>
    <n v="89"/>
    <s v="Dermatology"/>
    <s v="Dermatology"/>
    <s v="Dr. Sharma"/>
    <s v="Dr. Sharma"/>
    <d v="2026-03-22T00:00:00"/>
    <s v="Valid"/>
    <b v="1"/>
    <b v="1"/>
    <d v="2026-02-28T00:00:00"/>
    <s v="+915060441158"/>
    <s v="915060441158"/>
    <s v="5060441158"/>
    <s v="Valid"/>
    <s v="cbalay@devi-rama.org"/>
    <s v="Yes"/>
    <n v="23136.49"/>
    <m/>
    <n v="161"/>
    <n v="161"/>
    <s v="E11"/>
  </r>
  <r>
    <s v="P2131"/>
    <s v="Vritika Raja"/>
    <s v="Vritika Raja"/>
    <x v="2"/>
    <n v="19"/>
    <n v="19"/>
    <s v="Dermatology"/>
    <s v="Dermatology"/>
    <s v="Dr Khan"/>
    <s v="Dr Khan"/>
    <d v="2025-12-23T00:00:00"/>
    <s v="Valid"/>
    <b v="1"/>
    <b v="1"/>
    <d v="2025-12-02T00:00:00"/>
    <s v="5911411450"/>
    <s v="5911411450"/>
    <s v="5911411450"/>
    <s v="Valid"/>
    <s v="khannauthkarsh@chada-chada.com"/>
    <s v="NO"/>
    <n v="13139.74"/>
    <s v="N"/>
    <n v="395"/>
    <n v="395"/>
    <s v="M54"/>
  </r>
  <r>
    <s v="P2132"/>
    <s v="Purab Reddy"/>
    <s v="Purab Reddy"/>
    <x v="3"/>
    <n v="36"/>
    <n v="36"/>
    <s v="ENT"/>
    <s v="ENT"/>
    <s v="Dr Khan"/>
    <s v="Dr Khan"/>
    <d v="2026-01-08T00:00:00"/>
    <s v="Valid"/>
    <b v="1"/>
    <b v="1"/>
    <d v="2026-01-01T00:00:00"/>
    <s v="4577524955"/>
    <s v="4577524955"/>
    <s v="4577524955"/>
    <s v="Valid"/>
    <s v="jvala@kapur.com"/>
    <s v="NO"/>
    <n v="6742.54"/>
    <s v="Yes"/>
    <n v="464"/>
    <n v="464"/>
    <s v="I10"/>
  </r>
  <r>
    <s v="P2133"/>
    <s v="Dharmajan Manda"/>
    <s v="Dharmajan Manda"/>
    <x v="2"/>
    <n v="72"/>
    <n v="72"/>
    <s v="Pediatrics"/>
    <s v="Pediatrics"/>
    <s v="DR SHARMA"/>
    <s v="Dr Sharma"/>
    <d v="2025-12-15T00:00:00"/>
    <s v="Valid"/>
    <b v="1"/>
    <b v="1"/>
    <d v="2025-11-23T00:00:00"/>
    <s v="+915232543377"/>
    <s v="915232543377"/>
    <s v="5232543377"/>
    <s v="Valid"/>
    <s v="parinaaz89@koshy-sachdev.org"/>
    <s v="NO"/>
    <n v="2063.58"/>
    <m/>
    <n v="130"/>
    <n v="130"/>
    <s v="E11"/>
  </r>
  <r>
    <s v="P2134"/>
    <s v="Hunar Ramachandran"/>
    <s v="Hunar Ramachandran"/>
    <x v="0"/>
    <n v="86"/>
    <n v="86"/>
    <s v="Pediatrics"/>
    <s v="Pediatrics"/>
    <s v="Dr Khan"/>
    <s v="Dr Khan"/>
    <d v="2026-05-08T00:00:00"/>
    <s v="Valid"/>
    <b v="1"/>
    <b v="1"/>
    <d v="2026-04-12T00:00:00"/>
    <s v="07271802702"/>
    <s v="07271802702"/>
    <s v="7271802702"/>
    <s v="Valid"/>
    <s v="ishita60@lala.com"/>
    <m/>
    <n v="4860.3500000000004"/>
    <s v="NO"/>
    <n v="274"/>
    <n v="274"/>
    <s v="E11"/>
  </r>
  <r>
    <s v="P2135"/>
    <s v="Adah Chaudhry"/>
    <s v="Adah Chaudhry"/>
    <x v="2"/>
    <n v="40"/>
    <n v="40"/>
    <s v="General Medicine"/>
    <s v="General Medicine"/>
    <s v="Dr Mehta"/>
    <s v="Dr Mehta"/>
    <d v="2026-06-03T00:00:00"/>
    <s v="Valid"/>
    <b v="1"/>
    <b v="1"/>
    <d v="2026-05-07T00:00:00"/>
    <s v="2896750647"/>
    <s v="2896750647"/>
    <s v="2896750647"/>
    <s v="Valid"/>
    <s v="lshetty@jha.com"/>
    <s v="NO"/>
    <n v="22870.31"/>
    <s v="N"/>
    <n v="286"/>
    <n v="286"/>
    <s v="M54"/>
  </r>
  <r>
    <s v="P2136"/>
    <s v="Kashvi Bahl"/>
    <s v="Kashvi Bahl"/>
    <x v="3"/>
    <n v="80"/>
    <n v="80"/>
    <s v="Pediatrics"/>
    <s v="Pediatrics"/>
    <s v="dr priya"/>
    <s v="Dr Priya"/>
    <d v="2025-12-27T00:00:00"/>
    <s v="Valid"/>
    <b v="1"/>
    <b v="1"/>
    <d v="2025-12-21T00:00:00"/>
    <s v="+915182675786"/>
    <s v="915182675786"/>
    <s v="5182675786"/>
    <s v="Valid"/>
    <s v="alishabail@hotmail.com"/>
    <s v="NO"/>
    <n v="7090.39"/>
    <s v="Y"/>
    <n v="451"/>
    <n v="451"/>
    <s v="J20"/>
  </r>
  <r>
    <s v="P2137"/>
    <s v="Urvi Sankaran"/>
    <s v="Urvi Sankaran"/>
    <x v="2"/>
    <n v="19"/>
    <n v="19"/>
    <s v="General Medicine"/>
    <s v="General Medicine"/>
    <s v="Dr Mehta"/>
    <s v="Dr Mehta"/>
    <d v="2025-12-14T00:00:00"/>
    <s v="Valid"/>
    <b v="1"/>
    <b v="1"/>
    <d v="2025-11-21T00:00:00"/>
    <s v="+916458148488"/>
    <s v="916458148488"/>
    <s v="6458148488"/>
    <s v="Valid"/>
    <s v="kiaanagate@wadhwa-zachariah.com"/>
    <s v="NO"/>
    <n v="6165.95"/>
    <m/>
    <n v="195"/>
    <n v="195"/>
    <s v="J20"/>
  </r>
  <r>
    <s v="P2138"/>
    <s v="Ranbir Sankar"/>
    <s v="Ranbir Sankar"/>
    <x v="0"/>
    <n v="61"/>
    <n v="61"/>
    <s v="General Medicine"/>
    <s v="General Medicine"/>
    <s v="dr priya"/>
    <s v="Dr Priya"/>
    <d v="2026-03-03T00:00:00"/>
    <s v="Valid"/>
    <b v="1"/>
    <b v="1"/>
    <d v="2026-02-23T00:00:00"/>
    <s v="06422855898"/>
    <s v="06422855898"/>
    <s v="6422855898"/>
    <s v="Valid"/>
    <s v="subramanianadvika@chaudhary.net"/>
    <s v="NO"/>
    <n v="23187.81"/>
    <s v="NO"/>
    <n v="281"/>
    <n v="281"/>
    <s v="M54"/>
  </r>
  <r>
    <s v="P2139"/>
    <s v="Rhea Tata"/>
    <s v="Rhea Tata"/>
    <x v="5"/>
    <n v="20"/>
    <n v="20"/>
    <s v="Dermatology"/>
    <s v="Dermatology"/>
    <s v="dr priya"/>
    <s v="Dr Priya"/>
    <d v="2026-01-09T00:00:00"/>
    <s v="Valid"/>
    <b v="1"/>
    <b v="1"/>
    <d v="2025-12-24T00:00:00"/>
    <s v="+913782250981"/>
    <s v="913782250981"/>
    <s v="3782250981"/>
    <s v="Valid"/>
    <s v="odewan@yahoo.com"/>
    <s v="N"/>
    <n v="1518.3"/>
    <s v="Yes"/>
    <n v="289"/>
    <n v="289"/>
    <s v="I10"/>
  </r>
  <r>
    <s v="P2140"/>
    <s v="Himmat Bajwa"/>
    <s v="Himmat Bajwa"/>
    <x v="0"/>
    <n v="84"/>
    <n v="84"/>
    <s v="Dermatology"/>
    <s v="Dermatology"/>
    <s v="dr priya"/>
    <s v="Dr Priya"/>
    <d v="2026-01-13T00:00:00"/>
    <s v="Valid"/>
    <b v="1"/>
    <b v="1"/>
    <d v="2026-01-07T00:00:00"/>
    <s v="+915243154637"/>
    <s v="915243154637"/>
    <s v="5243154637"/>
    <s v="Valid"/>
    <s v="gatik80@chaudhuri.com"/>
    <s v="Y"/>
    <n v="4898.3500000000004"/>
    <s v="Y"/>
    <n v="404"/>
    <n v="404"/>
    <s v="J20"/>
  </r>
  <r>
    <s v="P2141"/>
    <s v="Aayush Chaudhary"/>
    <s v="Aayush Chaudhary"/>
    <x v="3"/>
    <n v="67"/>
    <n v="67"/>
    <s v="Dermatology"/>
    <s v="Dermatology"/>
    <s v="Dr Mehta"/>
    <s v="Dr Mehta"/>
    <d v="2026-01-28T00:00:00"/>
    <s v="Valid"/>
    <b v="1"/>
    <b v="1"/>
    <d v="2026-01-07T00:00:00"/>
    <s v="+919172240295"/>
    <s v="919172240295"/>
    <s v="9172240295"/>
    <s v="Valid"/>
    <s v="baiju42@sinha.info"/>
    <s v="Yes"/>
    <n v="16229.35"/>
    <s v="NO"/>
    <n v="212"/>
    <n v="212"/>
    <s v="I10"/>
  </r>
  <r>
    <s v="P2142"/>
    <s v="Kaira Sharaf"/>
    <s v="Kaira Sharaf"/>
    <x v="0"/>
    <n v="5"/>
    <n v="5"/>
    <s v="Oncology"/>
    <s v="Oncology"/>
    <s v="DR SHARMA"/>
    <s v="Dr Sharma"/>
    <d v="2026-04-28T00:00:00"/>
    <s v="Valid"/>
    <b v="1"/>
    <b v="1"/>
    <d v="2026-04-26T00:00:00"/>
    <s v="6086660256"/>
    <s v="6086660256"/>
    <s v="6086660256"/>
    <s v="Valid"/>
    <s v="vsha@hotmail.com"/>
    <s v="NO"/>
    <n v="7031.4"/>
    <m/>
    <n v="300"/>
    <n v="300"/>
    <s v="M54"/>
  </r>
  <r>
    <s v="P2143"/>
    <s v="Manjari Soni"/>
    <s v="Manjari Soni"/>
    <x v="2"/>
    <n v="29"/>
    <n v="29"/>
    <s v="Oncology"/>
    <s v="Oncology"/>
    <s v="Dr Khan"/>
    <s v="Dr Khan"/>
    <d v="2026-03-13T00:00:00"/>
    <s v="Valid"/>
    <b v="1"/>
    <b v="1"/>
    <d v="2026-03-07T00:00:00"/>
    <s v="00604374140"/>
    <s v="00604374140"/>
    <s v="0604374140"/>
    <s v="Valid"/>
    <s v="hbaria@hotmail.com"/>
    <s v="Yes"/>
    <n v="19686.05"/>
    <s v="NO"/>
    <n v="426"/>
    <n v="426"/>
    <s v="J20"/>
  </r>
  <r>
    <s v="P2144"/>
    <s v="Ayesha Gupta"/>
    <s v="Ayesha Gupta"/>
    <x v="0"/>
    <n v="1"/>
    <n v="1"/>
    <s v="Neurology"/>
    <s v="Neurology"/>
    <s v="Dr Mehta"/>
    <s v="Dr Mehta"/>
    <d v="2026-04-11T00:00:00"/>
    <s v="Valid"/>
    <b v="1"/>
    <b v="1"/>
    <d v="2026-03-26T00:00:00"/>
    <s v="+919161245002"/>
    <s v="919161245002"/>
    <s v="9161245002"/>
    <s v="Valid"/>
    <s v="chakrabartiaaina@bhavsar.info"/>
    <m/>
    <n v="18529.45"/>
    <s v="N"/>
    <n v="187"/>
    <n v="187"/>
    <s v="J20"/>
  </r>
  <r>
    <s v="P2145"/>
    <s v="Nirvi Din"/>
    <s v="Nirvi Din"/>
    <x v="2"/>
    <n v="22"/>
    <n v="22"/>
    <s v="Orthopedics"/>
    <s v="Orthopedics"/>
    <s v="dr priya"/>
    <s v="Dr Priya"/>
    <d v="2026-03-15T00:00:00"/>
    <s v="Valid"/>
    <b v="1"/>
    <b v="1"/>
    <d v="2026-02-15T00:00:00"/>
    <s v="+919580324190"/>
    <s v="919580324190"/>
    <s v="9580324190"/>
    <s v="Valid"/>
    <s v="fateh14@sem.com"/>
    <m/>
    <n v="3717.47"/>
    <s v="Yes"/>
    <n v="441"/>
    <n v="441"/>
    <s v="M54"/>
  </r>
  <r>
    <s v="P2146"/>
    <s v="Elakshi Basu"/>
    <s v="Elakshi Basu"/>
    <x v="1"/>
    <n v="43"/>
    <n v="43"/>
    <s v="Cardiology"/>
    <s v="Cardiology"/>
    <s v="Dr Mehta"/>
    <s v="Dr Mehta"/>
    <d v="2026-03-17T00:00:00"/>
    <s v="Valid"/>
    <b v="1"/>
    <b v="1"/>
    <d v="2026-03-09T00:00:00"/>
    <s v="+911681093260"/>
    <s v="911681093260"/>
    <s v="1681093260"/>
    <s v="Valid"/>
    <s v="ssolanki@hotmail.com"/>
    <s v="NO"/>
    <n v="4433.9799999999996"/>
    <s v="Yes"/>
    <n v="404"/>
    <n v="404"/>
    <s v="J20"/>
  </r>
  <r>
    <s v="P2147"/>
    <s v="Zeeshan Sampath"/>
    <s v="Zeeshan Sampath"/>
    <x v="3"/>
    <n v="75"/>
    <n v="75"/>
    <s v="Cardiology"/>
    <s v="Cardiology"/>
    <s v="Dr Khan"/>
    <s v="Dr Khan"/>
    <d v="2026-04-07T00:00:00"/>
    <s v="Valid"/>
    <b v="1"/>
    <b v="1"/>
    <d v="2026-03-11T00:00:00"/>
    <s v="+916370404939"/>
    <s v="916370404939"/>
    <s v="6370404939"/>
    <s v="Valid"/>
    <s v="rheadube@krishnan.info"/>
    <s v="NO"/>
    <n v="11919.69"/>
    <s v="Yes"/>
    <n v="519"/>
    <n v="519"/>
    <s v="I10"/>
  </r>
  <r>
    <s v="P2148"/>
    <s v="Vihaan Soman"/>
    <s v="Vihaan Soman"/>
    <x v="0"/>
    <n v="30"/>
    <n v="30"/>
    <s v="Orthopedics"/>
    <s v="Orthopedics"/>
    <s v="Dr Mehta"/>
    <s v="Dr Mehta"/>
    <d v="2026-02-16T00:00:00"/>
    <s v="Valid"/>
    <b v="1"/>
    <b v="1"/>
    <d v="2026-01-23T00:00:00"/>
    <s v="2230310422"/>
    <s v="2230310422"/>
    <s v="2230310422"/>
    <s v="Valid"/>
    <s v="bhasingokul@sachar-amble.com"/>
    <s v="NO"/>
    <n v="2679.81"/>
    <s v="NO"/>
    <n v="331"/>
    <n v="331"/>
    <s v="M54"/>
  </r>
  <r>
    <s v="P2149"/>
    <s v="Piya Dutta"/>
    <s v="Piya Dutta"/>
    <x v="2"/>
    <n v="70"/>
    <n v="70"/>
    <s v="Oncology"/>
    <s v="Oncology"/>
    <s v="Dr Khan"/>
    <s v="Dr Khan"/>
    <d v="2025-12-03T00:00:00"/>
    <s v="Valid"/>
    <b v="1"/>
    <b v="1"/>
    <d v="2025-11-25T00:00:00"/>
    <s v="05546115681"/>
    <s v="05546115681"/>
    <s v="5546115681"/>
    <s v="Valid"/>
    <s v="krish79@yahoo.com"/>
    <s v="N"/>
    <n v="11577.02"/>
    <s v="NO"/>
    <n v="254"/>
    <n v="254"/>
    <s v="C34"/>
  </r>
  <r>
    <s v="P2150"/>
    <s v="Kiaan Basak"/>
    <s v="Kiaan Basak"/>
    <x v="2"/>
    <n v="67"/>
    <n v="67"/>
    <s v="General Medicine"/>
    <s v="General Medicine"/>
    <s v="Dr Mehta"/>
    <s v="Dr Mehta"/>
    <d v="2026-01-30T00:00:00"/>
    <s v="Valid"/>
    <b v="1"/>
    <b v="1"/>
    <d v="2026-01-22T00:00:00"/>
    <s v="+918266138949"/>
    <s v="918266138949"/>
    <s v="8266138949"/>
    <s v="Valid"/>
    <s v="tarini28@ramachandran-kannan.com"/>
    <s v="Yes"/>
    <n v="3867.93"/>
    <m/>
    <n v="538"/>
    <n v="538"/>
    <s v="E11"/>
  </r>
  <r>
    <s v="P2151"/>
    <s v="Eshani Jani"/>
    <s v="Eshani Jani"/>
    <x v="4"/>
    <n v="46"/>
    <n v="46"/>
    <s v="General Medicine"/>
    <s v="General Medicine"/>
    <s v="Dr Rao"/>
    <s v="Dr Rao"/>
    <d v="2025-12-31T00:00:00"/>
    <s v="Valid"/>
    <b v="1"/>
    <b v="1"/>
    <d v="2025-12-24T00:00:00"/>
    <s v="5672624602"/>
    <s v="5672624602"/>
    <s v="5672624602"/>
    <s v="Valid"/>
    <s v="bhardwajmyra@ray.info"/>
    <m/>
    <n v="9113.61"/>
    <s v="NO"/>
    <n v="199"/>
    <n v="199"/>
    <s v="M54"/>
  </r>
  <r>
    <s v="P2152"/>
    <s v="Pari Karnik"/>
    <s v="Pari Karnik"/>
    <x v="2"/>
    <n v="36"/>
    <n v="36"/>
    <s v="General Medicine"/>
    <s v="General Medicine"/>
    <s v="Dr Mehta"/>
    <s v="Dr Mehta"/>
    <d v="2026-05-13T00:00:00"/>
    <s v="Valid"/>
    <b v="1"/>
    <b v="1"/>
    <d v="2026-05-05T00:00:00"/>
    <s v="+916404054080"/>
    <s v="916404054080"/>
    <s v="6404054080"/>
    <s v="Valid"/>
    <s v="anahikrish@gmail.com"/>
    <s v="N"/>
    <n v="22222.27"/>
    <m/>
    <n v="401"/>
    <n v="401"/>
    <s v="M54"/>
  </r>
  <r>
    <s v="P2153"/>
    <s v="Eshani Sengupta"/>
    <s v="Eshani Sengupta"/>
    <x v="0"/>
    <n v="40"/>
    <n v="40"/>
    <s v="Pediatrics"/>
    <s v="Pediatrics"/>
    <s v="Dr Rao"/>
    <s v="Dr Rao"/>
    <d v="2026-01-11T00:00:00"/>
    <s v="Valid"/>
    <b v="1"/>
    <b v="1"/>
    <d v="2025-12-24T00:00:00"/>
    <s v="+914019206396"/>
    <s v="914019206396"/>
    <s v="4019206396"/>
    <s v="Valid"/>
    <s v="vritikagera@yahoo.com"/>
    <s v="N"/>
    <n v="20887.45"/>
    <s v="NO"/>
    <n v="321"/>
    <n v="321"/>
    <s v="K21"/>
  </r>
  <r>
    <s v="P2154"/>
    <s v="Kiara Dyal"/>
    <s v="Kiara Dyal"/>
    <x v="3"/>
    <n v="73"/>
    <n v="73"/>
    <s v="ENT"/>
    <s v="ENT"/>
    <s v="Dr. Sharma"/>
    <s v="Dr. Sharma"/>
    <d v="2026-01-07T00:00:00"/>
    <s v="Valid"/>
    <b v="1"/>
    <b v="1"/>
    <d v="2026-01-04T00:00:00"/>
    <s v="1381549318"/>
    <s v="1381549318"/>
    <s v="1381549318"/>
    <s v="Valid"/>
    <s v="rheawarrior@yahoo.com"/>
    <s v="Yes"/>
    <n v="12573.39"/>
    <s v="Y"/>
    <n v="338"/>
    <n v="338"/>
    <s v="C34"/>
  </r>
  <r>
    <s v="P2155"/>
    <s v="Ryan Ramanathan"/>
    <s v="Ryan Ramanathan"/>
    <x v="4"/>
    <n v="67"/>
    <n v="67"/>
    <s v="Oncology"/>
    <s v="Oncology"/>
    <s v="Dr Mehta"/>
    <s v="Dr Mehta"/>
    <d v="2026-05-09T00:00:00"/>
    <s v="Valid"/>
    <b v="1"/>
    <b v="1"/>
    <d v="2026-04-30T00:00:00"/>
    <s v="5906890113"/>
    <s v="5906890113"/>
    <s v="5906890113"/>
    <s v="Valid"/>
    <s v="galataran@hotmail.com"/>
    <m/>
    <n v="7348.85"/>
    <s v="Yes"/>
    <n v="107"/>
    <n v="107"/>
    <s v="M54"/>
  </r>
  <r>
    <s v="P2156"/>
    <s v="Ivan Chaudhuri"/>
    <s v="Ivan Chaudhuri"/>
    <x v="0"/>
    <n v="28"/>
    <n v="28"/>
    <s v="Oncology"/>
    <s v="Oncology"/>
    <s v="Dr Mehta"/>
    <s v="Dr Mehta"/>
    <d v="2025-12-21T00:00:00"/>
    <s v="Valid"/>
    <b v="1"/>
    <b v="1"/>
    <d v="2025-12-20T00:00:00"/>
    <s v="08330868876"/>
    <s v="08330868876"/>
    <s v="8330868876"/>
    <s v="Valid"/>
    <s v="pihudhawan@garde.com"/>
    <m/>
    <n v="7784.37"/>
    <m/>
    <n v="280"/>
    <n v="280"/>
    <s v="C34"/>
  </r>
  <r>
    <s v="P2157"/>
    <s v="Rasha Maharaj"/>
    <s v="Rasha Maharaj"/>
    <x v="0"/>
    <n v="7"/>
    <n v="7"/>
    <s v="Oncology"/>
    <s v="Oncology"/>
    <s v="Dr Mehta"/>
    <s v="Dr Mehta"/>
    <d v="2026-01-16T00:00:00"/>
    <s v="Valid"/>
    <b v="1"/>
    <b v="1"/>
    <d v="2026-01-05T00:00:00"/>
    <s v="01759052197"/>
    <s v="01759052197"/>
    <s v="1759052197"/>
    <s v="Valid"/>
    <s v="charvi64@gala.biz"/>
    <s v="Y"/>
    <n v="19674.53"/>
    <s v="Y"/>
    <n v="144"/>
    <n v="144"/>
    <s v="C34"/>
  </r>
  <r>
    <s v="P2158"/>
    <s v="Jayesh Varma"/>
    <s v="Jayesh Varma"/>
    <x v="0"/>
    <n v="19"/>
    <n v="19"/>
    <s v="Pediatrics"/>
    <s v="Pediatrics"/>
    <s v="dr priya"/>
    <s v="Dr Priya"/>
    <d v="2026-05-13T00:00:00"/>
    <s v="Valid"/>
    <b v="1"/>
    <b v="1"/>
    <d v="2026-04-25T00:00:00"/>
    <s v="07977281695"/>
    <s v="07977281695"/>
    <s v="7977281695"/>
    <s v="Valid"/>
    <s v="kapurzeeshan@deshpande.com"/>
    <s v="NO"/>
    <n v="7411.89"/>
    <s v="Yes"/>
    <n v="342"/>
    <n v="342"/>
    <s v="J20"/>
  </r>
  <r>
    <s v="P2159"/>
    <s v="Aniruddh Ahluwalia"/>
    <s v="Aniruddh Ahluwalia"/>
    <x v="5"/>
    <n v="87"/>
    <n v="87"/>
    <s v="Dermatology"/>
    <s v="Dermatology"/>
    <s v="dr priya"/>
    <s v="Dr Priya"/>
    <d v="2026-03-03T00:00:00"/>
    <s v="Valid"/>
    <b v="1"/>
    <b v="1"/>
    <d v="2026-02-19T00:00:00"/>
    <s v="04406297637"/>
    <s v="04406297637"/>
    <s v="4406297637"/>
    <s v="Valid"/>
    <s v="kismatrattan@dayal-wadhwa.info"/>
    <s v="NO"/>
    <n v="22347.23"/>
    <s v="Yes"/>
    <n v="405"/>
    <n v="405"/>
    <s v="J20"/>
  </r>
  <r>
    <s v="P2160"/>
    <s v="Urvi Vig"/>
    <s v="Urvi Vig"/>
    <x v="4"/>
    <n v="73"/>
    <n v="73"/>
    <s v="Dermatology"/>
    <s v="Dermatology"/>
    <s v="dr priya"/>
    <s v="Dr Priya"/>
    <d v="2026-04-02T00:00:00"/>
    <s v="Valid"/>
    <b v="1"/>
    <b v="1"/>
    <d v="2026-03-08T00:00:00"/>
    <s v="12345"/>
    <s v="12345"/>
    <s v="12345"/>
    <s v="Valid"/>
    <s v="chopraumang@soni-srinivas.com"/>
    <s v="Yes"/>
    <n v="17146.37"/>
    <s v="N"/>
    <n v="228"/>
    <n v="228"/>
    <s v="E11"/>
  </r>
  <r>
    <s v="P2161"/>
    <s v="Ivan Srinivasan"/>
    <s v="Ivan Srinivasan"/>
    <x v="1"/>
    <n v="71"/>
    <n v="71"/>
    <s v="Pediatrics"/>
    <s v="Pediatrics"/>
    <s v="Dr. Sharma"/>
    <s v="Dr. Sharma"/>
    <d v="2026-04-06T00:00:00"/>
    <s v="Valid"/>
    <b v="1"/>
    <b v="1"/>
    <d v="2026-03-28T00:00:00"/>
    <s v="+910423872244"/>
    <s v="910423872244"/>
    <s v="0423872244"/>
    <s v="Valid"/>
    <s v="nayantara31@brahmbhatt-keer.info"/>
    <s v="NO"/>
    <n v="7573.89"/>
    <m/>
    <n v="379"/>
    <n v="379"/>
    <s v="E11"/>
  </r>
  <r>
    <s v="P2162"/>
    <s v="Dishani Lad"/>
    <s v="Dishani Lad"/>
    <x v="1"/>
    <n v="56"/>
    <n v="56"/>
    <s v="Neurology"/>
    <s v="Neurology"/>
    <s v="Dr Mehta"/>
    <s v="Dr Mehta"/>
    <d v="2026-04-20T00:00:00"/>
    <s v="Valid"/>
    <b v="1"/>
    <b v="1"/>
    <d v="2026-04-04T00:00:00"/>
    <s v="9830476764"/>
    <s v="9830476764"/>
    <s v="9830476764"/>
    <s v="Valid"/>
    <s v="sahaarmaan@gmail.com"/>
    <m/>
    <n v="17414.509999999998"/>
    <s v="NO"/>
    <n v="339"/>
    <n v="339"/>
    <s v="J20"/>
  </r>
  <r>
    <s v="P2163"/>
    <s v="Tejas Luthra"/>
    <s v="Tejas Luthra"/>
    <x v="1"/>
    <n v="60"/>
    <n v="60"/>
    <s v="Dermatology"/>
    <s v="Dermatology"/>
    <s v="dr priya"/>
    <s v="Dr Priya"/>
    <d v="2026-04-02T00:00:00"/>
    <s v="Valid"/>
    <b v="1"/>
    <b v="1"/>
    <d v="2026-03-19T00:00:00"/>
    <s v="+912037843942"/>
    <s v="912037843942"/>
    <s v="2037843942"/>
    <s v="Valid"/>
    <s v="eshanichadha@hotmail.com"/>
    <s v="Yes"/>
    <n v="22831.45"/>
    <s v="Yes"/>
    <n v="492"/>
    <n v="492"/>
    <s v="M54"/>
  </r>
  <r>
    <s v="P2164"/>
    <s v="Azad Ravel"/>
    <s v="Azad Ravel"/>
    <x v="2"/>
    <n v="18"/>
    <n v="18"/>
    <s v="Oncology"/>
    <s v="Oncology"/>
    <s v="DR SHARMA"/>
    <s v="Dr Sharma"/>
    <d v="2026-04-18T00:00:00"/>
    <s v="Valid"/>
    <b v="1"/>
    <b v="1"/>
    <d v="2026-03-31T00:00:00"/>
    <s v="08527681609"/>
    <s v="08527681609"/>
    <s v="8527681609"/>
    <s v="Valid"/>
    <s v="agarwalkiaan@hotmail.com"/>
    <s v="N"/>
    <n v="3356.42"/>
    <s v="Yes"/>
    <n v="127"/>
    <n v="127"/>
    <s v="K21"/>
  </r>
  <r>
    <s v="P2165"/>
    <s v="Shalv Dara"/>
    <s v="Shalv Dara"/>
    <x v="1"/>
    <n v="17"/>
    <n v="17"/>
    <s v="Dermatology"/>
    <s v="Dermatology"/>
    <s v="Dr Rao"/>
    <s v="Dr Rao"/>
    <d v="2026-03-01T00:00:00"/>
    <s v="Valid"/>
    <b v="1"/>
    <b v="1"/>
    <d v="2026-02-15T00:00:00"/>
    <s v="0176201077"/>
    <s v="0176201077"/>
    <s v="0176201077"/>
    <s v="Valid"/>
    <s v="tanyaseshadri@gmail.com"/>
    <m/>
    <n v="21012.11"/>
    <s v="NO"/>
    <n v="128"/>
    <n v="128"/>
    <s v="J20"/>
  </r>
  <r>
    <s v="P2166"/>
    <s v="Ahana  Vyas"/>
    <s v="Ahana Vyas"/>
    <x v="2"/>
    <n v="43"/>
    <n v="43"/>
    <s v="Neurology"/>
    <s v="Neurology"/>
    <s v="Dr. Sharma"/>
    <s v="Dr. Sharma"/>
    <d v="2025-12-13T00:00:00"/>
    <s v="Valid"/>
    <b v="1"/>
    <b v="1"/>
    <d v="2025-11-25T00:00:00"/>
    <s v="+918397644650"/>
    <s v="918397644650"/>
    <s v="8397644650"/>
    <s v="Valid"/>
    <s v="galakavya@kaul.com"/>
    <m/>
    <n v="17326.7"/>
    <s v="Yes"/>
    <n v="162"/>
    <n v="162"/>
    <s v="C34"/>
  </r>
  <r>
    <s v="P2167"/>
    <s v="Navya Bhatia"/>
    <s v="Navya Bhatia"/>
    <x v="0"/>
    <n v="90"/>
    <n v="90"/>
    <s v="Pediatrics"/>
    <s v="Pediatrics"/>
    <s v="Dr Mehta"/>
    <s v="Dr Mehta"/>
    <d v="2026-01-25T00:00:00"/>
    <s v="Valid"/>
    <b v="1"/>
    <b v="1"/>
    <d v="2026-01-08T00:00:00"/>
    <s v="08428214359"/>
    <s v="08428214359"/>
    <s v="8428214359"/>
    <s v="Valid"/>
    <s v="myrakakar@hotmail.com"/>
    <m/>
    <n v="3582.79"/>
    <s v="Y"/>
    <n v="254"/>
    <n v="254"/>
    <s v="C34"/>
  </r>
  <r>
    <s v="P2168"/>
    <s v="Madhav Warrior"/>
    <s v="Madhav Warrior"/>
    <x v="0"/>
    <n v="1"/>
    <n v="1"/>
    <s v="General Medicine"/>
    <s v="General Medicine"/>
    <s v="DR SHARMA"/>
    <s v="Dr Sharma"/>
    <d v="2026-02-24T00:00:00"/>
    <s v="Valid"/>
    <b v="1"/>
    <b v="1"/>
    <d v="2026-02-21T00:00:00"/>
    <s v="04880699937"/>
    <s v="04880699937"/>
    <s v="4880699937"/>
    <s v="Valid"/>
    <s v="hsachdeva@gmail.com"/>
    <s v="NO"/>
    <n v="200.89"/>
    <s v="NO"/>
    <n v="366"/>
    <n v="366"/>
    <s v="I10"/>
  </r>
  <r>
    <s v="P2171"/>
    <s v="Manikya Agrawal"/>
    <s v="Manikya Agrawal"/>
    <x v="0"/>
    <n v="24"/>
    <n v="24"/>
    <s v="Orthopedics"/>
    <s v="Orthopedics"/>
    <s v="DR SHARMA"/>
    <s v="Dr Sharma"/>
    <d v="2026-02-27T00:00:00"/>
    <s v="Valid"/>
    <b v="1"/>
    <b v="1"/>
    <d v="2026-02-22T00:00:00"/>
    <s v="04922570680"/>
    <s v="04922570680"/>
    <s v="4922570680"/>
    <s v="Valid"/>
    <s v="akarshkibe@goyal.net"/>
    <s v="NO"/>
    <n v="12008.73"/>
    <s v="Yes"/>
    <n v="248"/>
    <n v="248"/>
    <s v="C34"/>
  </r>
  <r>
    <s v="P2172"/>
    <s v="Elakshi Lala"/>
    <s v="Elakshi Lala"/>
    <x v="2"/>
    <n v="76"/>
    <n v="76"/>
    <s v="General Medicine"/>
    <s v="General Medicine"/>
    <s v="dr priya"/>
    <s v="Dr Priya"/>
    <d v="2025-12-25T00:00:00"/>
    <s v="Valid"/>
    <b v="1"/>
    <b v="1"/>
    <d v="2025-12-04T00:00:00"/>
    <s v="+917103333690"/>
    <s v="917103333690"/>
    <s v="7103333690"/>
    <s v="Valid"/>
    <s v="ghoseurvi@sachdev-raju.com"/>
    <s v="Y"/>
    <n v="9901.49"/>
    <s v="NO"/>
    <n v="337"/>
    <n v="337"/>
    <s v="M54"/>
  </r>
  <r>
    <s v="P2173"/>
    <s v="Neelofar Manne"/>
    <s v="Neelofar Manne"/>
    <x v="1"/>
    <n v="19"/>
    <n v="19"/>
    <s v="Cardiology"/>
    <s v="Cardiology"/>
    <s v="Dr. Sharma"/>
    <s v="Dr. Sharma"/>
    <d v="2026-04-03T00:00:00"/>
    <s v="Valid"/>
    <b v="1"/>
    <b v="1"/>
    <d v="2026-03-20T00:00:00"/>
    <s v="8929058175"/>
    <s v="8929058175"/>
    <s v="8929058175"/>
    <s v="Valid"/>
    <s v="ishaangoda@yahoo.com"/>
    <s v="NO"/>
    <n v="14192.39"/>
    <s v="Yes"/>
    <n v="397"/>
    <n v="397"/>
    <s v="J20"/>
  </r>
  <r>
    <s v="P2174"/>
    <s v="Vritika Kapoor"/>
    <s v="Vritika Kapoor"/>
    <x v="0"/>
    <n v="83"/>
    <n v="83"/>
    <s v="General Medicine"/>
    <s v="General Medicine"/>
    <s v="Dr Rao"/>
    <s v="Dr Rao"/>
    <d v="2026-05-01T00:00:00"/>
    <s v="Valid"/>
    <b v="1"/>
    <b v="1"/>
    <d v="2026-04-02T00:00:00"/>
    <s v="0718419040"/>
    <s v="0718419040"/>
    <s v="0718419040"/>
    <s v="Valid"/>
    <s v="lakshay21@gmail.com"/>
    <s v="N"/>
    <n v="24077.35"/>
    <m/>
    <n v="470"/>
    <n v="470"/>
    <s v="M54"/>
  </r>
  <r>
    <s v="P2175"/>
    <s v="Baiju De"/>
    <s v="Baiju De"/>
    <x v="0"/>
    <n v="2"/>
    <n v="2"/>
    <s v="Orthopedics"/>
    <s v="Orthopedics"/>
    <s v="dr priya"/>
    <s v="Dr Priya"/>
    <d v="2026-03-07T00:00:00"/>
    <s v="Valid"/>
    <b v="1"/>
    <b v="1"/>
    <d v="2026-02-19T00:00:00"/>
    <s v="04414689183"/>
    <s v="04414689183"/>
    <s v="4414689183"/>
    <s v="Valid"/>
    <s v="uvala@yahoo.com"/>
    <s v="NO"/>
    <n v="8851.09"/>
    <m/>
    <n v="362"/>
    <n v="362"/>
    <s v="I10"/>
  </r>
  <r>
    <s v="P2176"/>
    <s v="Amira Joshi"/>
    <s v="Amira Joshi"/>
    <x v="4"/>
    <n v="84"/>
    <n v="84"/>
    <s v="Orthopedics"/>
    <s v="Orthopedics"/>
    <s v="dr priya"/>
    <s v="Dr Priya"/>
    <d v="2026-01-04T00:00:00"/>
    <s v="Valid"/>
    <b v="1"/>
    <b v="1"/>
    <d v="2025-12-15T00:00:00"/>
    <s v="+910854153750"/>
    <s v="910854153750"/>
    <s v="0854153750"/>
    <s v="Valid"/>
    <s v="baijusharma@yahoo.com"/>
    <s v="N"/>
    <n v="11595.15"/>
    <s v="Y"/>
    <n v="242"/>
    <n v="242"/>
    <s v="K21"/>
  </r>
  <r>
    <s v="P2177"/>
    <s v="Aarna Shankar"/>
    <s v="Aarna Shankar"/>
    <x v="0"/>
    <n v="51"/>
    <n v="51"/>
    <s v="Neurology"/>
    <s v="Neurology"/>
    <s v="Dr Khan"/>
    <s v="Dr Khan"/>
    <d v="2025-12-08T00:00:00"/>
    <s v="Valid"/>
    <b v="1"/>
    <b v="1"/>
    <d v="2025-11-26T00:00:00"/>
    <s v="8306001388"/>
    <s v="8306001388"/>
    <s v="8306001388"/>
    <s v="Valid"/>
    <s v="mchakrabarti@hotmail.com"/>
    <m/>
    <n v="15224.88"/>
    <s v="Y"/>
    <n v="394"/>
    <n v="394"/>
    <s v="C34"/>
  </r>
  <r>
    <s v="P2178"/>
    <s v="Mamooty Char"/>
    <s v="Mamooty Char"/>
    <x v="0"/>
    <n v="17"/>
    <n v="17"/>
    <s v="ENT"/>
    <s v="ENT"/>
    <s v="dr priya"/>
    <s v="Dr Priya"/>
    <d v="2026-03-25T00:00:00"/>
    <s v="Valid"/>
    <b v="1"/>
    <b v="1"/>
    <d v="2026-03-07T00:00:00"/>
    <s v="+914567237361"/>
    <s v="914567237361"/>
    <s v="4567237361"/>
    <s v="Valid"/>
    <s v="soodfaiyaz@gmail.com"/>
    <m/>
    <n v="1875.74"/>
    <s v="Yes"/>
    <n v="536"/>
    <n v="536"/>
    <s v="C34"/>
  </r>
  <r>
    <s v="P2179"/>
    <s v="Darshit Bava"/>
    <s v="Darshit Bava"/>
    <x v="4"/>
    <n v="30"/>
    <n v="30"/>
    <s v="Neurology"/>
    <s v="Neurology"/>
    <s v="Dr Mehta"/>
    <s v="Dr Mehta"/>
    <d v="2026-02-03T00:00:00"/>
    <s v="Valid"/>
    <b v="1"/>
    <b v="1"/>
    <d v="2026-01-19T00:00:00"/>
    <s v="00973414635"/>
    <s v="00973414635"/>
    <s v="0973414635"/>
    <s v="Valid"/>
    <s v="bedilakshit@yahoo.com"/>
    <m/>
    <n v="8226.75"/>
    <s v="N"/>
    <n v="495"/>
    <n v="495"/>
    <s v="K21"/>
  </r>
  <r>
    <s v="P2180"/>
    <s v="Tarini Saini"/>
    <s v="Tarini Saini"/>
    <x v="5"/>
    <n v="14"/>
    <n v="14"/>
    <s v="Orthopedics"/>
    <s v="Orthopedics"/>
    <s v="dr priya"/>
    <s v="Dr Priya"/>
    <d v="2025-12-30T00:00:00"/>
    <s v="Valid"/>
    <b v="1"/>
    <b v="1"/>
    <d v="2025-12-06T00:00:00"/>
    <s v="03137310686"/>
    <s v="03137310686"/>
    <s v="3137310686"/>
    <s v="Valid"/>
    <s v="ahana-84@yahoo.com"/>
    <m/>
    <n v="23074.92"/>
    <s v="Yes"/>
    <n v="413"/>
    <n v="413"/>
    <s v="J20"/>
  </r>
  <r>
    <s v="P2181"/>
    <s v="Dhanuk Bakshi"/>
    <s v="Dhanuk Bakshi"/>
    <x v="2"/>
    <n v="5"/>
    <n v="5"/>
    <s v="Neurology"/>
    <s v="Neurology"/>
    <s v="Dr Khan"/>
    <s v="Dr Khan"/>
    <d v="2026-03-30T00:00:00"/>
    <s v="Valid"/>
    <b v="1"/>
    <b v="1"/>
    <d v="2026-03-06T00:00:00"/>
    <s v="2305296489"/>
    <s v="2305296489"/>
    <s v="2305296489"/>
    <s v="Valid"/>
    <s v="schada@hotmail.com"/>
    <s v="N"/>
    <n v="15242.03"/>
    <s v="Yes"/>
    <n v="189"/>
    <n v="189"/>
    <s v="J20"/>
  </r>
  <r>
    <s v="P2182"/>
    <s v="Sumer Virk"/>
    <s v="Sumer Virk"/>
    <x v="2"/>
    <n v="90"/>
    <n v="90"/>
    <s v="General Medicine"/>
    <s v="General Medicine"/>
    <s v="dr priya"/>
    <s v="Dr Priya"/>
    <d v="2025-11-24T00:00:00"/>
    <s v="Valid"/>
    <b v="1"/>
    <b v="1"/>
    <d v="2025-11-20T00:00:00"/>
    <s v="04384027696"/>
    <s v="04384027696"/>
    <s v="4384027696"/>
    <s v="Valid"/>
    <s v="diya02@yahoo.com"/>
    <s v="NO"/>
    <n v="5053.8100000000004"/>
    <m/>
    <n v="324"/>
    <n v="324"/>
    <s v="C34"/>
  </r>
  <r>
    <s v="P2183"/>
    <s v="Vihaan Kadakia"/>
    <s v="Vihaan Kadakia"/>
    <x v="0"/>
    <n v="29"/>
    <n v="29"/>
    <s v="Pediatrics"/>
    <s v="Pediatrics"/>
    <s v="Dr Mehta"/>
    <s v="Dr Mehta"/>
    <d v="2026-01-06T00:00:00"/>
    <s v="Valid"/>
    <b v="1"/>
    <b v="1"/>
    <d v="2025-12-24T00:00:00"/>
    <s v="1561807062"/>
    <s v="1561807062"/>
    <s v="1561807062"/>
    <s v="Valid"/>
    <s v="prishalad@yahoo.com"/>
    <s v="NO"/>
    <n v="2333.25"/>
    <s v="Yes"/>
    <n v="422"/>
    <n v="422"/>
    <s v="C34"/>
  </r>
  <r>
    <s v="P2184"/>
    <s v="Faiyaz Butala"/>
    <s v="Faiyaz Butala"/>
    <x v="2"/>
    <n v="27"/>
    <n v="27"/>
    <s v="Cardiology"/>
    <s v="Cardiology"/>
    <s v="Dr Mehta"/>
    <s v="Dr Mehta"/>
    <d v="2026-01-30T00:00:00"/>
    <s v="Valid"/>
    <b v="1"/>
    <b v="1"/>
    <d v="2026-01-02T00:00:00"/>
    <s v="+912103922719"/>
    <s v="912103922719"/>
    <s v="2103922719"/>
    <s v="Valid"/>
    <s v="kaulsara@yahoo.com"/>
    <s v="Yes"/>
    <n v="9117.11"/>
    <m/>
    <n v="390"/>
    <n v="390"/>
    <s v="A09"/>
  </r>
  <r>
    <s v="P2185"/>
    <s v="Chirag Dutta"/>
    <s v="Chirag Dutta"/>
    <x v="2"/>
    <n v="44"/>
    <n v="44"/>
    <s v="Orthopedics"/>
    <s v="Orthopedics"/>
    <s v="Dr Khan"/>
    <s v="Dr Khan"/>
    <d v="2025-12-17T00:00:00"/>
    <s v="Valid"/>
    <b v="1"/>
    <b v="1"/>
    <d v="2025-12-11T00:00:00"/>
    <s v="7525184978"/>
    <s v="7525184978"/>
    <s v="7525184978"/>
    <s v="Valid"/>
    <s v="nkar@gmail.com"/>
    <s v="NO"/>
    <n v="14345.18"/>
    <m/>
    <n v="356"/>
    <n v="356"/>
    <s v="J20"/>
  </r>
  <r>
    <s v="P2186"/>
    <s v="Shalv Saha"/>
    <s v="Shalv Saha"/>
    <x v="2"/>
    <n v="80"/>
    <n v="80"/>
    <s v="Orthopedics"/>
    <s v="Orthopedics"/>
    <s v="Dr Mehta"/>
    <s v="Dr Mehta"/>
    <d v="2026-01-14T00:00:00"/>
    <s v="Valid"/>
    <b v="1"/>
    <b v="1"/>
    <d v="2025-12-31T00:00:00"/>
    <s v="07542978097"/>
    <s v="07542978097"/>
    <s v="7542978097"/>
    <s v="Valid"/>
    <s v="sumerchakraborty@hotmail.com"/>
    <m/>
    <n v="15711.67"/>
    <s v="NO"/>
    <n v="391"/>
    <n v="391"/>
    <s v="I10"/>
  </r>
  <r>
    <s v="P2187"/>
    <s v="Siya Dasgupta"/>
    <s v="Siya Dasgupta"/>
    <x v="4"/>
    <n v="67"/>
    <n v="67"/>
    <s v="Oncology"/>
    <s v="Oncology"/>
    <s v="Dr Mehta"/>
    <s v="Dr Mehta"/>
    <d v="2025-12-01T00:00:00"/>
    <s v="Valid"/>
    <b v="1"/>
    <b v="1"/>
    <d v="2025-11-28T00:00:00"/>
    <s v="+916839488081"/>
    <s v="916839488081"/>
    <s v="6839488081"/>
    <s v="Valid"/>
    <s v="vaidyashray@hotmail.com"/>
    <m/>
    <n v="5918.22"/>
    <s v="NO"/>
    <n v="111"/>
    <n v="111"/>
    <s v="E11"/>
  </r>
  <r>
    <s v="P2188"/>
    <s v="Himmat Sibal"/>
    <s v="Himmat Sibal"/>
    <x v="0"/>
    <n v="33"/>
    <n v="33"/>
    <s v="Dermatology"/>
    <s v="Dermatology"/>
    <s v="dr priya"/>
    <s v="Dr Priya"/>
    <d v="2026-04-11T00:00:00"/>
    <s v="Valid"/>
    <b v="1"/>
    <b v="1"/>
    <d v="2026-04-09T00:00:00"/>
    <s v="+918008393394"/>
    <s v="918008393394"/>
    <s v="8008393394"/>
    <s v="Valid"/>
    <s v="sehgalromil@hotmail.com"/>
    <s v="Yes"/>
    <n v="24209.25"/>
    <s v="NO"/>
    <n v="373"/>
    <n v="373"/>
    <s v="A09"/>
  </r>
  <r>
    <s v="P2189"/>
    <s v="Mohanlal Kapoor"/>
    <s v="Mohanlal Kapoor"/>
    <x v="5"/>
    <n v="67"/>
    <n v="67"/>
    <s v="Oncology"/>
    <s v="Oncology"/>
    <s v="dr priya"/>
    <s v="Dr Priya"/>
    <d v="2025-12-31T00:00:00"/>
    <s v="Valid"/>
    <b v="1"/>
    <b v="1"/>
    <d v="2025-12-12T00:00:00"/>
    <s v="8119271474"/>
    <s v="8119271474"/>
    <s v="8119271474"/>
    <s v="Valid"/>
    <s v="mwadhwa@barad.com"/>
    <s v="Yes"/>
    <n v="13739.35"/>
    <s v="NO"/>
    <n v="398"/>
    <n v="398"/>
    <s v="M54"/>
  </r>
  <r>
    <s v="P2191"/>
    <s v="Tanya Kibe"/>
    <s v="Tanya Kibe"/>
    <x v="4"/>
    <n v="27"/>
    <n v="27"/>
    <s v="ENT"/>
    <s v="ENT"/>
    <s v="Dr Rao"/>
    <s v="Dr Rao"/>
    <d v="2026-01-26T00:00:00"/>
    <s v="Valid"/>
    <b v="1"/>
    <b v="1"/>
    <d v="2026-01-19T00:00:00"/>
    <s v="5315750077"/>
    <s v="5315750077"/>
    <s v="5315750077"/>
    <s v="Valid"/>
    <s v="zviswanathan@yahoo.com"/>
    <m/>
    <n v="2008.22"/>
    <s v="Yes"/>
    <n v="277"/>
    <n v="277"/>
    <s v="I10"/>
  </r>
  <r>
    <s v="P2192"/>
    <s v="Dhanuk Gill"/>
    <s v="Dhanuk Gill"/>
    <x v="1"/>
    <n v="77"/>
    <n v="77"/>
    <s v="Neurology"/>
    <s v="Neurology"/>
    <s v="Dr Khan"/>
    <s v="Dr Khan"/>
    <d v="2026-01-15T00:00:00"/>
    <s v="Valid"/>
    <b v="1"/>
    <b v="1"/>
    <d v="2025-12-16T00:00:00"/>
    <s v="+910434819560"/>
    <s v="910434819560"/>
    <s v="0434819560"/>
    <s v="Valid"/>
    <s v="siya44@yahoo.com"/>
    <s v="Yes"/>
    <n v="6908.61"/>
    <s v="Yes"/>
    <n v="153"/>
    <n v="153"/>
    <s v="I10"/>
  </r>
  <r>
    <s v="P2193"/>
    <s v="Armaan Wali"/>
    <s v="Armaan Wali"/>
    <x v="3"/>
    <n v="65"/>
    <n v="65"/>
    <s v="Pediatrics"/>
    <s v="Pediatrics"/>
    <s v="dr priya"/>
    <s v="Dr Priya"/>
    <d v="2026-04-04T00:00:00"/>
    <s v="Valid"/>
    <b v="1"/>
    <b v="1"/>
    <d v="2026-03-22T00:00:00"/>
    <s v="+913158193485"/>
    <s v="913158193485"/>
    <s v="3158193485"/>
    <s v="Valid"/>
    <s v="balasana@hotmail.com"/>
    <m/>
    <n v="7724.78"/>
    <s v="N"/>
    <n v="110"/>
    <n v="110"/>
    <s v="I10"/>
  </r>
  <r>
    <s v="P2194"/>
    <s v="Seher Kohli"/>
    <s v="Seher Kohli"/>
    <x v="0"/>
    <n v="26"/>
    <n v="26"/>
    <s v="Dermatology"/>
    <s v="Dermatology"/>
    <s v="Dr Rao"/>
    <s v="Dr Rao"/>
    <d v="2026-04-17T00:00:00"/>
    <s v="Valid"/>
    <b v="1"/>
    <b v="1"/>
    <d v="2026-03-31T00:00:00"/>
    <s v="02796711373"/>
    <s v="02796711373"/>
    <s v="2796711373"/>
    <s v="Valid"/>
    <s v="nishithmagar@din-sachar.com"/>
    <m/>
    <n v="1493.08"/>
    <m/>
    <n v="456"/>
    <n v="456"/>
    <s v="E11"/>
  </r>
  <r>
    <s v="P2195"/>
    <s v="Keya Wadhwa"/>
    <s v="Keya Wadhwa"/>
    <x v="1"/>
    <n v="90"/>
    <n v="90"/>
    <s v="Dermatology"/>
    <s v="Dermatology"/>
    <s v="Dr Mehta"/>
    <s v="Dr Mehta"/>
    <d v="2026-04-17T00:00:00"/>
    <s v="Valid"/>
    <b v="1"/>
    <b v="1"/>
    <d v="2026-04-14T00:00:00"/>
    <s v="04096683021"/>
    <s v="04096683021"/>
    <s v="4096683021"/>
    <s v="Valid"/>
    <s v="diya01@yahoo.com"/>
    <m/>
    <n v="3126.22"/>
    <s v="NO"/>
    <n v="280"/>
    <n v="280"/>
    <s v="E11"/>
  </r>
  <r>
    <s v="P2196"/>
    <s v="Aaina Sundaram"/>
    <s v="Aaina Sundaram"/>
    <x v="2"/>
    <n v="56"/>
    <n v="56"/>
    <s v="Cardiology"/>
    <s v="Cardiology"/>
    <s v="DR SHARMA"/>
    <s v="Dr Sharma"/>
    <d v="2026-01-03T00:00:00"/>
    <s v="Valid"/>
    <b v="1"/>
    <b v="1"/>
    <d v="2025-12-27T00:00:00"/>
    <s v="8148360842"/>
    <s v="8148360842"/>
    <s v="8148360842"/>
    <s v="Valid"/>
    <s v="heer41@seshadri.net"/>
    <s v="NO"/>
    <n v="14797.71"/>
    <s v="N"/>
    <n v="311"/>
    <n v="311"/>
    <s v="C34"/>
  </r>
  <r>
    <s v="P2197"/>
    <s v="Prisha Shetty"/>
    <s v="Prisha Shetty"/>
    <x v="0"/>
    <n v="2"/>
    <n v="2"/>
    <s v="Pediatrics"/>
    <s v="Pediatrics"/>
    <s v="Dr Rao"/>
    <s v="Dr Rao"/>
    <d v="2025-12-21T00:00:00"/>
    <s v="Valid"/>
    <b v="1"/>
    <b v="1"/>
    <d v="2025-12-19T00:00:00"/>
    <s v="4386796731"/>
    <s v="4386796731"/>
    <s v="4386796731"/>
    <s v="Valid"/>
    <s v="kdutta@yahoo.com"/>
    <s v="Yes"/>
    <n v="3342.55"/>
    <s v="Y"/>
    <n v="244"/>
    <n v="244"/>
    <s v="I10"/>
  </r>
  <r>
    <s v="P2198"/>
    <s v="Hrishita Sharma"/>
    <s v="Hrishita Sharma"/>
    <x v="2"/>
    <n v="45"/>
    <n v="45"/>
    <s v="Pediatrics"/>
    <s v="Pediatrics"/>
    <s v="Dr. Sharma"/>
    <s v="Dr. Sharma"/>
    <d v="2025-11-20T00:00:00"/>
    <s v="Valid"/>
    <b v="1"/>
    <b v="1"/>
    <d v="2025-11-16T00:00:00"/>
    <s v="03964561949"/>
    <s v="03964561949"/>
    <s v="3964561949"/>
    <s v="Valid"/>
    <s v="priyansh93@hotmail.com"/>
    <m/>
    <n v="12071.79"/>
    <s v="NO"/>
    <n v="436"/>
    <n v="436"/>
    <s v="I10"/>
  </r>
  <r>
    <s v="P2199"/>
    <s v="Ivana Dubey"/>
    <s v="Ivana Dubey"/>
    <x v="2"/>
    <n v="33"/>
    <n v="33"/>
    <s v="Pediatrics"/>
    <s v="Pediatrics"/>
    <s v="Dr Khan"/>
    <s v="Dr Khan"/>
    <d v="2025-12-12T00:00:00"/>
    <s v="Valid"/>
    <b v="1"/>
    <b v="1"/>
    <d v="2025-11-20T00:00:00"/>
    <s v="+914128583522"/>
    <s v="914128583522"/>
    <s v="4128583522"/>
    <s v="Valid"/>
    <s v="ritvik17@sood.com"/>
    <s v="N"/>
    <n v="22461.48"/>
    <s v="N"/>
    <n v="327"/>
    <n v="327"/>
    <s v="C34"/>
  </r>
  <r>
    <s v="P2200"/>
    <s v="Anahi Sane"/>
    <s v="Anahi Sane"/>
    <x v="0"/>
    <n v="47"/>
    <n v="47"/>
    <s v="Oncology"/>
    <s v="Oncology"/>
    <s v="DR SHARMA"/>
    <s v="Dr Sharma"/>
    <d v="2025-12-17T00:00:00"/>
    <s v="Valid"/>
    <b v="1"/>
    <b v="1"/>
    <d v="2025-12-01T00:00:00"/>
    <s v="+915668833507"/>
    <s v="915668833507"/>
    <s v="5668833507"/>
    <s v="Valid"/>
    <m/>
    <s v="Y"/>
    <n v="8107.7"/>
    <s v="NO"/>
    <n v="127"/>
    <n v="127"/>
    <s v="J20"/>
  </r>
  <r>
    <s v="P2201"/>
    <s v="Shalv Thaker"/>
    <s v="Shalv Thaker"/>
    <x v="1"/>
    <n v="80"/>
    <n v="80"/>
    <s v="General Medicine"/>
    <s v="General Medicine"/>
    <s v="Dr. Sharma"/>
    <s v="Dr. Sharma"/>
    <d v="2026-03-05T00:00:00"/>
    <s v="Valid"/>
    <b v="1"/>
    <b v="1"/>
    <d v="2026-03-03T00:00:00"/>
    <s v="04544180053"/>
    <s v="04544180053"/>
    <s v="4544180053"/>
    <s v="Valid"/>
    <s v="yuvaan77@srinivas-sami.com"/>
    <s v="NO"/>
    <n v="22818.82"/>
    <s v="N"/>
    <n v="256"/>
    <n v="256"/>
    <s v="C34"/>
  </r>
  <r>
    <s v="P2202"/>
    <s v="Umang Loke"/>
    <s v="Umang Loke"/>
    <x v="5"/>
    <n v="16"/>
    <n v="16"/>
    <s v="ENT"/>
    <s v="ENT"/>
    <s v="Dr Mehta"/>
    <s v="Dr Mehta"/>
    <d v="2026-01-15T00:00:00"/>
    <s v="Valid"/>
    <b v="1"/>
    <b v="1"/>
    <d v="2026-01-14T00:00:00"/>
    <s v="5267543290"/>
    <s v="5267543290"/>
    <s v="5267543290"/>
    <s v="Valid"/>
    <s v="choudhryrhea@gmail.com"/>
    <s v="NO"/>
    <n v="17518.88"/>
    <m/>
    <n v="158"/>
    <n v="158"/>
    <s v="I10"/>
  </r>
  <r>
    <s v="P2203"/>
    <s v="Zeeshan Chanda"/>
    <s v="Zeeshan Chanda"/>
    <x v="3"/>
    <n v="5"/>
    <n v="5"/>
    <s v="Oncology"/>
    <s v="Oncology"/>
    <s v="Dr. Sharma"/>
    <s v="Dr. Sharma"/>
    <d v="2026-03-25T00:00:00"/>
    <s v="Valid"/>
    <b v="1"/>
    <b v="1"/>
    <d v="2026-03-07T00:00:00"/>
    <s v="02458067735"/>
    <s v="02458067735"/>
    <s v="2458067735"/>
    <s v="Valid"/>
    <s v="dekrish@dara-varkey.info"/>
    <m/>
    <n v="7650.24"/>
    <s v="NO"/>
    <n v="130"/>
    <n v="130"/>
    <s v="J20"/>
  </r>
  <r>
    <s v="P2204"/>
    <s v="Hridaan Chana"/>
    <s v="Hridaan Chana"/>
    <x v="1"/>
    <n v="64"/>
    <n v="64"/>
    <s v="Cardiology"/>
    <s v="Cardiology"/>
    <s v="dr priya"/>
    <s v="Dr Priya"/>
    <d v="2026-02-15T00:00:00"/>
    <s v="Valid"/>
    <b v="1"/>
    <b v="1"/>
    <d v="2026-02-03T00:00:00"/>
    <s v="00044523680"/>
    <s v="00044523680"/>
    <s v="0044523680"/>
    <s v="Valid"/>
    <s v="sabharwalakarsh@gole.com"/>
    <m/>
    <n v="1301.51"/>
    <s v="N"/>
    <n v="294"/>
    <n v="294"/>
    <s v="E11"/>
  </r>
  <r>
    <s v="P2205"/>
    <s v="Amira Raj"/>
    <s v="Amira Raj"/>
    <x v="1"/>
    <n v="69"/>
    <n v="69"/>
    <s v="Cardiology"/>
    <s v="Cardiology"/>
    <s v="Dr. Sharma"/>
    <s v="Dr. Sharma"/>
    <d v="2026-01-21T00:00:00"/>
    <s v="Valid"/>
    <b v="1"/>
    <b v="1"/>
    <d v="2026-01-20T00:00:00"/>
    <s v="7283369397"/>
    <s v="7283369397"/>
    <s v="7283369397"/>
    <s v="Valid"/>
    <s v="hayreshayak@dhillon.com"/>
    <s v="N"/>
    <n v="23443.15"/>
    <s v="NO"/>
    <n v="524"/>
    <n v="524"/>
    <s v="J20"/>
  </r>
  <r>
    <s v="P2206"/>
    <s v="Anika Shukla"/>
    <s v="Anika Shukla"/>
    <x v="5"/>
    <n v="4"/>
    <n v="4"/>
    <s v="ENT"/>
    <s v="ENT"/>
    <s v="dr priya"/>
    <s v="Dr Priya"/>
    <d v="2025-12-26T00:00:00"/>
    <s v="Valid"/>
    <b v="1"/>
    <b v="1"/>
    <d v="2025-11-29T00:00:00"/>
    <s v="+919397281919"/>
    <s v="919397281919"/>
    <s v="9397281919"/>
    <s v="Valid"/>
    <s v="ojas70@hotmail.com"/>
    <m/>
    <n v="19608.79"/>
    <s v="Yes"/>
    <n v="513"/>
    <n v="513"/>
    <s v="I10"/>
  </r>
  <r>
    <s v="P2207"/>
    <s v="Pari Chana"/>
    <s v="Pari Chana"/>
    <x v="1"/>
    <n v="87"/>
    <n v="87"/>
    <s v="Oncology"/>
    <s v="Oncology"/>
    <s v="Dr Khan"/>
    <s v="Dr Khan"/>
    <d v="2026-05-07T00:00:00"/>
    <s v="Valid"/>
    <b v="1"/>
    <b v="1"/>
    <d v="2026-04-24T00:00:00"/>
    <s v="04619709700"/>
    <s v="04619709700"/>
    <s v="4619709700"/>
    <s v="Valid"/>
    <s v="jmalhotra@gmail.com"/>
    <s v="Y"/>
    <n v="4231.21"/>
    <m/>
    <n v="339"/>
    <n v="339"/>
    <s v="C34"/>
  </r>
  <r>
    <s v="P2208"/>
    <s v="Riya Gour"/>
    <s v="Riya Gour"/>
    <x v="5"/>
    <n v="17"/>
    <n v="17"/>
    <s v="Cardiology"/>
    <s v="Cardiology"/>
    <s v="Dr. Sharma"/>
    <s v="Dr. Sharma"/>
    <d v="2026-04-18T00:00:00"/>
    <s v="Valid"/>
    <b v="1"/>
    <b v="1"/>
    <d v="2026-03-24T00:00:00"/>
    <s v="06184233065"/>
    <s v="06184233065"/>
    <s v="6184233065"/>
    <s v="Valid"/>
    <s v="ngolla@kade.com"/>
    <s v="Y"/>
    <n v="2321.31"/>
    <s v="N"/>
    <n v="494"/>
    <n v="494"/>
    <s v="A09"/>
  </r>
  <r>
    <s v="P2209"/>
    <s v="Kanav Devi"/>
    <s v="Kanav Devi"/>
    <x v="0"/>
    <n v="44"/>
    <n v="44"/>
    <s v="Dermatology"/>
    <s v="Dermatology"/>
    <s v="Dr Rao"/>
    <s v="Dr Rao"/>
    <d v="2025-12-12T00:00:00"/>
    <s v="Valid"/>
    <b v="1"/>
    <b v="1"/>
    <d v="2025-11-23T00:00:00"/>
    <s v="+919130497379"/>
    <s v="919130497379"/>
    <s v="9130497379"/>
    <s v="Valid"/>
    <s v="tripathiarnav@gmail.com"/>
    <s v="Y"/>
    <n v="9170.0300000000007"/>
    <s v="Yes"/>
    <n v="500"/>
    <n v="500"/>
    <s v="C34"/>
  </r>
  <r>
    <s v="P2210"/>
    <s v="Diya Bir"/>
    <s v="Diya Bir"/>
    <x v="0"/>
    <n v="16"/>
    <n v="16"/>
    <s v="Oncology"/>
    <s v="Oncology"/>
    <s v="dr priya"/>
    <s v="Dr Priya"/>
    <d v="2026-03-25T00:00:00"/>
    <s v="Valid"/>
    <b v="1"/>
    <b v="1"/>
    <d v="2026-02-27T00:00:00"/>
    <s v="+912708977456"/>
    <s v="912708977456"/>
    <s v="2708977456"/>
    <s v="Valid"/>
    <s v="buchnirvaan@hotmail.com"/>
    <s v="Y"/>
    <n v="21220.3"/>
    <m/>
    <n v="336"/>
    <n v="336"/>
    <s v="I10"/>
  </r>
  <r>
    <s v="P2211"/>
    <s v="Prerak Sabharwal"/>
    <s v="Prerak Sabharwal"/>
    <x v="3"/>
    <n v="2"/>
    <n v="2"/>
    <s v="General Medicine"/>
    <s v="General Medicine"/>
    <s v="Dr Rao"/>
    <s v="Dr Rao"/>
    <d v="2026-04-07T00:00:00"/>
    <s v="Valid"/>
    <b v="1"/>
    <b v="1"/>
    <d v="2026-03-08T00:00:00"/>
    <s v="6922466372"/>
    <s v="6922466372"/>
    <s v="6922466372"/>
    <s v="Valid"/>
    <s v="chhabrabaiju@soman.com"/>
    <s v="N"/>
    <n v="12109.16"/>
    <s v="N"/>
    <n v="309"/>
    <n v="309"/>
    <s v="I10"/>
  </r>
  <r>
    <s v="P2212"/>
    <s v="Rati Sami"/>
    <s v="Rati Sami"/>
    <x v="2"/>
    <n v="36"/>
    <n v="36"/>
    <s v="ENT"/>
    <s v="ENT"/>
    <s v="Dr Mehta"/>
    <s v="Dr Mehta"/>
    <d v="2026-03-29T00:00:00"/>
    <s v="Valid"/>
    <b v="1"/>
    <b v="1"/>
    <d v="2026-03-15T00:00:00"/>
    <s v="03106052402"/>
    <s v="03106052402"/>
    <s v="3106052402"/>
    <s v="Valid"/>
    <s v="rasha28@gmail.com"/>
    <s v="Yes"/>
    <n v="6598.57"/>
    <s v="Yes"/>
    <n v="232"/>
    <n v="232"/>
    <s v="K21"/>
  </r>
  <r>
    <s v="P2213"/>
    <s v="Tanya Bala"/>
    <s v="Tanya Bala"/>
    <x v="3"/>
    <n v="17"/>
    <n v="17"/>
    <s v="Pediatrics"/>
    <s v="Pediatrics"/>
    <s v="Dr Mehta"/>
    <s v="Dr Mehta"/>
    <d v="2025-11-22T00:00:00"/>
    <s v="Valid"/>
    <b v="1"/>
    <b v="1"/>
    <d v="2025-11-18T00:00:00"/>
    <s v="06769225157"/>
    <s v="06769225157"/>
    <s v="6769225157"/>
    <s v="Valid"/>
    <s v="biswasishaan@mahajan.com"/>
    <s v="Yes"/>
    <n v="5970.28"/>
    <s v="Yes"/>
    <n v="194"/>
    <n v="194"/>
    <s v="C34"/>
  </r>
  <r>
    <s v="P2214"/>
    <s v="Indrajit Kari"/>
    <s v="Indrajit Kari"/>
    <x v="3"/>
    <n v="75"/>
    <n v="75"/>
    <s v="ENT"/>
    <s v="ENT"/>
    <s v="Dr Rao"/>
    <s v="Dr Rao"/>
    <d v="2026-02-28T00:00:00"/>
    <s v="Valid"/>
    <b v="1"/>
    <b v="1"/>
    <d v="2026-02-11T00:00:00"/>
    <s v="4418735947"/>
    <s v="4418735947"/>
    <s v="4418735947"/>
    <s v="Valid"/>
    <s v="sumerdora@yahoo.com"/>
    <s v="NO"/>
    <n v="1708.16"/>
    <s v="Yes"/>
    <n v="231"/>
    <n v="231"/>
    <s v="I10"/>
  </r>
  <r>
    <s v="P2215"/>
    <s v="Hridaan Mahajan"/>
    <s v="Hridaan Mahajan"/>
    <x v="2"/>
    <n v="70"/>
    <n v="70"/>
    <s v="Cardiology"/>
    <s v="Cardiology"/>
    <s v="DR SHARMA"/>
    <s v="Dr Sharma"/>
    <d v="2026-03-14T00:00:00"/>
    <s v="Valid"/>
    <b v="1"/>
    <b v="1"/>
    <d v="2026-03-03T00:00:00"/>
    <s v="05180539659"/>
    <s v="05180539659"/>
    <s v="5180539659"/>
    <s v="Valid"/>
    <s v="vivaanganesh@hotmail.com"/>
    <s v="NO"/>
    <n v="2121.48"/>
    <m/>
    <n v="157"/>
    <n v="157"/>
    <s v="A09"/>
  </r>
  <r>
    <s v="P2216"/>
    <s v="Arhaan Kibe"/>
    <s v="Arhaan Kibe"/>
    <x v="2"/>
    <n v="31"/>
    <n v="31"/>
    <s v="Pediatrics"/>
    <s v="Pediatrics"/>
    <s v="dr priya"/>
    <s v="Dr Priya"/>
    <d v="2026-02-16T00:00:00"/>
    <s v="Valid"/>
    <b v="1"/>
    <b v="1"/>
    <d v="2026-01-29T00:00:00"/>
    <s v="+913264210121"/>
    <s v="913264210121"/>
    <s v="3264210121"/>
    <s v="Valid"/>
    <s v="dugaradvik@sachdev.com"/>
    <s v="N"/>
    <n v="20762.62"/>
    <m/>
    <n v="136"/>
    <n v="136"/>
    <s v="C34"/>
  </r>
  <r>
    <s v="P2217"/>
    <s v="Damini Hora"/>
    <s v="Damini Hora"/>
    <x v="1"/>
    <n v="37"/>
    <n v="37"/>
    <s v="Orthopedics"/>
    <s v="Orthopedics"/>
    <s v="Dr Rao"/>
    <s v="Dr Rao"/>
    <d v="2026-04-19T00:00:00"/>
    <s v="Valid"/>
    <b v="1"/>
    <b v="1"/>
    <d v="2026-04-09T00:00:00"/>
    <s v="7326096426"/>
    <s v="7326096426"/>
    <s v="7326096426"/>
    <s v="Valid"/>
    <s v="yogiaaina@gmail.com"/>
    <s v="N"/>
    <n v="8507.65"/>
    <m/>
    <n v="433"/>
    <n v="433"/>
    <s v="J20"/>
  </r>
  <r>
    <s v="P2218"/>
    <s v="Mahika Yohannan"/>
    <s v="Mahika Yohannan"/>
    <x v="3"/>
    <n v="38"/>
    <n v="38"/>
    <s v="Cardiology"/>
    <s v="Cardiology"/>
    <s v="Dr Mehta"/>
    <s v="Dr Mehta"/>
    <d v="2026-02-10T00:00:00"/>
    <s v="Valid"/>
    <b v="1"/>
    <b v="1"/>
    <d v="2026-01-30T00:00:00"/>
    <s v="9664344706"/>
    <s v="9664344706"/>
    <s v="9664344706"/>
    <s v="Valid"/>
    <s v="dchowdhury@gmail.com"/>
    <s v="Yes"/>
    <n v="7413.64"/>
    <s v="Y"/>
    <n v="402"/>
    <n v="402"/>
    <s v="I10"/>
  </r>
  <r>
    <s v="P2219"/>
    <s v="Samarth Agarwal"/>
    <s v="Samarth Agarwal"/>
    <x v="2"/>
    <n v="78"/>
    <n v="78"/>
    <s v="Pediatrics"/>
    <s v="Pediatrics"/>
    <s v="dr priya"/>
    <s v="Dr Priya"/>
    <d v="2026-01-24T00:00:00"/>
    <s v="Valid"/>
    <b v="1"/>
    <b v="1"/>
    <d v="2026-01-08T00:00:00"/>
    <s v="6451539348"/>
    <s v="6451539348"/>
    <s v="6451539348"/>
    <s v="Valid"/>
    <s v="goswamivedika@yahoo.com"/>
    <s v="N"/>
    <n v="23510.51"/>
    <m/>
    <n v="525"/>
    <n v="525"/>
    <s v="A09"/>
  </r>
  <r>
    <s v="P2220"/>
    <s v="Fateh Agate"/>
    <s v="Fateh Agate"/>
    <x v="0"/>
    <n v="85"/>
    <n v="85"/>
    <s v="Orthopedics"/>
    <s v="Orthopedics"/>
    <s v="dr priya"/>
    <s v="Dr Priya"/>
    <d v="2025-12-25T00:00:00"/>
    <s v="Valid"/>
    <b v="1"/>
    <b v="1"/>
    <d v="2025-12-01T00:00:00"/>
    <s v="0832775299"/>
    <s v="0832775299"/>
    <s v="0832775299"/>
    <s v="Valid"/>
    <s v="rania47@dora.com"/>
    <s v="NO"/>
    <n v="23888.45"/>
    <s v="N"/>
    <n v="389"/>
    <n v="389"/>
    <s v="A09"/>
  </r>
  <r>
    <s v="P2221"/>
    <s v="Nitya Keer"/>
    <s v="Nitya Keer"/>
    <x v="1"/>
    <n v="69"/>
    <n v="69"/>
    <s v="Neurology"/>
    <s v="Neurology"/>
    <s v="Dr Rao"/>
    <s v="Dr Rao"/>
    <d v="2026-02-24T00:00:00"/>
    <s v="Valid"/>
    <b v="1"/>
    <b v="1"/>
    <d v="2026-02-05T00:00:00"/>
    <s v="08400605285"/>
    <s v="08400605285"/>
    <s v="8400605285"/>
    <s v="Valid"/>
    <s v="rheavohra@raju.com"/>
    <m/>
    <n v="16548.099999999999"/>
    <m/>
    <n v="262"/>
    <n v="262"/>
    <s v="J20"/>
  </r>
  <r>
    <s v="P2222"/>
    <s v="Parinaaz Deep"/>
    <s v="Parinaaz Deep"/>
    <x v="5"/>
    <n v="74"/>
    <n v="74"/>
    <s v="Oncology"/>
    <s v="Oncology"/>
    <s v="DR SHARMA"/>
    <s v="Dr Sharma"/>
    <d v="2025-11-25T00:00:00"/>
    <s v="Valid"/>
    <b v="1"/>
    <b v="1"/>
    <d v="2025-11-15T00:00:00"/>
    <s v="06118732298"/>
    <s v="06118732298"/>
    <s v="6118732298"/>
    <s v="Valid"/>
    <s v="geracharvi@gmail.com"/>
    <s v="NO"/>
    <n v="20015.349999999999"/>
    <s v="NO"/>
    <n v="218"/>
    <n v="218"/>
    <s v="M54"/>
  </r>
  <r>
    <s v="P2223"/>
    <s v="Hrishita Lal"/>
    <s v="Hrishita Lal"/>
    <x v="2"/>
    <n v="15"/>
    <n v="15"/>
    <s v="Pediatrics"/>
    <s v="Pediatrics"/>
    <s v="Dr Khan"/>
    <s v="Dr Khan"/>
    <d v="2026-01-24T00:00:00"/>
    <s v="Valid"/>
    <b v="1"/>
    <b v="1"/>
    <d v="2026-01-01T00:00:00"/>
    <s v="07959633846"/>
    <s v="07959633846"/>
    <s v="7959633846"/>
    <s v="Valid"/>
    <s v="anviatwal@hotmail.com"/>
    <m/>
    <n v="9174.65"/>
    <s v="NO"/>
    <n v="386"/>
    <n v="386"/>
    <s v="A09"/>
  </r>
  <r>
    <s v="P2224"/>
    <s v="Pari Kapadia"/>
    <s v="Pari Kapadia"/>
    <x v="2"/>
    <n v="47"/>
    <n v="47"/>
    <s v="General Medicine"/>
    <s v="General Medicine"/>
    <s v="DR SHARMA"/>
    <s v="Dr Sharma"/>
    <d v="2026-05-08T00:00:00"/>
    <s v="Valid"/>
    <b v="1"/>
    <b v="1"/>
    <d v="2026-04-24T00:00:00"/>
    <s v="7966495979"/>
    <s v="7966495979"/>
    <s v="7966495979"/>
    <s v="Valid"/>
    <s v="etella@hotmail.com"/>
    <m/>
    <n v="5898.13"/>
    <s v="Y"/>
    <n v="375"/>
    <n v="375"/>
    <s v="E11"/>
  </r>
  <r>
    <s v="P2225"/>
    <s v="Elakshi Walla"/>
    <s v="Elakshi Walla"/>
    <x v="1"/>
    <n v="87"/>
    <n v="87"/>
    <s v="Orthopedics"/>
    <s v="Orthopedics"/>
    <s v="Dr. Sharma"/>
    <s v="Dr. Sharma"/>
    <d v="2026-03-15T00:00:00"/>
    <s v="Valid"/>
    <b v="1"/>
    <b v="1"/>
    <d v="2026-02-18T00:00:00"/>
    <s v="4095736096"/>
    <s v="4095736096"/>
    <s v="4095736096"/>
    <s v="Valid"/>
    <s v="ahana-singh@yahoo.com"/>
    <s v="Y"/>
    <n v="8670.98"/>
    <s v="NO"/>
    <s v="Room-X"/>
    <n v="0"/>
    <s v="M54"/>
  </r>
  <r>
    <s v="P2226"/>
    <s v="Shaan Bawa"/>
    <s v="Shaan Bawa"/>
    <x v="1"/>
    <n v="65"/>
    <n v="65"/>
    <s v="Orthopedics"/>
    <s v="Orthopedics"/>
    <s v="Dr Khan"/>
    <s v="Dr Khan"/>
    <d v="2026-03-24T00:00:00"/>
    <s v="Valid"/>
    <b v="1"/>
    <b v="1"/>
    <d v="2026-03-04T00:00:00"/>
    <s v="+914202367587"/>
    <s v="914202367587"/>
    <s v="4202367587"/>
    <s v="Valid"/>
    <s v="tushar84@sood-golla.com"/>
    <s v="NO"/>
    <n v="22516.84"/>
    <m/>
    <n v="107"/>
    <n v="107"/>
    <s v="E11"/>
  </r>
  <r>
    <s v="P2227"/>
    <s v="Rania Chander"/>
    <s v="Rania Chander"/>
    <x v="2"/>
    <n v="54"/>
    <n v="54"/>
    <s v="Oncology"/>
    <s v="Oncology"/>
    <s v="Dr Khan"/>
    <s v="Dr Khan"/>
    <d v="2025-12-22T00:00:00"/>
    <s v="Valid"/>
    <b v="1"/>
    <b v="1"/>
    <d v="2025-11-29T00:00:00"/>
    <s v="+914063659091"/>
    <s v="914063659091"/>
    <s v="4063659091"/>
    <s v="Valid"/>
    <s v="yuvaan65@hotmail.com"/>
    <s v="NO"/>
    <n v="3334.67"/>
    <s v="Yes"/>
    <n v="526"/>
    <n v="526"/>
    <s v="M54"/>
  </r>
  <r>
    <s v="P2228"/>
    <s v="Zeeshan Kulkarni"/>
    <s v="Zeeshan Kulkarni"/>
    <x v="0"/>
    <n v="89"/>
    <n v="89"/>
    <s v="Orthopedics"/>
    <s v="Orthopedics"/>
    <s v="Dr Mehta"/>
    <s v="Dr Mehta"/>
    <d v="2026-02-06T00:00:00"/>
    <s v="Valid"/>
    <b v="1"/>
    <b v="1"/>
    <d v="2026-02-02T00:00:00"/>
    <s v="+914748529609"/>
    <s v="914748529609"/>
    <s v="4748529609"/>
    <s v="Valid"/>
    <s v="buchnehmat@gmail.com"/>
    <m/>
    <n v="22625.66"/>
    <s v="NO"/>
    <n v="165"/>
    <n v="165"/>
    <s v="M54"/>
  </r>
  <r>
    <s v="P2229"/>
    <s v="Vritika Chakraborty"/>
    <s v="Vritika Chakraborty"/>
    <x v="5"/>
    <n v="38"/>
    <n v="38"/>
    <s v="Neurology"/>
    <s v="Neurology"/>
    <s v="dr priya"/>
    <s v="Dr Priya"/>
    <d v="2026-04-16T00:00:00"/>
    <s v="Valid"/>
    <b v="1"/>
    <b v="1"/>
    <d v="2026-03-19T00:00:00"/>
    <s v="+919037738305"/>
    <s v="919037738305"/>
    <s v="9037738305"/>
    <s v="Valid"/>
    <s v="jivika73@yahoo.com"/>
    <s v="N"/>
    <n v="14868.65"/>
    <s v="NO"/>
    <n v="469"/>
    <n v="469"/>
    <s v="I10"/>
  </r>
  <r>
    <s v="P2230"/>
    <s v="Aarna Buch"/>
    <s v="Aarna Buch"/>
    <x v="2"/>
    <n v="46"/>
    <n v="46"/>
    <s v="General Medicine"/>
    <s v="General Medicine"/>
    <s v="dr priya"/>
    <s v="Dr Priya"/>
    <d v="2026-04-01T00:00:00"/>
    <s v="Valid"/>
    <b v="1"/>
    <b v="1"/>
    <d v="2026-03-12T00:00:00"/>
    <s v="+917712776407"/>
    <s v="917712776407"/>
    <s v="7712776407"/>
    <s v="Valid"/>
    <s v="handaanya@yahoo.com"/>
    <m/>
    <n v="18569.3"/>
    <m/>
    <n v="248"/>
    <n v="248"/>
    <s v="K21"/>
  </r>
  <r>
    <s v="P2231"/>
    <s v="Ryan Khatri"/>
    <s v="Ryan Khatri"/>
    <x v="3"/>
    <n v="90"/>
    <n v="90"/>
    <s v="Orthopedics"/>
    <s v="Orthopedics"/>
    <s v="Dr Mehta"/>
    <s v="Dr Mehta"/>
    <d v="2026-04-27T00:00:00"/>
    <s v="Valid"/>
    <b v="1"/>
    <b v="1"/>
    <d v="2026-04-04T00:00:00"/>
    <s v="09896940944"/>
    <s v="09896940944"/>
    <s v="9896940944"/>
    <s v="Valid"/>
    <s v="onkar85@hotmail.com"/>
    <s v="NO"/>
    <n v="3975.96"/>
    <s v="Yes"/>
    <n v="403"/>
    <n v="403"/>
    <s v="A09"/>
  </r>
  <r>
    <s v="P2232"/>
    <s v="Arhaan Deo"/>
    <s v="Arhaan Deo"/>
    <x v="2"/>
    <n v="87"/>
    <n v="87"/>
    <s v="General Medicine"/>
    <s v="General Medicine"/>
    <s v="dr priya"/>
    <s v="Dr Priya"/>
    <d v="2026-03-01T00:00:00"/>
    <s v="Valid"/>
    <b v="1"/>
    <b v="1"/>
    <d v="2026-02-19T00:00:00"/>
    <s v="1273724037"/>
    <s v="1273724037"/>
    <s v="1273724037"/>
    <s v="Valid"/>
    <s v="armaan83@lala.com"/>
    <m/>
    <n v="4582.71"/>
    <s v="Yes"/>
    <n v="495"/>
    <n v="495"/>
    <s v="I10"/>
  </r>
  <r>
    <s v="P2233"/>
    <s v="Siya Krishnamurthy"/>
    <s v="Siya Krishnamurthy"/>
    <x v="5"/>
    <n v="39"/>
    <n v="39"/>
    <s v="General Medicine"/>
    <s v="General Medicine"/>
    <s v="dr priya"/>
    <s v="Dr Priya"/>
    <d v="2026-01-13T00:00:00"/>
    <s v="Valid"/>
    <b v="1"/>
    <b v="1"/>
    <d v="2026-01-12T00:00:00"/>
    <s v="01899826107"/>
    <s v="01899826107"/>
    <s v="1899826107"/>
    <s v="Valid"/>
    <s v="ela94@khare.info"/>
    <m/>
    <n v="7274.38"/>
    <m/>
    <n v="263"/>
    <n v="263"/>
    <s v="K21"/>
  </r>
  <r>
    <s v="P2234"/>
    <s v="Jhanvi Borde"/>
    <s v="Jhanvi Borde"/>
    <x v="4"/>
    <n v="19"/>
    <n v="19"/>
    <s v="Cardiology"/>
    <s v="Cardiology"/>
    <s v="DR SHARMA"/>
    <s v="Dr Sharma"/>
    <d v="2026-01-18T00:00:00"/>
    <s v="Valid"/>
    <b v="1"/>
    <b v="1"/>
    <d v="2026-01-05T00:00:00"/>
    <s v="+913000001895"/>
    <s v="913000001895"/>
    <s v="3000001895"/>
    <s v="Valid"/>
    <s v="shaan15@bhat.com"/>
    <s v="Y"/>
    <n v="14463.42"/>
    <s v="NO"/>
    <n v="150"/>
    <n v="150"/>
    <s v="J20"/>
  </r>
  <r>
    <s v="P2235"/>
    <s v="Yakshit Chatterjee"/>
    <s v="Yakshit Chatterjee"/>
    <x v="0"/>
    <n v="22"/>
    <n v="22"/>
    <s v="Neurology"/>
    <s v="Neurology"/>
    <s v="Dr. Sharma"/>
    <s v="Dr. Sharma"/>
    <d v="2026-03-02T00:00:00"/>
    <s v="Valid"/>
    <b v="1"/>
    <b v="1"/>
    <d v="2026-02-22T00:00:00"/>
    <s v="05891207857"/>
    <s v="05891207857"/>
    <s v="5891207857"/>
    <s v="Valid"/>
    <s v="madhav72@yahoo.com"/>
    <m/>
    <n v="11085.14"/>
    <s v="Y"/>
    <n v="247"/>
    <n v="247"/>
    <s v="J20"/>
  </r>
  <r>
    <s v="P2236"/>
    <s v="Vritika Bose"/>
    <s v="Vritika Bose"/>
    <x v="2"/>
    <n v="30"/>
    <n v="30"/>
    <s v="Oncology"/>
    <s v="Oncology"/>
    <s v="Dr Mehta"/>
    <s v="Dr Mehta"/>
    <d v="2025-11-21T00:00:00"/>
    <s v="Valid"/>
    <b v="1"/>
    <b v="1"/>
    <d v="2025-11-18T00:00:00"/>
    <s v="03716167667"/>
    <s v="03716167667"/>
    <s v="3716167667"/>
    <s v="Valid"/>
    <s v="hrishita15@gala.com"/>
    <s v="NO"/>
    <n v="13893.65"/>
    <s v="Y"/>
    <n v="114"/>
    <n v="114"/>
    <s v="A09"/>
  </r>
  <r>
    <s v="P2237"/>
    <s v="Pari Hari"/>
    <s v="Pari Hari"/>
    <x v="0"/>
    <n v="70"/>
    <n v="70"/>
    <s v="Pediatrics"/>
    <s v="Pediatrics"/>
    <s v="Dr Rao"/>
    <s v="Dr Rao"/>
    <d v="2026-03-17T00:00:00"/>
    <s v="Valid"/>
    <b v="1"/>
    <b v="1"/>
    <d v="2026-03-02T00:00:00"/>
    <s v="06670141908"/>
    <s v="06670141908"/>
    <s v="6670141908"/>
    <s v="Valid"/>
    <s v="gshetty@hotmail.com"/>
    <s v="Yes"/>
    <n v="9364.61"/>
    <s v="Yes"/>
    <n v="392"/>
    <n v="392"/>
    <s v="M54"/>
  </r>
  <r>
    <s v="P2238"/>
    <s v="Zaina Dora"/>
    <s v="Zaina Dora"/>
    <x v="3"/>
    <n v="67"/>
    <n v="67"/>
    <s v="Orthopedics"/>
    <s v="Orthopedics"/>
    <s v="Dr Khan"/>
    <s v="Dr Khan"/>
    <d v="2026-02-17T00:00:00"/>
    <s v="Valid"/>
    <b v="1"/>
    <b v="1"/>
    <d v="2026-02-08T00:00:00"/>
    <s v="02660193883"/>
    <s v="02660193883"/>
    <s v="2660193883"/>
    <s v="Valid"/>
    <s v="latanehmat@gill.org"/>
    <s v="NO"/>
    <n v="17963.02"/>
    <s v="NO"/>
    <n v="327"/>
    <n v="327"/>
    <s v="M54"/>
  </r>
  <r>
    <s v="P2239"/>
    <s v="Dharmajan Zachariah"/>
    <s v="Dharmajan Zachariah"/>
    <x v="3"/>
    <n v="34"/>
    <n v="34"/>
    <s v="Neurology"/>
    <s v="Neurology"/>
    <s v="Dr Mehta"/>
    <s v="Dr Mehta"/>
    <d v="2026-01-30T00:00:00"/>
    <s v="Valid"/>
    <b v="1"/>
    <b v="1"/>
    <d v="2026-01-22T00:00:00"/>
    <s v="02417740745"/>
    <s v="02417740745"/>
    <s v="2417740745"/>
    <s v="Valid"/>
    <s v="aainasani@ganguly.com"/>
    <s v="NO"/>
    <n v="24217.3"/>
    <s v="NO"/>
    <n v="481"/>
    <n v="481"/>
    <s v="K21"/>
  </r>
  <r>
    <s v="P2241"/>
    <s v="Abram Gokhale"/>
    <s v="Abram Gokhale"/>
    <x v="2"/>
    <n v="5"/>
    <n v="5"/>
    <s v="Dermatology"/>
    <s v="Dermatology"/>
    <s v="Dr Mehta"/>
    <s v="Dr Mehta"/>
    <d v="2026-05-01T00:00:00"/>
    <s v="Valid"/>
    <b v="1"/>
    <b v="1"/>
    <d v="2026-04-02T00:00:00"/>
    <s v="3872451595"/>
    <s v="3872451595"/>
    <s v="3872451595"/>
    <s v="Valid"/>
    <s v="fatehbalasubramanian@yahoo.com"/>
    <s v="N"/>
    <n v="4921.8900000000003"/>
    <s v="Yes"/>
    <n v="424"/>
    <n v="424"/>
    <s v="C34"/>
  </r>
  <r>
    <s v="P2242"/>
    <s v="Hridaan Srinivas"/>
    <s v="Hridaan Srinivas"/>
    <x v="0"/>
    <n v="32"/>
    <n v="32"/>
    <s v="Orthopedics"/>
    <s v="Orthopedics"/>
    <s v="dr priya"/>
    <s v="Dr Priya"/>
    <d v="2025-12-18T00:00:00"/>
    <s v="Valid"/>
    <b v="1"/>
    <b v="1"/>
    <d v="2025-11-21T00:00:00"/>
    <s v="0871995426"/>
    <s v="0871995426"/>
    <s v="0871995426"/>
    <s v="Valid"/>
    <s v="chandasahil@gmail.com"/>
    <s v="NO"/>
    <n v="16899.02"/>
    <s v="Yes"/>
    <n v="340"/>
    <n v="340"/>
    <s v="E11"/>
  </r>
  <r>
    <s v="P2243"/>
    <s v="Ehsaan Madan"/>
    <s v="Ehsaan Madan"/>
    <x v="3"/>
    <n v="24"/>
    <n v="24"/>
    <s v="General Medicine"/>
    <s v="General Medicine"/>
    <s v="Dr. Sharma"/>
    <s v="Dr. Sharma"/>
    <d v="2025-12-22T00:00:00"/>
    <s v="Valid"/>
    <b v="1"/>
    <b v="1"/>
    <d v="2025-12-18T00:00:00"/>
    <s v="2235428765"/>
    <s v="2235428765"/>
    <s v="2235428765"/>
    <s v="Valid"/>
    <s v="baiju89@verma-saxena.info"/>
    <s v="NO"/>
    <n v="15942.36"/>
    <s v="NO"/>
    <n v="364"/>
    <n v="364"/>
    <s v="K21"/>
  </r>
  <r>
    <s v="P2244"/>
    <s v="Rhea Barad"/>
    <s v="Rhea Barad"/>
    <x v="5"/>
    <n v="1"/>
    <n v="1"/>
    <s v="Dermatology"/>
    <s v="Dermatology"/>
    <s v="Dr Mehta"/>
    <s v="Dr Mehta"/>
    <d v="2026-02-10T00:00:00"/>
    <s v="Valid"/>
    <b v="1"/>
    <b v="1"/>
    <d v="2026-01-26T00:00:00"/>
    <s v="+913642850397"/>
    <s v="913642850397"/>
    <s v="3642850397"/>
    <s v="Valid"/>
    <s v="dubevidur@sama.com"/>
    <s v="NO"/>
    <n v="17807.759999999998"/>
    <s v="Yes"/>
    <n v="314"/>
    <n v="314"/>
    <s v="C34"/>
  </r>
  <r>
    <s v="P2245"/>
    <s v="Lavanya Char"/>
    <s v="Lavanya Char"/>
    <x v="0"/>
    <n v="79"/>
    <n v="79"/>
    <s v="Dermatology"/>
    <s v="Dermatology"/>
    <s v="DR SHARMA"/>
    <s v="Dr Sharma"/>
    <d v="2026-03-01T00:00:00"/>
    <s v="Valid"/>
    <b v="1"/>
    <b v="1"/>
    <d v="2026-02-09T00:00:00"/>
    <s v="+919644168251"/>
    <s v="919644168251"/>
    <s v="9644168251"/>
    <s v="Valid"/>
    <s v="kaulelakshi@kala.com"/>
    <s v="N"/>
    <n v="12208.98"/>
    <s v="Y"/>
    <n v="549"/>
    <n v="549"/>
    <s v="J20"/>
  </r>
  <r>
    <s v="P2246"/>
    <s v="Inaaya  Keer"/>
    <s v="Inaaya Keer"/>
    <x v="5"/>
    <n v="38"/>
    <n v="38"/>
    <s v="General Medicine"/>
    <s v="General Medicine"/>
    <s v="Dr Khan"/>
    <s v="Dr Khan"/>
    <d v="2026-01-29T00:00:00"/>
    <s v="Valid"/>
    <b v="1"/>
    <b v="1"/>
    <d v="2026-01-04T00:00:00"/>
    <s v="+913356117664"/>
    <s v="913356117664"/>
    <s v="3356117664"/>
    <s v="Valid"/>
    <s v="ygill@raju-sandal.org"/>
    <m/>
    <n v="15026.48"/>
    <m/>
    <n v="251"/>
    <n v="251"/>
    <s v="I10"/>
  </r>
  <r>
    <s v="P2247"/>
    <s v="Trisha Kapadia"/>
    <s v="Trisha Kapadia"/>
    <x v="5"/>
    <n v="15"/>
    <n v="15"/>
    <s v="Oncology"/>
    <s v="Oncology"/>
    <s v="dr priya"/>
    <s v="Dr Priya"/>
    <d v="2026-02-03T00:00:00"/>
    <s v="Valid"/>
    <b v="1"/>
    <b v="1"/>
    <d v="2026-01-20T00:00:00"/>
    <s v="0444800845"/>
    <s v="0444800845"/>
    <s v="0444800845"/>
    <s v="Valid"/>
    <s v="qgrover@karnik.com"/>
    <s v="N"/>
    <n v="6335.43"/>
    <m/>
    <n v="159"/>
    <n v="159"/>
    <s v="E11"/>
  </r>
  <r>
    <s v="P2248"/>
    <s v="Mishti Dugar"/>
    <s v="Mishti Dugar"/>
    <x v="3"/>
    <n v="41"/>
    <n v="41"/>
    <s v="Neurology"/>
    <s v="Neurology"/>
    <s v="dr priya"/>
    <s v="Dr Priya"/>
    <d v="2026-05-08T00:00:00"/>
    <s v="Valid"/>
    <b v="1"/>
    <b v="1"/>
    <d v="2026-04-16T00:00:00"/>
    <s v="03239542865"/>
    <s v="03239542865"/>
    <s v="3239542865"/>
    <s v="Valid"/>
    <s v="vihaanchanda@manda.net"/>
    <m/>
    <n v="17679.509999999998"/>
    <m/>
    <n v="530"/>
    <n v="530"/>
    <s v="K21"/>
  </r>
  <r>
    <s v="P2250"/>
    <s v="Yuvaan Mall"/>
    <s v="Yuvaan Mall"/>
    <x v="1"/>
    <n v="8"/>
    <n v="8"/>
    <s v="ENT"/>
    <s v="ENT"/>
    <s v="Dr. Sharma"/>
    <s v="Dr. Sharma"/>
    <d v="2025-12-18T00:00:00"/>
    <s v="Valid"/>
    <b v="1"/>
    <b v="1"/>
    <d v="2025-11-27T00:00:00"/>
    <s v="8167722781"/>
    <s v="8167722781"/>
    <s v="8167722781"/>
    <s v="Valid"/>
    <s v="kibeprerak@sheth-agrawal.org"/>
    <s v="N"/>
    <n v="10398.48"/>
    <m/>
    <n v="317"/>
    <n v="317"/>
    <s v="M54"/>
  </r>
  <r>
    <s v="P2251"/>
    <s v="Diya Bala"/>
    <s v="Diya Bala"/>
    <x v="0"/>
    <n v="7"/>
    <n v="7"/>
    <s v="Oncology"/>
    <s v="Oncology"/>
    <s v="Dr Khan"/>
    <s v="Dr Khan"/>
    <d v="2026-05-30T00:00:00"/>
    <s v="Valid"/>
    <b v="1"/>
    <b v="1"/>
    <d v="2026-05-07T00:00:00"/>
    <s v="+916614894683"/>
    <s v="916614894683"/>
    <s v="6614894683"/>
    <s v="Valid"/>
    <s v="aarna14@gmail.com"/>
    <s v="NO"/>
    <n v="8628.07"/>
    <s v="Yes"/>
    <n v="257"/>
    <n v="257"/>
    <s v="M54"/>
  </r>
  <r>
    <s v="P2252"/>
    <s v="Veer Bal"/>
    <s v="Veer Bal"/>
    <x v="1"/>
    <n v="29"/>
    <n v="29"/>
    <s v="Orthopedics"/>
    <s v="Orthopedics"/>
    <s v="DR SHARMA"/>
    <s v="Dr Sharma"/>
    <d v="2026-03-30T00:00:00"/>
    <s v="Valid"/>
    <b v="1"/>
    <b v="1"/>
    <d v="2026-03-06T00:00:00"/>
    <s v="03122288891"/>
    <s v="03122288891"/>
    <s v="3122288891"/>
    <s v="Valid"/>
    <s v="madhup97@yahoo.com"/>
    <s v="NO"/>
    <n v="23707.37"/>
    <s v="NO"/>
    <n v="166"/>
    <n v="166"/>
    <s v="A09"/>
  </r>
  <r>
    <s v="P2253"/>
    <s v="Kanav Randhawa"/>
    <s v="Kanav Randhawa"/>
    <x v="0"/>
    <n v="3"/>
    <n v="3"/>
    <s v="Dermatology"/>
    <s v="Dermatology"/>
    <s v="Dr Mehta"/>
    <s v="Dr Mehta"/>
    <d v="2026-03-07T00:00:00"/>
    <s v="Valid"/>
    <b v="1"/>
    <b v="1"/>
    <d v="2026-02-11T00:00:00"/>
    <s v="1991266705"/>
    <s v="1991266705"/>
    <s v="1991266705"/>
    <s v="Valid"/>
    <s v="qchakrabarti@gmail.com"/>
    <s v="N"/>
    <n v="22823.27"/>
    <s v="NO"/>
    <n v="435"/>
    <n v="435"/>
    <s v="I10"/>
  </r>
  <r>
    <s v="P2254"/>
    <s v="Nitya Sachdev"/>
    <s v="Nitya Sachdev"/>
    <x v="5"/>
    <n v="47"/>
    <n v="47"/>
    <s v="Pediatrics"/>
    <s v="Pediatrics"/>
    <s v="Dr Mehta"/>
    <s v="Dr Mehta"/>
    <d v="2026-02-08T00:00:00"/>
    <s v="Valid"/>
    <b v="1"/>
    <b v="1"/>
    <d v="2026-01-13T00:00:00"/>
    <s v="08680573863"/>
    <s v="08680573863"/>
    <s v="8680573863"/>
    <s v="Valid"/>
    <s v="zainchacko@rege.net"/>
    <m/>
    <n v="21521.13"/>
    <s v="N"/>
    <n v="248"/>
    <n v="248"/>
    <s v="K21"/>
  </r>
  <r>
    <s v="P2255"/>
    <s v="Prerak Samra"/>
    <s v="Prerak Samra"/>
    <x v="4"/>
    <n v="48"/>
    <n v="48"/>
    <s v="ENT"/>
    <s v="ENT"/>
    <s v="dr priya"/>
    <s v="Dr Priya"/>
    <d v="2026-01-26T00:00:00"/>
    <s v="Valid"/>
    <b v="1"/>
    <b v="1"/>
    <d v="2026-01-20T00:00:00"/>
    <s v="09265029545"/>
    <s v="09265029545"/>
    <s v="9265029545"/>
    <s v="Valid"/>
    <s v="khuranaindrans@yahoo.com"/>
    <s v="NO"/>
    <n v="23512.34"/>
    <s v="Yes"/>
    <n v="532"/>
    <n v="532"/>
    <s v="I10"/>
  </r>
  <r>
    <s v="P2256"/>
    <s v="Charvi Anne"/>
    <s v="Charvi Anne"/>
    <x v="2"/>
    <n v="65"/>
    <n v="65"/>
    <s v="Dermatology"/>
    <s v="Dermatology"/>
    <s v="Dr Khan"/>
    <s v="Dr Khan"/>
    <d v="2026-03-08T00:00:00"/>
    <s v="Valid"/>
    <b v="1"/>
    <b v="1"/>
    <d v="2026-03-07T00:00:00"/>
    <s v="03147758955"/>
    <s v="03147758955"/>
    <s v="3147758955"/>
    <s v="Valid"/>
    <s v="bhargavaanaya@dhingra.org"/>
    <s v="Yes"/>
    <n v="7220.63"/>
    <s v="Yes"/>
    <n v="217"/>
    <n v="217"/>
    <s v="C34"/>
  </r>
  <r>
    <s v="P2257"/>
    <s v="Divit Deshmukh"/>
    <s v="Divit Deshmukh"/>
    <x v="5"/>
    <n v="5"/>
    <n v="5"/>
    <s v="Oncology"/>
    <s v="Oncology"/>
    <s v="Dr Mehta"/>
    <s v="Dr Mehta"/>
    <d v="2026-05-12T00:00:00"/>
    <s v="Valid"/>
    <b v="1"/>
    <b v="1"/>
    <d v="2026-04-16T00:00:00"/>
    <s v="03117880937"/>
    <s v="03117880937"/>
    <s v="3117880937"/>
    <s v="Valid"/>
    <s v="renee46@dyal.info"/>
    <m/>
    <n v="16450.84"/>
    <s v="Y"/>
    <n v="518"/>
    <n v="518"/>
    <s v="C34"/>
  </r>
  <r>
    <s v="P2258"/>
    <s v="Tushar Jaggi"/>
    <s v="Tushar Jaggi"/>
    <x v="0"/>
    <n v="11"/>
    <n v="11"/>
    <s v="Neurology"/>
    <s v="Neurology"/>
    <s v="Dr Mehta"/>
    <s v="Dr Mehta"/>
    <d v="2026-01-01T00:00:00"/>
    <s v="Valid"/>
    <b v="1"/>
    <b v="1"/>
    <d v="2025-12-16T00:00:00"/>
    <s v="00043970214"/>
    <s v="00043970214"/>
    <s v="0043970214"/>
    <s v="Valid"/>
    <s v="handahimmat@baral-kamdar.com"/>
    <m/>
    <n v="699.82"/>
    <s v="Y"/>
    <n v="148"/>
    <n v="148"/>
    <s v="C34"/>
  </r>
  <r>
    <s v="P2259"/>
    <s v="Romil Ramanathan"/>
    <s v="Romil Ramanathan"/>
    <x v="1"/>
    <n v="25"/>
    <n v="25"/>
    <s v="Oncology"/>
    <s v="Oncology"/>
    <s v="dr priya"/>
    <s v="Dr Priya"/>
    <d v="2026-03-25T00:00:00"/>
    <s v="Valid"/>
    <b v="1"/>
    <b v="1"/>
    <d v="2026-03-12T00:00:00"/>
    <s v="04415564689"/>
    <s v="04415564689"/>
    <s v="4415564689"/>
    <s v="Valid"/>
    <s v="kiaan18@dewan-balasubramanian.com"/>
    <s v="Yes"/>
    <n v="7693.42"/>
    <m/>
    <n v="203"/>
    <n v="203"/>
    <s v="I10"/>
  </r>
  <r>
    <s v="P2262"/>
    <s v="Eshani Balan"/>
    <s v="Eshani Balan"/>
    <x v="2"/>
    <n v="58"/>
    <n v="58"/>
    <s v="Pediatrics"/>
    <s v="Pediatrics"/>
    <s v="Dr Rao"/>
    <s v="Dr Rao"/>
    <d v="2026-04-29T00:00:00"/>
    <s v="Valid"/>
    <b v="1"/>
    <b v="1"/>
    <d v="2026-04-17T00:00:00"/>
    <s v="9437153273"/>
    <s v="9437153273"/>
    <s v="9437153273"/>
    <s v="Valid"/>
    <s v="rajagopalsamarth@gmail.com"/>
    <s v="NO"/>
    <n v="11287.72"/>
    <m/>
    <n v="388"/>
    <n v="388"/>
    <s v="I10"/>
  </r>
  <r>
    <s v="P2263"/>
    <s v="Nehmat Saxena"/>
    <s v="Nehmat Saxena"/>
    <x v="0"/>
    <n v="43"/>
    <n v="43"/>
    <s v="Orthopedics"/>
    <s v="Orthopedics"/>
    <s v="Dr Mehta"/>
    <s v="Dr Mehta"/>
    <d v="2025-11-30T00:00:00"/>
    <s v="Valid"/>
    <b v="1"/>
    <b v="1"/>
    <d v="2025-11-27T00:00:00"/>
    <s v="09369403302"/>
    <s v="09369403302"/>
    <s v="9369403302"/>
    <s v="Valid"/>
    <s v="kohlinitara@hotmail.com"/>
    <s v="Yes"/>
    <n v="5350.51"/>
    <m/>
    <n v="403"/>
    <n v="403"/>
    <s v="E11"/>
  </r>
  <r>
    <s v="P2264"/>
    <s v="Baiju Chopra"/>
    <s v="Baiju Chopra"/>
    <x v="2"/>
    <n v="19"/>
    <n v="19"/>
    <s v="Dermatology"/>
    <s v="Dermatology"/>
    <s v="Dr Khan"/>
    <s v="Dr Khan"/>
    <d v="2026-01-22T00:00:00"/>
    <s v="Valid"/>
    <b v="1"/>
    <b v="1"/>
    <d v="2026-01-06T00:00:00"/>
    <s v="3401854967"/>
    <s v="3401854967"/>
    <s v="3401854967"/>
    <s v="Valid"/>
    <s v="kimayasrinivasan@hotmail.com"/>
    <s v="NO"/>
    <n v="1661.54"/>
    <m/>
    <n v="229"/>
    <n v="229"/>
    <s v="M54"/>
  </r>
  <r>
    <s v="P2265"/>
    <s v="Shlok Kapoor"/>
    <s v="Shlok Kapoor"/>
    <x v="0"/>
    <n v="44"/>
    <n v="44"/>
    <s v="Orthopedics"/>
    <s v="Orthopedics"/>
    <s v="Dr Rao"/>
    <s v="Dr Rao"/>
    <d v="2026-01-20T00:00:00"/>
    <s v="Valid"/>
    <b v="1"/>
    <b v="1"/>
    <d v="2026-01-10T00:00:00"/>
    <s v="4257767544"/>
    <s v="4257767544"/>
    <s v="4257767544"/>
    <s v="Valid"/>
    <s v="kartik19@andra-manne.net"/>
    <m/>
    <n v="21811.41"/>
    <s v="Yes"/>
    <n v="453"/>
    <n v="453"/>
    <s v="E11"/>
  </r>
  <r>
    <s v="P2266"/>
    <s v="Miraan Mannan"/>
    <s v="Miraan Mannan"/>
    <x v="3"/>
    <n v="70"/>
    <n v="70"/>
    <s v="General Medicine"/>
    <s v="General Medicine"/>
    <s v="dr priya"/>
    <s v="Dr Priya"/>
    <d v="2026-02-26T00:00:00"/>
    <s v="Valid"/>
    <b v="1"/>
    <b v="1"/>
    <d v="2026-01-27T00:00:00"/>
    <s v="+912608673334"/>
    <s v="912608673334"/>
    <s v="2608673334"/>
    <s v="Valid"/>
    <s v="dhanushkamdar@hotmail.com"/>
    <s v="NO"/>
    <n v="8181.58"/>
    <m/>
    <n v="363"/>
    <n v="363"/>
    <s v="A09"/>
  </r>
  <r>
    <s v="P2267"/>
    <s v="Adah Walla"/>
    <s v="Adah Walla"/>
    <x v="2"/>
    <n v="14"/>
    <n v="14"/>
    <s v="Dermatology"/>
    <s v="Dermatology"/>
    <s v="Dr Mehta"/>
    <s v="Dr Mehta"/>
    <d v="2026-03-08T00:00:00"/>
    <s v="Valid"/>
    <b v="1"/>
    <b v="1"/>
    <d v="2026-02-24T00:00:00"/>
    <s v="00523140912"/>
    <s v="00523140912"/>
    <s v="0523140912"/>
    <s v="Valid"/>
    <s v="xbedi@chaudhuri-sharaf.com"/>
    <s v="Yes"/>
    <n v="18970.79"/>
    <s v="Y"/>
    <n v="366"/>
    <n v="366"/>
    <s v="C34"/>
  </r>
  <r>
    <s v="P2268"/>
    <s v="Ivan Rana"/>
    <s v="Ivan Rana"/>
    <x v="2"/>
    <n v="22"/>
    <n v="22"/>
    <s v="Pediatrics"/>
    <s v="Pediatrics"/>
    <s v="Dr Khan"/>
    <s v="Dr Khan"/>
    <d v="2026-05-14T00:00:00"/>
    <s v="Valid"/>
    <b v="1"/>
    <b v="1"/>
    <d v="2026-04-17T00:00:00"/>
    <s v="+917415510271"/>
    <s v="917415510271"/>
    <s v="7415510271"/>
    <s v="Valid"/>
    <s v="prerak17@kothari-jain.biz"/>
    <s v="NO"/>
    <n v="1168.74"/>
    <m/>
    <n v="353"/>
    <n v="353"/>
    <s v="E11"/>
  </r>
  <r>
    <s v="P2270"/>
    <s v="Shanaya Raja"/>
    <s v="Shanaya Raja"/>
    <x v="0"/>
    <n v="67"/>
    <n v="67"/>
    <s v="ENT"/>
    <s v="ENT"/>
    <s v="dr priya"/>
    <s v="Dr Priya"/>
    <d v="2026-04-10T00:00:00"/>
    <s v="Valid"/>
    <b v="1"/>
    <b v="1"/>
    <d v="2026-03-23T00:00:00"/>
    <s v="8751238813"/>
    <s v="8751238813"/>
    <s v="8751238813"/>
    <s v="Valid"/>
    <s v="udhingra@hotmail.com"/>
    <s v="Yes"/>
    <n v="3709.64"/>
    <s v="N"/>
    <n v="511"/>
    <n v="511"/>
    <s v="A09"/>
  </r>
  <r>
    <s v="P2271"/>
    <s v="Romil Bansal"/>
    <s v="Romil Bansal"/>
    <x v="2"/>
    <n v="67"/>
    <n v="67"/>
    <s v="Oncology"/>
    <s v="Oncology"/>
    <s v="Dr Khan"/>
    <s v="Dr Khan"/>
    <d v="2026-04-19T00:00:00"/>
    <s v="Valid"/>
    <b v="1"/>
    <b v="1"/>
    <d v="2026-04-05T00:00:00"/>
    <s v="1849925221"/>
    <s v="1849925221"/>
    <s v="1849925221"/>
    <s v="Valid"/>
    <s v="kartikbaria@gmail.com"/>
    <s v="NO"/>
    <n v="23417.82"/>
    <s v="Y"/>
    <n v="184"/>
    <n v="184"/>
    <s v="A09"/>
  </r>
  <r>
    <s v="P2272"/>
    <s v="Anika Boase"/>
    <s v="Anika Boase"/>
    <x v="3"/>
    <n v="2"/>
    <n v="2"/>
    <s v="ENT"/>
    <s v="ENT"/>
    <s v="dr priya"/>
    <s v="Dr Priya"/>
    <d v="2026-03-31T00:00:00"/>
    <s v="Valid"/>
    <b v="1"/>
    <b v="1"/>
    <d v="2026-03-26T00:00:00"/>
    <s v="5865543293"/>
    <s v="5865543293"/>
    <s v="5865543293"/>
    <s v="Valid"/>
    <s v="manikyasarna@hotmail.com"/>
    <s v="Yes"/>
    <n v="11868.24"/>
    <s v="Yes"/>
    <n v="259"/>
    <n v="259"/>
    <s v="C34"/>
  </r>
  <r>
    <s v="P2273"/>
    <s v="Vritika Dutt"/>
    <s v="Vritika Dutt"/>
    <x v="5"/>
    <n v="26"/>
    <n v="26"/>
    <s v="Neurology"/>
    <s v="Neurology"/>
    <s v="Dr Khan"/>
    <s v="Dr Khan"/>
    <d v="2026-04-27T00:00:00"/>
    <s v="Valid"/>
    <b v="1"/>
    <b v="1"/>
    <d v="2026-04-17T00:00:00"/>
    <s v="03491128593"/>
    <s v="03491128593"/>
    <s v="3491128593"/>
    <s v="Valid"/>
    <s v="parichar@hotmail.com"/>
    <s v="NO"/>
    <n v="1715.47"/>
    <m/>
    <n v="404"/>
    <n v="404"/>
    <s v="E11"/>
  </r>
  <r>
    <s v="P2274"/>
    <s v="Jivika Chahal"/>
    <s v="Jivika Chahal"/>
    <x v="2"/>
    <n v="45"/>
    <n v="45"/>
    <s v="Pediatrics"/>
    <s v="Pediatrics"/>
    <s v="dr priya"/>
    <s v="Dr Priya"/>
    <d v="2026-01-31T00:00:00"/>
    <s v="Valid"/>
    <b v="1"/>
    <b v="1"/>
    <d v="2026-01-11T00:00:00"/>
    <s v="05058637648"/>
    <s v="05058637648"/>
    <s v="5058637648"/>
    <s v="Valid"/>
    <s v="zjoshi@yohannan.org"/>
    <s v="Yes"/>
    <n v="23211.41"/>
    <s v="Yes"/>
    <n v="245"/>
    <n v="245"/>
    <s v="K21"/>
  </r>
  <r>
    <s v="P2275"/>
    <s v="Ojas Yadav"/>
    <s v="Ojas Yadav"/>
    <x v="1"/>
    <n v="75"/>
    <n v="75"/>
    <s v="Oncology"/>
    <s v="Oncology"/>
    <s v="dr priya"/>
    <s v="Dr Priya"/>
    <d v="2026-02-08T00:00:00"/>
    <s v="Valid"/>
    <b v="1"/>
    <b v="1"/>
    <d v="2026-01-20T00:00:00"/>
    <s v="05313317336"/>
    <s v="05313317336"/>
    <s v="5313317336"/>
    <s v="Valid"/>
    <s v="anikaupadhyay@yahoo.com"/>
    <m/>
    <n v="23370.84"/>
    <s v="N"/>
    <n v="139"/>
    <n v="139"/>
    <s v="A09"/>
  </r>
  <r>
    <s v="P2276"/>
    <s v="Advika Savant"/>
    <s v="Advika Savant"/>
    <x v="4"/>
    <n v="14"/>
    <n v="14"/>
    <s v="Pediatrics"/>
    <s v="Pediatrics"/>
    <s v="Dr. Sharma"/>
    <s v="Dr. Sharma"/>
    <d v="2026-02-15T00:00:00"/>
    <s v="Valid"/>
    <b v="1"/>
    <b v="1"/>
    <d v="2026-02-10T00:00:00"/>
    <s v="8000209677"/>
    <s v="8000209677"/>
    <s v="8000209677"/>
    <s v="Valid"/>
    <s v="yasmin19@kala-baria.com"/>
    <s v="Y"/>
    <n v="14178.76"/>
    <s v="Y"/>
    <n v="508"/>
    <n v="508"/>
    <s v="A09"/>
  </r>
  <r>
    <s v="P2277"/>
    <s v="Veer Sule"/>
    <s v="Veer Sule"/>
    <x v="1"/>
    <n v="43"/>
    <n v="43"/>
    <s v="Oncology"/>
    <s v="Oncology"/>
    <s v="Dr Khan"/>
    <s v="Dr Khan"/>
    <d v="2025-12-23T00:00:00"/>
    <s v="Valid"/>
    <b v="1"/>
    <b v="1"/>
    <d v="2025-12-17T00:00:00"/>
    <s v="06032131558"/>
    <s v="06032131558"/>
    <s v="6032131558"/>
    <s v="Valid"/>
    <s v="rkota@seshadri-gill.info"/>
    <s v="Yes"/>
    <n v="266.24"/>
    <s v="N"/>
    <n v="210"/>
    <n v="210"/>
    <s v="I10"/>
  </r>
  <r>
    <s v="P2278"/>
    <s v="Kanav Chana"/>
    <s v="Kanav Chana"/>
    <x v="4"/>
    <n v="19"/>
    <n v="19"/>
    <s v="Orthopedics"/>
    <s v="Orthopedics"/>
    <s v="Dr Khan"/>
    <s v="Dr Khan"/>
    <d v="2026-02-24T00:00:00"/>
    <s v="Valid"/>
    <b v="1"/>
    <b v="1"/>
    <d v="2026-01-28T00:00:00"/>
    <s v="7824411765"/>
    <s v="7824411765"/>
    <s v="7824411765"/>
    <s v="Valid"/>
    <s v="mtailor@gmail.com"/>
    <s v="Yes"/>
    <n v="8218.7800000000007"/>
    <s v="Yes"/>
    <n v="170"/>
    <n v="170"/>
    <s v="A09"/>
  </r>
  <r>
    <s v="P2279"/>
    <s v="Chirag Dada"/>
    <s v="Chirag Dada"/>
    <x v="3"/>
    <n v="55"/>
    <n v="55"/>
    <s v="General Medicine"/>
    <s v="General Medicine"/>
    <s v="dr priya"/>
    <s v="Dr Priya"/>
    <d v="2025-11-29T00:00:00"/>
    <s v="Valid"/>
    <b v="1"/>
    <b v="1"/>
    <d v="2025-11-20T00:00:00"/>
    <s v="+918393480958"/>
    <s v="918393480958"/>
    <s v="8393480958"/>
    <s v="Valid"/>
    <s v="gatiksem@yahoo.com"/>
    <s v="NO"/>
    <n v="6171.17"/>
    <m/>
    <n v="293"/>
    <n v="293"/>
    <s v="K21"/>
  </r>
  <r>
    <s v="P2280"/>
    <s v="Vidur Kapadia"/>
    <s v="Vidur Kapadia"/>
    <x v="1"/>
    <n v="61"/>
    <n v="61"/>
    <s v="ENT"/>
    <s v="ENT"/>
    <s v="Dr. Sharma"/>
    <s v="Dr. Sharma"/>
    <d v="2026-01-27T00:00:00"/>
    <s v="Valid"/>
    <b v="1"/>
    <b v="1"/>
    <d v="2026-01-01T00:00:00"/>
    <s v="+919445252249"/>
    <s v="919445252249"/>
    <s v="9445252249"/>
    <s v="Valid"/>
    <m/>
    <s v="N"/>
    <n v="-500"/>
    <s v="N"/>
    <n v="185"/>
    <n v="185"/>
    <s v="C34"/>
  </r>
  <r>
    <s v="P2281"/>
    <s v="Zeeshan Bail"/>
    <s v="Zeeshan Bail"/>
    <x v="0"/>
    <n v="19"/>
    <n v="19"/>
    <s v="Dermatology"/>
    <s v="Dermatology"/>
    <s v="Dr Khan"/>
    <s v="Dr Khan"/>
    <d v="2026-01-01T00:00:00"/>
    <s v="Valid"/>
    <b v="1"/>
    <b v="1"/>
    <d v="2025-12-17T00:00:00"/>
    <s v="06509288338"/>
    <s v="06509288338"/>
    <s v="6509288338"/>
    <s v="Valid"/>
    <s v="shalvhegde@walia.com"/>
    <s v="Y"/>
    <n v="17197.12"/>
    <m/>
    <n v="433"/>
    <n v="433"/>
    <s v="J20"/>
  </r>
  <r>
    <s v="P2282"/>
    <s v="Arhaan Goyal"/>
    <s v="Arhaan Goyal"/>
    <x v="4"/>
    <n v="4"/>
    <n v="4"/>
    <s v="ENT"/>
    <s v="ENT"/>
    <s v="Dr Khan"/>
    <s v="Dr Khan"/>
    <d v="2026-03-11T00:00:00"/>
    <s v="Valid"/>
    <b v="1"/>
    <b v="1"/>
    <d v="2026-02-15T00:00:00"/>
    <s v="+916197613704"/>
    <s v="916197613704"/>
    <s v="6197613704"/>
    <s v="Valid"/>
    <s v="shayakdeshpande@chatterjee-bhattacharyya.com"/>
    <s v="N"/>
    <n v="18266.59"/>
    <s v="N"/>
    <n v="415"/>
    <n v="415"/>
    <s v="A09"/>
  </r>
  <r>
    <s v="P2283"/>
    <s v="Hridaan Wali"/>
    <s v="Hridaan Wali"/>
    <x v="5"/>
    <n v="49"/>
    <n v="49"/>
    <s v="ENT"/>
    <s v="ENT"/>
    <s v="Dr Mehta"/>
    <s v="Dr Mehta"/>
    <d v="2026-02-22T00:00:00"/>
    <s v="Valid"/>
    <b v="1"/>
    <b v="1"/>
    <d v="2026-01-24T00:00:00"/>
    <s v="04928012159"/>
    <s v="04928012159"/>
    <s v="4928012159"/>
    <s v="Valid"/>
    <s v="vidur26@hotmail.com"/>
    <s v="Yes"/>
    <n v="5056.7299999999996"/>
    <s v="NO"/>
    <n v="369"/>
    <n v="369"/>
    <s v="E11"/>
  </r>
  <r>
    <s v="P2284"/>
    <s v="Kanav Batta"/>
    <s v="Kanav Batta"/>
    <x v="0"/>
    <n v="76"/>
    <n v="76"/>
    <s v="Oncology"/>
    <s v="Oncology"/>
    <s v="dr priya"/>
    <s v="Dr Priya"/>
    <d v="2026-01-07T00:00:00"/>
    <s v="Valid"/>
    <b v="1"/>
    <b v="1"/>
    <d v="2026-01-04T00:00:00"/>
    <s v="7703216860"/>
    <s v="7703216860"/>
    <s v="7703216860"/>
    <s v="Valid"/>
    <s v="raghav52@gmail.com"/>
    <s v="N"/>
    <n v="22912.02"/>
    <s v="Yes"/>
    <n v="410"/>
    <n v="410"/>
    <s v="J20"/>
  </r>
  <r>
    <s v="P2285"/>
    <s v="Darshit Raval"/>
    <s v="Darshit Raval"/>
    <x v="0"/>
    <n v="83"/>
    <n v="83"/>
    <s v="Oncology"/>
    <s v="Oncology"/>
    <s v="Dr Khan"/>
    <s v="Dr Khan"/>
    <d v="2026-02-03T00:00:00"/>
    <s v="Valid"/>
    <b v="1"/>
    <b v="1"/>
    <d v="2026-01-22T00:00:00"/>
    <s v="+915917234639"/>
    <s v="915917234639"/>
    <s v="5917234639"/>
    <s v="Valid"/>
    <s v="dsengupta@yahoo.com"/>
    <s v="Yes"/>
    <n v="24894.3"/>
    <s v="Yes"/>
    <n v="240"/>
    <n v="240"/>
    <s v="C34"/>
  </r>
  <r>
    <s v="P2286"/>
    <s v="Hunar Seth"/>
    <s v="Hunar Seth"/>
    <x v="0"/>
    <n v="74"/>
    <n v="74"/>
    <s v="Cardiology"/>
    <s v="Cardiology"/>
    <s v="Dr Khan"/>
    <s v="Dr Khan"/>
    <d v="2026-02-20T00:00:00"/>
    <s v="Valid"/>
    <b v="1"/>
    <b v="1"/>
    <d v="2026-02-01T00:00:00"/>
    <s v="6449663948"/>
    <s v="6449663948"/>
    <s v="6449663948"/>
    <s v="Valid"/>
    <s v="bsuri@hari.com"/>
    <m/>
    <n v="12359.45"/>
    <m/>
    <n v="483"/>
    <n v="483"/>
    <s v="K21"/>
  </r>
  <r>
    <s v="P2287"/>
    <s v="Ranbir Bhat"/>
    <s v="Ranbir Bhat"/>
    <x v="2"/>
    <n v="5"/>
    <n v="5"/>
    <s v="ENT"/>
    <s v="ENT"/>
    <s v="Dr Rao"/>
    <s v="Dr Rao"/>
    <d v="2025-12-28T00:00:00"/>
    <s v="Valid"/>
    <b v="1"/>
    <b v="1"/>
    <d v="2025-12-09T00:00:00"/>
    <s v="+918014370455"/>
    <s v="918014370455"/>
    <s v="8014370455"/>
    <s v="Valid"/>
    <s v="devanshtoor@hayer.com"/>
    <s v="Yes"/>
    <n v="17699.86"/>
    <s v="Y"/>
    <n v="545"/>
    <n v="545"/>
    <s v="K21"/>
  </r>
  <r>
    <s v="P2288"/>
    <s v="Zara Krishnamurthy"/>
    <s v="Zara Krishnamurthy"/>
    <x v="4"/>
    <n v="11"/>
    <n v="11"/>
    <s v="Dermatology"/>
    <s v="Dermatology"/>
    <s v="Dr Mehta"/>
    <s v="Dr Mehta"/>
    <d v="2026-03-29T00:00:00"/>
    <s v="Valid"/>
    <b v="1"/>
    <b v="1"/>
    <d v="2026-03-28T00:00:00"/>
    <s v="09783315443"/>
    <s v="09783315443"/>
    <s v="9783315443"/>
    <s v="Valid"/>
    <s v="bahriheer@yogi-rout.net"/>
    <m/>
    <n v="16009.46"/>
    <s v="Yes"/>
    <n v="260"/>
    <n v="260"/>
    <s v="I10"/>
  </r>
  <r>
    <s v="P2289"/>
    <s v="Ivana Goswami"/>
    <s v="Ivana Goswami"/>
    <x v="0"/>
    <n v="25"/>
    <n v="25"/>
    <s v="Cardiology"/>
    <s v="Cardiology"/>
    <s v="dr priya"/>
    <s v="Dr Priya"/>
    <d v="2026-01-05T00:00:00"/>
    <s v="Valid"/>
    <b v="1"/>
    <b v="1"/>
    <d v="2025-12-10T00:00:00"/>
    <s v="+919465120156"/>
    <s v="919465120156"/>
    <s v="9465120156"/>
    <s v="Valid"/>
    <s v="samar56@sant-chaudhary.info"/>
    <s v="N"/>
    <n v="22463.86"/>
    <s v="Y"/>
    <n v="400"/>
    <n v="400"/>
    <s v="C34"/>
  </r>
  <r>
    <s v="P2290"/>
    <s v="Pari Dubey"/>
    <s v="Pari Dubey"/>
    <x v="2"/>
    <n v="67"/>
    <n v="67"/>
    <s v="Cardiology"/>
    <s v="Cardiology"/>
    <s v="dr priya"/>
    <s v="Dr Priya"/>
    <d v="2025-12-30T00:00:00"/>
    <s v="Valid"/>
    <b v="1"/>
    <b v="1"/>
    <d v="2025-12-17T00:00:00"/>
    <s v="01375563116"/>
    <s v="01375563116"/>
    <s v="1375563116"/>
    <s v="Valid"/>
    <s v="daminiagarwal@hotmail.com"/>
    <s v="Yes"/>
    <n v="1810.88"/>
    <s v="Y"/>
    <n v="473"/>
    <n v="473"/>
    <s v="J20"/>
  </r>
  <r>
    <s v="P2291"/>
    <s v="Zaina Varma"/>
    <s v="Zaina Varma"/>
    <x v="2"/>
    <n v="23"/>
    <n v="23"/>
    <s v="General Medicine"/>
    <s v="General Medicine"/>
    <s v="Dr Rao"/>
    <s v="Dr Rao"/>
    <d v="2026-03-21T00:00:00"/>
    <s v="Valid"/>
    <b v="1"/>
    <b v="1"/>
    <d v="2026-03-13T00:00:00"/>
    <s v="+917267462581"/>
    <s v="917267462581"/>
    <s v="7267462581"/>
    <s v="Valid"/>
    <s v="fkeer@yahoo.com"/>
    <s v="NO"/>
    <n v="17280.169999999998"/>
    <m/>
    <n v="188"/>
    <n v="188"/>
    <s v="C34"/>
  </r>
  <r>
    <s v="P2292"/>
    <s v="Aaryahi Ramaswamy"/>
    <s v="Aaryahi Ramaswamy"/>
    <x v="0"/>
    <n v="40"/>
    <n v="40"/>
    <s v="Oncology"/>
    <s v="Oncology"/>
    <s v="dr priya"/>
    <s v="Dr Priya"/>
    <d v="2026-03-03T00:00:00"/>
    <s v="Valid"/>
    <b v="1"/>
    <b v="1"/>
    <d v="2026-02-28T00:00:00"/>
    <s v="+912670588093"/>
    <s v="912670588093"/>
    <s v="2670588093"/>
    <s v="Valid"/>
    <s v="thari@gmail.com"/>
    <s v="N"/>
    <n v="11763.06"/>
    <s v="NO"/>
    <n v="389"/>
    <n v="389"/>
    <s v="M54"/>
  </r>
  <r>
    <s v="P2293"/>
    <s v="Ahana  Ben"/>
    <s v="Ahana Ben"/>
    <x v="2"/>
    <n v="15"/>
    <n v="15"/>
    <s v="Neurology"/>
    <s v="Neurology"/>
    <s v="Dr Mehta"/>
    <s v="Dr Mehta"/>
    <d v="2026-02-16T00:00:00"/>
    <s v="Valid"/>
    <b v="1"/>
    <b v="1"/>
    <d v="2026-01-24T00:00:00"/>
    <s v="+913015464935"/>
    <s v="913015464935"/>
    <s v="3015464935"/>
    <s v="Valid"/>
    <s v="navya71@gmail.com"/>
    <s v="NO"/>
    <n v="4804.34"/>
    <s v="Yes"/>
    <n v="492"/>
    <n v="492"/>
    <s v="E11"/>
  </r>
  <r>
    <s v="P2294"/>
    <s v="Madhup Som"/>
    <s v="Madhup Som"/>
    <x v="0"/>
    <n v="28"/>
    <n v="28"/>
    <s v="ENT"/>
    <s v="ENT"/>
    <s v="Dr Khan"/>
    <s v="Dr Khan"/>
    <d v="2026-01-03T00:00:00"/>
    <s v="Valid"/>
    <b v="1"/>
    <b v="1"/>
    <d v="2026-01-01T00:00:00"/>
    <s v="+918906114159"/>
    <s v="918906114159"/>
    <s v="8906114159"/>
    <s v="Valid"/>
    <s v="zaina38@goda-dhawan.com"/>
    <s v="NO"/>
    <n v="7833"/>
    <s v="N"/>
    <n v="482"/>
    <n v="482"/>
    <s v="K21"/>
  </r>
  <r>
    <s v="P2295"/>
    <s v="Akarsh Ramesh"/>
    <s v="Akarsh Ramesh"/>
    <x v="4"/>
    <n v="40"/>
    <n v="40"/>
    <s v="Cardiology"/>
    <s v="Cardiology"/>
    <s v="dr priya"/>
    <s v="Dr Priya"/>
    <d v="2026-02-04T00:00:00"/>
    <s v="Valid"/>
    <b v="1"/>
    <b v="1"/>
    <d v="2026-01-13T00:00:00"/>
    <s v="03477670554"/>
    <s v="03477670554"/>
    <s v="3477670554"/>
    <s v="Valid"/>
    <s v="goelonkar@khosla.com"/>
    <s v="Y"/>
    <n v="4614.5"/>
    <s v="Y"/>
    <n v="389"/>
    <n v="389"/>
    <s v="J20"/>
  </r>
  <r>
    <s v="P2296"/>
    <s v="Dharmajan Kota"/>
    <s v="Dharmajan Kota"/>
    <x v="1"/>
    <n v="29"/>
    <n v="29"/>
    <s v="Pediatrics"/>
    <s v="Pediatrics"/>
    <s v="Dr. Sharma"/>
    <s v="Dr. Sharma"/>
    <d v="2026-06-01T00:00:00"/>
    <s v="Valid"/>
    <b v="1"/>
    <b v="1"/>
    <d v="2026-05-04T00:00:00"/>
    <s v="04181114675"/>
    <s v="04181114675"/>
    <s v="4181114675"/>
    <s v="Valid"/>
    <s v="walisuhana@basu-toor.info"/>
    <s v="NO"/>
    <n v="4592.38"/>
    <s v="Yes"/>
    <n v="232"/>
    <n v="232"/>
    <s v="C34"/>
  </r>
  <r>
    <s v="P2297"/>
    <s v="Adira Sani"/>
    <s v="Adira Sani"/>
    <x v="3"/>
    <n v="34"/>
    <n v="34"/>
    <s v="Neurology"/>
    <s v="Neurology"/>
    <s v="Dr Khan"/>
    <s v="Dr Khan"/>
    <d v="2026-01-01T00:00:00"/>
    <s v="Valid"/>
    <b v="1"/>
    <b v="1"/>
    <d v="2025-12-21T00:00:00"/>
    <s v="+917310223386"/>
    <s v="917310223386"/>
    <s v="7310223386"/>
    <s v="Valid"/>
    <s v="hridaanjaggi@hotmail.com"/>
    <s v="N"/>
    <n v="8851.7099999999991"/>
    <m/>
    <n v="524"/>
    <n v="524"/>
    <s v="C34"/>
  </r>
  <r>
    <s v="P2298"/>
    <s v="Jayesh Sharma"/>
    <s v="Jayesh Sharma"/>
    <x v="4"/>
    <n v="5"/>
    <n v="5"/>
    <s v="Dermatology"/>
    <s v="Dermatology"/>
    <s v="Dr Mehta"/>
    <s v="Dr Mehta"/>
    <d v="2025-12-04T00:00:00"/>
    <s v="Valid"/>
    <b v="1"/>
    <b v="1"/>
    <d v="2025-11-17T00:00:00"/>
    <s v="2272925141"/>
    <s v="2272925141"/>
    <s v="2272925141"/>
    <s v="Valid"/>
    <s v="ritviksandhu@sethi.com"/>
    <s v="NO"/>
    <n v="24845.14"/>
    <m/>
    <n v="277"/>
    <n v="277"/>
    <s v="C34"/>
  </r>
  <r>
    <s v="P2299"/>
    <s v="Miraya Issac"/>
    <s v="Miraya Issac"/>
    <x v="0"/>
    <n v="27"/>
    <n v="27"/>
    <s v="ENT"/>
    <s v="ENT"/>
    <s v="Dr. Sharma"/>
    <s v="Dr. Sharma"/>
    <d v="2026-03-07T00:00:00"/>
    <s v="Valid"/>
    <b v="1"/>
    <b v="1"/>
    <d v="2026-03-05T00:00:00"/>
    <s v="5001947444"/>
    <s v="5001947444"/>
    <s v="5001947444"/>
    <s v="Valid"/>
    <s v="mannatbhardwaj@boase.org"/>
    <s v="NO"/>
    <n v="6603.7"/>
    <m/>
    <n v="233"/>
    <n v="233"/>
    <s v="I10"/>
  </r>
  <r>
    <s v="P2301"/>
    <s v="Madhup Arora"/>
    <s v="Madhup Arora"/>
    <x v="0"/>
    <n v="42"/>
    <n v="42"/>
    <s v="Neurology"/>
    <s v="Neurology"/>
    <s v="dr priya"/>
    <s v="Dr Priya"/>
    <d v="2026-02-20T00:00:00"/>
    <s v="Valid"/>
    <b v="1"/>
    <b v="1"/>
    <d v="2026-01-24T00:00:00"/>
    <s v="09950729293"/>
    <s v="09950729293"/>
    <s v="9950729293"/>
    <s v="Valid"/>
    <s v="advikasarkar@sengupta.org"/>
    <s v="Yes"/>
    <n v="4137.01"/>
    <m/>
    <n v="271"/>
    <n v="271"/>
    <s v="J20"/>
  </r>
  <r>
    <s v="P2302"/>
    <s v="Lakshay Dixit"/>
    <s v="Lakshay Dixit"/>
    <x v="2"/>
    <n v="24"/>
    <n v="24"/>
    <s v="ENT"/>
    <s v="ENT"/>
    <s v="Dr. Sharma"/>
    <s v="Dr. Sharma"/>
    <d v="2026-01-13T00:00:00"/>
    <s v="Valid"/>
    <b v="1"/>
    <b v="1"/>
    <d v="2026-01-08T00:00:00"/>
    <s v="+919380188290"/>
    <s v="919380188290"/>
    <s v="9380188290"/>
    <s v="Valid"/>
    <s v="vanyavenkatesh@jain.net"/>
    <m/>
    <n v="13760.1"/>
    <s v="Yes"/>
    <n v="324"/>
    <n v="324"/>
    <s v="K21"/>
  </r>
  <r>
    <s v="P2303"/>
    <s v="Uthkarsh Wable"/>
    <s v="Uthkarsh Wable"/>
    <x v="3"/>
    <n v="76"/>
    <n v="76"/>
    <s v="Dermatology"/>
    <s v="Dermatology"/>
    <s v="dr priya"/>
    <s v="Dr Priya"/>
    <d v="2026-04-19T00:00:00"/>
    <s v="Valid"/>
    <b v="1"/>
    <b v="1"/>
    <d v="2026-04-04T00:00:00"/>
    <s v="08799479934"/>
    <s v="08799479934"/>
    <s v="8799479934"/>
    <s v="Valid"/>
    <s v="gsingh@vaidya-thaker.net"/>
    <s v="NO"/>
    <n v="6463.85"/>
    <s v="NO"/>
    <n v="407"/>
    <n v="407"/>
    <s v="J20"/>
  </r>
  <r>
    <s v="P2304"/>
    <s v="Lavanya Bhatti"/>
    <s v="Lavanya Bhatti"/>
    <x v="3"/>
    <n v="87"/>
    <n v="87"/>
    <s v="Dermatology"/>
    <s v="Dermatology"/>
    <s v="Dr. Sharma"/>
    <s v="Dr. Sharma"/>
    <d v="2026-03-10T00:00:00"/>
    <s v="Valid"/>
    <b v="1"/>
    <b v="1"/>
    <d v="2026-03-09T00:00:00"/>
    <s v="+913523298765"/>
    <s v="913523298765"/>
    <s v="3523298765"/>
    <s v="Valid"/>
    <s v="piyabandi@hotmail.com"/>
    <s v="NO"/>
    <n v="19126.689999999999"/>
    <s v="NO"/>
    <n v="315"/>
    <n v="315"/>
    <s v="M54"/>
  </r>
  <r>
    <s v="P2305"/>
    <s v="Ehsaan Buch"/>
    <s v="Ehsaan Buch"/>
    <x v="0"/>
    <n v="74"/>
    <n v="74"/>
    <s v="Dermatology"/>
    <s v="Dermatology"/>
    <s v="Dr Rao"/>
    <s v="Dr Rao"/>
    <d v="2026-04-12T00:00:00"/>
    <s v="Valid"/>
    <b v="1"/>
    <b v="1"/>
    <d v="2026-04-07T00:00:00"/>
    <s v="12345"/>
    <s v="12345"/>
    <s v="12345"/>
    <s v="Valid"/>
    <s v="akarsh63@ben-srinivas.com"/>
    <s v="Yes"/>
    <n v="23074.37"/>
    <s v="N"/>
    <n v="390"/>
    <n v="390"/>
    <s v="K21"/>
  </r>
  <r>
    <s v="P2306"/>
    <s v="Tiya Arya"/>
    <s v="Tiya Arya"/>
    <x v="4"/>
    <n v="17"/>
    <n v="17"/>
    <s v="ENT"/>
    <s v="ENT"/>
    <s v="Dr Rao"/>
    <s v="Dr Rao"/>
    <d v="2026-04-23T00:00:00"/>
    <s v="Valid"/>
    <b v="1"/>
    <b v="1"/>
    <d v="2026-04-21T00:00:00"/>
    <s v="4907610409"/>
    <s v="4907610409"/>
    <s v="4907610409"/>
    <s v="Valid"/>
    <s v="umangmallick@hegde-mani.info"/>
    <s v="Y"/>
    <n v="19863.009999999998"/>
    <s v="Y"/>
    <n v="510"/>
    <n v="510"/>
    <s v="J20"/>
  </r>
  <r>
    <s v="P2308"/>
    <s v="Kavya Saini"/>
    <s v="Kavya Saini"/>
    <x v="2"/>
    <n v="24"/>
    <n v="24"/>
    <s v="Pediatrics"/>
    <s v="Pediatrics"/>
    <s v="DR SHARMA"/>
    <s v="Dr Sharma"/>
    <d v="2026-04-21T00:00:00"/>
    <s v="Valid"/>
    <b v="1"/>
    <b v="1"/>
    <d v="2026-04-08T00:00:00"/>
    <s v="03610271287"/>
    <s v="03610271287"/>
    <s v="3610271287"/>
    <s v="Valid"/>
    <s v="vkamdar@yahoo.com"/>
    <s v="NO"/>
    <n v="18158.53"/>
    <s v="Y"/>
    <n v="450"/>
    <n v="450"/>
    <s v="A09"/>
  </r>
  <r>
    <s v="P2309"/>
    <s v="Lagan Sagar"/>
    <s v="Lagan Sagar"/>
    <x v="2"/>
    <n v="1"/>
    <n v="1"/>
    <s v="General Medicine"/>
    <s v="General Medicine"/>
    <s v="Dr Mehta"/>
    <s v="Dr Mehta"/>
    <d v="2025-12-07T00:00:00"/>
    <s v="Valid"/>
    <b v="1"/>
    <b v="1"/>
    <d v="2025-11-26T00:00:00"/>
    <s v="+913611827483"/>
    <s v="913611827483"/>
    <s v="3611827483"/>
    <s v="Valid"/>
    <s v="idutta@hotmail.com"/>
    <s v="NO"/>
    <n v="11875.86"/>
    <m/>
    <n v="457"/>
    <n v="457"/>
    <s v="E11"/>
  </r>
  <r>
    <s v="P2310"/>
    <s v="Neelofar Gola"/>
    <s v="Neelofar Gola"/>
    <x v="3"/>
    <n v="86"/>
    <n v="86"/>
    <s v="Dermatology"/>
    <s v="Dermatology"/>
    <s v="Dr Khan"/>
    <s v="Dr Khan"/>
    <d v="2026-05-19T00:00:00"/>
    <s v="Valid"/>
    <b v="1"/>
    <b v="1"/>
    <d v="2026-04-27T00:00:00"/>
    <s v="0991987878"/>
    <s v="0991987878"/>
    <s v="0991987878"/>
    <s v="Valid"/>
    <s v="eva38@chhabra-srivastava.com"/>
    <s v="NO"/>
    <n v="19123.79"/>
    <s v="NO"/>
    <n v="298"/>
    <n v="298"/>
    <s v="E11"/>
  </r>
  <r>
    <s v="P2311"/>
    <s v="Samaira Babu"/>
    <s v="Samaira Babu"/>
    <x v="2"/>
    <n v="18"/>
    <n v="18"/>
    <s v="Dermatology"/>
    <s v="Dermatology"/>
    <s v="dr priya"/>
    <s v="Dr Priya"/>
    <d v="2026-05-25T00:00:00"/>
    <s v="Valid"/>
    <b v="1"/>
    <b v="1"/>
    <d v="2026-04-27T00:00:00"/>
    <s v="09388076660"/>
    <s v="09388076660"/>
    <s v="9388076660"/>
    <s v="Valid"/>
    <s v="manjarighose@iyengar.com"/>
    <s v="Y"/>
    <n v="20530.82"/>
    <m/>
    <n v="405"/>
    <n v="405"/>
    <s v="M54"/>
  </r>
  <r>
    <s v="P2312"/>
    <s v="Vaibhav Ratta"/>
    <s v="Vaibhav Ratta"/>
    <x v="2"/>
    <n v="45"/>
    <n v="45"/>
    <s v="General Medicine"/>
    <s v="General Medicine"/>
    <s v="Dr Rao"/>
    <s v="Dr Rao"/>
    <d v="2026-03-13T00:00:00"/>
    <s v="Valid"/>
    <b v="1"/>
    <b v="1"/>
    <d v="2026-03-06T00:00:00"/>
    <s v="05869670999"/>
    <s v="05869670999"/>
    <s v="5869670999"/>
    <s v="Valid"/>
    <s v="bathdrishya@hotmail.com"/>
    <s v="Yes"/>
    <n v="19242.53"/>
    <s v="NO"/>
    <n v="285"/>
    <n v="285"/>
    <s v="J20"/>
  </r>
  <r>
    <s v="P2313"/>
    <s v="Advika Divan"/>
    <s v="Advika Divan"/>
    <x v="0"/>
    <n v="79"/>
    <n v="79"/>
    <s v="Dermatology"/>
    <s v="Dermatology"/>
    <s v="Dr Mehta"/>
    <s v="Dr Mehta"/>
    <d v="2025-12-19T00:00:00"/>
    <s v="Valid"/>
    <b v="1"/>
    <b v="1"/>
    <d v="2025-11-29T00:00:00"/>
    <s v="+910610488943"/>
    <s v="910610488943"/>
    <s v="0610488943"/>
    <s v="Valid"/>
    <s v="mtara@mane.biz"/>
    <s v="NO"/>
    <n v="3624.38"/>
    <s v="N"/>
    <n v="122"/>
    <n v="122"/>
    <s v="E11"/>
  </r>
  <r>
    <s v="P2314"/>
    <s v="Nakul Varkey"/>
    <s v="Nakul Varkey"/>
    <x v="0"/>
    <n v="56"/>
    <n v="56"/>
    <s v="Neurology"/>
    <s v="Neurology"/>
    <s v="dr priya"/>
    <s v="Dr Priya"/>
    <d v="2026-03-23T00:00:00"/>
    <s v="Valid"/>
    <b v="1"/>
    <b v="1"/>
    <d v="2026-03-11T00:00:00"/>
    <s v="+914272533983"/>
    <s v="914272533983"/>
    <s v="4272533983"/>
    <s v="Valid"/>
    <s v="armaangulati@tara.net"/>
    <s v="Yes"/>
    <n v="10757.64"/>
    <s v="Yes"/>
    <n v="259"/>
    <n v="259"/>
    <s v="M54"/>
  </r>
  <r>
    <s v="P2315"/>
    <s v="Anya Dash"/>
    <s v="Anya Dash"/>
    <x v="3"/>
    <n v="5"/>
    <n v="5"/>
    <s v="Oncology"/>
    <s v="Oncology"/>
    <s v="dr priya"/>
    <s v="Dr Priya"/>
    <d v="2026-01-04T00:00:00"/>
    <s v="Valid"/>
    <b v="1"/>
    <b v="1"/>
    <d v="2025-12-30T00:00:00"/>
    <s v="07713337047"/>
    <s v="07713337047"/>
    <s v="7713337047"/>
    <s v="Valid"/>
    <s v="vagarwal@keer-kapur.com"/>
    <s v="Yes"/>
    <n v="10075.76"/>
    <s v="NO"/>
    <n v="338"/>
    <n v="338"/>
    <s v="K21"/>
  </r>
  <r>
    <s v="P2316"/>
    <s v="Indranil Chakraborty"/>
    <s v="Indranil Chakraborty"/>
    <x v="2"/>
    <n v="45"/>
    <n v="45"/>
    <s v="Neurology"/>
    <s v="Neurology"/>
    <s v="dr priya"/>
    <s v="Dr Priya"/>
    <d v="2026-03-24T00:00:00"/>
    <s v="Valid"/>
    <b v="1"/>
    <b v="1"/>
    <d v="2026-02-27T00:00:00"/>
    <s v="4065873055"/>
    <s v="4065873055"/>
    <s v="4065873055"/>
    <s v="Valid"/>
    <s v="pchokshi@dayal.net"/>
    <s v="Yes"/>
    <n v="4189.92"/>
    <s v="Y"/>
    <n v="394"/>
    <n v="394"/>
    <s v="A09"/>
  </r>
  <r>
    <s v="P2317"/>
    <s v="Indrajit Batta"/>
    <s v="Indrajit Batta"/>
    <x v="1"/>
    <n v="88"/>
    <n v="88"/>
    <s v="General Medicine"/>
    <s v="General Medicine"/>
    <s v="Dr Rao"/>
    <s v="Dr Rao"/>
    <d v="2026-01-12T00:00:00"/>
    <s v="Valid"/>
    <b v="1"/>
    <b v="1"/>
    <d v="2025-12-28T00:00:00"/>
    <s v="0431900451"/>
    <s v="0431900451"/>
    <s v="0431900451"/>
    <s v="Valid"/>
    <s v="anaya37@yahoo.com"/>
    <m/>
    <n v="10676.94"/>
    <s v="Yes"/>
    <n v="255"/>
    <n v="255"/>
    <s v="M54"/>
  </r>
  <r>
    <s v="P2318"/>
    <s v="Darshit Vig"/>
    <s v="Darshit Vig"/>
    <x v="0"/>
    <n v="82"/>
    <n v="82"/>
    <s v="Neurology"/>
    <s v="Neurology"/>
    <s v="Dr Khan"/>
    <s v="Dr Khan"/>
    <d v="2026-05-06T00:00:00"/>
    <s v="Valid"/>
    <b v="1"/>
    <b v="1"/>
    <d v="2026-04-20T00:00:00"/>
    <s v="7257313966"/>
    <s v="7257313966"/>
    <s v="7257313966"/>
    <s v="Valid"/>
    <s v="myra26@tank-rao.com"/>
    <s v="N"/>
    <n v="19568.89"/>
    <s v="NO"/>
    <n v="532"/>
    <n v="532"/>
    <s v="A09"/>
  </r>
  <r>
    <s v="P2319"/>
    <s v="Anay Kapoor"/>
    <s v="Anay Kapoor"/>
    <x v="2"/>
    <n v="15"/>
    <n v="15"/>
    <s v="Orthopedics"/>
    <s v="Orthopedics"/>
    <s v="dr priya"/>
    <s v="Dr Priya"/>
    <d v="2026-05-02T00:00:00"/>
    <s v="Valid"/>
    <b v="1"/>
    <b v="1"/>
    <d v="2026-04-15T00:00:00"/>
    <s v="+915309426691"/>
    <s v="915309426691"/>
    <s v="5309426691"/>
    <s v="Valid"/>
    <s v="ramachandranbiju@gmail.com"/>
    <m/>
    <n v="21783.79"/>
    <s v="NO"/>
    <n v="176"/>
    <n v="176"/>
    <s v="I10"/>
  </r>
  <r>
    <s v="P2320"/>
    <s v="Heer Suri"/>
    <s v="Heer Suri"/>
    <x v="2"/>
    <n v="76"/>
    <n v="76"/>
    <s v="Oncology"/>
    <s v="Oncology"/>
    <s v="DR SHARMA"/>
    <s v="Dr Sharma"/>
    <d v="2026-01-08T00:00:00"/>
    <s v="Valid"/>
    <b v="1"/>
    <b v="1"/>
    <d v="2025-12-23T00:00:00"/>
    <s v="+911894186245"/>
    <s v="911894186245"/>
    <s v="1894186245"/>
    <s v="Valid"/>
    <s v="kabir27@gmail.com"/>
    <m/>
    <n v="10985.22"/>
    <m/>
    <n v="244"/>
    <n v="244"/>
    <s v="I10"/>
  </r>
  <r>
    <s v="P2321"/>
    <s v="Ishita Master"/>
    <s v="Ishita Master"/>
    <x v="2"/>
    <n v="63"/>
    <n v="63"/>
    <s v="General Medicine"/>
    <s v="General Medicine"/>
    <s v="dr priya"/>
    <s v="Dr Priya"/>
    <d v="2026-05-07T00:00:00"/>
    <s v="Valid"/>
    <b v="1"/>
    <b v="1"/>
    <d v="2026-05-06T00:00:00"/>
    <s v="06033132278"/>
    <s v="06033132278"/>
    <s v="6033132278"/>
    <s v="Valid"/>
    <s v="kanav85@master.com"/>
    <s v="N"/>
    <n v="6457.7"/>
    <s v="NO"/>
    <n v="445"/>
    <n v="445"/>
    <s v="J20"/>
  </r>
  <r>
    <s v="P2322"/>
    <s v="Armaan Gera"/>
    <s v="Armaan Gera"/>
    <x v="0"/>
    <n v="70"/>
    <n v="70"/>
    <s v="Oncology"/>
    <s v="Oncology"/>
    <s v="Dr Mehta"/>
    <s v="Dr Mehta"/>
    <d v="2026-01-11T00:00:00"/>
    <s v="Valid"/>
    <b v="1"/>
    <b v="1"/>
    <d v="2026-01-02T00:00:00"/>
    <s v="2607162349"/>
    <s v="2607162349"/>
    <s v="2607162349"/>
    <s v="Valid"/>
    <s v="xshere@gmail.com"/>
    <s v="N"/>
    <n v="10543.09"/>
    <m/>
    <n v="266"/>
    <n v="266"/>
    <s v="J20"/>
  </r>
  <r>
    <s v="P2323"/>
    <s v="Ehsaan Halder"/>
    <s v="Ehsaan Halder"/>
    <x v="0"/>
    <n v="77"/>
    <n v="77"/>
    <s v="Neurology"/>
    <s v="Neurology"/>
    <s v="dr priya"/>
    <s v="Dr Priya"/>
    <d v="2026-02-21T00:00:00"/>
    <s v="Valid"/>
    <b v="1"/>
    <b v="1"/>
    <d v="2026-01-29T00:00:00"/>
    <s v="04013459038"/>
    <s v="04013459038"/>
    <s v="4013459038"/>
    <s v="Valid"/>
    <s v="reneerastogi@gola-rau.com"/>
    <s v="Yes"/>
    <n v="13375.46"/>
    <m/>
    <n v="227"/>
    <n v="227"/>
    <s v="E11"/>
  </r>
  <r>
    <s v="P2324"/>
    <s v="Nitara Tank"/>
    <s v="Nitara Tank"/>
    <x v="2"/>
    <n v="69"/>
    <n v="69"/>
    <s v="Neurology"/>
    <s v="Neurology"/>
    <s v="Dr Mehta"/>
    <s v="Dr Mehta"/>
    <d v="2026-05-11T00:00:00"/>
    <s v="Valid"/>
    <b v="1"/>
    <b v="1"/>
    <d v="2026-04-18T00:00:00"/>
    <s v="0981729875"/>
    <s v="0981729875"/>
    <s v="0981729875"/>
    <s v="Valid"/>
    <s v="purabkulkarni@banerjee.biz"/>
    <s v="Yes"/>
    <n v="15896.42"/>
    <m/>
    <n v="240"/>
    <n v="240"/>
    <s v="J20"/>
  </r>
  <r>
    <s v="P2325"/>
    <s v="Misha Kari"/>
    <s v="Misha Kari"/>
    <x v="3"/>
    <n v="89"/>
    <n v="89"/>
    <s v="Pediatrics"/>
    <s v="Pediatrics"/>
    <s v="Dr Khan"/>
    <s v="Dr Khan"/>
    <d v="2026-01-12T00:00:00"/>
    <s v="Valid"/>
    <b v="1"/>
    <b v="1"/>
    <d v="2026-01-11T00:00:00"/>
    <s v="2898776823"/>
    <s v="2898776823"/>
    <s v="2898776823"/>
    <s v="Valid"/>
    <s v="ajaggi@bali.com"/>
    <s v="NO"/>
    <n v="8299.39"/>
    <s v="Yes"/>
    <n v="175"/>
    <n v="175"/>
    <s v="A09"/>
  </r>
  <r>
    <s v="P2326"/>
    <s v="Taimur Sani"/>
    <s v="Taimur Sani"/>
    <x v="2"/>
    <n v="49"/>
    <n v="49"/>
    <s v="Neurology"/>
    <s v="Neurology"/>
    <s v="dr priya"/>
    <s v="Dr Priya"/>
    <d v="2026-04-02T00:00:00"/>
    <s v="Valid"/>
    <b v="1"/>
    <b v="1"/>
    <d v="2026-03-04T00:00:00"/>
    <s v="09644303187"/>
    <s v="09644303187"/>
    <s v="9644303187"/>
    <s v="Valid"/>
    <s v="ughosh@gmail.com"/>
    <s v="Y"/>
    <n v="10678.74"/>
    <s v="Yes"/>
    <n v="194"/>
    <n v="194"/>
    <s v="C34"/>
  </r>
  <r>
    <s v="P2327"/>
    <s v="Stuvan Soni"/>
    <s v="Stuvan Soni"/>
    <x v="0"/>
    <n v="84"/>
    <n v="84"/>
    <s v="Neurology"/>
    <s v="Neurology"/>
    <s v="dr priya"/>
    <s v="Dr Priya"/>
    <d v="2026-02-14T00:00:00"/>
    <s v="Valid"/>
    <b v="1"/>
    <b v="1"/>
    <d v="2026-01-15T00:00:00"/>
    <s v="+914091973361"/>
    <s v="914091973361"/>
    <s v="4091973361"/>
    <s v="Valid"/>
    <s v="bhattiyuvraj@sen.com"/>
    <s v="NO"/>
    <n v="19882.39"/>
    <s v="Yes"/>
    <n v="255"/>
    <n v="255"/>
    <s v="A09"/>
  </r>
  <r>
    <s v="P2328"/>
    <s v="Dharmajan Tandon"/>
    <s v="Dharmajan Tandon"/>
    <x v="5"/>
    <n v="89"/>
    <n v="89"/>
    <s v="Cardiology"/>
    <s v="Cardiology"/>
    <s v="dr priya"/>
    <s v="Dr Priya"/>
    <d v="2025-12-25T00:00:00"/>
    <s v="Valid"/>
    <b v="1"/>
    <b v="1"/>
    <d v="2025-12-07T00:00:00"/>
    <s v="2029721046"/>
    <s v="2029721046"/>
    <s v="2029721046"/>
    <s v="Valid"/>
    <s v="ojasdubey@mane.com"/>
    <m/>
    <n v="5537.19"/>
    <m/>
    <n v="240"/>
    <n v="240"/>
    <s v="C34"/>
  </r>
  <r>
    <s v="P2329"/>
    <s v="Ishita Gill"/>
    <s v="Ishita Gill"/>
    <x v="4"/>
    <n v="36"/>
    <n v="36"/>
    <s v="Cardiology"/>
    <s v="Cardiology"/>
    <s v="dr priya"/>
    <s v="Dr Priya"/>
    <d v="2026-01-07T00:00:00"/>
    <s v="Valid"/>
    <b v="1"/>
    <b v="1"/>
    <d v="2025-12-09T00:00:00"/>
    <s v="2596095011"/>
    <s v="2596095011"/>
    <s v="2596095011"/>
    <s v="Valid"/>
    <s v="deepnirvaan@chaudry.com"/>
    <s v="Yes"/>
    <n v="17019.560000000001"/>
    <s v="Yes"/>
    <n v="102"/>
    <n v="102"/>
    <s v="M54"/>
  </r>
  <r>
    <s v="P2330"/>
    <s v="Indranil Ahluwalia"/>
    <s v="Indranil Ahluwalia"/>
    <x v="5"/>
    <n v="3"/>
    <n v="3"/>
    <s v="Dermatology"/>
    <s v="Dermatology"/>
    <s v="Dr Mehta"/>
    <s v="Dr Mehta"/>
    <d v="2026-01-07T00:00:00"/>
    <s v="Valid"/>
    <b v="1"/>
    <b v="1"/>
    <d v="2025-12-30T00:00:00"/>
    <s v="1572843078"/>
    <s v="1572843078"/>
    <s v="1572843078"/>
    <s v="Valid"/>
    <s v="lagan03@rastogi.com"/>
    <s v="Y"/>
    <n v="11668.54"/>
    <s v="NO"/>
    <n v="149"/>
    <n v="149"/>
    <s v="E11"/>
  </r>
  <r>
    <s v="P2331"/>
    <s v="Piya Chawla"/>
    <s v="Piya Chawla"/>
    <x v="5"/>
    <n v="3"/>
    <n v="3"/>
    <s v="ENT"/>
    <s v="ENT"/>
    <s v="DR SHARMA"/>
    <s v="Dr Sharma"/>
    <d v="2026-05-03T00:00:00"/>
    <s v="Valid"/>
    <b v="1"/>
    <b v="1"/>
    <d v="2026-05-01T00:00:00"/>
    <s v="09016314158"/>
    <s v="09016314158"/>
    <s v="9016314158"/>
    <s v="Valid"/>
    <s v="obose@karpe.com"/>
    <s v="Y"/>
    <n v="18258.47"/>
    <m/>
    <n v="401"/>
    <n v="401"/>
    <s v="M54"/>
  </r>
  <r>
    <s v="P2332"/>
    <s v="Khushi Shenoy"/>
    <s v="Khushi Shenoy"/>
    <x v="2"/>
    <n v="70"/>
    <n v="70"/>
    <s v="Dermatology"/>
    <s v="Dermatology"/>
    <s v="Dr Khan"/>
    <s v="Dr Khan"/>
    <d v="2026-01-22T00:00:00"/>
    <s v="Valid"/>
    <b v="1"/>
    <b v="1"/>
    <d v="2025-12-24T00:00:00"/>
    <s v="+919811974782"/>
    <s v="919811974782"/>
    <s v="9811974782"/>
    <s v="Valid"/>
    <s v="zaradar@hotmail.com"/>
    <s v="Yes"/>
    <n v="8705.18"/>
    <s v="NO"/>
    <n v="277"/>
    <n v="277"/>
    <s v="K21"/>
  </r>
  <r>
    <s v="P2333"/>
    <s v="Aarush Virk"/>
    <s v="Aarush Virk"/>
    <x v="3"/>
    <n v="20"/>
    <n v="20"/>
    <s v="General Medicine"/>
    <s v="General Medicine"/>
    <s v="Dr Khan"/>
    <s v="Dr Khan"/>
    <d v="2026-02-21T00:00:00"/>
    <s v="Valid"/>
    <b v="1"/>
    <b v="1"/>
    <d v="2026-02-15T00:00:00"/>
    <s v="08037332130"/>
    <s v="08037332130"/>
    <s v="8037332130"/>
    <s v="Valid"/>
    <s v="tejas75@shah-baral.com"/>
    <s v="Yes"/>
    <n v="16890.05"/>
    <s v="Yes"/>
    <n v="306"/>
    <n v="306"/>
    <s v="I10"/>
  </r>
  <r>
    <s v="P2334"/>
    <s v="Nehmat Chaudhary"/>
    <s v="Nehmat Chaudhary"/>
    <x v="2"/>
    <n v="81"/>
    <n v="81"/>
    <s v="General Medicine"/>
    <s v="General Medicine"/>
    <s v="dr priya"/>
    <s v="Dr Priya"/>
    <d v="2026-01-02T00:00:00"/>
    <s v="Valid"/>
    <b v="1"/>
    <b v="1"/>
    <d v="2025-12-31T00:00:00"/>
    <s v="02384269742"/>
    <s v="02384269742"/>
    <s v="2384269742"/>
    <s v="Valid"/>
    <s v="trishabhagat@gmail.com"/>
    <s v="NO"/>
    <n v="18750.669999999998"/>
    <s v="NO"/>
    <n v="255"/>
    <n v="255"/>
    <s v="J20"/>
  </r>
  <r>
    <s v="P2335"/>
    <s v="Ayesha Bains"/>
    <s v="Ayesha Bains"/>
    <x v="2"/>
    <n v="58"/>
    <n v="58"/>
    <s v="General Medicine"/>
    <s v="General Medicine"/>
    <s v="Dr Rao"/>
    <s v="Dr Rao"/>
    <d v="2026-03-06T00:00:00"/>
    <s v="Valid"/>
    <b v="1"/>
    <b v="1"/>
    <d v="2026-03-02T00:00:00"/>
    <s v="+911458566490"/>
    <s v="911458566490"/>
    <s v="1458566490"/>
    <s v="Valid"/>
    <s v="korpaldarshit@venkatesh.com"/>
    <s v="Yes"/>
    <n v="15681.78"/>
    <m/>
    <n v="312"/>
    <n v="312"/>
    <s v="K21"/>
  </r>
  <r>
    <s v="P2336"/>
    <s v="Ritvik Ganesh"/>
    <s v="Ritvik Ganesh"/>
    <x v="0"/>
    <n v="37"/>
    <n v="37"/>
    <s v="General Medicine"/>
    <s v="General Medicine"/>
    <s v="DR SHARMA"/>
    <s v="Dr Sharma"/>
    <d v="2026-05-19T00:00:00"/>
    <s v="Valid"/>
    <b v="1"/>
    <b v="1"/>
    <d v="2026-05-07T00:00:00"/>
    <s v="9831913578"/>
    <s v="9831913578"/>
    <s v="9831913578"/>
    <s v="Valid"/>
    <s v="uchaudhuri@loke.com"/>
    <s v="Yes"/>
    <n v="9585.0400000000009"/>
    <s v="NO"/>
    <n v="149"/>
    <n v="149"/>
    <s v="M54"/>
  </r>
  <r>
    <s v="P2337"/>
    <s v="Ela Lad"/>
    <s v="Ela Lad"/>
    <x v="5"/>
    <n v="28"/>
    <n v="28"/>
    <s v="Neurology"/>
    <s v="Neurology"/>
    <s v="Dr. Sharma"/>
    <s v="Dr. Sharma"/>
    <d v="2026-01-04T00:00:00"/>
    <s v="Valid"/>
    <b v="1"/>
    <b v="1"/>
    <d v="2025-12-30T00:00:00"/>
    <s v="02386990313"/>
    <s v="02386990313"/>
    <s v="2386990313"/>
    <s v="Valid"/>
    <s v="zkonda@gmail.com"/>
    <s v="Yes"/>
    <n v="19218.490000000002"/>
    <m/>
    <n v="381"/>
    <n v="381"/>
    <s v="M54"/>
  </r>
  <r>
    <s v="P2338"/>
    <s v="Kavya Deep"/>
    <s v="Kavya Deep"/>
    <x v="2"/>
    <n v="28"/>
    <n v="28"/>
    <s v="Dermatology"/>
    <s v="Dermatology"/>
    <s v="Dr. Sharma"/>
    <s v="Dr. Sharma"/>
    <d v="2026-02-27T00:00:00"/>
    <s v="Valid"/>
    <b v="1"/>
    <b v="1"/>
    <d v="2026-02-17T00:00:00"/>
    <s v="0856902886"/>
    <s v="0856902886"/>
    <s v="0856902886"/>
    <s v="Valid"/>
    <s v="senguptajivika@sur-tripathi.com"/>
    <s v="N"/>
    <n v="15830.84"/>
    <s v="NO"/>
    <n v="357"/>
    <n v="357"/>
    <s v="A09"/>
  </r>
  <r>
    <s v="P2339"/>
    <s v="Mamooty Ganguly"/>
    <s v="Mamooty Ganguly"/>
    <x v="1"/>
    <n v="29"/>
    <n v="29"/>
    <s v="Dermatology"/>
    <s v="Dermatology"/>
    <s v="Dr Khan"/>
    <s v="Dr Khan"/>
    <d v="2026-01-05T00:00:00"/>
    <s v="Valid"/>
    <b v="1"/>
    <b v="1"/>
    <d v="2025-12-12T00:00:00"/>
    <s v="1588448023"/>
    <s v="1588448023"/>
    <s v="1588448023"/>
    <s v="Valid"/>
    <s v="wsarraf@hotmail.com"/>
    <m/>
    <n v="7299.83"/>
    <m/>
    <n v="180"/>
    <n v="180"/>
    <s v="K21"/>
  </r>
  <r>
    <s v="P2340"/>
    <s v="Vardaniya Gour"/>
    <s v="Vardaniya Gour"/>
    <x v="4"/>
    <n v="52"/>
    <n v="52"/>
    <s v="Oncology"/>
    <s v="Oncology"/>
    <s v="Dr Rao"/>
    <s v="Dr Rao"/>
    <d v="2025-12-17T00:00:00"/>
    <s v="Valid"/>
    <b v="1"/>
    <b v="1"/>
    <d v="2025-11-30T00:00:00"/>
    <s v="5583994314"/>
    <s v="5583994314"/>
    <s v="5583994314"/>
    <s v="Valid"/>
    <s v="krishjivika@gmail.com"/>
    <s v="N"/>
    <n v="19120.79"/>
    <s v="Y"/>
    <n v="449"/>
    <n v="449"/>
    <s v="I10"/>
  </r>
  <r>
    <s v="P2341"/>
    <s v="Stuvan Dixit"/>
    <s v="Stuvan Dixit"/>
    <x v="1"/>
    <n v="75"/>
    <n v="75"/>
    <s v="Dermatology"/>
    <s v="Dermatology"/>
    <s v="dr priya"/>
    <s v="Dr Priya"/>
    <d v="2026-02-12T00:00:00"/>
    <s v="Valid"/>
    <b v="1"/>
    <b v="1"/>
    <d v="2026-01-30T00:00:00"/>
    <s v="09677252574"/>
    <s v="09677252574"/>
    <s v="9677252574"/>
    <s v="Valid"/>
    <s v="dhegde@gmail.com"/>
    <s v="NO"/>
    <n v="15983.14"/>
    <s v="N"/>
    <n v="170"/>
    <n v="170"/>
    <s v="A09"/>
  </r>
  <r>
    <s v="P2342"/>
    <s v="Divij Kuruvilla"/>
    <s v="Divij Kuruvilla"/>
    <x v="2"/>
    <n v="77"/>
    <n v="77"/>
    <s v="Dermatology"/>
    <s v="Dermatology"/>
    <s v="Dr Rao"/>
    <s v="Dr Rao"/>
    <d v="2025-12-21T00:00:00"/>
    <s v="Valid"/>
    <b v="1"/>
    <b v="1"/>
    <d v="2025-12-11T00:00:00"/>
    <s v="09680105327"/>
    <s v="09680105327"/>
    <s v="9680105327"/>
    <s v="Valid"/>
    <s v="ramanyasmin@hotmail.com"/>
    <s v="NO"/>
    <n v="4328.18"/>
    <m/>
    <n v="450"/>
    <n v="450"/>
    <s v="I10"/>
  </r>
  <r>
    <s v="P2343"/>
    <s v="Anahi Kamdar"/>
    <s v="Anahi Kamdar"/>
    <x v="2"/>
    <n v="3"/>
    <n v="3"/>
    <s v="Dermatology"/>
    <s v="Dermatology"/>
    <s v="DR SHARMA"/>
    <s v="Dr Sharma"/>
    <d v="2026-04-19T00:00:00"/>
    <s v="Valid"/>
    <b v="1"/>
    <b v="1"/>
    <d v="2026-03-23T00:00:00"/>
    <s v="+916678296260"/>
    <s v="916678296260"/>
    <s v="6678296260"/>
    <s v="Valid"/>
    <s v="thanda@bhatti.biz"/>
    <s v="Yes"/>
    <n v="11552.67"/>
    <s v="N"/>
    <n v="189"/>
    <n v="189"/>
    <s v="M54"/>
  </r>
  <r>
    <s v="P2344"/>
    <s v="Lagan Dasgupta"/>
    <s v="Lagan Dasgupta"/>
    <x v="5"/>
    <n v="42"/>
    <n v="42"/>
    <s v="Orthopedics"/>
    <s v="Orthopedics"/>
    <s v="Dr. Sharma"/>
    <s v="Dr. Sharma"/>
    <d v="2026-02-24T00:00:00"/>
    <s v="Valid"/>
    <b v="1"/>
    <b v="1"/>
    <d v="2026-02-22T00:00:00"/>
    <s v="00769681487"/>
    <s v="00769681487"/>
    <s v="0769681487"/>
    <s v="Valid"/>
    <s v="zthaman@hotmail.com"/>
    <s v="Yes"/>
    <n v="5333.78"/>
    <m/>
    <n v="335"/>
    <n v="335"/>
    <s v="E11"/>
  </r>
  <r>
    <s v="P2345"/>
    <s v="Aarna Bhattacharyya"/>
    <s v="Aarna Bhattacharyya"/>
    <x v="3"/>
    <n v="31"/>
    <n v="31"/>
    <s v="Orthopedics"/>
    <s v="Orthopedics"/>
    <s v="Dr Khan"/>
    <s v="Dr Khan"/>
    <d v="2026-01-08T00:00:00"/>
    <s v="Valid"/>
    <b v="1"/>
    <b v="1"/>
    <d v="2025-12-23T00:00:00"/>
    <s v="04818808810"/>
    <s v="04818808810"/>
    <s v="4818808810"/>
    <s v="Valid"/>
    <s v="manikya22@yahoo.com"/>
    <s v="NO"/>
    <n v="20131.439999999999"/>
    <s v="NO"/>
    <n v="546"/>
    <n v="546"/>
    <s v="E11"/>
  </r>
  <r>
    <s v="P2346"/>
    <s v="Advika Zachariah"/>
    <s v="Advika Zachariah"/>
    <x v="5"/>
    <n v="60"/>
    <n v="60"/>
    <s v="Neurology"/>
    <s v="Neurology"/>
    <s v="Dr Rao"/>
    <s v="Dr Rao"/>
    <d v="2026-04-26T00:00:00"/>
    <s v="Valid"/>
    <b v="1"/>
    <b v="1"/>
    <d v="2026-04-03T00:00:00"/>
    <s v="1858144879"/>
    <s v="1858144879"/>
    <s v="1858144879"/>
    <s v="Valid"/>
    <s v="sbatta@bansal.com"/>
    <s v="Yes"/>
    <n v="17114.189999999999"/>
    <m/>
    <n v="543"/>
    <n v="543"/>
    <s v="A09"/>
  </r>
  <r>
    <s v="P2347"/>
    <s v="Prerak Tata"/>
    <s v="Prerak Tata"/>
    <x v="3"/>
    <n v="50"/>
    <n v="50"/>
    <s v="Neurology"/>
    <s v="Neurology"/>
    <s v="dr priya"/>
    <s v="Dr Priya"/>
    <d v="2026-03-19T00:00:00"/>
    <s v="Valid"/>
    <b v="1"/>
    <b v="1"/>
    <d v="2026-02-17T00:00:00"/>
    <s v="6617003929"/>
    <s v="6617003929"/>
    <s v="6617003929"/>
    <s v="Valid"/>
    <s v="useshadri@gmail.com"/>
    <s v="Y"/>
    <n v="22107.25"/>
    <s v="NO"/>
    <n v="466"/>
    <n v="466"/>
    <s v="K21"/>
  </r>
  <r>
    <s v="P2348"/>
    <s v="Jayant Shah"/>
    <s v="Jayant Shah"/>
    <x v="0"/>
    <n v="57"/>
    <n v="57"/>
    <s v="General Medicine"/>
    <s v="General Medicine"/>
    <s v="Dr Rao"/>
    <s v="Dr Rao"/>
    <d v="2026-04-04T00:00:00"/>
    <s v="Valid"/>
    <b v="1"/>
    <b v="1"/>
    <d v="2026-03-26T00:00:00"/>
    <s v="03306195490"/>
    <s v="03306195490"/>
    <s v="3306195490"/>
    <s v="Valid"/>
    <s v="rohansathe@gmail.com"/>
    <m/>
    <n v="20742.03"/>
    <s v="Yes"/>
    <n v="286"/>
    <n v="286"/>
    <s v="M54"/>
  </r>
  <r>
    <s v="P2349"/>
    <s v="Vidur Sundaram"/>
    <s v="Vidur Sundaram"/>
    <x v="3"/>
    <n v="55"/>
    <n v="55"/>
    <s v="Neurology"/>
    <s v="Neurology"/>
    <s v="Dr Mehta"/>
    <s v="Dr Mehta"/>
    <d v="2026-03-18T00:00:00"/>
    <s v="Valid"/>
    <b v="1"/>
    <b v="1"/>
    <d v="2026-03-14T00:00:00"/>
    <s v="05402203180"/>
    <s v="05402203180"/>
    <s v="5402203180"/>
    <s v="Valid"/>
    <s v="drishya43@gmail.com"/>
    <s v="Y"/>
    <n v="18996.919999999998"/>
    <s v="NO"/>
    <n v="469"/>
    <n v="469"/>
    <s v="E11"/>
  </r>
  <r>
    <s v="P2350"/>
    <s v="  Anvi Kannan "/>
    <s v="Anvi Kannan"/>
    <x v="2"/>
    <n v="53"/>
    <n v="53"/>
    <s v="ENT"/>
    <s v="ENT"/>
    <s v="Dr Mehta"/>
    <s v="Dr Mehta"/>
    <d v="2026-05-04T00:00:00"/>
    <s v="Valid"/>
    <b v="1"/>
    <b v="1"/>
    <d v="2026-04-05T00:00:00"/>
    <s v="08802012842"/>
    <s v="08802012842"/>
    <s v="8802012842"/>
    <s v="Valid"/>
    <s v="elakshivora@gade-agarwal.biz"/>
    <s v="NO"/>
    <n v="19929.72"/>
    <s v="N"/>
    <n v="235"/>
    <n v="235"/>
    <s v="I10"/>
  </r>
  <r>
    <s v="P2351"/>
    <s v="Zoya Khanna"/>
    <s v="Zoya Khanna"/>
    <x v="2"/>
    <n v="83"/>
    <n v="83"/>
    <s v="Neurology"/>
    <s v="Neurology"/>
    <s v="Dr Khan"/>
    <s v="Dr Khan"/>
    <d v="2026-05-24T00:00:00"/>
    <s v="Valid"/>
    <b v="1"/>
    <b v="1"/>
    <d v="2026-04-26T00:00:00"/>
    <s v="+911987700993"/>
    <s v="911987700993"/>
    <s v="1987700993"/>
    <s v="Valid"/>
    <s v="ibava@khare.biz"/>
    <m/>
    <n v="18862.060000000001"/>
    <s v="Yes"/>
    <n v="275"/>
    <n v="275"/>
    <s v="J20"/>
  </r>
  <r>
    <s v="P2352"/>
    <s v="Kavya Soni"/>
    <s v="Kavya Soni"/>
    <x v="3"/>
    <n v="43"/>
    <n v="43"/>
    <s v="General Medicine"/>
    <s v="General Medicine"/>
    <s v="Dr. Sharma"/>
    <s v="Dr. Sharma"/>
    <d v="2026-05-12T00:00:00"/>
    <s v="Valid"/>
    <b v="1"/>
    <b v="1"/>
    <d v="2026-04-24T00:00:00"/>
    <s v="+917719031188"/>
    <s v="917719031188"/>
    <s v="7719031188"/>
    <s v="Valid"/>
    <s v="yakshit43@borde.com"/>
    <s v="Y"/>
    <n v="14941.82"/>
    <s v="Y"/>
    <n v="175"/>
    <n v="175"/>
    <s v="A09"/>
  </r>
  <r>
    <s v="P2353"/>
    <s v="Indranil Warrior"/>
    <s v="Indranil Warrior"/>
    <x v="0"/>
    <n v="4"/>
    <n v="4"/>
    <s v="Pediatrics"/>
    <s v="Pediatrics"/>
    <s v="dr priya"/>
    <s v="Dr Priya"/>
    <d v="2026-04-27T00:00:00"/>
    <s v="Valid"/>
    <b v="1"/>
    <b v="1"/>
    <d v="2026-04-09T00:00:00"/>
    <s v="3522274365"/>
    <s v="3522274365"/>
    <s v="3522274365"/>
    <s v="Valid"/>
    <s v="darlagan@raman.biz"/>
    <s v="N"/>
    <n v="17902.32"/>
    <s v="Yes"/>
    <n v="466"/>
    <n v="466"/>
    <s v="E11"/>
  </r>
  <r>
    <s v="P2354"/>
    <s v="Aaina Bakshi"/>
    <s v="Aaina Bakshi"/>
    <x v="0"/>
    <n v="61"/>
    <n v="61"/>
    <s v="General Medicine"/>
    <s v="General Medicine"/>
    <s v="Dr. Sharma"/>
    <s v="Dr. Sharma"/>
    <d v="2026-02-17T00:00:00"/>
    <s v="Valid"/>
    <b v="1"/>
    <b v="1"/>
    <d v="2026-02-13T00:00:00"/>
    <s v="+913284730036"/>
    <s v="913284730036"/>
    <s v="3284730036"/>
    <s v="Valid"/>
    <s v="yuvraj-86@mani-borra.info"/>
    <s v="Yes"/>
    <n v="3833.85"/>
    <s v="Yes"/>
    <n v="539"/>
    <n v="539"/>
    <s v="M54"/>
  </r>
  <r>
    <s v="P2355"/>
    <s v="Neelofar Krish"/>
    <s v="Neelofar Krish"/>
    <x v="0"/>
    <n v="82"/>
    <n v="82"/>
    <s v="Pediatrics"/>
    <s v="Pediatrics"/>
    <s v="Dr Rao"/>
    <s v="Dr Rao"/>
    <d v="2025-12-27T00:00:00"/>
    <s v="Valid"/>
    <b v="1"/>
    <b v="1"/>
    <d v="2025-11-30T00:00:00"/>
    <s v="+917105749129"/>
    <s v="917105749129"/>
    <s v="7105749129"/>
    <s v="Valid"/>
    <s v="lalaaryahi@yahoo.com"/>
    <s v="NO"/>
    <n v="14664.11"/>
    <s v="Y"/>
    <n v="399"/>
    <n v="399"/>
    <s v="I10"/>
  </r>
  <r>
    <s v="P2356"/>
    <s v="Indrans Rama"/>
    <s v="Indrans Rama"/>
    <x v="0"/>
    <n v="47"/>
    <n v="47"/>
    <s v="Dermatology"/>
    <s v="Dermatology"/>
    <s v="Dr Khan"/>
    <s v="Dr Khan"/>
    <d v="2025-12-22T00:00:00"/>
    <s v="Valid"/>
    <b v="1"/>
    <b v="1"/>
    <d v="2025-12-03T00:00:00"/>
    <s v="+914473451199"/>
    <s v="914473451199"/>
    <s v="4473451199"/>
    <s v="Valid"/>
    <s v="yakshitbalakrishnan@sant.org"/>
    <s v="Yes"/>
    <n v="24315.599999999999"/>
    <s v="Y"/>
    <n v="400"/>
    <n v="400"/>
    <s v="K21"/>
  </r>
  <r>
    <s v="P2357"/>
    <s v="Krish Sibal"/>
    <s v="Krish Sibal"/>
    <x v="2"/>
    <n v="67"/>
    <n v="67"/>
    <s v="ENT"/>
    <s v="ENT"/>
    <s v="dr priya"/>
    <s v="Dr Priya"/>
    <d v="2026-03-14T00:00:00"/>
    <s v="Valid"/>
    <b v="1"/>
    <b v="1"/>
    <d v="2026-02-15T00:00:00"/>
    <s v="8146441484"/>
    <s v="8146441484"/>
    <s v="8146441484"/>
    <s v="Valid"/>
    <s v="romil69@hotmail.com"/>
    <m/>
    <n v="16279.74"/>
    <m/>
    <n v="189"/>
    <n v="189"/>
    <s v="M54"/>
  </r>
  <r>
    <s v="P2358"/>
    <s v="Renee Hayer"/>
    <s v="Renee Hayer"/>
    <x v="1"/>
    <n v="2"/>
    <n v="2"/>
    <s v="Neurology"/>
    <s v="Neurology"/>
    <s v="dr priya"/>
    <s v="Dr Priya"/>
    <d v="2025-12-01T00:00:00"/>
    <s v="Valid"/>
    <b v="1"/>
    <b v="1"/>
    <d v="2025-11-24T00:00:00"/>
    <s v="00271702365"/>
    <s v="00271702365"/>
    <s v="0271702365"/>
    <s v="Valid"/>
    <s v="agatejhanvi@gmail.com"/>
    <s v="Y"/>
    <n v="5319.45"/>
    <s v="Y"/>
    <n v="242"/>
    <n v="242"/>
    <s v="A09"/>
  </r>
  <r>
    <s v="P2359"/>
    <s v="Indrajit Sachdeva"/>
    <s v="Indrajit Sachdeva"/>
    <x v="2"/>
    <n v="84"/>
    <n v="84"/>
    <s v="Pediatrics"/>
    <s v="Pediatrics"/>
    <s v="dr priya"/>
    <s v="Dr Priya"/>
    <d v="2026-03-08T00:00:00"/>
    <s v="Valid"/>
    <b v="1"/>
    <b v="1"/>
    <d v="2026-02-21T00:00:00"/>
    <s v="5986646612"/>
    <s v="5986646612"/>
    <s v="5986646612"/>
    <s v="Valid"/>
    <s v="chiragdesai@gmail.com"/>
    <m/>
    <n v="14321.32"/>
    <s v="Yes"/>
    <n v="530"/>
    <n v="530"/>
    <s v="C34"/>
  </r>
  <r>
    <s v="P2361"/>
    <s v="Kimaya Lad"/>
    <s v="Kimaya Lad"/>
    <x v="2"/>
    <n v="8"/>
    <n v="8"/>
    <s v="General Medicine"/>
    <s v="General Medicine"/>
    <s v="DR SHARMA"/>
    <s v="Dr Sharma"/>
    <d v="2026-01-25T00:00:00"/>
    <s v="Valid"/>
    <b v="1"/>
    <b v="1"/>
    <d v="2026-01-18T00:00:00"/>
    <s v="+912987396195"/>
    <s v="912987396195"/>
    <s v="2987396195"/>
    <s v="Valid"/>
    <s v="nirvi38@grewal.com"/>
    <s v="Y"/>
    <n v="19972.29"/>
    <s v="Y"/>
    <n v="453"/>
    <n v="453"/>
    <s v="C34"/>
  </r>
  <r>
    <s v="P2362"/>
    <s v="Riya Aggarwal"/>
    <s v="Riya Aggarwal"/>
    <x v="5"/>
    <n v="30"/>
    <n v="30"/>
    <s v="General Medicine"/>
    <s v="General Medicine"/>
    <s v="Dr Mehta"/>
    <s v="Dr Mehta"/>
    <d v="2025-11-27T00:00:00"/>
    <s v="Valid"/>
    <b v="1"/>
    <b v="1"/>
    <d v="2025-11-26T00:00:00"/>
    <s v="6169376648"/>
    <s v="6169376648"/>
    <s v="6169376648"/>
    <s v="Valid"/>
    <s v="fateh79@badami.com"/>
    <s v="Y"/>
    <n v="13889"/>
    <s v="NO"/>
    <n v="480"/>
    <n v="480"/>
    <s v="E11"/>
  </r>
  <r>
    <s v="P2363"/>
    <s v="Pihu Din"/>
    <s v="Pihu Din"/>
    <x v="2"/>
    <n v="17"/>
    <n v="17"/>
    <s v="Oncology"/>
    <s v="Oncology"/>
    <s v="Dr Rao"/>
    <s v="Dr Rao"/>
    <d v="2025-12-23T00:00:00"/>
    <s v="Valid"/>
    <b v="1"/>
    <b v="1"/>
    <d v="2025-12-17T00:00:00"/>
    <s v="9121545137"/>
    <s v="9121545137"/>
    <s v="9121545137"/>
    <s v="Valid"/>
    <s v="pkhare@sanghvi.biz"/>
    <s v="NO"/>
    <n v="6249.73"/>
    <m/>
    <n v="337"/>
    <n v="337"/>
    <s v="I10"/>
  </r>
  <r>
    <s v="P2364"/>
    <s v="Ritvik Dhingra"/>
    <s v="Ritvik Dhingra"/>
    <x v="0"/>
    <n v="41"/>
    <n v="41"/>
    <s v="Neurology"/>
    <s v="Neurology"/>
    <s v="DR SHARMA"/>
    <s v="Dr Sharma"/>
    <d v="2025-12-03T00:00:00"/>
    <s v="Valid"/>
    <b v="1"/>
    <b v="1"/>
    <d v="2025-11-18T00:00:00"/>
    <s v="+914590800690"/>
    <s v="914590800690"/>
    <s v="4590800690"/>
    <s v="Valid"/>
    <s v="ryan45@sant.com"/>
    <s v="NO"/>
    <n v="11159.07"/>
    <m/>
    <n v="201"/>
    <n v="201"/>
    <s v="I10"/>
  </r>
  <r>
    <s v="P2365"/>
    <s v="Azad Kale"/>
    <s v="Azad Kale"/>
    <x v="5"/>
    <n v="77"/>
    <n v="77"/>
    <s v="General Medicine"/>
    <s v="General Medicine"/>
    <s v="Dr. Sharma"/>
    <s v="Dr. Sharma"/>
    <d v="2025-12-03T00:00:00"/>
    <s v="Valid"/>
    <b v="1"/>
    <b v="1"/>
    <d v="2025-11-15T00:00:00"/>
    <s v="0429258961"/>
    <s v="0429258961"/>
    <s v="0429258961"/>
    <s v="Valid"/>
    <s v="biju50@gmail.com"/>
    <s v="Yes"/>
    <n v="14626.5"/>
    <s v="NO"/>
    <n v="468"/>
    <n v="468"/>
    <s v="M54"/>
  </r>
  <r>
    <s v="P2366"/>
    <s v="Mehul Keer"/>
    <s v="Mehul Keer"/>
    <x v="5"/>
    <n v="76"/>
    <n v="76"/>
    <s v="General Medicine"/>
    <s v="General Medicine"/>
    <s v="Dr Rao"/>
    <s v="Dr Rao"/>
    <d v="2025-12-14T00:00:00"/>
    <s v="Valid"/>
    <b v="1"/>
    <b v="1"/>
    <d v="2025-12-06T00:00:00"/>
    <s v="01671741102"/>
    <s v="01671741102"/>
    <s v="1671741102"/>
    <s v="Valid"/>
    <s v="aryazaina@bandi.com"/>
    <m/>
    <n v="15113.58"/>
    <m/>
    <n v="423"/>
    <n v="423"/>
    <s v="E11"/>
  </r>
  <r>
    <s v="P2367"/>
    <s v="Dhruv Ghosh"/>
    <s v="Dhruv Ghosh"/>
    <x v="2"/>
    <n v="65"/>
    <n v="65"/>
    <s v="General Medicine"/>
    <s v="General Medicine"/>
    <s v="Dr. Sharma"/>
    <s v="Dr. Sharma"/>
    <d v="2026-01-10T00:00:00"/>
    <s v="Valid"/>
    <b v="1"/>
    <b v="1"/>
    <d v="2025-12-11T00:00:00"/>
    <s v="6845013014"/>
    <s v="6845013014"/>
    <s v="6845013014"/>
    <s v="Valid"/>
    <s v="kartik05@chanda-bali.info"/>
    <s v="Y"/>
    <n v="6752.16"/>
    <s v="N"/>
    <n v="274"/>
    <n v="274"/>
    <s v="J20"/>
  </r>
  <r>
    <s v="P2368"/>
    <s v="Elakshi Bajwa"/>
    <s v="Elakshi Bajwa"/>
    <x v="0"/>
    <n v="81"/>
    <n v="81"/>
    <s v="General Medicine"/>
    <s v="General Medicine"/>
    <s v="Dr Mehta"/>
    <s v="Dr Mehta"/>
    <d v="2026-02-20T00:00:00"/>
    <s v="Valid"/>
    <b v="1"/>
    <b v="1"/>
    <d v="2026-01-27T00:00:00"/>
    <s v="07999777970"/>
    <s v="07999777970"/>
    <s v="7999777970"/>
    <s v="Valid"/>
    <s v="trisha46@yahoo.com"/>
    <s v="Yes"/>
    <n v="12291.99"/>
    <s v="NO"/>
    <n v="360"/>
    <n v="360"/>
    <s v="M54"/>
  </r>
  <r>
    <s v="P2369"/>
    <s v="Samarth Acharya"/>
    <s v="Samarth Acharya"/>
    <x v="3"/>
    <n v="21"/>
    <n v="21"/>
    <s v="Orthopedics"/>
    <s v="Orthopedics"/>
    <s v="Dr Mehta"/>
    <s v="Dr Mehta"/>
    <d v="2025-12-13T00:00:00"/>
    <s v="Valid"/>
    <b v="1"/>
    <b v="1"/>
    <d v="2025-11-19T00:00:00"/>
    <s v="07052683459"/>
    <s v="07052683459"/>
    <s v="7052683459"/>
    <s v="Valid"/>
    <s v="samarth28@gulati.net"/>
    <m/>
    <n v="16889.810000000001"/>
    <s v="NO"/>
    <n v="541"/>
    <n v="541"/>
    <s v="M54"/>
  </r>
  <r>
    <s v="P2370"/>
    <s v="Yashvi Hari"/>
    <s v="Yashvi Hari"/>
    <x v="2"/>
    <n v="82"/>
    <n v="82"/>
    <s v="Orthopedics"/>
    <s v="Orthopedics"/>
    <s v="DR SHARMA"/>
    <s v="Dr Sharma"/>
    <d v="2025-12-22T00:00:00"/>
    <s v="Valid"/>
    <b v="1"/>
    <b v="1"/>
    <d v="2025-11-28T00:00:00"/>
    <s v="+913045162481"/>
    <s v="913045162481"/>
    <s v="3045162481"/>
    <s v="Valid"/>
    <s v="deshmukheshani@hotmail.com"/>
    <s v="NO"/>
    <n v="19118.75"/>
    <s v="N"/>
    <n v="257"/>
    <n v="257"/>
    <s v="A09"/>
  </r>
  <r>
    <s v="P2371"/>
    <s v="Nitya Varghese"/>
    <s v="Nitya Varghese"/>
    <x v="0"/>
    <n v="41"/>
    <n v="41"/>
    <s v="General Medicine"/>
    <s v="General Medicine"/>
    <s v="Dr Mehta"/>
    <s v="Dr Mehta"/>
    <d v="2026-04-26T00:00:00"/>
    <s v="Valid"/>
    <b v="1"/>
    <b v="1"/>
    <d v="2026-04-05T00:00:00"/>
    <s v="06243428744"/>
    <s v="06243428744"/>
    <s v="6243428744"/>
    <s v="Valid"/>
    <s v="vsengupta@gmail.com"/>
    <s v="Y"/>
    <n v="23203.279999999999"/>
    <s v="N"/>
    <n v="392"/>
    <n v="392"/>
    <s v="C34"/>
  </r>
  <r>
    <s v="P2372"/>
    <s v="Parinaaz Varty"/>
    <s v="Parinaaz Varty"/>
    <x v="4"/>
    <n v="42"/>
    <n v="42"/>
    <s v="Orthopedics"/>
    <s v="Orthopedics"/>
    <s v="DR SHARMA"/>
    <s v="Dr Sharma"/>
    <d v="2026-05-02T00:00:00"/>
    <s v="Valid"/>
    <b v="1"/>
    <b v="1"/>
    <d v="2026-04-08T00:00:00"/>
    <s v="+913059997141"/>
    <s v="913059997141"/>
    <s v="3059997141"/>
    <s v="Valid"/>
    <s v="daminichokshi@yahoo.com"/>
    <m/>
    <n v="19688.12"/>
    <s v="Y"/>
    <n v="412"/>
    <n v="412"/>
    <s v="C34"/>
  </r>
  <r>
    <s v="P2373"/>
    <s v="Amani Bhakta"/>
    <s v="Amani Bhakta"/>
    <x v="4"/>
    <n v="42"/>
    <n v="42"/>
    <s v="General Medicine"/>
    <s v="General Medicine"/>
    <s v="dr priya"/>
    <s v="Dr Priya"/>
    <d v="2026-01-07T00:00:00"/>
    <s v="Valid"/>
    <b v="1"/>
    <b v="1"/>
    <d v="2025-12-14T00:00:00"/>
    <s v="4495186785"/>
    <s v="4495186785"/>
    <s v="4495186785"/>
    <s v="Valid"/>
    <s v="choudhuryraghav@yahoo.com"/>
    <s v="Y"/>
    <n v="5872.35"/>
    <s v="Yes"/>
    <n v="341"/>
    <n v="341"/>
    <s v="K21"/>
  </r>
  <r>
    <s v="P2374"/>
    <s v="Krish Choudhary"/>
    <s v="Krish Choudhary"/>
    <x v="0"/>
    <n v="48"/>
    <n v="48"/>
    <s v="Orthopedics"/>
    <s v="Orthopedics"/>
    <s v="Dr. Sharma"/>
    <s v="Dr. Sharma"/>
    <d v="2026-03-06T00:00:00"/>
    <s v="Valid"/>
    <b v="1"/>
    <b v="1"/>
    <d v="2026-02-24T00:00:00"/>
    <s v="06404925861"/>
    <s v="06404925861"/>
    <s v="6404925861"/>
    <s v="Valid"/>
    <s v="rati73@baral.biz"/>
    <s v="N"/>
    <n v="20764.939999999999"/>
    <s v="NO"/>
    <n v="330"/>
    <n v="330"/>
    <s v="J20"/>
  </r>
  <r>
    <s v="P2376"/>
    <s v="Samar Basak"/>
    <s v="Samar Basak"/>
    <x v="4"/>
    <n v="59"/>
    <n v="59"/>
    <s v="Oncology"/>
    <s v="Oncology"/>
    <s v="Dr Rao"/>
    <s v="Dr Rao"/>
    <d v="2026-05-13T00:00:00"/>
    <s v="Valid"/>
    <b v="1"/>
    <b v="1"/>
    <d v="2026-04-17T00:00:00"/>
    <s v="8735729534"/>
    <s v="8735729534"/>
    <s v="8735729534"/>
    <s v="Valid"/>
    <s v="himmatthakur@hotmail.com"/>
    <s v="NO"/>
    <n v="5373.5"/>
    <s v="Yes"/>
    <n v="250"/>
    <n v="250"/>
    <s v="K21"/>
  </r>
  <r>
    <s v="P2377"/>
    <s v="Adira Raman"/>
    <s v="Adira Raman"/>
    <x v="2"/>
    <n v="4"/>
    <n v="4"/>
    <s v="ENT"/>
    <s v="ENT"/>
    <s v="dr priya"/>
    <s v="Dr Priya"/>
    <d v="2026-01-04T00:00:00"/>
    <s v="Valid"/>
    <b v="1"/>
    <b v="1"/>
    <d v="2025-12-10T00:00:00"/>
    <s v="01684146594"/>
    <s v="01684146594"/>
    <s v="1684146594"/>
    <s v="Valid"/>
    <s v="jivin75@suresh-master.com"/>
    <m/>
    <n v="8276.99"/>
    <s v="N"/>
    <n v="508"/>
    <n v="508"/>
    <s v="E11"/>
  </r>
  <r>
    <s v="P2378"/>
    <s v="Lavanya Deo"/>
    <s v="Lavanya Deo"/>
    <x v="3"/>
    <n v="36"/>
    <n v="36"/>
    <s v="Neurology"/>
    <s v="Neurology"/>
    <s v="Dr Mehta"/>
    <s v="Dr Mehta"/>
    <d v="2025-12-27T00:00:00"/>
    <s v="Valid"/>
    <b v="1"/>
    <b v="1"/>
    <d v="2025-12-20T00:00:00"/>
    <s v="+919697325224"/>
    <s v="919697325224"/>
    <s v="9697325224"/>
    <s v="Valid"/>
    <s v="broy@chauhan.com"/>
    <s v="Yes"/>
    <n v="8271.98"/>
    <m/>
    <n v="469"/>
    <n v="469"/>
    <s v="A09"/>
  </r>
  <r>
    <s v="P2379"/>
    <s v="Ishita Mall"/>
    <s v="Ishita Mall"/>
    <x v="3"/>
    <n v="6"/>
    <n v="6"/>
    <s v="Dermatology"/>
    <s v="Dermatology"/>
    <s v="Dr Khan"/>
    <s v="Dr Khan"/>
    <d v="2026-05-14T00:00:00"/>
    <s v="Valid"/>
    <b v="1"/>
    <b v="1"/>
    <d v="2026-05-07T00:00:00"/>
    <s v="7978867494"/>
    <s v="7978867494"/>
    <s v="7978867494"/>
    <s v="Valid"/>
    <s v="bhattkabir@sharaf-chadha.com"/>
    <s v="Y"/>
    <n v="24675.84"/>
    <m/>
    <n v="130"/>
    <n v="130"/>
    <s v="I10"/>
  </r>
  <r>
    <s v="P2380"/>
    <s v="Riaan Zacharia"/>
    <s v="Riaan Zacharia"/>
    <x v="0"/>
    <n v="82"/>
    <n v="82"/>
    <s v="ENT"/>
    <s v="ENT"/>
    <s v="Dr. Sharma"/>
    <s v="Dr. Sharma"/>
    <d v="2026-04-03T00:00:00"/>
    <s v="Valid"/>
    <b v="1"/>
    <b v="1"/>
    <d v="2026-03-17T00:00:00"/>
    <s v="0257516915"/>
    <s v="0257516915"/>
    <s v="0257516915"/>
    <s v="Valid"/>
    <s v="sarinaarush@datta.com"/>
    <s v="N"/>
    <n v="11065.48"/>
    <s v="Yes"/>
    <n v="156"/>
    <n v="156"/>
    <s v="M54"/>
  </r>
  <r>
    <s v="P2381"/>
    <s v="Chirag Chaudry"/>
    <s v="Chirag Chaudry"/>
    <x v="4"/>
    <n v="10"/>
    <n v="10"/>
    <s v="ENT"/>
    <s v="ENT"/>
    <s v="dr priya"/>
    <s v="Dr Priya"/>
    <d v="2026-01-28T00:00:00"/>
    <s v="Valid"/>
    <b v="1"/>
    <b v="1"/>
    <d v="2026-01-02T00:00:00"/>
    <s v="2141618585"/>
    <s v="2141618585"/>
    <s v="2141618585"/>
    <s v="Valid"/>
    <s v="aainashroff@kakar-mangal.com"/>
    <s v="Yes"/>
    <n v="21873.98"/>
    <s v="Yes"/>
    <n v="393"/>
    <n v="393"/>
    <s v="E11"/>
  </r>
  <r>
    <s v="P2382"/>
    <s v="Tushar Babu"/>
    <s v="Tushar Babu"/>
    <x v="2"/>
    <n v="57"/>
    <n v="57"/>
    <s v="Pediatrics"/>
    <s v="Pediatrics"/>
    <s v="dr priya"/>
    <s v="Dr Priya"/>
    <d v="2026-05-22T00:00:00"/>
    <s v="Valid"/>
    <b v="1"/>
    <b v="1"/>
    <d v="2026-05-04T00:00:00"/>
    <s v="03851112838"/>
    <s v="03851112838"/>
    <s v="3851112838"/>
    <s v="Valid"/>
    <s v="csarna@yahoo.com"/>
    <s v="Y"/>
    <n v="14005.53"/>
    <s v="Yes"/>
    <n v="453"/>
    <n v="453"/>
    <s v="I10"/>
  </r>
  <r>
    <s v="P2383"/>
    <s v="Jiya Wable"/>
    <s v="Jiya Wable"/>
    <x v="4"/>
    <n v="9"/>
    <n v="9"/>
    <s v="ENT"/>
    <s v="ENT"/>
    <s v="dr priya"/>
    <s v="Dr Priya"/>
    <d v="2026-02-09T00:00:00"/>
    <s v="Valid"/>
    <b v="1"/>
    <b v="1"/>
    <d v="2026-01-12T00:00:00"/>
    <s v="06851075869"/>
    <s v="06851075869"/>
    <s v="6851075869"/>
    <s v="Valid"/>
    <s v="adahkannan@gmail.com"/>
    <m/>
    <n v="18732.38"/>
    <s v="N"/>
    <n v="194"/>
    <n v="194"/>
    <s v="J20"/>
  </r>
  <r>
    <s v="P2384"/>
    <s v="Nehmat Bakshi"/>
    <s v="Nehmat Bakshi"/>
    <x v="3"/>
    <n v="30"/>
    <n v="30"/>
    <s v="General Medicine"/>
    <s v="General Medicine"/>
    <s v="dr priya"/>
    <s v="Dr Priya"/>
    <d v="2026-01-25T00:00:00"/>
    <s v="Valid"/>
    <b v="1"/>
    <b v="1"/>
    <d v="2026-01-15T00:00:00"/>
    <s v="7814178051"/>
    <s v="7814178051"/>
    <s v="7814178051"/>
    <s v="Valid"/>
    <s v="dishani71@bath.com"/>
    <s v="NO"/>
    <n v="17006.189999999999"/>
    <s v="Yes"/>
    <n v="230"/>
    <n v="230"/>
    <s v="A09"/>
  </r>
  <r>
    <s v="P2385"/>
    <s v="Aarush Seshadri"/>
    <s v="Aarush Seshadri"/>
    <x v="0"/>
    <n v="18"/>
    <n v="18"/>
    <s v="Neurology"/>
    <s v="Neurology"/>
    <s v="dr priya"/>
    <s v="Dr Priya"/>
    <d v="2026-04-02T00:00:00"/>
    <s v="Valid"/>
    <b v="1"/>
    <b v="1"/>
    <d v="2026-03-20T00:00:00"/>
    <s v="+913217356934"/>
    <s v="913217356934"/>
    <s v="3217356934"/>
    <s v="Valid"/>
    <s v="zaintripathi@suresh.com"/>
    <m/>
    <n v="20190.41"/>
    <s v="Yes"/>
    <n v="525"/>
    <n v="525"/>
    <s v="A09"/>
  </r>
  <r>
    <s v="P2386"/>
    <s v="Eva Sibal"/>
    <s v="Eva Sibal"/>
    <x v="0"/>
    <n v="66"/>
    <n v="66"/>
    <s v="ENT"/>
    <s v="ENT"/>
    <s v="Dr Rao"/>
    <s v="Dr Rao"/>
    <d v="2025-12-20T00:00:00"/>
    <s v="Valid"/>
    <b v="1"/>
    <b v="1"/>
    <d v="2025-12-02T00:00:00"/>
    <s v="7112165942"/>
    <s v="7112165942"/>
    <s v="7112165942"/>
    <s v="Valid"/>
    <s v="piya25@shukla-deo.info"/>
    <m/>
    <n v="24892.23"/>
    <s v="NO"/>
    <n v="504"/>
    <n v="504"/>
    <s v="A09"/>
  </r>
  <r>
    <s v="P2387"/>
    <s v="Elakshi Sangha"/>
    <s v="Elakshi Sangha"/>
    <x v="3"/>
    <n v="37"/>
    <n v="37"/>
    <s v="ENT"/>
    <s v="ENT"/>
    <s v="Dr Mehta"/>
    <s v="Dr Mehta"/>
    <d v="2026-02-20T00:00:00"/>
    <s v="Valid"/>
    <b v="1"/>
    <b v="1"/>
    <d v="2026-01-28T00:00:00"/>
    <s v="01010081225"/>
    <s v="01010081225"/>
    <s v="1010081225"/>
    <s v="Valid"/>
    <s v="ulala@ravel-sibal.com"/>
    <s v="NO"/>
    <n v="14219.61"/>
    <s v="NO"/>
    <n v="372"/>
    <n v="372"/>
    <s v="E11"/>
  </r>
  <r>
    <s v="P2388"/>
    <s v="Ritvik Chaudhari"/>
    <s v="Ritvik Chaudhari"/>
    <x v="2"/>
    <n v="74"/>
    <n v="74"/>
    <s v="General Medicine"/>
    <s v="General Medicine"/>
    <s v="DR SHARMA"/>
    <s v="Dr Sharma"/>
    <d v="2025-12-26T00:00:00"/>
    <s v="Valid"/>
    <b v="1"/>
    <b v="1"/>
    <d v="2025-12-02T00:00:00"/>
    <s v="+914043183372"/>
    <s v="914043183372"/>
    <s v="4043183372"/>
    <s v="Valid"/>
    <s v="jiyajohal@yahoo.com"/>
    <s v="NO"/>
    <n v="19224.46"/>
    <m/>
    <n v="518"/>
    <n v="518"/>
    <s v="J20"/>
  </r>
  <r>
    <s v="P2389"/>
    <s v="Prerak Yadav"/>
    <s v="Prerak Yadav"/>
    <x v="3"/>
    <n v="58"/>
    <n v="58"/>
    <s v="Orthopedics"/>
    <s v="Orthopedics"/>
    <s v="dr priya"/>
    <s v="Dr Priya"/>
    <d v="2026-01-22T00:00:00"/>
    <s v="Valid"/>
    <b v="1"/>
    <b v="1"/>
    <d v="2026-01-20T00:00:00"/>
    <s v="0308907223"/>
    <s v="0308907223"/>
    <s v="0308907223"/>
    <s v="Valid"/>
    <s v="chiragsuri@saxena.net"/>
    <s v="Yes"/>
    <n v="16266.43"/>
    <s v="NO"/>
    <n v="332"/>
    <n v="332"/>
    <s v="A09"/>
  </r>
  <r>
    <s v="P2391"/>
    <s v="Gatik Bala"/>
    <s v="Gatik Bala"/>
    <x v="4"/>
    <n v="34"/>
    <n v="34"/>
    <s v="Pediatrics"/>
    <s v="Pediatrics"/>
    <s v="dr priya"/>
    <s v="Dr Priya"/>
    <d v="2026-05-13T00:00:00"/>
    <s v="Valid"/>
    <b v="1"/>
    <b v="1"/>
    <d v="2026-04-26T00:00:00"/>
    <s v="03302651243"/>
    <s v="03302651243"/>
    <s v="3302651243"/>
    <s v="Valid"/>
    <s v="anahi07@hotmail.com"/>
    <m/>
    <n v="16409.59"/>
    <s v="N"/>
    <n v="494"/>
    <n v="494"/>
    <s v="K21"/>
  </r>
  <r>
    <s v="P2392"/>
    <s v="Madhav Issac"/>
    <s v="Madhav Issac"/>
    <x v="2"/>
    <n v="74"/>
    <n v="74"/>
    <s v="Orthopedics"/>
    <s v="Orthopedics"/>
    <s v="DR SHARMA"/>
    <s v="Dr Sharma"/>
    <d v="2026-05-11T00:00:00"/>
    <s v="Valid"/>
    <b v="1"/>
    <b v="1"/>
    <d v="2026-04-17T00:00:00"/>
    <s v="+918746898976"/>
    <s v="918746898976"/>
    <s v="8746898976"/>
    <s v="Valid"/>
    <s v="hirandoctor@tiwari.net"/>
    <s v="Yes"/>
    <n v="5312.38"/>
    <s v="Y"/>
    <n v="151"/>
    <n v="151"/>
    <s v="I10"/>
  </r>
  <r>
    <s v="P2393"/>
    <s v="Darshit Joshi"/>
    <s v="Darshit Joshi"/>
    <x v="0"/>
    <n v="17"/>
    <n v="17"/>
    <s v="ENT"/>
    <s v="ENT"/>
    <s v="Dr Mehta"/>
    <s v="Dr Mehta"/>
    <d v="2026-03-04T00:00:00"/>
    <s v="Valid"/>
    <b v="1"/>
    <b v="1"/>
    <d v="2026-02-22T00:00:00"/>
    <s v="09895915335"/>
    <s v="09895915335"/>
    <s v="9895915335"/>
    <s v="Valid"/>
    <s v="himmatsani@yahoo.com"/>
    <s v="N"/>
    <n v="23225.94"/>
    <s v="N"/>
    <n v="203"/>
    <n v="203"/>
    <s v="J20"/>
  </r>
  <r>
    <s v="P2394"/>
    <s v="Shalv Sem"/>
    <s v="Shalv Sem"/>
    <x v="4"/>
    <n v="55"/>
    <n v="55"/>
    <s v="Oncology"/>
    <s v="Oncology"/>
    <s v="DR SHARMA"/>
    <s v="Dr Sharma"/>
    <d v="2025-12-28T00:00:00"/>
    <s v="Valid"/>
    <b v="1"/>
    <b v="1"/>
    <d v="2025-11-29T00:00:00"/>
    <s v="2929213127"/>
    <s v="2929213127"/>
    <s v="2929213127"/>
    <s v="Valid"/>
    <s v="owali@golla-mangal.com"/>
    <s v="NO"/>
    <n v="19354.16"/>
    <s v="Yes"/>
    <n v="170"/>
    <n v="170"/>
    <s v="M54"/>
  </r>
  <r>
    <s v="P2396"/>
    <s v="Nirvaan Dua"/>
    <s v="Nirvaan Dua"/>
    <x v="5"/>
    <n v="27"/>
    <n v="27"/>
    <s v="Dermatology"/>
    <s v="Dermatology"/>
    <s v="Dr Mehta"/>
    <s v="Dr Mehta"/>
    <d v="2026-03-31T00:00:00"/>
    <s v="Valid"/>
    <b v="1"/>
    <b v="1"/>
    <d v="2026-03-29T00:00:00"/>
    <s v="05423772905"/>
    <s v="05423772905"/>
    <s v="5423772905"/>
    <s v="Valid"/>
    <s v="anahitabumb@yahoo.com"/>
    <s v="Yes"/>
    <n v="12766.24"/>
    <s v="NO"/>
    <n v="183"/>
    <n v="183"/>
    <s v="K21"/>
  </r>
  <r>
    <s v="P2397"/>
    <s v="Mahika Bora"/>
    <s v="Mahika Bora"/>
    <x v="5"/>
    <n v="16"/>
    <n v="16"/>
    <s v="General Medicine"/>
    <s v="General Medicine"/>
    <s v="dr priya"/>
    <s v="Dr Priya"/>
    <d v="2026-01-30T00:00:00"/>
    <s v="Valid"/>
    <b v="1"/>
    <b v="1"/>
    <d v="2026-01-07T00:00:00"/>
    <s v="01177232031"/>
    <s v="01177232031"/>
    <s v="1177232031"/>
    <s v="Valid"/>
    <s v="vanya94@yahoo.com"/>
    <s v="N"/>
    <n v="10495.17"/>
    <s v="N"/>
    <n v="146"/>
    <n v="146"/>
    <s v="K21"/>
  </r>
  <r>
    <s v="P2398"/>
    <s v="Tiya Mani"/>
    <s v="Tiya Mani"/>
    <x v="2"/>
    <n v="62"/>
    <n v="62"/>
    <s v="Oncology"/>
    <s v="Oncology"/>
    <s v="Dr Mehta"/>
    <s v="Dr Mehta"/>
    <d v="2026-05-27T00:00:00"/>
    <s v="Valid"/>
    <b v="1"/>
    <b v="1"/>
    <d v="2026-04-27T00:00:00"/>
    <s v="+914752543470"/>
    <s v="914752543470"/>
    <s v="4752543470"/>
    <s v="Valid"/>
    <s v="hrishita03@hotmail.com"/>
    <m/>
    <n v="600.41"/>
    <m/>
    <n v="511"/>
    <n v="511"/>
    <s v="M54"/>
  </r>
  <r>
    <s v="P2399"/>
    <s v="Divyansh Balasubramanian"/>
    <s v="Divyansh Balasubramanian"/>
    <x v="1"/>
    <n v="13"/>
    <n v="13"/>
    <s v="ENT"/>
    <s v="ENT"/>
    <s v="dr priya"/>
    <s v="Dr Priya"/>
    <d v="2026-06-01T00:00:00"/>
    <s v="Valid"/>
    <b v="1"/>
    <b v="1"/>
    <d v="2026-05-02T00:00:00"/>
    <s v="01442909434"/>
    <s v="01442909434"/>
    <s v="1442909434"/>
    <s v="Valid"/>
    <s v="hsodhi@gmail.com"/>
    <s v="Y"/>
    <n v="20946.060000000001"/>
    <m/>
    <n v="534"/>
    <n v="534"/>
    <s v="C34"/>
  </r>
  <r>
    <s v="P2401"/>
    <s v="Hazel Raju"/>
    <s v="Hazel Raju"/>
    <x v="2"/>
    <n v="6"/>
    <n v="6"/>
    <s v="Orthopedics"/>
    <s v="Orthopedics"/>
    <s v="DR SHARMA"/>
    <s v="Dr Sharma"/>
    <d v="2026-04-03T00:00:00"/>
    <s v="Valid"/>
    <b v="1"/>
    <b v="1"/>
    <d v="2026-03-29T00:00:00"/>
    <s v="1921884409"/>
    <s v="1921884409"/>
    <s v="1921884409"/>
    <s v="Valid"/>
    <s v="zeeshanhegde@chopra.com"/>
    <s v="Yes"/>
    <n v="3373.12"/>
    <s v="Y"/>
    <n v="171"/>
    <n v="171"/>
    <s v="C34"/>
  </r>
  <r>
    <s v="P2402"/>
    <s v="Jayan Kunda"/>
    <s v="Jayan Kunda"/>
    <x v="3"/>
    <n v="5"/>
    <n v="5"/>
    <s v="Cardiology"/>
    <s v="Cardiology"/>
    <s v="DR SHARMA"/>
    <s v="Dr Sharma"/>
    <d v="2026-03-07T00:00:00"/>
    <s v="Valid"/>
    <b v="1"/>
    <b v="1"/>
    <d v="2026-02-08T00:00:00"/>
    <s v="+914377947880"/>
    <s v="914377947880"/>
    <s v="4377947880"/>
    <s v="Valid"/>
    <s v="jbalakrishnan@gmail.com"/>
    <s v="Y"/>
    <n v="9418.26"/>
    <m/>
    <n v="521"/>
    <n v="521"/>
    <s v="E11"/>
  </r>
  <r>
    <s v="P2403"/>
    <s v="Divit Deshmukh"/>
    <s v="Divit Deshmukh"/>
    <x v="1"/>
    <n v="23"/>
    <n v="23"/>
    <s v="Orthopedics"/>
    <s v="Orthopedics"/>
    <s v="Dr Mehta"/>
    <s v="Dr Mehta"/>
    <d v="2025-12-26T00:00:00"/>
    <s v="Valid"/>
    <b v="1"/>
    <b v="1"/>
    <d v="2025-12-03T00:00:00"/>
    <s v="03616193618"/>
    <s v="03616193618"/>
    <s v="3616193618"/>
    <s v="Valid"/>
    <s v="raghav69@master.com"/>
    <s v="Yes"/>
    <n v="9253.69"/>
    <s v="NO"/>
    <n v="502"/>
    <n v="502"/>
    <s v="E11"/>
  </r>
  <r>
    <s v="P2404"/>
    <s v="Inaaya  Sahota"/>
    <s v="Inaaya Sahota"/>
    <x v="0"/>
    <n v="64"/>
    <n v="64"/>
    <s v="Pediatrics"/>
    <s v="Pediatrics"/>
    <s v="Dr. Sharma"/>
    <s v="Dr. Sharma"/>
    <d v="2026-04-24T00:00:00"/>
    <s v="Valid"/>
    <b v="1"/>
    <b v="1"/>
    <d v="2026-04-12T00:00:00"/>
    <s v="02102529933"/>
    <s v="02102529933"/>
    <s v="2102529933"/>
    <s v="Valid"/>
    <s v="hansh35@yahoo.com"/>
    <s v="N"/>
    <n v="22742.73"/>
    <s v="Yes"/>
    <n v="418"/>
    <n v="418"/>
    <s v="J20"/>
  </r>
  <r>
    <s v="P2405"/>
    <s v="Shamik Devan"/>
    <s v="Shamik Devan"/>
    <x v="0"/>
    <n v="4"/>
    <n v="4"/>
    <s v="ENT"/>
    <s v="ENT"/>
    <s v="Dr Rao"/>
    <s v="Dr Rao"/>
    <d v="2026-01-09T00:00:00"/>
    <s v="Valid"/>
    <b v="1"/>
    <b v="1"/>
    <d v="2025-12-12T00:00:00"/>
    <s v="08579346522"/>
    <s v="08579346522"/>
    <s v="8579346522"/>
    <s v="Valid"/>
    <s v="bmander@yahoo.com"/>
    <m/>
    <n v="1048.72"/>
    <s v="Y"/>
    <n v="308"/>
    <n v="308"/>
    <s v="I10"/>
  </r>
  <r>
    <s v="P2406"/>
    <s v="Yuvaan Bandi"/>
    <s v="Yuvaan Bandi"/>
    <x v="1"/>
    <n v="77"/>
    <n v="77"/>
    <s v="Orthopedics"/>
    <s v="Orthopedics"/>
    <s v="Dr Mehta"/>
    <s v="Dr Mehta"/>
    <d v="2025-12-17T00:00:00"/>
    <s v="Valid"/>
    <b v="1"/>
    <b v="1"/>
    <d v="2025-12-14T00:00:00"/>
    <s v="9023949348"/>
    <s v="9023949348"/>
    <s v="9023949348"/>
    <s v="Valid"/>
    <s v="nirvaansawhney@contractor-raju.org"/>
    <s v="Yes"/>
    <n v="8846.93"/>
    <s v="N"/>
    <n v="147"/>
    <n v="147"/>
    <s v="M54"/>
  </r>
  <r>
    <s v="P2407"/>
    <s v="Khushi Sodhi"/>
    <s v="Khushi Sodhi"/>
    <x v="2"/>
    <n v="15"/>
    <n v="15"/>
    <s v="General Medicine"/>
    <s v="General Medicine"/>
    <s v="Dr Khan"/>
    <s v="Dr Khan"/>
    <d v="2026-01-11T00:00:00"/>
    <s v="Valid"/>
    <b v="1"/>
    <b v="1"/>
    <d v="2025-12-29T00:00:00"/>
    <s v="+916778837693"/>
    <s v="916778837693"/>
    <s v="6778837693"/>
    <s v="Valid"/>
    <s v="chanderkiaan@kara-ray.biz"/>
    <m/>
    <n v="3533.25"/>
    <s v="Yes"/>
    <n v="259"/>
    <n v="259"/>
    <s v="M54"/>
  </r>
  <r>
    <s v="P2408"/>
    <s v="Romil Saha"/>
    <s v="Romil Saha"/>
    <x v="3"/>
    <n v="33"/>
    <n v="33"/>
    <s v="Orthopedics"/>
    <s v="Orthopedics"/>
    <s v="dr priya"/>
    <s v="Dr Priya"/>
    <d v="2026-05-20T00:00:00"/>
    <s v="Valid"/>
    <b v="1"/>
    <b v="1"/>
    <d v="2026-04-29T00:00:00"/>
    <s v="5420622823"/>
    <s v="5420622823"/>
    <s v="5420622823"/>
    <s v="Valid"/>
    <s v="tarini74@roy.net"/>
    <s v="N"/>
    <n v="23931.25"/>
    <s v="NO"/>
    <n v="344"/>
    <n v="344"/>
    <s v="M54"/>
  </r>
  <r>
    <s v="P2409"/>
    <s v="Kismat Yadav"/>
    <s v="Kismat Yadav"/>
    <x v="5"/>
    <n v="17"/>
    <n v="17"/>
    <s v="Pediatrics"/>
    <s v="Pediatrics"/>
    <s v="Dr Mehta"/>
    <s v="Dr Mehta"/>
    <d v="2026-03-02T00:00:00"/>
    <s v="Valid"/>
    <b v="1"/>
    <b v="1"/>
    <d v="2026-02-05T00:00:00"/>
    <s v="6237805727"/>
    <s v="6237805727"/>
    <s v="6237805727"/>
    <s v="Valid"/>
    <s v="borareyansh@deo-gole.com"/>
    <s v="Yes"/>
    <n v="5793.69"/>
    <s v="NO"/>
    <n v="480"/>
    <n v="480"/>
    <s v="I10"/>
  </r>
  <r>
    <s v="P2410"/>
    <s v="Samiha Kala"/>
    <s v="Samiha Kala"/>
    <x v="1"/>
    <n v="37"/>
    <n v="37"/>
    <s v="Neurology"/>
    <s v="Neurology"/>
    <s v="DR SHARMA"/>
    <s v="Dr Sharma"/>
    <d v="2026-02-14T00:00:00"/>
    <s v="Valid"/>
    <b v="1"/>
    <b v="1"/>
    <d v="2026-02-07T00:00:00"/>
    <s v="09164231724"/>
    <s v="09164231724"/>
    <s v="9164231724"/>
    <s v="Valid"/>
    <s v="oraja@gmail.com"/>
    <s v="Y"/>
    <n v="4778.74"/>
    <s v="Yes"/>
    <n v="268"/>
    <n v="268"/>
    <s v="C34"/>
  </r>
  <r>
    <s v="P2411"/>
    <s v="Miraan Bassi"/>
    <s v="Miraan Bassi"/>
    <x v="3"/>
    <n v="86"/>
    <n v="86"/>
    <s v="Oncology"/>
    <s v="Oncology"/>
    <s v="Dr Mehta"/>
    <s v="Dr Mehta"/>
    <d v="2026-04-15T00:00:00"/>
    <s v="Valid"/>
    <b v="1"/>
    <b v="1"/>
    <d v="2026-04-05T00:00:00"/>
    <s v="4838016260"/>
    <s v="4838016260"/>
    <s v="4838016260"/>
    <s v="Valid"/>
    <s v="aradhyadalia@gmail.com"/>
    <m/>
    <n v="9494.31"/>
    <s v="Y"/>
    <n v="396"/>
    <n v="396"/>
    <s v="C34"/>
  </r>
  <r>
    <s v="P2412"/>
    <s v="Aarna Toor"/>
    <s v="Aarna Toor"/>
    <x v="0"/>
    <n v="50"/>
    <n v="50"/>
    <s v="Cardiology"/>
    <s v="Cardiology"/>
    <s v="DR SHARMA"/>
    <s v="Dr Sharma"/>
    <d v="2026-05-01T00:00:00"/>
    <s v="Valid"/>
    <b v="1"/>
    <b v="1"/>
    <d v="2026-04-26T00:00:00"/>
    <s v="+911372729932"/>
    <s v="911372729932"/>
    <s v="1372729932"/>
    <s v="Valid"/>
    <s v="arhaanrau@rau.com"/>
    <s v="Yes"/>
    <n v="3745.27"/>
    <s v="Yes"/>
    <n v="527"/>
    <n v="527"/>
    <s v="K21"/>
  </r>
  <r>
    <s v="P2414"/>
    <s v="Rohan Bath"/>
    <s v="Rohan Bath"/>
    <x v="1"/>
    <n v="58"/>
    <n v="58"/>
    <s v="Pediatrics"/>
    <s v="Pediatrics"/>
    <s v="Dr Khan"/>
    <s v="Dr Khan"/>
    <d v="2026-04-29T00:00:00"/>
    <s v="Valid"/>
    <b v="1"/>
    <b v="1"/>
    <d v="2026-04-10T00:00:00"/>
    <s v="+916208945897"/>
    <s v="916208945897"/>
    <s v="6208945897"/>
    <s v="Valid"/>
    <s v="golladharmajan@chadha.com"/>
    <s v="Y"/>
    <n v="13737.81"/>
    <s v="NO"/>
    <n v="481"/>
    <n v="481"/>
    <s v="J20"/>
  </r>
  <r>
    <s v="P2415"/>
    <s v="Nakul Kulkarni"/>
    <s v="Nakul Kulkarni"/>
    <x v="2"/>
    <n v="44"/>
    <n v="44"/>
    <s v="Orthopedics"/>
    <s v="Orthopedics"/>
    <s v="Dr. Sharma"/>
    <s v="Dr. Sharma"/>
    <d v="2026-01-07T00:00:00"/>
    <s v="Valid"/>
    <b v="1"/>
    <b v="1"/>
    <d v="2025-12-28T00:00:00"/>
    <s v="+918176096144"/>
    <s v="918176096144"/>
    <s v="8176096144"/>
    <s v="Valid"/>
    <s v="krish52@tiwari.com"/>
    <m/>
    <n v="19345.79"/>
    <m/>
    <n v="439"/>
    <n v="439"/>
    <s v="I10"/>
  </r>
  <r>
    <s v="P2416"/>
    <s v="Abram Madan"/>
    <s v="Abram Madan"/>
    <x v="2"/>
    <n v="67"/>
    <n v="67"/>
    <s v="Oncology"/>
    <s v="Oncology"/>
    <s v="Dr Mehta"/>
    <s v="Dr Mehta"/>
    <d v="2026-03-26T00:00:00"/>
    <s v="Valid"/>
    <b v="1"/>
    <b v="1"/>
    <d v="2026-03-01T00:00:00"/>
    <s v="05045171757"/>
    <s v="05045171757"/>
    <s v="5045171757"/>
    <s v="Valid"/>
    <s v="taimur40@bhandari.info"/>
    <s v="N"/>
    <n v="10777.56"/>
    <s v="Yes"/>
    <n v="378"/>
    <n v="378"/>
    <s v="E11"/>
  </r>
  <r>
    <s v="P2417"/>
    <s v="Kaira Venkatesh"/>
    <s v="Kaira Venkatesh"/>
    <x v="2"/>
    <n v="30"/>
    <n v="30"/>
    <s v="General Medicine"/>
    <s v="General Medicine"/>
    <s v="Dr Mehta"/>
    <s v="Dr Mehta"/>
    <d v="2025-12-08T00:00:00"/>
    <s v="Valid"/>
    <b v="1"/>
    <b v="1"/>
    <d v="2025-12-05T00:00:00"/>
    <s v="02943653564"/>
    <s v="02943653564"/>
    <s v="2943653564"/>
    <s v="Valid"/>
    <s v="vritikabanerjee@gmail.com"/>
    <s v="Y"/>
    <n v="3332.22"/>
    <s v="NO"/>
    <n v="257"/>
    <n v="257"/>
    <s v="M54"/>
  </r>
  <r>
    <s v="P2418"/>
    <s v="Oorja Savant"/>
    <s v="Oorja Savant"/>
    <x v="1"/>
    <n v="71"/>
    <n v="71"/>
    <s v="Neurology"/>
    <s v="Neurology"/>
    <s v="Dr Mehta"/>
    <s v="Dr Mehta"/>
    <d v="2025-12-21T00:00:00"/>
    <s v="Valid"/>
    <b v="1"/>
    <b v="1"/>
    <d v="2025-12-09T00:00:00"/>
    <s v="4974265411"/>
    <s v="4974265411"/>
    <s v="4974265411"/>
    <s v="Valid"/>
    <s v="advik91@hotmail.com"/>
    <s v="NO"/>
    <n v="3714.37"/>
    <s v="N"/>
    <n v="497"/>
    <n v="497"/>
    <s v="I10"/>
  </r>
  <r>
    <s v="P2419"/>
    <s v="Zoya Ray"/>
    <s v="Zoya Ray"/>
    <x v="5"/>
    <n v="46"/>
    <n v="46"/>
    <s v="Orthopedics"/>
    <s v="Orthopedics"/>
    <s v="Dr Rao"/>
    <s v="Dr Rao"/>
    <d v="2025-12-30T00:00:00"/>
    <s v="Valid"/>
    <b v="1"/>
    <b v="1"/>
    <d v="2025-12-05T00:00:00"/>
    <s v="1094365929"/>
    <s v="1094365929"/>
    <s v="1094365929"/>
    <s v="Valid"/>
    <s v="shethzara@yahoo.com"/>
    <s v="N"/>
    <n v="13578.54"/>
    <s v="Y"/>
    <n v="291"/>
    <n v="291"/>
    <s v="E11"/>
  </r>
  <r>
    <s v="P2420"/>
    <s v="Diya Ganesh"/>
    <s v="Diya Ganesh"/>
    <x v="2"/>
    <n v="88"/>
    <n v="88"/>
    <s v="Orthopedics"/>
    <s v="Orthopedics"/>
    <s v="DR SHARMA"/>
    <s v="Dr Sharma"/>
    <d v="2026-03-18T00:00:00"/>
    <s v="Valid"/>
    <b v="1"/>
    <b v="1"/>
    <d v="2026-02-20T00:00:00"/>
    <s v="7778028901"/>
    <s v="7778028901"/>
    <s v="7778028901"/>
    <s v="Valid"/>
    <s v="walijiya@hotmail.com"/>
    <s v="Yes"/>
    <n v="13612.37"/>
    <m/>
    <n v="539"/>
    <n v="539"/>
    <s v="E11"/>
  </r>
  <r>
    <s v="P2421"/>
    <s v="Nayantara Dua"/>
    <s v="Nayantara Dua"/>
    <x v="0"/>
    <n v="7"/>
    <n v="7"/>
    <s v="Dermatology"/>
    <s v="Dermatology"/>
    <s v="Dr. Sharma"/>
    <s v="Dr. Sharma"/>
    <d v="2026-02-09T00:00:00"/>
    <s v="Valid"/>
    <b v="1"/>
    <b v="1"/>
    <d v="2026-01-28T00:00:00"/>
    <s v="06666984914"/>
    <s v="06666984914"/>
    <s v="6666984914"/>
    <s v="Valid"/>
    <s v="hgolla@krishna.com"/>
    <m/>
    <n v="22364.86"/>
    <m/>
    <n v="264"/>
    <n v="264"/>
    <s v="E11"/>
  </r>
  <r>
    <s v="P2422"/>
    <s v="Jiya Varughese"/>
    <s v="Jiya Varughese"/>
    <x v="0"/>
    <n v="1"/>
    <n v="1"/>
    <s v="Neurology"/>
    <s v="Neurology"/>
    <s v="Dr. Sharma"/>
    <s v="Dr. Sharma"/>
    <d v="2026-01-09T00:00:00"/>
    <s v="Valid"/>
    <b v="1"/>
    <b v="1"/>
    <d v="2025-12-18T00:00:00"/>
    <s v="+918860868901"/>
    <s v="918860868901"/>
    <s v="8860868901"/>
    <s v="Valid"/>
    <s v="chandranishith@gmail.com"/>
    <s v="Y"/>
    <n v="5377.12"/>
    <s v="NO"/>
    <n v="130"/>
    <n v="130"/>
    <s v="K21"/>
  </r>
  <r>
    <s v="P2423"/>
    <s v="Kavya Ganesh"/>
    <s v="Kavya Ganesh"/>
    <x v="1"/>
    <n v="18"/>
    <n v="18"/>
    <s v="Orthopedics"/>
    <s v="Orthopedics"/>
    <s v="Dr Khan"/>
    <s v="Dr Khan"/>
    <d v="2026-05-27T00:00:00"/>
    <s v="Valid"/>
    <b v="1"/>
    <b v="1"/>
    <d v="2026-05-01T00:00:00"/>
    <s v="+915013892478"/>
    <s v="915013892478"/>
    <s v="5013892478"/>
    <s v="Valid"/>
    <s v="alisha55@amble.org"/>
    <s v="Yes"/>
    <n v="19161.900000000001"/>
    <s v="N"/>
    <n v="300"/>
    <n v="300"/>
    <s v="K21"/>
  </r>
  <r>
    <s v="P2424"/>
    <s v="Hunar Mander"/>
    <s v="Hunar Mander"/>
    <x v="4"/>
    <n v="83"/>
    <n v="83"/>
    <s v="Dermatology"/>
    <s v="Dermatology"/>
    <s v="dr priya"/>
    <s v="Dr Priya"/>
    <d v="2026-03-28T00:00:00"/>
    <s v="Valid"/>
    <b v="1"/>
    <b v="1"/>
    <d v="2026-03-10T00:00:00"/>
    <s v="03724372948"/>
    <s v="03724372948"/>
    <s v="3724372948"/>
    <s v="Valid"/>
    <s v="bhallazara@yahoo.com"/>
    <s v="NO"/>
    <n v="6364.62"/>
    <s v="NO"/>
    <n v="136"/>
    <n v="136"/>
    <s v="E11"/>
  </r>
  <r>
    <s v="P2425"/>
    <s v="Himmat Sundaram"/>
    <s v="Himmat Sundaram"/>
    <x v="0"/>
    <n v="18"/>
    <n v="18"/>
    <s v="Dermatology"/>
    <s v="Dermatology"/>
    <s v="Dr Mehta"/>
    <s v="Dr Mehta"/>
    <d v="2025-12-31T00:00:00"/>
    <s v="Valid"/>
    <b v="1"/>
    <b v="1"/>
    <d v="2025-12-08T00:00:00"/>
    <s v="01810204802"/>
    <s v="01810204802"/>
    <s v="1810204802"/>
    <s v="Valid"/>
    <s v="anikadube@hotmail.com"/>
    <s v="Yes"/>
    <n v="5304.61"/>
    <s v="Y"/>
    <n v="444"/>
    <n v="444"/>
    <s v="J20"/>
  </r>
  <r>
    <s v="P2426"/>
    <s v="Adah Batta"/>
    <s v="Adah Batta"/>
    <x v="2"/>
    <n v="2"/>
    <n v="2"/>
    <s v="Neurology"/>
    <s v="Neurology"/>
    <s v="Dr. Sharma"/>
    <s v="Dr. Sharma"/>
    <d v="2026-05-08T00:00:00"/>
    <s v="Valid"/>
    <b v="1"/>
    <b v="1"/>
    <d v="2026-04-22T00:00:00"/>
    <s v="+910682981409"/>
    <s v="910682981409"/>
    <s v="0682981409"/>
    <s v="Valid"/>
    <s v="sara97@tank.biz"/>
    <s v="NO"/>
    <n v="19337.12"/>
    <m/>
    <n v="218"/>
    <n v="218"/>
    <s v="C34"/>
  </r>
  <r>
    <s v="P2427"/>
    <s v="Ranbir Buch"/>
    <s v="Ranbir Buch"/>
    <x v="3"/>
    <n v="39"/>
    <n v="39"/>
    <s v="Neurology"/>
    <s v="Neurology"/>
    <s v="Dr Khan"/>
    <s v="Dr Khan"/>
    <d v="2026-02-15T00:00:00"/>
    <s v="Valid"/>
    <b v="1"/>
    <b v="1"/>
    <d v="2026-02-11T00:00:00"/>
    <s v="+912465252313"/>
    <s v="912465252313"/>
    <s v="2465252313"/>
    <s v="Valid"/>
    <s v="dtiwari@yahoo.com"/>
    <s v="NO"/>
    <n v="22029.63"/>
    <s v="NO"/>
    <n v="548"/>
    <n v="548"/>
    <s v="J20"/>
  </r>
  <r>
    <s v="P2428"/>
    <s v="Shanaya Mander"/>
    <s v="Shanaya Mander"/>
    <x v="0"/>
    <n v="49"/>
    <n v="49"/>
    <s v="Oncology"/>
    <s v="Oncology"/>
    <s v="Dr Mehta"/>
    <s v="Dr Mehta"/>
    <d v="2026-01-12T00:00:00"/>
    <s v="Valid"/>
    <b v="1"/>
    <b v="1"/>
    <d v="2025-12-23T00:00:00"/>
    <s v="6969449223"/>
    <s v="6969449223"/>
    <s v="6969449223"/>
    <s v="Valid"/>
    <s v="ishaanchopra@hotmail.com"/>
    <m/>
    <n v="10762.58"/>
    <s v="Y"/>
    <n v="548"/>
    <n v="548"/>
    <s v="C34"/>
  </r>
  <r>
    <s v="P2429"/>
    <s v="Sumer Suri"/>
    <s v="Sumer Suri"/>
    <x v="3"/>
    <n v="38"/>
    <n v="38"/>
    <s v="Pediatrics"/>
    <s v="Pediatrics"/>
    <s v="Dr Mehta"/>
    <s v="Dr Mehta"/>
    <d v="2026-02-19T00:00:00"/>
    <s v="Valid"/>
    <b v="1"/>
    <b v="1"/>
    <d v="2026-02-17T00:00:00"/>
    <s v="+914933081495"/>
    <s v="914933081495"/>
    <s v="4933081495"/>
    <s v="Valid"/>
    <s v="khushi34@hotmail.com"/>
    <s v="N"/>
    <n v="6184.06"/>
    <m/>
    <n v="528"/>
    <n v="528"/>
    <s v="C34"/>
  </r>
  <r>
    <s v="P2431"/>
    <s v="Yuvaan Kanda"/>
    <s v="Yuvaan Kanda"/>
    <x v="2"/>
    <n v="54"/>
    <n v="54"/>
    <s v="Oncology"/>
    <s v="Oncology"/>
    <s v="dr priya"/>
    <s v="Dr Priya"/>
    <d v="2026-02-05T00:00:00"/>
    <s v="Valid"/>
    <b v="1"/>
    <b v="1"/>
    <d v="2026-02-03T00:00:00"/>
    <s v="+912814042697"/>
    <s v="912814042697"/>
    <s v="2814042697"/>
    <s v="Valid"/>
    <s v="bhaktadrishya@gmail.com"/>
    <s v="Yes"/>
    <n v="2708.05"/>
    <m/>
    <n v="224"/>
    <n v="224"/>
    <s v="A09"/>
  </r>
  <r>
    <s v="P2432"/>
    <s v="Kartik Chawla"/>
    <s v="Kartik Chawla"/>
    <x v="3"/>
    <n v="29"/>
    <n v="29"/>
    <s v="Dermatology"/>
    <s v="Dermatology"/>
    <s v="Dr. Sharma"/>
    <s v="Dr. Sharma"/>
    <d v="2026-03-28T00:00:00"/>
    <s v="Valid"/>
    <b v="1"/>
    <b v="1"/>
    <d v="2026-03-25T00:00:00"/>
    <s v="03674179423"/>
    <s v="03674179423"/>
    <s v="3674179423"/>
    <s v="Valid"/>
    <s v="shlokbiswas@hotmail.com"/>
    <m/>
    <n v="14104.63"/>
    <m/>
    <n v="410"/>
    <n v="410"/>
    <s v="A09"/>
  </r>
  <r>
    <s v="P2433"/>
    <s v="Elakshi Dhar"/>
    <s v="Elakshi Dhar"/>
    <x v="1"/>
    <n v="6"/>
    <n v="6"/>
    <s v="Neurology"/>
    <s v="Neurology"/>
    <s v="Dr Mehta"/>
    <s v="Dr Mehta"/>
    <d v="2026-01-28T00:00:00"/>
    <s v="Valid"/>
    <b v="1"/>
    <b v="1"/>
    <d v="2026-01-10T00:00:00"/>
    <s v="04436419438"/>
    <s v="04436419438"/>
    <s v="4436419438"/>
    <s v="Valid"/>
    <s v="ramakrishnansuhana@gmail.com"/>
    <s v="NO"/>
    <n v="3113.34"/>
    <s v="N"/>
    <n v="284"/>
    <n v="284"/>
    <s v="A09"/>
  </r>
  <r>
    <s v="P2434"/>
    <s v="Abram Srinivasan"/>
    <s v="Abram Srinivasan"/>
    <x v="1"/>
    <n v="51"/>
    <n v="51"/>
    <s v="Cardiology"/>
    <s v="Cardiology"/>
    <s v="dr priya"/>
    <s v="Dr Priya"/>
    <d v="2026-02-28T00:00:00"/>
    <s v="Valid"/>
    <b v="1"/>
    <b v="1"/>
    <d v="2026-02-08T00:00:00"/>
    <s v="03484308152"/>
    <s v="03484308152"/>
    <s v="3484308152"/>
    <s v="Valid"/>
    <s v="vanyakunda@hotmail.com"/>
    <m/>
    <n v="21335.38"/>
    <s v="Yes"/>
    <n v="304"/>
    <n v="304"/>
    <s v="K21"/>
  </r>
  <r>
    <s v="P2435"/>
    <s v="Jiya Edwin"/>
    <s v="Jiya Edwin"/>
    <x v="1"/>
    <n v="86"/>
    <n v="86"/>
    <s v="Cardiology"/>
    <s v="Cardiology"/>
    <s v="DR SHARMA"/>
    <s v="Dr Sharma"/>
    <d v="2026-04-12T00:00:00"/>
    <s v="Valid"/>
    <b v="1"/>
    <b v="1"/>
    <d v="2026-03-25T00:00:00"/>
    <s v="01114985962"/>
    <s v="01114985962"/>
    <s v="1114985962"/>
    <s v="Valid"/>
    <s v="igupta@gmail.com"/>
    <s v="Yes"/>
    <n v="798.78"/>
    <s v="NO"/>
    <n v="150"/>
    <n v="150"/>
    <s v="J20"/>
  </r>
  <r>
    <s v="P2436"/>
    <s v="Bhavin Korpal"/>
    <s v="Bhavin Korpal"/>
    <x v="1"/>
    <n v="4"/>
    <n v="4"/>
    <s v="General Medicine"/>
    <s v="General Medicine"/>
    <s v="Dr. Sharma"/>
    <s v="Dr. Sharma"/>
    <d v="2026-02-07T00:00:00"/>
    <s v="Valid"/>
    <b v="1"/>
    <b v="1"/>
    <d v="2026-01-27T00:00:00"/>
    <s v="2794273618"/>
    <s v="2794273618"/>
    <s v="2794273618"/>
    <s v="Valid"/>
    <s v="aayushsabharwal@ravel-mander.com"/>
    <s v="N"/>
    <n v="8938.99"/>
    <s v="N"/>
    <n v="241"/>
    <n v="241"/>
    <s v="M54"/>
  </r>
  <r>
    <s v="P2437"/>
    <s v="Drishya Chadha"/>
    <s v="Drishya Chadha"/>
    <x v="0"/>
    <n v="42"/>
    <n v="42"/>
    <s v="General Medicine"/>
    <s v="General Medicine"/>
    <s v="Dr. Sharma"/>
    <s v="Dr. Sharma"/>
    <d v="2026-03-28T00:00:00"/>
    <s v="Valid"/>
    <b v="1"/>
    <b v="1"/>
    <d v="2026-03-04T00:00:00"/>
    <s v="6504151723"/>
    <s v="6504151723"/>
    <s v="6504151723"/>
    <s v="Valid"/>
    <s v="swamyritvik@vaidya.com"/>
    <s v="Yes"/>
    <n v="5392.65"/>
    <s v="NO"/>
    <n v="479"/>
    <n v="479"/>
    <s v="M54"/>
  </r>
  <r>
    <s v="P2438"/>
    <s v="Yuvaan Ganguly"/>
    <s v="Yuvaan Ganguly"/>
    <x v="2"/>
    <n v="23"/>
    <n v="23"/>
    <s v="General Medicine"/>
    <s v="General Medicine"/>
    <s v="Dr Mehta"/>
    <s v="Dr Mehta"/>
    <d v="2026-03-23T00:00:00"/>
    <s v="Valid"/>
    <b v="1"/>
    <b v="1"/>
    <d v="2026-03-13T00:00:00"/>
    <s v="3575733948"/>
    <s v="3575733948"/>
    <s v="3575733948"/>
    <s v="Valid"/>
    <s v="raunakkota@yahoo.com"/>
    <s v="N"/>
    <n v="15486.79"/>
    <s v="N"/>
    <n v="262"/>
    <n v="262"/>
    <s v="K21"/>
  </r>
  <r>
    <s v="P2439"/>
    <s v="Emir Bhatt"/>
    <s v="Emir Bhatt"/>
    <x v="0"/>
    <n v="13"/>
    <n v="13"/>
    <s v="Neurology"/>
    <s v="Neurology"/>
    <s v="dr priya"/>
    <s v="Dr Priya"/>
    <d v="2026-01-02T00:00:00"/>
    <s v="Valid"/>
    <b v="1"/>
    <b v="1"/>
    <d v="2025-12-23T00:00:00"/>
    <s v="2299111904"/>
    <s v="2299111904"/>
    <s v="2299111904"/>
    <s v="Valid"/>
    <s v="hazelrajagopal@hotmail.com"/>
    <m/>
    <n v="16058.98"/>
    <m/>
    <n v="203"/>
    <n v="203"/>
    <s v="J20"/>
  </r>
  <r>
    <s v="P2440"/>
    <s v="  Amira Kumer "/>
    <s v="Amira Kumer"/>
    <x v="3"/>
    <n v="45"/>
    <n v="45"/>
    <s v="ENT"/>
    <s v="ENT"/>
    <s v="Dr Khan"/>
    <s v="Dr Khan"/>
    <d v="2026-02-15T00:00:00"/>
    <s v="Valid"/>
    <b v="1"/>
    <b v="1"/>
    <d v="2026-01-18T00:00:00"/>
    <s v="09997891454"/>
    <s v="09997891454"/>
    <s v="9997891454"/>
    <s v="Valid"/>
    <m/>
    <s v="N"/>
    <n v="-500"/>
    <s v="Y"/>
    <n v="265"/>
    <n v="265"/>
    <s v="I10"/>
  </r>
  <r>
    <s v="P2441"/>
    <s v="Piya Rege"/>
    <s v="Piya Rege"/>
    <x v="2"/>
    <n v="25"/>
    <n v="25"/>
    <s v="Oncology"/>
    <s v="Oncology"/>
    <s v="Dr. Sharma"/>
    <s v="Dr. Sharma"/>
    <d v="2026-03-22T00:00:00"/>
    <s v="Valid"/>
    <b v="1"/>
    <b v="1"/>
    <d v="2026-02-26T00:00:00"/>
    <s v="+915950877303"/>
    <s v="915950877303"/>
    <s v="5950877303"/>
    <s v="Valid"/>
    <s v="ishita11@rastogi.com"/>
    <s v="Yes"/>
    <n v="10069.69"/>
    <s v="NO"/>
    <n v="201"/>
    <n v="201"/>
    <s v="I10"/>
  </r>
  <r>
    <s v="P2442"/>
    <s v="Aarna Chaudhari"/>
    <s v="Aarna Chaudhari"/>
    <x v="2"/>
    <n v="77"/>
    <n v="77"/>
    <s v="Dermatology"/>
    <s v="Dermatology"/>
    <s v="Dr. Sharma"/>
    <s v="Dr. Sharma"/>
    <d v="2026-02-27T00:00:00"/>
    <s v="Valid"/>
    <b v="1"/>
    <b v="1"/>
    <d v="2026-02-23T00:00:00"/>
    <s v="03787726104"/>
    <s v="03787726104"/>
    <s v="3787726104"/>
    <s v="Valid"/>
    <s v="bvarty@singhal.org"/>
    <s v="N"/>
    <n v="13414.13"/>
    <m/>
    <n v="168"/>
    <n v="168"/>
    <s v="M54"/>
  </r>
  <r>
    <s v="P2443"/>
    <s v="Diya Mane"/>
    <s v="Diya Mane"/>
    <x v="2"/>
    <n v="38"/>
    <n v="38"/>
    <s v="Neurology"/>
    <s v="Neurology"/>
    <s v="dr priya"/>
    <s v="Dr Priya"/>
    <d v="2026-03-03T00:00:00"/>
    <s v="Valid"/>
    <b v="1"/>
    <b v="1"/>
    <d v="2026-02-24T00:00:00"/>
    <s v="2317725512"/>
    <s v="2317725512"/>
    <s v="2317725512"/>
    <s v="Valid"/>
    <s v="khareelakshi@zacharia-sahota.info"/>
    <m/>
    <n v="20688.12"/>
    <s v="N"/>
    <n v="380"/>
    <n v="380"/>
    <s v="E11"/>
  </r>
  <r>
    <s v="P2444"/>
    <s v="Aayush Varma"/>
    <s v="Aayush Varma"/>
    <x v="0"/>
    <n v="4"/>
    <n v="4"/>
    <s v="General Medicine"/>
    <s v="General Medicine"/>
    <s v="DR SHARMA"/>
    <s v="Dr Sharma"/>
    <d v="2026-02-22T00:00:00"/>
    <s v="Valid"/>
    <b v="1"/>
    <b v="1"/>
    <d v="2026-01-27T00:00:00"/>
    <s v="+914060758005"/>
    <s v="914060758005"/>
    <s v="4060758005"/>
    <s v="Valid"/>
    <s v="bhatnagarjhanvi@yahoo.com"/>
    <s v="NO"/>
    <n v="6284.72"/>
    <s v="N"/>
    <n v="325"/>
    <n v="325"/>
    <s v="C34"/>
  </r>
  <r>
    <s v="P2445"/>
    <s v="Kanav Khanna"/>
    <s v="Kanav Khanna"/>
    <x v="5"/>
    <n v="19"/>
    <n v="19"/>
    <s v="Cardiology"/>
    <s v="Cardiology"/>
    <s v="Dr. Sharma"/>
    <s v="Dr. Sharma"/>
    <d v="2026-01-01T00:00:00"/>
    <s v="Valid"/>
    <b v="1"/>
    <b v="1"/>
    <d v="2025-12-25T00:00:00"/>
    <s v="+917280321816"/>
    <s v="917280321816"/>
    <s v="7280321816"/>
    <s v="Valid"/>
    <s v="varmazara@hotmail.com"/>
    <s v="Yes"/>
    <n v="21466.78"/>
    <m/>
    <n v="529"/>
    <n v="529"/>
    <s v="M54"/>
  </r>
  <r>
    <s v="P2446"/>
    <s v="Dhanush Bains"/>
    <s v="Dhanush Bains"/>
    <x v="1"/>
    <n v="72"/>
    <n v="72"/>
    <s v="Pediatrics"/>
    <s v="Pediatrics"/>
    <s v="dr priya"/>
    <s v="Dr Priya"/>
    <d v="2025-12-06T00:00:00"/>
    <s v="Valid"/>
    <b v="1"/>
    <b v="1"/>
    <d v="2025-12-01T00:00:00"/>
    <s v="7819854296"/>
    <s v="7819854296"/>
    <s v="7819854296"/>
    <s v="Valid"/>
    <s v="raniagoda@wable.biz"/>
    <m/>
    <n v="15755.93"/>
    <m/>
    <n v="482"/>
    <n v="482"/>
    <s v="J20"/>
  </r>
  <r>
    <s v="P2447"/>
    <s v="Saanvi Bhat"/>
    <s v="Saanvi Bhat"/>
    <x v="2"/>
    <n v="34"/>
    <n v="34"/>
    <s v="Dermatology"/>
    <s v="Dermatology"/>
    <s v="dr priya"/>
    <s v="Dr Priya"/>
    <d v="2025-12-22T00:00:00"/>
    <s v="Valid"/>
    <b v="1"/>
    <b v="1"/>
    <d v="2025-12-11T00:00:00"/>
    <s v="03798453215"/>
    <s v="03798453215"/>
    <s v="3798453215"/>
    <s v="Valid"/>
    <s v="kiaandara@thakur.net"/>
    <s v="NO"/>
    <n v="8139.84"/>
    <s v="NO"/>
    <n v="139"/>
    <n v="139"/>
    <s v="C34"/>
  </r>
  <r>
    <s v="P2448"/>
    <s v="Bhavin Chaudhary"/>
    <s v="Bhavin Chaudhary"/>
    <x v="4"/>
    <n v="42"/>
    <n v="42"/>
    <s v="Pediatrics"/>
    <s v="Pediatrics"/>
    <s v="Dr Mehta"/>
    <s v="Dr Mehta"/>
    <d v="2026-05-01T00:00:00"/>
    <s v="Valid"/>
    <b v="1"/>
    <b v="1"/>
    <d v="2026-04-28T00:00:00"/>
    <s v="3273914486"/>
    <s v="3273914486"/>
    <s v="3273914486"/>
    <s v="Valid"/>
    <s v="mamootymadan@yahoo.com"/>
    <m/>
    <n v="13476.93"/>
    <s v="NO"/>
    <n v="513"/>
    <n v="513"/>
    <s v="K21"/>
  </r>
  <r>
    <s v="P2449"/>
    <s v="Shray Kumer"/>
    <s v="Shray Kumer"/>
    <x v="5"/>
    <n v="45"/>
    <n v="45"/>
    <s v="Pediatrics"/>
    <s v="Pediatrics"/>
    <s v="Dr Khan"/>
    <s v="Dr Khan"/>
    <d v="2026-03-16T00:00:00"/>
    <s v="Valid"/>
    <b v="1"/>
    <b v="1"/>
    <d v="2026-03-08T00:00:00"/>
    <s v="0520601983"/>
    <s v="0520601983"/>
    <s v="0520601983"/>
    <s v="Valid"/>
    <s v="reneekala@sha-batra.com"/>
    <s v="Yes"/>
    <n v="11613.92"/>
    <m/>
    <n v="354"/>
    <n v="354"/>
    <s v="A09"/>
  </r>
  <r>
    <s v="P2450"/>
    <s v="Anahita Raval"/>
    <s v="Anahita Raval"/>
    <x v="1"/>
    <n v="9"/>
    <n v="9"/>
    <s v="Orthopedics"/>
    <s v="Orthopedics"/>
    <s v="Dr Rao"/>
    <s v="Dr Rao"/>
    <d v="2026-03-19T00:00:00"/>
    <s v="Valid"/>
    <b v="1"/>
    <b v="1"/>
    <d v="2026-03-02T00:00:00"/>
    <s v="12345"/>
    <s v="12345"/>
    <s v="12345"/>
    <s v="Valid"/>
    <s v="sridharzeeshan@bhatti.info"/>
    <m/>
    <n v="14063.1"/>
    <s v="Yes"/>
    <n v="277"/>
    <n v="277"/>
    <s v="M54"/>
  </r>
  <r>
    <s v="P2451"/>
    <s v="Tushar Sheth"/>
    <s v="Tushar Sheth"/>
    <x v="4"/>
    <n v="9"/>
    <n v="9"/>
    <s v="ENT"/>
    <s v="ENT"/>
    <s v="Dr Mehta"/>
    <s v="Dr Mehta"/>
    <d v="2026-06-02T00:00:00"/>
    <s v="Valid"/>
    <b v="1"/>
    <b v="1"/>
    <d v="2026-05-03T00:00:00"/>
    <s v="+917899018108"/>
    <s v="917899018108"/>
    <s v="7899018108"/>
    <s v="Valid"/>
    <s v="zain30@gmail.com"/>
    <s v="Y"/>
    <n v="14329.89"/>
    <s v="Yes"/>
    <n v="465"/>
    <n v="465"/>
    <s v="A09"/>
  </r>
  <r>
    <s v="P2452"/>
    <s v="Taimur Rama"/>
    <s v="Taimur Rama"/>
    <x v="3"/>
    <n v="56"/>
    <n v="56"/>
    <s v="Orthopedics"/>
    <s v="Orthopedics"/>
    <s v="dr priya"/>
    <s v="Dr Priya"/>
    <d v="2026-02-26T00:00:00"/>
    <s v="Valid"/>
    <b v="1"/>
    <b v="1"/>
    <d v="2026-02-20T00:00:00"/>
    <s v="06212229131"/>
    <s v="06212229131"/>
    <s v="6212229131"/>
    <s v="Valid"/>
    <s v="deolbhamini@borra.info"/>
    <m/>
    <n v="7883.67"/>
    <s v="Yes"/>
    <n v="269"/>
    <n v="269"/>
    <s v="E11"/>
  </r>
  <r>
    <s v="P2453"/>
    <s v="Taimur Ganesan"/>
    <s v="Taimur Ganesan"/>
    <x v="1"/>
    <n v="19"/>
    <n v="19"/>
    <s v="ENT"/>
    <s v="ENT"/>
    <s v="Dr Rao"/>
    <s v="Dr Rao"/>
    <d v="2026-05-04T00:00:00"/>
    <s v="Valid"/>
    <b v="1"/>
    <b v="1"/>
    <d v="2026-04-15T00:00:00"/>
    <s v="03002137130"/>
    <s v="03002137130"/>
    <s v="3002137130"/>
    <s v="Valid"/>
    <s v="rameshoorja@yahoo.com"/>
    <s v="Yes"/>
    <n v="17860.419999999998"/>
    <s v="NO"/>
    <n v="400"/>
    <n v="400"/>
    <s v="I10"/>
  </r>
  <r>
    <s v="P2454"/>
    <s v="Kashvi Bal"/>
    <s v="Kashvi Bal"/>
    <x v="2"/>
    <n v="79"/>
    <n v="79"/>
    <s v="Neurology"/>
    <s v="Neurology"/>
    <s v="dr priya"/>
    <s v="Dr Priya"/>
    <d v="2026-03-29T00:00:00"/>
    <s v="Valid"/>
    <b v="1"/>
    <b v="1"/>
    <d v="2026-03-06T00:00:00"/>
    <s v="+910582215911"/>
    <s v="910582215911"/>
    <s v="0582215911"/>
    <s v="Valid"/>
    <s v="skala@hotmail.com"/>
    <s v="Yes"/>
    <n v="18367.400000000001"/>
    <s v="N"/>
    <n v="407"/>
    <n v="407"/>
    <s v="K21"/>
  </r>
  <r>
    <s v="P2455"/>
    <s v="Eva Lanka"/>
    <s v="Eva Lanka"/>
    <x v="4"/>
    <n v="24"/>
    <n v="24"/>
    <s v="Cardiology"/>
    <s v="Cardiology"/>
    <s v="Dr Khan"/>
    <s v="Dr Khan"/>
    <d v="2026-01-27T00:00:00"/>
    <s v="Valid"/>
    <b v="1"/>
    <b v="1"/>
    <d v="2026-01-04T00:00:00"/>
    <s v="+910934440733"/>
    <s v="910934440733"/>
    <s v="0934440733"/>
    <s v="Valid"/>
    <s v="keyarastogi@trivedi.com"/>
    <s v="NO"/>
    <n v="8428.39"/>
    <s v="NO"/>
    <n v="306"/>
    <n v="306"/>
    <s v="A09"/>
  </r>
  <r>
    <s v="P2456"/>
    <s v="Ehsaan Virk"/>
    <s v="Ehsaan Virk"/>
    <x v="1"/>
    <n v="53"/>
    <n v="53"/>
    <s v="Dermatology"/>
    <s v="Dermatology"/>
    <s v="Dr Khan"/>
    <s v="Dr Khan"/>
    <d v="2026-01-08T00:00:00"/>
    <s v="Valid"/>
    <b v="1"/>
    <b v="1"/>
    <d v="2026-01-04T00:00:00"/>
    <s v="09461557051"/>
    <s v="09461557051"/>
    <s v="9461557051"/>
    <s v="Valid"/>
    <s v="evaratta@gokhale.org"/>
    <s v="N"/>
    <n v="4738.1400000000003"/>
    <s v="Yes"/>
    <n v="281"/>
    <n v="281"/>
    <s v="E11"/>
  </r>
  <r>
    <s v="P2457"/>
    <s v="Lakshay Bobal"/>
    <s v="Lakshay Bobal"/>
    <x v="1"/>
    <n v="33"/>
    <n v="33"/>
    <s v="General Medicine"/>
    <s v="General Medicine"/>
    <s v="Dr Mehta"/>
    <s v="Dr Mehta"/>
    <d v="2025-12-31T00:00:00"/>
    <s v="Valid"/>
    <b v="1"/>
    <b v="1"/>
    <d v="2025-12-26T00:00:00"/>
    <s v="01727419299"/>
    <s v="01727419299"/>
    <s v="1727419299"/>
    <s v="Valid"/>
    <s v="ivan78@johal.com"/>
    <s v="Y"/>
    <n v="10155.41"/>
    <s v="N"/>
    <n v="279"/>
    <n v="279"/>
    <s v="C34"/>
  </r>
  <r>
    <s v="P2458"/>
    <s v="Shayak Brar"/>
    <s v="Shayak Brar"/>
    <x v="2"/>
    <n v="44"/>
    <n v="44"/>
    <s v="General Medicine"/>
    <s v="General Medicine"/>
    <s v="Dr Mehta"/>
    <s v="Dr Mehta"/>
    <d v="2026-01-15T00:00:00"/>
    <s v="Valid"/>
    <b v="1"/>
    <b v="1"/>
    <d v="2025-12-30T00:00:00"/>
    <s v="00750909852"/>
    <s v="00750909852"/>
    <s v="0750909852"/>
    <s v="Valid"/>
    <s v="fsehgal@gmail.com"/>
    <s v="Y"/>
    <n v="705.94"/>
    <s v="Yes"/>
    <n v="385"/>
    <n v="385"/>
    <s v="I10"/>
  </r>
  <r>
    <s v="P2459"/>
    <s v="Anahi Yadav"/>
    <s v="Anahi Yadav"/>
    <x v="2"/>
    <n v="13"/>
    <n v="13"/>
    <s v="Orthopedics"/>
    <s v="Orthopedics"/>
    <s v="Dr Rao"/>
    <s v="Dr Rao"/>
    <d v="2026-03-09T00:00:00"/>
    <s v="Valid"/>
    <b v="1"/>
    <b v="1"/>
    <d v="2026-02-07T00:00:00"/>
    <s v="7775075629"/>
    <s v="7775075629"/>
    <s v="7775075629"/>
    <s v="Valid"/>
    <s v="hsundaram@issac.com"/>
    <s v="Yes"/>
    <n v="315.58999999999997"/>
    <m/>
    <n v="256"/>
    <n v="256"/>
    <s v="I10"/>
  </r>
  <r>
    <s v="P2460"/>
    <s v="Zara Banik"/>
    <s v="Zara Banik"/>
    <x v="2"/>
    <n v="9"/>
    <n v="9"/>
    <s v="Orthopedics"/>
    <s v="Orthopedics"/>
    <s v="DR SHARMA"/>
    <s v="Dr Sharma"/>
    <d v="2026-03-13T00:00:00"/>
    <s v="Valid"/>
    <b v="1"/>
    <b v="1"/>
    <d v="2026-02-21T00:00:00"/>
    <s v="06169735074"/>
    <s v="06169735074"/>
    <s v="6169735074"/>
    <s v="Valid"/>
    <s v="madhupbumb@yahoo.com"/>
    <m/>
    <n v="4708.3100000000004"/>
    <s v="N"/>
    <n v="276"/>
    <n v="276"/>
    <s v="I10"/>
  </r>
  <r>
    <s v="P2461"/>
    <s v="Divij Bir"/>
    <s v="Divij Bir"/>
    <x v="4"/>
    <n v="77"/>
    <n v="77"/>
    <s v="ENT"/>
    <s v="ENT"/>
    <s v="Dr Mehta"/>
    <s v="Dr Mehta"/>
    <d v="2026-05-13T00:00:00"/>
    <s v="Valid"/>
    <b v="1"/>
    <b v="1"/>
    <d v="2026-04-15T00:00:00"/>
    <s v="+912846640115"/>
    <s v="912846640115"/>
    <s v="2846640115"/>
    <s v="Valid"/>
    <s v="amirasule@hotmail.com"/>
    <m/>
    <n v="17717.919999999998"/>
    <s v="Y"/>
    <n v="359"/>
    <n v="359"/>
    <s v="E11"/>
  </r>
  <r>
    <s v="P2462"/>
    <s v="Anahita Vala"/>
    <s v="Anahita Vala"/>
    <x v="3"/>
    <n v="4"/>
    <n v="4"/>
    <s v="Cardiology"/>
    <s v="Cardiology"/>
    <s v="Dr Mehta"/>
    <s v="Dr Mehta"/>
    <d v="2026-03-19T00:00:00"/>
    <s v="Valid"/>
    <b v="1"/>
    <b v="1"/>
    <d v="2026-02-22T00:00:00"/>
    <s v="+912617057625"/>
    <s v="912617057625"/>
    <s v="2617057625"/>
    <s v="Valid"/>
    <s v="bhaminisaxena@hotmail.com"/>
    <s v="Y"/>
    <n v="23388.81"/>
    <s v="NO"/>
    <n v="278"/>
    <n v="278"/>
    <s v="C34"/>
  </r>
  <r>
    <s v="P2463"/>
    <s v="Yuvaan Dugal"/>
    <s v="Yuvaan Dugal"/>
    <x v="4"/>
    <n v="76"/>
    <n v="76"/>
    <s v="Orthopedics"/>
    <s v="Orthopedics"/>
    <s v="Dr Mehta"/>
    <s v="Dr Mehta"/>
    <d v="2026-05-22T00:00:00"/>
    <s v="Valid"/>
    <b v="1"/>
    <b v="1"/>
    <d v="2026-05-07T00:00:00"/>
    <s v="03354629123"/>
    <s v="03354629123"/>
    <s v="3354629123"/>
    <s v="Valid"/>
    <s v="aggarwalsamaira@yahoo.com"/>
    <s v="NO"/>
    <n v="15166.88"/>
    <s v="NO"/>
    <n v="332"/>
    <n v="332"/>
    <s v="C34"/>
  </r>
  <r>
    <s v="P2464"/>
    <s v="Jayesh Sachdeva"/>
    <s v="Jayesh Sachdeva"/>
    <x v="1"/>
    <n v="58"/>
    <n v="58"/>
    <s v="Neurology"/>
    <s v="Neurology"/>
    <s v="Dr Mehta"/>
    <s v="Dr Mehta"/>
    <d v="2026-01-14T00:00:00"/>
    <s v="Valid"/>
    <b v="1"/>
    <b v="1"/>
    <d v="2026-01-04T00:00:00"/>
    <s v="06251209082"/>
    <s v="06251209082"/>
    <s v="6251209082"/>
    <s v="Valid"/>
    <s v="tarazeeshan@tak-kulkarni.net"/>
    <s v="NO"/>
    <n v="9269.2000000000007"/>
    <s v="N"/>
    <n v="518"/>
    <n v="518"/>
    <s v="M54"/>
  </r>
  <r>
    <s v="P2465"/>
    <s v="Yashvi Sahota"/>
    <s v="Yashvi Sahota"/>
    <x v="5"/>
    <n v="52"/>
    <n v="52"/>
    <s v="Cardiology"/>
    <s v="Cardiology"/>
    <s v="dr priya"/>
    <s v="Dr Priya"/>
    <d v="2026-03-14T00:00:00"/>
    <s v="Valid"/>
    <b v="1"/>
    <b v="1"/>
    <d v="2026-03-13T00:00:00"/>
    <s v="6924918273"/>
    <s v="6924918273"/>
    <s v="6924918273"/>
    <s v="Valid"/>
    <s v="bbuch@yahoo.com"/>
    <m/>
    <n v="20310.5"/>
    <s v="NO"/>
    <n v="534"/>
    <n v="534"/>
    <s v="A09"/>
  </r>
  <r>
    <s v="P2466"/>
    <s v="Samar Bansal"/>
    <s v="Samar Bansal"/>
    <x v="2"/>
    <n v="85"/>
    <n v="85"/>
    <s v="ENT"/>
    <s v="ENT"/>
    <s v="dr priya"/>
    <s v="Dr Priya"/>
    <d v="2026-02-15T00:00:00"/>
    <s v="Valid"/>
    <b v="1"/>
    <b v="1"/>
    <d v="2026-01-22T00:00:00"/>
    <s v="4356940274"/>
    <s v="4356940274"/>
    <s v="4356940274"/>
    <s v="Valid"/>
    <s v="neysachanda@gmail.com"/>
    <s v="NO"/>
    <n v="7207.53"/>
    <s v="Y"/>
    <n v="329"/>
    <n v="329"/>
    <s v="K21"/>
  </r>
  <r>
    <s v="P2467"/>
    <s v="Ehsaan Madan"/>
    <s v="Ehsaan Madan"/>
    <x v="5"/>
    <n v="38"/>
    <n v="38"/>
    <s v="Dermatology"/>
    <s v="Dermatology"/>
    <s v="dr priya"/>
    <s v="Dr Priya"/>
    <d v="2025-11-30T00:00:00"/>
    <s v="Valid"/>
    <b v="1"/>
    <b v="1"/>
    <d v="2025-11-17T00:00:00"/>
    <s v="+917530606495"/>
    <s v="917530606495"/>
    <s v="7530606495"/>
    <s v="Valid"/>
    <s v="saira74@kohli.com"/>
    <m/>
    <n v="2243.2399999999998"/>
    <s v="Yes"/>
    <n v="351"/>
    <n v="351"/>
    <s v="I10"/>
  </r>
  <r>
    <s v="P2468"/>
    <s v="Mohanlal Sathe"/>
    <s v="Mohanlal Sathe"/>
    <x v="2"/>
    <n v="72"/>
    <n v="72"/>
    <s v="General Medicine"/>
    <s v="General Medicine"/>
    <s v="dr priya"/>
    <s v="Dr Priya"/>
    <d v="2026-01-30T00:00:00"/>
    <s v="Valid"/>
    <b v="1"/>
    <b v="1"/>
    <d v="2026-01-21T00:00:00"/>
    <s v="2324660839"/>
    <s v="2324660839"/>
    <s v="2324660839"/>
    <s v="Valid"/>
    <s v="bhavsarmamooty@gmail.com"/>
    <m/>
    <n v="24808.73"/>
    <s v="Yes"/>
    <n v="494"/>
    <n v="494"/>
    <s v="C34"/>
  </r>
  <r>
    <s v="P2469"/>
    <s v="Yashvi Lanka"/>
    <s v="Yashvi Lanka"/>
    <x v="0"/>
    <n v="68"/>
    <n v="68"/>
    <s v="Cardiology"/>
    <s v="Cardiology"/>
    <s v="DR SHARMA"/>
    <s v="Dr Sharma"/>
    <d v="2025-12-18T00:00:00"/>
    <s v="Valid"/>
    <b v="1"/>
    <b v="1"/>
    <d v="2025-11-18T00:00:00"/>
    <s v="5534395110"/>
    <s v="5534395110"/>
    <s v="5534395110"/>
    <s v="Valid"/>
    <s v="riaansekhon@mand.com"/>
    <s v="NO"/>
    <n v="7816.57"/>
    <s v="Y"/>
    <n v="428"/>
    <n v="428"/>
    <s v="J20"/>
  </r>
  <r>
    <s v="P2470"/>
    <s v="Himmat Dayal"/>
    <s v="Himmat Dayal"/>
    <x v="0"/>
    <n v="69"/>
    <n v="69"/>
    <s v="Cardiology"/>
    <s v="Cardiology"/>
    <s v="Dr Rao"/>
    <s v="Dr Rao"/>
    <d v="2026-05-20T00:00:00"/>
    <s v="Valid"/>
    <b v="1"/>
    <b v="1"/>
    <d v="2026-04-20T00:00:00"/>
    <s v="06212014644"/>
    <s v="06212014644"/>
    <s v="6212014644"/>
    <s v="Valid"/>
    <s v="romilgoda@vora.com"/>
    <s v="Y"/>
    <s v="twenty thousand"/>
    <s v="NO"/>
    <n v="375"/>
    <n v="375"/>
    <s v="I10"/>
  </r>
  <r>
    <s v="P2471"/>
    <s v="Armaan Datta"/>
    <s v="Armaan Datta"/>
    <x v="1"/>
    <n v="66"/>
    <n v="66"/>
    <s v="Orthopedics"/>
    <s v="Orthopedics"/>
    <s v="dr priya"/>
    <s v="Dr Priya"/>
    <d v="2026-05-23T00:00:00"/>
    <s v="Valid"/>
    <b v="1"/>
    <b v="1"/>
    <d v="2026-05-02T00:00:00"/>
    <s v="8779199869"/>
    <s v="8779199869"/>
    <s v="8779199869"/>
    <s v="Valid"/>
    <s v="heer77@yahoo.com"/>
    <s v="Yes"/>
    <n v="22784.42"/>
    <s v="NO"/>
    <n v="334"/>
    <n v="334"/>
    <s v="E11"/>
  </r>
  <r>
    <s v="P2472"/>
    <s v="Arhaan Subramaniam"/>
    <s v="Arhaan Subramaniam"/>
    <x v="5"/>
    <n v="41"/>
    <n v="41"/>
    <s v="Neurology"/>
    <s v="Neurology"/>
    <s v="DR SHARMA"/>
    <s v="Dr Sharma"/>
    <d v="2026-01-09T00:00:00"/>
    <s v="Valid"/>
    <b v="1"/>
    <b v="1"/>
    <d v="2025-12-25T00:00:00"/>
    <s v="08001787788"/>
    <s v="08001787788"/>
    <s v="8001787788"/>
    <s v="Valid"/>
    <s v="jayanrege@srinivas.com"/>
    <s v="NO"/>
    <n v="14364.4"/>
    <s v="Yes"/>
    <n v="123"/>
    <n v="123"/>
    <s v="M54"/>
  </r>
  <r>
    <s v="P2474"/>
    <s v="Keya Bedi"/>
    <s v="Keya Bedi"/>
    <x v="5"/>
    <n v="48"/>
    <n v="48"/>
    <s v="Dermatology"/>
    <s v="Dermatology"/>
    <s v="Dr Rao"/>
    <s v="Dr Rao"/>
    <d v="2025-12-19T00:00:00"/>
    <s v="Valid"/>
    <b v="1"/>
    <b v="1"/>
    <d v="2025-12-15T00:00:00"/>
    <s v="09723134324"/>
    <s v="09723134324"/>
    <s v="9723134324"/>
    <s v="Valid"/>
    <s v="piyabanerjee@hotmail.com"/>
    <s v="Yes"/>
    <n v="15049.04"/>
    <s v="Yes"/>
    <n v="316"/>
    <n v="316"/>
    <s v="C34"/>
  </r>
  <r>
    <s v="P2475"/>
    <s v="Reyansh Malhotra"/>
    <s v="Reyansh Malhotra"/>
    <x v="0"/>
    <n v="27"/>
    <n v="27"/>
    <s v="Oncology"/>
    <s v="Oncology"/>
    <s v="dr priya"/>
    <s v="Dr Priya"/>
    <d v="2025-12-28T00:00:00"/>
    <s v="Valid"/>
    <b v="1"/>
    <b v="1"/>
    <d v="2025-12-06T00:00:00"/>
    <s v="05161315327"/>
    <s v="05161315327"/>
    <s v="5161315327"/>
    <s v="Valid"/>
    <s v="paribhavsar@khurana.com"/>
    <s v="Yes"/>
    <n v="10514.01"/>
    <m/>
    <n v="293"/>
    <n v="293"/>
    <s v="J20"/>
  </r>
  <r>
    <s v="P2476"/>
    <s v="Sana Mander"/>
    <s v="Sana Mander"/>
    <x v="5"/>
    <n v="63"/>
    <n v="63"/>
    <s v="Oncology"/>
    <s v="Oncology"/>
    <s v="Dr Rao"/>
    <s v="Dr Rao"/>
    <d v="2026-04-27T00:00:00"/>
    <s v="Valid"/>
    <b v="1"/>
    <b v="1"/>
    <d v="2026-04-07T00:00:00"/>
    <s v="01991198086"/>
    <s v="01991198086"/>
    <s v="1991198086"/>
    <s v="Valid"/>
    <s v="asandal@ahluwalia-tailor.org"/>
    <m/>
    <n v="1236.6199999999999"/>
    <m/>
    <n v="165"/>
    <n v="165"/>
    <s v="C34"/>
  </r>
  <r>
    <s v="P2477"/>
    <s v="Ryan Grewal"/>
    <s v="Ryan Grewal"/>
    <x v="5"/>
    <n v="10"/>
    <n v="10"/>
    <s v="Neurology"/>
    <s v="Neurology"/>
    <s v="Dr Mehta"/>
    <s v="Dr Mehta"/>
    <d v="2025-12-22T00:00:00"/>
    <s v="Valid"/>
    <b v="1"/>
    <b v="1"/>
    <d v="2025-12-17T00:00:00"/>
    <s v="05840820049"/>
    <s v="05840820049"/>
    <s v="5840820049"/>
    <s v="Valid"/>
    <s v="mahikadave@chandra.com"/>
    <m/>
    <n v="1849.21"/>
    <s v="NO"/>
    <n v="185"/>
    <n v="185"/>
    <s v="C34"/>
  </r>
  <r>
    <s v="P2478"/>
    <s v="Miraya Sha"/>
    <s v="Miraya Sha"/>
    <x v="0"/>
    <n v="88"/>
    <n v="88"/>
    <s v="Dermatology"/>
    <s v="Dermatology"/>
    <s v="Dr. Sharma"/>
    <s v="Dr. Sharma"/>
    <d v="2026-02-26T00:00:00"/>
    <s v="Valid"/>
    <b v="1"/>
    <b v="1"/>
    <d v="2026-02-09T00:00:00"/>
    <s v="3497567969"/>
    <s v="3497567969"/>
    <s v="3497567969"/>
    <s v="Valid"/>
    <s v="zaravarty@hotmail.com"/>
    <s v="Y"/>
    <n v="7260.68"/>
    <s v="Yes"/>
    <n v="155"/>
    <n v="155"/>
    <s v="K21"/>
  </r>
  <r>
    <s v="P2479"/>
    <s v="Misha Mall"/>
    <s v="Misha Mall"/>
    <x v="2"/>
    <n v="51"/>
    <n v="51"/>
    <s v="Pediatrics"/>
    <s v="Pediatrics"/>
    <s v="Dr Mehta"/>
    <s v="Dr Mehta"/>
    <d v="2025-12-25T00:00:00"/>
    <s v="Valid"/>
    <b v="1"/>
    <b v="1"/>
    <d v="2025-12-08T00:00:00"/>
    <s v="09505205067"/>
    <s v="09505205067"/>
    <s v="9505205067"/>
    <s v="Valid"/>
    <s v="ahujauthkarsh@sandhu-jani.biz"/>
    <m/>
    <n v="5179.55"/>
    <s v="Yes"/>
    <n v="340"/>
    <n v="340"/>
    <s v="M54"/>
  </r>
  <r>
    <s v="P2480"/>
    <s v="Ritvik Hora"/>
    <s v="Ritvik Hora"/>
    <x v="2"/>
    <n v="15"/>
    <n v="15"/>
    <s v="Pediatrics"/>
    <s v="Pediatrics"/>
    <s v="Dr Rao"/>
    <s v="Dr Rao"/>
    <d v="2026-03-11T00:00:00"/>
    <s v="Valid"/>
    <b v="1"/>
    <b v="1"/>
    <d v="2026-02-13T00:00:00"/>
    <s v="5591815604"/>
    <s v="5591815604"/>
    <s v="5591815604"/>
    <s v="Valid"/>
    <s v="dmahal@dara.com"/>
    <m/>
    <n v="4775.0600000000004"/>
    <s v="NO"/>
    <n v="223"/>
    <n v="223"/>
    <s v="M54"/>
  </r>
  <r>
    <s v="P2481"/>
    <s v="Miraan Kadakia"/>
    <s v="Miraan Kadakia"/>
    <x v="2"/>
    <n v="57"/>
    <n v="57"/>
    <s v="Orthopedics"/>
    <s v="Orthopedics"/>
    <s v="Dr Khan"/>
    <s v="Dr Khan"/>
    <d v="2026-05-05T00:00:00"/>
    <s v="Valid"/>
    <b v="1"/>
    <b v="1"/>
    <d v="2026-04-16T00:00:00"/>
    <s v="4375221498"/>
    <s v="4375221498"/>
    <s v="4375221498"/>
    <s v="Valid"/>
    <s v="glall@hotmail.com"/>
    <s v="Yes"/>
    <n v="16639.34"/>
    <s v="N"/>
    <n v="493"/>
    <n v="493"/>
    <s v="E11"/>
  </r>
  <r>
    <s v="P2482"/>
    <s v="Aniruddh Krishnan"/>
    <s v="Aniruddh Krishnan"/>
    <x v="2"/>
    <n v="6"/>
    <n v="6"/>
    <s v="Cardiology"/>
    <s v="Cardiology"/>
    <s v="Dr Mehta"/>
    <s v="Dr Mehta"/>
    <d v="2025-11-29T00:00:00"/>
    <s v="Valid"/>
    <b v="1"/>
    <b v="1"/>
    <d v="2025-11-19T00:00:00"/>
    <s v="6922012138"/>
    <s v="6922012138"/>
    <s v="6922012138"/>
    <s v="Valid"/>
    <s v="samar20@dutta-manne.net"/>
    <s v="Y"/>
    <n v="23061.63"/>
    <s v="NO"/>
    <n v="336"/>
    <n v="336"/>
    <s v="E11"/>
  </r>
  <r>
    <s v="P2483"/>
    <s v="Yuvaan Raj"/>
    <s v="Yuvaan Raj"/>
    <x v="0"/>
    <n v="51"/>
    <n v="51"/>
    <s v="Dermatology"/>
    <s v="Dermatology"/>
    <s v="Dr Mehta"/>
    <s v="Dr Mehta"/>
    <d v="2026-04-06T00:00:00"/>
    <s v="Valid"/>
    <b v="1"/>
    <b v="1"/>
    <d v="2026-03-07T00:00:00"/>
    <s v="+915467199415"/>
    <s v="915467199415"/>
    <s v="5467199415"/>
    <s v="Valid"/>
    <s v="jayesh69@yahoo.com"/>
    <s v="Y"/>
    <n v="12738.75"/>
    <s v="N"/>
    <n v="194"/>
    <n v="194"/>
    <s v="C34"/>
  </r>
  <r>
    <s v="P2484"/>
    <s v="Shaan Sabharwal"/>
    <s v="Shaan Sabharwal"/>
    <x v="5"/>
    <n v="43"/>
    <n v="43"/>
    <s v="General Medicine"/>
    <s v="General Medicine"/>
    <s v="Dr Rao"/>
    <s v="Dr Rao"/>
    <d v="2026-04-16T00:00:00"/>
    <s v="Valid"/>
    <b v="1"/>
    <b v="1"/>
    <d v="2026-03-20T00:00:00"/>
    <s v="01809945724"/>
    <s v="01809945724"/>
    <s v="1809945724"/>
    <s v="Valid"/>
    <s v="karpiya@hotmail.com"/>
    <m/>
    <n v="1920.7"/>
    <s v="N"/>
    <n v="408"/>
    <n v="408"/>
    <s v="A09"/>
  </r>
  <r>
    <s v="P2485"/>
    <s v="Inaaya  Kalita"/>
    <s v="Inaaya Kalita"/>
    <x v="0"/>
    <n v="72"/>
    <n v="72"/>
    <s v="Orthopedics"/>
    <s v="Orthopedics"/>
    <s v="Dr Mehta"/>
    <s v="Dr Mehta"/>
    <d v="2026-04-13T00:00:00"/>
    <s v="Valid"/>
    <b v="1"/>
    <b v="1"/>
    <d v="2026-03-27T00:00:00"/>
    <s v="07590477611"/>
    <s v="07590477611"/>
    <s v="7590477611"/>
    <s v="Valid"/>
    <s v="dharindranil@yahoo.com"/>
    <s v="N"/>
    <n v="1606.49"/>
    <s v="NO"/>
    <n v="309"/>
    <n v="309"/>
    <s v="A09"/>
  </r>
  <r>
    <s v="P2486"/>
    <s v="Mehul Sangha"/>
    <s v="Mehul Sangha"/>
    <x v="0"/>
    <n v="80"/>
    <n v="80"/>
    <s v="Orthopedics"/>
    <s v="Orthopedics"/>
    <s v="dr priya"/>
    <s v="Dr Priya"/>
    <d v="2026-01-20T00:00:00"/>
    <s v="Valid"/>
    <b v="1"/>
    <b v="1"/>
    <d v="2026-01-09T00:00:00"/>
    <s v="+913141815417"/>
    <s v="913141815417"/>
    <s v="3141815417"/>
    <s v="Valid"/>
    <s v="eshani06@gmail.com"/>
    <s v="Yes"/>
    <n v="3758.46"/>
    <s v="NO"/>
    <n v="450"/>
    <n v="450"/>
    <s v="E11"/>
  </r>
  <r>
    <s v="P2487"/>
    <s v="Dhanuk Chacko"/>
    <s v="Dhanuk Chacko"/>
    <x v="0"/>
    <n v="49"/>
    <n v="49"/>
    <s v="Cardiology"/>
    <s v="Cardiology"/>
    <s v="Dr Rao"/>
    <s v="Dr Rao"/>
    <d v="2026-02-11T00:00:00"/>
    <s v="Valid"/>
    <b v="1"/>
    <b v="1"/>
    <d v="2026-01-16T00:00:00"/>
    <s v="+910827744150"/>
    <s v="910827744150"/>
    <s v="0827744150"/>
    <s v="Valid"/>
    <s v="rashasastry@hotmail.com"/>
    <m/>
    <n v="19263.650000000001"/>
    <s v="NO"/>
    <n v="538"/>
    <n v="538"/>
    <s v="E11"/>
  </r>
  <r>
    <s v="P2488"/>
    <s v="Zoya Venkatesh"/>
    <s v="Zoya Venkatesh"/>
    <x v="0"/>
    <n v="73"/>
    <n v="73"/>
    <s v="Neurology"/>
    <s v="Neurology"/>
    <s v="Dr Rao"/>
    <s v="Dr Rao"/>
    <d v="2026-05-20T00:00:00"/>
    <s v="Valid"/>
    <b v="1"/>
    <b v="1"/>
    <d v="2026-04-30T00:00:00"/>
    <s v="+917889387692"/>
    <s v="917889387692"/>
    <s v="7889387692"/>
    <s v="Valid"/>
    <s v="shethmadhup@ramesh-goyal.com"/>
    <m/>
    <n v="23442.83"/>
    <m/>
    <n v="244"/>
    <n v="244"/>
    <s v="C34"/>
  </r>
  <r>
    <s v="P2489"/>
    <s v="Badal Kade"/>
    <s v="Badal Kade"/>
    <x v="1"/>
    <n v="58"/>
    <n v="58"/>
    <s v="Pediatrics"/>
    <s v="Pediatrics"/>
    <s v="Dr Khan"/>
    <s v="Dr Khan"/>
    <d v="2026-04-01T00:00:00"/>
    <s v="Valid"/>
    <b v="1"/>
    <b v="1"/>
    <d v="2026-03-13T00:00:00"/>
    <s v="+911526676519"/>
    <s v="911526676519"/>
    <s v="1526676519"/>
    <s v="Valid"/>
    <s v="priyansh04@vora-gole.com"/>
    <s v="Y"/>
    <n v="8759.6299999999992"/>
    <m/>
    <n v="345"/>
    <n v="345"/>
    <s v="E11"/>
  </r>
  <r>
    <s v="P2490"/>
    <s v="Lavanya Dada"/>
    <s v="Lavanya Dada"/>
    <x v="3"/>
    <n v="69"/>
    <n v="69"/>
    <s v="ENT"/>
    <s v="ENT"/>
    <s v="DR SHARMA"/>
    <s v="Dr Sharma"/>
    <d v="2026-03-05T00:00:00"/>
    <s v="Valid"/>
    <b v="1"/>
    <b v="1"/>
    <d v="2026-03-01T00:00:00"/>
    <s v="00532080055"/>
    <s v="00532080055"/>
    <s v="0532080055"/>
    <s v="Valid"/>
    <s v="lavanyachacko@yahoo.com"/>
    <s v="Y"/>
    <n v="15999.91"/>
    <s v="Y"/>
    <n v="298"/>
    <n v="298"/>
    <s v="J20"/>
  </r>
  <r>
    <s v="P2491"/>
    <s v="Shaan Bir"/>
    <s v="Shaan Bir"/>
    <x v="4"/>
    <n v="48"/>
    <n v="48"/>
    <s v="Cardiology"/>
    <s v="Cardiology"/>
    <s v="dr priya"/>
    <s v="Dr Priya"/>
    <d v="2026-05-24T00:00:00"/>
    <s v="Valid"/>
    <b v="1"/>
    <b v="1"/>
    <d v="2026-04-29T00:00:00"/>
    <s v="06520715153"/>
    <s v="06520715153"/>
    <s v="6520715153"/>
    <s v="Valid"/>
    <s v="dhanuk76@hotmail.com"/>
    <s v="Y"/>
    <n v="3770.8"/>
    <m/>
    <n v="310"/>
    <n v="310"/>
    <s v="C34"/>
  </r>
  <r>
    <s v="P2492"/>
    <s v="Yakshit Chaudry"/>
    <s v="Yakshit Chaudry"/>
    <x v="5"/>
    <n v="52"/>
    <n v="52"/>
    <s v="Orthopedics"/>
    <s v="Orthopedics"/>
    <s v="dr priya"/>
    <s v="Dr Priya"/>
    <d v="2026-04-18T00:00:00"/>
    <s v="Valid"/>
    <b v="1"/>
    <b v="1"/>
    <d v="2026-04-12T00:00:00"/>
    <s v="+913748353003"/>
    <s v="913748353003"/>
    <s v="3748353003"/>
    <s v="Valid"/>
    <s v="stuvan13@gulati.com"/>
    <m/>
    <n v="10644.29"/>
    <m/>
    <n v="335"/>
    <n v="335"/>
    <s v="C34"/>
  </r>
  <r>
    <s v="P2493"/>
    <s v="Jayant Singh"/>
    <s v="Jayant Singh"/>
    <x v="3"/>
    <n v="57"/>
    <n v="57"/>
    <s v="Dermatology"/>
    <s v="Dermatology"/>
    <s v="Dr Khan"/>
    <s v="Dr Khan"/>
    <d v="2026-03-13T00:00:00"/>
    <s v="Valid"/>
    <b v="1"/>
    <b v="1"/>
    <d v="2026-03-02T00:00:00"/>
    <s v="5355821760"/>
    <s v="5355821760"/>
    <s v="5355821760"/>
    <s v="Valid"/>
    <s v="nakul97@sachdeva.com"/>
    <s v="N"/>
    <n v="8285.07"/>
    <m/>
    <n v="168"/>
    <n v="168"/>
    <s v="C34"/>
  </r>
  <r>
    <s v="P2494"/>
    <s v="Taran Gill"/>
    <s v="Taran Gill"/>
    <x v="5"/>
    <n v="32"/>
    <n v="32"/>
    <s v="Pediatrics"/>
    <s v="Pediatrics"/>
    <s v="DR SHARMA"/>
    <s v="Dr Sharma"/>
    <d v="2026-05-22T00:00:00"/>
    <s v="Valid"/>
    <b v="1"/>
    <b v="1"/>
    <d v="2026-05-04T00:00:00"/>
    <s v="3201475795"/>
    <s v="3201475795"/>
    <s v="3201475795"/>
    <s v="Valid"/>
    <s v="neelofar25@hotmail.com"/>
    <s v="NO"/>
    <n v="23710.52"/>
    <s v="NO"/>
    <n v="337"/>
    <n v="337"/>
    <s v="A09"/>
  </r>
  <r>
    <s v="P2495"/>
    <s v="Zain Rastogi"/>
    <s v="Zain Rastogi"/>
    <x v="1"/>
    <n v="48"/>
    <n v="48"/>
    <s v="Oncology"/>
    <s v="Oncology"/>
    <s v="DR SHARMA"/>
    <s v="Dr Sharma"/>
    <d v="2026-04-06T00:00:00"/>
    <s v="Valid"/>
    <b v="1"/>
    <b v="1"/>
    <d v="2026-03-25T00:00:00"/>
    <s v="+915837320521"/>
    <s v="915837320521"/>
    <s v="5837320521"/>
    <s v="Valid"/>
    <s v="iyerpiya@hotmail.com"/>
    <s v="Yes"/>
    <n v="11861.76"/>
    <m/>
    <n v="253"/>
    <n v="253"/>
    <s v="K21"/>
  </r>
  <r>
    <s v="P2496"/>
    <s v="Eva Basu"/>
    <s v="Eva Basu"/>
    <x v="1"/>
    <n v="7"/>
    <n v="7"/>
    <s v="Pediatrics"/>
    <s v="Pediatrics"/>
    <s v="DR SHARMA"/>
    <s v="Dr Sharma"/>
    <d v="2026-03-26T00:00:00"/>
    <s v="Valid"/>
    <b v="1"/>
    <b v="1"/>
    <d v="2026-03-16T00:00:00"/>
    <s v="+912077042733"/>
    <s v="912077042733"/>
    <s v="2077042733"/>
    <s v="Valid"/>
    <s v="anvibath@yahoo.com"/>
    <s v="Yes"/>
    <n v="16559.36"/>
    <m/>
    <n v="192"/>
    <n v="192"/>
    <s v="M54"/>
  </r>
  <r>
    <s v="P2497"/>
    <s v="Samar Chacko"/>
    <s v="Samar Chacko"/>
    <x v="0"/>
    <n v="89"/>
    <n v="89"/>
    <s v="Pediatrics"/>
    <s v="Pediatrics"/>
    <s v="dr priya"/>
    <s v="Dr Priya"/>
    <d v="2026-04-17T00:00:00"/>
    <s v="Valid"/>
    <b v="1"/>
    <b v="1"/>
    <d v="2026-03-30T00:00:00"/>
    <s v="1115557499"/>
    <s v="1115557499"/>
    <s v="1115557499"/>
    <s v="Valid"/>
    <s v="soodjayan@gara-dhar.com"/>
    <s v="Yes"/>
    <n v="6978.34"/>
    <s v="Y"/>
    <n v="428"/>
    <n v="428"/>
    <s v="M54"/>
  </r>
  <r>
    <s v="P2498"/>
    <s v="Hrishita Anne"/>
    <s v="Hrishita Anne"/>
    <x v="5"/>
    <n v="20"/>
    <n v="20"/>
    <s v="Dermatology"/>
    <s v="Dermatology"/>
    <s v="dr priya"/>
    <s v="Dr Priya"/>
    <d v="2026-05-09T00:00:00"/>
    <s v="Valid"/>
    <b v="1"/>
    <b v="1"/>
    <d v="2026-04-25T00:00:00"/>
    <s v="08699084242"/>
    <s v="08699084242"/>
    <s v="8699084242"/>
    <s v="Valid"/>
    <s v="urvidewan@mannan.com"/>
    <s v="NO"/>
    <n v="21727.15"/>
    <s v="Y"/>
    <n v="490"/>
    <n v="490"/>
    <s v="M54"/>
  </r>
  <r>
    <s v="P2499"/>
    <s v="Ritvik Sunder"/>
    <s v="Ritvik Sunder"/>
    <x v="2"/>
    <n v="79"/>
    <n v="79"/>
    <s v="Cardiology"/>
    <s v="Cardiology"/>
    <s v="Dr Mehta"/>
    <s v="Dr Mehta"/>
    <d v="2026-05-20T00:00:00"/>
    <s v="Valid"/>
    <b v="1"/>
    <b v="1"/>
    <d v="2026-04-25T00:00:00"/>
    <s v="02875090257"/>
    <s v="02875090257"/>
    <s v="2875090257"/>
    <s v="Valid"/>
    <s v="katatara@gmail.com"/>
    <s v="NO"/>
    <n v="2326.6"/>
    <s v="Yes"/>
    <n v="541"/>
    <n v="541"/>
    <s v="K21"/>
  </r>
  <r>
    <s v="P2500"/>
    <s v="Samaira Banerjee"/>
    <s v="Samaira Banerjee"/>
    <x v="0"/>
    <n v="43"/>
    <n v="43"/>
    <s v="Neurology"/>
    <s v="Neurology"/>
    <s v="dr priya"/>
    <s v="Dr Priya"/>
    <d v="2026-05-01T00:00:00"/>
    <s v="Valid"/>
    <b v="1"/>
    <b v="1"/>
    <d v="2026-04-02T00:00:00"/>
    <s v="+917614701878"/>
    <s v="917614701878"/>
    <s v="7614701878"/>
    <s v="Valid"/>
    <s v="divij81@hotmail.com"/>
    <s v="N"/>
    <n v="5234.58"/>
    <s v="Y"/>
    <n v="209"/>
    <n v="209"/>
    <s v="J20"/>
  </r>
  <r>
    <s v="P2501"/>
    <s v="Divij Chandra"/>
    <s v="Divij Chandra"/>
    <x v="2"/>
    <n v="47"/>
    <n v="47"/>
    <s v="ENT"/>
    <s v="ENT"/>
    <s v="Dr Khan"/>
    <s v="Dr Khan"/>
    <d v="2026-04-25T00:00:00"/>
    <s v="Valid"/>
    <b v="1"/>
    <b v="1"/>
    <d v="2026-04-10T00:00:00"/>
    <s v="06301445736"/>
    <s v="06301445736"/>
    <s v="6301445736"/>
    <s v="Valid"/>
    <s v="mamooty44@dhar.com"/>
    <s v="N"/>
    <n v="17649.36"/>
    <s v="Yes"/>
    <n v="255"/>
    <n v="255"/>
    <s v="I10"/>
  </r>
  <r>
    <s v="P2502"/>
    <s v="Jhanvi Kara"/>
    <s v="Jhanvi Kara"/>
    <x v="4"/>
    <n v="20"/>
    <n v="20"/>
    <s v="Orthopedics"/>
    <s v="Orthopedics"/>
    <s v="dr priya"/>
    <s v="Dr Priya"/>
    <d v="2026-04-29T00:00:00"/>
    <s v="Valid"/>
    <b v="1"/>
    <b v="1"/>
    <d v="2026-04-26T00:00:00"/>
    <s v="07180776468"/>
    <s v="07180776468"/>
    <s v="7180776468"/>
    <s v="Valid"/>
    <s v="purabmann@wable-vig.com"/>
    <m/>
    <n v="4125.3500000000004"/>
    <m/>
    <n v="458"/>
    <n v="458"/>
    <s v="J20"/>
  </r>
  <r>
    <s v="P2503"/>
    <s v="Rhea Bobal"/>
    <s v="Rhea Bobal"/>
    <x v="5"/>
    <n v="15"/>
    <n v="15"/>
    <s v="Orthopedics"/>
    <s v="Orthopedics"/>
    <s v="Dr Khan"/>
    <s v="Dr Khan"/>
    <d v="2026-04-26T00:00:00"/>
    <s v="Valid"/>
    <b v="1"/>
    <b v="1"/>
    <d v="2026-04-23T00:00:00"/>
    <s v="04487763810"/>
    <s v="04487763810"/>
    <s v="4487763810"/>
    <s v="Valid"/>
    <s v="pbarman@kari.com"/>
    <s v="Yes"/>
    <n v="3562.85"/>
    <m/>
    <n v="342"/>
    <n v="342"/>
    <s v="M54"/>
  </r>
  <r>
    <s v="P2504"/>
    <s v="Jivika Sanghvi"/>
    <s v="Jivika Sanghvi"/>
    <x v="3"/>
    <n v="22"/>
    <n v="22"/>
    <s v="Cardiology"/>
    <s v="Cardiology"/>
    <s v="dr priya"/>
    <s v="Dr Priya"/>
    <d v="2026-01-13T00:00:00"/>
    <s v="Valid"/>
    <b v="1"/>
    <b v="1"/>
    <d v="2025-12-15T00:00:00"/>
    <s v="5961891372"/>
    <s v="5961891372"/>
    <s v="5961891372"/>
    <s v="Valid"/>
    <s v="emirreddy@hotmail.com"/>
    <m/>
    <n v="14705.3"/>
    <s v="Y"/>
    <n v="329"/>
    <n v="329"/>
    <s v="I10"/>
  </r>
  <r>
    <s v="P2505"/>
    <s v="Sana Sarraf"/>
    <s v="Sana Sarraf"/>
    <x v="3"/>
    <n v="86"/>
    <n v="86"/>
    <s v="ENT"/>
    <s v="ENT"/>
    <s v="dr priya"/>
    <s v="Dr Priya"/>
    <d v="2026-01-20T00:00:00"/>
    <s v="Valid"/>
    <b v="1"/>
    <b v="1"/>
    <d v="2026-01-18T00:00:00"/>
    <s v="6334441494"/>
    <s v="6334441494"/>
    <s v="6334441494"/>
    <s v="Valid"/>
    <s v="akarsh47@batta-tailor.net"/>
    <s v="N"/>
    <n v="1908.47"/>
    <s v="Y"/>
    <n v="419"/>
    <n v="419"/>
    <s v="J20"/>
  </r>
  <r>
    <s v="P2506"/>
    <s v="Dharmajan Shukla"/>
    <s v="Dharmajan Shukla"/>
    <x v="1"/>
    <n v="20"/>
    <n v="20"/>
    <s v="Neurology"/>
    <s v="Neurology"/>
    <s v="DR SHARMA"/>
    <s v="Dr Sharma"/>
    <d v="2026-03-03T00:00:00"/>
    <s v="Valid"/>
    <b v="1"/>
    <b v="1"/>
    <d v="2026-02-01T00:00:00"/>
    <s v="07526430735"/>
    <s v="07526430735"/>
    <s v="7526430735"/>
    <s v="Valid"/>
    <s v="skunda@karnik-bhasin.com"/>
    <s v="N"/>
    <n v="7450.27"/>
    <s v="NO"/>
    <n v="281"/>
    <n v="281"/>
    <s v="A09"/>
  </r>
  <r>
    <s v="P2507"/>
    <s v="Arnav Kapur"/>
    <s v="Arnav Kapur"/>
    <x v="3"/>
    <n v="3"/>
    <n v="3"/>
    <s v="Dermatology"/>
    <s v="Dermatology"/>
    <s v="Dr Mehta"/>
    <s v="Dr Mehta"/>
    <d v="2026-02-03T00:00:00"/>
    <s v="Valid"/>
    <b v="1"/>
    <b v="1"/>
    <d v="2026-01-23T00:00:00"/>
    <s v="6603126038"/>
    <s v="6603126038"/>
    <s v="6603126038"/>
    <s v="Valid"/>
    <s v="tarasengupta@guha.com"/>
    <s v="Y"/>
    <n v="4962.17"/>
    <s v="Yes"/>
    <n v="366"/>
    <n v="366"/>
    <s v="I10"/>
  </r>
  <r>
    <s v="P2508"/>
    <s v="Divyansh Trivedi"/>
    <s v="Divyansh Trivedi"/>
    <x v="3"/>
    <n v="41"/>
    <n v="41"/>
    <s v="Orthopedics"/>
    <s v="Orthopedics"/>
    <s v="Dr Rao"/>
    <s v="Dr Rao"/>
    <d v="2026-05-21T00:00:00"/>
    <s v="Valid"/>
    <b v="1"/>
    <b v="1"/>
    <d v="2026-05-01T00:00:00"/>
    <s v="9760427024"/>
    <s v="9760427024"/>
    <s v="9760427024"/>
    <s v="Valid"/>
    <s v="osekhon@zacharia-handa.com"/>
    <s v="NO"/>
    <n v="17572.77"/>
    <s v="Yes"/>
    <n v="329"/>
    <n v="329"/>
    <s v="M54"/>
  </r>
  <r>
    <s v="P2509"/>
    <s v="Devansh Datta"/>
    <s v="Devansh Datta"/>
    <x v="2"/>
    <n v="6"/>
    <n v="6"/>
    <s v="Oncology"/>
    <s v="Oncology"/>
    <s v="Dr Khan"/>
    <s v="Dr Khan"/>
    <d v="2025-12-14T00:00:00"/>
    <s v="Valid"/>
    <b v="1"/>
    <b v="1"/>
    <d v="2025-11-23T00:00:00"/>
    <s v="9294822480"/>
    <s v="9294822480"/>
    <s v="9294822480"/>
    <s v="Valid"/>
    <s v="mkonda@hotmail.com"/>
    <s v="NO"/>
    <n v="8456.39"/>
    <s v="Yes"/>
    <n v="166"/>
    <n v="166"/>
    <s v="K21"/>
  </r>
  <r>
    <s v="P2510"/>
    <s v="Ishaan Tata"/>
    <s v="Ishaan Tata"/>
    <x v="0"/>
    <n v="74"/>
    <n v="74"/>
    <s v="Cardiology"/>
    <s v="Cardiology"/>
    <s v="Dr. Sharma"/>
    <s v="Dr. Sharma"/>
    <d v="2025-12-29T00:00:00"/>
    <s v="Valid"/>
    <b v="1"/>
    <b v="1"/>
    <d v="2025-12-17T00:00:00"/>
    <s v="03402987103"/>
    <s v="03402987103"/>
    <s v="3402987103"/>
    <s v="Valid"/>
    <s v="lakshay08@soni.info"/>
    <s v="NO"/>
    <n v="22632.46"/>
    <m/>
    <n v="298"/>
    <n v="298"/>
    <s v="I10"/>
  </r>
  <r>
    <s v="P2511"/>
    <s v="Aaina Jhaveri"/>
    <s v="Aaina Jhaveri"/>
    <x v="0"/>
    <n v="90"/>
    <n v="90"/>
    <s v="Dermatology"/>
    <s v="Dermatology"/>
    <s v="dr priya"/>
    <s v="Dr Priya"/>
    <d v="2026-03-06T00:00:00"/>
    <s v="Valid"/>
    <b v="1"/>
    <b v="1"/>
    <d v="2026-02-23T00:00:00"/>
    <s v="8996889186"/>
    <s v="8996889186"/>
    <s v="8996889186"/>
    <s v="Valid"/>
    <s v="anviram@goyal-dara.com"/>
    <m/>
    <n v="10298.44"/>
    <s v="NO"/>
    <n v="167"/>
    <n v="167"/>
    <s v="J20"/>
  </r>
  <r>
    <s v="P2512"/>
    <s v="Mahika Ratti"/>
    <s v="Mahika Ratti"/>
    <x v="0"/>
    <n v="71"/>
    <n v="71"/>
    <s v="Pediatrics"/>
    <s v="Pediatrics"/>
    <s v="Dr Khan"/>
    <s v="Dr Khan"/>
    <d v="2026-03-25T00:00:00"/>
    <s v="Valid"/>
    <b v="1"/>
    <b v="1"/>
    <d v="2026-03-16T00:00:00"/>
    <s v="01429612676"/>
    <s v="01429612676"/>
    <s v="1429612676"/>
    <s v="Valid"/>
    <s v="ishaan50@hotmail.com"/>
    <s v="Y"/>
    <n v="2265.9899999999998"/>
    <m/>
    <n v="443"/>
    <n v="443"/>
    <s v="I10"/>
  </r>
  <r>
    <s v="P2513"/>
    <s v="Zeeshan Gokhale"/>
    <s v="Zeeshan Gokhale"/>
    <x v="2"/>
    <n v="66"/>
    <n v="66"/>
    <s v="Neurology"/>
    <s v="Neurology"/>
    <s v="Dr Rao"/>
    <s v="Dr Rao"/>
    <d v="2026-04-30T00:00:00"/>
    <s v="Valid"/>
    <b v="1"/>
    <b v="1"/>
    <d v="2026-04-05T00:00:00"/>
    <s v="+912987351544"/>
    <s v="912987351544"/>
    <s v="2987351544"/>
    <s v="Valid"/>
    <s v="jkarnik@hotmail.com"/>
    <s v="Yes"/>
    <n v="20194.419999999998"/>
    <s v="NO"/>
    <n v="224"/>
    <n v="224"/>
    <s v="I10"/>
  </r>
  <r>
    <s v="P2514"/>
    <s v="Parinaaz Chandra"/>
    <s v="Parinaaz Chandra"/>
    <x v="4"/>
    <n v="48"/>
    <n v="48"/>
    <s v="Neurology"/>
    <s v="Neurology"/>
    <s v="Dr Mehta"/>
    <s v="Dr Mehta"/>
    <d v="2026-04-28T00:00:00"/>
    <s v="Valid"/>
    <b v="1"/>
    <b v="1"/>
    <d v="2026-04-10T00:00:00"/>
    <s v="4678400836"/>
    <s v="4678400836"/>
    <s v="4678400836"/>
    <s v="Valid"/>
    <s v="ldeshpande@basu.com"/>
    <s v="NO"/>
    <n v="19516.14"/>
    <s v="NO"/>
    <n v="104"/>
    <n v="104"/>
    <s v="C34"/>
  </r>
  <r>
    <s v="P2515"/>
    <s v="Yasmin Sule"/>
    <s v="Yasmin Sule"/>
    <x v="0"/>
    <n v="44"/>
    <n v="44"/>
    <s v="Neurology"/>
    <s v="Neurology"/>
    <s v="Dr Mehta"/>
    <s v="Dr Mehta"/>
    <d v="2026-03-22T00:00:00"/>
    <s v="Valid"/>
    <b v="1"/>
    <b v="1"/>
    <d v="2026-03-04T00:00:00"/>
    <s v="+914951465253"/>
    <s v="914951465253"/>
    <s v="4951465253"/>
    <s v="Valid"/>
    <s v="shavedika@agarwal-gokhale.info"/>
    <m/>
    <n v="15848.87"/>
    <s v="NO"/>
    <n v="502"/>
    <n v="502"/>
    <s v="C34"/>
  </r>
  <r>
    <s v="P2516"/>
    <s v="Ishita Dayal"/>
    <s v="Ishita Dayal"/>
    <x v="2"/>
    <n v="79"/>
    <n v="79"/>
    <s v="Neurology"/>
    <s v="Neurology"/>
    <s v="Dr Rao"/>
    <s v="Dr Rao"/>
    <d v="2026-04-22T00:00:00"/>
    <s v="Valid"/>
    <b v="1"/>
    <b v="1"/>
    <d v="2026-03-31T00:00:00"/>
    <s v="4788889938"/>
    <s v="4788889938"/>
    <s v="4788889938"/>
    <s v="Valid"/>
    <s v="pihumaharaj@hotmail.com"/>
    <s v="Yes"/>
    <n v="5148.13"/>
    <s v="NO"/>
    <n v="195"/>
    <n v="195"/>
    <s v="I10"/>
  </r>
  <r>
    <s v="P2517"/>
    <s v="Tejas Malhotra"/>
    <s v="Tejas Malhotra"/>
    <x v="2"/>
    <n v="1"/>
    <n v="1"/>
    <s v="Dermatology"/>
    <s v="Dermatology"/>
    <s v="DR SHARMA"/>
    <s v="Dr Sharma"/>
    <d v="2025-11-25T00:00:00"/>
    <s v="Valid"/>
    <b v="1"/>
    <b v="1"/>
    <d v="2025-11-19T00:00:00"/>
    <s v="2751141871"/>
    <s v="2751141871"/>
    <s v="2751141871"/>
    <s v="Valid"/>
    <s v="daminikapur@gmail.com"/>
    <s v="Yes"/>
    <n v="17981.080000000002"/>
    <m/>
    <n v="264"/>
    <n v="264"/>
    <s v="C34"/>
  </r>
  <r>
    <s v="P2518"/>
    <s v="Jayan Chaudhry"/>
    <s v="Jayan Chaudhry"/>
    <x v="5"/>
    <n v="61"/>
    <n v="61"/>
    <s v="Pediatrics"/>
    <s v="Pediatrics"/>
    <s v="Dr Khan"/>
    <s v="Dr Khan"/>
    <d v="2026-05-11T00:00:00"/>
    <s v="Valid"/>
    <b v="1"/>
    <b v="1"/>
    <d v="2026-04-22T00:00:00"/>
    <s v="08810760788"/>
    <s v="08810760788"/>
    <s v="8810760788"/>
    <s v="Valid"/>
    <s v="nitarasrinivasan@walia.com"/>
    <s v="Yes"/>
    <n v="11836.42"/>
    <s v="Yes"/>
    <n v="326"/>
    <n v="326"/>
    <s v="E11"/>
  </r>
  <r>
    <s v="P2519"/>
    <s v="Rania Bhakta"/>
    <s v="Rania Bhakta"/>
    <x v="0"/>
    <n v="11"/>
    <n v="11"/>
    <s v="Orthopedics"/>
    <s v="Orthopedics"/>
    <s v="DR SHARMA"/>
    <s v="Dr Sharma"/>
    <d v="2026-01-11T00:00:00"/>
    <s v="Valid"/>
    <b v="1"/>
    <b v="1"/>
    <d v="2026-01-03T00:00:00"/>
    <s v="+911949314517"/>
    <s v="911949314517"/>
    <s v="1949314517"/>
    <s v="Valid"/>
    <s v="biju92@hotmail.com"/>
    <s v="Yes"/>
    <n v="21978.78"/>
    <s v="N"/>
    <n v="458"/>
    <n v="458"/>
    <s v="I10"/>
  </r>
  <r>
    <s v="P2520"/>
    <s v="Kabir Magar"/>
    <s v="Kabir Magar"/>
    <x v="2"/>
    <n v="25"/>
    <n v="25"/>
    <s v="Orthopedics"/>
    <s v="Orthopedics"/>
    <s v="dr priya"/>
    <s v="Dr Priya"/>
    <d v="2026-04-02T00:00:00"/>
    <s v="Valid"/>
    <b v="1"/>
    <b v="1"/>
    <d v="2026-03-09T00:00:00"/>
    <s v="09553495823"/>
    <s v="09553495823"/>
    <s v="9553495823"/>
    <s v="Valid"/>
    <m/>
    <s v="NO"/>
    <n v="4228.1000000000004"/>
    <s v="Yes"/>
    <n v="407"/>
    <n v="407"/>
    <s v="M54"/>
  </r>
  <r>
    <s v="P2521"/>
    <s v="Mishti Ganesh"/>
    <s v="Mishti Ganesh"/>
    <x v="0"/>
    <n v="28"/>
    <n v="28"/>
    <s v="Dermatology"/>
    <s v="Dermatology"/>
    <s v="Dr. Sharma"/>
    <s v="Dr. Sharma"/>
    <d v="2026-04-01T00:00:00"/>
    <s v="Valid"/>
    <b v="1"/>
    <b v="1"/>
    <d v="2026-03-06T00:00:00"/>
    <s v="02629790122"/>
    <s v="02629790122"/>
    <s v="2629790122"/>
    <s v="Valid"/>
    <s v="zdate@raju.info"/>
    <s v="N"/>
    <n v="18438.990000000002"/>
    <s v="Yes"/>
    <n v="435"/>
    <n v="435"/>
    <s v="C34"/>
  </r>
  <r>
    <s v="P2522"/>
    <s v="Kimaya Chada"/>
    <s v="Kimaya Chada"/>
    <x v="0"/>
    <n v="37"/>
    <n v="37"/>
    <s v="Orthopedics"/>
    <s v="Orthopedics"/>
    <s v="Dr Mehta"/>
    <s v="Dr Mehta"/>
    <d v="2026-01-15T00:00:00"/>
    <s v="Valid"/>
    <b v="1"/>
    <b v="1"/>
    <d v="2026-01-14T00:00:00"/>
    <s v="4159811302"/>
    <s v="4159811302"/>
    <s v="4159811302"/>
    <s v="Valid"/>
    <s v="anahi50@hotmail.com"/>
    <s v="NO"/>
    <n v="12449.29"/>
    <s v="Yes"/>
    <n v="417"/>
    <n v="417"/>
    <s v="K21"/>
  </r>
  <r>
    <s v="P2523"/>
    <s v="Madhav Sandal"/>
    <s v="Madhav Sandal"/>
    <x v="1"/>
    <n v="11"/>
    <n v="11"/>
    <s v="General Medicine"/>
    <s v="General Medicine"/>
    <s v="Dr Rao"/>
    <s v="Dr Rao"/>
    <d v="2026-05-06T00:00:00"/>
    <s v="Valid"/>
    <b v="1"/>
    <b v="1"/>
    <d v="2026-04-13T00:00:00"/>
    <s v="7746049211"/>
    <s v="7746049211"/>
    <s v="7746049211"/>
    <s v="Valid"/>
    <s v="pihu85@hotmail.com"/>
    <s v="NO"/>
    <n v="8096.27"/>
    <s v="NO"/>
    <n v="457"/>
    <n v="457"/>
    <s v="C34"/>
  </r>
  <r>
    <s v="P2524"/>
    <s v="Nayantara Johal"/>
    <s v="Nayantara Johal"/>
    <x v="2"/>
    <n v="73"/>
    <n v="73"/>
    <s v="Oncology"/>
    <s v="Oncology"/>
    <s v="dr priya"/>
    <s v="Dr Priya"/>
    <d v="2026-03-02T00:00:00"/>
    <s v="Valid"/>
    <b v="1"/>
    <b v="1"/>
    <d v="2026-02-16T00:00:00"/>
    <s v="02034912947"/>
    <s v="02034912947"/>
    <s v="2034912947"/>
    <s v="Valid"/>
    <s v="vedika26@yahoo.com"/>
    <s v="N"/>
    <n v="18606.38"/>
    <m/>
    <n v="289"/>
    <n v="289"/>
    <s v="M54"/>
  </r>
  <r>
    <s v="P2525"/>
    <s v="Aarush Sarkar"/>
    <s v="Aarush Sarkar"/>
    <x v="0"/>
    <n v="63"/>
    <n v="63"/>
    <s v="ENT"/>
    <s v="ENT"/>
    <s v="DR SHARMA"/>
    <s v="Dr Sharma"/>
    <d v="2026-05-05T00:00:00"/>
    <s v="Valid"/>
    <b v="1"/>
    <b v="1"/>
    <d v="2026-04-28T00:00:00"/>
    <s v="4663771558"/>
    <s v="4663771558"/>
    <s v="4663771558"/>
    <s v="Valid"/>
    <s v="jivin45@mangat.net"/>
    <s v="Yes"/>
    <n v="1258.95"/>
    <s v="NO"/>
    <n v="309"/>
    <n v="309"/>
    <s v="M54"/>
  </r>
  <r>
    <s v="P2526"/>
    <s v="Raghav Tandon"/>
    <s v="Raghav Tandon"/>
    <x v="3"/>
    <n v="42"/>
    <n v="42"/>
    <s v="Dermatology"/>
    <s v="Dermatology"/>
    <s v="Dr Khan"/>
    <s v="Dr Khan"/>
    <d v="2026-03-22T00:00:00"/>
    <s v="Valid"/>
    <b v="1"/>
    <b v="1"/>
    <d v="2026-02-23T00:00:00"/>
    <s v="07234314025"/>
    <s v="07234314025"/>
    <s v="7234314025"/>
    <s v="Valid"/>
    <s v="harirhea@deep-bhattacharyya.com"/>
    <m/>
    <n v="11413.97"/>
    <s v="Y"/>
    <n v="477"/>
    <n v="477"/>
    <s v="K21"/>
  </r>
  <r>
    <s v="P2527"/>
    <s v="Baiju Sami"/>
    <s v="Baiju Sami"/>
    <x v="1"/>
    <n v="54"/>
    <n v="54"/>
    <s v="Cardiology"/>
    <s v="Cardiology"/>
    <s v="Dr Mehta"/>
    <s v="Dr Mehta"/>
    <d v="2026-03-21T00:00:00"/>
    <s v="Valid"/>
    <b v="1"/>
    <b v="1"/>
    <d v="2026-02-24T00:00:00"/>
    <s v="03786590231"/>
    <s v="03786590231"/>
    <s v="3786590231"/>
    <s v="Valid"/>
    <s v="shayak21@hotmail.com"/>
    <s v="N"/>
    <n v="9660.14"/>
    <s v="Y"/>
    <n v="304"/>
    <n v="304"/>
    <s v="J20"/>
  </r>
  <r>
    <s v="P2528"/>
    <s v="Lavanya Uppal"/>
    <s v="Lavanya Uppal"/>
    <x v="0"/>
    <n v="56"/>
    <n v="56"/>
    <s v="Orthopedics"/>
    <s v="Orthopedics"/>
    <s v="Dr Mehta"/>
    <s v="Dr Mehta"/>
    <d v="2026-01-22T00:00:00"/>
    <s v="Valid"/>
    <b v="1"/>
    <b v="1"/>
    <d v="2026-01-04T00:00:00"/>
    <s v="03772946897"/>
    <s v="03772946897"/>
    <s v="3772946897"/>
    <s v="Valid"/>
    <s v="kismatdalia@sahni-devi.info"/>
    <s v="Yes"/>
    <n v="5581.45"/>
    <s v="Yes"/>
    <n v="300"/>
    <n v="300"/>
    <s v="M54"/>
  </r>
  <r>
    <s v="P2531"/>
    <s v="Raghav Talwar"/>
    <s v="Raghav Talwar"/>
    <x v="0"/>
    <n v="46"/>
    <n v="46"/>
    <s v="Neurology"/>
    <s v="Neurology"/>
    <s v="Dr Mehta"/>
    <s v="Dr Mehta"/>
    <d v="2025-12-26T00:00:00"/>
    <s v="Valid"/>
    <b v="1"/>
    <b v="1"/>
    <d v="2025-11-26T00:00:00"/>
    <s v="7980529570"/>
    <s v="7980529570"/>
    <s v="7980529570"/>
    <s v="Valid"/>
    <s v="hkurian@ranganathan.com"/>
    <s v="N"/>
    <n v="17709.400000000001"/>
    <s v="Yes"/>
    <n v="172"/>
    <n v="172"/>
    <s v="E11"/>
  </r>
  <r>
    <s v="P2533"/>
    <s v="Tiya Atwal"/>
    <s v="Tiya Atwal"/>
    <x v="1"/>
    <n v="79"/>
    <n v="79"/>
    <s v="Neurology"/>
    <s v="Neurology"/>
    <s v="Dr Mehta"/>
    <s v="Dr Mehta"/>
    <d v="2026-03-27T00:00:00"/>
    <s v="Valid"/>
    <b v="1"/>
    <b v="1"/>
    <d v="2026-03-11T00:00:00"/>
    <s v="03177550382"/>
    <s v="03177550382"/>
    <s v="3177550382"/>
    <s v="Valid"/>
    <s v="vritika18@hotmail.com"/>
    <s v="Y"/>
    <n v="8659.2099999999991"/>
    <s v="NO"/>
    <n v="513"/>
    <n v="513"/>
    <s v="C34"/>
  </r>
  <r>
    <s v="P2535"/>
    <s v="Tarini Goswami"/>
    <s v="Tarini Goswami"/>
    <x v="5"/>
    <n v="41"/>
    <n v="41"/>
    <s v="General Medicine"/>
    <s v="General Medicine"/>
    <s v="Dr. Sharma"/>
    <s v="Dr. Sharma"/>
    <d v="2025-12-07T00:00:00"/>
    <s v="Valid"/>
    <b v="1"/>
    <b v="1"/>
    <d v="2025-11-20T00:00:00"/>
    <s v="0336159066"/>
    <s v="0336159066"/>
    <s v="0336159066"/>
    <s v="Valid"/>
    <s v="ybera@bora.com"/>
    <s v="N"/>
    <n v="14515.05"/>
    <s v="NO"/>
    <n v="457"/>
    <n v="457"/>
    <s v="E11"/>
  </r>
  <r>
    <s v="P2536"/>
    <s v="Farhan Hans"/>
    <s v="Farhan Hans"/>
    <x v="4"/>
    <n v="42"/>
    <n v="42"/>
    <s v="Pediatrics"/>
    <s v="Pediatrics"/>
    <s v="DR SHARMA"/>
    <s v="Dr Sharma"/>
    <d v="2026-05-25T00:00:00"/>
    <s v="Valid"/>
    <b v="1"/>
    <b v="1"/>
    <d v="2026-04-29T00:00:00"/>
    <s v="+914503932160"/>
    <s v="914503932160"/>
    <s v="4503932160"/>
    <s v="Valid"/>
    <s v="ayesha17@arya.com"/>
    <s v="NO"/>
    <n v="12316.98"/>
    <m/>
    <n v="109"/>
    <n v="109"/>
    <s v="J20"/>
  </r>
  <r>
    <s v="P2537"/>
    <s v="Trisha Contractor"/>
    <s v="Trisha Contractor"/>
    <x v="2"/>
    <n v="50"/>
    <n v="50"/>
    <s v="Orthopedics"/>
    <s v="Orthopedics"/>
    <s v="dr priya"/>
    <s v="Dr Priya"/>
    <d v="2025-11-29T00:00:00"/>
    <s v="Valid"/>
    <b v="1"/>
    <b v="1"/>
    <d v="2025-11-27T00:00:00"/>
    <s v="01628949256"/>
    <s v="01628949256"/>
    <s v="1628949256"/>
    <s v="Valid"/>
    <s v="aniruddh51@andra.info"/>
    <m/>
    <n v="11674.69"/>
    <s v="Yes"/>
    <n v="134"/>
    <n v="134"/>
    <s v="M54"/>
  </r>
  <r>
    <s v="P2538"/>
    <s v="Drishya Karan"/>
    <s v="Drishya Karan"/>
    <x v="1"/>
    <n v="25"/>
    <n v="25"/>
    <s v="Oncology"/>
    <s v="Oncology"/>
    <s v="Dr Mehta"/>
    <s v="Dr Mehta"/>
    <d v="2026-04-24T00:00:00"/>
    <s v="Valid"/>
    <b v="1"/>
    <b v="1"/>
    <d v="2026-04-13T00:00:00"/>
    <s v="05225971908"/>
    <s v="05225971908"/>
    <s v="5225971908"/>
    <s v="Valid"/>
    <s v="tara89@hotmail.com"/>
    <s v="Yes"/>
    <n v="11948.92"/>
    <s v="N"/>
    <n v="424"/>
    <n v="424"/>
    <s v="I10"/>
  </r>
  <r>
    <s v="P2539"/>
    <s v="Indrajit Mannan"/>
    <s v="Indrajit Mannan"/>
    <x v="2"/>
    <n v="46"/>
    <n v="46"/>
    <s v="General Medicine"/>
    <s v="General Medicine"/>
    <s v="Dr Mehta"/>
    <s v="Dr Mehta"/>
    <d v="2026-04-22T00:00:00"/>
    <s v="Valid"/>
    <b v="1"/>
    <b v="1"/>
    <d v="2026-03-28T00:00:00"/>
    <s v="6819566581"/>
    <s v="6819566581"/>
    <s v="6819566581"/>
    <s v="Valid"/>
    <s v="ubakshi@jani-dubey.org"/>
    <s v="Y"/>
    <n v="23925.360000000001"/>
    <m/>
    <n v="260"/>
    <n v="260"/>
    <s v="A09"/>
  </r>
  <r>
    <s v="P2541"/>
    <s v="Pari Gour"/>
    <s v="Pari Gour"/>
    <x v="0"/>
    <n v="32"/>
    <n v="32"/>
    <s v="Dermatology"/>
    <s v="Dermatology"/>
    <s v="dr priya"/>
    <s v="Dr Priya"/>
    <d v="2026-01-29T00:00:00"/>
    <s v="Valid"/>
    <b v="1"/>
    <b v="1"/>
    <d v="2026-01-07T00:00:00"/>
    <s v="3157761802"/>
    <s v="3157761802"/>
    <s v="3157761802"/>
    <s v="Valid"/>
    <s v="nayantara26@yahoo.com"/>
    <s v="Yes"/>
    <n v="7594.79"/>
    <s v="N"/>
    <n v="173"/>
    <n v="173"/>
    <s v="J20"/>
  </r>
  <r>
    <s v="P2542"/>
    <s v="Shaan Koshy"/>
    <s v="Shaan Koshy"/>
    <x v="0"/>
    <n v="4"/>
    <n v="4"/>
    <s v="Dermatology"/>
    <s v="Dermatology"/>
    <s v="Dr Mehta"/>
    <s v="Dr Mehta"/>
    <d v="2025-12-10T00:00:00"/>
    <s v="Valid"/>
    <b v="1"/>
    <b v="1"/>
    <d v="2025-11-29T00:00:00"/>
    <s v="+912149770766"/>
    <s v="912149770766"/>
    <s v="2149770766"/>
    <s v="Valid"/>
    <s v="aaravbassi@hotmail.com"/>
    <m/>
    <n v="19439.759999999998"/>
    <s v="Y"/>
    <n v="328"/>
    <n v="328"/>
    <s v="C34"/>
  </r>
  <r>
    <s v="P2543"/>
    <s v="Jivika Dar"/>
    <s v="Jivika Dar"/>
    <x v="1"/>
    <n v="72"/>
    <n v="72"/>
    <s v="Orthopedics"/>
    <s v="Orthopedics"/>
    <s v="Dr Khan"/>
    <s v="Dr Khan"/>
    <d v="2026-03-09T00:00:00"/>
    <s v="Valid"/>
    <b v="1"/>
    <b v="1"/>
    <d v="2026-02-13T00:00:00"/>
    <s v="7263194144"/>
    <s v="7263194144"/>
    <s v="7263194144"/>
    <s v="Valid"/>
    <s v="shalv71@sethi.com"/>
    <s v="N"/>
    <n v="2872.07"/>
    <s v="Yes"/>
    <n v="333"/>
    <n v="333"/>
    <s v="J20"/>
  </r>
  <r>
    <s v="P2544"/>
    <s v="Nitya Mahajan"/>
    <s v="Nitya Mahajan"/>
    <x v="5"/>
    <n v="78"/>
    <n v="78"/>
    <s v="General Medicine"/>
    <s v="General Medicine"/>
    <s v="Dr. Sharma"/>
    <s v="Dr. Sharma"/>
    <d v="2026-03-04T00:00:00"/>
    <s v="Valid"/>
    <b v="1"/>
    <b v="1"/>
    <d v="2026-02-27T00:00:00"/>
    <s v="7103754412"/>
    <s v="7103754412"/>
    <s v="7103754412"/>
    <s v="Valid"/>
    <s v="ryan73@kuruvilla-sant.com"/>
    <s v="Yes"/>
    <n v="8205.5300000000007"/>
    <s v="Yes"/>
    <n v="163"/>
    <n v="163"/>
    <s v="I10"/>
  </r>
  <r>
    <s v="P2545"/>
    <s v="Myra Dass"/>
    <s v="Myra Dass"/>
    <x v="2"/>
    <n v="71"/>
    <n v="71"/>
    <s v="General Medicine"/>
    <s v="General Medicine"/>
    <s v="dr priya"/>
    <s v="Dr Priya"/>
    <d v="2026-01-28T00:00:00"/>
    <s v="Valid"/>
    <b v="1"/>
    <b v="1"/>
    <d v="2026-01-24T00:00:00"/>
    <s v="+910000975564"/>
    <s v="910000975564"/>
    <s v="0000975564"/>
    <s v="Valid"/>
    <s v="emir38@bali.com"/>
    <s v="N"/>
    <n v="20828.75"/>
    <m/>
    <n v="381"/>
    <n v="381"/>
    <s v="I10"/>
  </r>
  <r>
    <s v="P2546"/>
    <s v="Baiju Gandhi"/>
    <s v="Baiju Gandhi"/>
    <x v="1"/>
    <n v="83"/>
    <n v="83"/>
    <s v="ENT"/>
    <s v="ENT"/>
    <s v="dr priya"/>
    <s v="Dr Priya"/>
    <d v="2025-12-15T00:00:00"/>
    <s v="Valid"/>
    <b v="1"/>
    <b v="1"/>
    <d v="2025-12-10T00:00:00"/>
    <s v="+912079700108"/>
    <s v="912079700108"/>
    <s v="2079700108"/>
    <s v="Valid"/>
    <s v="dhanush15@khare.com"/>
    <s v="N"/>
    <n v="15404.44"/>
    <s v="Yes"/>
    <n v="429"/>
    <n v="429"/>
    <s v="J20"/>
  </r>
  <r>
    <s v="P2547"/>
    <s v="Raunak Bajwa"/>
    <s v="Raunak Bajwa"/>
    <x v="2"/>
    <n v="73"/>
    <n v="73"/>
    <s v="Cardiology"/>
    <s v="Cardiology"/>
    <s v="Dr Rao"/>
    <s v="Dr Rao"/>
    <d v="2026-03-02T00:00:00"/>
    <s v="Valid"/>
    <b v="1"/>
    <b v="1"/>
    <d v="2026-02-07T00:00:00"/>
    <s v="+917814642866"/>
    <s v="917814642866"/>
    <s v="7814642866"/>
    <s v="Valid"/>
    <s v="sethpurab@gmail.com"/>
    <s v="Yes"/>
    <n v="12517.58"/>
    <s v="NO"/>
    <n v="171"/>
    <n v="171"/>
    <s v="E11"/>
  </r>
  <r>
    <s v="P2548"/>
    <s v="Rania Balakrishnan"/>
    <s v="Rania Balakrishnan"/>
    <x v="2"/>
    <n v="67"/>
    <n v="67"/>
    <s v="Orthopedics"/>
    <s v="Orthopedics"/>
    <s v="DR SHARMA"/>
    <s v="Dr Sharma"/>
    <d v="2026-02-26T00:00:00"/>
    <s v="Valid"/>
    <b v="1"/>
    <b v="1"/>
    <d v="2026-02-24T00:00:00"/>
    <s v="01884018503"/>
    <s v="01884018503"/>
    <s v="1884018503"/>
    <s v="Valid"/>
    <s v="psawhney@boase-dyal.biz"/>
    <s v="N"/>
    <n v="24313.52"/>
    <s v="NO"/>
    <n v="141"/>
    <n v="141"/>
    <s v="M54"/>
  </r>
  <r>
    <s v="P2549"/>
    <s v="Uthkarsh Varty"/>
    <s v="Uthkarsh Varty"/>
    <x v="2"/>
    <n v="9"/>
    <n v="9"/>
    <s v="General Medicine"/>
    <s v="General Medicine"/>
    <s v="dr priya"/>
    <s v="Dr Priya"/>
    <d v="2026-03-09T00:00:00"/>
    <s v="Valid"/>
    <b v="1"/>
    <b v="1"/>
    <d v="2026-02-20T00:00:00"/>
    <s v="+914426307750"/>
    <s v="914426307750"/>
    <s v="4426307750"/>
    <s v="Valid"/>
    <s v="reneeshukla@yahoo.com"/>
    <s v="Yes"/>
    <n v="13212.05"/>
    <m/>
    <n v="455"/>
    <n v="455"/>
    <s v="E11"/>
  </r>
  <r>
    <s v="P2551"/>
    <s v="Samarth Ratti"/>
    <s v="Samarth Ratti"/>
    <x v="0"/>
    <n v="7"/>
    <n v="7"/>
    <s v="Pediatrics"/>
    <s v="Pediatrics"/>
    <s v="Dr Khan"/>
    <s v="Dr Khan"/>
    <d v="2025-12-23T00:00:00"/>
    <s v="Valid"/>
    <b v="1"/>
    <b v="1"/>
    <d v="2025-12-22T00:00:00"/>
    <s v="1815802258"/>
    <s v="1815802258"/>
    <s v="1815802258"/>
    <s v="Valid"/>
    <s v="hridaan21@gmail.com"/>
    <s v="Yes"/>
    <n v="5631.22"/>
    <s v="N"/>
    <n v="178"/>
    <n v="178"/>
    <s v="K21"/>
  </r>
  <r>
    <s v="P2552"/>
    <s v="Advik Aurora"/>
    <s v="Advik Aurora"/>
    <x v="4"/>
    <n v="65"/>
    <n v="65"/>
    <s v="ENT"/>
    <s v="ENT"/>
    <s v="dr priya"/>
    <s v="Dr Priya"/>
    <d v="2026-02-10T00:00:00"/>
    <s v="Valid"/>
    <b v="1"/>
    <b v="1"/>
    <d v="2026-01-29T00:00:00"/>
    <s v="6833129406"/>
    <s v="6833129406"/>
    <s v="6833129406"/>
    <s v="Valid"/>
    <s v="dubemadhup@grewal.com"/>
    <m/>
    <n v="677.54"/>
    <s v="Yes"/>
    <n v="352"/>
    <n v="352"/>
    <s v="I10"/>
  </r>
  <r>
    <s v="P2553"/>
    <s v="Myra Barman"/>
    <s v="Myra Barman"/>
    <x v="1"/>
    <n v="71"/>
    <n v="71"/>
    <s v="Neurology"/>
    <s v="Neurology"/>
    <s v="Dr Rao"/>
    <s v="Dr Rao"/>
    <d v="2026-05-03T00:00:00"/>
    <s v="Valid"/>
    <b v="1"/>
    <b v="1"/>
    <d v="2026-04-27T00:00:00"/>
    <s v="1320906767"/>
    <s v="1320906767"/>
    <s v="1320906767"/>
    <s v="Valid"/>
    <s v="loyalneysa@tank-singhal.com"/>
    <s v="Yes"/>
    <n v="5379.15"/>
    <m/>
    <n v="103"/>
    <n v="103"/>
    <s v="J20"/>
  </r>
  <r>
    <s v="P2554"/>
    <s v="Aarna Sharaf"/>
    <s v="Aarna Sharaf"/>
    <x v="2"/>
    <n v="75"/>
    <n v="75"/>
    <s v="ENT"/>
    <s v="ENT"/>
    <s v="Dr Mehta"/>
    <s v="Dr Mehta"/>
    <d v="2026-04-14T00:00:00"/>
    <s v="Valid"/>
    <b v="1"/>
    <b v="1"/>
    <d v="2026-04-02T00:00:00"/>
    <s v="02627597192"/>
    <s v="02627597192"/>
    <s v="2627597192"/>
    <s v="Valid"/>
    <s v="groverkrish@swamy-saha.info"/>
    <s v="NO"/>
    <n v="3975.95"/>
    <s v="Yes"/>
    <n v="421"/>
    <n v="421"/>
    <s v="C34"/>
  </r>
  <r>
    <s v="P2555"/>
    <s v="Neelofar Joshi"/>
    <s v="Neelofar Joshi"/>
    <x v="0"/>
    <n v="35"/>
    <n v="35"/>
    <s v="ENT"/>
    <s v="ENT"/>
    <s v="dr priya"/>
    <s v="Dr Priya"/>
    <d v="2025-12-07T00:00:00"/>
    <s v="Valid"/>
    <b v="1"/>
    <b v="1"/>
    <d v="2025-12-02T00:00:00"/>
    <s v="08687290624"/>
    <s v="08687290624"/>
    <s v="8687290624"/>
    <s v="Valid"/>
    <s v="manikya98@mani.net"/>
    <s v="NO"/>
    <n v="18903.45"/>
    <s v="Yes"/>
    <n v="271"/>
    <n v="271"/>
    <s v="E11"/>
  </r>
  <r>
    <s v="P2556"/>
    <s v="Samar Warrior"/>
    <s v="Samar Warrior"/>
    <x v="2"/>
    <n v="34"/>
    <n v="34"/>
    <s v="Dermatology"/>
    <s v="Dermatology"/>
    <s v="Dr Mehta"/>
    <s v="Dr Mehta"/>
    <d v="2026-01-02T00:00:00"/>
    <s v="Valid"/>
    <b v="1"/>
    <b v="1"/>
    <d v="2025-12-13T00:00:00"/>
    <s v="+911149808139"/>
    <s v="911149808139"/>
    <s v="1149808139"/>
    <s v="Valid"/>
    <s v="rohan09@hotmail.com"/>
    <s v="Y"/>
    <n v="11400.91"/>
    <m/>
    <n v="408"/>
    <n v="408"/>
    <s v="C34"/>
  </r>
  <r>
    <s v="P2557"/>
    <s v="Ahana  Balasubramanian"/>
    <s v="Ahana Balasubramanian"/>
    <x v="1"/>
    <n v="27"/>
    <n v="27"/>
    <s v="Orthopedics"/>
    <s v="Orthopedics"/>
    <s v="Dr Mehta"/>
    <s v="Dr Mehta"/>
    <d v="2026-01-17T00:00:00"/>
    <s v="Valid"/>
    <b v="1"/>
    <b v="1"/>
    <d v="2026-01-16T00:00:00"/>
    <s v="07873609405"/>
    <s v="07873609405"/>
    <s v="7873609405"/>
    <s v="Valid"/>
    <s v="malhotrapriyansh@karpe.info"/>
    <m/>
    <n v="20154.97"/>
    <s v="N"/>
    <n v="202"/>
    <n v="202"/>
    <s v="K21"/>
  </r>
  <r>
    <s v="P2558"/>
    <s v="Anay Chander"/>
    <s v="Anay Chander"/>
    <x v="0"/>
    <n v="89"/>
    <n v="89"/>
    <s v="Pediatrics"/>
    <s v="Pediatrics"/>
    <s v="Dr. Sharma"/>
    <s v="Dr. Sharma"/>
    <d v="2026-03-08T00:00:00"/>
    <s v="Valid"/>
    <b v="1"/>
    <b v="1"/>
    <d v="2026-02-25T00:00:00"/>
    <s v="00141851757"/>
    <s v="00141851757"/>
    <s v="0141851757"/>
    <s v="Valid"/>
    <s v="wloyal@yahoo.com"/>
    <m/>
    <n v="1548.32"/>
    <s v="N"/>
    <n v="390"/>
    <n v="390"/>
    <s v="K21"/>
  </r>
  <r>
    <s v="P2561"/>
    <s v="Veer Salvi"/>
    <s v="Veer Salvi"/>
    <x v="0"/>
    <n v="86"/>
    <n v="86"/>
    <s v="Pediatrics"/>
    <s v="Pediatrics"/>
    <s v="Dr Mehta"/>
    <s v="Dr Mehta"/>
    <d v="2026-01-24T00:00:00"/>
    <s v="Valid"/>
    <b v="1"/>
    <b v="1"/>
    <d v="2026-01-05T00:00:00"/>
    <s v="02276454901"/>
    <s v="02276454901"/>
    <s v="2276454901"/>
    <s v="Valid"/>
    <s v="vram@talwar.org"/>
    <s v="NO"/>
    <n v="22133.43"/>
    <s v="Yes"/>
    <n v="417"/>
    <n v="417"/>
    <s v="I10"/>
  </r>
  <r>
    <s v="P2562"/>
    <s v="Aarush Tara"/>
    <s v="Aarush Tara"/>
    <x v="0"/>
    <n v="36"/>
    <n v="36"/>
    <s v="Cardiology"/>
    <s v="Cardiology"/>
    <s v="Dr. Sharma"/>
    <s v="Dr. Sharma"/>
    <d v="2025-12-07T00:00:00"/>
    <s v="Valid"/>
    <b v="1"/>
    <b v="1"/>
    <d v="2025-11-23T00:00:00"/>
    <s v="+914956862287"/>
    <s v="914956862287"/>
    <s v="4956862287"/>
    <s v="Valid"/>
    <s v="vkapur@yahoo.com"/>
    <m/>
    <n v="18272.96"/>
    <s v="Y"/>
    <n v="149"/>
    <n v="149"/>
    <s v="I10"/>
  </r>
  <r>
    <s v="P2563"/>
    <s v="Vidur Sachar"/>
    <s v="Vidur Sachar"/>
    <x v="2"/>
    <n v="28"/>
    <n v="28"/>
    <s v="Pediatrics"/>
    <s v="Pediatrics"/>
    <s v="dr priya"/>
    <s v="Dr Priya"/>
    <d v="2025-12-19T00:00:00"/>
    <s v="Valid"/>
    <b v="1"/>
    <b v="1"/>
    <d v="2025-11-26T00:00:00"/>
    <s v="05260560769"/>
    <s v="05260560769"/>
    <s v="5260560769"/>
    <s v="Valid"/>
    <s v="samratara@gmail.com"/>
    <s v="N"/>
    <n v="2087.27"/>
    <m/>
    <n v="434"/>
    <n v="434"/>
    <s v="I10"/>
  </r>
  <r>
    <s v="P2564"/>
    <s v="Jayant Hegde"/>
    <s v="Jayant Hegde"/>
    <x v="0"/>
    <n v="5"/>
    <n v="5"/>
    <s v="Neurology"/>
    <s v="Neurology"/>
    <s v="Dr. Sharma"/>
    <s v="Dr. Sharma"/>
    <d v="2026-02-21T00:00:00"/>
    <s v="Valid"/>
    <b v="1"/>
    <b v="1"/>
    <d v="2026-02-17T00:00:00"/>
    <s v="+910125809003"/>
    <s v="910125809003"/>
    <s v="0125809003"/>
    <s v="Valid"/>
    <s v="aaina68@gmail.com"/>
    <s v="Y"/>
    <n v="11531.81"/>
    <s v="N"/>
    <n v="161"/>
    <n v="161"/>
    <s v="C34"/>
  </r>
  <r>
    <s v="P2565"/>
    <s v="Samiha Virk"/>
    <s v="Samiha Virk"/>
    <x v="0"/>
    <n v="61"/>
    <n v="61"/>
    <s v="Orthopedics"/>
    <s v="Orthopedics"/>
    <s v="Dr Rao"/>
    <s v="Dr Rao"/>
    <d v="2026-04-20T00:00:00"/>
    <s v="Valid"/>
    <b v="1"/>
    <b v="1"/>
    <d v="2026-04-17T00:00:00"/>
    <s v="6516955123"/>
    <s v="6516955123"/>
    <s v="6516955123"/>
    <s v="Valid"/>
    <s v="armaangaba@yahoo.com"/>
    <s v="NO"/>
    <n v="18175.259999999998"/>
    <m/>
    <n v="545"/>
    <n v="545"/>
    <s v="A09"/>
  </r>
  <r>
    <s v="P2566"/>
    <s v="Bhavin Verma"/>
    <s v="Bhavin Verma"/>
    <x v="0"/>
    <n v="35"/>
    <n v="35"/>
    <s v="Cardiology"/>
    <s v="Cardiology"/>
    <s v="Dr Khan"/>
    <s v="Dr Khan"/>
    <d v="2026-01-11T00:00:00"/>
    <s v="Valid"/>
    <b v="1"/>
    <b v="1"/>
    <d v="2026-01-09T00:00:00"/>
    <s v="05514197594"/>
    <s v="05514197594"/>
    <s v="5514197594"/>
    <s v="Valid"/>
    <s v="manjari51@yahoo.com"/>
    <s v="Yes"/>
    <n v="5543.79"/>
    <m/>
    <n v="447"/>
    <n v="447"/>
    <s v="M54"/>
  </r>
  <r>
    <s v="P2567"/>
    <s v="Miraan Golla"/>
    <s v="Miraan Golla"/>
    <x v="0"/>
    <n v="5"/>
    <n v="5"/>
    <s v="General Medicine"/>
    <s v="General Medicine"/>
    <s v="dr priya"/>
    <s v="Dr Priya"/>
    <d v="2026-01-21T00:00:00"/>
    <s v="Valid"/>
    <b v="1"/>
    <b v="1"/>
    <d v="2025-12-26T00:00:00"/>
    <s v="+911387652151"/>
    <s v="911387652151"/>
    <s v="1387652151"/>
    <s v="Valid"/>
    <s v="bijugole@ramanathan-ramesh.com"/>
    <m/>
    <n v="10428.120000000001"/>
    <s v="Yes"/>
    <n v="395"/>
    <n v="395"/>
    <s v="I10"/>
  </r>
  <r>
    <s v="P2568"/>
    <s v="Vanya Sami"/>
    <s v="Vanya Sami"/>
    <x v="2"/>
    <n v="36"/>
    <n v="36"/>
    <s v="Oncology"/>
    <s v="Oncology"/>
    <s v="Dr Khan"/>
    <s v="Dr Khan"/>
    <d v="2026-01-29T00:00:00"/>
    <s v="Valid"/>
    <b v="1"/>
    <b v="1"/>
    <d v="2026-01-23T00:00:00"/>
    <s v="4878075272"/>
    <s v="4878075272"/>
    <s v="4878075272"/>
    <s v="Valid"/>
    <s v="dchawla@hotmail.com"/>
    <s v="Y"/>
    <n v="805.44"/>
    <s v="Yes"/>
    <n v="546"/>
    <n v="546"/>
    <s v="E11"/>
  </r>
  <r>
    <s v="P2569"/>
    <s v="Lakshay Setty"/>
    <s v="Lakshay Setty"/>
    <x v="5"/>
    <n v="89"/>
    <n v="89"/>
    <s v="General Medicine"/>
    <s v="General Medicine"/>
    <s v="Dr Rao"/>
    <s v="Dr Rao"/>
    <d v="2025-12-08T00:00:00"/>
    <s v="Valid"/>
    <b v="1"/>
    <b v="1"/>
    <d v="2025-11-18T00:00:00"/>
    <s v="07131421536"/>
    <s v="07131421536"/>
    <s v="7131421536"/>
    <s v="Valid"/>
    <s v="beraseher@gmail.com"/>
    <s v="Yes"/>
    <n v="21863.32"/>
    <m/>
    <n v="386"/>
    <n v="386"/>
    <s v="C34"/>
  </r>
  <r>
    <s v="P2570"/>
    <s v="Indrans Batra"/>
    <s v="Indrans Batra"/>
    <x v="3"/>
    <n v="30"/>
    <n v="30"/>
    <s v="Cardiology"/>
    <s v="Cardiology"/>
    <s v="Dr. Sharma"/>
    <s v="Dr. Sharma"/>
    <d v="2026-05-12T00:00:00"/>
    <s v="Valid"/>
    <b v="1"/>
    <b v="1"/>
    <d v="2026-05-01T00:00:00"/>
    <s v="+912099146541"/>
    <s v="912099146541"/>
    <s v="2099146541"/>
    <s v="Valid"/>
    <s v="nwalla@hotmail.com"/>
    <s v="NO"/>
    <n v="15031.62"/>
    <m/>
    <n v="520"/>
    <n v="520"/>
    <s v="M54"/>
  </r>
  <r>
    <s v="P2571"/>
    <s v="Azad Dash"/>
    <s v="Azad Dash"/>
    <x v="4"/>
    <n v="48"/>
    <n v="48"/>
    <s v="ENT"/>
    <s v="ENT"/>
    <s v="Dr Mehta"/>
    <s v="Dr Mehta"/>
    <d v="2026-03-03T00:00:00"/>
    <s v="Valid"/>
    <b v="1"/>
    <b v="1"/>
    <d v="2026-02-21T00:00:00"/>
    <s v="00834509153"/>
    <s v="00834509153"/>
    <s v="0834509153"/>
    <s v="Valid"/>
    <s v="rdutta@kala-gopal.com"/>
    <s v="N"/>
    <n v="10293.64"/>
    <m/>
    <n v="290"/>
    <n v="290"/>
    <s v="M54"/>
  </r>
  <r>
    <s v="P2572"/>
    <s v="Sumer Dixit"/>
    <s v="Sumer Dixit"/>
    <x v="2"/>
    <n v="38"/>
    <n v="38"/>
    <s v="Orthopedics"/>
    <s v="Orthopedics"/>
    <s v="Dr Khan"/>
    <s v="Dr Khan"/>
    <d v="2026-04-05T00:00:00"/>
    <s v="Valid"/>
    <b v="1"/>
    <b v="1"/>
    <d v="2026-03-15T00:00:00"/>
    <s v="3609739344"/>
    <s v="3609739344"/>
    <s v="3609739344"/>
    <s v="Valid"/>
    <s v="evadey@sawhney.org"/>
    <m/>
    <n v="9136.16"/>
    <m/>
    <n v="144"/>
    <n v="144"/>
    <s v="A09"/>
  </r>
  <r>
    <s v="P2573"/>
    <s v="Divyansh Din"/>
    <s v="Divyansh Din"/>
    <x v="0"/>
    <n v="18"/>
    <n v="18"/>
    <s v="ENT"/>
    <s v="ENT"/>
    <s v="dr priya"/>
    <s v="Dr Priya"/>
    <d v="2026-03-15T00:00:00"/>
    <s v="Valid"/>
    <b v="1"/>
    <b v="1"/>
    <d v="2026-02-23T00:00:00"/>
    <s v="09224994723"/>
    <s v="09224994723"/>
    <s v="9224994723"/>
    <s v="Valid"/>
    <s v="xgokhale@gmail.com"/>
    <m/>
    <n v="11379.06"/>
    <s v="Y"/>
    <n v="121"/>
    <n v="121"/>
    <s v="J20"/>
  </r>
  <r>
    <s v="P2574"/>
    <s v="Gatik Bera"/>
    <s v="Gatik Bera"/>
    <x v="4"/>
    <n v="77"/>
    <n v="77"/>
    <s v="ENT"/>
    <s v="ENT"/>
    <s v="Dr Mehta"/>
    <s v="Dr Mehta"/>
    <d v="2026-03-09T00:00:00"/>
    <s v="Valid"/>
    <b v="1"/>
    <b v="1"/>
    <d v="2026-02-10T00:00:00"/>
    <s v="07807711689"/>
    <s v="07807711689"/>
    <s v="7807711689"/>
    <s v="Valid"/>
    <s v="mishtichadha@chandran.com"/>
    <s v="Yes"/>
    <n v="24435.35"/>
    <s v="N"/>
    <n v="522"/>
    <n v="522"/>
    <s v="C34"/>
  </r>
  <r>
    <s v="P2575"/>
    <s v="Dhanush Jayaraman"/>
    <s v="Dhanush Jayaraman"/>
    <x v="1"/>
    <n v="11"/>
    <n v="11"/>
    <s v="Dermatology"/>
    <s v="Dermatology"/>
    <s v="Dr Mehta"/>
    <s v="Dr Mehta"/>
    <d v="2026-02-18T00:00:00"/>
    <s v="Valid"/>
    <b v="1"/>
    <b v="1"/>
    <d v="2026-02-02T00:00:00"/>
    <s v="4056553394"/>
    <s v="4056553394"/>
    <s v="4056553394"/>
    <s v="Valid"/>
    <s v="taran19@dar.org"/>
    <s v="Yes"/>
    <n v="13085.31"/>
    <s v="Yes"/>
    <s v="Room-X"/>
    <n v="0"/>
    <s v="A09"/>
  </r>
  <r>
    <s v="P2576"/>
    <s v="Ahana  Sawhney"/>
    <s v="Ahana Sawhney"/>
    <x v="4"/>
    <n v="30"/>
    <n v="30"/>
    <s v="ENT"/>
    <s v="ENT"/>
    <s v="Dr Khan"/>
    <s v="Dr Khan"/>
    <d v="2025-11-29T00:00:00"/>
    <s v="Valid"/>
    <b v="1"/>
    <b v="1"/>
    <d v="2025-11-26T00:00:00"/>
    <s v="07280744947"/>
    <s v="07280744947"/>
    <s v="7280744947"/>
    <s v="Valid"/>
    <s v="jverma@sahota-ahluwalia.com"/>
    <s v="N"/>
    <n v="18350"/>
    <s v="NO"/>
    <n v="380"/>
    <n v="380"/>
    <s v="M54"/>
  </r>
  <r>
    <s v="P2577"/>
    <s v="Keya Barad"/>
    <s v="Keya Barad"/>
    <x v="1"/>
    <n v="29"/>
    <n v="29"/>
    <s v="ENT"/>
    <s v="ENT"/>
    <s v="dr priya"/>
    <s v="Dr Priya"/>
    <d v="2025-12-14T00:00:00"/>
    <s v="Valid"/>
    <b v="1"/>
    <b v="1"/>
    <d v="2025-11-22T00:00:00"/>
    <s v="08228878356"/>
    <s v="08228878356"/>
    <s v="8228878356"/>
    <s v="Valid"/>
    <s v="dugalishaan@yahoo.com"/>
    <s v="NO"/>
    <n v="5800.21"/>
    <m/>
    <n v="179"/>
    <n v="179"/>
    <s v="K21"/>
  </r>
  <r>
    <s v="P2578"/>
    <s v="Dhruv Goda"/>
    <s v="Dhruv Goda"/>
    <x v="5"/>
    <n v="1"/>
    <n v="1"/>
    <s v="Neurology"/>
    <s v="Neurology"/>
    <s v="Dr Khan"/>
    <s v="Dr Khan"/>
    <d v="2026-02-07T00:00:00"/>
    <s v="Valid"/>
    <b v="1"/>
    <b v="1"/>
    <d v="2026-02-03T00:00:00"/>
    <s v="04209940884"/>
    <s v="04209940884"/>
    <s v="4209940884"/>
    <s v="Valid"/>
    <s v="ayesha41@badal.com"/>
    <s v="NO"/>
    <n v="17434.45"/>
    <s v="Yes"/>
    <n v="223"/>
    <n v="223"/>
    <s v="K21"/>
  </r>
  <r>
    <s v="P2579"/>
    <s v="Sumer Bhatnagar"/>
    <s v="Sumer Bhatnagar"/>
    <x v="1"/>
    <n v="39"/>
    <n v="39"/>
    <s v="Pediatrics"/>
    <s v="Pediatrics"/>
    <s v="Dr Mehta"/>
    <s v="Dr Mehta"/>
    <d v="2026-05-03T00:00:00"/>
    <s v="Valid"/>
    <b v="1"/>
    <b v="1"/>
    <d v="2026-04-03T00:00:00"/>
    <s v="+918435394582"/>
    <s v="918435394582"/>
    <s v="8435394582"/>
    <s v="Valid"/>
    <s v="qbhasin@yahoo.com"/>
    <s v="NO"/>
    <n v="782.94"/>
    <s v="Yes"/>
    <n v="251"/>
    <n v="251"/>
    <s v="I10"/>
  </r>
  <r>
    <s v="P2580"/>
    <s v="Jayesh Gokhale"/>
    <s v="Jayesh Gokhale"/>
    <x v="5"/>
    <n v="24"/>
    <n v="24"/>
    <s v="Neurology"/>
    <s v="Neurology"/>
    <s v="Dr Mehta"/>
    <s v="Dr Mehta"/>
    <d v="2026-01-26T00:00:00"/>
    <s v="Valid"/>
    <b v="1"/>
    <b v="1"/>
    <d v="2026-01-18T00:00:00"/>
    <s v="04915650453"/>
    <s v="04915650453"/>
    <s v="4915650453"/>
    <s v="Valid"/>
    <s v="jsuresh@warrior.net"/>
    <m/>
    <n v="23785.11"/>
    <m/>
    <n v="283"/>
    <n v="283"/>
    <s v="C34"/>
  </r>
  <r>
    <s v="P2581"/>
    <s v="Aradhya Shukla"/>
    <s v="Aradhya Shukla"/>
    <x v="1"/>
    <n v="2"/>
    <n v="2"/>
    <s v="Oncology"/>
    <s v="Oncology"/>
    <s v="dr priya"/>
    <s v="Dr Priya"/>
    <d v="2026-05-16T00:00:00"/>
    <s v="Valid"/>
    <b v="1"/>
    <b v="1"/>
    <d v="2026-05-04T00:00:00"/>
    <s v="03677856457"/>
    <s v="03677856457"/>
    <s v="3677856457"/>
    <s v="Valid"/>
    <s v="mishagola@kapoor-dara.biz"/>
    <s v="N"/>
    <n v="5369.52"/>
    <m/>
    <n v="417"/>
    <n v="417"/>
    <s v="A09"/>
  </r>
  <r>
    <s v="P2582"/>
    <s v="Damini Hayre"/>
    <s v="Damini Hayre"/>
    <x v="3"/>
    <n v="82"/>
    <n v="82"/>
    <s v="Cardiology"/>
    <s v="Cardiology"/>
    <s v="Dr Khan"/>
    <s v="Dr Khan"/>
    <d v="2026-03-04T00:00:00"/>
    <s v="Valid"/>
    <b v="1"/>
    <b v="1"/>
    <d v="2026-03-03T00:00:00"/>
    <s v="+915275647369"/>
    <s v="915275647369"/>
    <s v="5275647369"/>
    <s v="Valid"/>
    <s v="keermohanlal@yahoo.com"/>
    <m/>
    <n v="8126.87"/>
    <s v="Yes"/>
    <n v="230"/>
    <n v="230"/>
    <s v="C34"/>
  </r>
  <r>
    <s v="P2583"/>
    <s v="Eshani Seshadri"/>
    <s v="Eshani Seshadri"/>
    <x v="3"/>
    <n v="50"/>
    <n v="50"/>
    <s v="Neurology"/>
    <s v="Neurology"/>
    <s v="dr priya"/>
    <s v="Dr Priya"/>
    <d v="2026-05-19T00:00:00"/>
    <s v="Valid"/>
    <b v="1"/>
    <b v="1"/>
    <d v="2026-04-27T00:00:00"/>
    <s v="6517401641"/>
    <s v="6517401641"/>
    <s v="6517401641"/>
    <s v="Valid"/>
    <s v="dishanigola@hotmail.com"/>
    <s v="N"/>
    <n v="23738.23"/>
    <m/>
    <n v="113"/>
    <n v="113"/>
    <s v="M54"/>
  </r>
  <r>
    <s v="P2584"/>
    <s v="Renee Kannan"/>
    <s v="Renee Kannan"/>
    <x v="0"/>
    <n v="63"/>
    <n v="63"/>
    <s v="Neurology"/>
    <s v="Neurology"/>
    <s v="Dr Khan"/>
    <s v="Dr Khan"/>
    <d v="2026-03-30T00:00:00"/>
    <s v="Valid"/>
    <b v="1"/>
    <b v="1"/>
    <d v="2026-03-22T00:00:00"/>
    <s v="0847135828"/>
    <s v="0847135828"/>
    <s v="0847135828"/>
    <s v="Valid"/>
    <s v="zain63@hotmail.com"/>
    <s v="NO"/>
    <n v="2257.52"/>
    <s v="NO"/>
    <n v="332"/>
    <n v="332"/>
    <s v="M54"/>
  </r>
  <r>
    <s v="P2585"/>
    <s v="Aayush Brar"/>
    <s v="Aayush Brar"/>
    <x v="2"/>
    <n v="31"/>
    <n v="31"/>
    <s v="General Medicine"/>
    <s v="General Medicine"/>
    <s v="Dr Rao"/>
    <s v="Dr Rao"/>
    <d v="2026-01-27T00:00:00"/>
    <s v="Valid"/>
    <b v="1"/>
    <b v="1"/>
    <d v="2026-01-17T00:00:00"/>
    <s v="+911090383206"/>
    <s v="911090383206"/>
    <s v="1090383206"/>
    <s v="Valid"/>
    <s v="lakshit23@gmail.com"/>
    <s v="Y"/>
    <n v="13905.12"/>
    <m/>
    <n v="210"/>
    <n v="210"/>
    <s v="A09"/>
  </r>
  <r>
    <s v="P2586"/>
    <s v="Sara Raju"/>
    <s v="Sara Raju"/>
    <x v="1"/>
    <n v="13"/>
    <n v="13"/>
    <s v="Cardiology"/>
    <s v="Cardiology"/>
    <s v="Dr Mehta"/>
    <s v="Dr Mehta"/>
    <d v="2026-04-04T00:00:00"/>
    <s v="Valid"/>
    <b v="1"/>
    <b v="1"/>
    <d v="2026-03-17T00:00:00"/>
    <s v="0681336677"/>
    <s v="0681336677"/>
    <s v="0681336677"/>
    <s v="Valid"/>
    <s v="xbora@gmail.com"/>
    <s v="Yes"/>
    <n v="23401.35"/>
    <m/>
    <n v="135"/>
    <n v="135"/>
    <s v="A09"/>
  </r>
  <r>
    <s v="P2587"/>
    <s v="Anya Gour"/>
    <s v="Anya Gour"/>
    <x v="4"/>
    <n v="60"/>
    <n v="60"/>
    <s v="Oncology"/>
    <s v="Oncology"/>
    <s v="dr priya"/>
    <s v="Dr Priya"/>
    <d v="2026-05-21T00:00:00"/>
    <s v="Valid"/>
    <b v="1"/>
    <b v="1"/>
    <d v="2026-04-26T00:00:00"/>
    <s v="+916531591804"/>
    <s v="916531591804"/>
    <s v="6531591804"/>
    <s v="Valid"/>
    <s v="xsundaram@hotmail.com"/>
    <s v="Yes"/>
    <n v="6479.47"/>
    <s v="NO"/>
    <n v="457"/>
    <n v="457"/>
    <s v="A09"/>
  </r>
  <r>
    <s v="P2588"/>
    <s v="Neelofar Bansal"/>
    <s v="Neelofar Bansal"/>
    <x v="3"/>
    <n v="23"/>
    <n v="23"/>
    <s v="General Medicine"/>
    <s v="General Medicine"/>
    <s v="Dr. Sharma"/>
    <s v="Dr. Sharma"/>
    <d v="2025-12-21T00:00:00"/>
    <s v="Valid"/>
    <b v="1"/>
    <b v="1"/>
    <d v="2025-11-24T00:00:00"/>
    <s v="+917257440468"/>
    <s v="917257440468"/>
    <s v="7257440468"/>
    <s v="Valid"/>
    <s v="jayandada@yahoo.com"/>
    <s v="Yes"/>
    <n v="1187.45"/>
    <s v="NO"/>
    <n v="318"/>
    <n v="318"/>
    <s v="I10"/>
  </r>
  <r>
    <s v="P2589"/>
    <s v="Adah Kade"/>
    <s v="Adah Kade"/>
    <x v="4"/>
    <n v="10"/>
    <n v="10"/>
    <s v="Pediatrics"/>
    <s v="Pediatrics"/>
    <s v="Dr Khan"/>
    <s v="Dr Khan"/>
    <d v="2026-03-05T00:00:00"/>
    <s v="Valid"/>
    <b v="1"/>
    <b v="1"/>
    <d v="2026-02-18T00:00:00"/>
    <s v="+914362173932"/>
    <s v="914362173932"/>
    <s v="4362173932"/>
    <s v="Valid"/>
    <s v="yakshitchoudhury@ghose-lad.com"/>
    <s v="NO"/>
    <n v="341.17"/>
    <s v="Y"/>
    <n v="495"/>
    <n v="495"/>
    <s v="M54"/>
  </r>
  <r>
    <s v="P2590"/>
    <s v="Seher Kothari"/>
    <s v="Seher Kothari"/>
    <x v="0"/>
    <n v="39"/>
    <n v="39"/>
    <s v="Orthopedics"/>
    <s v="Orthopedics"/>
    <s v="DR SHARMA"/>
    <s v="Dr Sharma"/>
    <d v="2026-05-06T00:00:00"/>
    <s v="Valid"/>
    <b v="1"/>
    <b v="1"/>
    <d v="2026-04-26T00:00:00"/>
    <s v="01186852587"/>
    <s v="01186852587"/>
    <s v="1186852587"/>
    <s v="Valid"/>
    <s v="shray27@hotmail.com"/>
    <m/>
    <n v="5872.57"/>
    <m/>
    <n v="513"/>
    <n v="513"/>
    <s v="C34"/>
  </r>
  <r>
    <s v="P2591"/>
    <s v="Keya Sarna"/>
    <s v="Keya Sarna"/>
    <x v="2"/>
    <n v="13"/>
    <n v="13"/>
    <s v="Orthopedics"/>
    <s v="Orthopedics"/>
    <s v="Dr Mehta"/>
    <s v="Dr Mehta"/>
    <d v="2026-02-17T00:00:00"/>
    <s v="Valid"/>
    <b v="1"/>
    <b v="1"/>
    <d v="2026-02-13T00:00:00"/>
    <s v="03900143616"/>
    <s v="03900143616"/>
    <s v="3900143616"/>
    <s v="Valid"/>
    <s v="siya69@hotmail.com"/>
    <s v="Yes"/>
    <n v="11064.81"/>
    <s v="NO"/>
    <n v="506"/>
    <n v="506"/>
    <s v="C34"/>
  </r>
  <r>
    <s v="P2592"/>
    <s v="Gatik Banerjee"/>
    <s v="Gatik Banerjee"/>
    <x v="1"/>
    <n v="3"/>
    <n v="3"/>
    <s v="ENT"/>
    <s v="ENT"/>
    <s v="Dr Mehta"/>
    <s v="Dr Mehta"/>
    <d v="2026-03-15T00:00:00"/>
    <s v="Valid"/>
    <b v="1"/>
    <b v="1"/>
    <d v="2026-03-02T00:00:00"/>
    <s v="2946504690"/>
    <s v="2946504690"/>
    <s v="2946504690"/>
    <s v="Valid"/>
    <s v="bhaminimalhotra@rout-ahluwalia.com"/>
    <m/>
    <n v="1031.71"/>
    <m/>
    <n v="385"/>
    <n v="385"/>
    <s v="C34"/>
  </r>
  <r>
    <s v="P2593"/>
    <s v="Vidur Comar"/>
    <s v="Vidur Comar"/>
    <x v="1"/>
    <n v="9"/>
    <n v="9"/>
    <s v="Neurology"/>
    <s v="Neurology"/>
    <s v="Dr Mehta"/>
    <s v="Dr Mehta"/>
    <d v="2026-01-28T00:00:00"/>
    <s v="Valid"/>
    <b v="1"/>
    <b v="1"/>
    <d v="2026-01-20T00:00:00"/>
    <s v="04598765686"/>
    <s v="04598765686"/>
    <s v="4598765686"/>
    <s v="Valid"/>
    <s v="vsuri@yahoo.com"/>
    <s v="N"/>
    <n v="11970.71"/>
    <s v="N"/>
    <n v="548"/>
    <n v="548"/>
    <s v="E11"/>
  </r>
  <r>
    <s v="P2594"/>
    <s v="Lagan Varughese"/>
    <s v="Lagan Varughese"/>
    <x v="2"/>
    <n v="4"/>
    <n v="4"/>
    <s v="Orthopedics"/>
    <s v="Orthopedics"/>
    <s v="Dr Mehta"/>
    <s v="Dr Mehta"/>
    <d v="2026-03-27T00:00:00"/>
    <s v="Valid"/>
    <b v="1"/>
    <b v="1"/>
    <d v="2026-03-09T00:00:00"/>
    <s v="03147377292"/>
    <s v="03147377292"/>
    <s v="3147377292"/>
    <s v="Valid"/>
    <s v="neysa77@yahoo.com"/>
    <s v="Yes"/>
    <n v="16683.099999999999"/>
    <m/>
    <n v="437"/>
    <n v="437"/>
    <s v="A09"/>
  </r>
  <r>
    <s v="P2595"/>
    <s v="Tushar Chandran"/>
    <s v="Tushar Chandran"/>
    <x v="2"/>
    <n v="72"/>
    <n v="72"/>
    <s v="Oncology"/>
    <s v="Oncology"/>
    <s v="Dr Khan"/>
    <s v="Dr Khan"/>
    <d v="2026-03-11T00:00:00"/>
    <s v="Valid"/>
    <b v="1"/>
    <b v="1"/>
    <d v="2026-03-09T00:00:00"/>
    <s v="12345"/>
    <s v="12345"/>
    <s v="12345"/>
    <s v="Valid"/>
    <s v="odash@yahoo.com"/>
    <s v="Yes"/>
    <n v="14636.59"/>
    <s v="NO"/>
    <n v="386"/>
    <n v="386"/>
    <s v="I10"/>
  </r>
  <r>
    <s v="P2596"/>
    <s v="Jiya Kant"/>
    <s v="Jiya Kant"/>
    <x v="5"/>
    <n v="26"/>
    <n v="26"/>
    <s v="Orthopedics"/>
    <s v="Orthopedics"/>
    <s v="Dr. Sharma"/>
    <s v="Dr. Sharma"/>
    <d v="2026-01-27T00:00:00"/>
    <s v="Valid"/>
    <b v="1"/>
    <b v="1"/>
    <d v="2026-01-23T00:00:00"/>
    <s v="2498852957"/>
    <s v="2498852957"/>
    <s v="2498852957"/>
    <s v="Valid"/>
    <s v="qdoshi@yahoo.com"/>
    <m/>
    <n v="477.6"/>
    <s v="Yes"/>
    <n v="361"/>
    <n v="361"/>
    <s v="K21"/>
  </r>
  <r>
    <s v="P2597"/>
    <s v="Madhup Verma"/>
    <s v="Madhup Verma"/>
    <x v="0"/>
    <n v="15"/>
    <n v="15"/>
    <s v="Oncology"/>
    <s v="Oncology"/>
    <s v="Dr Rao"/>
    <s v="Dr Rao"/>
    <d v="2026-04-08T00:00:00"/>
    <s v="Valid"/>
    <b v="1"/>
    <b v="1"/>
    <d v="2026-03-30T00:00:00"/>
    <s v="9189029736"/>
    <s v="9189029736"/>
    <s v="9189029736"/>
    <s v="Valid"/>
    <s v="prishahayer@yahoo.com"/>
    <s v="Yes"/>
    <n v="8124.32"/>
    <s v="N"/>
    <n v="540"/>
    <n v="540"/>
    <s v="M54"/>
  </r>
  <r>
    <s v="P2598"/>
    <s v="Jayant Brahmbhatt"/>
    <s v="Jayant Brahmbhatt"/>
    <x v="5"/>
    <n v="25"/>
    <n v="25"/>
    <s v="General Medicine"/>
    <s v="General Medicine"/>
    <s v="Dr Khan"/>
    <s v="Dr Khan"/>
    <d v="2026-01-14T00:00:00"/>
    <s v="Valid"/>
    <b v="1"/>
    <b v="1"/>
    <d v="2025-12-30T00:00:00"/>
    <s v="04726493924"/>
    <s v="04726493924"/>
    <s v="4726493924"/>
    <s v="Valid"/>
    <s v="hupadhyay@gmail.com"/>
    <s v="NO"/>
    <n v="2656.37"/>
    <m/>
    <n v="383"/>
    <n v="383"/>
    <s v="C34"/>
  </r>
  <r>
    <s v="P2599"/>
    <s v="Tejas Ganesan"/>
    <s v="Tejas Ganesan"/>
    <x v="2"/>
    <n v="19"/>
    <n v="19"/>
    <s v="Orthopedics"/>
    <s v="Orthopedics"/>
    <s v="Dr Mehta"/>
    <s v="Dr Mehta"/>
    <d v="2026-03-07T00:00:00"/>
    <s v="Valid"/>
    <b v="1"/>
    <b v="1"/>
    <d v="2026-02-08T00:00:00"/>
    <s v="6130858327"/>
    <s v="6130858327"/>
    <s v="6130858327"/>
    <s v="Valid"/>
    <s v="jbhavsar@yahoo.com"/>
    <s v="NO"/>
    <n v="12046.67"/>
    <s v="NO"/>
    <n v="389"/>
    <n v="389"/>
    <s v="E11"/>
  </r>
  <r>
    <s v="P2600"/>
    <s v="Drishya Roy"/>
    <s v="Drishya Roy"/>
    <x v="5"/>
    <n v="81"/>
    <n v="81"/>
    <s v="Dermatology"/>
    <s v="Dermatology"/>
    <s v="dr priya"/>
    <s v="Dr Priya"/>
    <d v="2025-12-21T00:00:00"/>
    <s v="Valid"/>
    <b v="1"/>
    <b v="1"/>
    <d v="2025-11-21T00:00:00"/>
    <s v="9840390474"/>
    <s v="9840390474"/>
    <s v="9840390474"/>
    <s v="Valid"/>
    <m/>
    <s v="NO"/>
    <n v="-500"/>
    <m/>
    <n v="130"/>
    <n v="130"/>
    <s v="K21"/>
  </r>
  <r>
    <s v="P2602"/>
    <s v="Urvi Yadav"/>
    <s v="Urvi Yadav"/>
    <x v="5"/>
    <n v="17"/>
    <n v="17"/>
    <s v="General Medicine"/>
    <s v="General Medicine"/>
    <s v="dr priya"/>
    <s v="Dr Priya"/>
    <d v="2025-12-11T00:00:00"/>
    <s v="Valid"/>
    <b v="1"/>
    <b v="1"/>
    <d v="2025-11-21T00:00:00"/>
    <s v="06506936991"/>
    <s v="06506936991"/>
    <s v="6506936991"/>
    <s v="Valid"/>
    <s v="pihu42@lall.com"/>
    <s v="Yes"/>
    <n v="6185.25"/>
    <s v="Yes"/>
    <n v="354"/>
    <n v="354"/>
    <s v="K21"/>
  </r>
  <r>
    <s v="P2603"/>
    <s v="Pranay Desai"/>
    <s v="Pranay Desai"/>
    <x v="2"/>
    <n v="56"/>
    <n v="56"/>
    <s v="Cardiology"/>
    <s v="Cardiology"/>
    <s v="dr priya"/>
    <s v="Dr Priya"/>
    <d v="2026-03-04T00:00:00"/>
    <s v="Valid"/>
    <b v="1"/>
    <b v="1"/>
    <d v="2026-03-02T00:00:00"/>
    <s v="07946463020"/>
    <s v="07946463020"/>
    <s v="7946463020"/>
    <s v="Valid"/>
    <s v="bhavsarivan@chahal.com"/>
    <s v="NO"/>
    <n v="17670.96"/>
    <s v="Y"/>
    <n v="495"/>
    <n v="495"/>
    <s v="C34"/>
  </r>
  <r>
    <s v="P2604"/>
    <s v="Myra Buch"/>
    <s v="Myra Buch"/>
    <x v="0"/>
    <n v="48"/>
    <n v="48"/>
    <s v="Oncology"/>
    <s v="Oncology"/>
    <s v="dr priya"/>
    <s v="Dr Priya"/>
    <d v="2026-03-12T00:00:00"/>
    <s v="Valid"/>
    <b v="1"/>
    <b v="1"/>
    <d v="2026-03-04T00:00:00"/>
    <s v="+914502911921"/>
    <s v="914502911921"/>
    <s v="4502911921"/>
    <s v="Valid"/>
    <s v="hrishita83@yahoo.com"/>
    <m/>
    <n v="16324.14"/>
    <s v="NO"/>
    <n v="255"/>
    <n v="255"/>
    <s v="K21"/>
  </r>
  <r>
    <s v="P2605"/>
    <s v="Vaibhav Sachdeva"/>
    <s v="Vaibhav Sachdeva"/>
    <x v="2"/>
    <n v="40"/>
    <n v="40"/>
    <s v="General Medicine"/>
    <s v="General Medicine"/>
    <s v="Dr Khan"/>
    <s v="Dr Khan"/>
    <d v="2026-02-09T00:00:00"/>
    <s v="Valid"/>
    <b v="1"/>
    <b v="1"/>
    <d v="2026-01-28T00:00:00"/>
    <s v="7617910672"/>
    <s v="7617910672"/>
    <s v="7617910672"/>
    <s v="Valid"/>
    <s v="gollariya@gera-maharaj.com"/>
    <s v="Yes"/>
    <n v="11839.34"/>
    <s v="NO"/>
    <n v="454"/>
    <n v="454"/>
    <s v="M54"/>
  </r>
  <r>
    <s v="P2606"/>
    <s v="Lagan Boase"/>
    <s v="Lagan Boase"/>
    <x v="2"/>
    <n v="69"/>
    <n v="69"/>
    <s v="Neurology"/>
    <s v="Neurology"/>
    <s v="Dr. Sharma"/>
    <s v="Dr. Sharma"/>
    <d v="2026-02-12T00:00:00"/>
    <s v="Valid"/>
    <b v="1"/>
    <b v="1"/>
    <d v="2026-01-23T00:00:00"/>
    <s v="08776119318"/>
    <s v="08776119318"/>
    <s v="8776119318"/>
    <s v="Valid"/>
    <s v="auroragatik@sarma-sampath.com"/>
    <s v="Y"/>
    <n v="23367.19"/>
    <s v="Yes"/>
    <n v="404"/>
    <n v="404"/>
    <s v="A09"/>
  </r>
  <r>
    <s v="P2607"/>
    <s v="Ojas Arya"/>
    <s v="Ojas Arya"/>
    <x v="5"/>
    <n v="41"/>
    <n v="41"/>
    <s v="ENT"/>
    <s v="ENT"/>
    <s v="DR SHARMA"/>
    <s v="Dr Sharma"/>
    <d v="2026-03-03T00:00:00"/>
    <s v="Valid"/>
    <b v="1"/>
    <b v="1"/>
    <d v="2026-02-13T00:00:00"/>
    <s v="+916043662065"/>
    <s v="916043662065"/>
    <s v="6043662065"/>
    <s v="Valid"/>
    <s v="samarrajan@hotmail.com"/>
    <s v="NO"/>
    <n v="8843.1299999999992"/>
    <s v="Yes"/>
    <n v="198"/>
    <n v="198"/>
    <s v="K21"/>
  </r>
  <r>
    <s v="P2608"/>
    <s v="Pari Bhagat"/>
    <s v="Pari Bhagat"/>
    <x v="2"/>
    <n v="67"/>
    <n v="67"/>
    <s v="Dermatology"/>
    <s v="Dermatology"/>
    <s v="Dr. Sharma"/>
    <s v="Dr. Sharma"/>
    <d v="2026-04-29T00:00:00"/>
    <s v="Valid"/>
    <b v="1"/>
    <b v="1"/>
    <d v="2026-04-21T00:00:00"/>
    <s v="1008665384"/>
    <s v="1008665384"/>
    <s v="1008665384"/>
    <s v="Valid"/>
    <s v="kismatsankar@wali.biz"/>
    <m/>
    <n v="16808.18"/>
    <s v="N"/>
    <n v="493"/>
    <n v="493"/>
    <s v="A09"/>
  </r>
  <r>
    <s v="P2609"/>
    <s v="Drishya Goyal"/>
    <s v="Drishya Goyal"/>
    <x v="4"/>
    <n v="89"/>
    <n v="89"/>
    <s v="Oncology"/>
    <s v="Oncology"/>
    <s v="DR SHARMA"/>
    <s v="Dr Sharma"/>
    <d v="2026-05-28T00:00:00"/>
    <s v="Valid"/>
    <b v="1"/>
    <b v="1"/>
    <d v="2026-05-07T00:00:00"/>
    <s v="3015689057"/>
    <s v="3015689057"/>
    <s v="3015689057"/>
    <s v="Valid"/>
    <s v="tiyabahl@aurora.biz"/>
    <s v="N"/>
    <n v="17873"/>
    <s v="NO"/>
    <n v="204"/>
    <n v="204"/>
    <s v="K21"/>
  </r>
  <r>
    <s v="P2610"/>
    <s v="Yashvi Maharaj"/>
    <s v="Yashvi Maharaj"/>
    <x v="3"/>
    <n v="75"/>
    <n v="75"/>
    <s v="Orthopedics"/>
    <s v="Orthopedics"/>
    <s v="Dr Mehta"/>
    <s v="Dr Mehta"/>
    <d v="2026-02-13T00:00:00"/>
    <s v="Valid"/>
    <b v="1"/>
    <b v="1"/>
    <d v="2026-01-21T00:00:00"/>
    <s v="7656939802"/>
    <s v="7656939802"/>
    <s v="7656939802"/>
    <s v="Valid"/>
    <s v="hridaangade@gmail.com"/>
    <s v="Y"/>
    <n v="16037.16"/>
    <s v="N"/>
    <n v="406"/>
    <n v="406"/>
    <s v="K21"/>
  </r>
  <r>
    <s v="P2611"/>
    <s v="Prerak Virk"/>
    <s v="Prerak Virk"/>
    <x v="2"/>
    <n v="24"/>
    <n v="24"/>
    <s v="General Medicine"/>
    <s v="General Medicine"/>
    <s v="dr priya"/>
    <s v="Dr Priya"/>
    <d v="2025-12-23T00:00:00"/>
    <s v="Valid"/>
    <b v="1"/>
    <b v="1"/>
    <d v="2025-12-16T00:00:00"/>
    <s v="2327344384"/>
    <s v="2327344384"/>
    <s v="2327344384"/>
    <s v="Valid"/>
    <s v="settymyra@yahoo.com"/>
    <m/>
    <n v="12211.71"/>
    <s v="Yes"/>
    <n v="390"/>
    <n v="390"/>
    <s v="M54"/>
  </r>
  <r>
    <s v="P2612"/>
    <s v="Yuvraj  Cheema"/>
    <s v="Yuvraj Cheema"/>
    <x v="2"/>
    <n v="19"/>
    <n v="19"/>
    <s v="Oncology"/>
    <s v="Oncology"/>
    <s v="Dr Mehta"/>
    <s v="Dr Mehta"/>
    <d v="2026-03-24T00:00:00"/>
    <s v="Valid"/>
    <b v="1"/>
    <b v="1"/>
    <d v="2026-03-16T00:00:00"/>
    <s v="04460439555"/>
    <s v="04460439555"/>
    <s v="4460439555"/>
    <s v="Valid"/>
    <s v="kramachandran@gmail.com"/>
    <s v="NO"/>
    <n v="24169.54"/>
    <m/>
    <n v="101"/>
    <n v="101"/>
    <s v="I10"/>
  </r>
  <r>
    <s v="P2613"/>
    <s v="Sara Barad"/>
    <s v="Sara Barad"/>
    <x v="5"/>
    <n v="33"/>
    <n v="33"/>
    <s v="General Medicine"/>
    <s v="General Medicine"/>
    <s v="Dr Khan"/>
    <s v="Dr Khan"/>
    <d v="2026-05-31T00:00:00"/>
    <s v="Valid"/>
    <b v="1"/>
    <b v="1"/>
    <d v="2026-05-02T00:00:00"/>
    <s v="+912410657842"/>
    <s v="912410657842"/>
    <s v="2410657842"/>
    <s v="Valid"/>
    <s v="wbali@gmail.com"/>
    <s v="Y"/>
    <n v="12875.74"/>
    <m/>
    <n v="201"/>
    <n v="201"/>
    <s v="J20"/>
  </r>
  <r>
    <s v="P2614"/>
    <s v="Rania Bhakta"/>
    <s v="Rania Bhakta"/>
    <x v="0"/>
    <n v="55"/>
    <n v="55"/>
    <s v="General Medicine"/>
    <s v="General Medicine"/>
    <s v="Dr Mehta"/>
    <s v="Dr Mehta"/>
    <d v="2026-04-11T00:00:00"/>
    <s v="Valid"/>
    <b v="1"/>
    <b v="1"/>
    <d v="2026-03-27T00:00:00"/>
    <s v="+913157858461"/>
    <s v="913157858461"/>
    <s v="3157858461"/>
    <s v="Valid"/>
    <s v="bmanda@gmail.com"/>
    <m/>
    <n v="9794.74"/>
    <s v="NO"/>
    <n v="171"/>
    <n v="171"/>
    <s v="E11"/>
  </r>
  <r>
    <s v="P2615"/>
    <s v="Ivana Chand"/>
    <s v="Ivana Chand"/>
    <x v="2"/>
    <n v="47"/>
    <n v="47"/>
    <s v="Cardiology"/>
    <s v="Cardiology"/>
    <s v="Dr Rao"/>
    <s v="Dr Rao"/>
    <d v="2026-03-12T00:00:00"/>
    <s v="Valid"/>
    <b v="1"/>
    <b v="1"/>
    <d v="2026-02-13T00:00:00"/>
    <s v="02773502290"/>
    <s v="02773502290"/>
    <s v="2773502290"/>
    <s v="Valid"/>
    <s v="bsidhu@wable-khanna.com"/>
    <s v="NO"/>
    <n v="7078.43"/>
    <s v="Yes"/>
    <n v="165"/>
    <n v="165"/>
    <s v="K21"/>
  </r>
  <r>
    <s v="P2616"/>
    <s v="Yakshit Goel"/>
    <s v="Yakshit Goel"/>
    <x v="2"/>
    <n v="88"/>
    <n v="88"/>
    <s v="Dermatology"/>
    <s v="Dermatology"/>
    <s v="DR SHARMA"/>
    <s v="Dr Sharma"/>
    <d v="2026-02-17T00:00:00"/>
    <s v="Valid"/>
    <b v="1"/>
    <b v="1"/>
    <d v="2026-02-16T00:00:00"/>
    <s v="+917505233106"/>
    <s v="917505233106"/>
    <s v="7505233106"/>
    <s v="Valid"/>
    <s v="drishya23@tandon.com"/>
    <s v="Yes"/>
    <n v="444.43"/>
    <s v="NO"/>
    <n v="419"/>
    <n v="419"/>
    <s v="C34"/>
  </r>
  <r>
    <s v="P2617"/>
    <s v="Jayant Sekhon"/>
    <s v="Jayant Sekhon"/>
    <x v="0"/>
    <n v="37"/>
    <n v="37"/>
    <s v="Dermatology"/>
    <s v="Dermatology"/>
    <s v="DR SHARMA"/>
    <s v="Dr Sharma"/>
    <d v="2026-04-03T00:00:00"/>
    <s v="Valid"/>
    <b v="1"/>
    <b v="1"/>
    <d v="2026-03-27T00:00:00"/>
    <s v="+919192435426"/>
    <s v="919192435426"/>
    <s v="9192435426"/>
    <s v="Valid"/>
    <s v="mishashanker@datta.com"/>
    <s v="NO"/>
    <n v="15534.14"/>
    <s v="Yes"/>
    <n v="382"/>
    <n v="382"/>
    <s v="J20"/>
  </r>
  <r>
    <s v="P2618"/>
    <s v="Rati Som"/>
    <s v="Rati Som"/>
    <x v="5"/>
    <n v="20"/>
    <n v="20"/>
    <s v="Cardiology"/>
    <s v="Cardiology"/>
    <s v="dr priya"/>
    <s v="Dr Priya"/>
    <d v="2026-02-04T00:00:00"/>
    <s v="Valid"/>
    <b v="1"/>
    <b v="1"/>
    <d v="2026-01-11T00:00:00"/>
    <s v="7059238825"/>
    <s v="7059238825"/>
    <s v="7059238825"/>
    <s v="Valid"/>
    <s v="sinhatejas@yahoo.com"/>
    <s v="NO"/>
    <n v="4461.6899999999996"/>
    <m/>
    <n v="204"/>
    <n v="204"/>
    <s v="A09"/>
  </r>
  <r>
    <s v="P2619"/>
    <s v="Armaan Sathe"/>
    <s v="Armaan Sathe"/>
    <x v="0"/>
    <n v="21"/>
    <n v="21"/>
    <s v="Neurology"/>
    <s v="Neurology"/>
    <s v="Dr. Sharma"/>
    <s v="Dr. Sharma"/>
    <d v="2025-12-20T00:00:00"/>
    <s v="Valid"/>
    <b v="1"/>
    <b v="1"/>
    <d v="2025-11-25T00:00:00"/>
    <s v="00589385462"/>
    <s v="00589385462"/>
    <s v="0589385462"/>
    <s v="Valid"/>
    <s v="dhanushmani@johal.com"/>
    <m/>
    <n v="3289.17"/>
    <s v="N"/>
    <n v="532"/>
    <n v="532"/>
    <s v="M54"/>
  </r>
  <r>
    <s v="P2620"/>
    <s v="  Bhavin Mani "/>
    <s v="Bhavin Mani"/>
    <x v="5"/>
    <n v="31"/>
    <n v="31"/>
    <s v="General Medicine"/>
    <s v="General Medicine"/>
    <s v="Dr Mehta"/>
    <s v="Dr Mehta"/>
    <d v="2026-05-09T00:00:00"/>
    <s v="Valid"/>
    <b v="1"/>
    <b v="1"/>
    <d v="2026-04-11T00:00:00"/>
    <s v="9454745273"/>
    <s v="9454745273"/>
    <s v="9454745273"/>
    <s v="Valid"/>
    <s v="aniruddh64@yahoo.com"/>
    <s v="Yes"/>
    <n v="22957.11"/>
    <s v="Yes"/>
    <n v="154"/>
    <n v="154"/>
    <s v="I10"/>
  </r>
  <r>
    <s v="P2621"/>
    <s v="Krish Ratta"/>
    <s v="Krish Ratta"/>
    <x v="5"/>
    <n v="86"/>
    <n v="86"/>
    <s v="Oncology"/>
    <s v="Oncology"/>
    <s v="dr priya"/>
    <s v="Dr Priya"/>
    <d v="2026-03-19T00:00:00"/>
    <s v="Valid"/>
    <b v="1"/>
    <b v="1"/>
    <d v="2026-03-01T00:00:00"/>
    <s v="+918418915031"/>
    <s v="918418915031"/>
    <s v="8418915031"/>
    <s v="Valid"/>
    <s v="subramaniamnakul@hotmail.com"/>
    <m/>
    <n v="11264.9"/>
    <s v="N"/>
    <n v="151"/>
    <n v="151"/>
    <s v="K21"/>
  </r>
  <r>
    <s v="P2622"/>
    <s v="Tiya Devan"/>
    <s v="Tiya Devan"/>
    <x v="2"/>
    <n v="53"/>
    <n v="53"/>
    <s v="General Medicine"/>
    <s v="General Medicine"/>
    <s v="Dr Khan"/>
    <s v="Dr Khan"/>
    <d v="2026-01-12T00:00:00"/>
    <s v="Valid"/>
    <b v="1"/>
    <b v="1"/>
    <d v="2026-01-08T00:00:00"/>
    <s v="08621448394"/>
    <s v="08621448394"/>
    <s v="8621448394"/>
    <s v="Valid"/>
    <s v="arnavmandal@kumar.com"/>
    <m/>
    <n v="21294.54"/>
    <m/>
    <n v="111"/>
    <n v="111"/>
    <s v="A09"/>
  </r>
  <r>
    <s v="P2623"/>
    <s v="Yashvi Ramanathan"/>
    <s v="Yashvi Ramanathan"/>
    <x v="0"/>
    <n v="27"/>
    <n v="27"/>
    <s v="General Medicine"/>
    <s v="General Medicine"/>
    <s v="dr priya"/>
    <s v="Dr Priya"/>
    <d v="2025-12-15T00:00:00"/>
    <s v="Valid"/>
    <b v="1"/>
    <b v="1"/>
    <d v="2025-11-20T00:00:00"/>
    <s v="+912005968396"/>
    <s v="912005968396"/>
    <s v="2005968396"/>
    <s v="Valid"/>
    <s v="fshenoy@chawla.com"/>
    <s v="N"/>
    <n v="8187.58"/>
    <m/>
    <n v="359"/>
    <n v="359"/>
    <s v="A09"/>
  </r>
  <r>
    <s v="P2624"/>
    <s v="Misha Bajwa"/>
    <s v="Misha Bajwa"/>
    <x v="1"/>
    <n v="57"/>
    <n v="57"/>
    <s v="Pediatrics"/>
    <s v="Pediatrics"/>
    <s v="dr priya"/>
    <s v="Dr Priya"/>
    <d v="2025-11-30T00:00:00"/>
    <s v="Valid"/>
    <b v="1"/>
    <b v="1"/>
    <d v="2025-11-26T00:00:00"/>
    <s v="07953739563"/>
    <s v="07953739563"/>
    <s v="7953739563"/>
    <s v="Valid"/>
    <s v="mallryan@korpal.com"/>
    <s v="NO"/>
    <n v="15103.65"/>
    <m/>
    <n v="186"/>
    <n v="186"/>
    <s v="K21"/>
  </r>
  <r>
    <s v="P2625"/>
    <s v="Taimur Chowdhury"/>
    <s v="Taimur Chowdhury"/>
    <x v="1"/>
    <n v="27"/>
    <n v="27"/>
    <s v="Pediatrics"/>
    <s v="Pediatrics"/>
    <s v="dr priya"/>
    <s v="Dr Priya"/>
    <d v="2026-04-21T00:00:00"/>
    <s v="Valid"/>
    <b v="1"/>
    <b v="1"/>
    <d v="2026-04-10T00:00:00"/>
    <s v="9139997631"/>
    <s v="9139997631"/>
    <s v="9139997631"/>
    <s v="Valid"/>
    <s v="gdeo@contractor.com"/>
    <m/>
    <n v="6998.72"/>
    <s v="Yes"/>
    <n v="218"/>
    <n v="218"/>
    <s v="M54"/>
  </r>
  <r>
    <s v="P2626"/>
    <s v="Nirvi Kar"/>
    <s v="Nirvi Kar"/>
    <x v="3"/>
    <n v="4"/>
    <n v="4"/>
    <s v="Pediatrics"/>
    <s v="Pediatrics"/>
    <s v="Dr Mehta"/>
    <s v="Dr Mehta"/>
    <d v="2026-03-19T00:00:00"/>
    <s v="Valid"/>
    <b v="1"/>
    <b v="1"/>
    <d v="2026-03-05T00:00:00"/>
    <s v="+910104766895"/>
    <s v="910104766895"/>
    <s v="0104766895"/>
    <s v="Valid"/>
    <s v="kashvi28@krishna-bail.info"/>
    <s v="Yes"/>
    <n v="9843.9699999999993"/>
    <s v="NO"/>
    <n v="284"/>
    <n v="284"/>
    <s v="M54"/>
  </r>
  <r>
    <s v="P2627"/>
    <s v="Aaryahi Khanna"/>
    <s v="Aaryahi Khanna"/>
    <x v="0"/>
    <n v="63"/>
    <n v="63"/>
    <s v="Dermatology"/>
    <s v="Dermatology"/>
    <s v="Dr Khan"/>
    <s v="Dr Khan"/>
    <d v="2025-12-30T00:00:00"/>
    <s v="Valid"/>
    <b v="1"/>
    <b v="1"/>
    <d v="2025-12-01T00:00:00"/>
    <s v="+910414257383"/>
    <s v="910414257383"/>
    <s v="0414257383"/>
    <s v="Valid"/>
    <s v="dsubramaniam@butala-handa.info"/>
    <m/>
    <n v="2418.63"/>
    <s v="Yes"/>
    <n v="278"/>
    <n v="278"/>
    <s v="E11"/>
  </r>
  <r>
    <s v="P2628"/>
    <s v="Dhruv Seth"/>
    <s v="Dhruv Seth"/>
    <x v="0"/>
    <n v="47"/>
    <n v="47"/>
    <s v="Oncology"/>
    <s v="Oncology"/>
    <s v="Dr Khan"/>
    <s v="Dr Khan"/>
    <d v="2026-04-07T00:00:00"/>
    <s v="Valid"/>
    <b v="1"/>
    <b v="1"/>
    <d v="2026-04-02T00:00:00"/>
    <s v="06641417029"/>
    <s v="06641417029"/>
    <s v="6641417029"/>
    <s v="Valid"/>
    <s v="shayakrajagopal@hotmail.com"/>
    <s v="Yes"/>
    <n v="5634.59"/>
    <s v="N"/>
    <n v="533"/>
    <n v="533"/>
    <s v="I10"/>
  </r>
  <r>
    <s v="P2629"/>
    <s v="Vanya Soman"/>
    <s v="Vanya Soman"/>
    <x v="1"/>
    <n v="47"/>
    <n v="47"/>
    <s v="Cardiology"/>
    <s v="Cardiology"/>
    <s v="DR SHARMA"/>
    <s v="Dr Sharma"/>
    <d v="2026-01-08T00:00:00"/>
    <s v="Valid"/>
    <b v="1"/>
    <b v="1"/>
    <d v="2026-01-06T00:00:00"/>
    <s v="0433883607"/>
    <s v="0433883607"/>
    <s v="0433883607"/>
    <s v="Valid"/>
    <s v="sharafanay@rao.net"/>
    <s v="Yes"/>
    <n v="2490.94"/>
    <s v="Yes"/>
    <n v="228"/>
    <n v="228"/>
    <s v="I10"/>
  </r>
  <r>
    <s v="P2630"/>
    <s v="Pari Kalla"/>
    <s v="Pari Kalla"/>
    <x v="0"/>
    <n v="58"/>
    <n v="58"/>
    <s v="Orthopedics"/>
    <s v="Orthopedics"/>
    <s v="Dr. Sharma"/>
    <s v="Dr. Sharma"/>
    <d v="2026-01-01T00:00:00"/>
    <s v="Valid"/>
    <b v="1"/>
    <b v="1"/>
    <d v="2025-12-28T00:00:00"/>
    <s v="09674364852"/>
    <s v="09674364852"/>
    <s v="9674364852"/>
    <s v="Valid"/>
    <s v="ganeshtrisha@hotmail.com"/>
    <m/>
    <n v="7107.13"/>
    <s v="Y"/>
    <n v="217"/>
    <n v="217"/>
    <s v="M54"/>
  </r>
  <r>
    <s v="P2631"/>
    <s v="Eva Date"/>
    <s v="Eva Date"/>
    <x v="0"/>
    <n v="22"/>
    <n v="22"/>
    <s v="Neurology"/>
    <s v="Neurology"/>
    <s v="DR SHARMA"/>
    <s v="Dr Sharma"/>
    <d v="2026-05-23T00:00:00"/>
    <s v="Valid"/>
    <b v="1"/>
    <b v="1"/>
    <d v="2026-04-26T00:00:00"/>
    <s v="07827390679"/>
    <s v="07827390679"/>
    <s v="7827390679"/>
    <s v="Valid"/>
    <s v="seher86@sankar.com"/>
    <s v="NO"/>
    <n v="15599.43"/>
    <s v="Y"/>
    <n v="247"/>
    <n v="247"/>
    <s v="A09"/>
  </r>
  <r>
    <s v="P2633"/>
    <s v="Heer Rattan"/>
    <s v="Heer Rattan"/>
    <x v="2"/>
    <n v="35"/>
    <n v="35"/>
    <s v="Orthopedics"/>
    <s v="Orthopedics"/>
    <s v="Dr Mehta"/>
    <s v="Dr Mehta"/>
    <d v="2026-01-01T00:00:00"/>
    <s v="Valid"/>
    <b v="1"/>
    <b v="1"/>
    <d v="2025-12-08T00:00:00"/>
    <s v="06267218002"/>
    <s v="06267218002"/>
    <s v="6267218002"/>
    <s v="Valid"/>
    <s v="nityachahal@soni.net"/>
    <m/>
    <n v="13925.28"/>
    <s v="NO"/>
    <n v="470"/>
    <n v="470"/>
    <s v="E11"/>
  </r>
  <r>
    <s v="P2634"/>
    <s v="Elakshi Borde"/>
    <s v="Elakshi Borde"/>
    <x v="4"/>
    <n v="69"/>
    <n v="69"/>
    <s v="Orthopedics"/>
    <s v="Orthopedics"/>
    <s v="DR SHARMA"/>
    <s v="Dr Sharma"/>
    <d v="2026-01-12T00:00:00"/>
    <s v="Valid"/>
    <b v="1"/>
    <b v="1"/>
    <d v="2025-12-18T00:00:00"/>
    <s v="00660414702"/>
    <s v="00660414702"/>
    <s v="0660414702"/>
    <s v="Valid"/>
    <s v="swaminathanfarhan@devan-baria.com"/>
    <s v="Yes"/>
    <n v="8271.85"/>
    <s v="Y"/>
    <n v="492"/>
    <n v="492"/>
    <s v="J20"/>
  </r>
  <r>
    <s v="P2635"/>
    <s v="Jiya Aurora"/>
    <s v="Jiya Aurora"/>
    <x v="0"/>
    <n v="65"/>
    <n v="65"/>
    <s v="Cardiology"/>
    <s v="Cardiology"/>
    <s v="dr priya"/>
    <s v="Dr Priya"/>
    <d v="2026-04-02T00:00:00"/>
    <s v="Valid"/>
    <b v="1"/>
    <b v="1"/>
    <d v="2026-03-29T00:00:00"/>
    <s v="03817094611"/>
    <s v="03817094611"/>
    <s v="3817094611"/>
    <s v="Valid"/>
    <s v="sagrawal@venkatesh-loke.com"/>
    <s v="Yes"/>
    <n v="1398.94"/>
    <s v="Y"/>
    <n v="533"/>
    <n v="533"/>
    <s v="E11"/>
  </r>
  <r>
    <s v="P2636"/>
    <s v="Shaan Dyal"/>
    <s v="Shaan Dyal"/>
    <x v="5"/>
    <n v="78"/>
    <n v="78"/>
    <s v="ENT"/>
    <s v="ENT"/>
    <s v="Dr. Sharma"/>
    <s v="Dr. Sharma"/>
    <d v="2026-05-03T00:00:00"/>
    <s v="Valid"/>
    <b v="1"/>
    <b v="1"/>
    <d v="2026-04-19T00:00:00"/>
    <s v="+915346243066"/>
    <s v="915346243066"/>
    <s v="5346243066"/>
    <s v="Valid"/>
    <s v="jyohannan@bail.com"/>
    <s v="NO"/>
    <n v="11482.62"/>
    <s v="NO"/>
    <n v="465"/>
    <n v="465"/>
    <s v="E11"/>
  </r>
  <r>
    <s v="P2637"/>
    <s v="Nirvi Deshpande"/>
    <s v="Nirvi Deshpande"/>
    <x v="4"/>
    <n v="82"/>
    <n v="82"/>
    <s v="Cardiology"/>
    <s v="Cardiology"/>
    <s v="Dr Mehta"/>
    <s v="Dr Mehta"/>
    <d v="2025-12-08T00:00:00"/>
    <s v="Valid"/>
    <b v="1"/>
    <b v="1"/>
    <d v="2025-11-26T00:00:00"/>
    <s v="9820725486"/>
    <s v="9820725486"/>
    <s v="9820725486"/>
    <s v="Valid"/>
    <s v="ivana14@madan-vasa.net"/>
    <s v="Yes"/>
    <n v="214.22"/>
    <m/>
    <n v="370"/>
    <n v="370"/>
    <s v="K21"/>
  </r>
  <r>
    <s v="P2638"/>
    <s v="Navya Chhabra"/>
    <s v="Navya Chhabra"/>
    <x v="3"/>
    <n v="87"/>
    <n v="87"/>
    <s v="Dermatology"/>
    <s v="Dermatology"/>
    <s v="dr priya"/>
    <s v="Dr Priya"/>
    <d v="2026-04-26T00:00:00"/>
    <s v="Valid"/>
    <b v="1"/>
    <b v="1"/>
    <d v="2026-03-29T00:00:00"/>
    <s v="+912272444833"/>
    <s v="912272444833"/>
    <s v="2272444833"/>
    <s v="Valid"/>
    <s v="baradmadhav@seth-varty.biz"/>
    <m/>
    <n v="24060.2"/>
    <s v="NO"/>
    <n v="502"/>
    <n v="502"/>
    <s v="A09"/>
  </r>
  <r>
    <s v="P2639"/>
    <s v="Shayak Dubey"/>
    <s v="Shayak Dubey"/>
    <x v="1"/>
    <n v="33"/>
    <n v="33"/>
    <s v="Dermatology"/>
    <s v="Dermatology"/>
    <s v="Dr Mehta"/>
    <s v="Dr Mehta"/>
    <d v="2025-12-13T00:00:00"/>
    <s v="Valid"/>
    <b v="1"/>
    <b v="1"/>
    <d v="2025-11-27T00:00:00"/>
    <s v="5823380236"/>
    <s v="5823380236"/>
    <s v="5823380236"/>
    <s v="Valid"/>
    <s v="chadseher@deshpande.net"/>
    <m/>
    <n v="3330.75"/>
    <s v="Yes"/>
    <n v="205"/>
    <n v="205"/>
    <s v="I10"/>
  </r>
  <r>
    <s v="P2640"/>
    <s v="Taimur Aurora"/>
    <s v="Taimur Aurora"/>
    <x v="2"/>
    <n v="39"/>
    <n v="39"/>
    <s v="Neurology"/>
    <s v="Neurology"/>
    <s v="dr priya"/>
    <s v="Dr Priya"/>
    <d v="2025-12-28T00:00:00"/>
    <s v="Valid"/>
    <b v="1"/>
    <b v="1"/>
    <d v="2025-12-16T00:00:00"/>
    <s v="06516483424"/>
    <s v="06516483424"/>
    <s v="6516483424"/>
    <s v="Valid"/>
    <s v="nishith13@dasgupta.org"/>
    <m/>
    <n v="7628.05"/>
    <s v="Yes"/>
    <n v="261"/>
    <n v="261"/>
    <s v="M54"/>
  </r>
  <r>
    <s v="P2641"/>
    <s v="Ela Dass"/>
    <s v="Ela Dass"/>
    <x v="5"/>
    <n v="3"/>
    <n v="3"/>
    <s v="Pediatrics"/>
    <s v="Pediatrics"/>
    <s v="dr priya"/>
    <s v="Dr Priya"/>
    <d v="2026-03-05T00:00:00"/>
    <s v="Valid"/>
    <b v="1"/>
    <b v="1"/>
    <d v="2026-02-09T00:00:00"/>
    <s v="08246084188"/>
    <s v="08246084188"/>
    <s v="8246084188"/>
    <s v="Valid"/>
    <s v="horakiara@bandi.com"/>
    <s v="Yes"/>
    <n v="11358.52"/>
    <s v="Y"/>
    <n v="432"/>
    <n v="432"/>
    <s v="K21"/>
  </r>
  <r>
    <s v="P2643"/>
    <s v="Anika Kaul"/>
    <s v="Anika Kaul"/>
    <x v="3"/>
    <n v="60"/>
    <n v="60"/>
    <s v="ENT"/>
    <s v="ENT"/>
    <s v="DR SHARMA"/>
    <s v="Dr Sharma"/>
    <d v="2026-01-15T00:00:00"/>
    <s v="Valid"/>
    <b v="1"/>
    <b v="1"/>
    <d v="2026-01-01T00:00:00"/>
    <s v="07549993813"/>
    <s v="07549993813"/>
    <s v="7549993813"/>
    <s v="Valid"/>
    <s v="santaarna@wali-bobal.com"/>
    <s v="Yes"/>
    <n v="10511.84"/>
    <s v="Yes"/>
    <n v="225"/>
    <n v="225"/>
    <s v="E11"/>
  </r>
  <r>
    <s v="P2644"/>
    <s v="Anaya Dewan"/>
    <s v="Anaya Dewan"/>
    <x v="2"/>
    <n v="38"/>
    <n v="38"/>
    <s v="ENT"/>
    <s v="ENT"/>
    <s v="Dr Rao"/>
    <s v="Dr Rao"/>
    <d v="2026-02-04T00:00:00"/>
    <s v="Valid"/>
    <b v="1"/>
    <b v="1"/>
    <d v="2026-01-24T00:00:00"/>
    <s v="05904751475"/>
    <s v="05904751475"/>
    <s v="5904751475"/>
    <s v="Valid"/>
    <s v="arorasumer@gmail.com"/>
    <m/>
    <n v="22752.92"/>
    <m/>
    <n v="139"/>
    <n v="139"/>
    <s v="A09"/>
  </r>
  <r>
    <s v="P2645"/>
    <s v="Ranbir Sibal"/>
    <s v="Ranbir Sibal"/>
    <x v="0"/>
    <n v="46"/>
    <n v="46"/>
    <s v="General Medicine"/>
    <s v="General Medicine"/>
    <s v="Dr Rao"/>
    <s v="Dr Rao"/>
    <d v="2026-01-24T00:00:00"/>
    <s v="Valid"/>
    <b v="1"/>
    <b v="1"/>
    <d v="2025-12-26T00:00:00"/>
    <s v="+918356596984"/>
    <s v="918356596984"/>
    <s v="8356596984"/>
    <s v="Valid"/>
    <s v="achawla@chaudhary.biz"/>
    <m/>
    <n v="1880.34"/>
    <s v="NO"/>
    <n v="199"/>
    <n v="199"/>
    <s v="J20"/>
  </r>
  <r>
    <s v="P2646"/>
    <s v="Emir Kadakia"/>
    <s v="Emir Kadakia"/>
    <x v="4"/>
    <n v="2"/>
    <n v="2"/>
    <s v="Neurology"/>
    <s v="Neurology"/>
    <s v="Dr Mehta"/>
    <s v="Dr Mehta"/>
    <d v="2025-12-07T00:00:00"/>
    <s v="Valid"/>
    <b v="1"/>
    <b v="1"/>
    <d v="2025-11-14T00:00:00"/>
    <s v="+914817833033"/>
    <s v="914817833033"/>
    <s v="4817833033"/>
    <s v="Valid"/>
    <s v="khatriira@dey-rattan.biz"/>
    <s v="Y"/>
    <n v="1685.2"/>
    <s v="N"/>
    <n v="422"/>
    <n v="422"/>
    <s v="A09"/>
  </r>
  <r>
    <s v="P2647"/>
    <s v="Ira Borra"/>
    <s v="Ira Borra"/>
    <x v="2"/>
    <n v="4"/>
    <n v="4"/>
    <s v="General Medicine"/>
    <s v="General Medicine"/>
    <s v="dr priya"/>
    <s v="Dr Priya"/>
    <d v="2026-04-16T00:00:00"/>
    <s v="Valid"/>
    <b v="1"/>
    <b v="1"/>
    <d v="2026-04-06T00:00:00"/>
    <s v="05849168838"/>
    <s v="05849168838"/>
    <s v="5849168838"/>
    <s v="Valid"/>
    <s v="tbail@yahoo.com"/>
    <m/>
    <n v="8803.76"/>
    <s v="NO"/>
    <n v="245"/>
    <n v="245"/>
    <s v="J20"/>
  </r>
  <r>
    <s v="P2648"/>
    <s v="Taran Biswas"/>
    <s v="Taran Biswas"/>
    <x v="0"/>
    <n v="67"/>
    <n v="67"/>
    <s v="Neurology"/>
    <s v="Neurology"/>
    <s v="Dr Khan"/>
    <s v="Dr Khan"/>
    <d v="2026-01-29T00:00:00"/>
    <s v="Valid"/>
    <b v="1"/>
    <b v="1"/>
    <d v="2026-01-05T00:00:00"/>
    <s v="+916406923503"/>
    <s v="916406923503"/>
    <s v="6406923503"/>
    <s v="Valid"/>
    <s v="advik86@gmail.com"/>
    <m/>
    <n v="10948.52"/>
    <s v="Yes"/>
    <n v="441"/>
    <n v="441"/>
    <s v="K21"/>
  </r>
  <r>
    <s v="P2649"/>
    <s v="Mohanlal Koshy"/>
    <s v="Mohanlal Koshy"/>
    <x v="2"/>
    <n v="20"/>
    <n v="20"/>
    <s v="Dermatology"/>
    <s v="Dermatology"/>
    <s v="dr priya"/>
    <s v="Dr Priya"/>
    <d v="2026-02-10T00:00:00"/>
    <s v="Valid"/>
    <b v="1"/>
    <b v="1"/>
    <d v="2026-01-20T00:00:00"/>
    <s v="4943795601"/>
    <s v="4943795601"/>
    <s v="4943795601"/>
    <s v="Valid"/>
    <s v="dhaliwalemir@iyer.com"/>
    <m/>
    <n v="18339.96"/>
    <s v="Yes"/>
    <n v="173"/>
    <n v="173"/>
    <s v="E11"/>
  </r>
  <r>
    <s v="P2650"/>
    <s v="Vanya Dixit"/>
    <s v="Vanya Dixit"/>
    <x v="5"/>
    <n v="12"/>
    <n v="12"/>
    <s v="Dermatology"/>
    <s v="Dermatology"/>
    <s v="Dr. Sharma"/>
    <s v="Dr. Sharma"/>
    <d v="2026-01-22T00:00:00"/>
    <s v="Valid"/>
    <b v="1"/>
    <b v="1"/>
    <d v="2026-01-10T00:00:00"/>
    <s v="3355595569"/>
    <s v="3355595569"/>
    <s v="3355595569"/>
    <s v="Valid"/>
    <s v="raunakwason@sachar.com"/>
    <s v="NO"/>
    <n v="1238.9100000000001"/>
    <s v="Yes"/>
    <n v="106"/>
    <n v="106"/>
    <s v="E11"/>
  </r>
  <r>
    <s v="P2651"/>
    <s v="Bhavin Bakshi"/>
    <s v="Bhavin Bakshi"/>
    <x v="5"/>
    <n v="54"/>
    <n v="54"/>
    <s v="Pediatrics"/>
    <s v="Pediatrics"/>
    <s v="dr priya"/>
    <s v="Dr Priya"/>
    <d v="2026-01-02T00:00:00"/>
    <s v="Valid"/>
    <b v="1"/>
    <b v="1"/>
    <d v="2025-12-08T00:00:00"/>
    <s v="06653495960"/>
    <s v="06653495960"/>
    <s v="6653495960"/>
    <s v="Valid"/>
    <s v="madhup75@gmail.com"/>
    <s v="Yes"/>
    <n v="10787.41"/>
    <s v="Yes"/>
    <n v="207"/>
    <n v="207"/>
    <s v="I10"/>
  </r>
  <r>
    <s v="P2652"/>
    <s v="Anahita Lall"/>
    <s v="Anahita Lall"/>
    <x v="2"/>
    <n v="21"/>
    <n v="21"/>
    <s v="Cardiology"/>
    <s v="Cardiology"/>
    <s v="Dr. Sharma"/>
    <s v="Dr. Sharma"/>
    <d v="2026-04-20T00:00:00"/>
    <s v="Valid"/>
    <b v="1"/>
    <b v="1"/>
    <d v="2026-03-28T00:00:00"/>
    <s v="09383803883"/>
    <s v="09383803883"/>
    <s v="9383803883"/>
    <s v="Valid"/>
    <s v="anaysant@divan.com"/>
    <m/>
    <n v="19717.900000000001"/>
    <s v="N"/>
    <n v="339"/>
    <n v="339"/>
    <s v="E11"/>
  </r>
  <r>
    <s v="P2653"/>
    <s v="Prisha Kade"/>
    <s v="Prisha Kade"/>
    <x v="3"/>
    <n v="15"/>
    <n v="15"/>
    <s v="Neurology"/>
    <s v="Neurology"/>
    <s v="Dr Khan"/>
    <s v="Dr Khan"/>
    <d v="2026-03-14T00:00:00"/>
    <s v="Valid"/>
    <b v="1"/>
    <b v="1"/>
    <d v="2026-02-17T00:00:00"/>
    <s v="3190884871"/>
    <s v="3190884871"/>
    <s v="3190884871"/>
    <s v="Valid"/>
    <s v="ykaur@ahuja-saraf.org"/>
    <s v="N"/>
    <n v="15496.6"/>
    <s v="NO"/>
    <n v="535"/>
    <n v="535"/>
    <s v="M54"/>
  </r>
  <r>
    <s v="P2654"/>
    <s v="Mahika Kala"/>
    <s v="Mahika Kala"/>
    <x v="0"/>
    <n v="74"/>
    <n v="74"/>
    <s v="ENT"/>
    <s v="ENT"/>
    <s v="dr priya"/>
    <s v="Dr Priya"/>
    <d v="2026-02-24T00:00:00"/>
    <s v="Valid"/>
    <b v="1"/>
    <b v="1"/>
    <d v="2026-02-08T00:00:00"/>
    <s v="1045308850"/>
    <s v="1045308850"/>
    <s v="1045308850"/>
    <s v="Valid"/>
    <s v="chakrabartiazad@bhasin-dubey.com"/>
    <s v="Yes"/>
    <n v="16760.25"/>
    <s v="Yes"/>
    <n v="512"/>
    <n v="512"/>
    <s v="A09"/>
  </r>
  <r>
    <s v="P2655"/>
    <s v="Adira Baria"/>
    <s v="Adira Baria"/>
    <x v="5"/>
    <n v="29"/>
    <n v="29"/>
    <s v="Cardiology"/>
    <s v="Cardiology"/>
    <s v="dr priya"/>
    <s v="Dr Priya"/>
    <d v="2026-02-23T00:00:00"/>
    <s v="Valid"/>
    <b v="1"/>
    <b v="1"/>
    <d v="2026-02-08T00:00:00"/>
    <s v="02745679153"/>
    <s v="02745679153"/>
    <s v="2745679153"/>
    <s v="Valid"/>
    <s v="janishanaya@upadhyay.com"/>
    <s v="Y"/>
    <n v="8338.2099999999991"/>
    <s v="Yes"/>
    <n v="355"/>
    <n v="355"/>
    <s v="C34"/>
  </r>
  <r>
    <s v="P2656"/>
    <s v="Devansh Deshmukh"/>
    <s v="Devansh Deshmukh"/>
    <x v="1"/>
    <n v="7"/>
    <n v="7"/>
    <s v="Oncology"/>
    <s v="Oncology"/>
    <s v="Dr. Sharma"/>
    <s v="Dr. Sharma"/>
    <d v="2026-02-27T00:00:00"/>
    <s v="Valid"/>
    <b v="1"/>
    <b v="1"/>
    <d v="2026-02-24T00:00:00"/>
    <s v="+918741363946"/>
    <s v="918741363946"/>
    <s v="8741363946"/>
    <s v="Valid"/>
    <s v="shayakgoda@hotmail.com"/>
    <s v="Yes"/>
    <n v="13964.35"/>
    <s v="N"/>
    <n v="550"/>
    <n v="550"/>
    <s v="E11"/>
  </r>
  <r>
    <s v="P2657"/>
    <s v="Siya Golla"/>
    <s v="Siya Golla"/>
    <x v="3"/>
    <n v="20"/>
    <n v="20"/>
    <s v="Neurology"/>
    <s v="Neurology"/>
    <s v="dr priya"/>
    <s v="Dr Priya"/>
    <d v="2026-04-13T00:00:00"/>
    <s v="Valid"/>
    <b v="1"/>
    <b v="1"/>
    <d v="2026-03-31T00:00:00"/>
    <s v="1676085264"/>
    <s v="1676085264"/>
    <s v="1676085264"/>
    <s v="Valid"/>
    <s v="heerkala@hotmail.com"/>
    <m/>
    <n v="10598.43"/>
    <s v="NO"/>
    <n v="253"/>
    <n v="253"/>
    <s v="I10"/>
  </r>
  <r>
    <s v="P2658"/>
    <s v="Divij Mander"/>
    <s v="Divij Mander"/>
    <x v="5"/>
    <n v="21"/>
    <n v="21"/>
    <s v="General Medicine"/>
    <s v="General Medicine"/>
    <s v="Dr Mehta"/>
    <s v="Dr Mehta"/>
    <d v="2026-03-04T00:00:00"/>
    <s v="Valid"/>
    <b v="1"/>
    <b v="1"/>
    <d v="2026-02-08T00:00:00"/>
    <s v="+913470286160"/>
    <s v="913470286160"/>
    <s v="3470286160"/>
    <s v="Valid"/>
    <s v="ochanda@yahoo.com"/>
    <s v="N"/>
    <n v="23167.89"/>
    <s v="Yes"/>
    <n v="323"/>
    <n v="323"/>
    <s v="M54"/>
  </r>
  <r>
    <s v="P2660"/>
    <s v="Adira Bhasin"/>
    <s v="Adira Bhasin"/>
    <x v="3"/>
    <n v="63"/>
    <n v="63"/>
    <s v="Dermatology"/>
    <s v="Dermatology"/>
    <s v="DR SHARMA"/>
    <s v="Dr Sharma"/>
    <d v="2026-04-22T00:00:00"/>
    <s v="Valid"/>
    <b v="1"/>
    <b v="1"/>
    <d v="2026-04-10T00:00:00"/>
    <s v="01696926282"/>
    <s v="01696926282"/>
    <s v="1696926282"/>
    <s v="Valid"/>
    <s v="ntandon@goel.com"/>
    <m/>
    <n v="21266.36"/>
    <s v="Yes"/>
    <n v="224"/>
    <n v="224"/>
    <s v="A09"/>
  </r>
  <r>
    <s v="P2661"/>
    <s v="Manikya Deol"/>
    <s v="Manikya Deol"/>
    <x v="4"/>
    <n v="44"/>
    <n v="44"/>
    <s v="Orthopedics"/>
    <s v="Orthopedics"/>
    <s v="dr priya"/>
    <s v="Dr Priya"/>
    <d v="2026-05-19T00:00:00"/>
    <s v="Valid"/>
    <b v="1"/>
    <b v="1"/>
    <d v="2026-05-01T00:00:00"/>
    <s v="02742035217"/>
    <s v="02742035217"/>
    <s v="2742035217"/>
    <s v="Valid"/>
    <s v="farhanmammen@din.net"/>
    <m/>
    <n v="21359.32"/>
    <s v="NO"/>
    <n v="142"/>
    <n v="142"/>
    <s v="I10"/>
  </r>
  <r>
    <s v="P2662"/>
    <s v="Miraan Madan"/>
    <s v="Miraan Madan"/>
    <x v="0"/>
    <n v="20"/>
    <n v="20"/>
    <s v="Dermatology"/>
    <s v="Dermatology"/>
    <s v="Dr Khan"/>
    <s v="Dr Khan"/>
    <d v="2026-01-26T00:00:00"/>
    <s v="Valid"/>
    <b v="1"/>
    <b v="1"/>
    <d v="2025-12-29T00:00:00"/>
    <s v="02528490309"/>
    <s v="02528490309"/>
    <s v="2528490309"/>
    <s v="Valid"/>
    <s v="trivedineysa@warrior-chowdhury.com"/>
    <s v="NO"/>
    <n v="23372.48"/>
    <s v="Y"/>
    <n v="126"/>
    <n v="126"/>
    <s v="I10"/>
  </r>
  <r>
    <s v="P2663"/>
    <s v="Jayant Balakrishnan"/>
    <s v="Jayant Balakrishnan"/>
    <x v="3"/>
    <n v="23"/>
    <n v="23"/>
    <s v="Cardiology"/>
    <s v="Cardiology"/>
    <s v="Dr Mehta"/>
    <s v="Dr Mehta"/>
    <d v="2026-02-16T00:00:00"/>
    <s v="Valid"/>
    <b v="1"/>
    <b v="1"/>
    <d v="2026-02-07T00:00:00"/>
    <s v="+914901473761"/>
    <s v="914901473761"/>
    <s v="4901473761"/>
    <s v="Valid"/>
    <s v="kabir00@yahoo.com"/>
    <s v="N"/>
    <n v="17032.75"/>
    <s v="NO"/>
    <n v="441"/>
    <n v="441"/>
    <s v="A09"/>
  </r>
  <r>
    <s v="P2664"/>
    <s v="Kavya Zachariah"/>
    <s v="Kavya Zachariah"/>
    <x v="2"/>
    <n v="6"/>
    <n v="6"/>
    <s v="Orthopedics"/>
    <s v="Orthopedics"/>
    <s v="Dr. Sharma"/>
    <s v="Dr. Sharma"/>
    <d v="2026-05-16T00:00:00"/>
    <s v="Valid"/>
    <b v="1"/>
    <b v="1"/>
    <d v="2026-05-06T00:00:00"/>
    <s v="01498600045"/>
    <s v="01498600045"/>
    <s v="1498600045"/>
    <s v="Valid"/>
    <s v="akhurana@varkey-wagle.net"/>
    <s v="NO"/>
    <n v="1165.77"/>
    <s v="NO"/>
    <n v="120"/>
    <n v="120"/>
    <s v="A09"/>
  </r>
  <r>
    <s v="P2665"/>
    <s v="Hridaan Hans"/>
    <s v="Hridaan Hans"/>
    <x v="0"/>
    <n v="25"/>
    <n v="25"/>
    <s v="Orthopedics"/>
    <s v="Orthopedics"/>
    <s v="dr priya"/>
    <s v="Dr Priya"/>
    <d v="2026-01-31T00:00:00"/>
    <s v="Valid"/>
    <b v="1"/>
    <b v="1"/>
    <d v="2026-01-05T00:00:00"/>
    <s v="05510783440"/>
    <s v="05510783440"/>
    <s v="5510783440"/>
    <s v="Valid"/>
    <s v="purab03@gmail.com"/>
    <m/>
    <n v="2866.95"/>
    <s v="Yes"/>
    <n v="415"/>
    <n v="415"/>
    <s v="K21"/>
  </r>
  <r>
    <s v="P2666"/>
    <s v="Riya Mammen"/>
    <s v="Riya Mammen"/>
    <x v="2"/>
    <n v="79"/>
    <n v="79"/>
    <s v="Oncology"/>
    <s v="Oncology"/>
    <s v="Dr Mehta"/>
    <s v="Dr Mehta"/>
    <d v="2026-05-09T00:00:00"/>
    <s v="Valid"/>
    <b v="1"/>
    <b v="1"/>
    <d v="2026-05-07T00:00:00"/>
    <s v="1191383893"/>
    <s v="1191383893"/>
    <s v="1191383893"/>
    <s v="Valid"/>
    <s v="madhup78@yahoo.com"/>
    <m/>
    <n v="15232.96"/>
    <s v="Yes"/>
    <n v="180"/>
    <n v="180"/>
    <s v="C34"/>
  </r>
  <r>
    <s v="P2667"/>
    <s v="Zoya Deol"/>
    <s v="Zoya Deol"/>
    <x v="2"/>
    <n v="64"/>
    <n v="64"/>
    <s v="Pediatrics"/>
    <s v="Pediatrics"/>
    <s v="Dr. Sharma"/>
    <s v="Dr. Sharma"/>
    <d v="2026-04-26T00:00:00"/>
    <s v="Valid"/>
    <b v="1"/>
    <b v="1"/>
    <d v="2026-04-25T00:00:00"/>
    <s v="9789752900"/>
    <s v="9789752900"/>
    <s v="9789752900"/>
    <s v="Valid"/>
    <s v="zrajan@banik.com"/>
    <m/>
    <n v="21333.48"/>
    <s v="Y"/>
    <n v="455"/>
    <n v="455"/>
    <s v="M54"/>
  </r>
  <r>
    <s v="P2668"/>
    <s v="Anaya Sandhu"/>
    <s v="Anaya Sandhu"/>
    <x v="3"/>
    <n v="46"/>
    <n v="46"/>
    <s v="Oncology"/>
    <s v="Oncology"/>
    <s v="Dr. Sharma"/>
    <s v="Dr. Sharma"/>
    <d v="2026-05-12T00:00:00"/>
    <s v="Valid"/>
    <b v="1"/>
    <b v="1"/>
    <d v="2026-04-22T00:00:00"/>
    <s v="+914895806368"/>
    <s v="914895806368"/>
    <s v="4895806368"/>
    <s v="Valid"/>
    <s v="reyansh49@hotmail.com"/>
    <m/>
    <n v="10565.65"/>
    <s v="N"/>
    <n v="506"/>
    <n v="506"/>
    <s v="K21"/>
  </r>
  <r>
    <s v="P2669"/>
    <s v="Dharmajan Shukla"/>
    <s v="Dharmajan Shukla"/>
    <x v="0"/>
    <n v="86"/>
    <n v="86"/>
    <s v="ENT"/>
    <s v="ENT"/>
    <s v="DR SHARMA"/>
    <s v="Dr Sharma"/>
    <d v="2025-12-09T00:00:00"/>
    <s v="Valid"/>
    <b v="1"/>
    <b v="1"/>
    <d v="2025-12-02T00:00:00"/>
    <s v="+912993580359"/>
    <s v="912993580359"/>
    <s v="2993580359"/>
    <s v="Valid"/>
    <s v="indranskohli@yahoo.com"/>
    <m/>
    <n v="3888.28"/>
    <s v="Y"/>
    <n v="118"/>
    <n v="118"/>
    <s v="I10"/>
  </r>
  <r>
    <s v="P2670"/>
    <s v="Rhea Chand"/>
    <s v="Rhea Chand"/>
    <x v="0"/>
    <n v="76"/>
    <n v="76"/>
    <s v="Neurology"/>
    <s v="Neurology"/>
    <s v="Dr Mehta"/>
    <s v="Dr Mehta"/>
    <d v="2026-04-06T00:00:00"/>
    <s v="Valid"/>
    <b v="1"/>
    <b v="1"/>
    <d v="2026-04-03T00:00:00"/>
    <s v="09174153839"/>
    <s v="09174153839"/>
    <s v="9174153839"/>
    <s v="Valid"/>
    <s v="kanavramakrishnan@gmail.com"/>
    <m/>
    <n v="3327.52"/>
    <s v="NO"/>
    <n v="244"/>
    <n v="244"/>
    <s v="K21"/>
  </r>
  <r>
    <s v="P2671"/>
    <s v="Lagan Bawa"/>
    <s v="Lagan Bawa"/>
    <x v="2"/>
    <n v="89"/>
    <n v="89"/>
    <s v="ENT"/>
    <s v="ENT"/>
    <s v="DR SHARMA"/>
    <s v="Dr Sharma"/>
    <d v="2026-01-03T00:00:00"/>
    <s v="Valid"/>
    <b v="1"/>
    <b v="1"/>
    <d v="2025-12-12T00:00:00"/>
    <s v="0681245082"/>
    <s v="0681245082"/>
    <s v="0681245082"/>
    <s v="Valid"/>
    <s v="echandra@hotmail.com"/>
    <m/>
    <n v="10996.3"/>
    <s v="NO"/>
    <n v="429"/>
    <n v="429"/>
    <s v="C34"/>
  </r>
  <r>
    <s v="P2672"/>
    <s v="Kiaan Gulati"/>
    <s v="Kiaan Gulati"/>
    <x v="0"/>
    <n v="27"/>
    <n v="27"/>
    <s v="General Medicine"/>
    <s v="General Medicine"/>
    <s v="Dr Rao"/>
    <s v="Dr Rao"/>
    <d v="2026-04-13T00:00:00"/>
    <s v="Valid"/>
    <b v="1"/>
    <b v="1"/>
    <d v="2026-04-02T00:00:00"/>
    <s v="07566737656"/>
    <s v="07566737656"/>
    <s v="7566737656"/>
    <s v="Valid"/>
    <s v="cheriankavya@gmail.com"/>
    <s v="Yes"/>
    <n v="9891.7000000000007"/>
    <s v="NO"/>
    <n v="133"/>
    <n v="133"/>
    <s v="I10"/>
  </r>
  <r>
    <s v="P2673"/>
    <s v="Azad Shenoy"/>
    <s v="Azad Shenoy"/>
    <x v="0"/>
    <n v="33"/>
    <n v="33"/>
    <s v="Dermatology"/>
    <s v="Dermatology"/>
    <s v="Dr Mehta"/>
    <s v="Dr Mehta"/>
    <d v="2026-01-08T00:00:00"/>
    <s v="Valid"/>
    <b v="1"/>
    <b v="1"/>
    <d v="2025-12-13T00:00:00"/>
    <s v="05231749789"/>
    <s v="05231749789"/>
    <s v="5231749789"/>
    <s v="Valid"/>
    <s v="yshenoy@gmail.com"/>
    <m/>
    <n v="11694.9"/>
    <m/>
    <n v="501"/>
    <n v="501"/>
    <s v="C34"/>
  </r>
  <r>
    <s v="P2674"/>
    <s v="Trisha Vasa"/>
    <s v="Trisha Vasa"/>
    <x v="2"/>
    <n v="58"/>
    <n v="58"/>
    <s v="Orthopedics"/>
    <s v="Orthopedics"/>
    <s v="dr priya"/>
    <s v="Dr Priya"/>
    <d v="2026-02-11T00:00:00"/>
    <s v="Valid"/>
    <b v="1"/>
    <b v="1"/>
    <d v="2026-01-19T00:00:00"/>
    <s v="+914131867260"/>
    <s v="914131867260"/>
    <s v="4131867260"/>
    <s v="Valid"/>
    <s v="advik90@yahoo.com"/>
    <m/>
    <n v="16528.439999999999"/>
    <s v="Y"/>
    <n v="103"/>
    <n v="103"/>
    <s v="K21"/>
  </r>
  <r>
    <s v="P2675"/>
    <s v="Nehmat Zacharia"/>
    <s v="Nehmat Zacharia"/>
    <x v="4"/>
    <n v="33"/>
    <n v="33"/>
    <s v="Dermatology"/>
    <s v="Dermatology"/>
    <s v="Dr Mehta"/>
    <s v="Dr Mehta"/>
    <d v="2026-02-22T00:00:00"/>
    <s v="Valid"/>
    <b v="1"/>
    <b v="1"/>
    <d v="2026-02-07T00:00:00"/>
    <s v="08042150449"/>
    <s v="08042150449"/>
    <s v="8042150449"/>
    <s v="Valid"/>
    <s v="suhanakapadia@gmail.com"/>
    <s v="N"/>
    <n v="3874.56"/>
    <s v="Y"/>
    <n v="222"/>
    <n v="222"/>
    <s v="A09"/>
  </r>
  <r>
    <s v="P2676"/>
    <s v="Ranbir Dada"/>
    <s v="Ranbir Dada"/>
    <x v="3"/>
    <n v="36"/>
    <n v="36"/>
    <s v="Pediatrics"/>
    <s v="Pediatrics"/>
    <s v="Dr Mehta"/>
    <s v="Dr Mehta"/>
    <d v="2026-04-09T00:00:00"/>
    <s v="Valid"/>
    <b v="1"/>
    <b v="1"/>
    <d v="2026-03-27T00:00:00"/>
    <s v="+913342183540"/>
    <s v="913342183540"/>
    <s v="3342183540"/>
    <s v="Valid"/>
    <s v="vwalla@lad.com"/>
    <s v="Yes"/>
    <n v="19317.330000000002"/>
    <s v="NO"/>
    <n v="464"/>
    <n v="464"/>
    <s v="J20"/>
  </r>
  <r>
    <s v="P2677"/>
    <s v="Diya Rout"/>
    <s v="Diya Rout"/>
    <x v="2"/>
    <n v="44"/>
    <n v="44"/>
    <s v="Cardiology"/>
    <s v="Cardiology"/>
    <s v="Dr Mehta"/>
    <s v="Dr Mehta"/>
    <d v="2025-12-03T00:00:00"/>
    <s v="Valid"/>
    <b v="1"/>
    <b v="1"/>
    <d v="2025-11-18T00:00:00"/>
    <s v="+917725079142"/>
    <s v="917725079142"/>
    <s v="7725079142"/>
    <s v="Valid"/>
    <s v="hridaan39@gmail.com"/>
    <s v="NO"/>
    <n v="5434.33"/>
    <s v="NO"/>
    <n v="448"/>
    <n v="448"/>
    <s v="C34"/>
  </r>
  <r>
    <s v="P2678"/>
    <s v="Tanya Singhal"/>
    <s v="Tanya Singhal"/>
    <x v="0"/>
    <n v="68"/>
    <n v="68"/>
    <s v="Dermatology"/>
    <s v="Dermatology"/>
    <s v="DR SHARMA"/>
    <s v="Dr Sharma"/>
    <d v="2026-01-16T00:00:00"/>
    <s v="Valid"/>
    <b v="1"/>
    <b v="1"/>
    <d v="2026-01-03T00:00:00"/>
    <s v="3441177430"/>
    <s v="3441177430"/>
    <s v="3441177430"/>
    <s v="Valid"/>
    <s v="ganesankashvi@yahoo.com"/>
    <s v="Yes"/>
    <n v="11482.82"/>
    <s v="Yes"/>
    <n v="375"/>
    <n v="375"/>
    <s v="K21"/>
  </r>
  <r>
    <s v="P2681"/>
    <s v="Ryan Ratta"/>
    <s v="Ryan Ratta"/>
    <x v="0"/>
    <n v="30"/>
    <n v="30"/>
    <s v="Oncology"/>
    <s v="Oncology"/>
    <s v="dr priya"/>
    <s v="Dr Priya"/>
    <d v="2026-04-04T00:00:00"/>
    <s v="Valid"/>
    <b v="1"/>
    <b v="1"/>
    <d v="2026-03-27T00:00:00"/>
    <s v="6003349670"/>
    <s v="6003349670"/>
    <s v="6003349670"/>
    <s v="Valid"/>
    <s v="zbhardwaj@yahoo.com"/>
    <s v="Yes"/>
    <n v="13362.42"/>
    <s v="Yes"/>
    <n v="213"/>
    <n v="213"/>
    <s v="K21"/>
  </r>
  <r>
    <s v="P2682"/>
    <s v="Krish Sura"/>
    <s v="Krish Sura"/>
    <x v="3"/>
    <n v="31"/>
    <n v="31"/>
    <s v="Dermatology"/>
    <s v="Dermatology"/>
    <s v="Dr Rao"/>
    <s v="Dr Rao"/>
    <d v="2025-12-29T00:00:00"/>
    <s v="Valid"/>
    <b v="1"/>
    <b v="1"/>
    <d v="2025-12-16T00:00:00"/>
    <s v="08767467316"/>
    <s v="08767467316"/>
    <s v="8767467316"/>
    <s v="Valid"/>
    <s v="kairatata@gmail.com"/>
    <s v="Yes"/>
    <n v="23974.21"/>
    <s v="Yes"/>
    <n v="374"/>
    <n v="374"/>
    <s v="K21"/>
  </r>
  <r>
    <s v="P2683"/>
    <s v="Jhanvi Sehgal"/>
    <s v="Jhanvi Sehgal"/>
    <x v="1"/>
    <n v="3"/>
    <n v="3"/>
    <s v="Oncology"/>
    <s v="Oncology"/>
    <s v="Dr Rao"/>
    <s v="Dr Rao"/>
    <d v="2026-04-19T00:00:00"/>
    <s v="Valid"/>
    <b v="1"/>
    <b v="1"/>
    <d v="2026-04-04T00:00:00"/>
    <s v="+919324090108"/>
    <s v="919324090108"/>
    <s v="9324090108"/>
    <s v="Valid"/>
    <s v="qchad@dixit-dar.com"/>
    <s v="NO"/>
    <n v="13445.43"/>
    <s v="Yes"/>
    <n v="499"/>
    <n v="499"/>
    <s v="I10"/>
  </r>
  <r>
    <s v="P2684"/>
    <s v="Priyansh Kalita"/>
    <s v="Priyansh Kalita"/>
    <x v="5"/>
    <n v="50"/>
    <n v="50"/>
    <s v="ENT"/>
    <s v="ENT"/>
    <s v="Dr Mehta"/>
    <s v="Dr Mehta"/>
    <d v="2025-12-22T00:00:00"/>
    <s v="Valid"/>
    <b v="1"/>
    <b v="1"/>
    <d v="2025-12-05T00:00:00"/>
    <s v="6309924193"/>
    <s v="6309924193"/>
    <s v="6309924193"/>
    <s v="Valid"/>
    <s v="bgera@kibe.org"/>
    <s v="NO"/>
    <n v="552.44000000000005"/>
    <m/>
    <n v="140"/>
    <n v="140"/>
    <s v="J20"/>
  </r>
  <r>
    <s v="P2685"/>
    <s v="Nayantara Raj"/>
    <s v="Nayantara Raj"/>
    <x v="5"/>
    <n v="62"/>
    <n v="62"/>
    <s v="Cardiology"/>
    <s v="Cardiology"/>
    <s v="Dr Mehta"/>
    <s v="Dr Mehta"/>
    <d v="2026-02-15T00:00:00"/>
    <s v="Valid"/>
    <b v="1"/>
    <b v="1"/>
    <d v="2026-02-11T00:00:00"/>
    <s v="4999395421"/>
    <s v="4999395421"/>
    <s v="4999395421"/>
    <s v="Valid"/>
    <s v="jbajaj@gmail.com"/>
    <s v="Y"/>
    <n v="4391.76"/>
    <s v="Yes"/>
    <n v="443"/>
    <n v="443"/>
    <s v="J20"/>
  </r>
  <r>
    <s v="P2686"/>
    <s v="Stuvan Issac"/>
    <s v="Stuvan Issac"/>
    <x v="1"/>
    <n v="21"/>
    <n v="21"/>
    <s v="Dermatology"/>
    <s v="Dermatology"/>
    <s v="DR SHARMA"/>
    <s v="Dr Sharma"/>
    <d v="2026-05-19T00:00:00"/>
    <s v="Valid"/>
    <b v="1"/>
    <b v="1"/>
    <d v="2026-04-26T00:00:00"/>
    <s v="04170291726"/>
    <s v="04170291726"/>
    <s v="4170291726"/>
    <s v="Valid"/>
    <s v="golachirag@gmail.com"/>
    <s v="Yes"/>
    <n v="9163.4500000000007"/>
    <s v="Yes"/>
    <n v="258"/>
    <n v="258"/>
    <s v="A09"/>
  </r>
  <r>
    <s v="P2687"/>
    <s v="Jivika Bath"/>
    <s v="Jivika Bath"/>
    <x v="2"/>
    <n v="10"/>
    <n v="10"/>
    <s v="Orthopedics"/>
    <s v="Orthopedics"/>
    <s v="Dr Mehta"/>
    <s v="Dr Mehta"/>
    <d v="2026-01-09T00:00:00"/>
    <s v="Valid"/>
    <b v="1"/>
    <b v="1"/>
    <d v="2025-12-13T00:00:00"/>
    <s v="09578206644"/>
    <s v="09578206644"/>
    <s v="9578206644"/>
    <s v="Valid"/>
    <s v="nakulverma@yahoo.com"/>
    <s v="Yes"/>
    <n v="23848.92"/>
    <s v="NO"/>
    <n v="498"/>
    <n v="498"/>
    <s v="K21"/>
  </r>
  <r>
    <s v="P2688"/>
    <s v="Rati Korpal"/>
    <s v="Rati Korpal"/>
    <x v="0"/>
    <n v="23"/>
    <n v="23"/>
    <s v="Neurology"/>
    <s v="Neurology"/>
    <s v="Dr Khan"/>
    <s v="Dr Khan"/>
    <d v="2026-01-12T00:00:00"/>
    <s v="Valid"/>
    <b v="1"/>
    <b v="1"/>
    <d v="2026-01-02T00:00:00"/>
    <s v="08299109004"/>
    <s v="08299109004"/>
    <s v="8299109004"/>
    <s v="Valid"/>
    <s v="arhaan41@hotmail.com"/>
    <s v="NO"/>
    <n v="12611.48"/>
    <m/>
    <n v="361"/>
    <n v="361"/>
    <s v="I10"/>
  </r>
  <r>
    <s v="P2689"/>
    <s v="Veer Khalsa"/>
    <s v="Veer Khalsa"/>
    <x v="3"/>
    <n v="86"/>
    <n v="86"/>
    <s v="Oncology"/>
    <s v="Oncology"/>
    <s v="Dr Mehta"/>
    <s v="Dr Mehta"/>
    <d v="2026-01-19T00:00:00"/>
    <s v="Valid"/>
    <b v="1"/>
    <b v="1"/>
    <d v="2026-01-08T00:00:00"/>
    <s v="+914281023778"/>
    <s v="914281023778"/>
    <s v="4281023778"/>
    <s v="Valid"/>
    <s v="miraya84@chaudhary.com"/>
    <s v="NO"/>
    <n v="8960.36"/>
    <m/>
    <n v="512"/>
    <n v="512"/>
    <s v="E11"/>
  </r>
  <r>
    <s v="P2691"/>
    <s v="Ivan Randhawa"/>
    <s v="Ivan Randhawa"/>
    <x v="2"/>
    <n v="4"/>
    <n v="4"/>
    <s v="ENT"/>
    <s v="ENT"/>
    <s v="dr priya"/>
    <s v="Dr Priya"/>
    <d v="2026-04-23T00:00:00"/>
    <s v="Valid"/>
    <b v="1"/>
    <b v="1"/>
    <d v="2026-03-29T00:00:00"/>
    <s v="+911253570592"/>
    <s v="911253570592"/>
    <s v="1253570592"/>
    <s v="Valid"/>
    <s v="jsom@hotmail.com"/>
    <m/>
    <n v="2768.52"/>
    <m/>
    <n v="208"/>
    <n v="208"/>
    <s v="E11"/>
  </r>
  <r>
    <s v="P2692"/>
    <s v="Gatik Khosla"/>
    <s v="Gatik Khosla"/>
    <x v="5"/>
    <n v="80"/>
    <n v="80"/>
    <s v="General Medicine"/>
    <s v="General Medicine"/>
    <s v="Dr Mehta"/>
    <s v="Dr Mehta"/>
    <d v="2026-02-19T00:00:00"/>
    <s v="Valid"/>
    <b v="1"/>
    <b v="1"/>
    <d v="2026-01-27T00:00:00"/>
    <s v="04146698095"/>
    <s v="04146698095"/>
    <s v="4146698095"/>
    <s v="Valid"/>
    <s v="gokul40@divan.com"/>
    <s v="NO"/>
    <n v="20895.88"/>
    <m/>
    <n v="385"/>
    <n v="385"/>
    <s v="K21"/>
  </r>
  <r>
    <s v="P2693"/>
    <s v="Biju Bose"/>
    <s v="Biju Bose"/>
    <x v="3"/>
    <n v="50"/>
    <n v="50"/>
    <s v="ENT"/>
    <s v="ENT"/>
    <s v="dr priya"/>
    <s v="Dr Priya"/>
    <d v="2025-12-19T00:00:00"/>
    <s v="Valid"/>
    <b v="1"/>
    <b v="1"/>
    <d v="2025-12-13T00:00:00"/>
    <s v="9807561772"/>
    <s v="9807561772"/>
    <s v="9807561772"/>
    <s v="Valid"/>
    <s v="riya05@hotmail.com"/>
    <s v="Yes"/>
    <n v="1102.21"/>
    <s v="N"/>
    <n v="101"/>
    <n v="101"/>
    <s v="A09"/>
  </r>
  <r>
    <s v="P2694"/>
    <s v="Mannat Vig"/>
    <s v="Mannat Vig"/>
    <x v="2"/>
    <n v="3"/>
    <n v="3"/>
    <s v="ENT"/>
    <s v="ENT"/>
    <s v="dr priya"/>
    <s v="Dr Priya"/>
    <d v="2026-04-10T00:00:00"/>
    <s v="Valid"/>
    <b v="1"/>
    <b v="1"/>
    <d v="2026-03-28T00:00:00"/>
    <s v="6755241675"/>
    <s v="6755241675"/>
    <s v="6755241675"/>
    <s v="Valid"/>
    <s v="nirvaansarkar@sagar.net"/>
    <s v="Yes"/>
    <n v="24245.68"/>
    <m/>
    <n v="143"/>
    <n v="143"/>
    <s v="E11"/>
  </r>
  <r>
    <s v="P2695"/>
    <s v="Tara Raman"/>
    <s v="Tara Raman"/>
    <x v="2"/>
    <n v="77"/>
    <n v="77"/>
    <s v="Neurology"/>
    <s v="Neurology"/>
    <s v="Dr Mehta"/>
    <s v="Dr Mehta"/>
    <d v="2026-03-02T00:00:00"/>
    <s v="Valid"/>
    <b v="1"/>
    <b v="1"/>
    <d v="2026-02-15T00:00:00"/>
    <s v="08900899205"/>
    <s v="08900899205"/>
    <s v="8900899205"/>
    <s v="Valid"/>
    <s v="hayreanaya@chana.com"/>
    <m/>
    <n v="13928.91"/>
    <s v="NO"/>
    <n v="161"/>
    <n v="161"/>
    <s v="A09"/>
  </r>
  <r>
    <s v="P2696"/>
    <s v="Mannat Raju"/>
    <s v="Mannat Raju"/>
    <x v="0"/>
    <n v="82"/>
    <n v="82"/>
    <s v="ENT"/>
    <s v="ENT"/>
    <s v="DR SHARMA"/>
    <s v="Dr Sharma"/>
    <d v="2025-12-01T00:00:00"/>
    <s v="Valid"/>
    <b v="1"/>
    <b v="1"/>
    <d v="2025-11-22T00:00:00"/>
    <s v="+914522410511"/>
    <s v="914522410511"/>
    <s v="4522410511"/>
    <s v="Valid"/>
    <s v="nishithbhargava@bains.com"/>
    <m/>
    <n v="7477.59"/>
    <s v="NO"/>
    <n v="128"/>
    <n v="128"/>
    <s v="J20"/>
  </r>
  <r>
    <s v="P2697"/>
    <s v="Ojas Wagle"/>
    <s v="Ojas Wagle"/>
    <x v="4"/>
    <n v="90"/>
    <n v="90"/>
    <s v="Oncology"/>
    <s v="Oncology"/>
    <s v="dr priya"/>
    <s v="Dr Priya"/>
    <d v="2026-03-05T00:00:00"/>
    <s v="Valid"/>
    <b v="1"/>
    <b v="1"/>
    <d v="2026-03-01T00:00:00"/>
    <s v="+916788664356"/>
    <s v="916788664356"/>
    <s v="6788664356"/>
    <s v="Valid"/>
    <s v="jvarma@bhakta-sengupta.com"/>
    <s v="Y"/>
    <n v="8630.5400000000009"/>
    <m/>
    <n v="138"/>
    <n v="138"/>
    <s v="A09"/>
  </r>
  <r>
    <s v="P2698"/>
    <s v="Kabir Dhar"/>
    <s v="Kabir Dhar"/>
    <x v="2"/>
    <n v="10"/>
    <n v="10"/>
    <s v="General Medicine"/>
    <s v="General Medicine"/>
    <s v="Dr. Sharma"/>
    <s v="Dr. Sharma"/>
    <d v="2026-05-13T00:00:00"/>
    <s v="Valid"/>
    <b v="1"/>
    <b v="1"/>
    <d v="2026-04-20T00:00:00"/>
    <s v="1095754494"/>
    <s v="1095754494"/>
    <s v="1095754494"/>
    <s v="Valid"/>
    <s v="sahil69@yahoo.com"/>
    <s v="Y"/>
    <n v="10290.4"/>
    <s v="Yes"/>
    <n v="245"/>
    <n v="245"/>
    <s v="J20"/>
  </r>
  <r>
    <s v="P2699"/>
    <s v="Jhanvi Zachariah"/>
    <s v="Jhanvi Zachariah"/>
    <x v="4"/>
    <n v="12"/>
    <n v="12"/>
    <s v="Orthopedics"/>
    <s v="Orthopedics"/>
    <s v="Dr Mehta"/>
    <s v="Dr Mehta"/>
    <d v="2026-01-21T00:00:00"/>
    <s v="Valid"/>
    <b v="1"/>
    <b v="1"/>
    <d v="2026-01-10T00:00:00"/>
    <s v="+915746255154"/>
    <s v="915746255154"/>
    <s v="5746255154"/>
    <s v="Valid"/>
    <s v="ishita28@iyengar.com"/>
    <s v="NO"/>
    <n v="2559.9"/>
    <s v="Yes"/>
    <n v="493"/>
    <n v="493"/>
    <s v="J20"/>
  </r>
  <r>
    <s v="P2701"/>
    <s v="Nishith Bobal"/>
    <s v="Nishith Bobal"/>
    <x v="2"/>
    <n v="71"/>
    <n v="71"/>
    <s v="Oncology"/>
    <s v="Oncology"/>
    <s v="Dr. Sharma"/>
    <s v="Dr. Sharma"/>
    <d v="2026-01-07T00:00:00"/>
    <s v="Valid"/>
    <b v="1"/>
    <b v="1"/>
    <d v="2026-01-04T00:00:00"/>
    <s v="03379992977"/>
    <s v="03379992977"/>
    <s v="3379992977"/>
    <s v="Valid"/>
    <s v="zain64@sarraf-jayaraman.com"/>
    <m/>
    <n v="18857.09"/>
    <s v="Yes"/>
    <n v="259"/>
    <n v="259"/>
    <s v="M54"/>
  </r>
  <r>
    <s v="P2702"/>
    <s v="Indrajit Soni"/>
    <s v="Indrajit Soni"/>
    <x v="2"/>
    <n v="85"/>
    <n v="85"/>
    <s v="ENT"/>
    <s v="ENT"/>
    <s v="Dr. Sharma"/>
    <s v="Dr. Sharma"/>
    <d v="2025-12-11T00:00:00"/>
    <s v="Valid"/>
    <b v="1"/>
    <b v="1"/>
    <d v="2025-11-18T00:00:00"/>
    <s v="8906068945"/>
    <s v="8906068945"/>
    <s v="8906068945"/>
    <s v="Valid"/>
    <s v="ravelryan@upadhyay.com"/>
    <s v="Yes"/>
    <n v="3594.91"/>
    <s v="NO"/>
    <n v="401"/>
    <n v="401"/>
    <s v="I10"/>
  </r>
  <r>
    <s v="P2703"/>
    <s v="Ehsaan Swamy"/>
    <s v="Ehsaan Swamy"/>
    <x v="2"/>
    <n v="62"/>
    <n v="62"/>
    <s v="Cardiology"/>
    <s v="Cardiology"/>
    <s v="Dr Khan"/>
    <s v="Dr Khan"/>
    <d v="2026-04-30T00:00:00"/>
    <s v="Valid"/>
    <b v="1"/>
    <b v="1"/>
    <d v="2026-04-05T00:00:00"/>
    <s v="01852531240"/>
    <s v="01852531240"/>
    <s v="1852531240"/>
    <s v="Valid"/>
    <s v="baijubumb@yahoo.com"/>
    <s v="N"/>
    <n v="10268.52"/>
    <s v="NO"/>
    <n v="235"/>
    <n v="235"/>
    <s v="E11"/>
  </r>
  <r>
    <s v="P2704"/>
    <s v="Miraan Sahni"/>
    <s v="Miraan Sahni"/>
    <x v="5"/>
    <n v="11"/>
    <n v="11"/>
    <s v="ENT"/>
    <s v="ENT"/>
    <s v="Dr Mehta"/>
    <s v="Dr Mehta"/>
    <d v="2026-01-08T00:00:00"/>
    <s v="Valid"/>
    <b v="1"/>
    <b v="1"/>
    <d v="2026-01-03T00:00:00"/>
    <s v="08176691249"/>
    <s v="08176691249"/>
    <s v="8176691249"/>
    <s v="Valid"/>
    <s v="kavyadhar@gmail.com"/>
    <s v="NO"/>
    <n v="15844.8"/>
    <s v="Yes"/>
    <n v="340"/>
    <n v="340"/>
    <s v="E11"/>
  </r>
  <r>
    <s v="P2706"/>
    <s v="Pihu Bali"/>
    <s v="Pihu Bali"/>
    <x v="5"/>
    <n v="8"/>
    <n v="8"/>
    <s v="Dermatology"/>
    <s v="Dermatology"/>
    <s v="DR SHARMA"/>
    <s v="Dr Sharma"/>
    <d v="2026-02-02T00:00:00"/>
    <s v="Valid"/>
    <b v="1"/>
    <b v="1"/>
    <d v="2026-01-14T00:00:00"/>
    <s v="1470906932"/>
    <s v="1470906932"/>
    <s v="1470906932"/>
    <s v="Valid"/>
    <s v="rajaaaina@hotmail.com"/>
    <m/>
    <n v="4973.3"/>
    <s v="Yes"/>
    <n v="276"/>
    <n v="276"/>
    <s v="E11"/>
  </r>
  <r>
    <s v="P2707"/>
    <s v="Myra Dixit"/>
    <s v="Myra Dixit"/>
    <x v="1"/>
    <n v="76"/>
    <n v="76"/>
    <s v="Dermatology"/>
    <s v="Dermatology"/>
    <s v="Dr. Sharma"/>
    <s v="Dr. Sharma"/>
    <d v="2026-01-19T00:00:00"/>
    <s v="Valid"/>
    <b v="1"/>
    <b v="1"/>
    <d v="2026-01-11T00:00:00"/>
    <s v="+910560658035"/>
    <s v="910560658035"/>
    <s v="0560658035"/>
    <s v="Valid"/>
    <s v="boseyuvaan@gmail.com"/>
    <s v="NO"/>
    <n v="15486.34"/>
    <s v="NO"/>
    <n v="461"/>
    <n v="461"/>
    <s v="M54"/>
  </r>
  <r>
    <s v="P2708"/>
    <s v="Siya Chad"/>
    <s v="Siya Chad"/>
    <x v="0"/>
    <n v="83"/>
    <n v="83"/>
    <s v="General Medicine"/>
    <s v="General Medicine"/>
    <s v="Dr Rao"/>
    <s v="Dr Rao"/>
    <d v="2026-02-03T00:00:00"/>
    <s v="Valid"/>
    <b v="1"/>
    <b v="1"/>
    <d v="2026-01-31T00:00:00"/>
    <s v="+916204125323"/>
    <s v="916204125323"/>
    <s v="6204125323"/>
    <s v="Valid"/>
    <s v="gokulchanda@gmail.com"/>
    <m/>
    <n v="14850.29"/>
    <s v="Yes"/>
    <n v="453"/>
    <n v="453"/>
    <s v="E11"/>
  </r>
  <r>
    <s v="P2709"/>
    <s v="Ranbir Dubey"/>
    <s v="Ranbir Dubey"/>
    <x v="4"/>
    <n v="83"/>
    <n v="83"/>
    <s v="Neurology"/>
    <s v="Neurology"/>
    <s v="DR SHARMA"/>
    <s v="Dr Sharma"/>
    <d v="2026-02-05T00:00:00"/>
    <s v="Valid"/>
    <b v="1"/>
    <b v="1"/>
    <d v="2026-02-01T00:00:00"/>
    <s v="9326631313"/>
    <s v="9326631313"/>
    <s v="9326631313"/>
    <s v="Valid"/>
    <s v="hmahajan@kaur.com"/>
    <s v="Yes"/>
    <n v="5925.22"/>
    <s v="N"/>
    <n v="481"/>
    <n v="481"/>
    <s v="I10"/>
  </r>
  <r>
    <s v="P2710"/>
    <s v="  Vedika Tak "/>
    <s v="Vedika Tak"/>
    <x v="2"/>
    <n v="88"/>
    <n v="88"/>
    <s v="Dermatology"/>
    <s v="Dermatology"/>
    <s v="Dr Mehta"/>
    <s v="Dr Mehta"/>
    <d v="2026-01-30T00:00:00"/>
    <s v="Valid"/>
    <b v="1"/>
    <b v="1"/>
    <d v="2025-12-31T00:00:00"/>
    <s v="05565282095"/>
    <s v="05565282095"/>
    <s v="5565282095"/>
    <s v="Valid"/>
    <s v="shankardharmajan@hotmail.com"/>
    <s v="NO"/>
    <n v="7058.42"/>
    <s v="NO"/>
    <n v="394"/>
    <n v="394"/>
    <s v="I10"/>
  </r>
  <r>
    <s v="P2711"/>
    <s v="Yuvraj  Mani"/>
    <s v="Yuvraj Mani"/>
    <x v="5"/>
    <n v="15"/>
    <n v="15"/>
    <s v="Cardiology"/>
    <s v="Cardiology"/>
    <s v="dr priya"/>
    <s v="Dr Priya"/>
    <d v="2025-12-01T00:00:00"/>
    <s v="Valid"/>
    <b v="1"/>
    <b v="1"/>
    <d v="2025-11-28T00:00:00"/>
    <s v="02414908041"/>
    <s v="02414908041"/>
    <s v="2414908041"/>
    <s v="Valid"/>
    <s v="yasminsethi@gmail.com"/>
    <s v="N"/>
    <n v="5317.07"/>
    <s v="Y"/>
    <n v="175"/>
    <n v="175"/>
    <s v="C34"/>
  </r>
  <r>
    <s v="P2712"/>
    <s v="Sara Kashyap"/>
    <s v="Sara Kashyap"/>
    <x v="2"/>
    <n v="48"/>
    <n v="48"/>
    <s v="ENT"/>
    <s v="ENT"/>
    <s v="dr priya"/>
    <s v="Dr Priya"/>
    <d v="2026-04-13T00:00:00"/>
    <s v="Valid"/>
    <b v="1"/>
    <b v="1"/>
    <d v="2026-04-01T00:00:00"/>
    <s v="0940721651"/>
    <s v="0940721651"/>
    <s v="0940721651"/>
    <s v="Valid"/>
    <s v="srivastavaaayush@khare.com"/>
    <s v="Y"/>
    <n v="11196.61"/>
    <s v="N"/>
    <n v="539"/>
    <n v="539"/>
    <s v="C34"/>
  </r>
  <r>
    <s v="P2713"/>
    <s v="Armaan Rajagopal"/>
    <s v="Armaan Rajagopal"/>
    <x v="4"/>
    <n v="27"/>
    <n v="27"/>
    <s v="Dermatology"/>
    <s v="Dermatology"/>
    <s v="dr priya"/>
    <s v="Dr Priya"/>
    <d v="2026-01-31T00:00:00"/>
    <s v="Valid"/>
    <b v="1"/>
    <b v="1"/>
    <d v="2026-01-25T00:00:00"/>
    <s v="+916709016210"/>
    <s v="916709016210"/>
    <s v="6709016210"/>
    <s v="Valid"/>
    <s v="tbajwa@gmail.com"/>
    <s v="NO"/>
    <n v="12349.85"/>
    <s v="Yes"/>
    <n v="323"/>
    <n v="323"/>
    <s v="I10"/>
  </r>
  <r>
    <s v="P2714"/>
    <s v="Samar Koshy"/>
    <s v="Samar Koshy"/>
    <x v="0"/>
    <n v="1"/>
    <n v="1"/>
    <s v="Dermatology"/>
    <s v="Dermatology"/>
    <s v="Dr Khan"/>
    <s v="Dr Khan"/>
    <d v="2026-02-27T00:00:00"/>
    <s v="Valid"/>
    <b v="1"/>
    <b v="1"/>
    <d v="2026-02-22T00:00:00"/>
    <s v="09063065683"/>
    <s v="09063065683"/>
    <s v="9063065683"/>
    <s v="Valid"/>
    <s v="ldevi@korpal.com"/>
    <s v="Yes"/>
    <n v="19578.55"/>
    <s v="Yes"/>
    <n v="483"/>
    <n v="483"/>
    <s v="M54"/>
  </r>
  <r>
    <s v="P2715"/>
    <s v="Tarini Bal"/>
    <s v="Tarini Bal"/>
    <x v="0"/>
    <n v="27"/>
    <n v="27"/>
    <s v="Dermatology"/>
    <s v="Dermatology"/>
    <s v="Dr Mehta"/>
    <s v="Dr Mehta"/>
    <d v="2025-12-29T00:00:00"/>
    <s v="Valid"/>
    <b v="1"/>
    <b v="1"/>
    <d v="2025-12-01T00:00:00"/>
    <s v="5333255559"/>
    <s v="5333255559"/>
    <s v="5333255559"/>
    <s v="Valid"/>
    <s v="rheatalwar@yahoo.com"/>
    <s v="Y"/>
    <n v="3689.31"/>
    <s v="Yes"/>
    <n v="190"/>
    <n v="190"/>
    <s v="M54"/>
  </r>
  <r>
    <s v="P2716"/>
    <s v="Bhavin Hayre"/>
    <s v="Bhavin Hayre"/>
    <x v="0"/>
    <n v="61"/>
    <n v="61"/>
    <s v="Neurology"/>
    <s v="Neurology"/>
    <s v="Dr Khan"/>
    <s v="Dr Khan"/>
    <d v="2026-01-06T00:00:00"/>
    <s v="Valid"/>
    <b v="1"/>
    <b v="1"/>
    <d v="2025-12-26T00:00:00"/>
    <s v="1582970501"/>
    <s v="1582970501"/>
    <s v="1582970501"/>
    <s v="Valid"/>
    <s v="kalaaaina@yahoo.com"/>
    <s v="Y"/>
    <n v="16177.4"/>
    <m/>
    <n v="202"/>
    <n v="202"/>
    <s v="C34"/>
  </r>
  <r>
    <s v="P2717"/>
    <s v="Rati Kota"/>
    <s v="Rati Kota"/>
    <x v="0"/>
    <n v="62"/>
    <n v="62"/>
    <s v="Dermatology"/>
    <s v="Dermatology"/>
    <s v="Dr. Sharma"/>
    <s v="Dr. Sharma"/>
    <d v="2026-01-05T00:00:00"/>
    <s v="Valid"/>
    <b v="1"/>
    <b v="1"/>
    <d v="2025-12-31T00:00:00"/>
    <s v="4432118885"/>
    <s v="4432118885"/>
    <s v="4432118885"/>
    <s v="Valid"/>
    <s v="dharmajan35@khatri.com"/>
    <m/>
    <n v="5670.03"/>
    <s v="Y"/>
    <n v="108"/>
    <n v="108"/>
    <s v="K21"/>
  </r>
  <r>
    <s v="P2718"/>
    <s v="Uthkarsh Toor"/>
    <s v="Uthkarsh Toor"/>
    <x v="5"/>
    <n v="83"/>
    <n v="83"/>
    <s v="General Medicine"/>
    <s v="General Medicine"/>
    <s v="dr priya"/>
    <s v="Dr Priya"/>
    <d v="2026-01-13T00:00:00"/>
    <s v="Valid"/>
    <b v="1"/>
    <b v="1"/>
    <d v="2026-01-06T00:00:00"/>
    <s v="1537395868"/>
    <s v="1537395868"/>
    <s v="1537395868"/>
    <s v="Valid"/>
    <s v="vlad@hotmail.com"/>
    <s v="Yes"/>
    <n v="2923.65"/>
    <s v="NO"/>
    <n v="367"/>
    <n v="367"/>
    <s v="J20"/>
  </r>
  <r>
    <s v="P2720"/>
    <s v="Divyansh Lata"/>
    <s v="Divyansh Lata"/>
    <x v="0"/>
    <n v="32"/>
    <n v="32"/>
    <s v="Orthopedics"/>
    <s v="Orthopedics"/>
    <s v="Dr Khan"/>
    <s v="Dr Khan"/>
    <d v="2026-02-10T00:00:00"/>
    <s v="Valid"/>
    <b v="1"/>
    <b v="1"/>
    <d v="2026-01-25T00:00:00"/>
    <s v="03904964444"/>
    <s v="03904964444"/>
    <s v="3904964444"/>
    <s v="Valid"/>
    <s v="ikar@comar.info"/>
    <s v="Yes"/>
    <n v="3897.59"/>
    <s v="Yes"/>
    <n v="267"/>
    <n v="267"/>
    <s v="K21"/>
  </r>
  <r>
    <s v="P2721"/>
    <s v="Zara Kara"/>
    <s v="Zara Kara"/>
    <x v="1"/>
    <n v="73"/>
    <n v="73"/>
    <s v="ENT"/>
    <s v="ENT"/>
    <s v="Dr Rao"/>
    <s v="Dr Rao"/>
    <d v="2025-12-10T00:00:00"/>
    <s v="Valid"/>
    <b v="1"/>
    <b v="1"/>
    <d v="2025-11-25T00:00:00"/>
    <s v="+912211392118"/>
    <s v="912211392118"/>
    <s v="2211392118"/>
    <s v="Valid"/>
    <s v="mgola@bakshi-dora.net"/>
    <s v="NO"/>
    <n v="4846.82"/>
    <s v="Yes"/>
    <n v="469"/>
    <n v="469"/>
    <s v="K21"/>
  </r>
  <r>
    <s v="P2722"/>
    <s v="Fateh Luthra"/>
    <s v="Fateh Luthra"/>
    <x v="1"/>
    <n v="33"/>
    <n v="33"/>
    <s v="Oncology"/>
    <s v="Oncology"/>
    <s v="DR SHARMA"/>
    <s v="Dr Sharma"/>
    <d v="2026-05-27T00:00:00"/>
    <s v="Valid"/>
    <b v="1"/>
    <b v="1"/>
    <d v="2026-05-07T00:00:00"/>
    <s v="+918751906394"/>
    <s v="918751906394"/>
    <s v="8751906394"/>
    <s v="Valid"/>
    <s v="hrishitachar@yahoo.com"/>
    <m/>
    <n v="16811.939999999999"/>
    <s v="NO"/>
    <n v="149"/>
    <n v="149"/>
    <s v="M54"/>
  </r>
  <r>
    <s v="P2723"/>
    <s v="Siya Bail"/>
    <s v="Siya Bail"/>
    <x v="3"/>
    <n v="80"/>
    <n v="80"/>
    <s v="Pediatrics"/>
    <s v="Pediatrics"/>
    <s v="DR SHARMA"/>
    <s v="Dr Sharma"/>
    <d v="2026-02-07T00:00:00"/>
    <s v="Valid"/>
    <b v="1"/>
    <b v="1"/>
    <d v="2026-01-28T00:00:00"/>
    <s v="6439011507"/>
    <s v="6439011507"/>
    <s v="6439011507"/>
    <s v="Valid"/>
    <s v="shuklaadah@gmail.com"/>
    <s v="Yes"/>
    <n v="21473.35"/>
    <s v="NO"/>
    <n v="341"/>
    <n v="341"/>
    <s v="K21"/>
  </r>
  <r>
    <s v="P2724"/>
    <s v="Ayesha Tandon"/>
    <s v="Ayesha Tandon"/>
    <x v="5"/>
    <n v="69"/>
    <n v="69"/>
    <s v="ENT"/>
    <s v="ENT"/>
    <s v="Dr Khan"/>
    <s v="Dr Khan"/>
    <d v="2026-02-22T00:00:00"/>
    <s v="Valid"/>
    <b v="1"/>
    <b v="1"/>
    <d v="2026-02-15T00:00:00"/>
    <s v="+918345613683"/>
    <s v="918345613683"/>
    <s v="8345613683"/>
    <s v="Valid"/>
    <s v="tanejajayant@yahoo.com"/>
    <m/>
    <n v="23946.04"/>
    <s v="Yes"/>
    <n v="453"/>
    <n v="453"/>
    <s v="I10"/>
  </r>
  <r>
    <s v="P2725"/>
    <s v="Hiran Sastry"/>
    <s v="Hiran Sastry"/>
    <x v="2"/>
    <n v="73"/>
    <n v="73"/>
    <s v="Orthopedics"/>
    <s v="Orthopedics"/>
    <s v="DR SHARMA"/>
    <s v="Dr Sharma"/>
    <d v="2026-03-15T00:00:00"/>
    <s v="Valid"/>
    <b v="1"/>
    <b v="1"/>
    <d v="2026-03-02T00:00:00"/>
    <s v="04448445423"/>
    <s v="04448445423"/>
    <s v="4448445423"/>
    <s v="Valid"/>
    <s v="kibesumer@sehgal.biz"/>
    <s v="Yes"/>
    <n v="5282.99"/>
    <m/>
    <n v="373"/>
    <n v="373"/>
    <s v="C34"/>
  </r>
  <r>
    <s v="P2726"/>
    <s v="Purab Zacharia"/>
    <s v="Purab Zacharia"/>
    <x v="2"/>
    <n v="14"/>
    <n v="14"/>
    <s v="General Medicine"/>
    <s v="General Medicine"/>
    <s v="Dr Mehta"/>
    <s v="Dr Mehta"/>
    <d v="2025-12-24T00:00:00"/>
    <s v="Valid"/>
    <b v="1"/>
    <b v="1"/>
    <d v="2025-12-17T00:00:00"/>
    <s v="04062275299"/>
    <s v="04062275299"/>
    <s v="4062275299"/>
    <s v="Valid"/>
    <s v="buchrasha@gmail.com"/>
    <s v="NO"/>
    <n v="5618.07"/>
    <s v="NO"/>
    <n v="118"/>
    <n v="118"/>
    <s v="J20"/>
  </r>
  <r>
    <s v="P2727"/>
    <s v="Ela Hora"/>
    <s v="Ela Hora"/>
    <x v="0"/>
    <n v="76"/>
    <n v="76"/>
    <s v="Dermatology"/>
    <s v="Dermatology"/>
    <s v="Dr Mehta"/>
    <s v="Dr Mehta"/>
    <d v="2026-04-28T00:00:00"/>
    <s v="Valid"/>
    <b v="1"/>
    <b v="1"/>
    <d v="2026-04-20T00:00:00"/>
    <s v="1649333324"/>
    <s v="1649333324"/>
    <s v="1649333324"/>
    <s v="Valid"/>
    <s v="faiyazdeep@hotmail.com"/>
    <m/>
    <n v="22348.95"/>
    <s v="NO"/>
    <n v="274"/>
    <n v="274"/>
    <s v="E11"/>
  </r>
  <r>
    <s v="P2728"/>
    <s v="Anvi Sathe"/>
    <s v="Anvi Sathe"/>
    <x v="2"/>
    <n v="12"/>
    <n v="12"/>
    <s v="Oncology"/>
    <s v="Oncology"/>
    <s v="DR SHARMA"/>
    <s v="Dr Sharma"/>
    <d v="2026-03-17T00:00:00"/>
    <s v="Valid"/>
    <b v="1"/>
    <b v="1"/>
    <d v="2026-03-16T00:00:00"/>
    <s v="0117393497"/>
    <s v="0117393497"/>
    <s v="0117393497"/>
    <s v="Valid"/>
    <s v="tiyayogi@bath-thaker.biz"/>
    <m/>
    <n v="17287.12"/>
    <s v="Y"/>
    <n v="436"/>
    <n v="436"/>
    <s v="K21"/>
  </r>
  <r>
    <s v="P2729"/>
    <s v="Saira Walla"/>
    <s v="Saira Walla"/>
    <x v="0"/>
    <n v="63"/>
    <n v="63"/>
    <s v="Pediatrics"/>
    <s v="Pediatrics"/>
    <s v="dr priya"/>
    <s v="Dr Priya"/>
    <d v="2026-02-06T00:00:00"/>
    <s v="Valid"/>
    <b v="1"/>
    <b v="1"/>
    <d v="2026-01-09T00:00:00"/>
    <s v="06864086140"/>
    <s v="06864086140"/>
    <s v="6864086140"/>
    <s v="Valid"/>
    <s v="udyal@hotmail.com"/>
    <s v="N"/>
    <n v="2682.32"/>
    <s v="N"/>
    <n v="394"/>
    <n v="394"/>
    <s v="J20"/>
  </r>
  <r>
    <s v="P2730"/>
    <s v="Taran Borra"/>
    <s v="Taran Borra"/>
    <x v="0"/>
    <n v="55"/>
    <n v="55"/>
    <s v="ENT"/>
    <s v="ENT"/>
    <s v="dr priya"/>
    <s v="Dr Priya"/>
    <d v="2026-01-28T00:00:00"/>
    <s v="Valid"/>
    <b v="1"/>
    <b v="1"/>
    <d v="2026-01-04T00:00:00"/>
    <s v="08516426682"/>
    <s v="08516426682"/>
    <s v="8516426682"/>
    <s v="Valid"/>
    <s v="barmanabram@hotmail.com"/>
    <m/>
    <n v="13995.91"/>
    <s v="Y"/>
    <n v="113"/>
    <n v="113"/>
    <s v="C34"/>
  </r>
  <r>
    <s v="P2731"/>
    <s v="Mannat Mandal"/>
    <s v="Mannat Mandal"/>
    <x v="2"/>
    <n v="81"/>
    <n v="81"/>
    <s v="Cardiology"/>
    <s v="Cardiology"/>
    <s v="Dr. Sharma"/>
    <s v="Dr. Sharma"/>
    <d v="2026-01-31T00:00:00"/>
    <s v="Valid"/>
    <b v="1"/>
    <b v="1"/>
    <d v="2026-01-25T00:00:00"/>
    <s v="04717117968"/>
    <s v="04717117968"/>
    <s v="4717117968"/>
    <s v="Valid"/>
    <s v="bhaktaayesha@hotmail.com"/>
    <s v="Yes"/>
    <n v="20593.39"/>
    <s v="N"/>
    <n v="477"/>
    <n v="477"/>
    <s v="I10"/>
  </r>
  <r>
    <s v="P2732"/>
    <s v="Adah Boase"/>
    <s v="Adah Boase"/>
    <x v="4"/>
    <n v="26"/>
    <n v="26"/>
    <s v="Pediatrics"/>
    <s v="Pediatrics"/>
    <s v="DR SHARMA"/>
    <s v="Dr Sharma"/>
    <d v="2026-05-10T00:00:00"/>
    <s v="Valid"/>
    <b v="1"/>
    <b v="1"/>
    <d v="2026-05-06T00:00:00"/>
    <s v="+912901094626"/>
    <s v="912901094626"/>
    <s v="2901094626"/>
    <s v="Valid"/>
    <s v="sampathinaaya@hotmail.com"/>
    <s v="Y"/>
    <n v="11629.21"/>
    <m/>
    <n v="215"/>
    <n v="215"/>
    <s v="A09"/>
  </r>
  <r>
    <s v="P2733"/>
    <s v="Urvi Krish"/>
    <s v="Urvi Krish"/>
    <x v="4"/>
    <n v="5"/>
    <n v="5"/>
    <s v="Neurology"/>
    <s v="Neurology"/>
    <s v="DR SHARMA"/>
    <s v="Dr Sharma"/>
    <d v="2026-01-03T00:00:00"/>
    <s v="Valid"/>
    <b v="1"/>
    <b v="1"/>
    <d v="2025-12-23T00:00:00"/>
    <s v="00783568483"/>
    <s v="00783568483"/>
    <s v="0783568483"/>
    <s v="Valid"/>
    <s v="renee02@hotmail.com"/>
    <s v="Y"/>
    <n v="20901.71"/>
    <m/>
    <n v="178"/>
    <n v="178"/>
    <s v="C34"/>
  </r>
  <r>
    <s v="P2735"/>
    <s v="Umang Dixit"/>
    <s v="Umang Dixit"/>
    <x v="1"/>
    <n v="14"/>
    <n v="14"/>
    <s v="Neurology"/>
    <s v="Neurology"/>
    <s v="Dr Mehta"/>
    <s v="Dr Mehta"/>
    <d v="2025-11-25T00:00:00"/>
    <s v="Valid"/>
    <b v="1"/>
    <b v="1"/>
    <d v="2025-11-19T00:00:00"/>
    <s v="+916496488083"/>
    <s v="916496488083"/>
    <s v="6496488083"/>
    <s v="Valid"/>
    <s v="jamble@deshpande-sehgal.com"/>
    <s v="NO"/>
    <n v="4012.74"/>
    <s v="NO"/>
    <n v="322"/>
    <n v="322"/>
    <s v="E11"/>
  </r>
  <r>
    <s v="P2736"/>
    <s v="Charvi Bala"/>
    <s v="Charvi Bala"/>
    <x v="4"/>
    <n v="35"/>
    <n v="35"/>
    <s v="ENT"/>
    <s v="ENT"/>
    <s v="Dr Khan"/>
    <s v="Dr Khan"/>
    <d v="2026-04-20T00:00:00"/>
    <s v="Valid"/>
    <b v="1"/>
    <b v="1"/>
    <d v="2026-04-15T00:00:00"/>
    <s v="1138790156"/>
    <s v="1138790156"/>
    <s v="1138790156"/>
    <s v="Valid"/>
    <s v="hegdeprisha@gmail.com"/>
    <s v="NO"/>
    <n v="23849.73"/>
    <m/>
    <n v="188"/>
    <n v="188"/>
    <s v="A09"/>
  </r>
  <r>
    <s v="P2737"/>
    <s v="Adira Thakkar"/>
    <s v="Adira Thakkar"/>
    <x v="3"/>
    <n v="36"/>
    <n v="36"/>
    <s v="ENT"/>
    <s v="ENT"/>
    <s v="Dr. Sharma"/>
    <s v="Dr. Sharma"/>
    <d v="2025-12-04T00:00:00"/>
    <s v="Valid"/>
    <b v="1"/>
    <b v="1"/>
    <d v="2025-11-15T00:00:00"/>
    <s v="+915198399807"/>
    <s v="915198399807"/>
    <s v="5198399807"/>
    <s v="Valid"/>
    <s v="darshit89@venkatesh-chander.biz"/>
    <s v="NO"/>
    <n v="23170.09"/>
    <s v="Yes"/>
    <n v="200"/>
    <n v="200"/>
    <s v="M54"/>
  </r>
  <r>
    <s v="P2738"/>
    <s v="Jhanvi Chander"/>
    <s v="Jhanvi Chander"/>
    <x v="0"/>
    <n v="49"/>
    <n v="49"/>
    <s v="General Medicine"/>
    <s v="General Medicine"/>
    <s v="Dr Mehta"/>
    <s v="Dr Mehta"/>
    <d v="2026-01-27T00:00:00"/>
    <s v="Valid"/>
    <b v="1"/>
    <b v="1"/>
    <d v="2025-12-31T00:00:00"/>
    <s v="8890901561"/>
    <s v="8890901561"/>
    <s v="8890901561"/>
    <s v="Valid"/>
    <s v="manneahana@soni.com"/>
    <s v="NO"/>
    <n v="19955.72"/>
    <s v="Y"/>
    <n v="127"/>
    <n v="127"/>
    <s v="E11"/>
  </r>
  <r>
    <s v="P2739"/>
    <s v="Amani Chahal"/>
    <s v="Amani Chahal"/>
    <x v="2"/>
    <n v="72"/>
    <n v="72"/>
    <s v="General Medicine"/>
    <s v="General Medicine"/>
    <s v="dr priya"/>
    <s v="Dr Priya"/>
    <d v="2026-03-09T00:00:00"/>
    <s v="Valid"/>
    <b v="1"/>
    <b v="1"/>
    <d v="2026-02-08T00:00:00"/>
    <s v="3614206289"/>
    <s v="3614206289"/>
    <s v="3614206289"/>
    <s v="Valid"/>
    <s v="xtata@yahoo.com"/>
    <s v="Yes"/>
    <n v="1510.23"/>
    <s v="Y"/>
    <n v="375"/>
    <n v="375"/>
    <s v="E11"/>
  </r>
  <r>
    <s v="P2740"/>
    <s v="Ojas Rajan"/>
    <s v="Ojas Rajan"/>
    <x v="4"/>
    <n v="31"/>
    <n v="31"/>
    <s v="Cardiology"/>
    <s v="Cardiology"/>
    <s v="Dr Mehta"/>
    <s v="Dr Mehta"/>
    <d v="2026-04-01T00:00:00"/>
    <s v="Valid"/>
    <b v="1"/>
    <b v="1"/>
    <d v="2026-03-25T00:00:00"/>
    <s v="12345"/>
    <s v="12345"/>
    <s v="12345"/>
    <s v="Valid"/>
    <s v="nayantaramani@goswami.org"/>
    <s v="NO"/>
    <n v="8609.98"/>
    <s v="NO"/>
    <n v="232"/>
    <n v="232"/>
    <s v="J20"/>
  </r>
  <r>
    <s v="P2741"/>
    <s v="Ela Char"/>
    <s v="Ela Char"/>
    <x v="2"/>
    <n v="71"/>
    <n v="71"/>
    <s v="Orthopedics"/>
    <s v="Orthopedics"/>
    <s v="Dr Mehta"/>
    <s v="Dr Mehta"/>
    <d v="2026-05-02T00:00:00"/>
    <s v="Valid"/>
    <b v="1"/>
    <b v="1"/>
    <d v="2026-05-01T00:00:00"/>
    <s v="08359850687"/>
    <s v="08359850687"/>
    <s v="8359850687"/>
    <s v="Valid"/>
    <s v="achokshi@bhat.com"/>
    <m/>
    <n v="12364.61"/>
    <s v="N"/>
    <n v="171"/>
    <n v="171"/>
    <s v="K21"/>
  </r>
  <r>
    <s v="P2742"/>
    <s v="Hazel Bahl"/>
    <s v="Hazel Bahl"/>
    <x v="5"/>
    <n v="90"/>
    <n v="90"/>
    <s v="Neurology"/>
    <s v="Neurology"/>
    <s v="Dr Mehta"/>
    <s v="Dr Mehta"/>
    <d v="2026-01-26T00:00:00"/>
    <s v="Valid"/>
    <b v="1"/>
    <b v="1"/>
    <d v="2026-01-07T00:00:00"/>
    <s v="+917394415959"/>
    <s v="917394415959"/>
    <s v="7394415959"/>
    <s v="Valid"/>
    <s v="hunarsule@hotmail.com"/>
    <m/>
    <n v="1971.59"/>
    <s v="NO"/>
    <n v="477"/>
    <n v="477"/>
    <s v="K21"/>
  </r>
  <r>
    <s v="P2743"/>
    <s v="Mehul Walia"/>
    <s v="Mehul Walia"/>
    <x v="2"/>
    <n v="59"/>
    <n v="59"/>
    <s v="Orthopedics"/>
    <s v="Orthopedics"/>
    <s v="Dr. Sharma"/>
    <s v="Dr. Sharma"/>
    <d v="2026-04-24T00:00:00"/>
    <s v="Valid"/>
    <b v="1"/>
    <b v="1"/>
    <d v="2026-03-28T00:00:00"/>
    <s v="2214449271"/>
    <s v="2214449271"/>
    <s v="2214449271"/>
    <s v="Valid"/>
    <s v="kiara49@yahoo.com"/>
    <s v="N"/>
    <n v="943.01"/>
    <s v="Yes"/>
    <n v="499"/>
    <n v="499"/>
    <s v="I10"/>
  </r>
  <r>
    <s v="P2744"/>
    <s v="Hrishita Bandi"/>
    <s v="Hrishita Bandi"/>
    <x v="0"/>
    <n v="4"/>
    <n v="4"/>
    <s v="Neurology"/>
    <s v="Neurology"/>
    <s v="dr priya"/>
    <s v="Dr Priya"/>
    <d v="2025-11-20T00:00:00"/>
    <s v="Valid"/>
    <b v="1"/>
    <b v="1"/>
    <d v="2025-11-15T00:00:00"/>
    <s v="+914614708031"/>
    <s v="914614708031"/>
    <s v="4614708031"/>
    <s v="Valid"/>
    <s v="sankaranpurab@hotmail.com"/>
    <s v="NO"/>
    <n v="2249.29"/>
    <s v="N"/>
    <n v="346"/>
    <n v="346"/>
    <s v="K21"/>
  </r>
  <r>
    <s v="P2745"/>
    <s v="Saksham Ram"/>
    <s v="Saksham Ram"/>
    <x v="2"/>
    <n v="57"/>
    <n v="57"/>
    <s v="ENT"/>
    <s v="ENT"/>
    <s v="Dr Rao"/>
    <s v="Dr Rao"/>
    <d v="2025-12-12T00:00:00"/>
    <s v="Valid"/>
    <b v="1"/>
    <b v="1"/>
    <d v="2025-11-17T00:00:00"/>
    <s v="+914299712385"/>
    <s v="914299712385"/>
    <s v="4299712385"/>
    <s v="Valid"/>
    <s v="anahirastogi@keer-kata.com"/>
    <s v="Yes"/>
    <n v="18036.79"/>
    <s v="NO"/>
    <n v="260"/>
    <n v="260"/>
    <s v="M54"/>
  </r>
  <r>
    <s v="P2746"/>
    <s v="Faiyaz Dewan"/>
    <s v="Faiyaz Dewan"/>
    <x v="2"/>
    <n v="65"/>
    <n v="65"/>
    <s v="Oncology"/>
    <s v="Oncology"/>
    <s v="Dr. Sharma"/>
    <s v="Dr. Sharma"/>
    <d v="2026-01-21T00:00:00"/>
    <s v="Valid"/>
    <b v="1"/>
    <b v="1"/>
    <d v="2026-01-13T00:00:00"/>
    <s v="8305492270"/>
    <s v="8305492270"/>
    <s v="8305492270"/>
    <s v="Valid"/>
    <s v="indrans17@gmail.com"/>
    <s v="Yes"/>
    <n v="2309"/>
    <s v="Y"/>
    <n v="407"/>
    <n v="407"/>
    <s v="C34"/>
  </r>
  <r>
    <s v="P2747"/>
    <s v="Aarush Verma"/>
    <s v="Aarush Verma"/>
    <x v="3"/>
    <n v="37"/>
    <n v="37"/>
    <s v="General Medicine"/>
    <s v="General Medicine"/>
    <s v="Dr Mehta"/>
    <s v="Dr Mehta"/>
    <d v="2026-04-05T00:00:00"/>
    <s v="Valid"/>
    <b v="1"/>
    <b v="1"/>
    <d v="2026-04-01T00:00:00"/>
    <s v="3938829940"/>
    <s v="3938829940"/>
    <s v="3938829940"/>
    <s v="Valid"/>
    <s v="talwarparinaaz@bhatnagar.com"/>
    <s v="Yes"/>
    <n v="20644.05"/>
    <s v="Yes"/>
    <n v="356"/>
    <n v="356"/>
    <s v="A09"/>
  </r>
  <r>
    <s v="P2748"/>
    <s v="Kanav Tata"/>
    <s v="Kanav Tata"/>
    <x v="0"/>
    <n v="41"/>
    <n v="41"/>
    <s v="Dermatology"/>
    <s v="Dermatology"/>
    <s v="Dr Khan"/>
    <s v="Dr Khan"/>
    <d v="2026-02-05T00:00:00"/>
    <s v="Valid"/>
    <b v="1"/>
    <b v="1"/>
    <d v="2026-02-04T00:00:00"/>
    <s v="+919352902480"/>
    <s v="919352902480"/>
    <s v="9352902480"/>
    <s v="Valid"/>
    <s v="shalvupadhyay@dara.com"/>
    <m/>
    <n v="11789.36"/>
    <s v="Yes"/>
    <n v="406"/>
    <n v="406"/>
    <s v="I10"/>
  </r>
  <r>
    <s v="P2749"/>
    <s v="Vivaan Rout"/>
    <s v="Vivaan Rout"/>
    <x v="0"/>
    <n v="85"/>
    <n v="85"/>
    <s v="Oncology"/>
    <s v="Oncology"/>
    <s v="DR SHARMA"/>
    <s v="Dr Sharma"/>
    <d v="2026-05-12T00:00:00"/>
    <s v="Valid"/>
    <b v="1"/>
    <b v="1"/>
    <d v="2026-04-30T00:00:00"/>
    <s v="+919927447542"/>
    <s v="919927447542"/>
    <s v="9927447542"/>
    <s v="Valid"/>
    <s v="mahika15@dora-singh.com"/>
    <s v="N"/>
    <n v="15989.36"/>
    <s v="NO"/>
    <n v="285"/>
    <n v="285"/>
    <s v="C34"/>
  </r>
  <r>
    <s v="P2750"/>
    <s v="Adah Thakkar"/>
    <s v="Adah Thakkar"/>
    <x v="0"/>
    <n v="68"/>
    <n v="68"/>
    <s v="Orthopedics"/>
    <s v="Orthopedics"/>
    <s v="dr priya"/>
    <s v="Dr Priya"/>
    <d v="2025-12-31T00:00:00"/>
    <s v="Valid"/>
    <b v="1"/>
    <b v="1"/>
    <d v="2025-12-19T00:00:00"/>
    <s v="3281408203"/>
    <s v="3281408203"/>
    <s v="3281408203"/>
    <s v="Valid"/>
    <s v="kimaya67@gmail.com"/>
    <s v="NO"/>
    <n v="6047.88"/>
    <s v="Y"/>
    <s v="Room-X"/>
    <n v="0"/>
    <s v="J20"/>
  </r>
  <r>
    <s v="P2751"/>
    <s v="Yuvaan Dhillon"/>
    <s v="Yuvaan Dhillon"/>
    <x v="5"/>
    <n v="42"/>
    <n v="42"/>
    <s v="ENT"/>
    <s v="ENT"/>
    <s v="Dr Rao"/>
    <s v="Dr Rao"/>
    <d v="2026-01-23T00:00:00"/>
    <s v="Valid"/>
    <b v="1"/>
    <b v="1"/>
    <d v="2026-01-12T00:00:00"/>
    <s v="0563580750"/>
    <s v="0563580750"/>
    <s v="0563580750"/>
    <s v="Valid"/>
    <s v="prishabhandari@yahoo.com"/>
    <s v="Y"/>
    <n v="20575.14"/>
    <m/>
    <n v="473"/>
    <n v="473"/>
    <s v="I10"/>
  </r>
  <r>
    <s v="P2752"/>
    <s v="Priyansh Saini"/>
    <s v="Priyansh Saini"/>
    <x v="0"/>
    <n v="81"/>
    <n v="81"/>
    <s v="General Medicine"/>
    <s v="General Medicine"/>
    <s v="Dr Rao"/>
    <s v="Dr Rao"/>
    <d v="2026-05-17T00:00:00"/>
    <s v="Valid"/>
    <b v="1"/>
    <b v="1"/>
    <d v="2026-05-04T00:00:00"/>
    <s v="7454119106"/>
    <s v="7454119106"/>
    <s v="7454119106"/>
    <s v="Valid"/>
    <s v="qramaswamy@hotmail.com"/>
    <s v="NO"/>
    <n v="6161.67"/>
    <m/>
    <n v="416"/>
    <n v="416"/>
    <s v="J20"/>
  </r>
  <r>
    <s v="P2753"/>
    <s v="Neysa Mangat"/>
    <s v="Neysa Mangat"/>
    <x v="0"/>
    <n v="80"/>
    <n v="80"/>
    <s v="Orthopedics"/>
    <s v="Orthopedics"/>
    <s v="Dr Mehta"/>
    <s v="Dr Mehta"/>
    <d v="2025-12-29T00:00:00"/>
    <s v="Valid"/>
    <b v="1"/>
    <b v="1"/>
    <d v="2025-12-27T00:00:00"/>
    <s v="5177972445"/>
    <s v="5177972445"/>
    <s v="5177972445"/>
    <s v="Valid"/>
    <s v="ndayal@gmail.com"/>
    <s v="Yes"/>
    <n v="6841.71"/>
    <s v="Yes"/>
    <n v="162"/>
    <n v="162"/>
    <s v="K21"/>
  </r>
  <r>
    <s v="P2754"/>
    <s v="Tanya Bandi"/>
    <s v="Tanya Bandi"/>
    <x v="1"/>
    <n v="33"/>
    <n v="33"/>
    <s v="Neurology"/>
    <s v="Neurology"/>
    <s v="Dr Rao"/>
    <s v="Dr Rao"/>
    <d v="2026-04-19T00:00:00"/>
    <s v="Valid"/>
    <b v="1"/>
    <b v="1"/>
    <d v="2026-04-11T00:00:00"/>
    <s v="06555583529"/>
    <s v="06555583529"/>
    <s v="6555583529"/>
    <s v="Valid"/>
    <s v="ggala@hotmail.com"/>
    <s v="Y"/>
    <n v="24061.37"/>
    <s v="Y"/>
    <n v="380"/>
    <n v="380"/>
    <s v="M54"/>
  </r>
  <r>
    <s v="P2755"/>
    <s v="Yasmin Gara"/>
    <s v="Yasmin Gara"/>
    <x v="3"/>
    <n v="32"/>
    <n v="32"/>
    <s v="Pediatrics"/>
    <s v="Pediatrics"/>
    <s v="dr priya"/>
    <s v="Dr Priya"/>
    <d v="2026-02-06T00:00:00"/>
    <s v="Valid"/>
    <b v="1"/>
    <b v="1"/>
    <d v="2026-01-15T00:00:00"/>
    <s v="+916375344856"/>
    <s v="916375344856"/>
    <s v="6375344856"/>
    <s v="Valid"/>
    <s v="ehsaankarpe@chandran.org"/>
    <s v="NO"/>
    <n v="13302.37"/>
    <s v="NO"/>
    <n v="304"/>
    <n v="304"/>
    <s v="J20"/>
  </r>
  <r>
    <s v="P2756"/>
    <s v="Advik Wason"/>
    <s v="Advik Wason"/>
    <x v="5"/>
    <n v="20"/>
    <n v="20"/>
    <s v="Neurology"/>
    <s v="Neurology"/>
    <s v="Dr Mehta"/>
    <s v="Dr Mehta"/>
    <d v="2026-01-05T00:00:00"/>
    <s v="Valid"/>
    <b v="1"/>
    <b v="1"/>
    <d v="2025-12-14T00:00:00"/>
    <s v="+917636856482"/>
    <s v="917636856482"/>
    <s v="7636856482"/>
    <s v="Valid"/>
    <s v="lakshay92@hotmail.com"/>
    <m/>
    <n v="15553.05"/>
    <s v="Yes"/>
    <n v="471"/>
    <n v="471"/>
    <s v="E11"/>
  </r>
  <r>
    <s v="P2758"/>
    <s v="Azad Vig"/>
    <s v="Azad Vig"/>
    <x v="1"/>
    <n v="28"/>
    <n v="28"/>
    <s v="Neurology"/>
    <s v="Neurology"/>
    <s v="Dr. Sharma"/>
    <s v="Dr. Sharma"/>
    <d v="2026-03-28T00:00:00"/>
    <s v="Valid"/>
    <b v="1"/>
    <b v="1"/>
    <d v="2026-02-26T00:00:00"/>
    <s v="02129281303"/>
    <s v="02129281303"/>
    <s v="2129281303"/>
    <s v="Valid"/>
    <s v="venkataramanishita@sabharwal-dey.net"/>
    <s v="Y"/>
    <n v="2237.77"/>
    <s v="Yes"/>
    <n v="520"/>
    <n v="520"/>
    <s v="M54"/>
  </r>
  <r>
    <s v="P2759"/>
    <s v="Shanaya Sarkar"/>
    <s v="Shanaya Sarkar"/>
    <x v="0"/>
    <n v="81"/>
    <n v="81"/>
    <s v="Dermatology"/>
    <s v="Dermatology"/>
    <s v="Dr Mehta"/>
    <s v="Dr Mehta"/>
    <d v="2025-12-13T00:00:00"/>
    <s v="Valid"/>
    <b v="1"/>
    <b v="1"/>
    <d v="2025-12-02T00:00:00"/>
    <s v="+910162553287"/>
    <s v="910162553287"/>
    <s v="0162553287"/>
    <s v="Valid"/>
    <s v="bajajbhavin@yahoo.com"/>
    <s v="N"/>
    <n v="18989.919999999998"/>
    <s v="Yes"/>
    <n v="195"/>
    <n v="195"/>
    <s v="M54"/>
  </r>
  <r>
    <s v="P2760"/>
    <s v="Vihaan Barman"/>
    <s v="Vihaan Barman"/>
    <x v="5"/>
    <n v="87"/>
    <n v="87"/>
    <s v="ENT"/>
    <s v="ENT"/>
    <s v="dr priya"/>
    <s v="Dr Priya"/>
    <d v="2026-04-24T00:00:00"/>
    <s v="Valid"/>
    <b v="1"/>
    <b v="1"/>
    <d v="2026-04-07T00:00:00"/>
    <s v="+912144231695"/>
    <s v="912144231695"/>
    <s v="2144231695"/>
    <s v="Valid"/>
    <m/>
    <s v="Yes"/>
    <n v="-500"/>
    <s v="Yes"/>
    <n v="442"/>
    <n v="442"/>
    <s v="I10"/>
  </r>
  <r>
    <s v="P2761"/>
    <s v="Shaan Tella"/>
    <s v="Shaan Tella"/>
    <x v="3"/>
    <n v="49"/>
    <n v="49"/>
    <s v="Oncology"/>
    <s v="Oncology"/>
    <s v="dr priya"/>
    <s v="Dr Priya"/>
    <d v="2026-01-22T00:00:00"/>
    <s v="Valid"/>
    <b v="1"/>
    <b v="1"/>
    <d v="2025-12-28T00:00:00"/>
    <s v="4719183941"/>
    <s v="4719183941"/>
    <s v="4719183941"/>
    <s v="Valid"/>
    <s v="divit27@mann.com"/>
    <s v="Y"/>
    <n v="21604.49"/>
    <s v="Yes"/>
    <n v="495"/>
    <n v="495"/>
    <s v="E11"/>
  </r>
  <r>
    <s v="P2762"/>
    <s v="Ojas Dube"/>
    <s v="Ojas Dube"/>
    <x v="2"/>
    <n v="48"/>
    <n v="48"/>
    <s v="Pediatrics"/>
    <s v="Pediatrics"/>
    <s v="Dr Mehta"/>
    <s v="Dr Mehta"/>
    <d v="2026-02-08T00:00:00"/>
    <s v="Valid"/>
    <b v="1"/>
    <b v="1"/>
    <d v="2026-01-13T00:00:00"/>
    <s v="0511331888"/>
    <s v="0511331888"/>
    <s v="0511331888"/>
    <s v="Valid"/>
    <s v="rashashere@garg-sridhar.info"/>
    <s v="Y"/>
    <n v="8422.4699999999993"/>
    <s v="Y"/>
    <n v="338"/>
    <n v="338"/>
    <s v="A09"/>
  </r>
  <r>
    <s v="P2763"/>
    <s v="Charvi Walia"/>
    <s v="Charvi Walia"/>
    <x v="0"/>
    <n v="87"/>
    <n v="87"/>
    <s v="ENT"/>
    <s v="ENT"/>
    <s v="Dr Rao"/>
    <s v="Dr Rao"/>
    <d v="2026-02-22T00:00:00"/>
    <s v="Valid"/>
    <b v="1"/>
    <b v="1"/>
    <d v="2026-02-13T00:00:00"/>
    <s v="7097226644"/>
    <s v="7097226644"/>
    <s v="7097226644"/>
    <s v="Valid"/>
    <s v="bajwahansh@baria.com"/>
    <s v="Yes"/>
    <n v="24829.53"/>
    <s v="Yes"/>
    <n v="222"/>
    <n v="222"/>
    <s v="E11"/>
  </r>
  <r>
    <s v="P2764"/>
    <s v="Hiran Sastry"/>
    <s v="Hiran Sastry"/>
    <x v="5"/>
    <n v="27"/>
    <n v="27"/>
    <s v="ENT"/>
    <s v="ENT"/>
    <s v="DR SHARMA"/>
    <s v="Dr Sharma"/>
    <d v="2026-04-09T00:00:00"/>
    <s v="Valid"/>
    <b v="1"/>
    <b v="1"/>
    <d v="2026-03-14T00:00:00"/>
    <s v="01688316286"/>
    <s v="01688316286"/>
    <s v="1688316286"/>
    <s v="Valid"/>
    <s v="senguptaryan@hotmail.com"/>
    <s v="Y"/>
    <n v="14760.61"/>
    <s v="NO"/>
    <n v="302"/>
    <n v="302"/>
    <s v="C34"/>
  </r>
  <r>
    <s v="P2765"/>
    <s v="Vanya Mandal"/>
    <s v="Vanya Mandal"/>
    <x v="5"/>
    <n v="19"/>
    <n v="19"/>
    <s v="Neurology"/>
    <s v="Neurology"/>
    <s v="Dr Mehta"/>
    <s v="Dr Mehta"/>
    <d v="2026-01-16T00:00:00"/>
    <s v="Valid"/>
    <b v="1"/>
    <b v="1"/>
    <d v="2026-01-13T00:00:00"/>
    <s v="+918937601854"/>
    <s v="918937601854"/>
    <s v="8937601854"/>
    <s v="Valid"/>
    <s v="yadavarhaan@yahoo.com"/>
    <m/>
    <n v="13250.04"/>
    <s v="NO"/>
    <n v="378"/>
    <n v="378"/>
    <s v="I10"/>
  </r>
  <r>
    <s v="P2766"/>
    <s v="Heer Sarin"/>
    <s v="Heer Sarin"/>
    <x v="5"/>
    <n v="31"/>
    <n v="31"/>
    <s v="Neurology"/>
    <s v="Neurology"/>
    <s v="DR SHARMA"/>
    <s v="Dr Sharma"/>
    <d v="2025-11-29T00:00:00"/>
    <s v="Valid"/>
    <b v="1"/>
    <b v="1"/>
    <d v="2025-11-14T00:00:00"/>
    <s v="6636177083"/>
    <s v="6636177083"/>
    <s v="6636177083"/>
    <s v="Valid"/>
    <s v="aarush99@bhagat.com"/>
    <s v="NO"/>
    <n v="3540.73"/>
    <s v="NO"/>
    <n v="215"/>
    <n v="215"/>
    <s v="I10"/>
  </r>
  <r>
    <s v="P2767"/>
    <s v="Hrishita Gola"/>
    <s v="Hrishita Gola"/>
    <x v="1"/>
    <n v="5"/>
    <n v="5"/>
    <s v="Neurology"/>
    <s v="Neurology"/>
    <s v="Dr Mehta"/>
    <s v="Dr Mehta"/>
    <d v="2026-06-05T00:00:00"/>
    <s v="Valid"/>
    <b v="1"/>
    <b v="1"/>
    <d v="2026-05-07T00:00:00"/>
    <s v="06725753710"/>
    <s v="06725753710"/>
    <s v="6725753710"/>
    <s v="Valid"/>
    <s v="drishya76@yahoo.com"/>
    <m/>
    <n v="19008.28"/>
    <s v="NO"/>
    <n v="299"/>
    <n v="299"/>
    <s v="I10"/>
  </r>
  <r>
    <s v="P2769"/>
    <s v="Dhanuk Wable"/>
    <s v="Dhanuk Wable"/>
    <x v="2"/>
    <n v="43"/>
    <n v="43"/>
    <s v="Dermatology"/>
    <s v="Dermatology"/>
    <s v="Dr Mehta"/>
    <s v="Dr Mehta"/>
    <d v="2026-02-24T00:00:00"/>
    <s v="Valid"/>
    <b v="1"/>
    <b v="1"/>
    <d v="2026-02-07T00:00:00"/>
    <s v="3549687377"/>
    <s v="3549687377"/>
    <s v="3549687377"/>
    <s v="Valid"/>
    <s v="ivanaarora@deshmukh.com"/>
    <s v="Yes"/>
    <n v="20972.400000000001"/>
    <s v="Yes"/>
    <n v="225"/>
    <n v="225"/>
    <s v="C34"/>
  </r>
  <r>
    <s v="P2770"/>
    <s v="Arnav Vala"/>
    <s v="Arnav Vala"/>
    <x v="1"/>
    <n v="43"/>
    <n v="43"/>
    <s v="General Medicine"/>
    <s v="General Medicine"/>
    <s v="Dr Khan"/>
    <s v="Dr Khan"/>
    <d v="2026-01-15T00:00:00"/>
    <s v="Valid"/>
    <b v="1"/>
    <b v="1"/>
    <d v="2026-01-07T00:00:00"/>
    <s v="0154160130"/>
    <s v="0154160130"/>
    <s v="0154160130"/>
    <s v="Valid"/>
    <s v="mannmanjari@gmail.com"/>
    <s v="Y"/>
    <n v="20611.41"/>
    <s v="NO"/>
    <n v="471"/>
    <n v="471"/>
    <s v="M54"/>
  </r>
  <r>
    <s v="P2771"/>
    <s v="Aarush Bansal"/>
    <s v="Aarush Bansal"/>
    <x v="0"/>
    <n v="80"/>
    <n v="80"/>
    <s v="Pediatrics"/>
    <s v="Pediatrics"/>
    <s v="dr priya"/>
    <s v="Dr Priya"/>
    <d v="2025-11-27T00:00:00"/>
    <s v="Valid"/>
    <b v="1"/>
    <b v="1"/>
    <d v="2025-11-16T00:00:00"/>
    <s v="03566208156"/>
    <s v="03566208156"/>
    <s v="3566208156"/>
    <s v="Valid"/>
    <s v="zaina70@joshi.com"/>
    <s v="N"/>
    <n v="3521.37"/>
    <s v="Yes"/>
    <n v="139"/>
    <n v="139"/>
    <s v="J20"/>
  </r>
  <r>
    <s v="P2772"/>
    <s v="Badal Lal"/>
    <s v="Badal Lal"/>
    <x v="2"/>
    <n v="16"/>
    <n v="16"/>
    <s v="Oncology"/>
    <s v="Oncology"/>
    <s v="Dr Mehta"/>
    <s v="Dr Mehta"/>
    <d v="2025-12-15T00:00:00"/>
    <s v="Valid"/>
    <b v="1"/>
    <b v="1"/>
    <d v="2025-11-28T00:00:00"/>
    <s v="01993836663"/>
    <s v="01993836663"/>
    <s v="1993836663"/>
    <s v="Valid"/>
    <s v="ekrish@kala.net"/>
    <s v="Y"/>
    <n v="5800.93"/>
    <m/>
    <n v="371"/>
    <n v="371"/>
    <s v="M54"/>
  </r>
  <r>
    <s v="P2773"/>
    <s v="Ivan Roy"/>
    <s v="Ivan Roy"/>
    <x v="2"/>
    <n v="4"/>
    <n v="4"/>
    <s v="Orthopedics"/>
    <s v="Orthopedics"/>
    <s v="dr priya"/>
    <s v="Dr Priya"/>
    <d v="2026-01-06T00:00:00"/>
    <s v="Valid"/>
    <b v="1"/>
    <b v="1"/>
    <d v="2025-12-31T00:00:00"/>
    <s v="2649662373"/>
    <s v="2649662373"/>
    <s v="2649662373"/>
    <s v="Valid"/>
    <s v="seherdayal@gmail.com"/>
    <s v="Yes"/>
    <n v="20410.669999999998"/>
    <s v="Y"/>
    <n v="210"/>
    <n v="210"/>
    <s v="A09"/>
  </r>
  <r>
    <s v="P2774"/>
    <s v="Fateh Sha"/>
    <s v="Fateh Sha"/>
    <x v="4"/>
    <n v="10"/>
    <n v="10"/>
    <s v="Pediatrics"/>
    <s v="Pediatrics"/>
    <s v="Dr Khan"/>
    <s v="Dr Khan"/>
    <d v="2025-12-09T00:00:00"/>
    <s v="Valid"/>
    <b v="1"/>
    <b v="1"/>
    <d v="2025-12-01T00:00:00"/>
    <s v="+913576596775"/>
    <s v="913576596775"/>
    <s v="3576596775"/>
    <s v="Valid"/>
    <s v="biju41@sanghvi-mand.com"/>
    <s v="N"/>
    <n v="8574.83"/>
    <s v="NO"/>
    <n v="147"/>
    <n v="147"/>
    <s v="J20"/>
  </r>
  <r>
    <s v="P2775"/>
    <s v="Keya Barad"/>
    <s v="Keya Barad"/>
    <x v="0"/>
    <n v="90"/>
    <n v="90"/>
    <s v="Oncology"/>
    <s v="Oncology"/>
    <s v="Dr Mehta"/>
    <s v="Dr Mehta"/>
    <d v="2026-02-17T00:00:00"/>
    <s v="Valid"/>
    <b v="1"/>
    <b v="1"/>
    <d v="2026-02-01T00:00:00"/>
    <s v="+914525864250"/>
    <s v="914525864250"/>
    <s v="4525864250"/>
    <s v="Valid"/>
    <s v="bahriprisha@chaudhuri-gole.com"/>
    <m/>
    <n v="23528.560000000001"/>
    <s v="Yes"/>
    <n v="524"/>
    <n v="524"/>
    <s v="J20"/>
  </r>
  <r>
    <s v="P2776"/>
    <s v="Kimaya Sridhar"/>
    <s v="Kimaya Sridhar"/>
    <x v="0"/>
    <n v="44"/>
    <n v="44"/>
    <s v="Pediatrics"/>
    <s v="Pediatrics"/>
    <s v="Dr Khan"/>
    <s v="Dr Khan"/>
    <d v="2025-12-22T00:00:00"/>
    <s v="Valid"/>
    <b v="1"/>
    <b v="1"/>
    <d v="2025-11-23T00:00:00"/>
    <s v="3471178036"/>
    <s v="3471178036"/>
    <s v="3471178036"/>
    <s v="Valid"/>
    <s v="kismattalwar@yahoo.com"/>
    <m/>
    <n v="10831"/>
    <s v="Yes"/>
    <n v="365"/>
    <n v="365"/>
    <s v="C34"/>
  </r>
  <r>
    <s v="P2777"/>
    <s v="Advika Mann"/>
    <s v="Advika Mann"/>
    <x v="2"/>
    <n v="15"/>
    <n v="15"/>
    <s v="Orthopedics"/>
    <s v="Orthopedics"/>
    <s v="dr priya"/>
    <s v="Dr Priya"/>
    <d v="2026-04-27T00:00:00"/>
    <s v="Valid"/>
    <b v="1"/>
    <b v="1"/>
    <d v="2026-04-03T00:00:00"/>
    <s v="09866724147"/>
    <s v="09866724147"/>
    <s v="9866724147"/>
    <s v="Valid"/>
    <s v="tejas48@gmail.com"/>
    <s v="Yes"/>
    <n v="23483.360000000001"/>
    <s v="N"/>
    <n v="547"/>
    <n v="547"/>
    <s v="I10"/>
  </r>
  <r>
    <s v="P2778"/>
    <s v="Indrans Vora"/>
    <s v="Indrans Vora"/>
    <x v="5"/>
    <n v="47"/>
    <n v="47"/>
    <s v="Dermatology"/>
    <s v="Dermatology"/>
    <s v="dr priya"/>
    <s v="Dr Priya"/>
    <d v="2026-02-04T00:00:00"/>
    <s v="Valid"/>
    <b v="1"/>
    <b v="1"/>
    <d v="2026-01-07T00:00:00"/>
    <s v="7698762801"/>
    <s v="7698762801"/>
    <s v="7698762801"/>
    <s v="Valid"/>
    <s v="tara11@lalla.info"/>
    <s v="NO"/>
    <n v="20490.669999999998"/>
    <s v="Yes"/>
    <n v="297"/>
    <n v="297"/>
    <s v="E11"/>
  </r>
  <r>
    <s v="P2779"/>
    <s v="Urvi Zachariah"/>
    <s v="Urvi Zachariah"/>
    <x v="3"/>
    <n v="10"/>
    <n v="10"/>
    <s v="ENT"/>
    <s v="ENT"/>
    <s v="DR SHARMA"/>
    <s v="Dr Sharma"/>
    <d v="2026-05-06T00:00:00"/>
    <s v="Valid"/>
    <b v="1"/>
    <b v="1"/>
    <d v="2026-05-03T00:00:00"/>
    <s v="3252109197"/>
    <s v="3252109197"/>
    <s v="3252109197"/>
    <s v="Valid"/>
    <s v="gatik62@gmail.com"/>
    <s v="Yes"/>
    <n v="19236.349999999999"/>
    <s v="Yes"/>
    <n v="274"/>
    <n v="274"/>
    <s v="J20"/>
  </r>
  <r>
    <s v="P2780"/>
    <s v="Hridaan Mani"/>
    <s v="Hridaan Mani"/>
    <x v="0"/>
    <n v="56"/>
    <n v="56"/>
    <s v="Orthopedics"/>
    <s v="Orthopedics"/>
    <s v="dr priya"/>
    <s v="Dr Priya"/>
    <d v="2026-05-05T00:00:00"/>
    <s v="Valid"/>
    <b v="1"/>
    <b v="1"/>
    <d v="2026-04-17T00:00:00"/>
    <s v="00362555980"/>
    <s v="00362555980"/>
    <s v="0362555980"/>
    <s v="Valid"/>
    <s v="kbath@hotmail.com"/>
    <s v="NO"/>
    <n v="12237.58"/>
    <m/>
    <n v="317"/>
    <n v="317"/>
    <s v="K21"/>
  </r>
  <r>
    <s v="P2781"/>
    <s v="Eva Kara"/>
    <s v="Eva Kara"/>
    <x v="4"/>
    <n v="80"/>
    <n v="80"/>
    <s v="Pediatrics"/>
    <s v="Pediatrics"/>
    <s v="Dr. Sharma"/>
    <s v="Dr. Sharma"/>
    <d v="2026-02-16T00:00:00"/>
    <s v="Valid"/>
    <b v="1"/>
    <b v="1"/>
    <d v="2026-02-07T00:00:00"/>
    <s v="+916480938844"/>
    <s v="916480938844"/>
    <s v="6480938844"/>
    <s v="Valid"/>
    <s v="dsandal@yahoo.com"/>
    <s v="Yes"/>
    <n v="3072.55"/>
    <s v="Yes"/>
    <n v="383"/>
    <n v="383"/>
    <s v="I10"/>
  </r>
  <r>
    <s v="P2782"/>
    <s v="Anahita Ramachandran"/>
    <s v="Anahita Ramachandran"/>
    <x v="3"/>
    <n v="25"/>
    <n v="25"/>
    <s v="ENT"/>
    <s v="ENT"/>
    <s v="Dr. Sharma"/>
    <s v="Dr. Sharma"/>
    <d v="2025-12-01T00:00:00"/>
    <s v="Valid"/>
    <b v="1"/>
    <b v="1"/>
    <d v="2025-11-24T00:00:00"/>
    <s v="+918359334957"/>
    <s v="918359334957"/>
    <s v="8359334957"/>
    <s v="Valid"/>
    <s v="rayahana@khurana.com"/>
    <m/>
    <n v="21598.28"/>
    <s v="Y"/>
    <n v="308"/>
    <n v="308"/>
    <s v="I10"/>
  </r>
  <r>
    <s v="P2783"/>
    <s v="Indrajit Bobal"/>
    <s v="Indrajit Bobal"/>
    <x v="5"/>
    <n v="30"/>
    <n v="30"/>
    <s v="ENT"/>
    <s v="ENT"/>
    <s v="Dr Mehta"/>
    <s v="Dr Mehta"/>
    <d v="2026-03-19T00:00:00"/>
    <s v="Valid"/>
    <b v="1"/>
    <b v="1"/>
    <d v="2026-03-18T00:00:00"/>
    <s v="0422865211"/>
    <s v="0422865211"/>
    <s v="0422865211"/>
    <s v="Valid"/>
    <s v="oagate@yahoo.com"/>
    <s v="NO"/>
    <n v="16742.240000000002"/>
    <m/>
    <n v="453"/>
    <n v="453"/>
    <s v="C34"/>
  </r>
  <r>
    <s v="P2784"/>
    <s v="Neelofar Bains"/>
    <s v="Neelofar Bains"/>
    <x v="0"/>
    <n v="78"/>
    <n v="78"/>
    <s v="Cardiology"/>
    <s v="Cardiology"/>
    <s v="dr priya"/>
    <s v="Dr Priya"/>
    <d v="2026-03-16T00:00:00"/>
    <s v="Valid"/>
    <b v="1"/>
    <b v="1"/>
    <d v="2026-02-26T00:00:00"/>
    <s v="02510982145"/>
    <s v="02510982145"/>
    <s v="2510982145"/>
    <s v="Valid"/>
    <s v="yasminbahri@kala.com"/>
    <s v="NO"/>
    <n v="20121.509999999998"/>
    <s v="Yes"/>
    <n v="393"/>
    <n v="393"/>
    <s v="E11"/>
  </r>
  <r>
    <s v="P2785"/>
    <s v="Ehsaan Upadhyay"/>
    <s v="Ehsaan Upadhyay"/>
    <x v="0"/>
    <n v="58"/>
    <n v="58"/>
    <s v="Oncology"/>
    <s v="Oncology"/>
    <s v="Dr Mehta"/>
    <s v="Dr Mehta"/>
    <d v="2025-12-23T00:00:00"/>
    <s v="Valid"/>
    <b v="1"/>
    <b v="1"/>
    <d v="2025-12-11T00:00:00"/>
    <s v="09435198265"/>
    <s v="09435198265"/>
    <s v="9435198265"/>
    <s v="Valid"/>
    <s v="chaudhryvidur@gmail.com"/>
    <m/>
    <n v="19212.39"/>
    <m/>
    <n v="545"/>
    <n v="545"/>
    <s v="K21"/>
  </r>
  <r>
    <s v="P2786"/>
    <s v="Dhruv Borah"/>
    <s v="Dhruv Borah"/>
    <x v="0"/>
    <n v="71"/>
    <n v="71"/>
    <s v="General Medicine"/>
    <s v="General Medicine"/>
    <s v="Dr Mehta"/>
    <s v="Dr Mehta"/>
    <d v="2026-02-24T00:00:00"/>
    <s v="Valid"/>
    <b v="1"/>
    <b v="1"/>
    <d v="2026-01-27T00:00:00"/>
    <s v="+915207572497"/>
    <s v="915207572497"/>
    <s v="5207572497"/>
    <s v="Valid"/>
    <s v="sulekiara@yahoo.com"/>
    <s v="Y"/>
    <n v="3800.49"/>
    <s v="NO"/>
    <n v="396"/>
    <n v="396"/>
    <s v="M54"/>
  </r>
  <r>
    <s v="P2787"/>
    <s v="Ivan Mangal"/>
    <s v="Ivan Mangal"/>
    <x v="5"/>
    <n v="19"/>
    <n v="19"/>
    <s v="ENT"/>
    <s v="ENT"/>
    <s v="Dr Mehta"/>
    <s v="Dr Mehta"/>
    <d v="2026-05-10T00:00:00"/>
    <s v="Valid"/>
    <b v="1"/>
    <b v="1"/>
    <d v="2026-05-01T00:00:00"/>
    <s v="+915810300117"/>
    <s v="915810300117"/>
    <s v="5810300117"/>
    <s v="Valid"/>
    <s v="ddutt@hotmail.com"/>
    <s v="Yes"/>
    <n v="19353.03"/>
    <s v="Yes"/>
    <n v="391"/>
    <n v="391"/>
    <s v="A09"/>
  </r>
  <r>
    <s v="P2788"/>
    <s v="Zaina Sheth"/>
    <s v="Zaina Sheth"/>
    <x v="5"/>
    <n v="23"/>
    <n v="23"/>
    <s v="Pediatrics"/>
    <s v="Pediatrics"/>
    <s v="Dr Mehta"/>
    <s v="Dr Mehta"/>
    <d v="2026-03-18T00:00:00"/>
    <s v="Valid"/>
    <b v="1"/>
    <b v="1"/>
    <d v="2026-03-13T00:00:00"/>
    <s v="+919356153258"/>
    <s v="919356153258"/>
    <s v="9356153258"/>
    <s v="Valid"/>
    <s v="devanshaggarwal@gala.com"/>
    <s v="NO"/>
    <n v="7501.91"/>
    <s v="Y"/>
    <n v="497"/>
    <n v="497"/>
    <s v="M54"/>
  </r>
  <r>
    <s v="P2789"/>
    <s v="Kavya Chad"/>
    <s v="Kavya Chad"/>
    <x v="1"/>
    <n v="73"/>
    <n v="73"/>
    <s v="Cardiology"/>
    <s v="Cardiology"/>
    <s v="dr priya"/>
    <s v="Dr Priya"/>
    <d v="2026-03-31T00:00:00"/>
    <s v="Valid"/>
    <b v="1"/>
    <b v="1"/>
    <d v="2026-03-12T00:00:00"/>
    <s v="+911568334317"/>
    <s v="911568334317"/>
    <s v="1568334317"/>
    <s v="Valid"/>
    <s v="zwason@dada.info"/>
    <s v="Yes"/>
    <n v="24752.560000000001"/>
    <m/>
    <n v="179"/>
    <n v="179"/>
    <s v="M54"/>
  </r>
  <r>
    <s v="P2790"/>
    <s v="Nakul Mand"/>
    <s v="Nakul Mand"/>
    <x v="2"/>
    <n v="59"/>
    <n v="59"/>
    <s v="Dermatology"/>
    <s v="Dermatology"/>
    <s v="Dr Rao"/>
    <s v="Dr Rao"/>
    <d v="2026-03-01T00:00:00"/>
    <s v="Valid"/>
    <b v="1"/>
    <b v="1"/>
    <d v="2026-02-09T00:00:00"/>
    <s v="00232175642"/>
    <s v="00232175642"/>
    <s v="0232175642"/>
    <s v="Valid"/>
    <s v="tarachaudhry@yahoo.com"/>
    <m/>
    <n v="4513.08"/>
    <s v="N"/>
    <n v="258"/>
    <n v="258"/>
    <s v="A09"/>
  </r>
  <r>
    <s v="P2791"/>
    <s v="Vardaniya Jha"/>
    <s v="Vardaniya Jha"/>
    <x v="5"/>
    <n v="67"/>
    <n v="67"/>
    <s v="Pediatrics"/>
    <s v="Pediatrics"/>
    <s v="dr priya"/>
    <s v="Dr Priya"/>
    <d v="2026-04-05T00:00:00"/>
    <s v="Valid"/>
    <b v="1"/>
    <b v="1"/>
    <d v="2026-03-15T00:00:00"/>
    <s v="+910749956744"/>
    <s v="910749956744"/>
    <s v="0749956744"/>
    <s v="Valid"/>
    <s v="farhan01@mann-dhar.com"/>
    <s v="N"/>
    <n v="16324.7"/>
    <s v="Y"/>
    <n v="436"/>
    <n v="436"/>
    <s v="A09"/>
  </r>
  <r>
    <s v="P2792"/>
    <s v="Divit Varghese"/>
    <s v="Divit Varghese"/>
    <x v="0"/>
    <n v="37"/>
    <n v="37"/>
    <s v="Cardiology"/>
    <s v="Cardiology"/>
    <s v="dr priya"/>
    <s v="Dr Priya"/>
    <d v="2025-12-23T00:00:00"/>
    <s v="Valid"/>
    <b v="1"/>
    <b v="1"/>
    <d v="2025-11-23T00:00:00"/>
    <s v="05016373527"/>
    <s v="05016373527"/>
    <s v="5016373527"/>
    <s v="Valid"/>
    <s v="bumbtanya@dhar-bahl.com"/>
    <m/>
    <n v="22204.61"/>
    <s v="NO"/>
    <n v="172"/>
    <n v="172"/>
    <s v="C34"/>
  </r>
  <r>
    <s v="P2793"/>
    <s v="Stuvan Sunder"/>
    <s v="Stuvan Sunder"/>
    <x v="1"/>
    <n v="44"/>
    <n v="44"/>
    <s v="Cardiology"/>
    <s v="Cardiology"/>
    <s v="Dr Mehta"/>
    <s v="Dr Mehta"/>
    <d v="2025-12-23T00:00:00"/>
    <s v="Valid"/>
    <b v="1"/>
    <b v="1"/>
    <d v="2025-12-11T00:00:00"/>
    <s v="+918121179854"/>
    <s v="918121179854"/>
    <s v="8121179854"/>
    <s v="Valid"/>
    <s v="advikray@gmail.com"/>
    <s v="N"/>
    <n v="13703.61"/>
    <s v="Y"/>
    <n v="322"/>
    <n v="322"/>
    <s v="C34"/>
  </r>
  <r>
    <s v="P2794"/>
    <s v="Nitya Mand"/>
    <s v="Nitya Mand"/>
    <x v="0"/>
    <n v="12"/>
    <n v="12"/>
    <s v="Dermatology"/>
    <s v="Dermatology"/>
    <s v="dr priya"/>
    <s v="Dr Priya"/>
    <d v="2026-02-12T00:00:00"/>
    <s v="Valid"/>
    <b v="1"/>
    <b v="1"/>
    <d v="2026-02-01T00:00:00"/>
    <s v="+910914809599"/>
    <s v="910914809599"/>
    <s v="0914809599"/>
    <s v="Valid"/>
    <s v="baradsiya@lata.com"/>
    <m/>
    <n v="15832.75"/>
    <s v="N"/>
    <n v="107"/>
    <n v="107"/>
    <s v="A09"/>
  </r>
  <r>
    <s v="P2795"/>
    <s v="Veer Bhatti"/>
    <s v="Veer Bhatti"/>
    <x v="3"/>
    <n v="55"/>
    <n v="55"/>
    <s v="Neurology"/>
    <s v="Neurology"/>
    <s v="Dr Mehta"/>
    <s v="Dr Mehta"/>
    <d v="2026-05-06T00:00:00"/>
    <s v="Valid"/>
    <b v="1"/>
    <b v="1"/>
    <d v="2026-04-12T00:00:00"/>
    <s v="05725712749"/>
    <s v="05725712749"/>
    <s v="5725712749"/>
    <s v="Valid"/>
    <s v="kartik44@gmail.com"/>
    <s v="NO"/>
    <n v="20219.37"/>
    <s v="NO"/>
    <n v="392"/>
    <n v="392"/>
    <s v="J20"/>
  </r>
  <r>
    <s v="P2796"/>
    <s v="Arnav Bansal"/>
    <s v="Arnav Bansal"/>
    <x v="2"/>
    <n v="33"/>
    <n v="33"/>
    <s v="Pediatrics"/>
    <s v="Pediatrics"/>
    <s v="Dr. Sharma"/>
    <s v="Dr. Sharma"/>
    <d v="2026-01-11T00:00:00"/>
    <s v="Valid"/>
    <b v="1"/>
    <b v="1"/>
    <d v="2025-12-30T00:00:00"/>
    <s v="01881517601"/>
    <s v="01881517601"/>
    <s v="1881517601"/>
    <s v="Valid"/>
    <s v="indranilgoel@dugal-singhal.info"/>
    <s v="Yes"/>
    <n v="6166.9"/>
    <s v="Yes"/>
    <n v="535"/>
    <n v="535"/>
    <s v="A09"/>
  </r>
  <r>
    <s v="P2797"/>
    <s v="Advik Sathe"/>
    <s v="Advik Sathe"/>
    <x v="0"/>
    <n v="81"/>
    <n v="81"/>
    <s v="Cardiology"/>
    <s v="Cardiology"/>
    <s v="Dr Rao"/>
    <s v="Dr Rao"/>
    <d v="2026-05-21T00:00:00"/>
    <s v="Valid"/>
    <b v="1"/>
    <b v="1"/>
    <d v="2026-04-25T00:00:00"/>
    <s v="+912680862057"/>
    <s v="912680862057"/>
    <s v="2680862057"/>
    <s v="Valid"/>
    <s v="cwali@yahoo.com"/>
    <s v="Yes"/>
    <n v="12064.75"/>
    <s v="N"/>
    <n v="100"/>
    <n v="100"/>
    <s v="I10"/>
  </r>
  <r>
    <s v="P2798"/>
    <s v="Divyansh Sarraf"/>
    <s v="Divyansh Sarraf"/>
    <x v="1"/>
    <n v="77"/>
    <n v="77"/>
    <s v="Dermatology"/>
    <s v="Dermatology"/>
    <s v="dr priya"/>
    <s v="Dr Priya"/>
    <d v="2026-01-14T00:00:00"/>
    <s v="Valid"/>
    <b v="1"/>
    <b v="1"/>
    <d v="2026-01-12T00:00:00"/>
    <s v="+910222541894"/>
    <s v="910222541894"/>
    <s v="0222541894"/>
    <s v="Valid"/>
    <s v="mannankhushi@yahoo.com"/>
    <s v="Yes"/>
    <n v="3096.24"/>
    <m/>
    <n v="357"/>
    <n v="357"/>
    <s v="E11"/>
  </r>
  <r>
    <s v="P2799"/>
    <s v="Ehsaan Shukla"/>
    <s v="Ehsaan Shukla"/>
    <x v="2"/>
    <n v="11"/>
    <n v="11"/>
    <s v="Pediatrics"/>
    <s v="Pediatrics"/>
    <s v="dr priya"/>
    <s v="Dr Priya"/>
    <d v="2026-04-09T00:00:00"/>
    <s v="Valid"/>
    <b v="1"/>
    <b v="1"/>
    <d v="2026-03-14T00:00:00"/>
    <s v="08568548402"/>
    <s v="08568548402"/>
    <s v="8568548402"/>
    <s v="Valid"/>
    <s v="vkhosla@rajan.info"/>
    <s v="Yes"/>
    <n v="1388.32"/>
    <s v="NO"/>
    <n v="292"/>
    <n v="292"/>
    <s v="A09"/>
  </r>
  <r>
    <s v="P2800"/>
    <s v="  Advika Handa "/>
    <s v="Advika Handa"/>
    <x v="0"/>
    <n v="79"/>
    <n v="79"/>
    <s v="Oncology"/>
    <s v="Oncology"/>
    <s v="Dr Mehta"/>
    <s v="Dr Mehta"/>
    <d v="2026-04-14T00:00:00"/>
    <s v="Valid"/>
    <b v="1"/>
    <b v="1"/>
    <d v="2026-04-05T00:00:00"/>
    <s v="03330373440"/>
    <s v="03330373440"/>
    <s v="3330373440"/>
    <s v="Valid"/>
    <s v="chackoshalv@gmail.com"/>
    <s v="NO"/>
    <n v="21474.35"/>
    <s v="NO"/>
    <n v="127"/>
    <n v="127"/>
    <s v="M54"/>
  </r>
  <r>
    <s v="P2801"/>
    <s v="Jiya Yadav"/>
    <s v="Jiya Yadav"/>
    <x v="1"/>
    <n v="23"/>
    <n v="23"/>
    <s v="Pediatrics"/>
    <s v="Pediatrics"/>
    <s v="Dr Khan"/>
    <s v="Dr Khan"/>
    <d v="2025-12-24T00:00:00"/>
    <s v="Valid"/>
    <b v="1"/>
    <b v="1"/>
    <d v="2025-12-04T00:00:00"/>
    <s v="6703099421"/>
    <s v="6703099421"/>
    <s v="6703099421"/>
    <s v="Valid"/>
    <s v="lkhosla@yahoo.com"/>
    <m/>
    <n v="15749.05"/>
    <s v="Yes"/>
    <n v="473"/>
    <n v="473"/>
    <s v="J20"/>
  </r>
  <r>
    <s v="P2803"/>
    <s v="Mishti Dube"/>
    <s v="Mishti Dube"/>
    <x v="0"/>
    <n v="58"/>
    <n v="58"/>
    <s v="Orthopedics"/>
    <s v="Orthopedics"/>
    <s v="dr priya"/>
    <s v="Dr Priya"/>
    <d v="2026-01-08T00:00:00"/>
    <s v="Valid"/>
    <b v="1"/>
    <b v="1"/>
    <d v="2025-12-15T00:00:00"/>
    <s v="+911678021464"/>
    <s v="911678021464"/>
    <s v="1678021464"/>
    <s v="Valid"/>
    <s v="aayushbehl@yahoo.com"/>
    <m/>
    <n v="16850.560000000001"/>
    <s v="Y"/>
    <n v="276"/>
    <n v="276"/>
    <s v="I10"/>
  </r>
  <r>
    <s v="P2804"/>
    <s v="Oorja Thaker"/>
    <s v="Oorja Thaker"/>
    <x v="2"/>
    <n v="63"/>
    <n v="63"/>
    <s v="General Medicine"/>
    <s v="General Medicine"/>
    <s v="dr priya"/>
    <s v="Dr Priya"/>
    <d v="2026-02-15T00:00:00"/>
    <s v="Valid"/>
    <b v="1"/>
    <b v="1"/>
    <d v="2026-01-17T00:00:00"/>
    <s v="03231981487"/>
    <s v="03231981487"/>
    <s v="3231981487"/>
    <s v="Valid"/>
    <s v="senguptadrishya@magar.com"/>
    <s v="Yes"/>
    <n v="24553.16"/>
    <s v="NO"/>
    <n v="493"/>
    <n v="493"/>
    <s v="K21"/>
  </r>
  <r>
    <s v="P2805"/>
    <s v="Shayak Dalal"/>
    <s v="Shayak Dalal"/>
    <x v="0"/>
    <n v="3"/>
    <n v="3"/>
    <s v="Dermatology"/>
    <s v="Dermatology"/>
    <s v="Dr. Sharma"/>
    <s v="Dr. Sharma"/>
    <d v="2025-12-01T00:00:00"/>
    <s v="Valid"/>
    <b v="1"/>
    <b v="1"/>
    <d v="2025-11-29T00:00:00"/>
    <s v="5508354379"/>
    <s v="5508354379"/>
    <s v="5508354379"/>
    <s v="Valid"/>
    <s v="shenoyvanya@ahuja.com"/>
    <s v="NO"/>
    <n v="5121.29"/>
    <m/>
    <n v="218"/>
    <n v="218"/>
    <s v="I10"/>
  </r>
  <r>
    <s v="P2806"/>
    <s v="Pranay Gandhi"/>
    <s v="Pranay Gandhi"/>
    <x v="4"/>
    <n v="41"/>
    <n v="41"/>
    <s v="ENT"/>
    <s v="ENT"/>
    <s v="Dr Mehta"/>
    <s v="Dr Mehta"/>
    <d v="2026-01-07T00:00:00"/>
    <s v="Valid"/>
    <b v="1"/>
    <b v="1"/>
    <d v="2026-01-01T00:00:00"/>
    <s v="08979655633"/>
    <s v="08979655633"/>
    <s v="8979655633"/>
    <s v="Valid"/>
    <s v="rgill@yahoo.com"/>
    <s v="N"/>
    <n v="22912.32"/>
    <m/>
    <n v="155"/>
    <n v="155"/>
    <s v="M54"/>
  </r>
  <r>
    <s v="P2807"/>
    <s v="Parinaaz Walia"/>
    <s v="Parinaaz Walia"/>
    <x v="2"/>
    <n v="60"/>
    <n v="60"/>
    <s v="Cardiology"/>
    <s v="Cardiology"/>
    <s v="DR SHARMA"/>
    <s v="Dr Sharma"/>
    <d v="2026-04-12T00:00:00"/>
    <s v="Valid"/>
    <b v="1"/>
    <b v="1"/>
    <d v="2026-03-16T00:00:00"/>
    <s v="02807775232"/>
    <s v="02807775232"/>
    <s v="2807775232"/>
    <s v="Valid"/>
    <s v="rwadhwa@batta.net"/>
    <s v="Yes"/>
    <n v="17015.21"/>
    <s v="NO"/>
    <n v="408"/>
    <n v="408"/>
    <s v="E11"/>
  </r>
  <r>
    <s v="P2808"/>
    <s v="Adira Chakraborty"/>
    <s v="Adira Chakraborty"/>
    <x v="0"/>
    <n v="49"/>
    <n v="49"/>
    <s v="Neurology"/>
    <s v="Neurology"/>
    <s v="DR SHARMA"/>
    <s v="Dr Sharma"/>
    <d v="2026-04-14T00:00:00"/>
    <s v="Valid"/>
    <b v="1"/>
    <b v="1"/>
    <d v="2026-03-21T00:00:00"/>
    <s v="+918519870939"/>
    <s v="918519870939"/>
    <s v="8519870939"/>
    <s v="Valid"/>
    <s v="uguha@goswami-hegde.com"/>
    <m/>
    <n v="6101.73"/>
    <s v="NO"/>
    <n v="167"/>
    <n v="167"/>
    <s v="M54"/>
  </r>
  <r>
    <s v="P2809"/>
    <s v="Tiya Mammen"/>
    <s v="Tiya Mammen"/>
    <x v="3"/>
    <n v="70"/>
    <n v="70"/>
    <s v="ENT"/>
    <s v="ENT"/>
    <s v="dr priya"/>
    <s v="Dr Priya"/>
    <d v="2026-01-22T00:00:00"/>
    <s v="Valid"/>
    <b v="1"/>
    <b v="1"/>
    <d v="2026-01-19T00:00:00"/>
    <s v="+910330939665"/>
    <s v="910330939665"/>
    <s v="0330939665"/>
    <s v="Valid"/>
    <s v="suhana48@hotmail.com"/>
    <s v="NO"/>
    <n v="5612.69"/>
    <s v="NO"/>
    <n v="441"/>
    <n v="441"/>
    <s v="A09"/>
  </r>
  <r>
    <s v="P2810"/>
    <s v="Tarini Shankar"/>
    <s v="Tarini Shankar"/>
    <x v="0"/>
    <n v="40"/>
    <n v="40"/>
    <s v="Oncology"/>
    <s v="Oncology"/>
    <s v="Dr Rao"/>
    <s v="Dr Rao"/>
    <d v="2026-01-01T00:00:00"/>
    <s v="Valid"/>
    <b v="1"/>
    <b v="1"/>
    <d v="2025-12-09T00:00:00"/>
    <s v="02856066257"/>
    <s v="02856066257"/>
    <s v="2856066257"/>
    <s v="Valid"/>
    <s v="nupadhyay@gmail.com"/>
    <s v="Yes"/>
    <n v="21641.040000000001"/>
    <s v="NO"/>
    <n v="124"/>
    <n v="124"/>
    <s v="E11"/>
  </r>
  <r>
    <s v="P2811"/>
    <s v="Aarna Brahmbhatt"/>
    <s v="Aarna Brahmbhatt"/>
    <x v="1"/>
    <n v="38"/>
    <n v="38"/>
    <s v="Cardiology"/>
    <s v="Cardiology"/>
    <s v="Dr Mehta"/>
    <s v="Dr Mehta"/>
    <d v="2026-04-19T00:00:00"/>
    <s v="Valid"/>
    <b v="1"/>
    <b v="1"/>
    <d v="2026-04-06T00:00:00"/>
    <s v="9573995878"/>
    <s v="9573995878"/>
    <s v="9573995878"/>
    <s v="Valid"/>
    <s v="elakhare@dass-basak.com"/>
    <s v="Y"/>
    <n v="7262.06"/>
    <s v="Yes"/>
    <n v="221"/>
    <n v="221"/>
    <s v="M54"/>
  </r>
  <r>
    <s v="P2812"/>
    <s v="Mamooty Tripathi"/>
    <s v="Mamooty Tripathi"/>
    <x v="5"/>
    <n v="88"/>
    <n v="88"/>
    <s v="Oncology"/>
    <s v="Oncology"/>
    <s v="Dr Mehta"/>
    <s v="Dr Mehta"/>
    <d v="2026-04-17T00:00:00"/>
    <s v="Valid"/>
    <b v="1"/>
    <b v="1"/>
    <d v="2026-04-05T00:00:00"/>
    <s v="+913365561483"/>
    <s v="913365561483"/>
    <s v="3365561483"/>
    <s v="Valid"/>
    <s v="damini83@lal-bhasin.com"/>
    <m/>
    <n v="13447.71"/>
    <s v="Y"/>
    <n v="337"/>
    <n v="337"/>
    <s v="C34"/>
  </r>
  <r>
    <s v="P2813"/>
    <s v="Yakshit Goswami"/>
    <s v="Yakshit Goswami"/>
    <x v="3"/>
    <n v="86"/>
    <n v="86"/>
    <s v="Orthopedics"/>
    <s v="Orthopedics"/>
    <s v="Dr Mehta"/>
    <s v="Dr Mehta"/>
    <d v="2026-03-18T00:00:00"/>
    <s v="Valid"/>
    <b v="1"/>
    <b v="1"/>
    <d v="2026-03-16T00:00:00"/>
    <s v="+916451589757"/>
    <s v="916451589757"/>
    <s v="6451589757"/>
    <s v="Valid"/>
    <s v="shalvswaminathan@hotmail.com"/>
    <s v="Yes"/>
    <n v="20882.150000000001"/>
    <s v="NO"/>
    <n v="549"/>
    <n v="549"/>
    <s v="M54"/>
  </r>
  <r>
    <s v="P2814"/>
    <s v="Jiya Kar"/>
    <s v="Jiya Kar"/>
    <x v="4"/>
    <n v="14"/>
    <n v="14"/>
    <s v="Pediatrics"/>
    <s v="Pediatrics"/>
    <s v="Dr. Sharma"/>
    <s v="Dr. Sharma"/>
    <d v="2026-04-16T00:00:00"/>
    <s v="Valid"/>
    <b v="1"/>
    <b v="1"/>
    <d v="2026-03-31T00:00:00"/>
    <s v="03062530459"/>
    <s v="03062530459"/>
    <s v="3062530459"/>
    <s v="Valid"/>
    <s v="kairasur@kari.com"/>
    <m/>
    <n v="4456.17"/>
    <s v="NO"/>
    <n v="476"/>
    <n v="476"/>
    <s v="K21"/>
  </r>
  <r>
    <s v="P2815"/>
    <s v="Yasmin Vig"/>
    <s v="Yasmin Vig"/>
    <x v="3"/>
    <n v="88"/>
    <n v="88"/>
    <s v="General Medicine"/>
    <s v="General Medicine"/>
    <s v="DR SHARMA"/>
    <s v="Dr Sharma"/>
    <d v="2025-12-14T00:00:00"/>
    <s v="Valid"/>
    <b v="1"/>
    <b v="1"/>
    <d v="2025-11-20T00:00:00"/>
    <s v="+913886976844"/>
    <s v="913886976844"/>
    <s v="3886976844"/>
    <s v="Valid"/>
    <s v="kartikbalan@basak.com"/>
    <m/>
    <n v="21691.27"/>
    <s v="N"/>
    <n v="547"/>
    <n v="547"/>
    <s v="K21"/>
  </r>
  <r>
    <s v="P2816"/>
    <s v="Arnav Deo"/>
    <s v="Arnav Deo"/>
    <x v="5"/>
    <n v="15"/>
    <n v="15"/>
    <s v="Orthopedics"/>
    <s v="Orthopedics"/>
    <s v="dr priya"/>
    <s v="Dr Priya"/>
    <d v="2026-05-06T00:00:00"/>
    <s v="Valid"/>
    <b v="1"/>
    <b v="1"/>
    <d v="2026-04-23T00:00:00"/>
    <s v="+910238171700"/>
    <s v="910238171700"/>
    <s v="0238171700"/>
    <s v="Valid"/>
    <s v="sahil06@mani.info"/>
    <s v="Yes"/>
    <n v="8594.09"/>
    <m/>
    <n v="478"/>
    <n v="478"/>
    <s v="I10"/>
  </r>
  <r>
    <s v="P2817"/>
    <s v="Anahi Dixit"/>
    <s v="Anahi Dixit"/>
    <x v="3"/>
    <n v="90"/>
    <n v="90"/>
    <s v="Dermatology"/>
    <s v="Dermatology"/>
    <s v="dr priya"/>
    <s v="Dr Priya"/>
    <d v="2026-03-09T00:00:00"/>
    <s v="Valid"/>
    <b v="1"/>
    <b v="1"/>
    <d v="2026-02-16T00:00:00"/>
    <s v="06077906114"/>
    <s v="06077906114"/>
    <s v="6077906114"/>
    <s v="Valid"/>
    <s v="zkoshy@yahoo.com"/>
    <s v="NO"/>
    <n v="11448.63"/>
    <s v="Yes"/>
    <n v="306"/>
    <n v="306"/>
    <s v="K21"/>
  </r>
  <r>
    <s v="P2818"/>
    <s v="Vritika Sagar"/>
    <s v="Vritika Sagar"/>
    <x v="3"/>
    <n v="31"/>
    <n v="31"/>
    <s v="Dermatology"/>
    <s v="Dermatology"/>
    <s v="Dr Mehta"/>
    <s v="Dr Mehta"/>
    <d v="2026-04-03T00:00:00"/>
    <s v="Valid"/>
    <b v="1"/>
    <b v="1"/>
    <d v="2026-03-07T00:00:00"/>
    <s v="7945863100"/>
    <s v="7945863100"/>
    <s v="7945863100"/>
    <s v="Valid"/>
    <s v="dasguptaarmaan@agarwal.info"/>
    <s v="Yes"/>
    <n v="9254.14"/>
    <s v="Yes"/>
    <n v="292"/>
    <n v="292"/>
    <s v="A09"/>
  </r>
  <r>
    <s v="P2819"/>
    <s v="Keya Raval"/>
    <s v="Keya Raval"/>
    <x v="4"/>
    <n v="11"/>
    <n v="11"/>
    <s v="Orthopedics"/>
    <s v="Orthopedics"/>
    <s v="Dr Mehta"/>
    <s v="Dr Mehta"/>
    <d v="2026-03-04T00:00:00"/>
    <s v="Valid"/>
    <b v="1"/>
    <b v="1"/>
    <d v="2026-02-25T00:00:00"/>
    <s v="6529967762"/>
    <s v="6529967762"/>
    <s v="6529967762"/>
    <s v="Valid"/>
    <s v="dhanush28@talwar.com"/>
    <s v="N"/>
    <n v="8331.69"/>
    <s v="Y"/>
    <n v="144"/>
    <n v="144"/>
    <s v="M54"/>
  </r>
  <r>
    <s v="P2821"/>
    <s v="Oorja Dani"/>
    <s v="Oorja Dani"/>
    <x v="2"/>
    <n v="67"/>
    <n v="67"/>
    <s v="Orthopedics"/>
    <s v="Orthopedics"/>
    <s v="Dr Mehta"/>
    <s v="Dr Mehta"/>
    <d v="2026-05-06T00:00:00"/>
    <s v="Valid"/>
    <b v="1"/>
    <b v="1"/>
    <d v="2026-04-18T00:00:00"/>
    <s v="+911969740056"/>
    <s v="911969740056"/>
    <s v="1969740056"/>
    <s v="Valid"/>
    <s v="rsibal@chakrabarti-yadav.com"/>
    <s v="Yes"/>
    <n v="8319.34"/>
    <m/>
    <n v="333"/>
    <n v="333"/>
    <s v="K21"/>
  </r>
  <r>
    <s v="P2822"/>
    <s v="Bhavin Rattan"/>
    <s v="Bhavin Rattan"/>
    <x v="0"/>
    <n v="72"/>
    <n v="72"/>
    <s v="Oncology"/>
    <s v="Oncology"/>
    <s v="DR SHARMA"/>
    <s v="Dr Sharma"/>
    <d v="2026-04-13T00:00:00"/>
    <s v="Valid"/>
    <b v="1"/>
    <b v="1"/>
    <d v="2026-03-31T00:00:00"/>
    <s v="07185674405"/>
    <s v="07185674405"/>
    <s v="7185674405"/>
    <s v="Valid"/>
    <s v="miraansem@mall.com"/>
    <s v="Y"/>
    <n v="19627.060000000001"/>
    <s v="Yes"/>
    <n v="181"/>
    <n v="181"/>
    <s v="E11"/>
  </r>
  <r>
    <s v="P2823"/>
    <s v="Samaira Sibal"/>
    <s v="Samaira Sibal"/>
    <x v="0"/>
    <n v="43"/>
    <n v="43"/>
    <s v="Cardiology"/>
    <s v="Cardiology"/>
    <s v="DR SHARMA"/>
    <s v="Dr Sharma"/>
    <d v="2026-01-29T00:00:00"/>
    <s v="Valid"/>
    <b v="1"/>
    <b v="1"/>
    <d v="2026-01-08T00:00:00"/>
    <s v="8186916452"/>
    <s v="8186916452"/>
    <s v="8186916452"/>
    <s v="Valid"/>
    <s v="nishith56@bhatia.com"/>
    <m/>
    <n v="24380.23"/>
    <s v="Yes"/>
    <n v="359"/>
    <n v="359"/>
    <s v="J20"/>
  </r>
  <r>
    <s v="P2824"/>
    <s v="Tarini Tandon"/>
    <s v="Tarini Tandon"/>
    <x v="4"/>
    <n v="39"/>
    <n v="39"/>
    <s v="ENT"/>
    <s v="ENT"/>
    <s v="Dr Mehta"/>
    <s v="Dr Mehta"/>
    <d v="2025-12-10T00:00:00"/>
    <s v="Valid"/>
    <b v="1"/>
    <b v="1"/>
    <d v="2025-11-20T00:00:00"/>
    <s v="5510196297"/>
    <s v="5510196297"/>
    <s v="5510196297"/>
    <s v="Valid"/>
    <s v="cmane@yahoo.com"/>
    <s v="NO"/>
    <n v="7232.44"/>
    <m/>
    <n v="420"/>
    <n v="420"/>
    <s v="A09"/>
  </r>
  <r>
    <s v="P2825"/>
    <s v="Hazel Gill"/>
    <s v="Hazel Gill"/>
    <x v="3"/>
    <n v="5"/>
    <n v="5"/>
    <s v="General Medicine"/>
    <s v="General Medicine"/>
    <s v="Dr Mehta"/>
    <s v="Dr Mehta"/>
    <d v="2025-12-27T00:00:00"/>
    <s v="Valid"/>
    <b v="1"/>
    <b v="1"/>
    <d v="2025-12-16T00:00:00"/>
    <s v="+917988879033"/>
    <s v="917988879033"/>
    <s v="7988879033"/>
    <s v="Valid"/>
    <s v="srinivasanazad@kota.com"/>
    <s v="Yes"/>
    <n v="6034.97"/>
    <m/>
    <n v="329"/>
    <n v="329"/>
    <s v="M54"/>
  </r>
  <r>
    <s v="P2826"/>
    <s v="Neelofar Agrawal"/>
    <s v="Neelofar Agrawal"/>
    <x v="3"/>
    <n v="26"/>
    <n v="26"/>
    <s v="Orthopedics"/>
    <s v="Orthopedics"/>
    <s v="Dr Rao"/>
    <s v="Dr Rao"/>
    <d v="2025-12-23T00:00:00"/>
    <s v="Valid"/>
    <b v="1"/>
    <b v="1"/>
    <d v="2025-11-24T00:00:00"/>
    <s v="7013429237"/>
    <s v="7013429237"/>
    <s v="7013429237"/>
    <s v="Valid"/>
    <s v="ikeer@krishnan.biz"/>
    <m/>
    <n v="7017.52"/>
    <s v="NO"/>
    <n v="414"/>
    <n v="414"/>
    <s v="I10"/>
  </r>
  <r>
    <s v="P2827"/>
    <s v="Abram Kothari"/>
    <s v="Abram Kothari"/>
    <x v="3"/>
    <n v="64"/>
    <n v="64"/>
    <s v="General Medicine"/>
    <s v="General Medicine"/>
    <s v="dr priya"/>
    <s v="Dr Priya"/>
    <d v="2026-04-01T00:00:00"/>
    <s v="Valid"/>
    <b v="1"/>
    <b v="1"/>
    <d v="2026-03-15T00:00:00"/>
    <s v="3622016246"/>
    <s v="3622016246"/>
    <s v="3622016246"/>
    <s v="Valid"/>
    <s v="adah18@sur-bakshi.org"/>
    <s v="Yes"/>
    <n v="21454.19"/>
    <m/>
    <n v="358"/>
    <n v="358"/>
    <s v="M54"/>
  </r>
  <r>
    <s v="P2828"/>
    <s v="Dhanush Kanda"/>
    <s v="Dhanush Kanda"/>
    <x v="4"/>
    <n v="17"/>
    <n v="17"/>
    <s v="ENT"/>
    <s v="ENT"/>
    <s v="DR SHARMA"/>
    <s v="Dr Sharma"/>
    <d v="2026-01-09T00:00:00"/>
    <s v="Valid"/>
    <b v="1"/>
    <b v="1"/>
    <d v="2025-12-25T00:00:00"/>
    <s v="5726657839"/>
    <s v="5726657839"/>
    <s v="5726657839"/>
    <s v="Valid"/>
    <s v="ddada@gmail.com"/>
    <s v="Yes"/>
    <n v="19805.09"/>
    <s v="NO"/>
    <n v="448"/>
    <n v="448"/>
    <s v="A09"/>
  </r>
  <r>
    <s v="P2829"/>
    <s v="Diya Sinha"/>
    <s v="Diya Sinha"/>
    <x v="0"/>
    <n v="52"/>
    <n v="52"/>
    <s v="Orthopedics"/>
    <s v="Orthopedics"/>
    <s v="DR SHARMA"/>
    <s v="Dr Sharma"/>
    <d v="2025-12-04T00:00:00"/>
    <s v="Valid"/>
    <b v="1"/>
    <b v="1"/>
    <d v="2025-11-23T00:00:00"/>
    <s v="02800969320"/>
    <s v="02800969320"/>
    <s v="2800969320"/>
    <s v="Valid"/>
    <s v="zchhabra@yahoo.com"/>
    <s v="Yes"/>
    <n v="17448.439999999999"/>
    <s v="Yes"/>
    <n v="439"/>
    <n v="439"/>
    <s v="K21"/>
  </r>
  <r>
    <s v="P2830"/>
    <s v="Aarna Barman"/>
    <s v="Aarna Barman"/>
    <x v="2"/>
    <n v="50"/>
    <n v="50"/>
    <s v="Dermatology"/>
    <s v="Dermatology"/>
    <s v="dr priya"/>
    <s v="Dr Priya"/>
    <d v="2026-05-21T00:00:00"/>
    <s v="Valid"/>
    <b v="1"/>
    <b v="1"/>
    <d v="2026-04-30T00:00:00"/>
    <s v="00389930992"/>
    <s v="00389930992"/>
    <s v="0389930992"/>
    <s v="Valid"/>
    <s v="kartikbassi@apte.biz"/>
    <m/>
    <n v="14316"/>
    <s v="Yes"/>
    <n v="444"/>
    <n v="444"/>
    <s v="I10"/>
  </r>
  <r>
    <s v="P2831"/>
    <s v="Anahi Krishna"/>
    <s v="Anahi Krishna"/>
    <x v="4"/>
    <n v="36"/>
    <n v="36"/>
    <s v="Orthopedics"/>
    <s v="Orthopedics"/>
    <s v="dr priya"/>
    <s v="Dr Priya"/>
    <d v="2026-03-30T00:00:00"/>
    <s v="Valid"/>
    <b v="1"/>
    <b v="1"/>
    <d v="2026-03-03T00:00:00"/>
    <s v="03966420692"/>
    <s v="03966420692"/>
    <s v="3966420692"/>
    <s v="Valid"/>
    <s v="yuvaan17@bhakta.com"/>
    <s v="N"/>
    <n v="6854.4"/>
    <s v="Y"/>
    <n v="368"/>
    <n v="368"/>
    <s v="M54"/>
  </r>
  <r>
    <s v="P2832"/>
    <s v="Jiya Borah"/>
    <s v="Jiya Borah"/>
    <x v="3"/>
    <n v="76"/>
    <n v="76"/>
    <s v="Dermatology"/>
    <s v="Dermatology"/>
    <s v="DR SHARMA"/>
    <s v="Dr Sharma"/>
    <d v="2026-01-24T00:00:00"/>
    <s v="Valid"/>
    <b v="1"/>
    <b v="1"/>
    <d v="2026-01-20T00:00:00"/>
    <s v="+914207179850"/>
    <s v="914207179850"/>
    <s v="4207179850"/>
    <s v="Valid"/>
    <s v="xbumb@gmail.com"/>
    <s v="N"/>
    <n v="20696.419999999998"/>
    <s v="Yes"/>
    <n v="195"/>
    <n v="195"/>
    <s v="C34"/>
  </r>
  <r>
    <s v="P2833"/>
    <s v="Tejas Dhillon"/>
    <s v="Tejas Dhillon"/>
    <x v="5"/>
    <n v="82"/>
    <n v="82"/>
    <s v="Orthopedics"/>
    <s v="Orthopedics"/>
    <s v="Dr. Sharma"/>
    <s v="Dr. Sharma"/>
    <d v="2026-04-27T00:00:00"/>
    <s v="Valid"/>
    <b v="1"/>
    <b v="1"/>
    <d v="2026-04-02T00:00:00"/>
    <s v="9907584324"/>
    <s v="9907584324"/>
    <s v="9907584324"/>
    <s v="Valid"/>
    <s v="valaahana@gmail.com"/>
    <m/>
    <n v="20791.650000000001"/>
    <s v="N"/>
    <n v="543"/>
    <n v="543"/>
    <s v="E11"/>
  </r>
  <r>
    <s v="P2834"/>
    <s v="Kismat Kala"/>
    <s v="Kismat Kala"/>
    <x v="2"/>
    <n v="44"/>
    <n v="44"/>
    <s v="Dermatology"/>
    <s v="Dermatology"/>
    <s v="Dr Mehta"/>
    <s v="Dr Mehta"/>
    <d v="2026-05-09T00:00:00"/>
    <s v="Valid"/>
    <b v="1"/>
    <b v="1"/>
    <d v="2026-05-01T00:00:00"/>
    <s v="2928046915"/>
    <s v="2928046915"/>
    <s v="2928046915"/>
    <s v="Valid"/>
    <s v="surikashvi@saraf-vig.info"/>
    <s v="NO"/>
    <n v="17174.84"/>
    <s v="NO"/>
    <n v="195"/>
    <n v="195"/>
    <s v="A09"/>
  </r>
  <r>
    <s v="P2835"/>
    <s v="Nirvaan Saini"/>
    <s v="Nirvaan Saini"/>
    <x v="2"/>
    <n v="62"/>
    <n v="62"/>
    <s v="Orthopedics"/>
    <s v="Orthopedics"/>
    <s v="dr priya"/>
    <s v="Dr Priya"/>
    <d v="2025-12-05T00:00:00"/>
    <s v="Valid"/>
    <b v="1"/>
    <b v="1"/>
    <d v="2025-11-23T00:00:00"/>
    <s v="+911507951637"/>
    <s v="911507951637"/>
    <s v="1507951637"/>
    <s v="Valid"/>
    <s v="rania94@hotmail.com"/>
    <s v="Yes"/>
    <n v="24221.97"/>
    <s v="Y"/>
    <n v="306"/>
    <n v="306"/>
    <s v="A09"/>
  </r>
  <r>
    <s v="P2836"/>
    <s v="Ranbir Varty"/>
    <s v="Ranbir Varty"/>
    <x v="5"/>
    <n v="89"/>
    <n v="89"/>
    <s v="Pediatrics"/>
    <s v="Pediatrics"/>
    <s v="dr priya"/>
    <s v="Dr Priya"/>
    <d v="2026-04-25T00:00:00"/>
    <s v="Valid"/>
    <b v="1"/>
    <b v="1"/>
    <d v="2026-04-09T00:00:00"/>
    <s v="+913574781911"/>
    <s v="913574781911"/>
    <s v="3574781911"/>
    <s v="Valid"/>
    <s v="udeep@hotmail.com"/>
    <s v="N"/>
    <n v="2735.07"/>
    <s v="NO"/>
    <n v="386"/>
    <n v="386"/>
    <s v="C34"/>
  </r>
  <r>
    <s v="P2837"/>
    <s v="Shray Hayer"/>
    <s v="Shray Hayer"/>
    <x v="1"/>
    <n v="48"/>
    <n v="48"/>
    <s v="ENT"/>
    <s v="ENT"/>
    <s v="Dr Rao"/>
    <s v="Dr Rao"/>
    <d v="2025-12-24T00:00:00"/>
    <s v="Valid"/>
    <b v="1"/>
    <b v="1"/>
    <d v="2025-11-24T00:00:00"/>
    <s v="+911970011731"/>
    <s v="911970011731"/>
    <s v="1970011731"/>
    <s v="Valid"/>
    <s v="sanetanya@chatterjee.info"/>
    <m/>
    <n v="13069.59"/>
    <m/>
    <n v="535"/>
    <n v="535"/>
    <s v="A09"/>
  </r>
  <r>
    <s v="P2838"/>
    <s v="Arnav Ahluwalia"/>
    <s v="Arnav Ahluwalia"/>
    <x v="2"/>
    <n v="3"/>
    <n v="3"/>
    <s v="ENT"/>
    <s v="ENT"/>
    <s v="Dr Khan"/>
    <s v="Dr Khan"/>
    <d v="2025-12-20T00:00:00"/>
    <s v="Valid"/>
    <b v="1"/>
    <b v="1"/>
    <d v="2025-11-26T00:00:00"/>
    <s v="+911914688211"/>
    <s v="911914688211"/>
    <s v="1914688211"/>
    <s v="Valid"/>
    <s v="aaravdalal@shukla.com"/>
    <s v="Y"/>
    <n v="20656.580000000002"/>
    <s v="N"/>
    <n v="103"/>
    <n v="103"/>
    <s v="E11"/>
  </r>
  <r>
    <s v="P2839"/>
    <s v="Saanvi Rajagopal"/>
    <s v="Saanvi Rajagopal"/>
    <x v="0"/>
    <n v="81"/>
    <n v="81"/>
    <s v="Neurology"/>
    <s v="Neurology"/>
    <s v="Dr Mehta"/>
    <s v="Dr Mehta"/>
    <d v="2026-03-05T00:00:00"/>
    <s v="Valid"/>
    <b v="1"/>
    <b v="1"/>
    <d v="2026-02-04T00:00:00"/>
    <s v="06399375979"/>
    <s v="06399375979"/>
    <s v="6399375979"/>
    <s v="Valid"/>
    <s v="kotharikeya@saha.com"/>
    <s v="NO"/>
    <n v="22864.23"/>
    <m/>
    <n v="184"/>
    <n v="184"/>
    <s v="I10"/>
  </r>
  <r>
    <s v="P2840"/>
    <s v="Khushi Dara"/>
    <s v="Khushi Dara"/>
    <x v="5"/>
    <n v="67"/>
    <n v="67"/>
    <s v="ENT"/>
    <s v="ENT"/>
    <s v="DR SHARMA"/>
    <s v="Dr Sharma"/>
    <d v="2025-11-27T00:00:00"/>
    <s v="Valid"/>
    <b v="1"/>
    <b v="1"/>
    <d v="2025-11-19T00:00:00"/>
    <s v="+915632364869"/>
    <s v="915632364869"/>
    <s v="5632364869"/>
    <s v="Valid"/>
    <m/>
    <s v="Yes"/>
    <n v="2333.0500000000002"/>
    <s v="NO"/>
    <n v="207"/>
    <n v="207"/>
    <s v="M54"/>
  </r>
  <r>
    <s v="P2841"/>
    <s v="Jhanvi Bera"/>
    <s v="Jhanvi Bera"/>
    <x v="0"/>
    <n v="12"/>
    <n v="12"/>
    <s v="ENT"/>
    <s v="ENT"/>
    <s v="Dr. Sharma"/>
    <s v="Dr. Sharma"/>
    <d v="2026-02-08T00:00:00"/>
    <s v="Valid"/>
    <b v="1"/>
    <b v="1"/>
    <d v="2026-01-25T00:00:00"/>
    <s v="0208098283"/>
    <s v="0208098283"/>
    <s v="0208098283"/>
    <s v="Valid"/>
    <s v="edwinishita@dubey-wable.com"/>
    <s v="NO"/>
    <n v="8303.84"/>
    <s v="NO"/>
    <n v="203"/>
    <n v="203"/>
    <s v="I10"/>
  </r>
  <r>
    <s v="P2842"/>
    <s v="Nishith Saha"/>
    <s v="Nishith Saha"/>
    <x v="5"/>
    <n v="23"/>
    <n v="23"/>
    <s v="ENT"/>
    <s v="ENT"/>
    <s v="DR SHARMA"/>
    <s v="Dr Sharma"/>
    <d v="2026-04-14T00:00:00"/>
    <s v="Valid"/>
    <b v="1"/>
    <b v="1"/>
    <d v="2026-03-19T00:00:00"/>
    <s v="+911102182396"/>
    <s v="911102182396"/>
    <s v="1102182396"/>
    <s v="Valid"/>
    <s v="sahapihu@bhat.net"/>
    <m/>
    <n v="12001.22"/>
    <s v="NO"/>
    <n v="221"/>
    <n v="221"/>
    <s v="K21"/>
  </r>
  <r>
    <s v="P2844"/>
    <s v="Jiya Baria"/>
    <s v="Jiya Baria"/>
    <x v="2"/>
    <n v="37"/>
    <n v="37"/>
    <s v="Neurology"/>
    <s v="Neurology"/>
    <s v="Dr Rao"/>
    <s v="Dr Rao"/>
    <d v="2026-01-10T00:00:00"/>
    <s v="Valid"/>
    <b v="1"/>
    <b v="1"/>
    <d v="2025-12-17T00:00:00"/>
    <s v="+917986551418"/>
    <s v="917986551418"/>
    <s v="7986551418"/>
    <s v="Valid"/>
    <s v="ratikoshy@grover.com"/>
    <s v="N"/>
    <n v="4597.6499999999996"/>
    <m/>
    <n v="415"/>
    <n v="415"/>
    <s v="A09"/>
  </r>
  <r>
    <s v="P2845"/>
    <s v="Jhanvi Choudhary"/>
    <s v="Jhanvi Choudhary"/>
    <x v="2"/>
    <n v="90"/>
    <n v="90"/>
    <s v="General Medicine"/>
    <s v="General Medicine"/>
    <s v="Dr Rao"/>
    <s v="Dr Rao"/>
    <d v="2026-04-19T00:00:00"/>
    <s v="Valid"/>
    <b v="1"/>
    <b v="1"/>
    <d v="2026-03-31T00:00:00"/>
    <s v="00062569375"/>
    <s v="00062569375"/>
    <s v="0062569375"/>
    <s v="Valid"/>
    <s v="shlokbath@hotmail.com"/>
    <s v="Yes"/>
    <n v="18992.57"/>
    <s v="Yes"/>
    <n v="239"/>
    <n v="239"/>
    <s v="J20"/>
  </r>
  <r>
    <s v="P2846"/>
    <s v="Oorja Sethi"/>
    <s v="Oorja Sethi"/>
    <x v="4"/>
    <n v="31"/>
    <n v="31"/>
    <s v="ENT"/>
    <s v="ENT"/>
    <s v="dr priya"/>
    <s v="Dr Priya"/>
    <d v="2026-02-03T00:00:00"/>
    <s v="Valid"/>
    <b v="1"/>
    <b v="1"/>
    <d v="2026-01-29T00:00:00"/>
    <s v="+919442601687"/>
    <s v="919442601687"/>
    <s v="9442601687"/>
    <s v="Valid"/>
    <s v="ryan22@chada-bhakta.com"/>
    <s v="Yes"/>
    <n v="23392.31"/>
    <m/>
    <n v="313"/>
    <n v="313"/>
    <s v="I10"/>
  </r>
  <r>
    <s v="P2847"/>
    <s v="Fateh Deshpande"/>
    <s v="Fateh Deshpande"/>
    <x v="2"/>
    <n v="75"/>
    <n v="75"/>
    <s v="Dermatology"/>
    <s v="Dermatology"/>
    <s v="Dr Khan"/>
    <s v="Dr Khan"/>
    <d v="2025-12-27T00:00:00"/>
    <s v="Valid"/>
    <b v="1"/>
    <b v="1"/>
    <d v="2025-12-10T00:00:00"/>
    <s v="09328275875"/>
    <s v="09328275875"/>
    <s v="9328275875"/>
    <s v="Valid"/>
    <s v="dhanuk17@yahoo.com"/>
    <m/>
    <n v="7132.54"/>
    <s v="Y"/>
    <n v="170"/>
    <n v="170"/>
    <s v="M54"/>
  </r>
  <r>
    <s v="P2848"/>
    <s v="Indrajit Tailor"/>
    <s v="Indrajit Tailor"/>
    <x v="2"/>
    <n v="66"/>
    <n v="66"/>
    <s v="ENT"/>
    <s v="ENT"/>
    <s v="Dr. Sharma"/>
    <s v="Dr. Sharma"/>
    <d v="2026-03-08T00:00:00"/>
    <s v="Valid"/>
    <b v="1"/>
    <b v="1"/>
    <d v="2026-02-19T00:00:00"/>
    <s v="+918966100002"/>
    <s v="918966100002"/>
    <s v="8966100002"/>
    <s v="Valid"/>
    <s v="jhanvidhillon@sehgal-dalal.info"/>
    <s v="N"/>
    <n v="18375.62"/>
    <m/>
    <n v="286"/>
    <n v="286"/>
    <s v="K21"/>
  </r>
  <r>
    <s v="P2849"/>
    <s v="Divit Bhattacharyya"/>
    <s v="Divit Bhattacharyya"/>
    <x v="2"/>
    <n v="79"/>
    <n v="79"/>
    <s v="Oncology"/>
    <s v="Oncology"/>
    <s v="Dr Mehta"/>
    <s v="Dr Mehta"/>
    <d v="2026-04-11T00:00:00"/>
    <s v="Valid"/>
    <b v="1"/>
    <b v="1"/>
    <d v="2026-03-26T00:00:00"/>
    <s v="8561971514"/>
    <s v="8561971514"/>
    <s v="8561971514"/>
    <s v="Valid"/>
    <s v="abram68@arora.com"/>
    <s v="Yes"/>
    <n v="7752.63"/>
    <s v="NO"/>
    <n v="142"/>
    <n v="142"/>
    <s v="K21"/>
  </r>
  <r>
    <s v="P2850"/>
    <s v="Ranbir Basak"/>
    <s v="Ranbir Basak"/>
    <x v="1"/>
    <n v="43"/>
    <n v="43"/>
    <s v="Cardiology"/>
    <s v="Cardiology"/>
    <s v="Dr Mehta"/>
    <s v="Dr Mehta"/>
    <d v="2026-01-15T00:00:00"/>
    <s v="Valid"/>
    <b v="1"/>
    <b v="1"/>
    <d v="2025-12-17T00:00:00"/>
    <s v="+911839201141"/>
    <s v="911839201141"/>
    <s v="1839201141"/>
    <s v="Valid"/>
    <s v="devansh19@chaudhari.biz"/>
    <s v="Yes"/>
    <n v="22085.75"/>
    <s v="Yes"/>
    <n v="179"/>
    <n v="179"/>
    <s v="K21"/>
  </r>
  <r>
    <s v="P2851"/>
    <s v="Aarna Mall"/>
    <s v="Aarna Mall"/>
    <x v="0"/>
    <n v="48"/>
    <n v="48"/>
    <s v="Pediatrics"/>
    <s v="Pediatrics"/>
    <s v="DR SHARMA"/>
    <s v="Dr Sharma"/>
    <d v="2025-12-03T00:00:00"/>
    <s v="Valid"/>
    <b v="1"/>
    <b v="1"/>
    <d v="2025-12-01T00:00:00"/>
    <s v="9442017535"/>
    <s v="9442017535"/>
    <s v="9442017535"/>
    <s v="Valid"/>
    <s v="anaya87@ghosh-chacko.biz"/>
    <s v="NO"/>
    <n v="3451.97"/>
    <s v="NO"/>
    <n v="509"/>
    <n v="509"/>
    <s v="J20"/>
  </r>
  <r>
    <s v="P2852"/>
    <s v="Yasmin Soni"/>
    <s v="Yasmin Soni"/>
    <x v="2"/>
    <n v="9"/>
    <n v="9"/>
    <s v="Pediatrics"/>
    <s v="Pediatrics"/>
    <s v="Dr Rao"/>
    <s v="Dr Rao"/>
    <d v="2026-02-22T00:00:00"/>
    <s v="Valid"/>
    <b v="1"/>
    <b v="1"/>
    <d v="2026-02-12T00:00:00"/>
    <s v="6073206161"/>
    <s v="6073206161"/>
    <s v="6073206161"/>
    <s v="Valid"/>
    <s v="okunda@yahoo.com"/>
    <s v="N"/>
    <n v="12117.12"/>
    <s v="N"/>
    <n v="424"/>
    <n v="424"/>
    <s v="C34"/>
  </r>
  <r>
    <s v="P2853"/>
    <s v="Dharmajan Dani"/>
    <s v="Dharmajan Dani"/>
    <x v="1"/>
    <n v="72"/>
    <n v="72"/>
    <s v="Orthopedics"/>
    <s v="Orthopedics"/>
    <s v="Dr Mehta"/>
    <s v="Dr Mehta"/>
    <d v="2026-03-20T00:00:00"/>
    <s v="Valid"/>
    <b v="1"/>
    <b v="1"/>
    <d v="2026-03-11T00:00:00"/>
    <s v="8863741069"/>
    <s v="8863741069"/>
    <s v="8863741069"/>
    <s v="Valid"/>
    <s v="fdeshpande@gmail.com"/>
    <s v="Y"/>
    <n v="7252.2"/>
    <m/>
    <n v="297"/>
    <n v="297"/>
    <s v="A09"/>
  </r>
  <r>
    <s v="P2854"/>
    <s v="Romil Ben"/>
    <s v="Romil Ben"/>
    <x v="3"/>
    <n v="19"/>
    <n v="19"/>
    <s v="General Medicine"/>
    <s v="General Medicine"/>
    <s v="DR SHARMA"/>
    <s v="Dr Sharma"/>
    <d v="2026-01-27T00:00:00"/>
    <s v="Valid"/>
    <b v="1"/>
    <b v="1"/>
    <d v="2026-01-14T00:00:00"/>
    <s v="+914191985684"/>
    <s v="914191985684"/>
    <s v="4191985684"/>
    <s v="Valid"/>
    <s v="mamooty54@gill.org"/>
    <m/>
    <n v="22491.95"/>
    <m/>
    <n v="468"/>
    <n v="468"/>
    <s v="J20"/>
  </r>
  <r>
    <s v="P2855"/>
    <s v="Saanvi Vohra"/>
    <s v="Saanvi Vohra"/>
    <x v="1"/>
    <n v="20"/>
    <n v="20"/>
    <s v="Cardiology"/>
    <s v="Cardiology"/>
    <s v="Dr Mehta"/>
    <s v="Dr Mehta"/>
    <d v="2026-01-25T00:00:00"/>
    <s v="Valid"/>
    <b v="1"/>
    <b v="1"/>
    <d v="2026-01-14T00:00:00"/>
    <s v="06580159279"/>
    <s v="06580159279"/>
    <s v="6580159279"/>
    <s v="Valid"/>
    <s v="taran02@gmail.com"/>
    <s v="Yes"/>
    <n v="22997.18"/>
    <s v="Yes"/>
    <n v="207"/>
    <n v="207"/>
    <s v="I10"/>
  </r>
  <r>
    <s v="P2856"/>
    <s v="Fateh Shetty"/>
    <s v="Fateh Shetty"/>
    <x v="5"/>
    <n v="23"/>
    <n v="23"/>
    <s v="Neurology"/>
    <s v="Neurology"/>
    <s v="Dr Mehta"/>
    <s v="Dr Mehta"/>
    <d v="2025-12-29T00:00:00"/>
    <s v="Valid"/>
    <b v="1"/>
    <b v="1"/>
    <d v="2025-12-23T00:00:00"/>
    <s v="+914809276820"/>
    <s v="914809276820"/>
    <s v="4809276820"/>
    <s v="Valid"/>
    <s v="zeeshan77@gmail.com"/>
    <s v="NO"/>
    <n v="3332.13"/>
    <s v="Y"/>
    <n v="549"/>
    <n v="549"/>
    <s v="K21"/>
  </r>
  <r>
    <s v="P2857"/>
    <s v="Hiran Garg"/>
    <s v="Hiran Garg"/>
    <x v="0"/>
    <n v="81"/>
    <n v="81"/>
    <s v="Oncology"/>
    <s v="Oncology"/>
    <s v="Dr Mehta"/>
    <s v="Dr Mehta"/>
    <d v="2026-04-11T00:00:00"/>
    <s v="Valid"/>
    <b v="1"/>
    <b v="1"/>
    <d v="2026-04-10T00:00:00"/>
    <s v="+917390629952"/>
    <s v="917390629952"/>
    <s v="7390629952"/>
    <s v="Valid"/>
    <s v="dishanisaran@batta.com"/>
    <m/>
    <n v="18509.75"/>
    <s v="NO"/>
    <n v="366"/>
    <n v="366"/>
    <s v="E11"/>
  </r>
  <r>
    <s v="P2858"/>
    <s v="Faiyaz Yadav"/>
    <s v="Faiyaz Yadav"/>
    <x v="1"/>
    <n v="34"/>
    <n v="34"/>
    <s v="General Medicine"/>
    <s v="General Medicine"/>
    <s v="Dr Mehta"/>
    <s v="Dr Mehta"/>
    <d v="2026-03-12T00:00:00"/>
    <s v="Valid"/>
    <b v="1"/>
    <b v="1"/>
    <d v="2026-03-06T00:00:00"/>
    <s v="07737289198"/>
    <s v="07737289198"/>
    <s v="7737289198"/>
    <s v="Valid"/>
    <s v="sdixit@sarraf-lalla.org"/>
    <m/>
    <n v="8756.18"/>
    <s v="Y"/>
    <n v="492"/>
    <n v="492"/>
    <s v="M54"/>
  </r>
  <r>
    <s v="P2859"/>
    <s v="Suhana Wable"/>
    <s v="Suhana Wable"/>
    <x v="1"/>
    <n v="67"/>
    <n v="67"/>
    <s v="Neurology"/>
    <s v="Neurology"/>
    <s v="Dr Khan"/>
    <s v="Dr Khan"/>
    <d v="2025-12-08T00:00:00"/>
    <s v="Valid"/>
    <b v="1"/>
    <b v="1"/>
    <d v="2025-12-03T00:00:00"/>
    <s v="05277370164"/>
    <s v="05277370164"/>
    <s v="5277370164"/>
    <s v="Valid"/>
    <s v="sdeshmukh@hotmail.com"/>
    <s v="Yes"/>
    <n v="22516.32"/>
    <m/>
    <n v="337"/>
    <n v="337"/>
    <s v="J20"/>
  </r>
  <r>
    <s v="P2861"/>
    <s v="Elakshi Bassi"/>
    <s v="Elakshi Bassi"/>
    <x v="2"/>
    <n v="66"/>
    <n v="66"/>
    <s v="General Medicine"/>
    <s v="General Medicine"/>
    <s v="dr priya"/>
    <s v="Dr Priya"/>
    <d v="2026-04-21T00:00:00"/>
    <s v="Valid"/>
    <b v="1"/>
    <b v="1"/>
    <d v="2026-03-24T00:00:00"/>
    <s v="3757821873"/>
    <s v="3757821873"/>
    <s v="3757821873"/>
    <s v="Valid"/>
    <s v="chandraarhaan@gmail.com"/>
    <s v="NO"/>
    <n v="18293"/>
    <m/>
    <n v="127"/>
    <n v="127"/>
    <s v="A09"/>
  </r>
  <r>
    <s v="P2862"/>
    <s v="Dhruv Kapur"/>
    <s v="Dhruv Kapur"/>
    <x v="4"/>
    <n v="57"/>
    <n v="57"/>
    <s v="Neurology"/>
    <s v="Neurology"/>
    <s v="Dr Khan"/>
    <s v="Dr Khan"/>
    <d v="2026-01-26T00:00:00"/>
    <s v="Valid"/>
    <b v="1"/>
    <b v="1"/>
    <d v="2026-01-21T00:00:00"/>
    <s v="+918212110499"/>
    <s v="918212110499"/>
    <s v="8212110499"/>
    <s v="Valid"/>
    <s v="sdatta@manda.biz"/>
    <s v="NO"/>
    <n v="11537.74"/>
    <s v="N"/>
    <n v="201"/>
    <n v="201"/>
    <s v="M54"/>
  </r>
  <r>
    <s v="P2863"/>
    <s v="Aarav Karan"/>
    <s v="Aarav Karan"/>
    <x v="5"/>
    <n v="73"/>
    <n v="73"/>
    <s v="Orthopedics"/>
    <s v="Orthopedics"/>
    <s v="Dr Rao"/>
    <s v="Dr Rao"/>
    <d v="2026-01-19T00:00:00"/>
    <s v="Valid"/>
    <b v="1"/>
    <b v="1"/>
    <d v="2026-01-09T00:00:00"/>
    <s v="08180589914"/>
    <s v="08180589914"/>
    <s v="8180589914"/>
    <s v="Valid"/>
    <s v="darshitbrar@kant-goel.com"/>
    <s v="Yes"/>
    <n v="4479.09"/>
    <s v="N"/>
    <n v="479"/>
    <n v="479"/>
    <s v="M54"/>
  </r>
  <r>
    <s v="P2864"/>
    <s v="Aarush Srinivas"/>
    <s v="Aarush Srinivas"/>
    <x v="4"/>
    <n v="13"/>
    <n v="13"/>
    <s v="Dermatology"/>
    <s v="Dermatology"/>
    <s v="dr priya"/>
    <s v="Dr Priya"/>
    <d v="2026-05-05T00:00:00"/>
    <s v="Valid"/>
    <b v="1"/>
    <b v="1"/>
    <d v="2026-04-14T00:00:00"/>
    <s v="00332182996"/>
    <s v="00332182996"/>
    <s v="0332182996"/>
    <s v="Valid"/>
    <s v="tsubramaniam@vala.net"/>
    <s v="NO"/>
    <n v="16080.87"/>
    <s v="N"/>
    <n v="383"/>
    <n v="383"/>
    <s v="A09"/>
  </r>
  <r>
    <s v="P2865"/>
    <s v="Riya Manda"/>
    <s v="Riya Manda"/>
    <x v="4"/>
    <n v="31"/>
    <n v="31"/>
    <s v="Orthopedics"/>
    <s v="Orthopedics"/>
    <s v="dr priya"/>
    <s v="Dr Priya"/>
    <d v="2026-04-23T00:00:00"/>
    <s v="Valid"/>
    <b v="1"/>
    <b v="1"/>
    <d v="2026-04-03T00:00:00"/>
    <s v="+917138635533"/>
    <s v="917138635533"/>
    <s v="7138635533"/>
    <s v="Valid"/>
    <s v="divitchowdhury@gmail.com"/>
    <s v="N"/>
    <n v="17621.259999999998"/>
    <s v="N"/>
    <n v="504"/>
    <n v="504"/>
    <s v="A09"/>
  </r>
  <r>
    <s v="P2866"/>
    <s v="Prerak Mani"/>
    <s v="Prerak Mani"/>
    <x v="5"/>
    <n v="41"/>
    <n v="41"/>
    <s v="Oncology"/>
    <s v="Oncology"/>
    <s v="Dr. Sharma"/>
    <s v="Dr. Sharma"/>
    <d v="2026-05-10T00:00:00"/>
    <s v="Valid"/>
    <b v="1"/>
    <b v="1"/>
    <d v="2026-04-27T00:00:00"/>
    <s v="+913726580732"/>
    <s v="913726580732"/>
    <s v="3726580732"/>
    <s v="Valid"/>
    <s v="qyadav@yahoo.com"/>
    <s v="NO"/>
    <n v="12329.76"/>
    <m/>
    <n v="477"/>
    <n v="477"/>
    <s v="C34"/>
  </r>
  <r>
    <s v="P2867"/>
    <s v="Shanaya Saini"/>
    <s v="Shanaya Saini"/>
    <x v="3"/>
    <n v="29"/>
    <n v="29"/>
    <s v="Orthopedics"/>
    <s v="Orthopedics"/>
    <s v="dr priya"/>
    <s v="Dr Priya"/>
    <d v="2026-01-16T00:00:00"/>
    <s v="Valid"/>
    <b v="1"/>
    <b v="1"/>
    <d v="2026-01-07T00:00:00"/>
    <s v="+918176621680"/>
    <s v="918176621680"/>
    <s v="8176621680"/>
    <s v="Valid"/>
    <s v="ahana-86@venkataraman.com"/>
    <s v="NO"/>
    <n v="23559.08"/>
    <s v="NO"/>
    <n v="233"/>
    <n v="233"/>
    <s v="K21"/>
  </r>
  <r>
    <s v="P2868"/>
    <s v="Sara Madan"/>
    <s v="Sara Madan"/>
    <x v="0"/>
    <n v="74"/>
    <n v="74"/>
    <s v="General Medicine"/>
    <s v="General Medicine"/>
    <s v="Dr Mehta"/>
    <s v="Dr Mehta"/>
    <d v="2026-03-19T00:00:00"/>
    <s v="Valid"/>
    <b v="1"/>
    <b v="1"/>
    <d v="2026-03-14T00:00:00"/>
    <s v="4841536811"/>
    <s v="4841536811"/>
    <s v="4841536811"/>
    <s v="Valid"/>
    <s v="dasguptaalia@divan-iyengar.com"/>
    <m/>
    <n v="15169.46"/>
    <m/>
    <n v="101"/>
    <n v="101"/>
    <s v="E11"/>
  </r>
  <r>
    <s v="P2869"/>
    <s v="Baiju Venkataraman"/>
    <s v="Baiju Venkataraman"/>
    <x v="4"/>
    <n v="57"/>
    <n v="57"/>
    <s v="Neurology"/>
    <s v="Neurology"/>
    <s v="Dr Mehta"/>
    <s v="Dr Mehta"/>
    <d v="2026-02-04T00:00:00"/>
    <s v="Valid"/>
    <b v="1"/>
    <b v="1"/>
    <d v="2026-02-03T00:00:00"/>
    <s v="+914480728908"/>
    <s v="914480728908"/>
    <s v="4480728908"/>
    <s v="Valid"/>
    <s v="pkaul@hari.com"/>
    <s v="N"/>
    <n v="6312.94"/>
    <m/>
    <n v="488"/>
    <n v="488"/>
    <s v="A09"/>
  </r>
  <r>
    <s v="P2871"/>
    <s v="Divit Krishnamurthy"/>
    <s v="Divit Krishnamurthy"/>
    <x v="0"/>
    <n v="87"/>
    <n v="87"/>
    <s v="Neurology"/>
    <s v="Neurology"/>
    <s v="Dr Mehta"/>
    <s v="Dr Mehta"/>
    <d v="2026-05-18T00:00:00"/>
    <s v="Valid"/>
    <b v="1"/>
    <b v="1"/>
    <d v="2026-04-23T00:00:00"/>
    <s v="07180580759"/>
    <s v="07180580759"/>
    <s v="7180580759"/>
    <s v="Valid"/>
    <s v="rameshsaksham@krishna.info"/>
    <s v="N"/>
    <n v="10048.870000000001"/>
    <s v="Yes"/>
    <n v="380"/>
    <n v="380"/>
    <s v="E11"/>
  </r>
  <r>
    <s v="P2872"/>
    <s v="Bhamini Majumdar"/>
    <s v="Bhamini Majumdar"/>
    <x v="4"/>
    <n v="5"/>
    <n v="5"/>
    <s v="Cardiology"/>
    <s v="Cardiology"/>
    <s v="Dr. Sharma"/>
    <s v="Dr. Sharma"/>
    <d v="2026-05-17T00:00:00"/>
    <s v="Valid"/>
    <b v="1"/>
    <b v="1"/>
    <d v="2026-04-23T00:00:00"/>
    <s v="6874295426"/>
    <s v="6874295426"/>
    <s v="6874295426"/>
    <s v="Valid"/>
    <s v="lakshit89@yahoo.com"/>
    <m/>
    <n v="15243.18"/>
    <m/>
    <n v="365"/>
    <n v="365"/>
    <s v="A09"/>
  </r>
  <r>
    <s v="P2873"/>
    <s v="Eshani Kumar"/>
    <s v="Eshani Kumar"/>
    <x v="3"/>
    <n v="45"/>
    <n v="45"/>
    <s v="Pediatrics"/>
    <s v="Pediatrics"/>
    <s v="dr priya"/>
    <s v="Dr Priya"/>
    <d v="2026-02-16T00:00:00"/>
    <s v="Valid"/>
    <b v="1"/>
    <b v="1"/>
    <d v="2026-01-26T00:00:00"/>
    <s v="9096812120"/>
    <s v="9096812120"/>
    <s v="9096812120"/>
    <s v="Valid"/>
    <s v="ddass@sehgal.com"/>
    <s v="N"/>
    <n v="4779.47"/>
    <m/>
    <n v="131"/>
    <n v="131"/>
    <s v="K21"/>
  </r>
  <r>
    <s v="P2874"/>
    <s v="Dharmajan Kata"/>
    <s v="Dharmajan Kata"/>
    <x v="0"/>
    <n v="26"/>
    <n v="26"/>
    <s v="Cardiology"/>
    <s v="Cardiology"/>
    <s v="Dr. Sharma"/>
    <s v="Dr. Sharma"/>
    <d v="2025-12-07T00:00:00"/>
    <s v="Valid"/>
    <b v="1"/>
    <b v="1"/>
    <d v="2025-11-28T00:00:00"/>
    <s v="+910332626440"/>
    <s v="910332626440"/>
    <s v="0332626440"/>
    <s v="Valid"/>
    <s v="vmane@sahni-taneja.com"/>
    <s v="NO"/>
    <n v="23079.11"/>
    <s v="NO"/>
    <n v="517"/>
    <n v="517"/>
    <s v="A09"/>
  </r>
  <r>
    <s v="P2875"/>
    <s v="Aniruddh Bhagat"/>
    <s v="Aniruddh Bhagat"/>
    <x v="2"/>
    <n v="15"/>
    <n v="15"/>
    <s v="General Medicine"/>
    <s v="General Medicine"/>
    <s v="Dr Mehta"/>
    <s v="Dr Mehta"/>
    <d v="2026-02-21T00:00:00"/>
    <s v="Valid"/>
    <b v="1"/>
    <b v="1"/>
    <d v="2026-02-10T00:00:00"/>
    <s v="3636721934"/>
    <s v="3636721934"/>
    <s v="3636721934"/>
    <s v="Valid"/>
    <s v="ayeshasachdev@gmail.com"/>
    <s v="Yes"/>
    <n v="23861.54"/>
    <s v="NO"/>
    <n v="111"/>
    <n v="111"/>
    <s v="K21"/>
  </r>
  <r>
    <s v="P2876"/>
    <s v="Ira Khosla"/>
    <s v="Ira Khosla"/>
    <x v="4"/>
    <n v="83"/>
    <n v="83"/>
    <s v="Orthopedics"/>
    <s v="Orthopedics"/>
    <s v="dr priya"/>
    <s v="Dr Priya"/>
    <d v="2026-05-27T00:00:00"/>
    <s v="Valid"/>
    <b v="1"/>
    <b v="1"/>
    <d v="2026-05-06T00:00:00"/>
    <s v="+912100969046"/>
    <s v="912100969046"/>
    <s v="2100969046"/>
    <s v="Valid"/>
    <s v="vanya68@yahoo.com"/>
    <s v="Yes"/>
    <n v="2493.38"/>
    <s v="N"/>
    <n v="344"/>
    <n v="344"/>
    <s v="J20"/>
  </r>
  <r>
    <s v="P2877"/>
    <s v="Vivaan Chauhan"/>
    <s v="Vivaan Chauhan"/>
    <x v="5"/>
    <n v="8"/>
    <n v="8"/>
    <s v="Pediatrics"/>
    <s v="Pediatrics"/>
    <s v="Dr Rao"/>
    <s v="Dr Rao"/>
    <d v="2026-02-11T00:00:00"/>
    <s v="Valid"/>
    <b v="1"/>
    <b v="1"/>
    <d v="2026-01-24T00:00:00"/>
    <s v="+910766494046"/>
    <s v="910766494046"/>
    <s v="0766494046"/>
    <s v="Valid"/>
    <s v="pihu72@hotmail.com"/>
    <m/>
    <n v="24806.03"/>
    <s v="NO"/>
    <n v="207"/>
    <n v="207"/>
    <s v="C34"/>
  </r>
  <r>
    <s v="P2878"/>
    <s v="Advika Kata"/>
    <s v="Advika Kata"/>
    <x v="3"/>
    <n v="12"/>
    <n v="12"/>
    <s v="Neurology"/>
    <s v="Neurology"/>
    <s v="Dr Mehta"/>
    <s v="Dr Mehta"/>
    <d v="2026-02-22T00:00:00"/>
    <s v="Valid"/>
    <b v="1"/>
    <b v="1"/>
    <d v="2026-02-10T00:00:00"/>
    <s v="07522667043"/>
    <s v="07522667043"/>
    <s v="7522667043"/>
    <s v="Valid"/>
    <s v="ranbirchaudry@hotmail.com"/>
    <s v="Yes"/>
    <n v="15905.61"/>
    <s v="Y"/>
    <n v="159"/>
    <n v="159"/>
    <s v="E11"/>
  </r>
  <r>
    <s v="P2879"/>
    <s v="Vritika Ravel"/>
    <s v="Vritika Ravel"/>
    <x v="4"/>
    <n v="16"/>
    <n v="16"/>
    <s v="General Medicine"/>
    <s v="General Medicine"/>
    <s v="dr priya"/>
    <s v="Dr Priya"/>
    <d v="2026-01-13T00:00:00"/>
    <s v="Valid"/>
    <b v="1"/>
    <b v="1"/>
    <d v="2025-12-30T00:00:00"/>
    <s v="00786429675"/>
    <s v="00786429675"/>
    <s v="0786429675"/>
    <s v="Valid"/>
    <s v="nayantara59@bhattacharyya-goda.biz"/>
    <s v="Yes"/>
    <n v="1526.89"/>
    <s v="NO"/>
    <n v="159"/>
    <n v="159"/>
    <s v="I10"/>
  </r>
  <r>
    <s v="P2880"/>
    <s v="Adira Saha"/>
    <s v="Adira Saha"/>
    <x v="1"/>
    <n v="52"/>
    <n v="52"/>
    <s v="Neurology"/>
    <s v="Neurology"/>
    <s v="Dr Mehta"/>
    <s v="Dr Mehta"/>
    <d v="2026-03-04T00:00:00"/>
    <s v="Valid"/>
    <b v="1"/>
    <b v="1"/>
    <d v="2026-02-03T00:00:00"/>
    <s v="7348610054"/>
    <s v="7348610054"/>
    <s v="7348610054"/>
    <s v="Valid"/>
    <s v="esama@gmail.com"/>
    <s v="Yes"/>
    <n v="1237.9100000000001"/>
    <s v="Yes"/>
    <n v="328"/>
    <n v="328"/>
    <s v="E11"/>
  </r>
  <r>
    <s v="P2881"/>
    <s v="Piya Sachdeva"/>
    <s v="Piya Sachdeva"/>
    <x v="2"/>
    <n v="85"/>
    <n v="85"/>
    <s v="General Medicine"/>
    <s v="General Medicine"/>
    <s v="DR SHARMA"/>
    <s v="Dr Sharma"/>
    <d v="2025-11-28T00:00:00"/>
    <s v="Valid"/>
    <b v="1"/>
    <b v="1"/>
    <d v="2025-11-22T00:00:00"/>
    <s v="8406267785"/>
    <s v="8406267785"/>
    <s v="8406267785"/>
    <s v="Valid"/>
    <s v="mandtaimur@kalita.com"/>
    <s v="NO"/>
    <n v="1118.17"/>
    <s v="N"/>
    <n v="320"/>
    <n v="320"/>
    <s v="M54"/>
  </r>
  <r>
    <s v="P2882"/>
    <s v="Shlok Buch"/>
    <s v="Shlok Buch"/>
    <x v="2"/>
    <n v="27"/>
    <n v="27"/>
    <s v="Cardiology"/>
    <s v="Cardiology"/>
    <s v="Dr Mehta"/>
    <s v="Dr Mehta"/>
    <d v="2026-03-07T00:00:00"/>
    <s v="Valid"/>
    <b v="1"/>
    <b v="1"/>
    <d v="2026-02-21T00:00:00"/>
    <s v="0156302880"/>
    <s v="0156302880"/>
    <s v="0156302880"/>
    <s v="Valid"/>
    <s v="prishakar@yahoo.com"/>
    <s v="Y"/>
    <n v="19460.89"/>
    <s v="NO"/>
    <n v="176"/>
    <n v="176"/>
    <s v="K21"/>
  </r>
  <r>
    <s v="P2883"/>
    <s v="Nishith Lad"/>
    <s v="Nishith Lad"/>
    <x v="0"/>
    <n v="23"/>
    <n v="23"/>
    <s v="Neurology"/>
    <s v="Neurology"/>
    <s v="Dr Mehta"/>
    <s v="Dr Mehta"/>
    <d v="2025-12-28T00:00:00"/>
    <s v="Valid"/>
    <b v="1"/>
    <b v="1"/>
    <d v="2025-12-19T00:00:00"/>
    <s v="+916785841496"/>
    <s v="916785841496"/>
    <s v="6785841496"/>
    <s v="Valid"/>
    <s v="shanaya56@yahoo.com"/>
    <s v="Yes"/>
    <n v="19787.96"/>
    <m/>
    <n v="420"/>
    <n v="420"/>
    <s v="A09"/>
  </r>
  <r>
    <s v="P2884"/>
    <s v="Lakshay Sodhi"/>
    <s v="Lakshay Sodhi"/>
    <x v="4"/>
    <n v="44"/>
    <n v="44"/>
    <s v="Cardiology"/>
    <s v="Cardiology"/>
    <s v="dr priya"/>
    <s v="Dr Priya"/>
    <d v="2026-02-08T00:00:00"/>
    <s v="Valid"/>
    <b v="1"/>
    <b v="1"/>
    <d v="2026-02-04T00:00:00"/>
    <s v="05257606656"/>
    <s v="05257606656"/>
    <s v="5257606656"/>
    <s v="Valid"/>
    <s v="jayant40@hotmail.com"/>
    <s v="Yes"/>
    <n v="14988.82"/>
    <m/>
    <n v="165"/>
    <n v="165"/>
    <s v="I10"/>
  </r>
  <r>
    <s v="P2885"/>
    <s v="Kartik Ramakrishnan"/>
    <s v="Kartik Ramakrishnan"/>
    <x v="5"/>
    <n v="90"/>
    <n v="90"/>
    <s v="ENT"/>
    <s v="ENT"/>
    <s v="dr priya"/>
    <s v="Dr Priya"/>
    <d v="2026-02-22T00:00:00"/>
    <s v="Valid"/>
    <b v="1"/>
    <b v="1"/>
    <d v="2026-01-30T00:00:00"/>
    <s v="12345"/>
    <s v="12345"/>
    <s v="12345"/>
    <s v="Valid"/>
    <s v="dugalojas@gmail.com"/>
    <m/>
    <n v="21023.22"/>
    <s v="NO"/>
    <n v="514"/>
    <n v="514"/>
    <s v="C34"/>
  </r>
  <r>
    <s v="P2886"/>
    <s v="Mehul Bawa"/>
    <s v="Mehul Bawa"/>
    <x v="0"/>
    <n v="28"/>
    <n v="28"/>
    <s v="ENT"/>
    <s v="ENT"/>
    <s v="Dr Mehta"/>
    <s v="Dr Mehta"/>
    <d v="2026-03-01T00:00:00"/>
    <s v="Valid"/>
    <b v="1"/>
    <b v="1"/>
    <d v="2026-02-05T00:00:00"/>
    <s v="+910403050477"/>
    <s v="910403050477"/>
    <s v="0403050477"/>
    <s v="Valid"/>
    <s v="akarsh79@yahoo.com"/>
    <m/>
    <n v="20622.64"/>
    <s v="NO"/>
    <n v="217"/>
    <n v="217"/>
    <s v="M54"/>
  </r>
  <r>
    <s v="P2887"/>
    <s v="Tara Dass"/>
    <s v="Tara Dass"/>
    <x v="2"/>
    <n v="19"/>
    <n v="19"/>
    <s v="Oncology"/>
    <s v="Oncology"/>
    <s v="DR SHARMA"/>
    <s v="Dr Sharma"/>
    <d v="2026-04-06T00:00:00"/>
    <s v="Valid"/>
    <b v="1"/>
    <b v="1"/>
    <d v="2026-03-24T00:00:00"/>
    <s v="+919611523878"/>
    <s v="919611523878"/>
    <s v="9611523878"/>
    <s v="Valid"/>
    <s v="emir89@sachdev-cherian.com"/>
    <s v="N"/>
    <n v="13832.44"/>
    <s v="NO"/>
    <n v="298"/>
    <n v="298"/>
    <s v="J20"/>
  </r>
  <r>
    <s v="P2888"/>
    <s v="Advik Gara"/>
    <s v="Advik Gara"/>
    <x v="4"/>
    <n v="28"/>
    <n v="28"/>
    <s v="Cardiology"/>
    <s v="Cardiology"/>
    <s v="Dr. Sharma"/>
    <s v="Dr. Sharma"/>
    <d v="2026-05-22T00:00:00"/>
    <s v="Valid"/>
    <b v="1"/>
    <b v="1"/>
    <d v="2026-04-22T00:00:00"/>
    <s v="9806689644"/>
    <s v="9806689644"/>
    <s v="9806689644"/>
    <s v="Valid"/>
    <s v="adhillon@bhatt.biz"/>
    <s v="NO"/>
    <n v="22224.94"/>
    <s v="Y"/>
    <n v="113"/>
    <n v="113"/>
    <s v="E11"/>
  </r>
  <r>
    <s v="P2889"/>
    <s v="Zaina Bhavsar"/>
    <s v="Zaina Bhavsar"/>
    <x v="3"/>
    <n v="7"/>
    <n v="7"/>
    <s v="Dermatology"/>
    <s v="Dermatology"/>
    <s v="Dr Mehta"/>
    <s v="Dr Mehta"/>
    <d v="2026-02-21T00:00:00"/>
    <s v="Valid"/>
    <b v="1"/>
    <b v="1"/>
    <d v="2026-02-10T00:00:00"/>
    <s v="04844223202"/>
    <s v="04844223202"/>
    <s v="4844223202"/>
    <s v="Valid"/>
    <s v="rbassi@yahoo.com"/>
    <s v="Yes"/>
    <n v="12086.9"/>
    <m/>
    <n v="242"/>
    <n v="242"/>
    <s v="I10"/>
  </r>
  <r>
    <s v="P2890"/>
    <s v="  Nakul Chaudhari "/>
    <s v="Nakul Chaudhari"/>
    <x v="4"/>
    <n v="77"/>
    <n v="77"/>
    <s v="Cardiology"/>
    <s v="Cardiology"/>
    <s v="Dr Khan"/>
    <s v="Dr Khan"/>
    <d v="2025-12-11T00:00:00"/>
    <s v="Valid"/>
    <b v="1"/>
    <b v="1"/>
    <d v="2025-11-18T00:00:00"/>
    <s v="+914490437073"/>
    <s v="914490437073"/>
    <s v="4490437073"/>
    <s v="Valid"/>
    <s v="gsachdeva@hotmail.com"/>
    <s v="NO"/>
    <s v="twenty thousand"/>
    <s v="Yes"/>
    <n v="311"/>
    <n v="311"/>
    <s v="E11"/>
  </r>
  <r>
    <s v="P2891"/>
    <s v="Bhavin Suresh"/>
    <s v="Bhavin Suresh"/>
    <x v="4"/>
    <n v="17"/>
    <n v="17"/>
    <s v="Oncology"/>
    <s v="Oncology"/>
    <s v="Dr Mehta"/>
    <s v="Dr Mehta"/>
    <d v="2026-01-07T00:00:00"/>
    <s v="Valid"/>
    <b v="1"/>
    <b v="1"/>
    <d v="2025-12-28T00:00:00"/>
    <s v="3007472307"/>
    <s v="3007472307"/>
    <s v="3007472307"/>
    <s v="Valid"/>
    <s v="tandoneva@kala-jaggi.com"/>
    <s v="N"/>
    <n v="6674.33"/>
    <s v="Y"/>
    <n v="523"/>
    <n v="523"/>
    <s v="C34"/>
  </r>
  <r>
    <s v="P2892"/>
    <s v="Ivana Bajaj"/>
    <s v="Ivana Bajaj"/>
    <x v="0"/>
    <n v="29"/>
    <n v="29"/>
    <s v="Oncology"/>
    <s v="Oncology"/>
    <s v="Dr Rao"/>
    <s v="Dr Rao"/>
    <d v="2026-01-05T00:00:00"/>
    <s v="Valid"/>
    <b v="1"/>
    <b v="1"/>
    <d v="2025-12-29T00:00:00"/>
    <s v="+913509122468"/>
    <s v="913509122468"/>
    <s v="3509122468"/>
    <s v="Valid"/>
    <s v="saxenamahika@hegde.com"/>
    <s v="Yes"/>
    <n v="3292.43"/>
    <s v="NO"/>
    <n v="307"/>
    <n v="307"/>
    <s v="M54"/>
  </r>
  <r>
    <s v="P2893"/>
    <s v="Diya Gopal"/>
    <s v="Diya Gopal"/>
    <x v="3"/>
    <n v="48"/>
    <n v="48"/>
    <s v="Dermatology"/>
    <s v="Dermatology"/>
    <s v="Dr. Sharma"/>
    <s v="Dr. Sharma"/>
    <d v="2026-01-03T00:00:00"/>
    <s v="Valid"/>
    <b v="1"/>
    <b v="1"/>
    <d v="2025-12-15T00:00:00"/>
    <s v="+918244305251"/>
    <s v="918244305251"/>
    <s v="8244305251"/>
    <s v="Valid"/>
    <s v="chahaldhanush@sahota-srivastava.com"/>
    <s v="NO"/>
    <n v="9398.02"/>
    <s v="NO"/>
    <n v="290"/>
    <n v="290"/>
    <s v="J20"/>
  </r>
  <r>
    <s v="P2894"/>
    <s v="Ryan Varty"/>
    <s v="Ryan Varty"/>
    <x v="1"/>
    <n v="23"/>
    <n v="23"/>
    <s v="Pediatrics"/>
    <s v="Pediatrics"/>
    <s v="Dr. Sharma"/>
    <s v="Dr. Sharma"/>
    <d v="2025-12-15T00:00:00"/>
    <s v="Valid"/>
    <b v="1"/>
    <b v="1"/>
    <d v="2025-11-30T00:00:00"/>
    <s v="3955441703"/>
    <s v="3955441703"/>
    <s v="3955441703"/>
    <s v="Valid"/>
    <s v="vanand@saini.info"/>
    <s v="NO"/>
    <n v="3594.11"/>
    <s v="Yes"/>
    <n v="336"/>
    <n v="336"/>
    <s v="M54"/>
  </r>
  <r>
    <s v="P2895"/>
    <s v="Rasha Trivedi"/>
    <s v="Rasha Trivedi"/>
    <x v="0"/>
    <n v="15"/>
    <n v="15"/>
    <s v="Cardiology"/>
    <s v="Cardiology"/>
    <s v="Dr Rao"/>
    <s v="Dr Rao"/>
    <d v="2026-05-05T00:00:00"/>
    <s v="Valid"/>
    <b v="1"/>
    <b v="1"/>
    <d v="2026-04-11T00:00:00"/>
    <s v="5985700906"/>
    <s v="5985700906"/>
    <s v="5985700906"/>
    <s v="Valid"/>
    <s v="ldeshmukh@khosla.info"/>
    <s v="NO"/>
    <n v="19972.02"/>
    <s v="NO"/>
    <n v="119"/>
    <n v="119"/>
    <s v="E11"/>
  </r>
  <r>
    <s v="P2896"/>
    <s v="Kanav Bhardwaj"/>
    <s v="Kanav Bhardwaj"/>
    <x v="0"/>
    <n v="53"/>
    <n v="53"/>
    <s v="Pediatrics"/>
    <s v="Pediatrics"/>
    <s v="Dr Mehta"/>
    <s v="Dr Mehta"/>
    <d v="2026-02-21T00:00:00"/>
    <s v="Valid"/>
    <b v="1"/>
    <b v="1"/>
    <d v="2026-02-07T00:00:00"/>
    <s v="08439781715"/>
    <s v="08439781715"/>
    <s v="8439781715"/>
    <s v="Valid"/>
    <s v="tara64@yahoo.com"/>
    <m/>
    <n v="7049.02"/>
    <s v="NO"/>
    <n v="350"/>
    <n v="350"/>
    <s v="E11"/>
  </r>
  <r>
    <s v="P2897"/>
    <s v="Parinaaz Chaudhary"/>
    <s v="Parinaaz Chaudhary"/>
    <x v="1"/>
    <n v="67"/>
    <n v="67"/>
    <s v="Cardiology"/>
    <s v="Cardiology"/>
    <s v="Dr Rao"/>
    <s v="Dr Rao"/>
    <d v="2026-01-31T00:00:00"/>
    <s v="Valid"/>
    <b v="1"/>
    <b v="1"/>
    <d v="2026-01-15T00:00:00"/>
    <s v="01624761166"/>
    <s v="01624761166"/>
    <s v="1624761166"/>
    <s v="Valid"/>
    <s v="anaytandon@hotmail.com"/>
    <s v="NO"/>
    <n v="20345.939999999999"/>
    <s v="NO"/>
    <n v="329"/>
    <n v="329"/>
    <s v="I10"/>
  </r>
  <r>
    <s v="P2898"/>
    <s v="Lakshit Sarma"/>
    <s v="Lakshit Sarma"/>
    <x v="4"/>
    <n v="76"/>
    <n v="76"/>
    <s v="Cardiology"/>
    <s v="Cardiology"/>
    <s v="Dr Mehta"/>
    <s v="Dr Mehta"/>
    <d v="2025-12-20T00:00:00"/>
    <s v="Valid"/>
    <b v="1"/>
    <b v="1"/>
    <d v="2025-12-10T00:00:00"/>
    <s v="9117006826"/>
    <s v="9117006826"/>
    <s v="9117006826"/>
    <s v="Valid"/>
    <s v="tailorumang@keer.com"/>
    <s v="Yes"/>
    <n v="11693.69"/>
    <s v="N"/>
    <n v="360"/>
    <n v="360"/>
    <s v="I10"/>
  </r>
  <r>
    <s v="P2899"/>
    <s v="Rohan Shroff"/>
    <s v="Rohan Shroff"/>
    <x v="1"/>
    <n v="58"/>
    <n v="58"/>
    <s v="Neurology"/>
    <s v="Neurology"/>
    <s v="DR SHARMA"/>
    <s v="Dr Sharma"/>
    <d v="2026-04-18T00:00:00"/>
    <s v="Valid"/>
    <b v="1"/>
    <b v="1"/>
    <d v="2026-04-17T00:00:00"/>
    <s v="1056739054"/>
    <s v="1056739054"/>
    <s v="1056739054"/>
    <s v="Valid"/>
    <s v="aradhya82@khanna.net"/>
    <m/>
    <n v="17873.009999999998"/>
    <s v="NO"/>
    <n v="140"/>
    <n v="140"/>
    <s v="I10"/>
  </r>
  <r>
    <s v="P2900"/>
    <s v="Divij Kunda"/>
    <s v="Divij Kunda"/>
    <x v="0"/>
    <n v="47"/>
    <n v="47"/>
    <s v="Oncology"/>
    <s v="Oncology"/>
    <s v="Dr Khan"/>
    <s v="Dr Khan"/>
    <d v="2026-02-23T00:00:00"/>
    <s v="Valid"/>
    <b v="1"/>
    <b v="1"/>
    <d v="2026-02-14T00:00:00"/>
    <s v="6397607564"/>
    <s v="6397607564"/>
    <s v="6397607564"/>
    <s v="Valid"/>
    <s v="miraan11@hotmail.com"/>
    <s v="NO"/>
    <n v="20065.46"/>
    <s v="Y"/>
    <n v="158"/>
    <n v="158"/>
    <s v="C34"/>
  </r>
  <r>
    <s v="P2901"/>
    <s v="Ela Varughese"/>
    <s v="Ela Varughese"/>
    <x v="5"/>
    <n v="4"/>
    <n v="4"/>
    <s v="Cardiology"/>
    <s v="Cardiology"/>
    <s v="dr priya"/>
    <s v="Dr Priya"/>
    <d v="2026-02-14T00:00:00"/>
    <s v="Valid"/>
    <b v="1"/>
    <b v="1"/>
    <d v="2026-02-09T00:00:00"/>
    <s v="2372398265"/>
    <s v="2372398265"/>
    <s v="2372398265"/>
    <s v="Valid"/>
    <s v="keya99@gmail.com"/>
    <s v="N"/>
    <n v="13385.95"/>
    <s v="NO"/>
    <n v="328"/>
    <n v="328"/>
    <s v="M54"/>
  </r>
  <r>
    <s v="P2903"/>
    <s v="Shayak Soni"/>
    <s v="Shayak Soni"/>
    <x v="5"/>
    <n v="78"/>
    <n v="78"/>
    <s v="Dermatology"/>
    <s v="Dermatology"/>
    <s v="Dr Mehta"/>
    <s v="Dr Mehta"/>
    <d v="2026-02-08T00:00:00"/>
    <s v="Valid"/>
    <b v="1"/>
    <b v="1"/>
    <d v="2026-01-13T00:00:00"/>
    <s v="7750018115"/>
    <s v="7750018115"/>
    <s v="7750018115"/>
    <s v="Valid"/>
    <s v="drishya58@butala.biz"/>
    <m/>
    <n v="23064.84"/>
    <m/>
    <n v="301"/>
    <n v="301"/>
    <s v="M54"/>
  </r>
  <r>
    <s v="P2904"/>
    <s v="Kabir Lad"/>
    <s v="Kabir Lad"/>
    <x v="4"/>
    <n v="11"/>
    <n v="11"/>
    <s v="ENT"/>
    <s v="ENT"/>
    <s v="Dr Mehta"/>
    <s v="Dr Mehta"/>
    <d v="2026-04-06T00:00:00"/>
    <s v="Valid"/>
    <b v="1"/>
    <b v="1"/>
    <d v="2026-03-21T00:00:00"/>
    <s v="03706838682"/>
    <s v="03706838682"/>
    <s v="3706838682"/>
    <s v="Valid"/>
    <s v="ramakrishnanuthkarsh@yahoo.com"/>
    <s v="NO"/>
    <n v="20801.189999999999"/>
    <m/>
    <n v="109"/>
    <n v="109"/>
    <s v="I10"/>
  </r>
  <r>
    <s v="P2905"/>
    <s v="Myra Sanghvi"/>
    <s v="Myra Sanghvi"/>
    <x v="0"/>
    <n v="35"/>
    <n v="35"/>
    <s v="Dermatology"/>
    <s v="Dermatology"/>
    <s v="dr priya"/>
    <s v="Dr Priya"/>
    <d v="2025-12-24T00:00:00"/>
    <s v="Valid"/>
    <b v="1"/>
    <b v="1"/>
    <d v="2025-12-11T00:00:00"/>
    <s v="3703662198"/>
    <s v="3703662198"/>
    <s v="3703662198"/>
    <s v="Valid"/>
    <s v="esachdev@sidhu.com"/>
    <s v="NO"/>
    <n v="7902.91"/>
    <s v="NO"/>
    <n v="420"/>
    <n v="420"/>
    <s v="A09"/>
  </r>
  <r>
    <s v="P2906"/>
    <s v="Saanvi Andra"/>
    <s v="Saanvi Andra"/>
    <x v="0"/>
    <n v="9"/>
    <n v="9"/>
    <s v="Neurology"/>
    <s v="Neurology"/>
    <s v="Dr Rao"/>
    <s v="Dr Rao"/>
    <d v="2026-01-31T00:00:00"/>
    <s v="Valid"/>
    <b v="1"/>
    <b v="1"/>
    <d v="2026-01-17T00:00:00"/>
    <s v="06125438383"/>
    <s v="06125438383"/>
    <s v="6125438383"/>
    <s v="Valid"/>
    <s v="advik51@hotmail.com"/>
    <m/>
    <n v="16730.11"/>
    <s v="NO"/>
    <n v="229"/>
    <n v="229"/>
    <s v="I10"/>
  </r>
  <r>
    <s v="P2907"/>
    <s v="Miraya Rajagopal"/>
    <s v="Miraya Rajagopal"/>
    <x v="0"/>
    <n v="84"/>
    <n v="84"/>
    <s v="Oncology"/>
    <s v="Oncology"/>
    <s v="DR SHARMA"/>
    <s v="Dr Sharma"/>
    <d v="2025-12-14T00:00:00"/>
    <s v="Valid"/>
    <b v="1"/>
    <b v="1"/>
    <d v="2025-11-27T00:00:00"/>
    <s v="0493138981"/>
    <s v="0493138981"/>
    <s v="0493138981"/>
    <s v="Valid"/>
    <s v="rsubramanian@gmail.com"/>
    <s v="NO"/>
    <n v="20549.580000000002"/>
    <s v="Yes"/>
    <n v="393"/>
    <n v="393"/>
    <s v="I10"/>
  </r>
  <r>
    <s v="P2908"/>
    <s v="Nirvi Bir"/>
    <s v="Nirvi Bir"/>
    <x v="2"/>
    <n v="32"/>
    <n v="32"/>
    <s v="Neurology"/>
    <s v="Neurology"/>
    <s v="dr priya"/>
    <s v="Dr Priya"/>
    <d v="2026-01-10T00:00:00"/>
    <s v="Valid"/>
    <b v="1"/>
    <b v="1"/>
    <d v="2025-12-16T00:00:00"/>
    <s v="06363637757"/>
    <s v="06363637757"/>
    <s v="6363637757"/>
    <s v="Valid"/>
    <s v="jmann@grover.com"/>
    <s v="Yes"/>
    <n v="1248.96"/>
    <s v="Yes"/>
    <n v="513"/>
    <n v="513"/>
    <s v="A09"/>
  </r>
  <r>
    <s v="P2909"/>
    <s v="Kanav Vohra"/>
    <s v="Kanav Vohra"/>
    <x v="0"/>
    <n v="83"/>
    <n v="83"/>
    <s v="General Medicine"/>
    <s v="General Medicine"/>
    <s v="dr priya"/>
    <s v="Dr Priya"/>
    <d v="2026-03-01T00:00:00"/>
    <s v="Valid"/>
    <b v="1"/>
    <b v="1"/>
    <d v="2026-02-04T00:00:00"/>
    <s v="2384218047"/>
    <s v="2384218047"/>
    <s v="2384218047"/>
    <s v="Valid"/>
    <s v="oorjasarma@rajan.org"/>
    <m/>
    <n v="16044.26"/>
    <s v="NO"/>
    <n v="201"/>
    <n v="201"/>
    <s v="M54"/>
  </r>
  <r>
    <s v="P2910"/>
    <s v="Pihu Mander"/>
    <s v="Pihu Mander"/>
    <x v="3"/>
    <n v="88"/>
    <n v="88"/>
    <s v="Neurology"/>
    <s v="Neurology"/>
    <s v="dr priya"/>
    <s v="Dr Priya"/>
    <d v="2026-01-14T00:00:00"/>
    <s v="Valid"/>
    <b v="1"/>
    <b v="1"/>
    <d v="2026-01-02T00:00:00"/>
    <s v="09865129062"/>
    <s v="09865129062"/>
    <s v="9865129062"/>
    <s v="Valid"/>
    <s v="samiha50@gmail.com"/>
    <s v="Y"/>
    <n v="2730.97"/>
    <m/>
    <n v="150"/>
    <n v="150"/>
    <s v="E11"/>
  </r>
  <r>
    <s v="P2911"/>
    <s v="Krish Kothari"/>
    <s v="Krish Kothari"/>
    <x v="5"/>
    <n v="63"/>
    <n v="63"/>
    <s v="Oncology"/>
    <s v="Oncology"/>
    <s v="Dr Rao"/>
    <s v="Dr Rao"/>
    <d v="2026-01-04T00:00:00"/>
    <s v="Valid"/>
    <b v="1"/>
    <b v="1"/>
    <d v="2025-12-20T00:00:00"/>
    <s v="+913038407891"/>
    <s v="913038407891"/>
    <s v="3038407891"/>
    <s v="Valid"/>
    <s v="xraju@uppal.com"/>
    <m/>
    <n v="14361.24"/>
    <s v="N"/>
    <n v="219"/>
    <n v="219"/>
    <s v="K21"/>
  </r>
  <r>
    <s v="P2912"/>
    <s v="Veer Lala"/>
    <s v="Veer Lala"/>
    <x v="4"/>
    <n v="42"/>
    <n v="42"/>
    <s v="Dermatology"/>
    <s v="Dermatology"/>
    <s v="Dr Mehta"/>
    <s v="Dr Mehta"/>
    <d v="2026-04-01T00:00:00"/>
    <s v="Valid"/>
    <b v="1"/>
    <b v="1"/>
    <d v="2026-03-26T00:00:00"/>
    <s v="+919769004774"/>
    <s v="919769004774"/>
    <s v="9769004774"/>
    <s v="Valid"/>
    <s v="subramaniamvedika@sidhu.com"/>
    <s v="Y"/>
    <n v="14655.03"/>
    <s v="NO"/>
    <n v="412"/>
    <n v="412"/>
    <s v="M54"/>
  </r>
  <r>
    <s v="P2913"/>
    <s v="Manjari Sama"/>
    <s v="Manjari Sama"/>
    <x v="0"/>
    <n v="9"/>
    <n v="9"/>
    <s v="Oncology"/>
    <s v="Oncology"/>
    <s v="Dr Mehta"/>
    <s v="Dr Mehta"/>
    <d v="2025-12-27T00:00:00"/>
    <s v="Valid"/>
    <b v="1"/>
    <b v="1"/>
    <d v="2025-11-29T00:00:00"/>
    <s v="0741836392"/>
    <s v="0741836392"/>
    <s v="0741836392"/>
    <s v="Valid"/>
    <s v="tiyagill@gmail.com"/>
    <m/>
    <n v="21233.41"/>
    <s v="Y"/>
    <n v="113"/>
    <n v="113"/>
    <s v="E11"/>
  </r>
  <r>
    <s v="P2914"/>
    <s v="Indrajit Lalla"/>
    <s v="Indrajit Lalla"/>
    <x v="3"/>
    <n v="7"/>
    <n v="7"/>
    <s v="General Medicine"/>
    <s v="General Medicine"/>
    <s v="Dr Mehta"/>
    <s v="Dr Mehta"/>
    <d v="2026-04-03T00:00:00"/>
    <s v="Valid"/>
    <b v="1"/>
    <b v="1"/>
    <d v="2026-03-31T00:00:00"/>
    <s v="05878920517"/>
    <s v="05878920517"/>
    <s v="5878920517"/>
    <s v="Valid"/>
    <s v="bhallalavanya@yahoo.com"/>
    <s v="NO"/>
    <n v="10386.4"/>
    <s v="Y"/>
    <n v="438"/>
    <n v="438"/>
    <s v="C34"/>
  </r>
  <r>
    <s v="P2915"/>
    <s v="Ivan Sabharwal"/>
    <s v="Ivan Sabharwal"/>
    <x v="0"/>
    <n v="81"/>
    <n v="81"/>
    <s v="Oncology"/>
    <s v="Oncology"/>
    <s v="Dr Mehta"/>
    <s v="Dr Mehta"/>
    <d v="2026-01-06T00:00:00"/>
    <s v="Valid"/>
    <b v="1"/>
    <b v="1"/>
    <d v="2025-12-10T00:00:00"/>
    <s v="6149696834"/>
    <s v="6149696834"/>
    <s v="6149696834"/>
    <s v="Valid"/>
    <s v="ganesharnav@dey.com"/>
    <s v="NO"/>
    <n v="6033.23"/>
    <m/>
    <n v="175"/>
    <n v="175"/>
    <s v="I10"/>
  </r>
  <r>
    <s v="P2916"/>
    <s v="Elakshi Venkatesh"/>
    <s v="Elakshi Venkatesh"/>
    <x v="2"/>
    <n v="57"/>
    <n v="57"/>
    <s v="Cardiology"/>
    <s v="Cardiology"/>
    <s v="Dr. Sharma"/>
    <s v="Dr. Sharma"/>
    <d v="2026-04-23T00:00:00"/>
    <s v="Valid"/>
    <b v="1"/>
    <b v="1"/>
    <d v="2026-03-25T00:00:00"/>
    <s v="09542572837"/>
    <s v="09542572837"/>
    <s v="9542572837"/>
    <s v="Valid"/>
    <s v="dixitpranay@khalsa-dugar.com"/>
    <s v="Yes"/>
    <n v="20419.91"/>
    <s v="NO"/>
    <n v="379"/>
    <n v="379"/>
    <s v="M54"/>
  </r>
  <r>
    <s v="P2917"/>
    <s v="Myra Dasgupta"/>
    <s v="Myra Dasgupta"/>
    <x v="0"/>
    <n v="39"/>
    <n v="39"/>
    <s v="Orthopedics"/>
    <s v="Orthopedics"/>
    <s v="Dr Mehta"/>
    <s v="Dr Mehta"/>
    <d v="2025-12-22T00:00:00"/>
    <s v="Valid"/>
    <b v="1"/>
    <b v="1"/>
    <d v="2025-11-28T00:00:00"/>
    <s v="+910130386970"/>
    <s v="910130386970"/>
    <s v="0130386970"/>
    <s v="Valid"/>
    <s v="advikvenkatesh@khare-buch.net"/>
    <s v="NO"/>
    <n v="11392.03"/>
    <s v="NO"/>
    <n v="367"/>
    <n v="367"/>
    <s v="A09"/>
  </r>
  <r>
    <s v="P2918"/>
    <s v="Advik Bhatt"/>
    <s v="Advik Bhatt"/>
    <x v="5"/>
    <n v="74"/>
    <n v="74"/>
    <s v="General Medicine"/>
    <s v="General Medicine"/>
    <s v="dr priya"/>
    <s v="Dr Priya"/>
    <d v="2026-04-29T00:00:00"/>
    <s v="Valid"/>
    <b v="1"/>
    <b v="1"/>
    <d v="2026-04-15T00:00:00"/>
    <s v="3356447100"/>
    <s v="3356447100"/>
    <s v="3356447100"/>
    <s v="Valid"/>
    <s v="nirvikalla@yahoo.com"/>
    <s v="Yes"/>
    <n v="13569.67"/>
    <s v="Yes"/>
    <n v="515"/>
    <n v="515"/>
    <s v="I10"/>
  </r>
  <r>
    <s v="P2919"/>
    <s v="Samarth Varughese"/>
    <s v="Samarth Varughese"/>
    <x v="0"/>
    <n v="70"/>
    <n v="70"/>
    <s v="Cardiology"/>
    <s v="Cardiology"/>
    <s v="dr priya"/>
    <s v="Dr Priya"/>
    <d v="2025-12-21T00:00:00"/>
    <s v="Valid"/>
    <b v="1"/>
    <b v="1"/>
    <d v="2025-12-06T00:00:00"/>
    <s v="2707795379"/>
    <s v="2707795379"/>
    <s v="2707795379"/>
    <s v="Valid"/>
    <s v="seherbanik@sinha.com"/>
    <s v="N"/>
    <n v="11937.23"/>
    <s v="NO"/>
    <n v="524"/>
    <n v="524"/>
    <s v="K21"/>
  </r>
  <r>
    <s v="P2920"/>
    <s v="Lavanya Varughese"/>
    <s v="Lavanya Varughese"/>
    <x v="4"/>
    <n v="25"/>
    <n v="25"/>
    <s v="Dermatology"/>
    <s v="Dermatology"/>
    <s v="Dr Mehta"/>
    <s v="Dr Mehta"/>
    <d v="2026-02-14T00:00:00"/>
    <s v="Valid"/>
    <b v="1"/>
    <b v="1"/>
    <d v="2026-02-05T00:00:00"/>
    <s v="+917463560758"/>
    <s v="917463560758"/>
    <s v="7463560758"/>
    <s v="Valid"/>
    <m/>
    <m/>
    <n v="-500"/>
    <s v="NO"/>
    <n v="180"/>
    <n v="180"/>
    <s v="A09"/>
  </r>
  <r>
    <s v="P2921"/>
    <s v="Raghav Bahri"/>
    <s v="Raghav Bahri"/>
    <x v="3"/>
    <n v="87"/>
    <n v="87"/>
    <s v="Oncology"/>
    <s v="Oncology"/>
    <s v="Dr Mehta"/>
    <s v="Dr Mehta"/>
    <d v="2026-05-21T00:00:00"/>
    <s v="Valid"/>
    <b v="1"/>
    <b v="1"/>
    <d v="2026-05-02T00:00:00"/>
    <s v="02159631728"/>
    <s v="02159631728"/>
    <s v="2159631728"/>
    <s v="Valid"/>
    <s v="kapurdhanush@raju.com"/>
    <m/>
    <n v="14080.28"/>
    <s v="Y"/>
    <n v="337"/>
    <n v="337"/>
    <s v="C34"/>
  </r>
  <r>
    <s v="P2922"/>
    <s v="Advika Sastry"/>
    <s v="Advika Sastry"/>
    <x v="1"/>
    <n v="75"/>
    <n v="75"/>
    <s v="General Medicine"/>
    <s v="General Medicine"/>
    <s v="Dr Rao"/>
    <s v="Dr Rao"/>
    <d v="2025-12-20T00:00:00"/>
    <s v="Valid"/>
    <b v="1"/>
    <b v="1"/>
    <d v="2025-12-12T00:00:00"/>
    <s v="+915284682787"/>
    <s v="915284682787"/>
    <s v="5284682787"/>
    <s v="Valid"/>
    <s v="mishtigopal@mane.org"/>
    <s v="Yes"/>
    <n v="14803.27"/>
    <s v="N"/>
    <n v="465"/>
    <n v="465"/>
    <s v="I10"/>
  </r>
  <r>
    <s v="P2923"/>
    <s v="Zaina Thaman"/>
    <s v="Zaina Thaman"/>
    <x v="0"/>
    <n v="12"/>
    <n v="12"/>
    <s v="Dermatology"/>
    <s v="Dermatology"/>
    <s v="Dr Mehta"/>
    <s v="Dr Mehta"/>
    <d v="2026-05-10T00:00:00"/>
    <s v="Valid"/>
    <b v="1"/>
    <b v="1"/>
    <d v="2026-04-29T00:00:00"/>
    <s v="07021652197"/>
    <s v="07021652197"/>
    <s v="7021652197"/>
    <s v="Valid"/>
    <s v="lakshay75@gmail.com"/>
    <m/>
    <n v="1291.73"/>
    <s v="N"/>
    <n v="190"/>
    <n v="190"/>
    <s v="M54"/>
  </r>
  <r>
    <s v="P2924"/>
    <s v="Yasmin Chada"/>
    <s v="Yasmin Chada"/>
    <x v="0"/>
    <n v="87"/>
    <n v="87"/>
    <s v="Pediatrics"/>
    <s v="Pediatrics"/>
    <s v="dr priya"/>
    <s v="Dr Priya"/>
    <d v="2025-12-09T00:00:00"/>
    <s v="Valid"/>
    <b v="1"/>
    <b v="1"/>
    <d v="2025-11-16T00:00:00"/>
    <s v="07819822604"/>
    <s v="07819822604"/>
    <s v="7819822604"/>
    <s v="Valid"/>
    <s v="mannanvedika@gmail.com"/>
    <m/>
    <n v="8980.26"/>
    <m/>
    <n v="397"/>
    <n v="397"/>
    <s v="K21"/>
  </r>
  <r>
    <s v="P2925"/>
    <s v="Bhamini Reddy"/>
    <s v="Bhamini Reddy"/>
    <x v="1"/>
    <n v="24"/>
    <n v="24"/>
    <s v="Oncology"/>
    <s v="Oncology"/>
    <s v="Dr Rao"/>
    <s v="Dr Rao"/>
    <d v="2026-03-20T00:00:00"/>
    <s v="Valid"/>
    <b v="1"/>
    <b v="1"/>
    <d v="2026-02-20T00:00:00"/>
    <s v="+916121809483"/>
    <s v="916121809483"/>
    <s v="6121809483"/>
    <s v="Valid"/>
    <s v="jbora@chaudry.biz"/>
    <m/>
    <n v="17609.87"/>
    <s v="Yes"/>
    <s v="Room-X"/>
    <n v="0"/>
    <s v="A09"/>
  </r>
  <r>
    <s v="P2926"/>
    <s v="Samarth Sunder"/>
    <s v="Samarth Sunder"/>
    <x v="1"/>
    <n v="50"/>
    <n v="50"/>
    <s v="Pediatrics"/>
    <s v="Pediatrics"/>
    <s v="Dr. Sharma"/>
    <s v="Dr. Sharma"/>
    <d v="2025-12-13T00:00:00"/>
    <s v="Valid"/>
    <b v="1"/>
    <b v="1"/>
    <d v="2025-11-14T00:00:00"/>
    <s v="6047300101"/>
    <s v="6047300101"/>
    <s v="6047300101"/>
    <s v="Valid"/>
    <s v="shankeraarush@yahoo.com"/>
    <m/>
    <n v="835.4"/>
    <m/>
    <n v="361"/>
    <n v="361"/>
    <s v="J20"/>
  </r>
  <r>
    <s v="P2927"/>
    <s v="Madhup Chaudry"/>
    <s v="Madhup Chaudry"/>
    <x v="4"/>
    <n v="9"/>
    <n v="9"/>
    <s v="General Medicine"/>
    <s v="General Medicine"/>
    <s v="Dr Rao"/>
    <s v="Dr Rao"/>
    <d v="2026-01-13T00:00:00"/>
    <s v="Valid"/>
    <b v="1"/>
    <b v="1"/>
    <d v="2026-01-09T00:00:00"/>
    <s v="4151375267"/>
    <s v="4151375267"/>
    <s v="4151375267"/>
    <s v="Valid"/>
    <s v="tbedi@ghose-mangal.com"/>
    <s v="N"/>
    <n v="2734.8"/>
    <s v="Y"/>
    <n v="181"/>
    <n v="181"/>
    <s v="J20"/>
  </r>
  <r>
    <s v="P2928"/>
    <s v="Sara Sangha"/>
    <s v="Sara Sangha"/>
    <x v="5"/>
    <n v="81"/>
    <n v="81"/>
    <s v="Dermatology"/>
    <s v="Dermatology"/>
    <s v="Dr. Sharma"/>
    <s v="Dr. Sharma"/>
    <d v="2026-03-31T00:00:00"/>
    <s v="Valid"/>
    <b v="1"/>
    <b v="1"/>
    <d v="2026-03-14T00:00:00"/>
    <s v="+917359513632"/>
    <s v="917359513632"/>
    <s v="7359513632"/>
    <s v="Valid"/>
    <s v="sureshjhanvi@yahoo.com"/>
    <s v="Yes"/>
    <n v="208.51"/>
    <s v="N"/>
    <n v="236"/>
    <n v="236"/>
    <s v="A09"/>
  </r>
  <r>
    <s v="P2929"/>
    <s v="Vaibhav Chandra"/>
    <s v="Vaibhav Chandra"/>
    <x v="1"/>
    <n v="69"/>
    <n v="69"/>
    <s v="Pediatrics"/>
    <s v="Pediatrics"/>
    <s v="Dr Rao"/>
    <s v="Dr Rao"/>
    <d v="2026-05-02T00:00:00"/>
    <s v="Valid"/>
    <b v="1"/>
    <b v="1"/>
    <d v="2026-04-04T00:00:00"/>
    <s v="04934974680"/>
    <s v="04934974680"/>
    <s v="4934974680"/>
    <s v="Valid"/>
    <s v="dsami@zachariah.biz"/>
    <m/>
    <n v="3608.99"/>
    <s v="Yes"/>
    <n v="302"/>
    <n v="302"/>
    <s v="M54"/>
  </r>
  <r>
    <s v="P2930"/>
    <s v="Vivaan Trivedi"/>
    <s v="Vivaan Trivedi"/>
    <x v="4"/>
    <n v="68"/>
    <n v="68"/>
    <s v="General Medicine"/>
    <s v="General Medicine"/>
    <s v="Dr Mehta"/>
    <s v="Dr Mehta"/>
    <d v="2026-03-04T00:00:00"/>
    <s v="Valid"/>
    <b v="1"/>
    <b v="1"/>
    <d v="2026-02-19T00:00:00"/>
    <s v="1051494436"/>
    <s v="1051494436"/>
    <s v="1051494436"/>
    <s v="Valid"/>
    <s v="gbir@gmail.com"/>
    <s v="Yes"/>
    <n v="15656.33"/>
    <s v="NO"/>
    <n v="145"/>
    <n v="145"/>
    <s v="J20"/>
  </r>
  <r>
    <s v="P2931"/>
    <s v="Vritika Talwar"/>
    <s v="Vritika Talwar"/>
    <x v="2"/>
    <n v="28"/>
    <n v="28"/>
    <s v="Neurology"/>
    <s v="Neurology"/>
    <s v="DR SHARMA"/>
    <s v="Dr Sharma"/>
    <d v="2026-02-20T00:00:00"/>
    <s v="Valid"/>
    <b v="1"/>
    <b v="1"/>
    <d v="2026-02-09T00:00:00"/>
    <s v="04136747083"/>
    <s v="04136747083"/>
    <s v="4136747083"/>
    <s v="Valid"/>
    <s v="sana39@gmail.com"/>
    <s v="Yes"/>
    <n v="24964.76"/>
    <s v="N"/>
    <n v="465"/>
    <n v="465"/>
    <s v="M54"/>
  </r>
  <r>
    <s v="P2932"/>
    <s v="Inaaya  Grewal"/>
    <s v="Inaaya Grewal"/>
    <x v="2"/>
    <n v="30"/>
    <n v="30"/>
    <s v="Pediatrics"/>
    <s v="Pediatrics"/>
    <s v="Dr Khan"/>
    <s v="Dr Khan"/>
    <d v="2025-12-26T00:00:00"/>
    <s v="Valid"/>
    <b v="1"/>
    <b v="1"/>
    <d v="2025-12-03T00:00:00"/>
    <s v="04379609633"/>
    <s v="04379609633"/>
    <s v="4379609633"/>
    <s v="Valid"/>
    <s v="hridaan63@banerjee-swaminathan.biz"/>
    <m/>
    <n v="22382.17"/>
    <s v="NO"/>
    <n v="195"/>
    <n v="195"/>
    <s v="E11"/>
  </r>
  <r>
    <s v="P2933"/>
    <s v="Yashvi Madan"/>
    <s v="Yashvi Madan"/>
    <x v="0"/>
    <n v="33"/>
    <n v="33"/>
    <s v="ENT"/>
    <s v="ENT"/>
    <s v="Dr Mehta"/>
    <s v="Dr Mehta"/>
    <d v="2026-02-21T00:00:00"/>
    <s v="Valid"/>
    <b v="1"/>
    <b v="1"/>
    <d v="2026-02-09T00:00:00"/>
    <s v="08033970659"/>
    <s v="08033970659"/>
    <s v="8033970659"/>
    <s v="Valid"/>
    <s v="ssridhar@hotmail.com"/>
    <s v="N"/>
    <n v="19538.02"/>
    <s v="Yes"/>
    <n v="184"/>
    <n v="184"/>
    <s v="J20"/>
  </r>
  <r>
    <s v="P2934"/>
    <s v="Nakul Uppal"/>
    <s v="Nakul Uppal"/>
    <x v="0"/>
    <n v="39"/>
    <n v="39"/>
    <s v="General Medicine"/>
    <s v="General Medicine"/>
    <s v="Dr Mehta"/>
    <s v="Dr Mehta"/>
    <d v="2026-04-22T00:00:00"/>
    <s v="Valid"/>
    <b v="1"/>
    <b v="1"/>
    <d v="2026-04-14T00:00:00"/>
    <s v="03497088491"/>
    <s v="03497088491"/>
    <s v="3497088491"/>
    <s v="Valid"/>
    <s v="aaryahiagrawal@bhatia.info"/>
    <s v="NO"/>
    <n v="15483.73"/>
    <m/>
    <n v="262"/>
    <n v="262"/>
    <s v="C34"/>
  </r>
  <r>
    <s v="P2936"/>
    <s v="Kiaan Thakkar"/>
    <s v="Kiaan Thakkar"/>
    <x v="3"/>
    <n v="9"/>
    <n v="9"/>
    <s v="Orthopedics"/>
    <s v="Orthopedics"/>
    <s v="Dr. Sharma"/>
    <s v="Dr. Sharma"/>
    <d v="2026-04-14T00:00:00"/>
    <s v="Valid"/>
    <b v="1"/>
    <b v="1"/>
    <d v="2026-03-26T00:00:00"/>
    <s v="+915955797212"/>
    <s v="915955797212"/>
    <s v="5955797212"/>
    <s v="Valid"/>
    <s v="kabirsom@hotmail.com"/>
    <s v="Yes"/>
    <n v="13758.27"/>
    <s v="Yes"/>
    <n v="543"/>
    <n v="543"/>
    <s v="M54"/>
  </r>
  <r>
    <s v="P2937"/>
    <s v="Elakshi Bhatia"/>
    <s v="Elakshi Bhatia"/>
    <x v="3"/>
    <n v="71"/>
    <n v="71"/>
    <s v="Orthopedics"/>
    <s v="Orthopedics"/>
    <s v="Dr Mehta"/>
    <s v="Dr Mehta"/>
    <d v="2025-11-28T00:00:00"/>
    <s v="Valid"/>
    <b v="1"/>
    <b v="1"/>
    <d v="2025-11-20T00:00:00"/>
    <s v="6278303548"/>
    <s v="6278303548"/>
    <s v="6278303548"/>
    <s v="Valid"/>
    <s v="jsharaf@gmail.com"/>
    <s v="NO"/>
    <n v="11182.7"/>
    <m/>
    <n v="364"/>
    <n v="364"/>
    <s v="K21"/>
  </r>
  <r>
    <s v="P2938"/>
    <s v="Vritika Babu"/>
    <s v="Vritika Babu"/>
    <x v="2"/>
    <n v="29"/>
    <n v="29"/>
    <s v="ENT"/>
    <s v="ENT"/>
    <s v="Dr Mehta"/>
    <s v="Dr Mehta"/>
    <d v="2026-05-26T00:00:00"/>
    <s v="Valid"/>
    <b v="1"/>
    <b v="1"/>
    <d v="2026-04-27T00:00:00"/>
    <s v="+910705956146"/>
    <s v="910705956146"/>
    <s v="0705956146"/>
    <s v="Valid"/>
    <s v="lakshitgolla@yahoo.com"/>
    <m/>
    <n v="15739.43"/>
    <s v="Yes"/>
    <n v="379"/>
    <n v="379"/>
    <s v="M54"/>
  </r>
  <r>
    <s v="P2939"/>
    <s v="Nitya Trivedi"/>
    <s v="Nitya Trivedi"/>
    <x v="5"/>
    <n v="90"/>
    <n v="90"/>
    <s v="Dermatology"/>
    <s v="Dermatology"/>
    <s v="Dr Khan"/>
    <s v="Dr Khan"/>
    <d v="2026-04-16T00:00:00"/>
    <s v="Valid"/>
    <b v="1"/>
    <b v="1"/>
    <d v="2026-04-07T00:00:00"/>
    <s v="3140179064"/>
    <s v="3140179064"/>
    <s v="3140179064"/>
    <s v="Valid"/>
    <s v="sureshojas@gmail.com"/>
    <m/>
    <n v="14267.09"/>
    <s v="NO"/>
    <n v="267"/>
    <n v="267"/>
    <s v="J20"/>
  </r>
  <r>
    <s v="P2940"/>
    <s v="Shalv Chakraborty"/>
    <s v="Shalv Chakraborty"/>
    <x v="0"/>
    <n v="41"/>
    <n v="41"/>
    <s v="Cardiology"/>
    <s v="Cardiology"/>
    <s v="Dr Mehta"/>
    <s v="Dr Mehta"/>
    <d v="2026-05-02T00:00:00"/>
    <s v="Valid"/>
    <b v="1"/>
    <b v="1"/>
    <d v="2026-04-29T00:00:00"/>
    <s v="04472707166"/>
    <s v="04472707166"/>
    <s v="4472707166"/>
    <s v="Valid"/>
    <s v="saira11@gmail.com"/>
    <s v="Yes"/>
    <n v="18115.060000000001"/>
    <s v="Y"/>
    <n v="129"/>
    <n v="129"/>
    <s v="K21"/>
  </r>
  <r>
    <s v="P2941"/>
    <s v="Divyansh Sheth"/>
    <s v="Divyansh Sheth"/>
    <x v="3"/>
    <n v="47"/>
    <n v="47"/>
    <s v="Pediatrics"/>
    <s v="Pediatrics"/>
    <s v="dr priya"/>
    <s v="Dr Priya"/>
    <d v="2026-03-27T00:00:00"/>
    <s v="Valid"/>
    <b v="1"/>
    <b v="1"/>
    <d v="2026-02-27T00:00:00"/>
    <s v="9246492832"/>
    <s v="9246492832"/>
    <s v="9246492832"/>
    <s v="Valid"/>
    <s v="anaybhagat@balan.com"/>
    <s v="Yes"/>
    <n v="8911.27"/>
    <s v="NO"/>
    <n v="342"/>
    <n v="342"/>
    <s v="I10"/>
  </r>
  <r>
    <s v="P2942"/>
    <s v="Nitara Bhatti"/>
    <s v="Nitara Bhatti"/>
    <x v="1"/>
    <n v="88"/>
    <n v="88"/>
    <s v="Cardiology"/>
    <s v="Cardiology"/>
    <s v="DR SHARMA"/>
    <s v="Dr Sharma"/>
    <d v="2026-03-25T00:00:00"/>
    <s v="Valid"/>
    <b v="1"/>
    <b v="1"/>
    <d v="2026-02-27T00:00:00"/>
    <s v="+915640055222"/>
    <s v="915640055222"/>
    <s v="5640055222"/>
    <s v="Valid"/>
    <s v="khushiramachandran@hotmail.com"/>
    <m/>
    <n v="5337.11"/>
    <s v="NO"/>
    <n v="227"/>
    <n v="227"/>
    <s v="M54"/>
  </r>
  <r>
    <s v="P2943"/>
    <s v="Divit Luthra"/>
    <s v="Divit Luthra"/>
    <x v="4"/>
    <n v="13"/>
    <n v="13"/>
    <s v="Oncology"/>
    <s v="Oncology"/>
    <s v="dr priya"/>
    <s v="Dr Priya"/>
    <d v="2026-05-18T00:00:00"/>
    <s v="Valid"/>
    <b v="1"/>
    <b v="1"/>
    <d v="2026-05-07T00:00:00"/>
    <s v="6703492972"/>
    <s v="6703492972"/>
    <s v="6703492972"/>
    <s v="Valid"/>
    <s v="deepsumer@hotmail.com"/>
    <s v="Yes"/>
    <n v="9598.7800000000007"/>
    <s v="Yes"/>
    <n v="125"/>
    <n v="125"/>
    <s v="I10"/>
  </r>
  <r>
    <s v="P2944"/>
    <s v="Ivana Sule"/>
    <s v="Ivana Sule"/>
    <x v="0"/>
    <n v="18"/>
    <n v="18"/>
    <s v="Oncology"/>
    <s v="Oncology"/>
    <s v="Dr. Sharma"/>
    <s v="Dr. Sharma"/>
    <d v="2026-02-01T00:00:00"/>
    <s v="Valid"/>
    <b v="1"/>
    <b v="1"/>
    <d v="2026-01-27T00:00:00"/>
    <s v="0441975196"/>
    <s v="0441975196"/>
    <s v="0441975196"/>
    <s v="Valid"/>
    <s v="sdua@hora-deol.com"/>
    <s v="Yes"/>
    <n v="7474.27"/>
    <m/>
    <n v="292"/>
    <n v="292"/>
    <s v="C34"/>
  </r>
  <r>
    <s v="P2945"/>
    <s v="Seher Borah"/>
    <s v="Seher Borah"/>
    <x v="0"/>
    <n v="72"/>
    <n v="72"/>
    <s v="Dermatology"/>
    <s v="Dermatology"/>
    <s v="dr priya"/>
    <s v="Dr Priya"/>
    <d v="2025-12-07T00:00:00"/>
    <s v="Valid"/>
    <b v="1"/>
    <b v="1"/>
    <d v="2025-11-22T00:00:00"/>
    <s v="+915500790992"/>
    <s v="915500790992"/>
    <s v="5500790992"/>
    <s v="Valid"/>
    <s v="ranganathanreyansh@hotmail.com"/>
    <m/>
    <n v="1440.06"/>
    <m/>
    <n v="234"/>
    <n v="234"/>
    <s v="E11"/>
  </r>
  <r>
    <s v="P2946"/>
    <s v="Chirag Brar"/>
    <s v="Chirag Brar"/>
    <x v="0"/>
    <n v="40"/>
    <n v="40"/>
    <s v="ENT"/>
    <s v="ENT"/>
    <s v="dr priya"/>
    <s v="Dr Priya"/>
    <d v="2026-03-06T00:00:00"/>
    <s v="Valid"/>
    <b v="1"/>
    <b v="1"/>
    <d v="2026-02-07T00:00:00"/>
    <s v="2568783491"/>
    <s v="2568783491"/>
    <s v="2568783491"/>
    <s v="Valid"/>
    <s v="lganesan@lad.com"/>
    <s v="N"/>
    <n v="12352.73"/>
    <m/>
    <n v="274"/>
    <n v="274"/>
    <s v="A09"/>
  </r>
  <r>
    <s v="P2947"/>
    <s v="Mishti Sabharwal"/>
    <s v="Mishti Sabharwal"/>
    <x v="0"/>
    <n v="74"/>
    <n v="74"/>
    <s v="General Medicine"/>
    <s v="General Medicine"/>
    <s v="Dr. Sharma"/>
    <s v="Dr. Sharma"/>
    <d v="2026-05-10T00:00:00"/>
    <s v="Valid"/>
    <b v="1"/>
    <b v="1"/>
    <d v="2026-04-16T00:00:00"/>
    <s v="5593091372"/>
    <s v="5593091372"/>
    <s v="5593091372"/>
    <s v="Valid"/>
    <s v="lallaarmaan@hotmail.com"/>
    <s v="N"/>
    <n v="24125.99"/>
    <s v="N"/>
    <n v="500"/>
    <n v="500"/>
    <s v="A09"/>
  </r>
  <r>
    <s v="P2948"/>
    <s v="Hrishita Kulkarni"/>
    <s v="Hrishita Kulkarni"/>
    <x v="0"/>
    <n v="55"/>
    <n v="55"/>
    <s v="Orthopedics"/>
    <s v="Orthopedics"/>
    <s v="DR SHARMA"/>
    <s v="Dr Sharma"/>
    <d v="2026-01-07T00:00:00"/>
    <s v="Valid"/>
    <b v="1"/>
    <b v="1"/>
    <d v="2025-12-11T00:00:00"/>
    <s v="3880235726"/>
    <s v="3880235726"/>
    <s v="3880235726"/>
    <s v="Valid"/>
    <s v="cgoyal@thakur.info"/>
    <s v="N"/>
    <n v="6600.6"/>
    <m/>
    <n v="548"/>
    <n v="548"/>
    <s v="M54"/>
  </r>
  <r>
    <s v="P2949"/>
    <s v="Sahil Tailor"/>
    <s v="Sahil Tailor"/>
    <x v="4"/>
    <n v="82"/>
    <n v="82"/>
    <s v="Orthopedics"/>
    <s v="Orthopedics"/>
    <s v="dr priya"/>
    <s v="Dr Priya"/>
    <d v="2026-03-26T00:00:00"/>
    <s v="Valid"/>
    <b v="1"/>
    <b v="1"/>
    <d v="2026-03-16T00:00:00"/>
    <s v="+915670504163"/>
    <s v="915670504163"/>
    <s v="5670504163"/>
    <s v="Valid"/>
    <s v="parinaaz26@mander.biz"/>
    <s v="Y"/>
    <n v="1543.97"/>
    <m/>
    <n v="423"/>
    <n v="423"/>
    <s v="J20"/>
  </r>
  <r>
    <s v="P2951"/>
    <s v="Lavanya Sengupta"/>
    <s v="Lavanya Sengupta"/>
    <x v="4"/>
    <n v="38"/>
    <n v="38"/>
    <s v="Orthopedics"/>
    <s v="Orthopedics"/>
    <s v="Dr Khan"/>
    <s v="Dr Khan"/>
    <d v="2026-01-10T00:00:00"/>
    <s v="Valid"/>
    <b v="1"/>
    <b v="1"/>
    <d v="2025-12-28T00:00:00"/>
    <s v="+912250708263"/>
    <s v="912250708263"/>
    <s v="2250708263"/>
    <s v="Valid"/>
    <s v="bhallasahil@gmail.com"/>
    <m/>
    <n v="17409.95"/>
    <m/>
    <n v="259"/>
    <n v="259"/>
    <s v="M54"/>
  </r>
  <r>
    <s v="P2953"/>
    <s v="Piya Zachariah"/>
    <s v="Piya Zachariah"/>
    <x v="2"/>
    <n v="48"/>
    <n v="48"/>
    <s v="Oncology"/>
    <s v="Oncology"/>
    <s v="dr priya"/>
    <s v="Dr Priya"/>
    <d v="2025-12-16T00:00:00"/>
    <s v="Valid"/>
    <b v="1"/>
    <b v="1"/>
    <d v="2025-12-15T00:00:00"/>
    <s v="04616195673"/>
    <s v="04616195673"/>
    <s v="4616195673"/>
    <s v="Valid"/>
    <s v="rati22@ram.biz"/>
    <s v="Yes"/>
    <n v="19060.22"/>
    <s v="Yes"/>
    <n v="155"/>
    <n v="155"/>
    <s v="M54"/>
  </r>
  <r>
    <s v="P2954"/>
    <s v="Vaibhav Konda"/>
    <s v="Vaibhav Konda"/>
    <x v="1"/>
    <n v="62"/>
    <n v="62"/>
    <s v="General Medicine"/>
    <s v="General Medicine"/>
    <s v="Dr Mehta"/>
    <s v="Dr Mehta"/>
    <d v="2026-01-27T00:00:00"/>
    <s v="Valid"/>
    <b v="1"/>
    <b v="1"/>
    <d v="2026-01-21T00:00:00"/>
    <s v="6744437586"/>
    <s v="6744437586"/>
    <s v="6744437586"/>
    <s v="Valid"/>
    <s v="gababaiju@gmail.com"/>
    <s v="NO"/>
    <n v="4487.6499999999996"/>
    <s v="NO"/>
    <n v="327"/>
    <n v="327"/>
    <s v="K21"/>
  </r>
  <r>
    <s v="P2955"/>
    <s v="Riya Rajagopal"/>
    <s v="Riya Rajagopal"/>
    <x v="0"/>
    <n v="35"/>
    <n v="35"/>
    <s v="General Medicine"/>
    <s v="General Medicine"/>
    <s v="Dr Mehta"/>
    <s v="Dr Mehta"/>
    <d v="2026-03-09T00:00:00"/>
    <s v="Valid"/>
    <b v="1"/>
    <b v="1"/>
    <d v="2026-02-15T00:00:00"/>
    <s v="00039704700"/>
    <s v="00039704700"/>
    <s v="0039704700"/>
    <s v="Valid"/>
    <s v="nakul68@datta.com"/>
    <m/>
    <n v="19854.7"/>
    <s v="Y"/>
    <n v="426"/>
    <n v="426"/>
    <s v="K21"/>
  </r>
  <r>
    <s v="P2956"/>
    <s v="Nehmat Sekhon"/>
    <s v="Nehmat Sekhon"/>
    <x v="1"/>
    <n v="10"/>
    <n v="10"/>
    <s v="Orthopedics"/>
    <s v="Orthopedics"/>
    <s v="Dr Mehta"/>
    <s v="Dr Mehta"/>
    <d v="2026-02-15T00:00:00"/>
    <s v="Valid"/>
    <b v="1"/>
    <b v="1"/>
    <d v="2026-01-17T00:00:00"/>
    <s v="02457892908"/>
    <s v="02457892908"/>
    <s v="2457892908"/>
    <s v="Valid"/>
    <s v="chandranyakshit@gmail.com"/>
    <s v="Yes"/>
    <n v="1526.09"/>
    <s v="Yes"/>
    <n v="217"/>
    <n v="217"/>
    <s v="C34"/>
  </r>
  <r>
    <s v="P2957"/>
    <s v="Rania Bassi"/>
    <s v="Rania Bassi"/>
    <x v="3"/>
    <n v="44"/>
    <n v="44"/>
    <s v="Pediatrics"/>
    <s v="Pediatrics"/>
    <s v="dr priya"/>
    <s v="Dr Priya"/>
    <d v="2026-02-20T00:00:00"/>
    <s v="Valid"/>
    <b v="1"/>
    <b v="1"/>
    <d v="2026-02-09T00:00:00"/>
    <s v="5633737859"/>
    <s v="5633737859"/>
    <s v="5633737859"/>
    <s v="Valid"/>
    <s v="gdoshi@barad.com"/>
    <m/>
    <n v="21686.68"/>
    <s v="Yes"/>
    <n v="336"/>
    <n v="336"/>
    <s v="A09"/>
  </r>
  <r>
    <s v="P2958"/>
    <s v="Tara Dhillon"/>
    <s v="Tara Dhillon"/>
    <x v="2"/>
    <n v="82"/>
    <n v="82"/>
    <s v="Orthopedics"/>
    <s v="Orthopedics"/>
    <s v="dr priya"/>
    <s v="Dr Priya"/>
    <d v="2026-02-25T00:00:00"/>
    <s v="Valid"/>
    <b v="1"/>
    <b v="1"/>
    <d v="2026-02-17T00:00:00"/>
    <s v="2861636992"/>
    <s v="2861636992"/>
    <s v="2861636992"/>
    <s v="Valid"/>
    <s v="khushizachariah@hotmail.com"/>
    <s v="Yes"/>
    <n v="7882.12"/>
    <s v="NO"/>
    <n v="443"/>
    <n v="443"/>
    <s v="A09"/>
  </r>
  <r>
    <s v="P2959"/>
    <s v="Siya Lad"/>
    <s v="Siya Lad"/>
    <x v="5"/>
    <n v="65"/>
    <n v="65"/>
    <s v="ENT"/>
    <s v="ENT"/>
    <s v="Dr. Sharma"/>
    <s v="Dr. Sharma"/>
    <d v="2025-12-10T00:00:00"/>
    <s v="Valid"/>
    <b v="1"/>
    <b v="1"/>
    <d v="2025-11-29T00:00:00"/>
    <s v="+915576008755"/>
    <s v="915576008755"/>
    <s v="5576008755"/>
    <s v="Valid"/>
    <s v="bsoman@hotmail.com"/>
    <s v="Y"/>
    <n v="1369.3"/>
    <m/>
    <n v="230"/>
    <n v="230"/>
    <s v="J20"/>
  </r>
  <r>
    <s v="P2961"/>
    <s v="Bhamini Mand"/>
    <s v="Bhamini Mand"/>
    <x v="5"/>
    <n v="20"/>
    <n v="20"/>
    <s v="General Medicine"/>
    <s v="General Medicine"/>
    <s v="Dr. Sharma"/>
    <s v="Dr. Sharma"/>
    <d v="2026-05-30T00:00:00"/>
    <s v="Valid"/>
    <b v="1"/>
    <b v="1"/>
    <d v="2026-05-06T00:00:00"/>
    <s v="03435886461"/>
    <s v="03435886461"/>
    <s v="3435886461"/>
    <s v="Valid"/>
    <s v="dhanuk09@gmail.com"/>
    <m/>
    <n v="17117.87"/>
    <s v="NO"/>
    <n v="330"/>
    <n v="330"/>
    <s v="M54"/>
  </r>
  <r>
    <s v="P2962"/>
    <s v="Veer Mannan"/>
    <s v="Veer Mannan"/>
    <x v="1"/>
    <n v="27"/>
    <n v="27"/>
    <s v="Pediatrics"/>
    <s v="Pediatrics"/>
    <s v="Dr. Sharma"/>
    <s v="Dr. Sharma"/>
    <d v="2026-05-27T00:00:00"/>
    <s v="Valid"/>
    <b v="1"/>
    <b v="1"/>
    <d v="2026-05-07T00:00:00"/>
    <s v="+918281850869"/>
    <s v="918281850869"/>
    <s v="8281850869"/>
    <s v="Valid"/>
    <s v="tsawhney@gmail.com"/>
    <s v="Yes"/>
    <n v="12334.27"/>
    <s v="Yes"/>
    <n v="198"/>
    <n v="198"/>
    <s v="K21"/>
  </r>
  <r>
    <s v="P2963"/>
    <s v="Hrishita Sandal"/>
    <s v="Hrishita Sandal"/>
    <x v="1"/>
    <n v="88"/>
    <n v="88"/>
    <s v="Orthopedics"/>
    <s v="Orthopedics"/>
    <s v="Dr Mehta"/>
    <s v="Dr Mehta"/>
    <d v="2026-04-13T00:00:00"/>
    <s v="Valid"/>
    <b v="1"/>
    <b v="1"/>
    <d v="2026-03-16T00:00:00"/>
    <s v="+914980404156"/>
    <s v="914980404156"/>
    <s v="4980404156"/>
    <s v="Valid"/>
    <s v="anyahans@hotmail.com"/>
    <m/>
    <n v="8970.0300000000007"/>
    <s v="Yes"/>
    <n v="435"/>
    <n v="435"/>
    <s v="A09"/>
  </r>
  <r>
    <s v="P2964"/>
    <s v="Yashvi Dhillon"/>
    <s v="Yashvi Dhillon"/>
    <x v="0"/>
    <n v="9"/>
    <n v="9"/>
    <s v="Dermatology"/>
    <s v="Dermatology"/>
    <s v="DR SHARMA"/>
    <s v="Dr Sharma"/>
    <d v="2026-02-03T00:00:00"/>
    <s v="Valid"/>
    <b v="1"/>
    <b v="1"/>
    <d v="2026-01-08T00:00:00"/>
    <s v="09692256009"/>
    <s v="09692256009"/>
    <s v="9692256009"/>
    <s v="Valid"/>
    <s v="chauhanshaan@yahoo.com"/>
    <s v="Yes"/>
    <n v="6522.26"/>
    <s v="N"/>
    <n v="116"/>
    <n v="116"/>
    <s v="M54"/>
  </r>
  <r>
    <s v="P2965"/>
    <s v="Kaira Ahuja"/>
    <s v="Kaira Ahuja"/>
    <x v="5"/>
    <n v="42"/>
    <n v="42"/>
    <s v="Orthopedics"/>
    <s v="Orthopedics"/>
    <s v="Dr. Sharma"/>
    <s v="Dr. Sharma"/>
    <d v="2026-02-23T00:00:00"/>
    <s v="Valid"/>
    <b v="1"/>
    <b v="1"/>
    <d v="2026-02-04T00:00:00"/>
    <s v="08361574207"/>
    <s v="08361574207"/>
    <s v="8361574207"/>
    <s v="Valid"/>
    <s v="waliadira@yahoo.com"/>
    <s v="NO"/>
    <n v="8409.4"/>
    <s v="N"/>
    <n v="256"/>
    <n v="256"/>
    <s v="I10"/>
  </r>
  <r>
    <s v="P2966"/>
    <s v="Khushi Saini"/>
    <s v="Khushi Saini"/>
    <x v="0"/>
    <n v="90"/>
    <n v="90"/>
    <s v="Neurology"/>
    <s v="Neurology"/>
    <s v="Dr Mehta"/>
    <s v="Dr Mehta"/>
    <d v="2026-04-10T00:00:00"/>
    <s v="Valid"/>
    <b v="1"/>
    <b v="1"/>
    <d v="2026-03-19T00:00:00"/>
    <s v="+916457096711"/>
    <s v="916457096711"/>
    <s v="6457096711"/>
    <s v="Valid"/>
    <s v="sidhurati@yahoo.com"/>
    <m/>
    <n v="11125.43"/>
    <s v="Yes"/>
    <n v="363"/>
    <n v="363"/>
    <s v="I10"/>
  </r>
  <r>
    <s v="P2967"/>
    <s v="Tarini Kara"/>
    <s v="Tarini Kara"/>
    <x v="1"/>
    <n v="45"/>
    <n v="45"/>
    <s v="Orthopedics"/>
    <s v="Orthopedics"/>
    <s v="Dr. Sharma"/>
    <s v="Dr. Sharma"/>
    <d v="2026-02-03T00:00:00"/>
    <s v="Valid"/>
    <b v="1"/>
    <b v="1"/>
    <d v="2026-01-26T00:00:00"/>
    <s v="+914017332296"/>
    <s v="914017332296"/>
    <s v="4017332296"/>
    <s v="Valid"/>
    <s v="sairagara@sarna.org"/>
    <s v="Y"/>
    <n v="22936.39"/>
    <s v="NO"/>
    <n v="233"/>
    <n v="233"/>
    <s v="J20"/>
  </r>
  <r>
    <s v="P2968"/>
    <s v="Mahika Buch"/>
    <s v="Mahika Buch"/>
    <x v="1"/>
    <n v="7"/>
    <n v="7"/>
    <s v="Pediatrics"/>
    <s v="Pediatrics"/>
    <s v="dr priya"/>
    <s v="Dr Priya"/>
    <d v="2026-05-03T00:00:00"/>
    <s v="Valid"/>
    <b v="1"/>
    <b v="1"/>
    <d v="2026-04-11T00:00:00"/>
    <s v="+918696662289"/>
    <s v="918696662289"/>
    <s v="8696662289"/>
    <s v="Valid"/>
    <s v="trivedimehul@konda.com"/>
    <s v="NO"/>
    <n v="11982.76"/>
    <s v="N"/>
    <n v="330"/>
    <n v="330"/>
    <s v="C34"/>
  </r>
  <r>
    <s v="P2969"/>
    <s v="Divij Luthra"/>
    <s v="Divij Luthra"/>
    <x v="2"/>
    <n v="2"/>
    <n v="2"/>
    <s v="ENT"/>
    <s v="ENT"/>
    <s v="DR SHARMA"/>
    <s v="Dr Sharma"/>
    <d v="2026-02-21T00:00:00"/>
    <s v="Valid"/>
    <b v="1"/>
    <b v="1"/>
    <d v="2026-02-01T00:00:00"/>
    <s v="00036796423"/>
    <s v="00036796423"/>
    <s v="0036796423"/>
    <s v="Valid"/>
    <s v="aayush01@mammen.com"/>
    <s v="NO"/>
    <n v="3847.67"/>
    <m/>
    <n v="357"/>
    <n v="357"/>
    <s v="A09"/>
  </r>
  <r>
    <s v="P2970"/>
    <s v="Kavya Contractor"/>
    <s v="Kavya Contractor"/>
    <x v="0"/>
    <n v="69"/>
    <n v="69"/>
    <s v="Dermatology"/>
    <s v="Dermatology"/>
    <s v="dr priya"/>
    <s v="Dr Priya"/>
    <d v="2026-01-28T00:00:00"/>
    <s v="Valid"/>
    <b v="1"/>
    <b v="1"/>
    <d v="2026-01-10T00:00:00"/>
    <s v="09076856503"/>
    <s v="09076856503"/>
    <s v="9076856503"/>
    <s v="Valid"/>
    <s v="myra55@hotmail.com"/>
    <s v="Yes"/>
    <n v="22143.02"/>
    <s v="Yes"/>
    <n v="256"/>
    <n v="256"/>
    <s v="J20"/>
  </r>
  <r>
    <s v="P2971"/>
    <s v="Dhruv Walia"/>
    <s v="Dhruv Walia"/>
    <x v="3"/>
    <n v="75"/>
    <n v="75"/>
    <s v="Orthopedics"/>
    <s v="Orthopedics"/>
    <s v="Dr Khan"/>
    <s v="Dr Khan"/>
    <d v="2026-04-22T00:00:00"/>
    <s v="Valid"/>
    <b v="1"/>
    <b v="1"/>
    <d v="2026-04-19T00:00:00"/>
    <s v="2073640022"/>
    <s v="2073640022"/>
    <s v="2073640022"/>
    <s v="Valid"/>
    <s v="gsura@hotmail.com"/>
    <s v="Y"/>
    <n v="21025.69"/>
    <s v="Y"/>
    <n v="229"/>
    <n v="229"/>
    <s v="M54"/>
  </r>
  <r>
    <s v="P2972"/>
    <s v="Jiya Lad"/>
    <s v="Jiya Lad"/>
    <x v="5"/>
    <n v="5"/>
    <n v="5"/>
    <s v="Neurology"/>
    <s v="Neurology"/>
    <s v="dr priya"/>
    <s v="Dr Priya"/>
    <d v="2026-04-13T00:00:00"/>
    <s v="Valid"/>
    <b v="1"/>
    <b v="1"/>
    <d v="2026-03-22T00:00:00"/>
    <s v="09069855603"/>
    <s v="09069855603"/>
    <s v="9069855603"/>
    <s v="Valid"/>
    <s v="nirvaankorpal@gmail.com"/>
    <s v="Y"/>
    <n v="4540.7299999999996"/>
    <s v="Y"/>
    <n v="204"/>
    <n v="204"/>
    <s v="K21"/>
  </r>
  <r>
    <s v="P2973"/>
    <s v="Amira Wason"/>
    <s v="Amira Wason"/>
    <x v="5"/>
    <n v="76"/>
    <n v="76"/>
    <s v="General Medicine"/>
    <s v="General Medicine"/>
    <s v="Dr Mehta"/>
    <s v="Dr Mehta"/>
    <d v="2026-04-05T00:00:00"/>
    <s v="Valid"/>
    <b v="1"/>
    <b v="1"/>
    <d v="2026-03-20T00:00:00"/>
    <s v="03639536221"/>
    <s v="03639536221"/>
    <s v="3639536221"/>
    <s v="Valid"/>
    <s v="vihaanbasak@agate.biz"/>
    <s v="NO"/>
    <n v="6109.03"/>
    <s v="NO"/>
    <n v="177"/>
    <n v="177"/>
    <s v="I10"/>
  </r>
  <r>
    <s v="P2974"/>
    <s v="Ritvik Bal"/>
    <s v="Ritvik Bal"/>
    <x v="3"/>
    <n v="4"/>
    <n v="4"/>
    <s v="Dermatology"/>
    <s v="Dermatology"/>
    <s v="Dr Mehta"/>
    <s v="Dr Mehta"/>
    <d v="2026-03-18T00:00:00"/>
    <s v="Valid"/>
    <b v="1"/>
    <b v="1"/>
    <d v="2026-02-16T00:00:00"/>
    <s v="9619514849"/>
    <s v="9619514849"/>
    <s v="9619514849"/>
    <s v="Valid"/>
    <s v="sacharkashvi@suresh-koshy.com"/>
    <s v="NO"/>
    <n v="24588.45"/>
    <s v="Yes"/>
    <n v="464"/>
    <n v="464"/>
    <s v="A09"/>
  </r>
  <r>
    <s v="P2975"/>
    <s v="Darshit Sabharwal"/>
    <s v="Darshit Sabharwal"/>
    <x v="5"/>
    <n v="22"/>
    <n v="22"/>
    <s v="Orthopedics"/>
    <s v="Orthopedics"/>
    <s v="Dr Mehta"/>
    <s v="Dr Mehta"/>
    <d v="2026-03-05T00:00:00"/>
    <s v="Valid"/>
    <b v="1"/>
    <b v="1"/>
    <d v="2026-03-04T00:00:00"/>
    <s v="07713312340"/>
    <s v="07713312340"/>
    <s v="7713312340"/>
    <s v="Valid"/>
    <s v="aayushvohra@hotmail.com"/>
    <s v="NO"/>
    <n v="569.59"/>
    <s v="N"/>
    <n v="189"/>
    <n v="189"/>
    <s v="I10"/>
  </r>
  <r>
    <s v="P2976"/>
    <s v="Nirvaan Gandhi"/>
    <s v="Nirvaan Gandhi"/>
    <x v="0"/>
    <n v="9"/>
    <n v="9"/>
    <s v="Dermatology"/>
    <s v="Dermatology"/>
    <s v="Dr Khan"/>
    <s v="Dr Khan"/>
    <d v="2026-01-21T00:00:00"/>
    <s v="Valid"/>
    <b v="1"/>
    <b v="1"/>
    <d v="2026-01-08T00:00:00"/>
    <s v="04033220894"/>
    <s v="04033220894"/>
    <s v="4033220894"/>
    <s v="Valid"/>
    <s v="eshanivarkey@yahoo.com"/>
    <m/>
    <n v="3042.44"/>
    <s v="Yes"/>
    <n v="360"/>
    <n v="360"/>
    <s v="K21"/>
  </r>
  <r>
    <s v="P2977"/>
    <s v="Mahika Krishna"/>
    <s v="Mahika Krishna"/>
    <x v="3"/>
    <n v="50"/>
    <n v="50"/>
    <s v="Neurology"/>
    <s v="Neurology"/>
    <s v="Dr Rao"/>
    <s v="Dr Rao"/>
    <d v="2026-03-01T00:00:00"/>
    <s v="Valid"/>
    <b v="1"/>
    <b v="1"/>
    <d v="2026-02-12T00:00:00"/>
    <s v="7320699199"/>
    <s v="7320699199"/>
    <s v="7320699199"/>
    <s v="Valid"/>
    <s v="ranganathandishani@buch.com"/>
    <s v="NO"/>
    <n v="20482.18"/>
    <s v="N"/>
    <n v="290"/>
    <n v="290"/>
    <s v="M54"/>
  </r>
  <r>
    <s v="P2978"/>
    <s v="Drishya Gill"/>
    <s v="Drishya Gill"/>
    <x v="2"/>
    <n v="37"/>
    <n v="37"/>
    <s v="Cardiology"/>
    <s v="Cardiology"/>
    <s v="DR SHARMA"/>
    <s v="Dr Sharma"/>
    <d v="2026-05-30T00:00:00"/>
    <s v="Valid"/>
    <b v="1"/>
    <b v="1"/>
    <d v="2026-05-02T00:00:00"/>
    <s v="+919185560263"/>
    <s v="919185560263"/>
    <s v="9185560263"/>
    <s v="Valid"/>
    <s v="navya02@kumer-vora.biz"/>
    <s v="Y"/>
    <n v="23228.19"/>
    <s v="N"/>
    <n v="428"/>
    <n v="428"/>
    <s v="I10"/>
  </r>
  <r>
    <s v="P2979"/>
    <s v="Nirvi Raj"/>
    <s v="Nirvi Raj"/>
    <x v="0"/>
    <n v="62"/>
    <n v="62"/>
    <s v="Oncology"/>
    <s v="Oncology"/>
    <s v="dr priya"/>
    <s v="Dr Priya"/>
    <d v="2026-01-17T00:00:00"/>
    <s v="Valid"/>
    <b v="1"/>
    <b v="1"/>
    <d v="2025-12-23T00:00:00"/>
    <s v="04327115517"/>
    <s v="04327115517"/>
    <s v="4327115517"/>
    <s v="Valid"/>
    <s v="madhupgaba@chand.com"/>
    <s v="Yes"/>
    <n v="5035.6899999999996"/>
    <s v="Yes"/>
    <n v="309"/>
    <n v="309"/>
    <s v="K21"/>
  </r>
  <r>
    <s v="P2981"/>
    <s v="Vaibhav Sood"/>
    <s v="Vaibhav Sood"/>
    <x v="1"/>
    <n v="24"/>
    <n v="24"/>
    <s v="Cardiology"/>
    <s v="Cardiology"/>
    <s v="dr priya"/>
    <s v="Dr Priya"/>
    <d v="2026-04-01T00:00:00"/>
    <s v="Valid"/>
    <b v="1"/>
    <b v="1"/>
    <d v="2026-03-06T00:00:00"/>
    <s v="2866331707"/>
    <s v="2866331707"/>
    <s v="2866331707"/>
    <s v="Valid"/>
    <s v="shlokdeshmukh@baria.org"/>
    <s v="Y"/>
    <n v="23597.77"/>
    <m/>
    <n v="324"/>
    <n v="324"/>
    <s v="K21"/>
  </r>
  <r>
    <s v="P2982"/>
    <s v="Tushar Apte"/>
    <s v="Tushar Apte"/>
    <x v="2"/>
    <n v="43"/>
    <n v="43"/>
    <s v="Cardiology"/>
    <s v="Cardiology"/>
    <s v="Dr Rao"/>
    <s v="Dr Rao"/>
    <d v="2026-02-11T00:00:00"/>
    <s v="Valid"/>
    <b v="1"/>
    <b v="1"/>
    <d v="2026-01-29T00:00:00"/>
    <s v="+918445048640"/>
    <s v="918445048640"/>
    <s v="8445048640"/>
    <s v="Valid"/>
    <s v="aniruddhsawhney@gmail.com"/>
    <m/>
    <n v="24316.61"/>
    <m/>
    <n v="316"/>
    <n v="316"/>
    <s v="J20"/>
  </r>
  <r>
    <s v="P2983"/>
    <s v="Armaan Kapur"/>
    <s v="Armaan Kapur"/>
    <x v="2"/>
    <n v="10"/>
    <n v="10"/>
    <s v="Cardiology"/>
    <s v="Cardiology"/>
    <s v="dr priya"/>
    <s v="Dr Priya"/>
    <d v="2026-03-26T00:00:00"/>
    <s v="Valid"/>
    <b v="1"/>
    <b v="1"/>
    <d v="2026-02-25T00:00:00"/>
    <s v="06093884567"/>
    <s v="06093884567"/>
    <s v="6093884567"/>
    <s v="Valid"/>
    <s v="hrishitasachdeva@kalla-magar.com"/>
    <s v="N"/>
    <n v="7617.45"/>
    <s v="NO"/>
    <n v="462"/>
    <n v="462"/>
    <s v="I10"/>
  </r>
  <r>
    <s v="P2984"/>
    <s v="Taran Dass"/>
    <s v="Taran Dass"/>
    <x v="5"/>
    <n v="37"/>
    <n v="37"/>
    <s v="Cardiology"/>
    <s v="Cardiology"/>
    <s v="Dr Khan"/>
    <s v="Dr Khan"/>
    <d v="2026-01-08T00:00:00"/>
    <s v="Valid"/>
    <b v="1"/>
    <b v="1"/>
    <d v="2025-12-22T00:00:00"/>
    <s v="3235657345"/>
    <s v="3235657345"/>
    <s v="3235657345"/>
    <s v="Valid"/>
    <s v="indranil67@hotmail.com"/>
    <s v="N"/>
    <n v="2694.18"/>
    <s v="Yes"/>
    <n v="495"/>
    <n v="495"/>
    <s v="A09"/>
  </r>
  <r>
    <s v="P2985"/>
    <s v="Uthkarsh Barman"/>
    <s v="Uthkarsh Barman"/>
    <x v="3"/>
    <n v="6"/>
    <n v="6"/>
    <s v="Cardiology"/>
    <s v="Cardiology"/>
    <s v="dr priya"/>
    <s v="Dr Priya"/>
    <d v="2026-04-10T00:00:00"/>
    <s v="Valid"/>
    <b v="1"/>
    <b v="1"/>
    <d v="2026-03-17T00:00:00"/>
    <s v="+910950257122"/>
    <s v="910950257122"/>
    <s v="0950257122"/>
    <s v="Valid"/>
    <s v="bhagatpurab@hotmail.com"/>
    <s v="NO"/>
    <n v="10861.43"/>
    <s v="N"/>
    <n v="250"/>
    <n v="250"/>
    <s v="A09"/>
  </r>
  <r>
    <s v="P2986"/>
    <s v="Ehsaan Bhardwaj"/>
    <s v="Ehsaan Bhardwaj"/>
    <x v="4"/>
    <n v="49"/>
    <n v="49"/>
    <s v="Dermatology"/>
    <s v="Dermatology"/>
    <s v="Dr Mehta"/>
    <s v="Dr Mehta"/>
    <d v="2026-03-11T00:00:00"/>
    <s v="Valid"/>
    <b v="1"/>
    <b v="1"/>
    <d v="2026-02-27T00:00:00"/>
    <s v="06219869796"/>
    <s v="06219869796"/>
    <s v="6219869796"/>
    <s v="Valid"/>
    <s v="tarini65@sachdeva-dalal.biz"/>
    <m/>
    <n v="19665.810000000001"/>
    <s v="N"/>
    <n v="376"/>
    <n v="376"/>
    <s v="M54"/>
  </r>
  <r>
    <s v="P2987"/>
    <s v="Mahika Swamy"/>
    <s v="Mahika Swamy"/>
    <x v="2"/>
    <n v="61"/>
    <n v="61"/>
    <s v="General Medicine"/>
    <s v="General Medicine"/>
    <s v="Dr Mehta"/>
    <s v="Dr Mehta"/>
    <d v="2026-03-19T00:00:00"/>
    <s v="Valid"/>
    <b v="1"/>
    <b v="1"/>
    <d v="2026-03-08T00:00:00"/>
    <s v="8795720348"/>
    <s v="8795720348"/>
    <s v="8795720348"/>
    <s v="Valid"/>
    <s v="yuvraj-sule@gmail.com"/>
    <s v="Yes"/>
    <n v="9400.69"/>
    <m/>
    <n v="192"/>
    <n v="192"/>
    <s v="J20"/>
  </r>
  <r>
    <s v="P2990"/>
    <s v="Rhea Rao"/>
    <s v="Rhea Rao"/>
    <x v="2"/>
    <n v="18"/>
    <n v="18"/>
    <s v="Neurology"/>
    <s v="Neurology"/>
    <s v="Dr Khan"/>
    <s v="Dr Khan"/>
    <d v="2026-04-04T00:00:00"/>
    <s v="Valid"/>
    <b v="1"/>
    <b v="1"/>
    <d v="2026-03-24T00:00:00"/>
    <s v="08466985894"/>
    <s v="08466985894"/>
    <s v="8466985894"/>
    <s v="Valid"/>
    <s v="manjaribhasin@mahajan.com"/>
    <s v="N"/>
    <n v="12860.32"/>
    <s v="NO"/>
    <n v="335"/>
    <n v="335"/>
    <s v="M54"/>
  </r>
  <r>
    <s v="P2991"/>
    <s v="Mamooty Goda"/>
    <s v="Mamooty Goda"/>
    <x v="3"/>
    <n v="38"/>
    <n v="38"/>
    <s v="Neurology"/>
    <s v="Neurology"/>
    <s v="Dr Mehta"/>
    <s v="Dr Mehta"/>
    <d v="2026-02-20T00:00:00"/>
    <s v="Valid"/>
    <b v="1"/>
    <b v="1"/>
    <d v="2026-02-05T00:00:00"/>
    <s v="3432018775"/>
    <s v="3432018775"/>
    <s v="3432018775"/>
    <s v="Valid"/>
    <s v="kademiraya@yahoo.com"/>
    <s v="Y"/>
    <n v="9750.39"/>
    <s v="Y"/>
    <n v="501"/>
    <n v="501"/>
    <s v="I10"/>
  </r>
  <r>
    <s v="P2992"/>
    <s v="Umang Shenoy"/>
    <s v="Umang Shenoy"/>
    <x v="2"/>
    <n v="70"/>
    <n v="70"/>
    <s v="Orthopedics"/>
    <s v="Orthopedics"/>
    <s v="Dr. Sharma"/>
    <s v="Dr. Sharma"/>
    <d v="2026-04-13T00:00:00"/>
    <s v="Valid"/>
    <b v="1"/>
    <b v="1"/>
    <d v="2026-04-11T00:00:00"/>
    <s v="+914811214223"/>
    <s v="914811214223"/>
    <s v="4811214223"/>
    <s v="Valid"/>
    <s v="paribera@hotmail.com"/>
    <m/>
    <n v="23511.14"/>
    <m/>
    <n v="236"/>
    <n v="236"/>
    <s v="E11"/>
  </r>
  <r>
    <s v="P2993"/>
    <s v="Taimur Seshadri"/>
    <s v="Taimur Seshadri"/>
    <x v="4"/>
    <n v="19"/>
    <n v="19"/>
    <s v="General Medicine"/>
    <s v="General Medicine"/>
    <s v="dr priya"/>
    <s v="Dr Priya"/>
    <d v="2026-03-13T00:00:00"/>
    <s v="Valid"/>
    <b v="1"/>
    <b v="1"/>
    <d v="2026-02-25T00:00:00"/>
    <s v="3133717073"/>
    <s v="3133717073"/>
    <s v="3133717073"/>
    <s v="Valid"/>
    <s v="purab91@dora-kuruvilla.com"/>
    <s v="NO"/>
    <n v="11342.12"/>
    <s v="Yes"/>
    <n v="469"/>
    <n v="469"/>
    <s v="C34"/>
  </r>
  <r>
    <s v="P2994"/>
    <s v="Amira Gera"/>
    <s v="Amira Gera"/>
    <x v="2"/>
    <n v="35"/>
    <n v="35"/>
    <s v="Orthopedics"/>
    <s v="Orthopedics"/>
    <s v="Dr Mehta"/>
    <s v="Dr Mehta"/>
    <d v="2025-12-24T00:00:00"/>
    <s v="Valid"/>
    <b v="1"/>
    <b v="1"/>
    <d v="2025-11-28T00:00:00"/>
    <s v="+919797759994"/>
    <s v="919797759994"/>
    <s v="9797759994"/>
    <s v="Valid"/>
    <s v="kalavritika@dugar.info"/>
    <s v="N"/>
    <n v="17089.18"/>
    <s v="NO"/>
    <n v="348"/>
    <n v="348"/>
    <s v="K21"/>
  </r>
  <r>
    <s v="P2996"/>
    <s v="Riaan Zacharia"/>
    <s v="Riaan Zacharia"/>
    <x v="0"/>
    <n v="74"/>
    <n v="74"/>
    <s v="Cardiology"/>
    <s v="Cardiology"/>
    <s v="Dr Rao"/>
    <s v="Dr Rao"/>
    <d v="2025-11-27T00:00:00"/>
    <s v="Valid"/>
    <b v="1"/>
    <b v="1"/>
    <d v="2025-11-25T00:00:00"/>
    <s v="9407646597"/>
    <s v="9407646597"/>
    <s v="9407646597"/>
    <s v="Valid"/>
    <s v="jhayre@basu.com"/>
    <m/>
    <n v="5645.02"/>
    <s v="NO"/>
    <n v="309"/>
    <n v="309"/>
    <s v="J20"/>
  </r>
  <r>
    <s v="P2997"/>
    <s v="Aradhya Sidhu"/>
    <s v="Aradhya Sidhu"/>
    <x v="0"/>
    <n v="59"/>
    <n v="59"/>
    <s v="Orthopedics"/>
    <s v="Orthopedics"/>
    <s v="DR SHARMA"/>
    <s v="Dr Sharma"/>
    <d v="2026-03-25T00:00:00"/>
    <s v="Valid"/>
    <b v="1"/>
    <b v="1"/>
    <d v="2026-02-27T00:00:00"/>
    <s v="6251069348"/>
    <s v="6251069348"/>
    <s v="6251069348"/>
    <s v="Valid"/>
    <s v="msama@roy.com"/>
    <s v="Yes"/>
    <n v="7105.46"/>
    <m/>
    <n v="190"/>
    <n v="190"/>
    <s v="A09"/>
  </r>
  <r>
    <s v="P2999"/>
    <s v="Lagan Tailor"/>
    <s v="Lagan Tailor"/>
    <x v="0"/>
    <n v="58"/>
    <n v="58"/>
    <s v="Pediatrics"/>
    <s v="Pediatrics"/>
    <s v="Dr Mehta"/>
    <s v="Dr Mehta"/>
    <d v="2026-02-16T00:00:00"/>
    <s v="Valid"/>
    <b v="1"/>
    <b v="1"/>
    <d v="2026-02-12T00:00:00"/>
    <s v="02529548496"/>
    <s v="02529548496"/>
    <s v="2529548496"/>
    <s v="Valid"/>
    <s v="nkhalsa@hotmail.com"/>
    <m/>
    <n v="1997.7"/>
    <s v="NO"/>
    <n v="103"/>
    <n v="103"/>
    <s v="M5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6">
  <r>
    <n v="14118.88"/>
    <x v="0"/>
    <n v="212"/>
    <n v="212"/>
    <s v="M54"/>
  </r>
  <r>
    <n v="4055.89"/>
    <x v="1"/>
    <n v="152"/>
    <n v="152"/>
    <s v="I10"/>
  </r>
  <r>
    <n v="20216.78"/>
    <x v="0"/>
    <n v="374"/>
    <n v="374"/>
    <s v="I10"/>
  </r>
  <r>
    <n v="17673.38"/>
    <x v="2"/>
    <n v="438"/>
    <n v="438"/>
    <s v="Unknown"/>
  </r>
  <r>
    <n v="11444.58"/>
    <x v="1"/>
    <n v="183"/>
    <n v="183"/>
    <s v="J20"/>
  </r>
  <r>
    <n v="13446.67"/>
    <x v="3"/>
    <n v="183"/>
    <n v="183"/>
    <s v="M54"/>
  </r>
  <r>
    <n v="5880.39"/>
    <x v="2"/>
    <n v="512"/>
    <n v="512"/>
    <s v="J20"/>
  </r>
  <r>
    <n v="5473.14"/>
    <x v="0"/>
    <n v="302"/>
    <n v="302"/>
    <s v="C34"/>
  </r>
  <r>
    <n v="18725.939999999999"/>
    <x v="0"/>
    <n v="398"/>
    <n v="398"/>
    <s v="M54"/>
  </r>
  <r>
    <n v="21555.35"/>
    <x v="4"/>
    <n v="421"/>
    <n v="421"/>
    <s v="E11"/>
  </r>
  <r>
    <n v="13322.04"/>
    <x v="2"/>
    <n v="448"/>
    <n v="448"/>
    <s v="C34"/>
  </r>
  <r>
    <n v="10982.18"/>
    <x v="0"/>
    <n v="101"/>
    <n v="101"/>
    <s v="C34"/>
  </r>
  <r>
    <n v="21073.4"/>
    <x v="3"/>
    <n v="178"/>
    <n v="178"/>
    <s v="J20"/>
  </r>
  <r>
    <n v="2974.32"/>
    <x v="1"/>
    <n v="549"/>
    <n v="549"/>
    <s v="K21"/>
  </r>
  <r>
    <n v="2324.21"/>
    <x v="0"/>
    <n v="517"/>
    <n v="517"/>
    <s v="I10"/>
  </r>
  <r>
    <n v="24116.2"/>
    <x v="3"/>
    <n v="465"/>
    <n v="465"/>
    <s v="J20"/>
  </r>
  <r>
    <n v="3200.9"/>
    <x v="3"/>
    <n v="132"/>
    <n v="132"/>
    <s v="J20"/>
  </r>
  <r>
    <n v="5513.07"/>
    <x v="4"/>
    <n v="470"/>
    <n v="470"/>
    <s v="A09"/>
  </r>
  <r>
    <n v="2603.88"/>
    <x v="0"/>
    <n v="281"/>
    <n v="281"/>
    <s v="M54"/>
  </r>
  <r>
    <n v="18259.7"/>
    <x v="1"/>
    <n v="227"/>
    <n v="227"/>
    <s v="E11"/>
  </r>
  <r>
    <n v="7107.92"/>
    <x v="3"/>
    <n v="547"/>
    <n v="547"/>
    <s v="I10"/>
  </r>
  <r>
    <n v="24231.11"/>
    <x v="3"/>
    <n v="185"/>
    <n v="185"/>
    <s v="M54"/>
  </r>
  <r>
    <n v="4283"/>
    <x v="2"/>
    <n v="299"/>
    <n v="299"/>
    <s v="J20"/>
  </r>
  <r>
    <n v="7558.35"/>
    <x v="2"/>
    <n v="396"/>
    <n v="396"/>
    <s v="C34"/>
  </r>
  <r>
    <n v="12670.69"/>
    <x v="4"/>
    <n v="129"/>
    <n v="129"/>
    <s v="A09"/>
  </r>
  <r>
    <n v="10213.629999999999"/>
    <x v="3"/>
    <n v="396"/>
    <n v="396"/>
    <s v="A09"/>
  </r>
  <r>
    <n v="23380.720000000001"/>
    <x v="3"/>
    <n v="442"/>
    <n v="442"/>
    <s v="C34"/>
  </r>
  <r>
    <n v="11539.17"/>
    <x v="1"/>
    <n v="104"/>
    <n v="104"/>
    <s v="M54"/>
  </r>
  <r>
    <n v="22045.43"/>
    <x v="3"/>
    <n v="289"/>
    <n v="289"/>
    <s v="J20"/>
  </r>
  <r>
    <n v="23307.55"/>
    <x v="1"/>
    <n v="549"/>
    <n v="549"/>
    <s v="E11"/>
  </r>
  <r>
    <n v="15199.78"/>
    <x v="1"/>
    <n v="204"/>
    <n v="204"/>
    <s v="C34"/>
  </r>
  <r>
    <n v="2489"/>
    <x v="0"/>
    <n v="524"/>
    <n v="524"/>
    <s v="J20"/>
  </r>
  <r>
    <n v="4207.2299999999996"/>
    <x v="0"/>
    <n v="382"/>
    <n v="382"/>
    <s v="C34"/>
  </r>
  <r>
    <n v="13730.64"/>
    <x v="1"/>
    <n v="398"/>
    <n v="398"/>
    <s v="A09"/>
  </r>
  <r>
    <n v="22494.74"/>
    <x v="2"/>
    <n v="283"/>
    <n v="283"/>
    <s v="E11"/>
  </r>
  <r>
    <n v="24351.16"/>
    <x v="4"/>
    <n v="221"/>
    <n v="221"/>
    <s v="K21"/>
  </r>
  <r>
    <n v="19603.189999999999"/>
    <x v="0"/>
    <n v="510"/>
    <n v="510"/>
    <s v="C34"/>
  </r>
  <r>
    <n v="21493.11"/>
    <x v="3"/>
    <n v="202"/>
    <n v="202"/>
    <s v="K21"/>
  </r>
  <r>
    <n v="16568.82"/>
    <x v="0"/>
    <n v="268"/>
    <n v="268"/>
    <s v="J20"/>
  </r>
  <r>
    <n v="23493.08"/>
    <x v="1"/>
    <n v="549"/>
    <n v="549"/>
    <s v="J20"/>
  </r>
  <r>
    <n v="8773.0400000000009"/>
    <x v="1"/>
    <n v="323"/>
    <n v="323"/>
    <s v="A09"/>
  </r>
  <r>
    <n v="241.94"/>
    <x v="3"/>
    <n v="286"/>
    <n v="286"/>
    <s v="M54"/>
  </r>
  <r>
    <n v="18049.91"/>
    <x v="2"/>
    <n v="359"/>
    <n v="359"/>
    <s v="J20"/>
  </r>
  <r>
    <n v="4957.63"/>
    <x v="0"/>
    <n v="446"/>
    <n v="446"/>
    <s v="C34"/>
  </r>
  <r>
    <n v="7736.1"/>
    <x v="3"/>
    <n v="320"/>
    <n v="320"/>
    <s v="K21"/>
  </r>
  <r>
    <n v="12877.12"/>
    <x v="4"/>
    <n v="437"/>
    <n v="437"/>
    <s v="I10"/>
  </r>
  <r>
    <n v="16885.330000000002"/>
    <x v="3"/>
    <n v="512"/>
    <n v="512"/>
    <s v="E11"/>
  </r>
  <r>
    <n v="11494.32"/>
    <x v="3"/>
    <n v="467"/>
    <n v="467"/>
    <s v="C34"/>
  </r>
  <r>
    <n v="22953.26"/>
    <x v="1"/>
    <n v="333"/>
    <n v="333"/>
    <s v="E11"/>
  </r>
  <r>
    <n v="20798.12"/>
    <x v="0"/>
    <n v="181"/>
    <n v="181"/>
    <s v="C34"/>
  </r>
  <r>
    <n v="19192.18"/>
    <x v="0"/>
    <n v="420"/>
    <n v="420"/>
    <s v="E11"/>
  </r>
  <r>
    <n v="8529.02"/>
    <x v="1"/>
    <n v="170"/>
    <n v="170"/>
    <s v="E11"/>
  </r>
  <r>
    <n v="10308.459999999999"/>
    <x v="0"/>
    <n v="312"/>
    <n v="312"/>
    <s v="I10"/>
  </r>
  <r>
    <n v="12029.1"/>
    <x v="1"/>
    <n v="252"/>
    <n v="252"/>
    <s v="K21"/>
  </r>
  <r>
    <n v="11008.73"/>
    <x v="2"/>
    <n v="299"/>
    <n v="299"/>
    <s v="J20"/>
  </r>
  <r>
    <n v="22691.84"/>
    <x v="2"/>
    <n v="142"/>
    <n v="142"/>
    <s v="C34"/>
  </r>
  <r>
    <n v="9601.7800000000007"/>
    <x v="3"/>
    <n v="332"/>
    <n v="332"/>
    <s v="J20"/>
  </r>
  <r>
    <n v="11863.61"/>
    <x v="2"/>
    <n v="279"/>
    <n v="279"/>
    <s v="E11"/>
  </r>
  <r>
    <n v="5144.1400000000003"/>
    <x v="2"/>
    <n v="418"/>
    <n v="418"/>
    <s v="E11"/>
  </r>
  <r>
    <n v="11732.84"/>
    <x v="2"/>
    <n v="492"/>
    <n v="492"/>
    <s v="J20"/>
  </r>
  <r>
    <n v="2880.85"/>
    <x v="2"/>
    <n v="259"/>
    <n v="259"/>
    <s v="A09"/>
  </r>
  <r>
    <n v="2727.15"/>
    <x v="2"/>
    <n v="535"/>
    <n v="535"/>
    <s v="C34"/>
  </r>
  <r>
    <n v="16605.73"/>
    <x v="1"/>
    <n v="359"/>
    <n v="359"/>
    <s v="C34"/>
  </r>
  <r>
    <n v="24027.53"/>
    <x v="0"/>
    <n v="462"/>
    <n v="462"/>
    <s v="E11"/>
  </r>
  <r>
    <n v="20678.22"/>
    <x v="2"/>
    <n v="265"/>
    <n v="265"/>
    <s v="K21"/>
  </r>
  <r>
    <n v="14332.27"/>
    <x v="0"/>
    <n v="272"/>
    <n v="272"/>
    <s v="I10"/>
  </r>
  <r>
    <n v="19986.240000000002"/>
    <x v="1"/>
    <n v="243"/>
    <n v="243"/>
    <s v="A09"/>
  </r>
  <r>
    <n v="18057.849999999999"/>
    <x v="0"/>
    <n v="384"/>
    <n v="384"/>
    <s v="K21"/>
  </r>
  <r>
    <n v="2507.7199999999998"/>
    <x v="3"/>
    <n v="307"/>
    <n v="307"/>
    <s v="C34"/>
  </r>
  <r>
    <n v="10752.49"/>
    <x v="1"/>
    <n v="280"/>
    <n v="280"/>
    <s v="C34"/>
  </r>
  <r>
    <n v="18087.849999999999"/>
    <x v="1"/>
    <n v="161"/>
    <n v="161"/>
    <s v="C34"/>
  </r>
  <r>
    <n v="24516.66"/>
    <x v="3"/>
    <n v="251"/>
    <n v="251"/>
    <s v="E11"/>
  </r>
  <r>
    <n v="7002.92"/>
    <x v="2"/>
    <n v="383"/>
    <n v="383"/>
    <s v="J20"/>
  </r>
  <r>
    <n v="14436.79"/>
    <x v="0"/>
    <n v="345"/>
    <n v="345"/>
    <s v="M54"/>
  </r>
  <r>
    <n v="3029.36"/>
    <x v="1"/>
    <n v="305"/>
    <n v="305"/>
    <s v="M54"/>
  </r>
  <r>
    <n v="2312.4899999999998"/>
    <x v="3"/>
    <n v="160"/>
    <n v="160"/>
    <s v="A09"/>
  </r>
  <r>
    <n v="7574.36"/>
    <x v="0"/>
    <n v="256"/>
    <n v="256"/>
    <s v="A09"/>
  </r>
  <r>
    <n v="6763.22"/>
    <x v="1"/>
    <n v="180"/>
    <n v="180"/>
    <s v="E11"/>
  </r>
  <r>
    <n v="23112.99"/>
    <x v="3"/>
    <n v="317"/>
    <n v="317"/>
    <s v="I10"/>
  </r>
  <r>
    <n v="1970.96"/>
    <x v="4"/>
    <n v="505"/>
    <n v="505"/>
    <s v="J20"/>
  </r>
  <r>
    <n v="17553.400000000001"/>
    <x v="2"/>
    <n v="356"/>
    <n v="356"/>
    <s v="A09"/>
  </r>
  <r>
    <n v="18416.439999999999"/>
    <x v="2"/>
    <n v="113"/>
    <n v="113"/>
    <s v="I10"/>
  </r>
  <r>
    <n v="19125.099999999999"/>
    <x v="4"/>
    <n v="340"/>
    <n v="340"/>
    <s v="A09"/>
  </r>
  <r>
    <n v="24232.57"/>
    <x v="0"/>
    <n v="278"/>
    <n v="278"/>
    <s v="M54"/>
  </r>
  <r>
    <n v="17403.11"/>
    <x v="2"/>
    <n v="439"/>
    <n v="439"/>
    <s v="M54"/>
  </r>
  <r>
    <n v="3074.86"/>
    <x v="0"/>
    <n v="542"/>
    <n v="542"/>
    <s v="A09"/>
  </r>
  <r>
    <n v="13057.3"/>
    <x v="0"/>
    <n v="420"/>
    <n v="420"/>
    <s v="M54"/>
  </r>
  <r>
    <n v="11065.28"/>
    <x v="0"/>
    <n v="162"/>
    <n v="162"/>
    <s v="I10"/>
  </r>
  <r>
    <n v="2511.59"/>
    <x v="1"/>
    <n v="336"/>
    <n v="336"/>
    <s v="I10"/>
  </r>
  <r>
    <n v="24510.07"/>
    <x v="3"/>
    <n v="333"/>
    <n v="333"/>
    <s v="A09"/>
  </r>
  <r>
    <n v="7050.94"/>
    <x v="0"/>
    <n v="274"/>
    <n v="274"/>
    <s v="K21"/>
  </r>
  <r>
    <n v="21658.46"/>
    <x v="0"/>
    <n v="375"/>
    <n v="375"/>
    <s v="M54"/>
  </r>
  <r>
    <n v="21766.12"/>
    <x v="3"/>
    <n v="392"/>
    <n v="392"/>
    <s v="M54"/>
  </r>
  <r>
    <n v="17689.650000000001"/>
    <x v="0"/>
    <n v="297"/>
    <n v="297"/>
    <s v="C34"/>
  </r>
  <r>
    <n v="21768.57"/>
    <x v="0"/>
    <n v="151"/>
    <n v="151"/>
    <s v="A09"/>
  </r>
  <r>
    <n v="2055.7399999999998"/>
    <x v="2"/>
    <n v="273"/>
    <n v="273"/>
    <s v="A09"/>
  </r>
  <r>
    <n v="23862.66"/>
    <x v="0"/>
    <n v="546"/>
    <n v="546"/>
    <s v="A09"/>
  </r>
  <r>
    <n v="24936.16"/>
    <x v="1"/>
    <n v="322"/>
    <n v="322"/>
    <s v="I10"/>
  </r>
  <r>
    <n v="1340.58"/>
    <x v="2"/>
    <n v="250"/>
    <n v="250"/>
    <s v="J20"/>
  </r>
  <r>
    <n v="14235.02"/>
    <x v="4"/>
    <n v="187"/>
    <n v="187"/>
    <s v="E11"/>
  </r>
  <r>
    <n v="5958.27"/>
    <x v="2"/>
    <n v="335"/>
    <n v="335"/>
    <s v="J20"/>
  </r>
  <r>
    <n v="23641.84"/>
    <x v="2"/>
    <n v="427"/>
    <n v="427"/>
    <s v="M54"/>
  </r>
  <r>
    <n v="2845"/>
    <x v="0"/>
    <n v="392"/>
    <n v="392"/>
    <s v="J20"/>
  </r>
  <r>
    <n v="7007.11"/>
    <x v="2"/>
    <n v="410"/>
    <n v="410"/>
    <s v="C34"/>
  </r>
  <r>
    <n v="15598.1"/>
    <x v="4"/>
    <n v="421"/>
    <n v="421"/>
    <s v="I10"/>
  </r>
  <r>
    <n v="18362.52"/>
    <x v="1"/>
    <n v="251"/>
    <n v="251"/>
    <s v="J20"/>
  </r>
  <r>
    <n v="13365.14"/>
    <x v="2"/>
    <n v="525"/>
    <n v="525"/>
    <s v="E11"/>
  </r>
  <r>
    <n v="11814.62"/>
    <x v="1"/>
    <n v="172"/>
    <n v="172"/>
    <s v="K21"/>
  </r>
  <r>
    <n v="545.17999999999995"/>
    <x v="1"/>
    <n v="332"/>
    <n v="332"/>
    <s v="J20"/>
  </r>
  <r>
    <n v="11892.63"/>
    <x v="1"/>
    <n v="412"/>
    <n v="412"/>
    <s v="E11"/>
  </r>
  <r>
    <n v="3093.56"/>
    <x v="2"/>
    <n v="119"/>
    <n v="119"/>
    <s v="J20"/>
  </r>
  <r>
    <n v="9838.42"/>
    <x v="1"/>
    <n v="443"/>
    <n v="443"/>
    <s v="C34"/>
  </r>
  <r>
    <n v="20875.59"/>
    <x v="0"/>
    <n v="243"/>
    <n v="243"/>
    <s v="I10"/>
  </r>
  <r>
    <n v="21415.16"/>
    <x v="1"/>
    <n v="451"/>
    <n v="451"/>
    <s v="J20"/>
  </r>
  <r>
    <n v="23735.47"/>
    <x v="0"/>
    <n v="146"/>
    <n v="146"/>
    <s v="C34"/>
  </r>
  <r>
    <n v="6240.51"/>
    <x v="4"/>
    <n v="502"/>
    <n v="502"/>
    <s v="A09"/>
  </r>
  <r>
    <n v="8348.2800000000007"/>
    <x v="4"/>
    <n v="503"/>
    <n v="503"/>
    <s v="A09"/>
  </r>
  <r>
    <n v="20003.14"/>
    <x v="1"/>
    <n v="438"/>
    <n v="438"/>
    <s v="K21"/>
  </r>
  <r>
    <n v="14803.55"/>
    <x v="2"/>
    <n v="189"/>
    <n v="189"/>
    <s v="J20"/>
  </r>
  <r>
    <n v="12010.9"/>
    <x v="1"/>
    <n v="362"/>
    <n v="362"/>
    <s v="A09"/>
  </r>
  <r>
    <n v="11559.45"/>
    <x v="2"/>
    <n v="131"/>
    <n v="131"/>
    <s v="M54"/>
  </r>
  <r>
    <n v="2022.57"/>
    <x v="1"/>
    <n v="264"/>
    <n v="264"/>
    <s v="A09"/>
  </r>
  <r>
    <n v="9646.43"/>
    <x v="2"/>
    <n v="332"/>
    <n v="332"/>
    <s v="A09"/>
  </r>
  <r>
    <n v="22224.66"/>
    <x v="0"/>
    <n v="273"/>
    <n v="273"/>
    <s v="K21"/>
  </r>
  <r>
    <n v="7950.58"/>
    <x v="2"/>
    <n v="291"/>
    <n v="291"/>
    <s v="E11"/>
  </r>
  <r>
    <n v="2594.8000000000002"/>
    <x v="1"/>
    <n v="515"/>
    <n v="515"/>
    <s v="E11"/>
  </r>
  <r>
    <n v="4037.31"/>
    <x v="0"/>
    <n v="214"/>
    <n v="214"/>
    <s v="K21"/>
  </r>
  <r>
    <n v="14437.68"/>
    <x v="0"/>
    <n v="532"/>
    <n v="532"/>
    <s v="A09"/>
  </r>
  <r>
    <n v="17626.93"/>
    <x v="2"/>
    <n v="273"/>
    <n v="273"/>
    <s v="J20"/>
  </r>
  <r>
    <n v="18576.03"/>
    <x v="2"/>
    <n v="146"/>
    <n v="146"/>
    <s v="C34"/>
  </r>
  <r>
    <n v="9377.32"/>
    <x v="1"/>
    <n v="497"/>
    <n v="497"/>
    <s v="A09"/>
  </r>
  <r>
    <n v="16914.419999999998"/>
    <x v="2"/>
    <n v="326"/>
    <n v="326"/>
    <s v="C34"/>
  </r>
  <r>
    <n v="18922.59"/>
    <x v="1"/>
    <n v="276"/>
    <n v="276"/>
    <s v="M54"/>
  </r>
  <r>
    <n v="10002.530000000001"/>
    <x v="2"/>
    <n v="103"/>
    <n v="103"/>
    <s v="E11"/>
  </r>
  <r>
    <n v="3175.61"/>
    <x v="0"/>
    <n v="482"/>
    <n v="482"/>
    <s v="M54"/>
  </r>
  <r>
    <n v="17795.57"/>
    <x v="0"/>
    <n v="248"/>
    <n v="248"/>
    <s v="I10"/>
  </r>
  <r>
    <n v="20834.240000000002"/>
    <x v="1"/>
    <n v="145"/>
    <n v="145"/>
    <s v="M54"/>
  </r>
  <r>
    <n v="10015.01"/>
    <x v="2"/>
    <n v="481"/>
    <n v="481"/>
    <s v="J20"/>
  </r>
  <r>
    <n v="13359"/>
    <x v="3"/>
    <n v="497"/>
    <n v="497"/>
    <s v="J20"/>
  </r>
  <r>
    <n v="6548.01"/>
    <x v="4"/>
    <n v="408"/>
    <n v="408"/>
    <s v="E11"/>
  </r>
  <r>
    <n v="17092.11"/>
    <x v="1"/>
    <n v="542"/>
    <n v="542"/>
    <s v="C34"/>
  </r>
  <r>
    <n v="15858.35"/>
    <x v="2"/>
    <n v="402"/>
    <n v="402"/>
    <s v="I10"/>
  </r>
  <r>
    <n v="1132.6600000000001"/>
    <x v="1"/>
    <n v="525"/>
    <n v="525"/>
    <s v="J20"/>
  </r>
  <r>
    <n v="11353.4"/>
    <x v="3"/>
    <n v="264"/>
    <n v="264"/>
    <s v="A09"/>
  </r>
  <r>
    <n v="20311.98"/>
    <x v="1"/>
    <n v="465"/>
    <n v="465"/>
    <s v="I10"/>
  </r>
  <r>
    <n v="9224.67"/>
    <x v="2"/>
    <n v="298"/>
    <n v="298"/>
    <s v="M54"/>
  </r>
  <r>
    <n v="2543.75"/>
    <x v="0"/>
    <n v="245"/>
    <n v="245"/>
    <s v="J20"/>
  </r>
  <r>
    <n v="7893.75"/>
    <x v="0"/>
    <n v="166"/>
    <n v="166"/>
    <s v="A09"/>
  </r>
  <r>
    <n v="16818.89"/>
    <x v="1"/>
    <n v="430"/>
    <n v="430"/>
    <s v="C34"/>
  </r>
  <r>
    <n v="7535.64"/>
    <x v="1"/>
    <n v="359"/>
    <n v="359"/>
    <s v="K21"/>
  </r>
  <r>
    <n v="4025.47"/>
    <x v="4"/>
    <n v="525"/>
    <n v="525"/>
    <s v="C34"/>
  </r>
  <r>
    <n v="24245.8"/>
    <x v="2"/>
    <n v="485"/>
    <n v="485"/>
    <s v="C34"/>
  </r>
  <r>
    <n v="22618.560000000001"/>
    <x v="3"/>
    <n v="288"/>
    <n v="288"/>
    <s v="C34"/>
  </r>
  <r>
    <n v="-500"/>
    <x v="3"/>
    <n v="510"/>
    <n v="510"/>
    <s v="A09"/>
  </r>
  <r>
    <n v="13952.61"/>
    <x v="1"/>
    <n v="464"/>
    <n v="464"/>
    <s v="K21"/>
  </r>
  <r>
    <n v="22651.59"/>
    <x v="4"/>
    <n v="525"/>
    <n v="525"/>
    <s v="M54"/>
  </r>
  <r>
    <n v="10489.44"/>
    <x v="0"/>
    <n v="357"/>
    <n v="357"/>
    <s v="J20"/>
  </r>
  <r>
    <n v="8103.38"/>
    <x v="1"/>
    <n v="529"/>
    <n v="529"/>
    <s v="C34"/>
  </r>
  <r>
    <n v="17462.59"/>
    <x v="4"/>
    <n v="488"/>
    <n v="488"/>
    <s v="C34"/>
  </r>
  <r>
    <n v="1384.19"/>
    <x v="0"/>
    <n v="427"/>
    <n v="427"/>
    <s v="K21"/>
  </r>
  <r>
    <n v="15872.48"/>
    <x v="3"/>
    <n v="467"/>
    <n v="467"/>
    <s v="E11"/>
  </r>
  <r>
    <n v="4845.3900000000003"/>
    <x v="1"/>
    <n v="368"/>
    <n v="368"/>
    <s v="J20"/>
  </r>
  <r>
    <n v="19333.23"/>
    <x v="1"/>
    <n v="168"/>
    <n v="168"/>
    <s v="I10"/>
  </r>
  <r>
    <n v="24524.32"/>
    <x v="0"/>
    <n v="423"/>
    <n v="423"/>
    <s v="E11"/>
  </r>
  <r>
    <n v="1286.4000000000001"/>
    <x v="3"/>
    <n v="121"/>
    <n v="121"/>
    <s v="J20"/>
  </r>
  <r>
    <n v="18881.61"/>
    <x v="3"/>
    <n v="246"/>
    <n v="246"/>
    <s v="J20"/>
  </r>
  <r>
    <n v="11036.39"/>
    <x v="0"/>
    <s v="Room-X"/>
    <n v="0"/>
    <s v="M54"/>
  </r>
  <r>
    <n v="9310.2000000000007"/>
    <x v="2"/>
    <n v="510"/>
    <n v="510"/>
    <s v="I10"/>
  </r>
  <r>
    <n v="8166.04"/>
    <x v="1"/>
    <n v="267"/>
    <n v="267"/>
    <s v="C34"/>
  </r>
  <r>
    <n v="8918.3700000000008"/>
    <x v="2"/>
    <n v="472"/>
    <n v="472"/>
    <s v="K21"/>
  </r>
  <r>
    <n v="2061.02"/>
    <x v="0"/>
    <n v="286"/>
    <n v="286"/>
    <s v="A09"/>
  </r>
  <r>
    <n v="1867.39"/>
    <x v="1"/>
    <n v="285"/>
    <n v="285"/>
    <s v="M54"/>
  </r>
  <r>
    <n v="9425.93"/>
    <x v="1"/>
    <n v="393"/>
    <n v="393"/>
    <s v="E11"/>
  </r>
  <r>
    <n v="842.65"/>
    <x v="4"/>
    <n v="355"/>
    <n v="355"/>
    <s v="A09"/>
  </r>
  <r>
    <n v="17660.14"/>
    <x v="3"/>
    <n v="413"/>
    <n v="413"/>
    <s v="J20"/>
  </r>
  <r>
    <n v="11410.66"/>
    <x v="0"/>
    <n v="144"/>
    <n v="144"/>
    <s v="K21"/>
  </r>
  <r>
    <n v="22305.03"/>
    <x v="4"/>
    <n v="464"/>
    <n v="464"/>
    <s v="C34"/>
  </r>
  <r>
    <n v="6071.06"/>
    <x v="0"/>
    <n v="113"/>
    <n v="113"/>
    <s v="J20"/>
  </r>
  <r>
    <n v="10074.370000000001"/>
    <x v="0"/>
    <n v="369"/>
    <n v="369"/>
    <s v="M54"/>
  </r>
  <r>
    <n v="11359.37"/>
    <x v="1"/>
    <n v="165"/>
    <n v="165"/>
    <s v="K21"/>
  </r>
  <r>
    <n v="13048.93"/>
    <x v="2"/>
    <n v="184"/>
    <n v="184"/>
    <s v="E11"/>
  </r>
  <r>
    <n v="6415.01"/>
    <x v="2"/>
    <n v="164"/>
    <n v="164"/>
    <s v="C34"/>
  </r>
  <r>
    <n v="4445.78"/>
    <x v="1"/>
    <n v="531"/>
    <n v="531"/>
    <s v="A09"/>
  </r>
  <r>
    <n v="16348.02"/>
    <x v="0"/>
    <n v="416"/>
    <n v="416"/>
    <s v="C34"/>
  </r>
  <r>
    <n v="20156.27"/>
    <x v="0"/>
    <n v="252"/>
    <n v="252"/>
    <s v="M54"/>
  </r>
  <r>
    <n v="12209.43"/>
    <x v="3"/>
    <n v="274"/>
    <n v="274"/>
    <s v="A09"/>
  </r>
  <r>
    <n v="19064.490000000002"/>
    <x v="1"/>
    <n v="263"/>
    <n v="263"/>
    <s v="E11"/>
  </r>
  <r>
    <n v="2600.9299999999998"/>
    <x v="2"/>
    <n v="296"/>
    <n v="296"/>
    <s v="K21"/>
  </r>
  <r>
    <n v="4907.8900000000003"/>
    <x v="4"/>
    <n v="355"/>
    <n v="355"/>
    <s v="A09"/>
  </r>
  <r>
    <n v="7286.56"/>
    <x v="2"/>
    <n v="533"/>
    <n v="533"/>
    <s v="I10"/>
  </r>
  <r>
    <n v="9275.25"/>
    <x v="0"/>
    <n v="126"/>
    <n v="126"/>
    <s v="A09"/>
  </r>
  <r>
    <n v="19157.22"/>
    <x v="2"/>
    <n v="522"/>
    <n v="522"/>
    <s v="A09"/>
  </r>
  <r>
    <n v="14034.23"/>
    <x v="1"/>
    <n v="486"/>
    <n v="486"/>
    <s v="E11"/>
  </r>
  <r>
    <n v="3598.5"/>
    <x v="1"/>
    <n v="511"/>
    <n v="511"/>
    <s v="M54"/>
  </r>
  <r>
    <n v="4230.05"/>
    <x v="2"/>
    <n v="403"/>
    <n v="403"/>
    <s v="J20"/>
  </r>
  <r>
    <n v="9335.27"/>
    <x v="1"/>
    <n v="313"/>
    <n v="313"/>
    <s v="A09"/>
  </r>
  <r>
    <n v="18090.72"/>
    <x v="0"/>
    <n v="187"/>
    <n v="187"/>
    <s v="A09"/>
  </r>
  <r>
    <n v="4931.45"/>
    <x v="0"/>
    <n v="260"/>
    <n v="260"/>
    <s v="M54"/>
  </r>
  <r>
    <n v="21845.88"/>
    <x v="2"/>
    <n v="461"/>
    <n v="461"/>
    <s v="E11"/>
  </r>
  <r>
    <n v="7981.06"/>
    <x v="4"/>
    <n v="335"/>
    <n v="335"/>
    <s v="A09"/>
  </r>
  <r>
    <s v="twenty thousand"/>
    <x v="3"/>
    <n v="242"/>
    <n v="242"/>
    <s v="A09"/>
  </r>
  <r>
    <n v="17317.95"/>
    <x v="0"/>
    <n v="262"/>
    <n v="262"/>
    <s v="M54"/>
  </r>
  <r>
    <n v="22414.86"/>
    <x v="0"/>
    <n v="519"/>
    <n v="519"/>
    <s v="J20"/>
  </r>
  <r>
    <n v="8789.82"/>
    <x v="0"/>
    <n v="435"/>
    <n v="435"/>
    <s v="J20"/>
  </r>
  <r>
    <n v="3604.37"/>
    <x v="3"/>
    <n v="224"/>
    <n v="224"/>
    <s v="I10"/>
  </r>
  <r>
    <n v="8391.2800000000007"/>
    <x v="0"/>
    <n v="151"/>
    <n v="151"/>
    <s v="C34"/>
  </r>
  <r>
    <n v="12040.72"/>
    <x v="3"/>
    <n v="487"/>
    <n v="487"/>
    <s v="J20"/>
  </r>
  <r>
    <n v="13471.78"/>
    <x v="2"/>
    <n v="189"/>
    <n v="189"/>
    <s v="M54"/>
  </r>
  <r>
    <n v="21943.23"/>
    <x v="2"/>
    <n v="252"/>
    <n v="252"/>
    <s v="A09"/>
  </r>
  <r>
    <n v="22253.65"/>
    <x v="4"/>
    <n v="535"/>
    <n v="535"/>
    <s v="A09"/>
  </r>
  <r>
    <n v="18331.759999999998"/>
    <x v="2"/>
    <n v="467"/>
    <n v="467"/>
    <s v="E11"/>
  </r>
  <r>
    <n v="20709.349999999999"/>
    <x v="1"/>
    <n v="144"/>
    <n v="144"/>
    <s v="M54"/>
  </r>
  <r>
    <n v="369.39"/>
    <x v="0"/>
    <n v="220"/>
    <n v="220"/>
    <s v="M54"/>
  </r>
  <r>
    <n v="17380.66"/>
    <x v="2"/>
    <n v="441"/>
    <n v="441"/>
    <s v="I10"/>
  </r>
  <r>
    <n v="17319.2"/>
    <x v="2"/>
    <n v="288"/>
    <n v="288"/>
    <s v="A09"/>
  </r>
  <r>
    <n v="18743.82"/>
    <x v="1"/>
    <n v="312"/>
    <n v="312"/>
    <s v="C34"/>
  </r>
  <r>
    <n v="13232.57"/>
    <x v="1"/>
    <n v="139"/>
    <n v="139"/>
    <s v="A09"/>
  </r>
  <r>
    <n v="21391.25"/>
    <x v="0"/>
    <n v="159"/>
    <n v="159"/>
    <s v="C34"/>
  </r>
  <r>
    <n v="20255.560000000001"/>
    <x v="0"/>
    <n v="167"/>
    <n v="167"/>
    <s v="A09"/>
  </r>
  <r>
    <n v="18137.349999999999"/>
    <x v="0"/>
    <n v="230"/>
    <n v="230"/>
    <s v="K21"/>
  </r>
  <r>
    <n v="17569.54"/>
    <x v="2"/>
    <n v="135"/>
    <n v="135"/>
    <s v="M54"/>
  </r>
  <r>
    <n v="19192.53"/>
    <x v="0"/>
    <n v="291"/>
    <n v="291"/>
    <s v="M54"/>
  </r>
  <r>
    <n v="16407.650000000001"/>
    <x v="1"/>
    <n v="160"/>
    <n v="160"/>
    <s v="E11"/>
  </r>
  <r>
    <n v="18953.25"/>
    <x v="2"/>
    <n v="337"/>
    <n v="337"/>
    <s v="C34"/>
  </r>
  <r>
    <n v="8784.76"/>
    <x v="2"/>
    <n v="196"/>
    <n v="196"/>
    <s v="C34"/>
  </r>
  <r>
    <n v="1868.81"/>
    <x v="2"/>
    <n v="328"/>
    <n v="328"/>
    <s v="A09"/>
  </r>
  <r>
    <n v="13586.04"/>
    <x v="2"/>
    <n v="171"/>
    <n v="171"/>
    <s v="A09"/>
  </r>
  <r>
    <n v="21931.21"/>
    <x v="3"/>
    <n v="311"/>
    <n v="311"/>
    <s v="J20"/>
  </r>
  <r>
    <n v="1362.73"/>
    <x v="1"/>
    <n v="429"/>
    <n v="429"/>
    <s v="C34"/>
  </r>
  <r>
    <n v="7637.23"/>
    <x v="4"/>
    <n v="486"/>
    <n v="486"/>
    <s v="A09"/>
  </r>
  <r>
    <n v="20183.25"/>
    <x v="2"/>
    <n v="387"/>
    <n v="387"/>
    <s v="M54"/>
  </r>
  <r>
    <n v="5242.75"/>
    <x v="1"/>
    <n v="330"/>
    <n v="330"/>
    <s v="K21"/>
  </r>
  <r>
    <n v="16907.060000000001"/>
    <x v="2"/>
    <n v="547"/>
    <n v="547"/>
    <s v="I10"/>
  </r>
  <r>
    <n v="7719.06"/>
    <x v="2"/>
    <n v="208"/>
    <n v="208"/>
    <s v="E11"/>
  </r>
  <r>
    <n v="13891.57"/>
    <x v="2"/>
    <n v="294"/>
    <n v="294"/>
    <s v="M54"/>
  </r>
  <r>
    <n v="11756.9"/>
    <x v="0"/>
    <n v="489"/>
    <n v="489"/>
    <s v="K21"/>
  </r>
  <r>
    <n v="14150.61"/>
    <x v="3"/>
    <n v="479"/>
    <n v="479"/>
    <s v="E11"/>
  </r>
  <r>
    <n v="8380.66"/>
    <x v="0"/>
    <n v="391"/>
    <n v="391"/>
    <s v="K21"/>
  </r>
  <r>
    <n v="24169.41"/>
    <x v="0"/>
    <n v="335"/>
    <n v="335"/>
    <s v="E11"/>
  </r>
  <r>
    <n v="13193.82"/>
    <x v="1"/>
    <n v="518"/>
    <n v="518"/>
    <s v="C34"/>
  </r>
  <r>
    <n v="1885.6"/>
    <x v="4"/>
    <n v="104"/>
    <n v="104"/>
    <s v="E11"/>
  </r>
  <r>
    <n v="590.15"/>
    <x v="0"/>
    <n v="106"/>
    <n v="106"/>
    <s v="I10"/>
  </r>
  <r>
    <n v="20192.96"/>
    <x v="4"/>
    <n v="154"/>
    <n v="154"/>
    <s v="I10"/>
  </r>
  <r>
    <n v="6829.65"/>
    <x v="0"/>
    <n v="140"/>
    <n v="140"/>
    <s v="J20"/>
  </r>
  <r>
    <n v="16412.650000000001"/>
    <x v="2"/>
    <n v="147"/>
    <n v="147"/>
    <s v="M54"/>
  </r>
  <r>
    <n v="17630.560000000001"/>
    <x v="1"/>
    <n v="355"/>
    <n v="355"/>
    <s v="K21"/>
  </r>
  <r>
    <n v="5898.21"/>
    <x v="0"/>
    <n v="238"/>
    <n v="238"/>
    <s v="I10"/>
  </r>
  <r>
    <n v="588.32000000000005"/>
    <x v="3"/>
    <n v="400"/>
    <n v="400"/>
    <s v="E11"/>
  </r>
  <r>
    <n v="14254.06"/>
    <x v="0"/>
    <n v="446"/>
    <n v="446"/>
    <s v="A09"/>
  </r>
  <r>
    <n v="1531.67"/>
    <x v="0"/>
    <n v="218"/>
    <n v="218"/>
    <s v="K21"/>
  </r>
  <r>
    <n v="2325.21"/>
    <x v="2"/>
    <n v="508"/>
    <n v="508"/>
    <s v="E11"/>
  </r>
  <r>
    <n v="18543.45"/>
    <x v="1"/>
    <n v="284"/>
    <n v="284"/>
    <s v="I10"/>
  </r>
  <r>
    <n v="2735.34"/>
    <x v="1"/>
    <n v="195"/>
    <n v="195"/>
    <s v="M54"/>
  </r>
  <r>
    <n v="19523.39"/>
    <x v="3"/>
    <n v="392"/>
    <n v="392"/>
    <s v="A09"/>
  </r>
  <r>
    <n v="7668.06"/>
    <x v="0"/>
    <n v="174"/>
    <n v="174"/>
    <s v="I10"/>
  </r>
  <r>
    <n v="19610.13"/>
    <x v="1"/>
    <n v="228"/>
    <n v="228"/>
    <s v="E11"/>
  </r>
  <r>
    <n v="7755.52"/>
    <x v="0"/>
    <n v="270"/>
    <n v="270"/>
    <s v="K21"/>
  </r>
  <r>
    <n v="7650.8"/>
    <x v="3"/>
    <n v="345"/>
    <n v="345"/>
    <s v="J20"/>
  </r>
  <r>
    <n v="24200.52"/>
    <x v="3"/>
    <n v="266"/>
    <n v="266"/>
    <s v="M54"/>
  </r>
  <r>
    <n v="14887.23"/>
    <x v="4"/>
    <n v="449"/>
    <n v="449"/>
    <s v="K21"/>
  </r>
  <r>
    <n v="20815.79"/>
    <x v="1"/>
    <n v="519"/>
    <n v="519"/>
    <s v="K21"/>
  </r>
  <r>
    <n v="6202.12"/>
    <x v="4"/>
    <n v="466"/>
    <n v="466"/>
    <s v="M54"/>
  </r>
  <r>
    <n v="13452.31"/>
    <x v="0"/>
    <n v="378"/>
    <n v="378"/>
    <s v="I10"/>
  </r>
  <r>
    <n v="16508.52"/>
    <x v="1"/>
    <n v="185"/>
    <n v="185"/>
    <s v="C34"/>
  </r>
  <r>
    <n v="2827.42"/>
    <x v="1"/>
    <n v="232"/>
    <n v="232"/>
    <s v="E11"/>
  </r>
  <r>
    <n v="8755.19"/>
    <x v="2"/>
    <n v="347"/>
    <n v="347"/>
    <s v="I10"/>
  </r>
  <r>
    <n v="8838.5499999999993"/>
    <x v="1"/>
    <n v="333"/>
    <n v="333"/>
    <s v="K21"/>
  </r>
  <r>
    <n v="11066.52"/>
    <x v="0"/>
    <n v="263"/>
    <n v="263"/>
    <s v="I10"/>
  </r>
  <r>
    <n v="23969.87"/>
    <x v="3"/>
    <n v="508"/>
    <n v="508"/>
    <s v="M54"/>
  </r>
  <r>
    <n v="20027.66"/>
    <x v="4"/>
    <n v="287"/>
    <n v="287"/>
    <s v="J20"/>
  </r>
  <r>
    <n v="13287.33"/>
    <x v="1"/>
    <n v="405"/>
    <n v="405"/>
    <s v="M54"/>
  </r>
  <r>
    <n v="15510.59"/>
    <x v="2"/>
    <n v="414"/>
    <n v="414"/>
    <s v="A09"/>
  </r>
  <r>
    <n v="7773.42"/>
    <x v="4"/>
    <n v="291"/>
    <n v="291"/>
    <s v="C34"/>
  </r>
  <r>
    <n v="14455.19"/>
    <x v="0"/>
    <n v="195"/>
    <n v="195"/>
    <s v="M54"/>
  </r>
  <r>
    <n v="4840.04"/>
    <x v="0"/>
    <n v="417"/>
    <n v="417"/>
    <s v="I10"/>
  </r>
  <r>
    <n v="24102.959999999999"/>
    <x v="0"/>
    <n v="309"/>
    <n v="309"/>
    <s v="C34"/>
  </r>
  <r>
    <n v="14221.87"/>
    <x v="3"/>
    <n v="249"/>
    <n v="249"/>
    <s v="I10"/>
  </r>
  <r>
    <n v="14228.13"/>
    <x v="0"/>
    <n v="381"/>
    <n v="381"/>
    <s v="A09"/>
  </r>
  <r>
    <n v="13642.68"/>
    <x v="2"/>
    <n v="489"/>
    <n v="489"/>
    <s v="C34"/>
  </r>
  <r>
    <n v="7583.18"/>
    <x v="2"/>
    <n v="330"/>
    <n v="330"/>
    <s v="J20"/>
  </r>
  <r>
    <n v="5404.98"/>
    <x v="1"/>
    <n v="540"/>
    <n v="540"/>
    <s v="C34"/>
  </r>
  <r>
    <n v="20174.919999999998"/>
    <x v="1"/>
    <n v="372"/>
    <n v="372"/>
    <s v="J20"/>
  </r>
  <r>
    <n v="23819.45"/>
    <x v="1"/>
    <n v="169"/>
    <n v="169"/>
    <s v="K21"/>
  </r>
  <r>
    <n v="6392"/>
    <x v="1"/>
    <n v="524"/>
    <n v="524"/>
    <s v="E11"/>
  </r>
  <r>
    <n v="9504.27"/>
    <x v="1"/>
    <n v="424"/>
    <n v="424"/>
    <s v="K21"/>
  </r>
  <r>
    <n v="8316.77"/>
    <x v="2"/>
    <n v="544"/>
    <n v="544"/>
    <s v="K21"/>
  </r>
  <r>
    <n v="5602.18"/>
    <x v="0"/>
    <n v="522"/>
    <n v="522"/>
    <s v="E11"/>
  </r>
  <r>
    <n v="14240.32"/>
    <x v="0"/>
    <n v="503"/>
    <n v="503"/>
    <s v="J20"/>
  </r>
  <r>
    <n v="4142.6400000000003"/>
    <x v="2"/>
    <n v="147"/>
    <n v="147"/>
    <s v="C34"/>
  </r>
  <r>
    <n v="1484.32"/>
    <x v="2"/>
    <n v="471"/>
    <n v="471"/>
    <s v="C34"/>
  </r>
  <r>
    <n v="24706.240000000002"/>
    <x v="0"/>
    <n v="455"/>
    <n v="455"/>
    <s v="E11"/>
  </r>
  <r>
    <n v="2759.4"/>
    <x v="1"/>
    <n v="253"/>
    <n v="253"/>
    <s v="E11"/>
  </r>
  <r>
    <n v="15335.92"/>
    <x v="4"/>
    <n v="325"/>
    <n v="325"/>
    <s v="J20"/>
  </r>
  <r>
    <n v="21527.07"/>
    <x v="1"/>
    <n v="151"/>
    <n v="151"/>
    <s v="E11"/>
  </r>
  <r>
    <n v="5295.05"/>
    <x v="3"/>
    <n v="482"/>
    <n v="482"/>
    <s v="M54"/>
  </r>
  <r>
    <n v="2996.04"/>
    <x v="0"/>
    <n v="426"/>
    <n v="426"/>
    <s v="A09"/>
  </r>
  <r>
    <n v="3473.18"/>
    <x v="0"/>
    <n v="287"/>
    <n v="287"/>
    <s v="A09"/>
  </r>
  <r>
    <n v="542.08000000000004"/>
    <x v="3"/>
    <n v="120"/>
    <n v="120"/>
    <s v="I10"/>
  </r>
  <r>
    <n v="2244.21"/>
    <x v="4"/>
    <n v="242"/>
    <n v="242"/>
    <s v="I10"/>
  </r>
  <r>
    <n v="9890.14"/>
    <x v="1"/>
    <n v="258"/>
    <n v="258"/>
    <s v="C34"/>
  </r>
  <r>
    <n v="3076.47"/>
    <x v="2"/>
    <n v="258"/>
    <n v="258"/>
    <s v="C34"/>
  </r>
  <r>
    <n v="4263.05"/>
    <x v="1"/>
    <n v="367"/>
    <n v="367"/>
    <s v="A09"/>
  </r>
  <r>
    <n v="18376.810000000001"/>
    <x v="1"/>
    <n v="494"/>
    <n v="494"/>
    <s v="I10"/>
  </r>
  <r>
    <n v="-500"/>
    <x v="1"/>
    <n v="128"/>
    <n v="128"/>
    <s v="M54"/>
  </r>
  <r>
    <n v="22377.86"/>
    <x v="1"/>
    <n v="216"/>
    <n v="216"/>
    <s v="C34"/>
  </r>
  <r>
    <n v="9226.6200000000008"/>
    <x v="4"/>
    <n v="191"/>
    <n v="191"/>
    <s v="K21"/>
  </r>
  <r>
    <n v="10523.16"/>
    <x v="1"/>
    <n v="238"/>
    <n v="238"/>
    <s v="K21"/>
  </r>
  <r>
    <n v="4647.74"/>
    <x v="2"/>
    <n v="305"/>
    <n v="305"/>
    <s v="I10"/>
  </r>
  <r>
    <n v="397.64"/>
    <x v="3"/>
    <n v="249"/>
    <n v="249"/>
    <s v="A09"/>
  </r>
  <r>
    <n v="24945.119999999999"/>
    <x v="3"/>
    <n v="475"/>
    <n v="475"/>
    <s v="A09"/>
  </r>
  <r>
    <n v="10611.43"/>
    <x v="2"/>
    <n v="172"/>
    <n v="172"/>
    <s v="C34"/>
  </r>
  <r>
    <n v="17581"/>
    <x v="1"/>
    <n v="334"/>
    <n v="334"/>
    <s v="C34"/>
  </r>
  <r>
    <n v="2055.8000000000002"/>
    <x v="2"/>
    <n v="322"/>
    <n v="322"/>
    <s v="C34"/>
  </r>
  <r>
    <n v="23165.84"/>
    <x v="0"/>
    <n v="458"/>
    <n v="458"/>
    <s v="K21"/>
  </r>
  <r>
    <n v="23600.16"/>
    <x v="4"/>
    <n v="499"/>
    <n v="499"/>
    <s v="K21"/>
  </r>
  <r>
    <n v="7988.03"/>
    <x v="1"/>
    <n v="374"/>
    <n v="374"/>
    <s v="J20"/>
  </r>
  <r>
    <n v="2442.44"/>
    <x v="2"/>
    <n v="523"/>
    <n v="523"/>
    <s v="C34"/>
  </r>
  <r>
    <n v="24216.32"/>
    <x v="0"/>
    <n v="362"/>
    <n v="362"/>
    <s v="I10"/>
  </r>
  <r>
    <n v="21394.11"/>
    <x v="3"/>
    <n v="148"/>
    <n v="148"/>
    <s v="M54"/>
  </r>
  <r>
    <n v="3441.74"/>
    <x v="0"/>
    <n v="290"/>
    <n v="290"/>
    <s v="C34"/>
  </r>
  <r>
    <n v="1455.81"/>
    <x v="0"/>
    <n v="520"/>
    <n v="520"/>
    <s v="C34"/>
  </r>
  <r>
    <n v="16252.5"/>
    <x v="0"/>
    <n v="310"/>
    <n v="310"/>
    <s v="A09"/>
  </r>
  <r>
    <n v="10597.02"/>
    <x v="3"/>
    <n v="422"/>
    <n v="422"/>
    <s v="K21"/>
  </r>
  <r>
    <n v="8732.0499999999993"/>
    <x v="1"/>
    <n v="298"/>
    <n v="298"/>
    <s v="J20"/>
  </r>
  <r>
    <n v="6809.87"/>
    <x v="2"/>
    <n v="491"/>
    <n v="491"/>
    <s v="E11"/>
  </r>
  <r>
    <n v="20194.009999999998"/>
    <x v="1"/>
    <n v="402"/>
    <n v="402"/>
    <s v="I10"/>
  </r>
  <r>
    <n v="13644.69"/>
    <x v="4"/>
    <n v="351"/>
    <n v="351"/>
    <s v="I10"/>
  </r>
  <r>
    <n v="8546.7099999999991"/>
    <x v="1"/>
    <s v="Room-X"/>
    <n v="0"/>
    <s v="E11"/>
  </r>
  <r>
    <n v="5736.28"/>
    <x v="4"/>
    <n v="293"/>
    <n v="293"/>
    <s v="J20"/>
  </r>
  <r>
    <n v="21298.77"/>
    <x v="2"/>
    <n v="193"/>
    <n v="193"/>
    <s v="A09"/>
  </r>
  <r>
    <n v="3687.96"/>
    <x v="1"/>
    <n v="221"/>
    <n v="221"/>
    <s v="J20"/>
  </r>
  <r>
    <n v="6777.27"/>
    <x v="3"/>
    <n v="454"/>
    <n v="454"/>
    <s v="I10"/>
  </r>
  <r>
    <n v="11067.86"/>
    <x v="0"/>
    <n v="185"/>
    <n v="185"/>
    <s v="M54"/>
  </r>
  <r>
    <n v="19760.5"/>
    <x v="3"/>
    <n v="183"/>
    <n v="183"/>
    <s v="M54"/>
  </r>
  <r>
    <n v="23801.22"/>
    <x v="1"/>
    <n v="275"/>
    <n v="275"/>
    <s v="E11"/>
  </r>
  <r>
    <n v="17671.72"/>
    <x v="0"/>
    <n v="434"/>
    <n v="434"/>
    <s v="E11"/>
  </r>
  <r>
    <n v="24365.08"/>
    <x v="0"/>
    <n v="456"/>
    <n v="456"/>
    <s v="A09"/>
  </r>
  <r>
    <n v="1430.96"/>
    <x v="0"/>
    <n v="178"/>
    <n v="178"/>
    <s v="I10"/>
  </r>
  <r>
    <n v="5151.9399999999996"/>
    <x v="2"/>
    <n v="205"/>
    <n v="205"/>
    <s v="E11"/>
  </r>
  <r>
    <n v="11879.42"/>
    <x v="2"/>
    <n v="146"/>
    <n v="146"/>
    <s v="C34"/>
  </r>
  <r>
    <n v="11255.23"/>
    <x v="2"/>
    <n v="325"/>
    <n v="325"/>
    <s v="M54"/>
  </r>
  <r>
    <n v="2325.54"/>
    <x v="1"/>
    <n v="513"/>
    <n v="513"/>
    <s v="A09"/>
  </r>
  <r>
    <n v="20496.45"/>
    <x v="0"/>
    <n v="374"/>
    <n v="374"/>
    <s v="C34"/>
  </r>
  <r>
    <n v="9991.15"/>
    <x v="2"/>
    <n v="357"/>
    <n v="357"/>
    <s v="A09"/>
  </r>
  <r>
    <n v="24309.69"/>
    <x v="3"/>
    <n v="164"/>
    <n v="164"/>
    <s v="I10"/>
  </r>
  <r>
    <n v="20885.88"/>
    <x v="2"/>
    <n v="263"/>
    <n v="263"/>
    <s v="C34"/>
  </r>
  <r>
    <n v="21444.28"/>
    <x v="0"/>
    <n v="547"/>
    <n v="547"/>
    <s v="I10"/>
  </r>
  <r>
    <n v="23138.22"/>
    <x v="1"/>
    <n v="502"/>
    <n v="502"/>
    <s v="J20"/>
  </r>
  <r>
    <n v="14386.18"/>
    <x v="0"/>
    <n v="119"/>
    <n v="119"/>
    <s v="E11"/>
  </r>
  <r>
    <n v="22261.439999999999"/>
    <x v="1"/>
    <n v="453"/>
    <n v="453"/>
    <s v="E11"/>
  </r>
  <r>
    <n v="24360.639999999999"/>
    <x v="0"/>
    <n v="496"/>
    <n v="496"/>
    <s v="K21"/>
  </r>
  <r>
    <n v="5442.48"/>
    <x v="0"/>
    <n v="479"/>
    <n v="479"/>
    <s v="M54"/>
  </r>
  <r>
    <n v="3564.12"/>
    <x v="2"/>
    <n v="188"/>
    <n v="188"/>
    <s v="E11"/>
  </r>
  <r>
    <n v="22967.17"/>
    <x v="3"/>
    <n v="240"/>
    <n v="240"/>
    <s v="J20"/>
  </r>
  <r>
    <n v="6200.06"/>
    <x v="0"/>
    <n v="404"/>
    <n v="404"/>
    <s v="M54"/>
  </r>
  <r>
    <n v="18774.240000000002"/>
    <x v="1"/>
    <n v="245"/>
    <n v="245"/>
    <s v="I10"/>
  </r>
  <r>
    <n v="16255.02"/>
    <x v="3"/>
    <n v="237"/>
    <n v="237"/>
    <s v="C34"/>
  </r>
  <r>
    <n v="16254.81"/>
    <x v="2"/>
    <n v="214"/>
    <n v="214"/>
    <s v="J20"/>
  </r>
  <r>
    <n v="21319.34"/>
    <x v="0"/>
    <n v="229"/>
    <n v="229"/>
    <s v="E11"/>
  </r>
  <r>
    <n v="21564.99"/>
    <x v="2"/>
    <n v="435"/>
    <n v="435"/>
    <s v="C34"/>
  </r>
  <r>
    <n v="20174.66"/>
    <x v="0"/>
    <n v="438"/>
    <n v="438"/>
    <s v="J20"/>
  </r>
  <r>
    <n v="10234.049999999999"/>
    <x v="2"/>
    <n v="398"/>
    <n v="398"/>
    <s v="C34"/>
  </r>
  <r>
    <n v="12781.41"/>
    <x v="4"/>
    <n v="530"/>
    <n v="530"/>
    <s v="C34"/>
  </r>
  <r>
    <n v="18184.63"/>
    <x v="4"/>
    <n v="448"/>
    <n v="448"/>
    <s v="J20"/>
  </r>
  <r>
    <n v="10627.72"/>
    <x v="1"/>
    <n v="290"/>
    <n v="290"/>
    <s v="J20"/>
  </r>
  <r>
    <n v="3606.66"/>
    <x v="3"/>
    <n v="275"/>
    <n v="275"/>
    <s v="M54"/>
  </r>
  <r>
    <n v="12292"/>
    <x v="4"/>
    <n v="260"/>
    <n v="260"/>
    <s v="C34"/>
  </r>
  <r>
    <n v="14491.72"/>
    <x v="4"/>
    <n v="350"/>
    <n v="350"/>
    <s v="K21"/>
  </r>
  <r>
    <n v="24140.13"/>
    <x v="0"/>
    <n v="102"/>
    <n v="102"/>
    <s v="I10"/>
  </r>
  <r>
    <n v="644.32000000000005"/>
    <x v="2"/>
    <n v="420"/>
    <n v="420"/>
    <s v="C34"/>
  </r>
  <r>
    <n v="9712.0499999999993"/>
    <x v="2"/>
    <n v="185"/>
    <n v="185"/>
    <s v="I10"/>
  </r>
  <r>
    <n v="10954.9"/>
    <x v="4"/>
    <n v="275"/>
    <n v="275"/>
    <s v="M54"/>
  </r>
  <r>
    <n v="9504.77"/>
    <x v="2"/>
    <n v="494"/>
    <n v="494"/>
    <s v="A09"/>
  </r>
  <r>
    <n v="1396.23"/>
    <x v="1"/>
    <n v="313"/>
    <n v="313"/>
    <s v="M54"/>
  </r>
  <r>
    <n v="5296.27"/>
    <x v="2"/>
    <n v="254"/>
    <n v="254"/>
    <s v="M54"/>
  </r>
  <r>
    <n v="12887.3"/>
    <x v="1"/>
    <n v="244"/>
    <n v="244"/>
    <s v="I10"/>
  </r>
  <r>
    <n v="20821.169999999998"/>
    <x v="3"/>
    <n v="283"/>
    <n v="283"/>
    <s v="C34"/>
  </r>
  <r>
    <n v="22776.84"/>
    <x v="0"/>
    <n v="269"/>
    <n v="269"/>
    <s v="E11"/>
  </r>
  <r>
    <n v="3898.78"/>
    <x v="1"/>
    <n v="499"/>
    <n v="499"/>
    <s v="A09"/>
  </r>
  <r>
    <n v="6750.3"/>
    <x v="2"/>
    <n v="151"/>
    <n v="151"/>
    <s v="K21"/>
  </r>
  <r>
    <n v="10764.68"/>
    <x v="1"/>
    <n v="148"/>
    <n v="148"/>
    <s v="K21"/>
  </r>
  <r>
    <n v="22384.28"/>
    <x v="2"/>
    <n v="549"/>
    <n v="549"/>
    <s v="C34"/>
  </r>
  <r>
    <n v="10126.209999999999"/>
    <x v="0"/>
    <n v="239"/>
    <n v="239"/>
    <s v="K21"/>
  </r>
  <r>
    <n v="3003.8"/>
    <x v="2"/>
    <n v="532"/>
    <n v="532"/>
    <s v="E11"/>
  </r>
  <r>
    <n v="19523.27"/>
    <x v="2"/>
    <n v="541"/>
    <n v="541"/>
    <s v="C34"/>
  </r>
  <r>
    <n v="11129.06"/>
    <x v="1"/>
    <n v="233"/>
    <n v="233"/>
    <s v="C34"/>
  </r>
  <r>
    <n v="10934.63"/>
    <x v="3"/>
    <n v="346"/>
    <n v="346"/>
    <s v="J20"/>
  </r>
  <r>
    <n v="12738.08"/>
    <x v="0"/>
    <n v="536"/>
    <n v="536"/>
    <s v="M54"/>
  </r>
  <r>
    <n v="24259.599999999999"/>
    <x v="2"/>
    <n v="359"/>
    <n v="359"/>
    <s v="E11"/>
  </r>
  <r>
    <n v="20071.28"/>
    <x v="0"/>
    <n v="145"/>
    <n v="145"/>
    <s v="K21"/>
  </r>
  <r>
    <n v="2745.55"/>
    <x v="0"/>
    <n v="118"/>
    <n v="118"/>
    <s v="A09"/>
  </r>
  <r>
    <n v="23768.81"/>
    <x v="1"/>
    <n v="522"/>
    <n v="522"/>
    <s v="I10"/>
  </r>
  <r>
    <n v="17954.650000000001"/>
    <x v="1"/>
    <n v="149"/>
    <n v="149"/>
    <s v="K21"/>
  </r>
  <r>
    <n v="2852.65"/>
    <x v="3"/>
    <n v="196"/>
    <n v="196"/>
    <s v="I10"/>
  </r>
  <r>
    <n v="2872.59"/>
    <x v="0"/>
    <n v="123"/>
    <n v="123"/>
    <s v="C34"/>
  </r>
  <r>
    <n v="307.57"/>
    <x v="2"/>
    <n v="383"/>
    <n v="383"/>
    <s v="M54"/>
  </r>
  <r>
    <n v="2768.14"/>
    <x v="1"/>
    <n v="358"/>
    <n v="358"/>
    <s v="M54"/>
  </r>
  <r>
    <n v="24268.19"/>
    <x v="0"/>
    <n v="512"/>
    <n v="512"/>
    <s v="E11"/>
  </r>
  <r>
    <n v="5182.05"/>
    <x v="2"/>
    <n v="451"/>
    <n v="451"/>
    <s v="J20"/>
  </r>
  <r>
    <n v="19067.22"/>
    <x v="0"/>
    <n v="398"/>
    <n v="398"/>
    <s v="A09"/>
  </r>
  <r>
    <n v="13163.7"/>
    <x v="2"/>
    <n v="295"/>
    <n v="295"/>
    <s v="E11"/>
  </r>
  <r>
    <n v="24591.599999999999"/>
    <x v="2"/>
    <n v="174"/>
    <n v="174"/>
    <s v="K21"/>
  </r>
  <r>
    <n v="9095.32"/>
    <x v="0"/>
    <n v="152"/>
    <n v="152"/>
    <s v="A09"/>
  </r>
  <r>
    <n v="17384.810000000001"/>
    <x v="2"/>
    <n v="295"/>
    <n v="295"/>
    <s v="M54"/>
  </r>
  <r>
    <n v="4600.16"/>
    <x v="1"/>
    <n v="195"/>
    <n v="195"/>
    <s v="E11"/>
  </r>
  <r>
    <n v="3425.65"/>
    <x v="2"/>
    <n v="102"/>
    <n v="102"/>
    <s v="J20"/>
  </r>
  <r>
    <n v="15002.63"/>
    <x v="2"/>
    <n v="351"/>
    <n v="351"/>
    <s v="K21"/>
  </r>
  <r>
    <n v="13111.04"/>
    <x v="4"/>
    <n v="312"/>
    <n v="312"/>
    <s v="A09"/>
  </r>
  <r>
    <n v="16650.7"/>
    <x v="1"/>
    <n v="284"/>
    <n v="284"/>
    <s v="J20"/>
  </r>
  <r>
    <n v="11252.55"/>
    <x v="3"/>
    <n v="120"/>
    <n v="120"/>
    <s v="C34"/>
  </r>
  <r>
    <n v="812.7"/>
    <x v="1"/>
    <n v="363"/>
    <n v="363"/>
    <s v="K21"/>
  </r>
  <r>
    <n v="8143.76"/>
    <x v="1"/>
    <n v="149"/>
    <n v="149"/>
    <s v="E11"/>
  </r>
  <r>
    <n v="21650.78"/>
    <x v="0"/>
    <n v="527"/>
    <n v="527"/>
    <s v="I10"/>
  </r>
  <r>
    <n v="789.07"/>
    <x v="1"/>
    <n v="119"/>
    <n v="119"/>
    <s v="I10"/>
  </r>
  <r>
    <n v="14459.06"/>
    <x v="3"/>
    <n v="232"/>
    <n v="232"/>
    <s v="M54"/>
  </r>
  <r>
    <n v="9859.65"/>
    <x v="1"/>
    <n v="373"/>
    <n v="373"/>
    <s v="I10"/>
  </r>
  <r>
    <n v="7387.95"/>
    <x v="2"/>
    <n v="410"/>
    <n v="410"/>
    <s v="I10"/>
  </r>
  <r>
    <n v="11954.89"/>
    <x v="3"/>
    <n v="169"/>
    <n v="169"/>
    <s v="C34"/>
  </r>
  <r>
    <n v="23943.31"/>
    <x v="2"/>
    <n v="383"/>
    <n v="383"/>
    <s v="K21"/>
  </r>
  <r>
    <n v="13521.37"/>
    <x v="1"/>
    <n v="256"/>
    <n v="256"/>
    <s v="E11"/>
  </r>
  <r>
    <n v="5675.54"/>
    <x v="2"/>
    <n v="199"/>
    <n v="199"/>
    <s v="I10"/>
  </r>
  <r>
    <n v="7408.19"/>
    <x v="1"/>
    <n v="228"/>
    <n v="228"/>
    <s v="I10"/>
  </r>
  <r>
    <n v="16848.13"/>
    <x v="3"/>
    <n v="151"/>
    <n v="151"/>
    <s v="J20"/>
  </r>
  <r>
    <n v="15485.29"/>
    <x v="2"/>
    <n v="455"/>
    <n v="455"/>
    <s v="A09"/>
  </r>
  <r>
    <n v="4382.26"/>
    <x v="1"/>
    <n v="226"/>
    <n v="226"/>
    <s v="K21"/>
  </r>
  <r>
    <n v="3530.78"/>
    <x v="1"/>
    <n v="549"/>
    <n v="549"/>
    <s v="M54"/>
  </r>
  <r>
    <n v="4559.1000000000004"/>
    <x v="1"/>
    <n v="530"/>
    <n v="530"/>
    <s v="J20"/>
  </r>
  <r>
    <n v="18240.150000000001"/>
    <x v="2"/>
    <n v="534"/>
    <n v="534"/>
    <s v="A09"/>
  </r>
  <r>
    <n v="13879.53"/>
    <x v="0"/>
    <n v="434"/>
    <n v="434"/>
    <s v="K21"/>
  </r>
  <r>
    <n v="3520.26"/>
    <x v="1"/>
    <n v="303"/>
    <n v="303"/>
    <s v="J20"/>
  </r>
  <r>
    <n v="11266.27"/>
    <x v="4"/>
    <n v="389"/>
    <n v="389"/>
    <s v="A09"/>
  </r>
  <r>
    <n v="5947.4"/>
    <x v="2"/>
    <n v="289"/>
    <n v="289"/>
    <s v="E11"/>
  </r>
  <r>
    <n v="22963.97"/>
    <x v="2"/>
    <n v="120"/>
    <n v="120"/>
    <s v="C34"/>
  </r>
  <r>
    <n v="9541.16"/>
    <x v="0"/>
    <n v="287"/>
    <n v="287"/>
    <s v="A09"/>
  </r>
  <r>
    <n v="13006.02"/>
    <x v="1"/>
    <n v="518"/>
    <n v="518"/>
    <s v="K21"/>
  </r>
  <r>
    <n v="11109.49"/>
    <x v="3"/>
    <n v="139"/>
    <n v="139"/>
    <s v="A09"/>
  </r>
  <r>
    <n v="12079.72"/>
    <x v="4"/>
    <n v="431"/>
    <n v="431"/>
    <s v="K21"/>
  </r>
  <r>
    <n v="3541.16"/>
    <x v="2"/>
    <n v="393"/>
    <n v="393"/>
    <s v="E11"/>
  </r>
  <r>
    <n v="15064.07"/>
    <x v="2"/>
    <n v="549"/>
    <n v="549"/>
    <s v="C34"/>
  </r>
  <r>
    <n v="21709.1"/>
    <x v="4"/>
    <n v="212"/>
    <n v="212"/>
    <s v="K21"/>
  </r>
  <r>
    <n v="4359.5"/>
    <x v="1"/>
    <n v="332"/>
    <n v="332"/>
    <s v="A09"/>
  </r>
  <r>
    <n v="610.75"/>
    <x v="0"/>
    <n v="523"/>
    <n v="523"/>
    <s v="E11"/>
  </r>
  <r>
    <n v="2511.11"/>
    <x v="4"/>
    <n v="408"/>
    <n v="408"/>
    <s v="A09"/>
  </r>
  <r>
    <n v="17501.54"/>
    <x v="0"/>
    <n v="217"/>
    <n v="217"/>
    <s v="K21"/>
  </r>
  <r>
    <n v="6512.05"/>
    <x v="3"/>
    <n v="539"/>
    <n v="539"/>
    <s v="I10"/>
  </r>
  <r>
    <n v="17786.89"/>
    <x v="2"/>
    <n v="395"/>
    <n v="395"/>
    <s v="A09"/>
  </r>
  <r>
    <n v="17256.62"/>
    <x v="1"/>
    <n v="309"/>
    <n v="309"/>
    <s v="J20"/>
  </r>
  <r>
    <n v="14203.82"/>
    <x v="2"/>
    <n v="448"/>
    <n v="448"/>
    <s v="M54"/>
  </r>
  <r>
    <n v="6493.69"/>
    <x v="2"/>
    <n v="395"/>
    <n v="395"/>
    <s v="J20"/>
  </r>
  <r>
    <n v="2686.91"/>
    <x v="0"/>
    <n v="502"/>
    <n v="502"/>
    <s v="J20"/>
  </r>
  <r>
    <n v="-500"/>
    <x v="0"/>
    <n v="407"/>
    <n v="407"/>
    <s v="M54"/>
  </r>
  <r>
    <n v="15303.92"/>
    <x v="0"/>
    <n v="305"/>
    <n v="305"/>
    <s v="A09"/>
  </r>
  <r>
    <n v="11086.51"/>
    <x v="3"/>
    <n v="535"/>
    <n v="535"/>
    <s v="C34"/>
  </r>
  <r>
    <n v="16915.8"/>
    <x v="1"/>
    <n v="222"/>
    <n v="222"/>
    <s v="C34"/>
  </r>
  <r>
    <n v="8957.57"/>
    <x v="0"/>
    <n v="307"/>
    <n v="307"/>
    <s v="A09"/>
  </r>
  <r>
    <n v="13829.9"/>
    <x v="1"/>
    <n v="277"/>
    <n v="277"/>
    <s v="K21"/>
  </r>
  <r>
    <n v="14457.69"/>
    <x v="2"/>
    <n v="189"/>
    <n v="189"/>
    <s v="M54"/>
  </r>
  <r>
    <n v="20112.97"/>
    <x v="2"/>
    <n v="548"/>
    <n v="548"/>
    <s v="A09"/>
  </r>
  <r>
    <n v="19295.189999999999"/>
    <x v="1"/>
    <n v="497"/>
    <n v="497"/>
    <s v="M54"/>
  </r>
  <r>
    <n v="1875.35"/>
    <x v="3"/>
    <n v="446"/>
    <n v="446"/>
    <s v="C34"/>
  </r>
  <r>
    <n v="17580.3"/>
    <x v="2"/>
    <n v="227"/>
    <n v="227"/>
    <s v="J20"/>
  </r>
  <r>
    <n v="12018.58"/>
    <x v="1"/>
    <n v="211"/>
    <n v="211"/>
    <s v="A09"/>
  </r>
  <r>
    <n v="6024.56"/>
    <x v="3"/>
    <n v="546"/>
    <n v="546"/>
    <s v="J20"/>
  </r>
  <r>
    <n v="4068.69"/>
    <x v="1"/>
    <n v="161"/>
    <n v="161"/>
    <s v="I10"/>
  </r>
  <r>
    <n v="9405.67"/>
    <x v="1"/>
    <n v="352"/>
    <n v="352"/>
    <s v="A09"/>
  </r>
  <r>
    <n v="18804.2"/>
    <x v="4"/>
    <n v="127"/>
    <n v="127"/>
    <s v="A09"/>
  </r>
  <r>
    <n v="11538.46"/>
    <x v="1"/>
    <n v="457"/>
    <n v="457"/>
    <s v="A09"/>
  </r>
  <r>
    <n v="9609.81"/>
    <x v="1"/>
    <n v="266"/>
    <n v="266"/>
    <s v="J20"/>
  </r>
  <r>
    <n v="23971.47"/>
    <x v="1"/>
    <n v="287"/>
    <n v="287"/>
    <s v="E11"/>
  </r>
  <r>
    <n v="9253.93"/>
    <x v="0"/>
    <n v="243"/>
    <n v="243"/>
    <s v="M54"/>
  </r>
  <r>
    <n v="18076.22"/>
    <x v="3"/>
    <n v="384"/>
    <n v="384"/>
    <s v="M54"/>
  </r>
  <r>
    <n v="4579.8599999999997"/>
    <x v="0"/>
    <n v="168"/>
    <n v="168"/>
    <s v="K21"/>
  </r>
  <r>
    <n v="10080.370000000001"/>
    <x v="4"/>
    <n v="130"/>
    <n v="130"/>
    <s v="E11"/>
  </r>
  <r>
    <n v="6642.27"/>
    <x v="1"/>
    <n v="386"/>
    <n v="386"/>
    <s v="A09"/>
  </r>
  <r>
    <n v="21710.74"/>
    <x v="3"/>
    <n v="395"/>
    <n v="395"/>
    <s v="A09"/>
  </r>
  <r>
    <n v="19413.66"/>
    <x v="0"/>
    <n v="140"/>
    <n v="140"/>
    <s v="M54"/>
  </r>
  <r>
    <n v="10661.05"/>
    <x v="0"/>
    <n v="534"/>
    <n v="534"/>
    <s v="I10"/>
  </r>
  <r>
    <n v="16394.72"/>
    <x v="2"/>
    <n v="409"/>
    <n v="409"/>
    <s v="C34"/>
  </r>
  <r>
    <n v="10466.93"/>
    <x v="4"/>
    <n v="537"/>
    <n v="537"/>
    <s v="I10"/>
  </r>
  <r>
    <n v="10046.73"/>
    <x v="1"/>
    <n v="132"/>
    <n v="132"/>
    <s v="M54"/>
  </r>
  <r>
    <n v="3455.67"/>
    <x v="4"/>
    <n v="114"/>
    <n v="114"/>
    <s v="I10"/>
  </r>
  <r>
    <n v="13803.92"/>
    <x v="4"/>
    <n v="457"/>
    <n v="457"/>
    <s v="A09"/>
  </r>
  <r>
    <n v="22741.29"/>
    <x v="0"/>
    <n v="376"/>
    <n v="376"/>
    <s v="E11"/>
  </r>
  <r>
    <n v="4061.79"/>
    <x v="2"/>
    <n v="100"/>
    <n v="100"/>
    <s v="A09"/>
  </r>
  <r>
    <n v="17256.7"/>
    <x v="0"/>
    <n v="486"/>
    <n v="486"/>
    <s v="M54"/>
  </r>
  <r>
    <n v="19959.830000000002"/>
    <x v="1"/>
    <n v="196"/>
    <n v="196"/>
    <s v="M54"/>
  </r>
  <r>
    <n v="20744.990000000002"/>
    <x v="3"/>
    <n v="234"/>
    <n v="234"/>
    <s v="I10"/>
  </r>
  <r>
    <n v="10440.02"/>
    <x v="1"/>
    <n v="193"/>
    <n v="193"/>
    <s v="E11"/>
  </r>
  <r>
    <n v="4857.18"/>
    <x v="2"/>
    <n v="177"/>
    <n v="177"/>
    <s v="I10"/>
  </r>
  <r>
    <n v="7927.1"/>
    <x v="0"/>
    <n v="290"/>
    <n v="290"/>
    <s v="M54"/>
  </r>
  <r>
    <n v="19436.189999999999"/>
    <x v="1"/>
    <n v="378"/>
    <n v="378"/>
    <s v="M54"/>
  </r>
  <r>
    <n v="3224.65"/>
    <x v="3"/>
    <n v="297"/>
    <n v="297"/>
    <s v="K21"/>
  </r>
  <r>
    <n v="13124.25"/>
    <x v="3"/>
    <n v="342"/>
    <n v="342"/>
    <s v="M54"/>
  </r>
  <r>
    <n v="6482.16"/>
    <x v="2"/>
    <s v="Room-X"/>
    <n v="0"/>
    <s v="J20"/>
  </r>
  <r>
    <n v="8247.93"/>
    <x v="4"/>
    <n v="506"/>
    <n v="506"/>
    <s v="J20"/>
  </r>
  <r>
    <n v="17272.48"/>
    <x v="4"/>
    <n v="290"/>
    <n v="290"/>
    <s v="K21"/>
  </r>
  <r>
    <n v="23285.05"/>
    <x v="2"/>
    <n v="130"/>
    <n v="130"/>
    <s v="J20"/>
  </r>
  <r>
    <n v="8055.14"/>
    <x v="1"/>
    <n v="512"/>
    <n v="512"/>
    <s v="M54"/>
  </r>
  <r>
    <n v="6417.27"/>
    <x v="2"/>
    <n v="348"/>
    <n v="348"/>
    <s v="C34"/>
  </r>
  <r>
    <n v="13681.79"/>
    <x v="1"/>
    <n v="474"/>
    <n v="474"/>
    <s v="M54"/>
  </r>
  <r>
    <n v="11344.73"/>
    <x v="2"/>
    <n v="377"/>
    <n v="377"/>
    <s v="J20"/>
  </r>
  <r>
    <n v="15569.42"/>
    <x v="1"/>
    <n v="497"/>
    <n v="497"/>
    <s v="A09"/>
  </r>
  <r>
    <n v="19190.21"/>
    <x v="4"/>
    <n v="413"/>
    <n v="413"/>
    <s v="J20"/>
  </r>
  <r>
    <n v="1285.68"/>
    <x v="4"/>
    <n v="191"/>
    <n v="191"/>
    <s v="K21"/>
  </r>
  <r>
    <n v="989.07"/>
    <x v="0"/>
    <n v="436"/>
    <n v="436"/>
    <s v="M54"/>
  </r>
  <r>
    <n v="524.54"/>
    <x v="3"/>
    <n v="435"/>
    <n v="435"/>
    <s v="M54"/>
  </r>
  <r>
    <n v="20586.259999999998"/>
    <x v="2"/>
    <n v="521"/>
    <n v="521"/>
    <s v="A09"/>
  </r>
  <r>
    <n v="2132.8000000000002"/>
    <x v="3"/>
    <n v="365"/>
    <n v="365"/>
    <s v="I10"/>
  </r>
  <r>
    <n v="14336.69"/>
    <x v="4"/>
    <n v="385"/>
    <n v="385"/>
    <s v="C34"/>
  </r>
  <r>
    <n v="22094.04"/>
    <x v="4"/>
    <n v="505"/>
    <n v="505"/>
    <s v="E11"/>
  </r>
  <r>
    <n v="23351.3"/>
    <x v="1"/>
    <n v="381"/>
    <n v="381"/>
    <s v="J20"/>
  </r>
  <r>
    <n v="14165.99"/>
    <x v="3"/>
    <n v="292"/>
    <n v="292"/>
    <s v="K21"/>
  </r>
  <r>
    <n v="204.85"/>
    <x v="2"/>
    <n v="245"/>
    <n v="245"/>
    <s v="A09"/>
  </r>
  <r>
    <n v="11617.17"/>
    <x v="4"/>
    <n v="170"/>
    <n v="170"/>
    <s v="J20"/>
  </r>
  <r>
    <n v="2479.25"/>
    <x v="0"/>
    <n v="391"/>
    <n v="391"/>
    <s v="E11"/>
  </r>
  <r>
    <n v="14961.73"/>
    <x v="2"/>
    <n v="119"/>
    <n v="119"/>
    <s v="C34"/>
  </r>
  <r>
    <n v="10529.74"/>
    <x v="1"/>
    <n v="545"/>
    <n v="545"/>
    <s v="K21"/>
  </r>
  <r>
    <n v="13204.71"/>
    <x v="1"/>
    <n v="376"/>
    <n v="376"/>
    <s v="A09"/>
  </r>
  <r>
    <n v="24281.8"/>
    <x v="1"/>
    <n v="213"/>
    <n v="213"/>
    <s v="M54"/>
  </r>
  <r>
    <n v="12001.2"/>
    <x v="2"/>
    <n v="380"/>
    <n v="380"/>
    <s v="M54"/>
  </r>
  <r>
    <n v="19098.419999999998"/>
    <x v="0"/>
    <n v="386"/>
    <n v="386"/>
    <s v="E11"/>
  </r>
  <r>
    <n v="6803.18"/>
    <x v="0"/>
    <n v="265"/>
    <n v="265"/>
    <s v="C34"/>
  </r>
  <r>
    <n v="4924.1499999999996"/>
    <x v="1"/>
    <n v="404"/>
    <n v="404"/>
    <s v="C34"/>
  </r>
  <r>
    <n v="15654.92"/>
    <x v="0"/>
    <n v="122"/>
    <n v="122"/>
    <s v="K21"/>
  </r>
  <r>
    <n v="2986.82"/>
    <x v="2"/>
    <n v="224"/>
    <n v="224"/>
    <s v="A09"/>
  </r>
  <r>
    <n v="7766.93"/>
    <x v="0"/>
    <n v="111"/>
    <n v="111"/>
    <s v="J20"/>
  </r>
  <r>
    <n v="13810.24"/>
    <x v="4"/>
    <n v="455"/>
    <n v="455"/>
    <s v="C34"/>
  </r>
  <r>
    <n v="21634.2"/>
    <x v="2"/>
    <n v="249"/>
    <n v="249"/>
    <s v="K21"/>
  </r>
  <r>
    <n v="12219.62"/>
    <x v="1"/>
    <n v="195"/>
    <n v="195"/>
    <s v="E11"/>
  </r>
  <r>
    <n v="8472.5300000000007"/>
    <x v="0"/>
    <n v="481"/>
    <n v="481"/>
    <s v="E11"/>
  </r>
  <r>
    <n v="6057.88"/>
    <x v="2"/>
    <n v="515"/>
    <n v="515"/>
    <s v="I10"/>
  </r>
  <r>
    <n v="8676.2999999999993"/>
    <x v="0"/>
    <n v="436"/>
    <n v="436"/>
    <s v="E11"/>
  </r>
  <r>
    <n v="10776.33"/>
    <x v="2"/>
    <n v="409"/>
    <n v="409"/>
    <s v="J20"/>
  </r>
  <r>
    <n v="14609.56"/>
    <x v="3"/>
    <n v="541"/>
    <n v="541"/>
    <s v="E11"/>
  </r>
  <r>
    <n v="16474.55"/>
    <x v="4"/>
    <n v="262"/>
    <n v="262"/>
    <s v="I10"/>
  </r>
  <r>
    <n v="19182.79"/>
    <x v="0"/>
    <n v="310"/>
    <n v="310"/>
    <s v="J20"/>
  </r>
  <r>
    <n v="2847.93"/>
    <x v="4"/>
    <n v="113"/>
    <n v="113"/>
    <s v="K21"/>
  </r>
  <r>
    <n v="9109.68"/>
    <x v="0"/>
    <n v="168"/>
    <n v="168"/>
    <s v="A09"/>
  </r>
  <r>
    <n v="12387.85"/>
    <x v="4"/>
    <n v="183"/>
    <n v="183"/>
    <s v="E11"/>
  </r>
  <r>
    <n v="23764.91"/>
    <x v="3"/>
    <n v="480"/>
    <n v="480"/>
    <s v="C34"/>
  </r>
  <r>
    <n v="21704.799999999999"/>
    <x v="0"/>
    <n v="452"/>
    <n v="452"/>
    <s v="J20"/>
  </r>
  <r>
    <n v="15276.66"/>
    <x v="0"/>
    <n v="468"/>
    <n v="468"/>
    <s v="J20"/>
  </r>
  <r>
    <n v="20709.849999999999"/>
    <x v="2"/>
    <n v="549"/>
    <n v="549"/>
    <s v="E11"/>
  </r>
  <r>
    <n v="11100.94"/>
    <x v="2"/>
    <n v="496"/>
    <n v="496"/>
    <s v="K21"/>
  </r>
  <r>
    <n v="17310.830000000002"/>
    <x v="4"/>
    <n v="337"/>
    <n v="337"/>
    <s v="K21"/>
  </r>
  <r>
    <n v="9948.0499999999993"/>
    <x v="1"/>
    <n v="330"/>
    <n v="330"/>
    <s v="I10"/>
  </r>
  <r>
    <n v="8237.0499999999993"/>
    <x v="4"/>
    <n v="467"/>
    <n v="467"/>
    <s v="C34"/>
  </r>
  <r>
    <n v="2315.6"/>
    <x v="0"/>
    <n v="472"/>
    <n v="472"/>
    <s v="K21"/>
  </r>
  <r>
    <n v="22823.87"/>
    <x v="4"/>
    <n v="183"/>
    <n v="183"/>
    <s v="K21"/>
  </r>
  <r>
    <n v="18308.009999999998"/>
    <x v="0"/>
    <n v="247"/>
    <n v="247"/>
    <s v="C34"/>
  </r>
  <r>
    <n v="11452.71"/>
    <x v="0"/>
    <n v="140"/>
    <n v="140"/>
    <s v="A09"/>
  </r>
  <r>
    <n v="3876.75"/>
    <x v="1"/>
    <n v="118"/>
    <n v="118"/>
    <s v="E11"/>
  </r>
  <r>
    <n v="1415.98"/>
    <x v="0"/>
    <n v="191"/>
    <n v="191"/>
    <s v="E11"/>
  </r>
  <r>
    <n v="23300.7"/>
    <x v="1"/>
    <n v="493"/>
    <n v="493"/>
    <s v="J20"/>
  </r>
  <r>
    <n v="21114.080000000002"/>
    <x v="1"/>
    <n v="249"/>
    <n v="249"/>
    <s v="M54"/>
  </r>
  <r>
    <n v="13211.23"/>
    <x v="3"/>
    <n v="413"/>
    <n v="413"/>
    <s v="I10"/>
  </r>
  <r>
    <n v="10790.93"/>
    <x v="1"/>
    <n v="232"/>
    <n v="232"/>
    <s v="A09"/>
  </r>
  <r>
    <n v="22114.86"/>
    <x v="3"/>
    <n v="462"/>
    <n v="462"/>
    <s v="J20"/>
  </r>
  <r>
    <n v="18489.22"/>
    <x v="3"/>
    <n v="509"/>
    <n v="509"/>
    <s v="A09"/>
  </r>
  <r>
    <n v="480.17"/>
    <x v="3"/>
    <n v="453"/>
    <n v="453"/>
    <s v="J20"/>
  </r>
  <r>
    <n v="19222.41"/>
    <x v="1"/>
    <n v="451"/>
    <n v="451"/>
    <s v="J20"/>
  </r>
  <r>
    <n v="20878.87"/>
    <x v="0"/>
    <n v="342"/>
    <n v="342"/>
    <s v="K21"/>
  </r>
  <r>
    <n v="22323.05"/>
    <x v="1"/>
    <n v="336"/>
    <n v="336"/>
    <s v="K21"/>
  </r>
  <r>
    <n v="5364.91"/>
    <x v="1"/>
    <n v="509"/>
    <n v="509"/>
    <s v="K21"/>
  </r>
  <r>
    <n v="8610.98"/>
    <x v="0"/>
    <n v="420"/>
    <n v="420"/>
    <s v="A09"/>
  </r>
  <r>
    <n v="21641.919999999998"/>
    <x v="2"/>
    <n v="461"/>
    <n v="461"/>
    <s v="K21"/>
  </r>
  <r>
    <n v="21950.81"/>
    <x v="1"/>
    <n v="331"/>
    <n v="331"/>
    <s v="K21"/>
  </r>
  <r>
    <n v="19666.61"/>
    <x v="3"/>
    <n v="147"/>
    <n v="147"/>
    <s v="M54"/>
  </r>
  <r>
    <n v="18364.54"/>
    <x v="2"/>
    <n v="497"/>
    <n v="497"/>
    <s v="J20"/>
  </r>
  <r>
    <n v="11592.34"/>
    <x v="1"/>
    <n v="102"/>
    <n v="102"/>
    <s v="J20"/>
  </r>
  <r>
    <n v="2756.95"/>
    <x v="2"/>
    <n v="111"/>
    <n v="111"/>
    <s v="A09"/>
  </r>
  <r>
    <n v="7306.87"/>
    <x v="1"/>
    <n v="495"/>
    <n v="495"/>
    <s v="M54"/>
  </r>
  <r>
    <n v="578.37"/>
    <x v="1"/>
    <n v="205"/>
    <n v="205"/>
    <s v="A09"/>
  </r>
  <r>
    <n v="14437.26"/>
    <x v="4"/>
    <n v="136"/>
    <n v="136"/>
    <s v="J20"/>
  </r>
  <r>
    <n v="11874.24"/>
    <x v="2"/>
    <n v="154"/>
    <n v="154"/>
    <s v="M54"/>
  </r>
  <r>
    <n v="15484.62"/>
    <x v="2"/>
    <n v="270"/>
    <n v="270"/>
    <s v="K21"/>
  </r>
  <r>
    <n v="2504.3200000000002"/>
    <x v="0"/>
    <n v="149"/>
    <n v="149"/>
    <s v="M54"/>
  </r>
  <r>
    <n v="3764.3"/>
    <x v="2"/>
    <n v="286"/>
    <n v="286"/>
    <s v="M54"/>
  </r>
  <r>
    <n v="950.55"/>
    <x v="0"/>
    <n v="157"/>
    <n v="157"/>
    <s v="J20"/>
  </r>
  <r>
    <n v="15190.12"/>
    <x v="4"/>
    <n v="360"/>
    <n v="360"/>
    <s v="I10"/>
  </r>
  <r>
    <n v="13412.09"/>
    <x v="0"/>
    <n v="402"/>
    <n v="402"/>
    <s v="M54"/>
  </r>
  <r>
    <n v="1838.29"/>
    <x v="3"/>
    <n v="516"/>
    <n v="516"/>
    <s v="C34"/>
  </r>
  <r>
    <n v="18536.3"/>
    <x v="0"/>
    <n v="158"/>
    <n v="158"/>
    <s v="A09"/>
  </r>
  <r>
    <n v="23905.91"/>
    <x v="1"/>
    <n v="406"/>
    <n v="406"/>
    <s v="I10"/>
  </r>
  <r>
    <n v="20462.43"/>
    <x v="2"/>
    <n v="487"/>
    <n v="487"/>
    <s v="E11"/>
  </r>
  <r>
    <n v="15364.97"/>
    <x v="0"/>
    <n v="533"/>
    <n v="533"/>
    <s v="E11"/>
  </r>
  <r>
    <n v="10269.61"/>
    <x v="0"/>
    <n v="379"/>
    <n v="379"/>
    <s v="E11"/>
  </r>
  <r>
    <n v="21114.53"/>
    <x v="1"/>
    <n v="530"/>
    <n v="530"/>
    <s v="M54"/>
  </r>
  <r>
    <n v="21531.79"/>
    <x v="0"/>
    <n v="419"/>
    <n v="419"/>
    <s v="E11"/>
  </r>
  <r>
    <n v="5798.37"/>
    <x v="0"/>
    <n v="409"/>
    <n v="409"/>
    <s v="I10"/>
  </r>
  <r>
    <n v="1029.8499999999999"/>
    <x v="2"/>
    <n v="390"/>
    <n v="390"/>
    <s v="M54"/>
  </r>
  <r>
    <n v="11730.42"/>
    <x v="1"/>
    <n v="367"/>
    <n v="367"/>
    <s v="A09"/>
  </r>
  <r>
    <s v="twenty thousand"/>
    <x v="1"/>
    <n v="373"/>
    <n v="373"/>
    <s v="K21"/>
  </r>
  <r>
    <n v="10641.2"/>
    <x v="2"/>
    <n v="248"/>
    <n v="248"/>
    <s v="E11"/>
  </r>
  <r>
    <n v="14537.9"/>
    <x v="2"/>
    <n v="436"/>
    <n v="436"/>
    <s v="J20"/>
  </r>
  <r>
    <n v="21315.84"/>
    <x v="2"/>
    <n v="229"/>
    <n v="229"/>
    <s v="E11"/>
  </r>
  <r>
    <n v="15174.77"/>
    <x v="4"/>
    <n v="437"/>
    <n v="437"/>
    <s v="M54"/>
  </r>
  <r>
    <n v="20024.43"/>
    <x v="2"/>
    <n v="275"/>
    <n v="275"/>
    <s v="I10"/>
  </r>
  <r>
    <n v="19305.12"/>
    <x v="3"/>
    <n v="438"/>
    <n v="438"/>
    <s v="M54"/>
  </r>
  <r>
    <n v="18936"/>
    <x v="1"/>
    <n v="126"/>
    <n v="126"/>
    <s v="E11"/>
  </r>
  <r>
    <n v="9619.06"/>
    <x v="0"/>
    <n v="342"/>
    <n v="342"/>
    <s v="J20"/>
  </r>
  <r>
    <n v="9673.7000000000007"/>
    <x v="1"/>
    <n v="371"/>
    <n v="371"/>
    <s v="C34"/>
  </r>
  <r>
    <n v="-500"/>
    <x v="2"/>
    <n v="510"/>
    <n v="510"/>
    <s v="I10"/>
  </r>
  <r>
    <n v="18410.97"/>
    <x v="3"/>
    <n v="366"/>
    <n v="366"/>
    <s v="J20"/>
  </r>
  <r>
    <n v="496.64"/>
    <x v="1"/>
    <n v="368"/>
    <n v="368"/>
    <s v="I10"/>
  </r>
  <r>
    <n v="1044.24"/>
    <x v="1"/>
    <n v="129"/>
    <n v="129"/>
    <s v="A09"/>
  </r>
  <r>
    <n v="9523.77"/>
    <x v="4"/>
    <n v="156"/>
    <n v="156"/>
    <s v="C34"/>
  </r>
  <r>
    <n v="16041.76"/>
    <x v="2"/>
    <n v="493"/>
    <n v="493"/>
    <s v="M54"/>
  </r>
  <r>
    <n v="9693.42"/>
    <x v="1"/>
    <n v="130"/>
    <n v="130"/>
    <s v="J20"/>
  </r>
  <r>
    <n v="15335.49"/>
    <x v="4"/>
    <n v="430"/>
    <n v="430"/>
    <s v="M54"/>
  </r>
  <r>
    <n v="22832.71"/>
    <x v="2"/>
    <n v="152"/>
    <n v="152"/>
    <s v="I10"/>
  </r>
  <r>
    <n v="3205.85"/>
    <x v="1"/>
    <n v="270"/>
    <n v="270"/>
    <s v="C34"/>
  </r>
  <r>
    <n v="2195.33"/>
    <x v="0"/>
    <n v="489"/>
    <n v="489"/>
    <s v="K21"/>
  </r>
  <r>
    <n v="24194.32"/>
    <x v="3"/>
    <n v="253"/>
    <n v="253"/>
    <s v="C34"/>
  </r>
  <r>
    <n v="18436.04"/>
    <x v="4"/>
    <n v="118"/>
    <n v="118"/>
    <s v="E11"/>
  </r>
  <r>
    <n v="19859.93"/>
    <x v="2"/>
    <n v="355"/>
    <n v="355"/>
    <s v="A09"/>
  </r>
  <r>
    <n v="19736.91"/>
    <x v="2"/>
    <n v="307"/>
    <n v="307"/>
    <s v="I10"/>
  </r>
  <r>
    <n v="23135.43"/>
    <x v="2"/>
    <n v="476"/>
    <n v="476"/>
    <s v="E11"/>
  </r>
  <r>
    <n v="6218.53"/>
    <x v="4"/>
    <n v="107"/>
    <n v="107"/>
    <s v="E11"/>
  </r>
  <r>
    <n v="20916.73"/>
    <x v="1"/>
    <n v="518"/>
    <n v="518"/>
    <s v="K21"/>
  </r>
  <r>
    <n v="10770.04"/>
    <x v="0"/>
    <n v="266"/>
    <n v="266"/>
    <s v="I10"/>
  </r>
  <r>
    <n v="8520.49"/>
    <x v="1"/>
    <n v="240"/>
    <n v="240"/>
    <s v="E11"/>
  </r>
  <r>
    <n v="23156.75"/>
    <x v="2"/>
    <n v="168"/>
    <n v="168"/>
    <s v="I10"/>
  </r>
  <r>
    <n v="379.16"/>
    <x v="1"/>
    <n v="461"/>
    <n v="461"/>
    <s v="C34"/>
  </r>
  <r>
    <n v="16067.68"/>
    <x v="0"/>
    <n v="310"/>
    <n v="310"/>
    <s v="E11"/>
  </r>
  <r>
    <n v="15378.84"/>
    <x v="1"/>
    <n v="421"/>
    <n v="421"/>
    <s v="K21"/>
  </r>
  <r>
    <n v="4959.1899999999996"/>
    <x v="1"/>
    <n v="416"/>
    <n v="416"/>
    <s v="J20"/>
  </r>
  <r>
    <n v="2994.44"/>
    <x v="4"/>
    <n v="450"/>
    <n v="450"/>
    <s v="K21"/>
  </r>
  <r>
    <n v="1539.88"/>
    <x v="1"/>
    <n v="245"/>
    <n v="245"/>
    <s v="E11"/>
  </r>
  <r>
    <n v="18562.34"/>
    <x v="4"/>
    <n v="180"/>
    <n v="180"/>
    <s v="K21"/>
  </r>
  <r>
    <n v="18090.8"/>
    <x v="1"/>
    <n v="314"/>
    <n v="314"/>
    <s v="E11"/>
  </r>
  <r>
    <n v="6080.54"/>
    <x v="0"/>
    <n v="545"/>
    <n v="545"/>
    <s v="E11"/>
  </r>
  <r>
    <n v="1547.62"/>
    <x v="0"/>
    <n v="174"/>
    <n v="174"/>
    <s v="E11"/>
  </r>
  <r>
    <n v="18051.57"/>
    <x v="1"/>
    <n v="238"/>
    <n v="238"/>
    <s v="E11"/>
  </r>
  <r>
    <n v="2955.51"/>
    <x v="0"/>
    <n v="334"/>
    <n v="334"/>
    <s v="M54"/>
  </r>
  <r>
    <n v="19780.759999999998"/>
    <x v="4"/>
    <n v="395"/>
    <n v="395"/>
    <s v="A09"/>
  </r>
  <r>
    <n v="14871.21"/>
    <x v="0"/>
    <n v="242"/>
    <n v="242"/>
    <s v="I10"/>
  </r>
  <r>
    <n v="22317.200000000001"/>
    <x v="4"/>
    <n v="393"/>
    <n v="393"/>
    <s v="I10"/>
  </r>
  <r>
    <n v="10757.3"/>
    <x v="0"/>
    <n v="345"/>
    <n v="345"/>
    <s v="K21"/>
  </r>
  <r>
    <n v="17390.36"/>
    <x v="0"/>
    <n v="211"/>
    <n v="211"/>
    <s v="E11"/>
  </r>
  <r>
    <n v="4786.6499999999996"/>
    <x v="1"/>
    <n v="420"/>
    <n v="420"/>
    <s v="M54"/>
  </r>
  <r>
    <n v="13366.82"/>
    <x v="2"/>
    <n v="318"/>
    <n v="318"/>
    <s v="K21"/>
  </r>
  <r>
    <n v="18446.87"/>
    <x v="2"/>
    <n v="363"/>
    <n v="363"/>
    <s v="C34"/>
  </r>
  <r>
    <n v="15554.51"/>
    <x v="1"/>
    <n v="287"/>
    <n v="287"/>
    <s v="E11"/>
  </r>
  <r>
    <n v="13582.92"/>
    <x v="0"/>
    <n v="477"/>
    <n v="477"/>
    <s v="K21"/>
  </r>
  <r>
    <n v="12688.44"/>
    <x v="0"/>
    <n v="241"/>
    <n v="241"/>
    <s v="I10"/>
  </r>
  <r>
    <n v="11860.06"/>
    <x v="2"/>
    <n v="331"/>
    <n v="331"/>
    <s v="A09"/>
  </r>
  <r>
    <n v="2365.2600000000002"/>
    <x v="0"/>
    <n v="191"/>
    <n v="191"/>
    <s v="J20"/>
  </r>
  <r>
    <n v="12508.95"/>
    <x v="3"/>
    <n v="366"/>
    <n v="366"/>
    <s v="C34"/>
  </r>
  <r>
    <n v="10619.22"/>
    <x v="2"/>
    <n v="249"/>
    <n v="249"/>
    <s v="E11"/>
  </r>
  <r>
    <n v="16462.86"/>
    <x v="1"/>
    <n v="348"/>
    <n v="348"/>
    <s v="A09"/>
  </r>
  <r>
    <n v="4459.08"/>
    <x v="2"/>
    <n v="216"/>
    <n v="216"/>
    <s v="M54"/>
  </r>
  <r>
    <n v="11506.98"/>
    <x v="4"/>
    <n v="416"/>
    <n v="416"/>
    <s v="E11"/>
  </r>
  <r>
    <n v="3099.55"/>
    <x v="1"/>
    <n v="394"/>
    <n v="394"/>
    <s v="E11"/>
  </r>
  <r>
    <n v="16705.72"/>
    <x v="1"/>
    <n v="175"/>
    <n v="175"/>
    <s v="J20"/>
  </r>
  <r>
    <n v="10233.15"/>
    <x v="0"/>
    <n v="493"/>
    <n v="493"/>
    <s v="E11"/>
  </r>
  <r>
    <n v="16251.65"/>
    <x v="2"/>
    <n v="342"/>
    <n v="342"/>
    <s v="J20"/>
  </r>
  <r>
    <n v="18344.68"/>
    <x v="2"/>
    <n v="171"/>
    <n v="171"/>
    <s v="C34"/>
  </r>
  <r>
    <n v="11260.12"/>
    <x v="1"/>
    <n v="267"/>
    <n v="267"/>
    <s v="I10"/>
  </r>
  <r>
    <n v="15158.66"/>
    <x v="2"/>
    <n v="441"/>
    <n v="441"/>
    <s v="J20"/>
  </r>
  <r>
    <n v="502.33"/>
    <x v="1"/>
    <n v="279"/>
    <n v="279"/>
    <s v="J20"/>
  </r>
  <r>
    <n v="18589.89"/>
    <x v="0"/>
    <n v="511"/>
    <n v="511"/>
    <s v="M54"/>
  </r>
  <r>
    <n v="3762.25"/>
    <x v="2"/>
    <n v="343"/>
    <n v="343"/>
    <s v="K21"/>
  </r>
  <r>
    <n v="7378.69"/>
    <x v="0"/>
    <n v="121"/>
    <n v="121"/>
    <s v="K21"/>
  </r>
  <r>
    <n v="5768.1"/>
    <x v="2"/>
    <n v="178"/>
    <n v="178"/>
    <s v="J20"/>
  </r>
  <r>
    <n v="10545.49"/>
    <x v="0"/>
    <n v="452"/>
    <n v="452"/>
    <s v="C34"/>
  </r>
  <r>
    <n v="15052.5"/>
    <x v="1"/>
    <n v="397"/>
    <n v="397"/>
    <s v="M54"/>
  </r>
  <r>
    <n v="21162.95"/>
    <x v="4"/>
    <n v="397"/>
    <n v="397"/>
    <s v="I10"/>
  </r>
  <r>
    <n v="1511.63"/>
    <x v="1"/>
    <n v="314"/>
    <n v="314"/>
    <s v="C34"/>
  </r>
  <r>
    <n v="12943.89"/>
    <x v="4"/>
    <n v="491"/>
    <n v="491"/>
    <s v="I10"/>
  </r>
  <r>
    <n v="6932.18"/>
    <x v="1"/>
    <n v="149"/>
    <n v="149"/>
    <s v="A09"/>
  </r>
  <r>
    <n v="9450.75"/>
    <x v="0"/>
    <n v="310"/>
    <n v="310"/>
    <s v="J20"/>
  </r>
  <r>
    <n v="20823.02"/>
    <x v="1"/>
    <n v="313"/>
    <n v="313"/>
    <s v="M54"/>
  </r>
  <r>
    <n v="7927.02"/>
    <x v="1"/>
    <n v="171"/>
    <n v="171"/>
    <s v="K21"/>
  </r>
  <r>
    <n v="913.24"/>
    <x v="1"/>
    <n v="213"/>
    <n v="213"/>
    <s v="E11"/>
  </r>
  <r>
    <n v="3429.41"/>
    <x v="1"/>
    <n v="317"/>
    <n v="317"/>
    <s v="C34"/>
  </r>
  <r>
    <n v="1254.42"/>
    <x v="1"/>
    <n v="116"/>
    <n v="116"/>
    <s v="K21"/>
  </r>
  <r>
    <n v="7680.82"/>
    <x v="2"/>
    <n v="486"/>
    <n v="486"/>
    <s v="I10"/>
  </r>
  <r>
    <n v="925.63"/>
    <x v="4"/>
    <n v="533"/>
    <n v="533"/>
    <s v="C34"/>
  </r>
  <r>
    <n v="12721.75"/>
    <x v="1"/>
    <n v="150"/>
    <n v="150"/>
    <s v="K21"/>
  </r>
  <r>
    <n v="4459.9799999999996"/>
    <x v="2"/>
    <n v="471"/>
    <n v="471"/>
    <s v="I10"/>
  </r>
  <r>
    <n v="11103.71"/>
    <x v="1"/>
    <n v="192"/>
    <n v="192"/>
    <s v="K21"/>
  </r>
  <r>
    <n v="10307.93"/>
    <x v="1"/>
    <n v="163"/>
    <n v="163"/>
    <s v="M54"/>
  </r>
  <r>
    <n v="17677.330000000002"/>
    <x v="2"/>
    <n v="142"/>
    <n v="142"/>
    <s v="J20"/>
  </r>
  <r>
    <n v="17238.75"/>
    <x v="0"/>
    <n v="215"/>
    <n v="215"/>
    <s v="A09"/>
  </r>
  <r>
    <n v="22389.919999999998"/>
    <x v="0"/>
    <n v="447"/>
    <n v="447"/>
    <s v="J20"/>
  </r>
  <r>
    <n v="13162.03"/>
    <x v="1"/>
    <n v="161"/>
    <n v="161"/>
    <s v="E11"/>
  </r>
  <r>
    <n v="24385.15"/>
    <x v="1"/>
    <n v="202"/>
    <n v="202"/>
    <s v="A09"/>
  </r>
  <r>
    <n v="7107.25"/>
    <x v="2"/>
    <n v="487"/>
    <n v="487"/>
    <s v="K21"/>
  </r>
  <r>
    <n v="3854.88"/>
    <x v="0"/>
    <n v="155"/>
    <n v="155"/>
    <s v="I10"/>
  </r>
  <r>
    <n v="937.14"/>
    <x v="2"/>
    <n v="525"/>
    <n v="525"/>
    <s v="I10"/>
  </r>
  <r>
    <n v="3987.87"/>
    <x v="1"/>
    <n v="489"/>
    <n v="489"/>
    <s v="I10"/>
  </r>
  <r>
    <n v="12358.21"/>
    <x v="2"/>
    <n v="377"/>
    <n v="377"/>
    <s v="J20"/>
  </r>
  <r>
    <n v="8001.07"/>
    <x v="0"/>
    <n v="326"/>
    <n v="326"/>
    <s v="M54"/>
  </r>
  <r>
    <n v="12388.69"/>
    <x v="4"/>
    <n v="259"/>
    <n v="259"/>
    <s v="C34"/>
  </r>
  <r>
    <n v="12002.59"/>
    <x v="4"/>
    <n v="359"/>
    <n v="359"/>
    <s v="I10"/>
  </r>
  <r>
    <n v="19208.48"/>
    <x v="2"/>
    <n v="264"/>
    <n v="264"/>
    <s v="I10"/>
  </r>
  <r>
    <n v="8852.14"/>
    <x v="2"/>
    <n v="491"/>
    <n v="491"/>
    <s v="C34"/>
  </r>
  <r>
    <n v="10415.85"/>
    <x v="2"/>
    <n v="438"/>
    <n v="438"/>
    <s v="E11"/>
  </r>
  <r>
    <n v="21749.71"/>
    <x v="1"/>
    <n v="272"/>
    <n v="272"/>
    <s v="E11"/>
  </r>
  <r>
    <n v="14287.63"/>
    <x v="0"/>
    <n v="236"/>
    <n v="236"/>
    <s v="I10"/>
  </r>
  <r>
    <n v="8196.0499999999993"/>
    <x v="1"/>
    <n v="513"/>
    <n v="513"/>
    <s v="M54"/>
  </r>
  <r>
    <n v="4332.3599999999997"/>
    <x v="2"/>
    <n v="286"/>
    <n v="286"/>
    <s v="M54"/>
  </r>
  <r>
    <n v="1378.78"/>
    <x v="0"/>
    <n v="511"/>
    <n v="511"/>
    <s v="E11"/>
  </r>
  <r>
    <n v="14247.42"/>
    <x v="0"/>
    <n v="318"/>
    <n v="318"/>
    <s v="E11"/>
  </r>
  <r>
    <n v="5161.91"/>
    <x v="0"/>
    <n v="228"/>
    <n v="228"/>
    <s v="A09"/>
  </r>
  <r>
    <n v="14505.71"/>
    <x v="3"/>
    <n v="438"/>
    <n v="438"/>
    <s v="K21"/>
  </r>
  <r>
    <n v="9234.01"/>
    <x v="4"/>
    <n v="223"/>
    <n v="223"/>
    <s v="E11"/>
  </r>
  <r>
    <n v="15921.4"/>
    <x v="0"/>
    <n v="236"/>
    <n v="236"/>
    <s v="K21"/>
  </r>
  <r>
    <n v="10265.48"/>
    <x v="1"/>
    <n v="176"/>
    <n v="176"/>
    <s v="E11"/>
  </r>
  <r>
    <n v="10666.07"/>
    <x v="2"/>
    <n v="203"/>
    <n v="203"/>
    <s v="E11"/>
  </r>
  <r>
    <n v="16535.03"/>
    <x v="4"/>
    <n v="429"/>
    <n v="429"/>
    <s v="K21"/>
  </r>
  <r>
    <n v="7984.84"/>
    <x v="2"/>
    <n v="543"/>
    <n v="543"/>
    <s v="I10"/>
  </r>
  <r>
    <n v="6053.82"/>
    <x v="1"/>
    <n v="367"/>
    <n v="367"/>
    <s v="C34"/>
  </r>
  <r>
    <n v="19375.13"/>
    <x v="1"/>
    <n v="268"/>
    <n v="268"/>
    <s v="K21"/>
  </r>
  <r>
    <n v="4543.83"/>
    <x v="2"/>
    <n v="325"/>
    <n v="325"/>
    <s v="M54"/>
  </r>
  <r>
    <n v="17550.52"/>
    <x v="1"/>
    <n v="262"/>
    <n v="262"/>
    <s v="A09"/>
  </r>
  <r>
    <n v="9202.35"/>
    <x v="1"/>
    <n v="520"/>
    <n v="520"/>
    <s v="J20"/>
  </r>
  <r>
    <n v="6473.98"/>
    <x v="0"/>
    <n v="258"/>
    <n v="258"/>
    <s v="C34"/>
  </r>
  <r>
    <n v="9834.08"/>
    <x v="0"/>
    <n v="230"/>
    <n v="230"/>
    <s v="J20"/>
  </r>
  <r>
    <n v="22914.09"/>
    <x v="1"/>
    <n v="550"/>
    <n v="550"/>
    <s v="K21"/>
  </r>
  <r>
    <n v="11883.06"/>
    <x v="0"/>
    <n v="530"/>
    <n v="530"/>
    <s v="J20"/>
  </r>
  <r>
    <n v="8926.0400000000009"/>
    <x v="1"/>
    <n v="332"/>
    <n v="332"/>
    <s v="C34"/>
  </r>
  <r>
    <n v="276.27999999999997"/>
    <x v="3"/>
    <n v="421"/>
    <n v="421"/>
    <s v="J20"/>
  </r>
  <r>
    <n v="13005.87"/>
    <x v="4"/>
    <n v="533"/>
    <n v="533"/>
    <s v="A09"/>
  </r>
  <r>
    <n v="6664.86"/>
    <x v="1"/>
    <n v="509"/>
    <n v="509"/>
    <s v="J20"/>
  </r>
  <r>
    <n v="21934.47"/>
    <x v="3"/>
    <n v="110"/>
    <n v="110"/>
    <s v="I10"/>
  </r>
  <r>
    <n v="1434.62"/>
    <x v="0"/>
    <n v="407"/>
    <n v="407"/>
    <s v="J20"/>
  </r>
  <r>
    <n v="550.04999999999995"/>
    <x v="0"/>
    <n v="495"/>
    <n v="495"/>
    <s v="M54"/>
  </r>
  <r>
    <n v="7341.46"/>
    <x v="0"/>
    <n v="295"/>
    <n v="295"/>
    <s v="E11"/>
  </r>
  <r>
    <n v="10574.61"/>
    <x v="0"/>
    <n v="505"/>
    <n v="505"/>
    <s v="E11"/>
  </r>
  <r>
    <n v="22701.74"/>
    <x v="1"/>
    <n v="398"/>
    <n v="398"/>
    <s v="C34"/>
  </r>
  <r>
    <n v="1492.39"/>
    <x v="3"/>
    <n v="341"/>
    <n v="341"/>
    <s v="J20"/>
  </r>
  <r>
    <n v="16847.3"/>
    <x v="4"/>
    <n v="386"/>
    <n v="386"/>
    <s v="I10"/>
  </r>
  <r>
    <n v="21971.84"/>
    <x v="4"/>
    <n v="145"/>
    <n v="145"/>
    <s v="J20"/>
  </r>
  <r>
    <n v="24467.21"/>
    <x v="0"/>
    <n v="546"/>
    <n v="546"/>
    <s v="K21"/>
  </r>
  <r>
    <n v="13980.73"/>
    <x v="0"/>
    <n v="127"/>
    <n v="127"/>
    <s v="E11"/>
  </r>
  <r>
    <n v="6653.55"/>
    <x v="0"/>
    <n v="323"/>
    <n v="323"/>
    <s v="I10"/>
  </r>
  <r>
    <n v="11552.44"/>
    <x v="1"/>
    <n v="533"/>
    <n v="533"/>
    <s v="C34"/>
  </r>
  <r>
    <n v="4680.24"/>
    <x v="4"/>
    <n v="483"/>
    <n v="483"/>
    <s v="A09"/>
  </r>
  <r>
    <n v="10527.19"/>
    <x v="1"/>
    <n v="226"/>
    <n v="226"/>
    <s v="K21"/>
  </r>
  <r>
    <n v="20801.34"/>
    <x v="0"/>
    <n v="332"/>
    <n v="332"/>
    <s v="C34"/>
  </r>
  <r>
    <n v="8257.9"/>
    <x v="4"/>
    <n v="208"/>
    <n v="208"/>
    <s v="K21"/>
  </r>
  <r>
    <n v="18646.240000000002"/>
    <x v="0"/>
    <n v="147"/>
    <n v="147"/>
    <s v="M54"/>
  </r>
  <r>
    <n v="21338.18"/>
    <x v="4"/>
    <n v="298"/>
    <n v="298"/>
    <s v="K21"/>
  </r>
  <r>
    <n v="20067.29"/>
    <x v="2"/>
    <n v="450"/>
    <n v="450"/>
    <s v="A09"/>
  </r>
  <r>
    <n v="12342.65"/>
    <x v="0"/>
    <n v="343"/>
    <n v="343"/>
    <s v="J20"/>
  </r>
  <r>
    <n v="10965.83"/>
    <x v="0"/>
    <n v="147"/>
    <n v="147"/>
    <s v="I10"/>
  </r>
  <r>
    <n v="13276.51"/>
    <x v="1"/>
    <n v="248"/>
    <n v="248"/>
    <s v="M54"/>
  </r>
  <r>
    <n v="17170.990000000002"/>
    <x v="2"/>
    <n v="530"/>
    <n v="530"/>
    <s v="E11"/>
  </r>
  <r>
    <n v="12932.68"/>
    <x v="0"/>
    <n v="311"/>
    <n v="311"/>
    <s v="I10"/>
  </r>
  <r>
    <n v="19262.439999999999"/>
    <x v="2"/>
    <n v="158"/>
    <n v="158"/>
    <s v="C34"/>
  </r>
  <r>
    <n v="10523.04"/>
    <x v="2"/>
    <n v="260"/>
    <n v="260"/>
    <s v="A09"/>
  </r>
  <r>
    <n v="5434.5"/>
    <x v="1"/>
    <n v="482"/>
    <n v="482"/>
    <s v="A09"/>
  </r>
  <r>
    <n v="-500"/>
    <x v="1"/>
    <n v="106"/>
    <n v="106"/>
    <s v="E11"/>
  </r>
  <r>
    <n v="17328.419999999998"/>
    <x v="0"/>
    <n v="511"/>
    <n v="511"/>
    <s v="J20"/>
  </r>
  <r>
    <n v="20436.009999999998"/>
    <x v="3"/>
    <n v="539"/>
    <n v="539"/>
    <s v="I10"/>
  </r>
  <r>
    <n v="2335.12"/>
    <x v="0"/>
    <n v="175"/>
    <n v="175"/>
    <s v="M54"/>
  </r>
  <r>
    <n v="18521.77"/>
    <x v="0"/>
    <n v="348"/>
    <n v="348"/>
    <s v="M54"/>
  </r>
  <r>
    <n v="1462.87"/>
    <x v="2"/>
    <n v="152"/>
    <n v="152"/>
    <s v="C34"/>
  </r>
  <r>
    <n v="10112.07"/>
    <x v="0"/>
    <n v="218"/>
    <n v="218"/>
    <s v="C34"/>
  </r>
  <r>
    <n v="13920.74"/>
    <x v="2"/>
    <n v="431"/>
    <n v="431"/>
    <s v="M54"/>
  </r>
  <r>
    <n v="716.01"/>
    <x v="2"/>
    <n v="471"/>
    <n v="471"/>
    <s v="E11"/>
  </r>
  <r>
    <n v="14773.94"/>
    <x v="1"/>
    <n v="408"/>
    <n v="408"/>
    <s v="K21"/>
  </r>
  <r>
    <n v="20860.400000000001"/>
    <x v="1"/>
    <n v="507"/>
    <n v="507"/>
    <s v="M54"/>
  </r>
  <r>
    <n v="16743"/>
    <x v="4"/>
    <n v="188"/>
    <n v="188"/>
    <s v="E11"/>
  </r>
  <r>
    <n v="23587.759999999998"/>
    <x v="0"/>
    <n v="255"/>
    <n v="255"/>
    <s v="E11"/>
  </r>
  <r>
    <n v="9054.69"/>
    <x v="4"/>
    <n v="189"/>
    <n v="189"/>
    <s v="K21"/>
  </r>
  <r>
    <n v="3193.06"/>
    <x v="3"/>
    <n v="349"/>
    <n v="349"/>
    <s v="J20"/>
  </r>
  <r>
    <n v="21364.52"/>
    <x v="1"/>
    <n v="461"/>
    <n v="461"/>
    <s v="I10"/>
  </r>
  <r>
    <n v="20625.53"/>
    <x v="2"/>
    <n v="359"/>
    <n v="359"/>
    <s v="I10"/>
  </r>
  <r>
    <n v="4094.41"/>
    <x v="2"/>
    <n v="462"/>
    <n v="462"/>
    <s v="M54"/>
  </r>
  <r>
    <n v="3249.99"/>
    <x v="3"/>
    <n v="324"/>
    <n v="324"/>
    <s v="M54"/>
  </r>
  <r>
    <n v="2313.8000000000002"/>
    <x v="1"/>
    <n v="466"/>
    <n v="466"/>
    <s v="K21"/>
  </r>
  <r>
    <n v="19722.95"/>
    <x v="4"/>
    <n v="510"/>
    <n v="510"/>
    <s v="M54"/>
  </r>
  <r>
    <n v="11175.95"/>
    <x v="2"/>
    <n v="467"/>
    <n v="467"/>
    <s v="K21"/>
  </r>
  <r>
    <n v="10964.99"/>
    <x v="0"/>
    <n v="488"/>
    <n v="488"/>
    <s v="I10"/>
  </r>
  <r>
    <n v="22167.41"/>
    <x v="2"/>
    <n v="469"/>
    <n v="469"/>
    <s v="C34"/>
  </r>
  <r>
    <n v="17567.32"/>
    <x v="0"/>
    <n v="429"/>
    <n v="429"/>
    <s v="E11"/>
  </r>
  <r>
    <n v="22048.17"/>
    <x v="1"/>
    <n v="118"/>
    <n v="118"/>
    <s v="A09"/>
  </r>
  <r>
    <n v="12889.46"/>
    <x v="2"/>
    <n v="366"/>
    <n v="366"/>
    <s v="J20"/>
  </r>
  <r>
    <n v="18217.43"/>
    <x v="1"/>
    <n v="474"/>
    <n v="474"/>
    <s v="I10"/>
  </r>
  <r>
    <n v="11328.67"/>
    <x v="2"/>
    <n v="332"/>
    <n v="332"/>
    <s v="J20"/>
  </r>
  <r>
    <n v="16739.669999999998"/>
    <x v="4"/>
    <n v="465"/>
    <n v="465"/>
    <s v="M54"/>
  </r>
  <r>
    <n v="11466.88"/>
    <x v="4"/>
    <n v="464"/>
    <n v="464"/>
    <s v="M54"/>
  </r>
  <r>
    <n v="12011.08"/>
    <x v="0"/>
    <n v="139"/>
    <n v="139"/>
    <s v="J20"/>
  </r>
  <r>
    <n v="15984.24"/>
    <x v="0"/>
    <n v="452"/>
    <n v="452"/>
    <s v="M54"/>
  </r>
  <r>
    <n v="3408.75"/>
    <x v="1"/>
    <n v="455"/>
    <n v="455"/>
    <s v="E11"/>
  </r>
  <r>
    <n v="23058.09"/>
    <x v="1"/>
    <n v="408"/>
    <n v="408"/>
    <s v="K21"/>
  </r>
  <r>
    <n v="1199"/>
    <x v="4"/>
    <n v="160"/>
    <n v="160"/>
    <s v="J20"/>
  </r>
  <r>
    <n v="19821.849999999999"/>
    <x v="4"/>
    <n v="501"/>
    <n v="501"/>
    <s v="A09"/>
  </r>
  <r>
    <n v="20514.3"/>
    <x v="0"/>
    <n v="101"/>
    <n v="101"/>
    <s v="I10"/>
  </r>
  <r>
    <n v="14230.95"/>
    <x v="1"/>
    <n v="500"/>
    <n v="500"/>
    <s v="M54"/>
  </r>
  <r>
    <n v="19089.63"/>
    <x v="0"/>
    <n v="176"/>
    <n v="176"/>
    <s v="K21"/>
  </r>
  <r>
    <n v="14385.47"/>
    <x v="2"/>
    <n v="387"/>
    <n v="387"/>
    <s v="C34"/>
  </r>
  <r>
    <n v="23940.86"/>
    <x v="3"/>
    <n v="484"/>
    <n v="484"/>
    <s v="M54"/>
  </r>
  <r>
    <n v="6283.11"/>
    <x v="0"/>
    <n v="143"/>
    <n v="143"/>
    <s v="K21"/>
  </r>
  <r>
    <n v="8630.92"/>
    <x v="4"/>
    <n v="312"/>
    <n v="312"/>
    <s v="I10"/>
  </r>
  <r>
    <n v="13636.13"/>
    <x v="2"/>
    <n v="173"/>
    <n v="173"/>
    <s v="E11"/>
  </r>
  <r>
    <n v="17029.490000000002"/>
    <x v="2"/>
    <n v="414"/>
    <n v="414"/>
    <s v="J20"/>
  </r>
  <r>
    <n v="8137.03"/>
    <x v="0"/>
    <n v="265"/>
    <n v="265"/>
    <s v="J20"/>
  </r>
  <r>
    <n v="12425.89"/>
    <x v="0"/>
    <n v="158"/>
    <n v="158"/>
    <s v="J20"/>
  </r>
  <r>
    <n v="916.88"/>
    <x v="3"/>
    <n v="109"/>
    <n v="109"/>
    <s v="J20"/>
  </r>
  <r>
    <n v="24041.53"/>
    <x v="0"/>
    <n v="121"/>
    <n v="121"/>
    <s v="I10"/>
  </r>
  <r>
    <n v="14711.95"/>
    <x v="2"/>
    <n v="123"/>
    <n v="123"/>
    <s v="E11"/>
  </r>
  <r>
    <n v="20796.349999999999"/>
    <x v="2"/>
    <n v="549"/>
    <n v="549"/>
    <s v="M54"/>
  </r>
  <r>
    <n v="24495.08"/>
    <x v="0"/>
    <n v="239"/>
    <n v="239"/>
    <s v="E11"/>
  </r>
  <r>
    <n v="593.69000000000005"/>
    <x v="4"/>
    <n v="430"/>
    <n v="430"/>
    <s v="I10"/>
  </r>
  <r>
    <n v="19109.14"/>
    <x v="1"/>
    <n v="503"/>
    <n v="503"/>
    <s v="C34"/>
  </r>
  <r>
    <n v="8954.27"/>
    <x v="0"/>
    <n v="523"/>
    <n v="523"/>
    <s v="A09"/>
  </r>
  <r>
    <n v="9387.92"/>
    <x v="3"/>
    <n v="327"/>
    <n v="327"/>
    <s v="I10"/>
  </r>
  <r>
    <n v="20443.759999999998"/>
    <x v="2"/>
    <n v="513"/>
    <n v="513"/>
    <s v="C34"/>
  </r>
  <r>
    <n v="12422.38"/>
    <x v="3"/>
    <n v="103"/>
    <n v="103"/>
    <s v="E11"/>
  </r>
  <r>
    <n v="16563.990000000002"/>
    <x v="4"/>
    <n v="133"/>
    <n v="133"/>
    <s v="A09"/>
  </r>
  <r>
    <n v="22048.880000000001"/>
    <x v="2"/>
    <n v="198"/>
    <n v="198"/>
    <s v="K21"/>
  </r>
  <r>
    <n v="12490.25"/>
    <x v="2"/>
    <n v="469"/>
    <n v="469"/>
    <s v="E11"/>
  </r>
  <r>
    <n v="9918.1"/>
    <x v="1"/>
    <n v="141"/>
    <n v="141"/>
    <s v="A09"/>
  </r>
  <r>
    <n v="5082.55"/>
    <x v="1"/>
    <n v="259"/>
    <n v="259"/>
    <s v="I10"/>
  </r>
  <r>
    <n v="14894.76"/>
    <x v="1"/>
    <n v="530"/>
    <n v="530"/>
    <s v="J20"/>
  </r>
  <r>
    <n v="20846.43"/>
    <x v="1"/>
    <n v="366"/>
    <n v="366"/>
    <s v="K21"/>
  </r>
  <r>
    <n v="14557.57"/>
    <x v="1"/>
    <n v="131"/>
    <n v="131"/>
    <s v="I10"/>
  </r>
  <r>
    <n v="1558.76"/>
    <x v="0"/>
    <n v="133"/>
    <n v="133"/>
    <s v="I10"/>
  </r>
  <r>
    <n v="10161.74"/>
    <x v="0"/>
    <n v="219"/>
    <n v="219"/>
    <s v="K21"/>
  </r>
  <r>
    <n v="22022.47"/>
    <x v="1"/>
    <n v="273"/>
    <n v="273"/>
    <s v="C34"/>
  </r>
  <r>
    <n v="504.76"/>
    <x v="1"/>
    <n v="403"/>
    <n v="403"/>
    <s v="K21"/>
  </r>
  <r>
    <n v="12138.7"/>
    <x v="0"/>
    <s v="Room-X"/>
    <n v="0"/>
    <s v="E11"/>
  </r>
  <r>
    <n v="12925.52"/>
    <x v="1"/>
    <n v="259"/>
    <n v="259"/>
    <s v="A09"/>
  </r>
  <r>
    <n v="7418.39"/>
    <x v="2"/>
    <n v="365"/>
    <n v="365"/>
    <s v="A09"/>
  </r>
  <r>
    <n v="5046.1000000000004"/>
    <x v="3"/>
    <n v="427"/>
    <n v="427"/>
    <s v="E11"/>
  </r>
  <r>
    <n v="15074.11"/>
    <x v="1"/>
    <n v="536"/>
    <n v="536"/>
    <s v="A09"/>
  </r>
  <r>
    <n v="2800.23"/>
    <x v="2"/>
    <n v="353"/>
    <n v="353"/>
    <s v="E11"/>
  </r>
  <r>
    <n v="6127.67"/>
    <x v="1"/>
    <n v="513"/>
    <n v="513"/>
    <s v="C34"/>
  </r>
  <r>
    <n v="9197.8700000000008"/>
    <x v="1"/>
    <n v="283"/>
    <n v="283"/>
    <s v="I10"/>
  </r>
  <r>
    <n v="1288.8399999999999"/>
    <x v="2"/>
    <n v="201"/>
    <n v="201"/>
    <s v="E11"/>
  </r>
  <r>
    <n v="8627.4699999999993"/>
    <x v="3"/>
    <n v="191"/>
    <n v="191"/>
    <s v="E11"/>
  </r>
  <r>
    <n v="16590.54"/>
    <x v="0"/>
    <n v="549"/>
    <n v="549"/>
    <s v="C34"/>
  </r>
  <r>
    <n v="4953.7"/>
    <x v="0"/>
    <n v="455"/>
    <n v="455"/>
    <s v="J20"/>
  </r>
  <r>
    <n v="19124.439999999999"/>
    <x v="3"/>
    <n v="537"/>
    <n v="537"/>
    <s v="A09"/>
  </r>
  <r>
    <n v="21846.720000000001"/>
    <x v="0"/>
    <n v="207"/>
    <n v="207"/>
    <s v="C34"/>
  </r>
  <r>
    <n v="18832.439999999999"/>
    <x v="1"/>
    <n v="355"/>
    <n v="355"/>
    <s v="A09"/>
  </r>
  <r>
    <n v="17948.12"/>
    <x v="0"/>
    <n v="342"/>
    <n v="342"/>
    <s v="J20"/>
  </r>
  <r>
    <n v="11411.59"/>
    <x v="3"/>
    <n v="302"/>
    <n v="302"/>
    <s v="E11"/>
  </r>
  <r>
    <n v="6512.33"/>
    <x v="1"/>
    <n v="168"/>
    <n v="168"/>
    <s v="K21"/>
  </r>
  <r>
    <n v="11738.28"/>
    <x v="1"/>
    <n v="318"/>
    <n v="318"/>
    <s v="M54"/>
  </r>
  <r>
    <n v="8062.11"/>
    <x v="0"/>
    <n v="112"/>
    <n v="112"/>
    <s v="E11"/>
  </r>
  <r>
    <n v="7504.04"/>
    <x v="1"/>
    <n v="502"/>
    <n v="502"/>
    <s v="J20"/>
  </r>
  <r>
    <n v="13741.45"/>
    <x v="1"/>
    <n v="200"/>
    <n v="200"/>
    <s v="C34"/>
  </r>
  <r>
    <n v="24960.45"/>
    <x v="2"/>
    <n v="104"/>
    <n v="104"/>
    <s v="K21"/>
  </r>
  <r>
    <n v="20582.16"/>
    <x v="2"/>
    <n v="341"/>
    <n v="341"/>
    <s v="C34"/>
  </r>
  <r>
    <n v="11966.07"/>
    <x v="0"/>
    <n v="469"/>
    <n v="469"/>
    <s v="K21"/>
  </r>
  <r>
    <n v="10834.07"/>
    <x v="0"/>
    <n v="207"/>
    <n v="207"/>
    <s v="M54"/>
  </r>
  <r>
    <n v="7778.18"/>
    <x v="2"/>
    <n v="355"/>
    <n v="355"/>
    <s v="K21"/>
  </r>
  <r>
    <n v="19118.47"/>
    <x v="2"/>
    <n v="266"/>
    <n v="266"/>
    <s v="A09"/>
  </r>
  <r>
    <n v="14291.13"/>
    <x v="0"/>
    <n v="295"/>
    <n v="295"/>
    <s v="E11"/>
  </r>
  <r>
    <n v="8355.27"/>
    <x v="0"/>
    <n v="427"/>
    <n v="427"/>
    <s v="J20"/>
  </r>
  <r>
    <n v="865.59"/>
    <x v="3"/>
    <n v="135"/>
    <n v="135"/>
    <s v="M54"/>
  </r>
  <r>
    <n v="11475.66"/>
    <x v="1"/>
    <n v="365"/>
    <n v="365"/>
    <s v="I10"/>
  </r>
  <r>
    <n v="3402.61"/>
    <x v="0"/>
    <n v="344"/>
    <n v="344"/>
    <s v="C34"/>
  </r>
  <r>
    <n v="7881.98"/>
    <x v="0"/>
    <n v="181"/>
    <n v="181"/>
    <s v="A09"/>
  </r>
  <r>
    <n v="11613.07"/>
    <x v="2"/>
    <n v="477"/>
    <n v="477"/>
    <s v="I10"/>
  </r>
  <r>
    <n v="9899.0400000000009"/>
    <x v="4"/>
    <n v="312"/>
    <n v="312"/>
    <s v="E11"/>
  </r>
  <r>
    <n v="17523.349999999999"/>
    <x v="1"/>
    <n v="301"/>
    <n v="301"/>
    <s v="C34"/>
  </r>
  <r>
    <n v="16733.09"/>
    <x v="1"/>
    <n v="457"/>
    <n v="457"/>
    <s v="C34"/>
  </r>
  <r>
    <n v="18933.84"/>
    <x v="1"/>
    <n v="309"/>
    <n v="309"/>
    <s v="M54"/>
  </r>
  <r>
    <n v="2015.25"/>
    <x v="0"/>
    <n v="295"/>
    <n v="295"/>
    <s v="J20"/>
  </r>
  <r>
    <n v="17896.82"/>
    <x v="0"/>
    <n v="171"/>
    <n v="171"/>
    <s v="M54"/>
  </r>
  <r>
    <n v="4595.47"/>
    <x v="1"/>
    <n v="373"/>
    <n v="373"/>
    <s v="C34"/>
  </r>
  <r>
    <n v="4006.71"/>
    <x v="1"/>
    <n v="191"/>
    <n v="191"/>
    <s v="E11"/>
  </r>
  <r>
    <n v="20945.23"/>
    <x v="1"/>
    <n v="299"/>
    <n v="299"/>
    <s v="C34"/>
  </r>
  <r>
    <n v="19224.43"/>
    <x v="3"/>
    <n v="291"/>
    <n v="291"/>
    <s v="E11"/>
  </r>
  <r>
    <n v="1291.51"/>
    <x v="1"/>
    <n v="517"/>
    <n v="517"/>
    <s v="J20"/>
  </r>
  <r>
    <n v="23485.3"/>
    <x v="1"/>
    <n v="218"/>
    <n v="218"/>
    <s v="E11"/>
  </r>
  <r>
    <n v="1289.69"/>
    <x v="3"/>
    <n v="310"/>
    <n v="310"/>
    <s v="J20"/>
  </r>
  <r>
    <n v="15076.71"/>
    <x v="0"/>
    <n v="447"/>
    <n v="447"/>
    <s v="K21"/>
  </r>
  <r>
    <n v="1874.33"/>
    <x v="2"/>
    <n v="411"/>
    <n v="411"/>
    <s v="A09"/>
  </r>
  <r>
    <n v="12568.42"/>
    <x v="3"/>
    <n v="177"/>
    <n v="177"/>
    <s v="M54"/>
  </r>
  <r>
    <n v="18533.54"/>
    <x v="1"/>
    <n v="168"/>
    <n v="168"/>
    <s v="J20"/>
  </r>
  <r>
    <n v="18813.66"/>
    <x v="3"/>
    <n v="533"/>
    <n v="533"/>
    <s v="C34"/>
  </r>
  <r>
    <n v="22684.48"/>
    <x v="3"/>
    <n v="510"/>
    <n v="510"/>
    <s v="C34"/>
  </r>
  <r>
    <n v="15818.61"/>
    <x v="1"/>
    <n v="545"/>
    <n v="545"/>
    <s v="M54"/>
  </r>
  <r>
    <n v="3313.91"/>
    <x v="4"/>
    <n v="403"/>
    <n v="403"/>
    <s v="A09"/>
  </r>
  <r>
    <n v="7924.28"/>
    <x v="3"/>
    <n v="225"/>
    <n v="225"/>
    <s v="M54"/>
  </r>
  <r>
    <n v="24199.599999999999"/>
    <x v="3"/>
    <n v="239"/>
    <n v="239"/>
    <s v="K21"/>
  </r>
  <r>
    <n v="11873.69"/>
    <x v="0"/>
    <n v="358"/>
    <n v="358"/>
    <s v="A09"/>
  </r>
  <r>
    <n v="10799.45"/>
    <x v="1"/>
    <n v="488"/>
    <n v="488"/>
    <s v="J20"/>
  </r>
  <r>
    <n v="7785.01"/>
    <x v="2"/>
    <n v="292"/>
    <n v="292"/>
    <s v="A09"/>
  </r>
  <r>
    <n v="5053.75"/>
    <x v="3"/>
    <n v="102"/>
    <n v="102"/>
    <s v="I10"/>
  </r>
  <r>
    <n v="24268.22"/>
    <x v="1"/>
    <n v="296"/>
    <n v="296"/>
    <s v="M54"/>
  </r>
  <r>
    <n v="24813.32"/>
    <x v="1"/>
    <n v="297"/>
    <n v="297"/>
    <s v="A09"/>
  </r>
  <r>
    <n v="12838.29"/>
    <x v="0"/>
    <n v="425"/>
    <n v="425"/>
    <s v="C34"/>
  </r>
  <r>
    <n v="18444.47"/>
    <x v="3"/>
    <n v="344"/>
    <n v="344"/>
    <s v="I10"/>
  </r>
  <r>
    <n v="23617.78"/>
    <x v="4"/>
    <n v="230"/>
    <n v="230"/>
    <s v="E11"/>
  </r>
  <r>
    <n v="10062.14"/>
    <x v="1"/>
    <n v="365"/>
    <n v="365"/>
    <s v="E11"/>
  </r>
  <r>
    <n v="12616.04"/>
    <x v="0"/>
    <n v="400"/>
    <n v="400"/>
    <s v="J20"/>
  </r>
  <r>
    <n v="6871.73"/>
    <x v="3"/>
    <n v="483"/>
    <n v="483"/>
    <s v="M54"/>
  </r>
  <r>
    <n v="17660.37"/>
    <x v="3"/>
    <n v="349"/>
    <n v="349"/>
    <s v="E11"/>
  </r>
  <r>
    <n v="18797.91"/>
    <x v="3"/>
    <n v="232"/>
    <n v="232"/>
    <s v="K21"/>
  </r>
  <r>
    <n v="2325.54"/>
    <x v="1"/>
    <n v="241"/>
    <n v="241"/>
    <s v="I10"/>
  </r>
  <r>
    <n v="435.76"/>
    <x v="2"/>
    <n v="484"/>
    <n v="484"/>
    <s v="I10"/>
  </r>
  <r>
    <n v="23316.78"/>
    <x v="0"/>
    <n v="487"/>
    <n v="487"/>
    <s v="J20"/>
  </r>
  <r>
    <n v="23536.58"/>
    <x v="0"/>
    <n v="293"/>
    <n v="293"/>
    <s v="A09"/>
  </r>
  <r>
    <n v="9337.06"/>
    <x v="0"/>
    <n v="363"/>
    <n v="363"/>
    <s v="M54"/>
  </r>
  <r>
    <n v="-500"/>
    <x v="1"/>
    <n v="447"/>
    <n v="447"/>
    <s v="M54"/>
  </r>
  <r>
    <n v="8838.68"/>
    <x v="0"/>
    <n v="437"/>
    <n v="437"/>
    <s v="K21"/>
  </r>
  <r>
    <n v="21772.5"/>
    <x v="2"/>
    <n v="165"/>
    <n v="165"/>
    <s v="M54"/>
  </r>
  <r>
    <n v="23885.27"/>
    <x v="0"/>
    <n v="439"/>
    <n v="439"/>
    <s v="A09"/>
  </r>
  <r>
    <n v="2815.65"/>
    <x v="2"/>
    <n v="182"/>
    <n v="182"/>
    <s v="J20"/>
  </r>
  <r>
    <n v="23797.3"/>
    <x v="1"/>
    <n v="440"/>
    <n v="440"/>
    <s v="E11"/>
  </r>
  <r>
    <n v="16170.87"/>
    <x v="0"/>
    <n v="467"/>
    <n v="467"/>
    <s v="C34"/>
  </r>
  <r>
    <n v="3069.11"/>
    <x v="1"/>
    <n v="157"/>
    <n v="157"/>
    <s v="I10"/>
  </r>
  <r>
    <n v="3359.95"/>
    <x v="1"/>
    <n v="294"/>
    <n v="294"/>
    <s v="A09"/>
  </r>
  <r>
    <n v="24500.27"/>
    <x v="1"/>
    <n v="494"/>
    <n v="494"/>
    <s v="J20"/>
  </r>
  <r>
    <n v="13549.66"/>
    <x v="0"/>
    <n v="261"/>
    <n v="261"/>
    <s v="E11"/>
  </r>
  <r>
    <n v="3817.59"/>
    <x v="2"/>
    <n v="406"/>
    <n v="406"/>
    <s v="J20"/>
  </r>
  <r>
    <n v="15850.71"/>
    <x v="3"/>
    <n v="353"/>
    <n v="353"/>
    <s v="J20"/>
  </r>
  <r>
    <n v="21232.13"/>
    <x v="3"/>
    <n v="458"/>
    <n v="458"/>
    <s v="C34"/>
  </r>
  <r>
    <n v="24778.37"/>
    <x v="0"/>
    <n v="272"/>
    <n v="272"/>
    <s v="M54"/>
  </r>
  <r>
    <n v="7202.63"/>
    <x v="3"/>
    <n v="458"/>
    <n v="458"/>
    <s v="K21"/>
  </r>
  <r>
    <n v="21275.279999999999"/>
    <x v="2"/>
    <n v="334"/>
    <n v="334"/>
    <s v="C34"/>
  </r>
  <r>
    <n v="7418.82"/>
    <x v="4"/>
    <n v="207"/>
    <n v="207"/>
    <s v="E11"/>
  </r>
  <r>
    <n v="17022.28"/>
    <x v="4"/>
    <n v="292"/>
    <n v="292"/>
    <s v="M54"/>
  </r>
  <r>
    <n v="23637.57"/>
    <x v="1"/>
    <n v="363"/>
    <n v="363"/>
    <s v="C34"/>
  </r>
  <r>
    <n v="19487.72"/>
    <x v="0"/>
    <n v="240"/>
    <n v="240"/>
    <s v="C34"/>
  </r>
  <r>
    <n v="3226.88"/>
    <x v="3"/>
    <n v="111"/>
    <n v="111"/>
    <s v="A09"/>
  </r>
  <r>
    <n v="24998.86"/>
    <x v="0"/>
    <n v="252"/>
    <n v="252"/>
    <s v="A09"/>
  </r>
  <r>
    <n v="10252.200000000001"/>
    <x v="2"/>
    <n v="301"/>
    <n v="301"/>
    <s v="A09"/>
  </r>
  <r>
    <n v="4680.47"/>
    <x v="4"/>
    <n v="102"/>
    <n v="102"/>
    <s v="A09"/>
  </r>
  <r>
    <n v="16385.48"/>
    <x v="1"/>
    <n v="387"/>
    <n v="387"/>
    <s v="J20"/>
  </r>
  <r>
    <n v="10691.67"/>
    <x v="2"/>
    <n v="227"/>
    <n v="227"/>
    <s v="J20"/>
  </r>
  <r>
    <n v="17438.52"/>
    <x v="1"/>
    <n v="410"/>
    <n v="410"/>
    <s v="A09"/>
  </r>
  <r>
    <n v="4864.2299999999996"/>
    <x v="2"/>
    <n v="538"/>
    <n v="538"/>
    <s v="K21"/>
  </r>
  <r>
    <n v="18281.79"/>
    <x v="0"/>
    <n v="138"/>
    <n v="138"/>
    <s v="A09"/>
  </r>
  <r>
    <n v="2264.6999999999998"/>
    <x v="2"/>
    <n v="446"/>
    <n v="446"/>
    <s v="M54"/>
  </r>
  <r>
    <n v="24884.91"/>
    <x v="3"/>
    <n v="465"/>
    <n v="465"/>
    <s v="J20"/>
  </r>
  <r>
    <n v="9597.76"/>
    <x v="3"/>
    <n v="139"/>
    <n v="139"/>
    <s v="J20"/>
  </r>
  <r>
    <n v="16076.4"/>
    <x v="1"/>
    <n v="270"/>
    <n v="270"/>
    <s v="K21"/>
  </r>
  <r>
    <n v="17571.3"/>
    <x v="2"/>
    <n v="382"/>
    <n v="382"/>
    <s v="J20"/>
  </r>
  <r>
    <n v="4680.68"/>
    <x v="0"/>
    <n v="344"/>
    <n v="344"/>
    <s v="A09"/>
  </r>
  <r>
    <n v="3738.22"/>
    <x v="2"/>
    <n v="127"/>
    <n v="127"/>
    <s v="C34"/>
  </r>
  <r>
    <n v="24658.91"/>
    <x v="0"/>
    <n v="357"/>
    <n v="357"/>
    <s v="J20"/>
  </r>
  <r>
    <n v="23696.880000000001"/>
    <x v="0"/>
    <n v="494"/>
    <n v="494"/>
    <s v="J20"/>
  </r>
  <r>
    <n v="23632.7"/>
    <x v="4"/>
    <n v="394"/>
    <n v="394"/>
    <s v="I10"/>
  </r>
  <r>
    <n v="16990.419999999998"/>
    <x v="4"/>
    <n v="345"/>
    <n v="345"/>
    <s v="M54"/>
  </r>
  <r>
    <n v="17911.169999999998"/>
    <x v="1"/>
    <n v="225"/>
    <n v="225"/>
    <s v="C34"/>
  </r>
  <r>
    <n v="4535.3900000000003"/>
    <x v="1"/>
    <n v="529"/>
    <n v="529"/>
    <s v="E11"/>
  </r>
  <r>
    <n v="9457.44"/>
    <x v="1"/>
    <n v="273"/>
    <n v="273"/>
    <s v="C34"/>
  </r>
  <r>
    <n v="7479.92"/>
    <x v="3"/>
    <n v="101"/>
    <n v="101"/>
    <s v="C34"/>
  </r>
  <r>
    <n v="22333.85"/>
    <x v="0"/>
    <n v="129"/>
    <n v="129"/>
    <s v="J20"/>
  </r>
  <r>
    <n v="2857.67"/>
    <x v="1"/>
    <n v="469"/>
    <n v="469"/>
    <s v="E11"/>
  </r>
  <r>
    <n v="5099.1000000000004"/>
    <x v="4"/>
    <n v="310"/>
    <n v="310"/>
    <s v="I10"/>
  </r>
  <r>
    <n v="10004.9"/>
    <x v="2"/>
    <n v="286"/>
    <n v="286"/>
    <s v="M54"/>
  </r>
  <r>
    <n v="4213.49"/>
    <x v="1"/>
    <n v="482"/>
    <n v="482"/>
    <s v="M54"/>
  </r>
  <r>
    <n v="1198.3599999999999"/>
    <x v="0"/>
    <n v="315"/>
    <n v="315"/>
    <s v="C34"/>
  </r>
  <r>
    <n v="24000.53"/>
    <x v="2"/>
    <n v="160"/>
    <n v="160"/>
    <s v="M54"/>
  </r>
  <r>
    <n v="12646.09"/>
    <x v="0"/>
    <n v="167"/>
    <n v="167"/>
    <s v="I10"/>
  </r>
  <r>
    <n v="19231.150000000001"/>
    <x v="3"/>
    <n v="126"/>
    <n v="126"/>
    <s v="C34"/>
  </r>
  <r>
    <n v="7199.14"/>
    <x v="1"/>
    <n v="489"/>
    <n v="489"/>
    <s v="M54"/>
  </r>
  <r>
    <n v="19214.84"/>
    <x v="2"/>
    <n v="458"/>
    <n v="458"/>
    <s v="E11"/>
  </r>
  <r>
    <n v="4878.99"/>
    <x v="4"/>
    <n v="217"/>
    <n v="217"/>
    <s v="I10"/>
  </r>
  <r>
    <n v="10772.31"/>
    <x v="3"/>
    <n v="146"/>
    <n v="146"/>
    <s v="K21"/>
  </r>
  <r>
    <n v="9216.69"/>
    <x v="1"/>
    <n v="464"/>
    <n v="464"/>
    <s v="M54"/>
  </r>
  <r>
    <n v="1492.84"/>
    <x v="1"/>
    <n v="208"/>
    <n v="208"/>
    <s v="J20"/>
  </r>
  <r>
    <n v="23718.54"/>
    <x v="1"/>
    <n v="271"/>
    <n v="271"/>
    <s v="J20"/>
  </r>
  <r>
    <n v="18584.04"/>
    <x v="1"/>
    <n v="480"/>
    <n v="480"/>
    <s v="K21"/>
  </r>
  <r>
    <n v="2363.33"/>
    <x v="1"/>
    <n v="166"/>
    <n v="166"/>
    <s v="C34"/>
  </r>
  <r>
    <n v="23152.42"/>
    <x v="1"/>
    <n v="379"/>
    <n v="379"/>
    <s v="A09"/>
  </r>
  <r>
    <n v="1286.52"/>
    <x v="3"/>
    <n v="314"/>
    <n v="314"/>
    <s v="A09"/>
  </r>
  <r>
    <n v="22789.06"/>
    <x v="1"/>
    <n v="347"/>
    <n v="347"/>
    <s v="M54"/>
  </r>
  <r>
    <n v="23903.91"/>
    <x v="2"/>
    <n v="506"/>
    <n v="506"/>
    <s v="C34"/>
  </r>
  <r>
    <n v="18818.05"/>
    <x v="0"/>
    <n v="387"/>
    <n v="387"/>
    <s v="K21"/>
  </r>
  <r>
    <n v="4168.08"/>
    <x v="3"/>
    <n v="403"/>
    <n v="403"/>
    <s v="C34"/>
  </r>
  <r>
    <n v="7549.82"/>
    <x v="2"/>
    <n v="382"/>
    <n v="382"/>
    <s v="I10"/>
  </r>
  <r>
    <n v="16062.46"/>
    <x v="2"/>
    <n v="168"/>
    <n v="168"/>
    <s v="J20"/>
  </r>
  <r>
    <n v="234.72"/>
    <x v="1"/>
    <n v="423"/>
    <n v="423"/>
    <s v="A09"/>
  </r>
  <r>
    <n v="10326.9"/>
    <x v="2"/>
    <n v="266"/>
    <n v="266"/>
    <s v="I10"/>
  </r>
  <r>
    <n v="24295.8"/>
    <x v="1"/>
    <n v="469"/>
    <n v="469"/>
    <s v="C34"/>
  </r>
  <r>
    <n v="5671.85"/>
    <x v="2"/>
    <n v="204"/>
    <n v="204"/>
    <s v="A09"/>
  </r>
  <r>
    <n v="9342.27"/>
    <x v="0"/>
    <n v="147"/>
    <n v="147"/>
    <s v="M54"/>
  </r>
  <r>
    <n v="23595.21"/>
    <x v="4"/>
    <n v="431"/>
    <n v="431"/>
    <s v="J20"/>
  </r>
  <r>
    <n v="2685.8"/>
    <x v="4"/>
    <n v="472"/>
    <n v="472"/>
    <s v="K21"/>
  </r>
  <r>
    <n v="2928.88"/>
    <x v="2"/>
    <n v="490"/>
    <n v="490"/>
    <s v="K21"/>
  </r>
  <r>
    <n v="23477.24"/>
    <x v="2"/>
    <n v="505"/>
    <n v="505"/>
    <s v="I10"/>
  </r>
  <r>
    <n v="12114.55"/>
    <x v="0"/>
    <n v="517"/>
    <n v="517"/>
    <s v="E11"/>
  </r>
  <r>
    <n v="13679.46"/>
    <x v="2"/>
    <n v="421"/>
    <n v="421"/>
    <s v="A09"/>
  </r>
  <r>
    <n v="2743.64"/>
    <x v="0"/>
    <n v="172"/>
    <n v="172"/>
    <s v="I10"/>
  </r>
  <r>
    <n v="8962.09"/>
    <x v="2"/>
    <n v="215"/>
    <n v="215"/>
    <s v="C34"/>
  </r>
  <r>
    <n v="5768.16"/>
    <x v="2"/>
    <n v="282"/>
    <n v="282"/>
    <s v="I10"/>
  </r>
  <r>
    <n v="15191.76"/>
    <x v="4"/>
    <n v="319"/>
    <n v="319"/>
    <s v="A09"/>
  </r>
  <r>
    <s v="twenty thousand"/>
    <x v="2"/>
    <s v="Room-X"/>
    <n v="0"/>
    <s v="I10"/>
  </r>
  <r>
    <n v="19763.63"/>
    <x v="4"/>
    <n v="498"/>
    <n v="498"/>
    <s v="C34"/>
  </r>
  <r>
    <n v="20403.310000000001"/>
    <x v="1"/>
    <n v="395"/>
    <n v="395"/>
    <s v="M54"/>
  </r>
  <r>
    <n v="19234.88"/>
    <x v="1"/>
    <n v="263"/>
    <n v="263"/>
    <s v="M54"/>
  </r>
  <r>
    <n v="9702.99"/>
    <x v="0"/>
    <n v="375"/>
    <n v="375"/>
    <s v="A09"/>
  </r>
  <r>
    <n v="13268.26"/>
    <x v="3"/>
    <n v="459"/>
    <n v="459"/>
    <s v="I10"/>
  </r>
  <r>
    <n v="9187.48"/>
    <x v="0"/>
    <n v="168"/>
    <n v="168"/>
    <s v="I10"/>
  </r>
  <r>
    <n v="3774.68"/>
    <x v="0"/>
    <n v="224"/>
    <n v="224"/>
    <s v="E11"/>
  </r>
  <r>
    <n v="9561.0300000000007"/>
    <x v="2"/>
    <n v="456"/>
    <n v="456"/>
    <s v="M54"/>
  </r>
  <r>
    <n v="948.61"/>
    <x v="1"/>
    <n v="172"/>
    <n v="172"/>
    <s v="I10"/>
  </r>
  <r>
    <n v="11850.17"/>
    <x v="4"/>
    <n v="483"/>
    <n v="483"/>
    <s v="A09"/>
  </r>
  <r>
    <n v="7311.87"/>
    <x v="4"/>
    <n v="130"/>
    <n v="130"/>
    <s v="C34"/>
  </r>
  <r>
    <n v="6941.32"/>
    <x v="1"/>
    <n v="367"/>
    <n v="367"/>
    <s v="M54"/>
  </r>
  <r>
    <n v="4755.6099999999997"/>
    <x v="1"/>
    <n v="518"/>
    <n v="518"/>
    <s v="C34"/>
  </r>
  <r>
    <n v="4287.6400000000003"/>
    <x v="1"/>
    <n v="431"/>
    <n v="431"/>
    <s v="M54"/>
  </r>
  <r>
    <n v="15159.12"/>
    <x v="1"/>
    <n v="114"/>
    <n v="114"/>
    <s v="E11"/>
  </r>
  <r>
    <n v="18961.73"/>
    <x v="2"/>
    <n v="196"/>
    <n v="196"/>
    <s v="A09"/>
  </r>
  <r>
    <n v="24421.25"/>
    <x v="2"/>
    <n v="388"/>
    <n v="388"/>
    <s v="K21"/>
  </r>
  <r>
    <n v="410.27"/>
    <x v="1"/>
    <n v="484"/>
    <n v="484"/>
    <s v="J20"/>
  </r>
  <r>
    <n v="18197.07"/>
    <x v="4"/>
    <n v="459"/>
    <n v="459"/>
    <s v="C34"/>
  </r>
  <r>
    <n v="787.4"/>
    <x v="0"/>
    <n v="344"/>
    <n v="344"/>
    <s v="A09"/>
  </r>
  <r>
    <n v="2153.0700000000002"/>
    <x v="1"/>
    <n v="467"/>
    <n v="467"/>
    <s v="E11"/>
  </r>
  <r>
    <n v="11297.51"/>
    <x v="4"/>
    <n v="273"/>
    <n v="273"/>
    <s v="J20"/>
  </r>
  <r>
    <n v="6129.94"/>
    <x v="1"/>
    <n v="178"/>
    <n v="178"/>
    <s v="A09"/>
  </r>
  <r>
    <n v="13768.97"/>
    <x v="1"/>
    <n v="355"/>
    <n v="355"/>
    <s v="I10"/>
  </r>
  <r>
    <n v="7146.91"/>
    <x v="1"/>
    <n v="280"/>
    <n v="280"/>
    <s v="I10"/>
  </r>
  <r>
    <n v="19126.03"/>
    <x v="0"/>
    <n v="432"/>
    <n v="432"/>
    <s v="E11"/>
  </r>
  <r>
    <n v="10143.290000000001"/>
    <x v="4"/>
    <n v="325"/>
    <n v="325"/>
    <s v="J20"/>
  </r>
  <r>
    <n v="6718.12"/>
    <x v="2"/>
    <n v="417"/>
    <n v="417"/>
    <s v="C34"/>
  </r>
  <r>
    <n v="7408.38"/>
    <x v="4"/>
    <n v="391"/>
    <n v="391"/>
    <s v="M54"/>
  </r>
  <r>
    <n v="8853.66"/>
    <x v="0"/>
    <n v="428"/>
    <n v="428"/>
    <s v="A09"/>
  </r>
  <r>
    <n v="22953.02"/>
    <x v="0"/>
    <n v="493"/>
    <n v="493"/>
    <s v="M54"/>
  </r>
  <r>
    <n v="24911.67"/>
    <x v="0"/>
    <n v="208"/>
    <n v="208"/>
    <s v="C34"/>
  </r>
  <r>
    <n v="23723.64"/>
    <x v="4"/>
    <n v="427"/>
    <n v="427"/>
    <s v="E11"/>
  </r>
  <r>
    <n v="2273.06"/>
    <x v="1"/>
    <n v="240"/>
    <n v="240"/>
    <s v="M54"/>
  </r>
  <r>
    <n v="16807.18"/>
    <x v="2"/>
    <n v="194"/>
    <n v="194"/>
    <s v="K21"/>
  </r>
  <r>
    <n v="4280.43"/>
    <x v="1"/>
    <n v="314"/>
    <n v="314"/>
    <s v="M54"/>
  </r>
  <r>
    <n v="20610.79"/>
    <x v="3"/>
    <n v="139"/>
    <n v="139"/>
    <s v="C34"/>
  </r>
  <r>
    <n v="23358.720000000001"/>
    <x v="0"/>
    <n v="542"/>
    <n v="542"/>
    <s v="J20"/>
  </r>
  <r>
    <n v="24708.32"/>
    <x v="4"/>
    <n v="424"/>
    <n v="424"/>
    <s v="M54"/>
  </r>
  <r>
    <n v="15103.4"/>
    <x v="3"/>
    <n v="278"/>
    <n v="278"/>
    <s v="E11"/>
  </r>
  <r>
    <n v="601.54"/>
    <x v="2"/>
    <n v="357"/>
    <n v="357"/>
    <s v="K21"/>
  </r>
  <r>
    <n v="8922.8799999999992"/>
    <x v="0"/>
    <n v="367"/>
    <n v="367"/>
    <s v="K21"/>
  </r>
  <r>
    <n v="4587"/>
    <x v="4"/>
    <n v="377"/>
    <n v="377"/>
    <s v="M54"/>
  </r>
  <r>
    <n v="24885.01"/>
    <x v="1"/>
    <n v="145"/>
    <n v="145"/>
    <s v="C34"/>
  </r>
  <r>
    <n v="15911.42"/>
    <x v="2"/>
    <n v="441"/>
    <n v="441"/>
    <s v="J20"/>
  </r>
  <r>
    <n v="3039.63"/>
    <x v="0"/>
    <n v="163"/>
    <n v="163"/>
    <s v="J20"/>
  </r>
  <r>
    <n v="19598.46"/>
    <x v="2"/>
    <n v="237"/>
    <n v="237"/>
    <s v="C34"/>
  </r>
  <r>
    <n v="6197.41"/>
    <x v="0"/>
    <n v="198"/>
    <n v="198"/>
    <s v="A09"/>
  </r>
  <r>
    <n v="24438.42"/>
    <x v="4"/>
    <n v="306"/>
    <n v="306"/>
    <s v="J20"/>
  </r>
  <r>
    <n v="12705.57"/>
    <x v="0"/>
    <n v="531"/>
    <n v="531"/>
    <s v="K21"/>
  </r>
  <r>
    <n v="2512.98"/>
    <x v="0"/>
    <n v="105"/>
    <n v="105"/>
    <s v="C34"/>
  </r>
  <r>
    <n v="19305.71"/>
    <x v="2"/>
    <n v="240"/>
    <n v="240"/>
    <s v="I10"/>
  </r>
  <r>
    <n v="23194.54"/>
    <x v="1"/>
    <n v="154"/>
    <n v="154"/>
    <s v="E11"/>
  </r>
  <r>
    <n v="21146.67"/>
    <x v="3"/>
    <n v="300"/>
    <n v="300"/>
    <s v="I10"/>
  </r>
  <r>
    <n v="5415.34"/>
    <x v="0"/>
    <n v="292"/>
    <n v="292"/>
    <s v="J20"/>
  </r>
  <r>
    <n v="23179.26"/>
    <x v="3"/>
    <n v="410"/>
    <n v="410"/>
    <s v="I10"/>
  </r>
  <r>
    <n v="3046.75"/>
    <x v="3"/>
    <n v="115"/>
    <n v="115"/>
    <s v="J20"/>
  </r>
  <r>
    <n v="12143.06"/>
    <x v="1"/>
    <n v="278"/>
    <n v="278"/>
    <s v="C34"/>
  </r>
  <r>
    <n v="23074.23"/>
    <x v="2"/>
    <n v="188"/>
    <n v="188"/>
    <s v="E11"/>
  </r>
  <r>
    <n v="23853.3"/>
    <x v="0"/>
    <n v="321"/>
    <n v="321"/>
    <s v="M54"/>
  </r>
  <r>
    <n v="15260.93"/>
    <x v="0"/>
    <n v="202"/>
    <n v="202"/>
    <s v="A09"/>
  </r>
  <r>
    <n v="23960.82"/>
    <x v="2"/>
    <n v="400"/>
    <n v="400"/>
    <s v="M54"/>
  </r>
  <r>
    <n v="9424.7099999999991"/>
    <x v="1"/>
    <n v="162"/>
    <n v="162"/>
    <s v="I10"/>
  </r>
  <r>
    <n v="2752.42"/>
    <x v="2"/>
    <n v="466"/>
    <n v="466"/>
    <s v="A09"/>
  </r>
  <r>
    <n v="5114.13"/>
    <x v="2"/>
    <n v="510"/>
    <n v="510"/>
    <s v="M54"/>
  </r>
  <r>
    <n v="11429.07"/>
    <x v="1"/>
    <n v="402"/>
    <n v="402"/>
    <s v="M54"/>
  </r>
  <r>
    <n v="1922.46"/>
    <x v="1"/>
    <n v="524"/>
    <n v="524"/>
    <s v="K21"/>
  </r>
  <r>
    <n v="10128.540000000001"/>
    <x v="1"/>
    <n v="352"/>
    <n v="352"/>
    <s v="A09"/>
  </r>
  <r>
    <n v="21108.28"/>
    <x v="1"/>
    <n v="114"/>
    <n v="114"/>
    <s v="E11"/>
  </r>
  <r>
    <n v="5813.26"/>
    <x v="1"/>
    <n v="197"/>
    <n v="197"/>
    <s v="C34"/>
  </r>
  <r>
    <n v="2947.93"/>
    <x v="2"/>
    <n v="138"/>
    <n v="138"/>
    <s v="J20"/>
  </r>
  <r>
    <n v="23136.49"/>
    <x v="0"/>
    <n v="161"/>
    <n v="161"/>
    <s v="E11"/>
  </r>
  <r>
    <n v="13139.74"/>
    <x v="3"/>
    <n v="395"/>
    <n v="395"/>
    <s v="M54"/>
  </r>
  <r>
    <n v="6742.54"/>
    <x v="2"/>
    <n v="464"/>
    <n v="464"/>
    <s v="I10"/>
  </r>
  <r>
    <n v="2063.58"/>
    <x v="0"/>
    <n v="130"/>
    <n v="130"/>
    <s v="E11"/>
  </r>
  <r>
    <n v="4860.3500000000004"/>
    <x v="1"/>
    <n v="274"/>
    <n v="274"/>
    <s v="E11"/>
  </r>
  <r>
    <n v="22870.31"/>
    <x v="3"/>
    <n v="286"/>
    <n v="286"/>
    <s v="M54"/>
  </r>
  <r>
    <n v="7090.39"/>
    <x v="4"/>
    <n v="451"/>
    <n v="451"/>
    <s v="J20"/>
  </r>
  <r>
    <n v="6165.95"/>
    <x v="0"/>
    <n v="195"/>
    <n v="195"/>
    <s v="J20"/>
  </r>
  <r>
    <n v="23187.81"/>
    <x v="1"/>
    <n v="281"/>
    <n v="281"/>
    <s v="M54"/>
  </r>
  <r>
    <n v="1518.3"/>
    <x v="2"/>
    <n v="289"/>
    <n v="289"/>
    <s v="I10"/>
  </r>
  <r>
    <n v="4898.3500000000004"/>
    <x v="4"/>
    <n v="404"/>
    <n v="404"/>
    <s v="J20"/>
  </r>
  <r>
    <n v="16229.35"/>
    <x v="1"/>
    <n v="212"/>
    <n v="212"/>
    <s v="I10"/>
  </r>
  <r>
    <n v="7031.4"/>
    <x v="0"/>
    <n v="300"/>
    <n v="300"/>
    <s v="M54"/>
  </r>
  <r>
    <n v="19686.05"/>
    <x v="1"/>
    <n v="426"/>
    <n v="426"/>
    <s v="J20"/>
  </r>
  <r>
    <n v="18529.45"/>
    <x v="3"/>
    <n v="187"/>
    <n v="187"/>
    <s v="J20"/>
  </r>
  <r>
    <n v="3717.47"/>
    <x v="2"/>
    <n v="441"/>
    <n v="441"/>
    <s v="M54"/>
  </r>
  <r>
    <n v="4433.9799999999996"/>
    <x v="2"/>
    <n v="404"/>
    <n v="404"/>
    <s v="J20"/>
  </r>
  <r>
    <n v="11919.69"/>
    <x v="2"/>
    <n v="519"/>
    <n v="519"/>
    <s v="I10"/>
  </r>
  <r>
    <n v="2679.81"/>
    <x v="1"/>
    <n v="331"/>
    <n v="331"/>
    <s v="M54"/>
  </r>
  <r>
    <n v="11577.02"/>
    <x v="1"/>
    <n v="254"/>
    <n v="254"/>
    <s v="C34"/>
  </r>
  <r>
    <n v="3867.93"/>
    <x v="0"/>
    <n v="538"/>
    <n v="538"/>
    <s v="E11"/>
  </r>
  <r>
    <n v="9113.61"/>
    <x v="1"/>
    <n v="199"/>
    <n v="199"/>
    <s v="M54"/>
  </r>
  <r>
    <n v="22222.27"/>
    <x v="0"/>
    <n v="401"/>
    <n v="401"/>
    <s v="M54"/>
  </r>
  <r>
    <n v="20887.45"/>
    <x v="1"/>
    <n v="321"/>
    <n v="321"/>
    <s v="K21"/>
  </r>
  <r>
    <n v="12573.39"/>
    <x v="4"/>
    <n v="338"/>
    <n v="338"/>
    <s v="C34"/>
  </r>
  <r>
    <n v="7348.85"/>
    <x v="2"/>
    <n v="107"/>
    <n v="107"/>
    <s v="M54"/>
  </r>
  <r>
    <n v="7784.37"/>
    <x v="0"/>
    <n v="280"/>
    <n v="280"/>
    <s v="C34"/>
  </r>
  <r>
    <n v="19674.53"/>
    <x v="4"/>
    <n v="144"/>
    <n v="144"/>
    <s v="C34"/>
  </r>
  <r>
    <n v="7411.89"/>
    <x v="2"/>
    <n v="342"/>
    <n v="342"/>
    <s v="J20"/>
  </r>
  <r>
    <n v="22347.23"/>
    <x v="2"/>
    <n v="405"/>
    <n v="405"/>
    <s v="J20"/>
  </r>
  <r>
    <n v="17146.37"/>
    <x v="3"/>
    <n v="228"/>
    <n v="228"/>
    <s v="E11"/>
  </r>
  <r>
    <n v="7573.89"/>
    <x v="0"/>
    <n v="379"/>
    <n v="379"/>
    <s v="E11"/>
  </r>
  <r>
    <n v="17414.509999999998"/>
    <x v="1"/>
    <n v="339"/>
    <n v="339"/>
    <s v="J20"/>
  </r>
  <r>
    <n v="22831.45"/>
    <x v="2"/>
    <n v="492"/>
    <n v="492"/>
    <s v="M54"/>
  </r>
  <r>
    <n v="3356.42"/>
    <x v="2"/>
    <n v="127"/>
    <n v="127"/>
    <s v="K21"/>
  </r>
  <r>
    <n v="21012.11"/>
    <x v="1"/>
    <n v="128"/>
    <n v="128"/>
    <s v="J20"/>
  </r>
  <r>
    <n v="17326.7"/>
    <x v="2"/>
    <n v="162"/>
    <n v="162"/>
    <s v="C34"/>
  </r>
  <r>
    <n v="3582.79"/>
    <x v="4"/>
    <n v="254"/>
    <n v="254"/>
    <s v="C34"/>
  </r>
  <r>
    <n v="200.89"/>
    <x v="1"/>
    <n v="366"/>
    <n v="366"/>
    <s v="I10"/>
  </r>
  <r>
    <n v="12008.73"/>
    <x v="2"/>
    <n v="248"/>
    <n v="248"/>
    <s v="C34"/>
  </r>
  <r>
    <n v="9901.49"/>
    <x v="1"/>
    <n v="337"/>
    <n v="337"/>
    <s v="M54"/>
  </r>
  <r>
    <n v="14192.39"/>
    <x v="2"/>
    <n v="397"/>
    <n v="397"/>
    <s v="J20"/>
  </r>
  <r>
    <n v="24077.35"/>
    <x v="0"/>
    <n v="470"/>
    <n v="470"/>
    <s v="M54"/>
  </r>
  <r>
    <n v="8851.09"/>
    <x v="0"/>
    <n v="362"/>
    <n v="362"/>
    <s v="I10"/>
  </r>
  <r>
    <n v="11595.15"/>
    <x v="4"/>
    <n v="242"/>
    <n v="242"/>
    <s v="K21"/>
  </r>
  <r>
    <n v="15224.88"/>
    <x v="4"/>
    <n v="394"/>
    <n v="394"/>
    <s v="C34"/>
  </r>
  <r>
    <n v="1875.74"/>
    <x v="2"/>
    <n v="536"/>
    <n v="536"/>
    <s v="C34"/>
  </r>
  <r>
    <n v="8226.75"/>
    <x v="3"/>
    <n v="495"/>
    <n v="495"/>
    <s v="K21"/>
  </r>
  <r>
    <n v="23074.92"/>
    <x v="2"/>
    <n v="413"/>
    <n v="413"/>
    <s v="J20"/>
  </r>
  <r>
    <n v="15242.03"/>
    <x v="2"/>
    <n v="189"/>
    <n v="189"/>
    <s v="J20"/>
  </r>
  <r>
    <n v="5053.8100000000004"/>
    <x v="0"/>
    <n v="324"/>
    <n v="324"/>
    <s v="C34"/>
  </r>
  <r>
    <n v="2333.25"/>
    <x v="2"/>
    <n v="422"/>
    <n v="422"/>
    <s v="C34"/>
  </r>
  <r>
    <n v="9117.11"/>
    <x v="0"/>
    <n v="390"/>
    <n v="390"/>
    <s v="A09"/>
  </r>
  <r>
    <n v="14345.18"/>
    <x v="0"/>
    <n v="356"/>
    <n v="356"/>
    <s v="J20"/>
  </r>
  <r>
    <n v="15711.67"/>
    <x v="1"/>
    <n v="391"/>
    <n v="391"/>
    <s v="I10"/>
  </r>
  <r>
    <n v="5918.22"/>
    <x v="1"/>
    <n v="111"/>
    <n v="111"/>
    <s v="E11"/>
  </r>
  <r>
    <n v="24209.25"/>
    <x v="1"/>
    <n v="373"/>
    <n v="373"/>
    <s v="A09"/>
  </r>
  <r>
    <n v="13739.35"/>
    <x v="1"/>
    <n v="398"/>
    <n v="398"/>
    <s v="M54"/>
  </r>
  <r>
    <n v="2008.22"/>
    <x v="2"/>
    <n v="277"/>
    <n v="277"/>
    <s v="I10"/>
  </r>
  <r>
    <n v="6908.61"/>
    <x v="2"/>
    <n v="153"/>
    <n v="153"/>
    <s v="I10"/>
  </r>
  <r>
    <n v="7724.78"/>
    <x v="3"/>
    <n v="110"/>
    <n v="110"/>
    <s v="I10"/>
  </r>
  <r>
    <n v="1493.08"/>
    <x v="0"/>
    <n v="456"/>
    <n v="456"/>
    <s v="E11"/>
  </r>
  <r>
    <n v="3126.22"/>
    <x v="1"/>
    <n v="280"/>
    <n v="280"/>
    <s v="E11"/>
  </r>
  <r>
    <n v="14797.71"/>
    <x v="3"/>
    <n v="311"/>
    <n v="311"/>
    <s v="C34"/>
  </r>
  <r>
    <n v="3342.55"/>
    <x v="4"/>
    <n v="244"/>
    <n v="244"/>
    <s v="I10"/>
  </r>
  <r>
    <n v="12071.79"/>
    <x v="1"/>
    <n v="436"/>
    <n v="436"/>
    <s v="I10"/>
  </r>
  <r>
    <n v="22461.48"/>
    <x v="3"/>
    <n v="327"/>
    <n v="327"/>
    <s v="C34"/>
  </r>
  <r>
    <n v="8107.7"/>
    <x v="1"/>
    <n v="127"/>
    <n v="127"/>
    <s v="J20"/>
  </r>
  <r>
    <n v="22818.82"/>
    <x v="3"/>
    <n v="256"/>
    <n v="256"/>
    <s v="C34"/>
  </r>
  <r>
    <n v="17518.88"/>
    <x v="0"/>
    <n v="158"/>
    <n v="158"/>
    <s v="I10"/>
  </r>
  <r>
    <n v="7650.24"/>
    <x v="1"/>
    <n v="130"/>
    <n v="130"/>
    <s v="J20"/>
  </r>
  <r>
    <n v="1301.51"/>
    <x v="3"/>
    <n v="294"/>
    <n v="294"/>
    <s v="E11"/>
  </r>
  <r>
    <n v="23443.15"/>
    <x v="1"/>
    <n v="524"/>
    <n v="524"/>
    <s v="J20"/>
  </r>
  <r>
    <n v="19608.79"/>
    <x v="2"/>
    <n v="513"/>
    <n v="513"/>
    <s v="I10"/>
  </r>
  <r>
    <n v="4231.21"/>
    <x v="0"/>
    <n v="339"/>
    <n v="339"/>
    <s v="C34"/>
  </r>
  <r>
    <n v="2321.31"/>
    <x v="3"/>
    <n v="494"/>
    <n v="494"/>
    <s v="A09"/>
  </r>
  <r>
    <n v="9170.0300000000007"/>
    <x v="2"/>
    <n v="500"/>
    <n v="500"/>
    <s v="C34"/>
  </r>
  <r>
    <n v="21220.3"/>
    <x v="0"/>
    <n v="336"/>
    <n v="336"/>
    <s v="I10"/>
  </r>
  <r>
    <n v="12109.16"/>
    <x v="3"/>
    <n v="309"/>
    <n v="309"/>
    <s v="I10"/>
  </r>
  <r>
    <n v="6598.57"/>
    <x v="2"/>
    <n v="232"/>
    <n v="232"/>
    <s v="K21"/>
  </r>
  <r>
    <n v="5970.28"/>
    <x v="2"/>
    <n v="194"/>
    <n v="194"/>
    <s v="C34"/>
  </r>
  <r>
    <n v="1708.16"/>
    <x v="2"/>
    <n v="231"/>
    <n v="231"/>
    <s v="I10"/>
  </r>
  <r>
    <n v="2121.48"/>
    <x v="0"/>
    <n v="157"/>
    <n v="157"/>
    <s v="A09"/>
  </r>
  <r>
    <n v="20762.62"/>
    <x v="0"/>
    <n v="136"/>
    <n v="136"/>
    <s v="C34"/>
  </r>
  <r>
    <n v="8507.65"/>
    <x v="0"/>
    <n v="433"/>
    <n v="433"/>
    <s v="J20"/>
  </r>
  <r>
    <n v="7413.64"/>
    <x v="4"/>
    <n v="402"/>
    <n v="402"/>
    <s v="I10"/>
  </r>
  <r>
    <n v="23510.51"/>
    <x v="0"/>
    <n v="525"/>
    <n v="525"/>
    <s v="A09"/>
  </r>
  <r>
    <n v="23888.45"/>
    <x v="3"/>
    <n v="389"/>
    <n v="389"/>
    <s v="A09"/>
  </r>
  <r>
    <n v="16548.099999999999"/>
    <x v="0"/>
    <n v="262"/>
    <n v="262"/>
    <s v="J20"/>
  </r>
  <r>
    <n v="20015.349999999999"/>
    <x v="1"/>
    <n v="218"/>
    <n v="218"/>
    <s v="M54"/>
  </r>
  <r>
    <n v="9174.65"/>
    <x v="1"/>
    <n v="386"/>
    <n v="386"/>
    <s v="A09"/>
  </r>
  <r>
    <n v="5898.13"/>
    <x v="4"/>
    <n v="375"/>
    <n v="375"/>
    <s v="E11"/>
  </r>
  <r>
    <n v="8670.98"/>
    <x v="1"/>
    <s v="Room-X"/>
    <n v="0"/>
    <s v="M54"/>
  </r>
  <r>
    <n v="22516.84"/>
    <x v="0"/>
    <n v="107"/>
    <n v="107"/>
    <s v="E11"/>
  </r>
  <r>
    <n v="3334.67"/>
    <x v="2"/>
    <n v="526"/>
    <n v="526"/>
    <s v="M54"/>
  </r>
  <r>
    <n v="22625.66"/>
    <x v="1"/>
    <n v="165"/>
    <n v="165"/>
    <s v="M54"/>
  </r>
  <r>
    <n v="14868.65"/>
    <x v="1"/>
    <n v="469"/>
    <n v="469"/>
    <s v="I10"/>
  </r>
  <r>
    <n v="18569.3"/>
    <x v="0"/>
    <n v="248"/>
    <n v="248"/>
    <s v="K21"/>
  </r>
  <r>
    <n v="3975.96"/>
    <x v="2"/>
    <n v="403"/>
    <n v="403"/>
    <s v="A09"/>
  </r>
  <r>
    <n v="4582.71"/>
    <x v="2"/>
    <n v="495"/>
    <n v="495"/>
    <s v="I10"/>
  </r>
  <r>
    <n v="7274.38"/>
    <x v="0"/>
    <n v="263"/>
    <n v="263"/>
    <s v="K21"/>
  </r>
  <r>
    <n v="14463.42"/>
    <x v="1"/>
    <n v="150"/>
    <n v="150"/>
    <s v="J20"/>
  </r>
  <r>
    <n v="11085.14"/>
    <x v="4"/>
    <n v="247"/>
    <n v="247"/>
    <s v="J20"/>
  </r>
  <r>
    <n v="13893.65"/>
    <x v="4"/>
    <n v="114"/>
    <n v="114"/>
    <s v="A09"/>
  </r>
  <r>
    <n v="9364.61"/>
    <x v="2"/>
    <n v="392"/>
    <n v="392"/>
    <s v="M54"/>
  </r>
  <r>
    <n v="17963.02"/>
    <x v="1"/>
    <n v="327"/>
    <n v="327"/>
    <s v="M54"/>
  </r>
  <r>
    <n v="24217.3"/>
    <x v="1"/>
    <n v="481"/>
    <n v="481"/>
    <s v="K21"/>
  </r>
  <r>
    <n v="4921.8900000000003"/>
    <x v="2"/>
    <n v="424"/>
    <n v="424"/>
    <s v="C34"/>
  </r>
  <r>
    <n v="16899.02"/>
    <x v="2"/>
    <n v="340"/>
    <n v="340"/>
    <s v="E11"/>
  </r>
  <r>
    <n v="15942.36"/>
    <x v="1"/>
    <n v="364"/>
    <n v="364"/>
    <s v="K21"/>
  </r>
  <r>
    <n v="17807.759999999998"/>
    <x v="2"/>
    <n v="314"/>
    <n v="314"/>
    <s v="C34"/>
  </r>
  <r>
    <n v="12208.98"/>
    <x v="4"/>
    <n v="549"/>
    <n v="549"/>
    <s v="J20"/>
  </r>
  <r>
    <n v="15026.48"/>
    <x v="0"/>
    <n v="251"/>
    <n v="251"/>
    <s v="I10"/>
  </r>
  <r>
    <n v="6335.43"/>
    <x v="0"/>
    <n v="159"/>
    <n v="159"/>
    <s v="E11"/>
  </r>
  <r>
    <n v="17679.509999999998"/>
    <x v="0"/>
    <n v="530"/>
    <n v="530"/>
    <s v="K21"/>
  </r>
  <r>
    <n v="10398.48"/>
    <x v="0"/>
    <n v="317"/>
    <n v="317"/>
    <s v="M54"/>
  </r>
  <r>
    <n v="8628.07"/>
    <x v="2"/>
    <n v="257"/>
    <n v="257"/>
    <s v="M54"/>
  </r>
  <r>
    <n v="23707.37"/>
    <x v="1"/>
    <n v="166"/>
    <n v="166"/>
    <s v="A09"/>
  </r>
  <r>
    <n v="22823.27"/>
    <x v="1"/>
    <n v="435"/>
    <n v="435"/>
    <s v="I10"/>
  </r>
  <r>
    <n v="21521.13"/>
    <x v="3"/>
    <n v="248"/>
    <n v="248"/>
    <s v="K21"/>
  </r>
  <r>
    <n v="23512.34"/>
    <x v="2"/>
    <n v="532"/>
    <n v="532"/>
    <s v="I10"/>
  </r>
  <r>
    <n v="7220.63"/>
    <x v="2"/>
    <n v="217"/>
    <n v="217"/>
    <s v="C34"/>
  </r>
  <r>
    <n v="16450.84"/>
    <x v="4"/>
    <n v="518"/>
    <n v="518"/>
    <s v="C34"/>
  </r>
  <r>
    <n v="699.82"/>
    <x v="4"/>
    <n v="148"/>
    <n v="148"/>
    <s v="C34"/>
  </r>
  <r>
    <n v="7693.42"/>
    <x v="0"/>
    <n v="203"/>
    <n v="203"/>
    <s v="I10"/>
  </r>
  <r>
    <n v="11287.72"/>
    <x v="0"/>
    <n v="388"/>
    <n v="388"/>
    <s v="I10"/>
  </r>
  <r>
    <n v="5350.51"/>
    <x v="0"/>
    <n v="403"/>
    <n v="403"/>
    <s v="E11"/>
  </r>
  <r>
    <n v="1661.54"/>
    <x v="0"/>
    <n v="229"/>
    <n v="229"/>
    <s v="M54"/>
  </r>
  <r>
    <n v="21811.41"/>
    <x v="2"/>
    <n v="453"/>
    <n v="453"/>
    <s v="E11"/>
  </r>
  <r>
    <n v="8181.58"/>
    <x v="0"/>
    <n v="363"/>
    <n v="363"/>
    <s v="A09"/>
  </r>
  <r>
    <n v="18970.79"/>
    <x v="4"/>
    <n v="366"/>
    <n v="366"/>
    <s v="C34"/>
  </r>
  <r>
    <n v="1168.74"/>
    <x v="0"/>
    <n v="353"/>
    <n v="353"/>
    <s v="E11"/>
  </r>
  <r>
    <n v="3709.64"/>
    <x v="3"/>
    <n v="511"/>
    <n v="511"/>
    <s v="A09"/>
  </r>
  <r>
    <n v="23417.82"/>
    <x v="4"/>
    <n v="184"/>
    <n v="184"/>
    <s v="A09"/>
  </r>
  <r>
    <n v="11868.24"/>
    <x v="2"/>
    <n v="259"/>
    <n v="259"/>
    <s v="C34"/>
  </r>
  <r>
    <n v="1715.47"/>
    <x v="0"/>
    <n v="404"/>
    <n v="404"/>
    <s v="E11"/>
  </r>
  <r>
    <n v="23211.41"/>
    <x v="2"/>
    <n v="245"/>
    <n v="245"/>
    <s v="K21"/>
  </r>
  <r>
    <n v="23370.84"/>
    <x v="3"/>
    <n v="139"/>
    <n v="139"/>
    <s v="A09"/>
  </r>
  <r>
    <n v="14178.76"/>
    <x v="4"/>
    <n v="508"/>
    <n v="508"/>
    <s v="A09"/>
  </r>
  <r>
    <n v="266.24"/>
    <x v="3"/>
    <n v="210"/>
    <n v="210"/>
    <s v="I10"/>
  </r>
  <r>
    <n v="8218.7800000000007"/>
    <x v="2"/>
    <n v="170"/>
    <n v="170"/>
    <s v="A09"/>
  </r>
  <r>
    <n v="6171.17"/>
    <x v="0"/>
    <n v="293"/>
    <n v="293"/>
    <s v="K21"/>
  </r>
  <r>
    <n v="-500"/>
    <x v="3"/>
    <n v="185"/>
    <n v="185"/>
    <s v="C34"/>
  </r>
  <r>
    <n v="17197.12"/>
    <x v="0"/>
    <n v="433"/>
    <n v="433"/>
    <s v="J20"/>
  </r>
  <r>
    <n v="18266.59"/>
    <x v="3"/>
    <n v="415"/>
    <n v="415"/>
    <s v="A09"/>
  </r>
  <r>
    <n v="5056.7299999999996"/>
    <x v="1"/>
    <n v="369"/>
    <n v="369"/>
    <s v="E11"/>
  </r>
  <r>
    <n v="22912.02"/>
    <x v="2"/>
    <n v="410"/>
    <n v="410"/>
    <s v="J20"/>
  </r>
  <r>
    <n v="24894.3"/>
    <x v="2"/>
    <n v="240"/>
    <n v="240"/>
    <s v="C34"/>
  </r>
  <r>
    <n v="12359.45"/>
    <x v="0"/>
    <n v="483"/>
    <n v="483"/>
    <s v="K21"/>
  </r>
  <r>
    <n v="17699.86"/>
    <x v="4"/>
    <n v="545"/>
    <n v="545"/>
    <s v="K21"/>
  </r>
  <r>
    <n v="16009.46"/>
    <x v="2"/>
    <n v="260"/>
    <n v="260"/>
    <s v="I10"/>
  </r>
  <r>
    <n v="22463.86"/>
    <x v="4"/>
    <n v="400"/>
    <n v="400"/>
    <s v="C34"/>
  </r>
  <r>
    <n v="1810.88"/>
    <x v="4"/>
    <n v="473"/>
    <n v="473"/>
    <s v="J20"/>
  </r>
  <r>
    <n v="17280.169999999998"/>
    <x v="0"/>
    <n v="188"/>
    <n v="188"/>
    <s v="C34"/>
  </r>
  <r>
    <n v="11763.06"/>
    <x v="1"/>
    <n v="389"/>
    <n v="389"/>
    <s v="M54"/>
  </r>
  <r>
    <n v="4804.34"/>
    <x v="2"/>
    <n v="492"/>
    <n v="492"/>
    <s v="E11"/>
  </r>
  <r>
    <n v="7833"/>
    <x v="3"/>
    <n v="482"/>
    <n v="482"/>
    <s v="K21"/>
  </r>
  <r>
    <n v="4614.5"/>
    <x v="4"/>
    <n v="389"/>
    <n v="389"/>
    <s v="J20"/>
  </r>
  <r>
    <n v="4592.38"/>
    <x v="2"/>
    <n v="232"/>
    <n v="232"/>
    <s v="C34"/>
  </r>
  <r>
    <n v="8851.7099999999991"/>
    <x v="0"/>
    <n v="524"/>
    <n v="524"/>
    <s v="C34"/>
  </r>
  <r>
    <n v="24845.14"/>
    <x v="0"/>
    <n v="277"/>
    <n v="277"/>
    <s v="C34"/>
  </r>
  <r>
    <n v="6603.7"/>
    <x v="0"/>
    <n v="233"/>
    <n v="233"/>
    <s v="I10"/>
  </r>
  <r>
    <n v="4137.01"/>
    <x v="0"/>
    <n v="271"/>
    <n v="271"/>
    <s v="J20"/>
  </r>
  <r>
    <n v="13760.1"/>
    <x v="2"/>
    <n v="324"/>
    <n v="324"/>
    <s v="K21"/>
  </r>
  <r>
    <n v="6463.85"/>
    <x v="1"/>
    <n v="407"/>
    <n v="407"/>
    <s v="J20"/>
  </r>
  <r>
    <n v="19126.689999999999"/>
    <x v="1"/>
    <n v="315"/>
    <n v="315"/>
    <s v="M54"/>
  </r>
  <r>
    <n v="23074.37"/>
    <x v="3"/>
    <n v="390"/>
    <n v="390"/>
    <s v="K21"/>
  </r>
  <r>
    <n v="19863.009999999998"/>
    <x v="4"/>
    <n v="510"/>
    <n v="510"/>
    <s v="J20"/>
  </r>
  <r>
    <n v="18158.53"/>
    <x v="4"/>
    <n v="450"/>
    <n v="450"/>
    <s v="A09"/>
  </r>
  <r>
    <n v="11875.86"/>
    <x v="0"/>
    <n v="457"/>
    <n v="457"/>
    <s v="E11"/>
  </r>
  <r>
    <n v="19123.79"/>
    <x v="1"/>
    <n v="298"/>
    <n v="298"/>
    <s v="E11"/>
  </r>
  <r>
    <n v="20530.82"/>
    <x v="0"/>
    <n v="405"/>
    <n v="405"/>
    <s v="M54"/>
  </r>
  <r>
    <n v="19242.53"/>
    <x v="1"/>
    <n v="285"/>
    <n v="285"/>
    <s v="J20"/>
  </r>
  <r>
    <n v="3624.38"/>
    <x v="3"/>
    <n v="122"/>
    <n v="122"/>
    <s v="E11"/>
  </r>
  <r>
    <n v="10757.64"/>
    <x v="2"/>
    <n v="259"/>
    <n v="259"/>
    <s v="M54"/>
  </r>
  <r>
    <n v="10075.76"/>
    <x v="1"/>
    <n v="338"/>
    <n v="338"/>
    <s v="K21"/>
  </r>
  <r>
    <n v="4189.92"/>
    <x v="4"/>
    <n v="394"/>
    <n v="394"/>
    <s v="A09"/>
  </r>
  <r>
    <n v="10676.94"/>
    <x v="2"/>
    <n v="255"/>
    <n v="255"/>
    <s v="M54"/>
  </r>
  <r>
    <n v="19568.89"/>
    <x v="1"/>
    <n v="532"/>
    <n v="532"/>
    <s v="A09"/>
  </r>
  <r>
    <n v="21783.79"/>
    <x v="1"/>
    <n v="176"/>
    <n v="176"/>
    <s v="I10"/>
  </r>
  <r>
    <n v="10985.22"/>
    <x v="0"/>
    <n v="244"/>
    <n v="244"/>
    <s v="I10"/>
  </r>
  <r>
    <n v="6457.7"/>
    <x v="1"/>
    <n v="445"/>
    <n v="445"/>
    <s v="J20"/>
  </r>
  <r>
    <n v="10543.09"/>
    <x v="0"/>
    <n v="266"/>
    <n v="266"/>
    <s v="J20"/>
  </r>
  <r>
    <n v="13375.46"/>
    <x v="0"/>
    <n v="227"/>
    <n v="227"/>
    <s v="E11"/>
  </r>
  <r>
    <n v="15896.42"/>
    <x v="0"/>
    <n v="240"/>
    <n v="240"/>
    <s v="J20"/>
  </r>
  <r>
    <n v="8299.39"/>
    <x v="2"/>
    <n v="175"/>
    <n v="175"/>
    <s v="A09"/>
  </r>
  <r>
    <n v="10678.74"/>
    <x v="2"/>
    <n v="194"/>
    <n v="194"/>
    <s v="C34"/>
  </r>
  <r>
    <n v="19882.39"/>
    <x v="2"/>
    <n v="255"/>
    <n v="255"/>
    <s v="A09"/>
  </r>
  <r>
    <n v="5537.19"/>
    <x v="0"/>
    <n v="240"/>
    <n v="240"/>
    <s v="C34"/>
  </r>
  <r>
    <n v="17019.560000000001"/>
    <x v="2"/>
    <n v="102"/>
    <n v="102"/>
    <s v="M54"/>
  </r>
  <r>
    <n v="11668.54"/>
    <x v="1"/>
    <n v="149"/>
    <n v="149"/>
    <s v="E11"/>
  </r>
  <r>
    <n v="18258.47"/>
    <x v="0"/>
    <n v="401"/>
    <n v="401"/>
    <s v="M54"/>
  </r>
  <r>
    <n v="8705.18"/>
    <x v="1"/>
    <n v="277"/>
    <n v="277"/>
    <s v="K21"/>
  </r>
  <r>
    <n v="16890.05"/>
    <x v="2"/>
    <n v="306"/>
    <n v="306"/>
    <s v="I10"/>
  </r>
  <r>
    <n v="18750.669999999998"/>
    <x v="1"/>
    <n v="255"/>
    <n v="255"/>
    <s v="J20"/>
  </r>
  <r>
    <n v="15681.78"/>
    <x v="0"/>
    <n v="312"/>
    <n v="312"/>
    <s v="K21"/>
  </r>
  <r>
    <n v="9585.0400000000009"/>
    <x v="1"/>
    <n v="149"/>
    <n v="149"/>
    <s v="M54"/>
  </r>
  <r>
    <n v="19218.490000000002"/>
    <x v="0"/>
    <n v="381"/>
    <n v="381"/>
    <s v="M54"/>
  </r>
  <r>
    <n v="15830.84"/>
    <x v="1"/>
    <n v="357"/>
    <n v="357"/>
    <s v="A09"/>
  </r>
  <r>
    <n v="7299.83"/>
    <x v="0"/>
    <n v="180"/>
    <n v="180"/>
    <s v="K21"/>
  </r>
  <r>
    <n v="19120.79"/>
    <x v="4"/>
    <n v="449"/>
    <n v="449"/>
    <s v="I10"/>
  </r>
  <r>
    <n v="15983.14"/>
    <x v="3"/>
    <n v="170"/>
    <n v="170"/>
    <s v="A09"/>
  </r>
  <r>
    <n v="4328.18"/>
    <x v="0"/>
    <n v="450"/>
    <n v="450"/>
    <s v="I10"/>
  </r>
  <r>
    <n v="11552.67"/>
    <x v="3"/>
    <n v="189"/>
    <n v="189"/>
    <s v="M54"/>
  </r>
  <r>
    <n v="5333.78"/>
    <x v="0"/>
    <n v="335"/>
    <n v="335"/>
    <s v="E11"/>
  </r>
  <r>
    <n v="20131.439999999999"/>
    <x v="1"/>
    <n v="546"/>
    <n v="546"/>
    <s v="E11"/>
  </r>
  <r>
    <n v="17114.189999999999"/>
    <x v="0"/>
    <n v="543"/>
    <n v="543"/>
    <s v="A09"/>
  </r>
  <r>
    <n v="22107.25"/>
    <x v="1"/>
    <n v="466"/>
    <n v="466"/>
    <s v="K21"/>
  </r>
  <r>
    <n v="20742.03"/>
    <x v="2"/>
    <n v="286"/>
    <n v="286"/>
    <s v="M54"/>
  </r>
  <r>
    <n v="18996.919999999998"/>
    <x v="1"/>
    <n v="469"/>
    <n v="469"/>
    <s v="E11"/>
  </r>
  <r>
    <n v="19929.72"/>
    <x v="3"/>
    <n v="235"/>
    <n v="235"/>
    <s v="I10"/>
  </r>
  <r>
    <n v="18862.060000000001"/>
    <x v="2"/>
    <n v="275"/>
    <n v="275"/>
    <s v="J20"/>
  </r>
  <r>
    <n v="14941.82"/>
    <x v="4"/>
    <n v="175"/>
    <n v="175"/>
    <s v="A09"/>
  </r>
  <r>
    <n v="17902.32"/>
    <x v="2"/>
    <n v="466"/>
    <n v="466"/>
    <s v="E11"/>
  </r>
  <r>
    <n v="3833.85"/>
    <x v="2"/>
    <n v="539"/>
    <n v="539"/>
    <s v="M54"/>
  </r>
  <r>
    <n v="14664.11"/>
    <x v="4"/>
    <n v="399"/>
    <n v="399"/>
    <s v="I10"/>
  </r>
  <r>
    <n v="24315.599999999999"/>
    <x v="4"/>
    <n v="400"/>
    <n v="400"/>
    <s v="K21"/>
  </r>
  <r>
    <n v="16279.74"/>
    <x v="0"/>
    <n v="189"/>
    <n v="189"/>
    <s v="M54"/>
  </r>
  <r>
    <n v="5319.45"/>
    <x v="4"/>
    <n v="242"/>
    <n v="242"/>
    <s v="A09"/>
  </r>
  <r>
    <n v="14321.32"/>
    <x v="2"/>
    <n v="530"/>
    <n v="530"/>
    <s v="C34"/>
  </r>
  <r>
    <n v="19972.29"/>
    <x v="4"/>
    <n v="453"/>
    <n v="453"/>
    <s v="C34"/>
  </r>
  <r>
    <n v="13889"/>
    <x v="1"/>
    <n v="480"/>
    <n v="480"/>
    <s v="E11"/>
  </r>
  <r>
    <n v="6249.73"/>
    <x v="0"/>
    <n v="337"/>
    <n v="337"/>
    <s v="I10"/>
  </r>
  <r>
    <n v="11159.07"/>
    <x v="0"/>
    <n v="201"/>
    <n v="201"/>
    <s v="I10"/>
  </r>
  <r>
    <n v="14626.5"/>
    <x v="1"/>
    <n v="468"/>
    <n v="468"/>
    <s v="M54"/>
  </r>
  <r>
    <n v="15113.58"/>
    <x v="0"/>
    <n v="423"/>
    <n v="423"/>
    <s v="E11"/>
  </r>
  <r>
    <n v="6752.16"/>
    <x v="3"/>
    <n v="274"/>
    <n v="274"/>
    <s v="J20"/>
  </r>
  <r>
    <n v="12291.99"/>
    <x v="1"/>
    <n v="360"/>
    <n v="360"/>
    <s v="M54"/>
  </r>
  <r>
    <n v="16889.810000000001"/>
    <x v="1"/>
    <n v="541"/>
    <n v="541"/>
    <s v="M54"/>
  </r>
  <r>
    <n v="19118.75"/>
    <x v="3"/>
    <n v="257"/>
    <n v="257"/>
    <s v="A09"/>
  </r>
  <r>
    <n v="23203.279999999999"/>
    <x v="3"/>
    <n v="392"/>
    <n v="392"/>
    <s v="C34"/>
  </r>
  <r>
    <n v="19688.12"/>
    <x v="4"/>
    <n v="412"/>
    <n v="412"/>
    <s v="C34"/>
  </r>
  <r>
    <n v="5872.35"/>
    <x v="2"/>
    <n v="341"/>
    <n v="341"/>
    <s v="K21"/>
  </r>
  <r>
    <n v="20764.939999999999"/>
    <x v="1"/>
    <n v="330"/>
    <n v="330"/>
    <s v="J20"/>
  </r>
  <r>
    <n v="5373.5"/>
    <x v="2"/>
    <n v="250"/>
    <n v="250"/>
    <s v="K21"/>
  </r>
  <r>
    <n v="8276.99"/>
    <x v="3"/>
    <n v="508"/>
    <n v="508"/>
    <s v="E11"/>
  </r>
  <r>
    <n v="8271.98"/>
    <x v="0"/>
    <n v="469"/>
    <n v="469"/>
    <s v="A09"/>
  </r>
  <r>
    <n v="24675.84"/>
    <x v="0"/>
    <n v="130"/>
    <n v="130"/>
    <s v="I10"/>
  </r>
  <r>
    <n v="11065.48"/>
    <x v="2"/>
    <n v="156"/>
    <n v="156"/>
    <s v="M54"/>
  </r>
  <r>
    <n v="21873.98"/>
    <x v="2"/>
    <n v="393"/>
    <n v="393"/>
    <s v="E11"/>
  </r>
  <r>
    <n v="14005.53"/>
    <x v="2"/>
    <n v="453"/>
    <n v="453"/>
    <s v="I10"/>
  </r>
  <r>
    <n v="18732.38"/>
    <x v="3"/>
    <n v="194"/>
    <n v="194"/>
    <s v="J20"/>
  </r>
  <r>
    <n v="17006.189999999999"/>
    <x v="2"/>
    <n v="230"/>
    <n v="230"/>
    <s v="A09"/>
  </r>
  <r>
    <n v="20190.41"/>
    <x v="2"/>
    <n v="525"/>
    <n v="525"/>
    <s v="A09"/>
  </r>
  <r>
    <n v="24892.23"/>
    <x v="1"/>
    <n v="504"/>
    <n v="504"/>
    <s v="A09"/>
  </r>
  <r>
    <n v="14219.61"/>
    <x v="1"/>
    <n v="372"/>
    <n v="372"/>
    <s v="E11"/>
  </r>
  <r>
    <n v="19224.46"/>
    <x v="0"/>
    <n v="518"/>
    <n v="518"/>
    <s v="J20"/>
  </r>
  <r>
    <n v="16266.43"/>
    <x v="1"/>
    <n v="332"/>
    <n v="332"/>
    <s v="A09"/>
  </r>
  <r>
    <n v="16409.59"/>
    <x v="3"/>
    <n v="494"/>
    <n v="494"/>
    <s v="K21"/>
  </r>
  <r>
    <n v="5312.38"/>
    <x v="4"/>
    <n v="151"/>
    <n v="151"/>
    <s v="I10"/>
  </r>
  <r>
    <n v="23225.94"/>
    <x v="3"/>
    <n v="203"/>
    <n v="203"/>
    <s v="J20"/>
  </r>
  <r>
    <n v="19354.16"/>
    <x v="2"/>
    <n v="170"/>
    <n v="170"/>
    <s v="M54"/>
  </r>
  <r>
    <n v="12766.24"/>
    <x v="1"/>
    <n v="183"/>
    <n v="183"/>
    <s v="K21"/>
  </r>
  <r>
    <n v="10495.17"/>
    <x v="3"/>
    <n v="146"/>
    <n v="146"/>
    <s v="K21"/>
  </r>
  <r>
    <n v="600.41"/>
    <x v="0"/>
    <n v="511"/>
    <n v="511"/>
    <s v="M54"/>
  </r>
  <r>
    <n v="20946.060000000001"/>
    <x v="0"/>
    <n v="534"/>
    <n v="534"/>
    <s v="C34"/>
  </r>
  <r>
    <n v="3373.12"/>
    <x v="4"/>
    <n v="171"/>
    <n v="171"/>
    <s v="C34"/>
  </r>
  <r>
    <n v="9418.26"/>
    <x v="0"/>
    <n v="521"/>
    <n v="521"/>
    <s v="E11"/>
  </r>
  <r>
    <n v="9253.69"/>
    <x v="1"/>
    <n v="502"/>
    <n v="502"/>
    <s v="E11"/>
  </r>
  <r>
    <n v="22742.73"/>
    <x v="2"/>
    <n v="418"/>
    <n v="418"/>
    <s v="J20"/>
  </r>
  <r>
    <n v="1048.72"/>
    <x v="4"/>
    <n v="308"/>
    <n v="308"/>
    <s v="I10"/>
  </r>
  <r>
    <n v="8846.93"/>
    <x v="3"/>
    <n v="147"/>
    <n v="147"/>
    <s v="M54"/>
  </r>
  <r>
    <n v="3533.25"/>
    <x v="2"/>
    <n v="259"/>
    <n v="259"/>
    <s v="M54"/>
  </r>
  <r>
    <n v="23931.25"/>
    <x v="1"/>
    <n v="344"/>
    <n v="344"/>
    <s v="M54"/>
  </r>
  <r>
    <n v="5793.69"/>
    <x v="1"/>
    <n v="480"/>
    <n v="480"/>
    <s v="I10"/>
  </r>
  <r>
    <n v="4778.74"/>
    <x v="2"/>
    <n v="268"/>
    <n v="268"/>
    <s v="C34"/>
  </r>
  <r>
    <n v="9494.31"/>
    <x v="4"/>
    <n v="396"/>
    <n v="396"/>
    <s v="C34"/>
  </r>
  <r>
    <n v="3745.27"/>
    <x v="2"/>
    <n v="527"/>
    <n v="527"/>
    <s v="K21"/>
  </r>
  <r>
    <n v="13737.81"/>
    <x v="1"/>
    <n v="481"/>
    <n v="481"/>
    <s v="J20"/>
  </r>
  <r>
    <n v="19345.79"/>
    <x v="0"/>
    <n v="439"/>
    <n v="439"/>
    <s v="I10"/>
  </r>
  <r>
    <n v="10777.56"/>
    <x v="2"/>
    <n v="378"/>
    <n v="378"/>
    <s v="E11"/>
  </r>
  <r>
    <n v="3332.22"/>
    <x v="1"/>
    <n v="257"/>
    <n v="257"/>
    <s v="M54"/>
  </r>
  <r>
    <n v="3714.37"/>
    <x v="3"/>
    <n v="497"/>
    <n v="497"/>
    <s v="I10"/>
  </r>
  <r>
    <n v="13578.54"/>
    <x v="4"/>
    <n v="291"/>
    <n v="291"/>
    <s v="E11"/>
  </r>
  <r>
    <n v="13612.37"/>
    <x v="0"/>
    <n v="539"/>
    <n v="539"/>
    <s v="E11"/>
  </r>
  <r>
    <n v="22364.86"/>
    <x v="0"/>
    <n v="264"/>
    <n v="264"/>
    <s v="E11"/>
  </r>
  <r>
    <n v="5377.12"/>
    <x v="1"/>
    <n v="130"/>
    <n v="130"/>
    <s v="K21"/>
  </r>
  <r>
    <n v="19161.900000000001"/>
    <x v="3"/>
    <n v="300"/>
    <n v="300"/>
    <s v="K21"/>
  </r>
  <r>
    <n v="6364.62"/>
    <x v="1"/>
    <n v="136"/>
    <n v="136"/>
    <s v="E11"/>
  </r>
  <r>
    <n v="5304.61"/>
    <x v="4"/>
    <n v="444"/>
    <n v="444"/>
    <s v="J20"/>
  </r>
  <r>
    <n v="19337.12"/>
    <x v="0"/>
    <n v="218"/>
    <n v="218"/>
    <s v="C34"/>
  </r>
  <r>
    <n v="22029.63"/>
    <x v="1"/>
    <n v="548"/>
    <n v="548"/>
    <s v="J20"/>
  </r>
  <r>
    <n v="10762.58"/>
    <x v="4"/>
    <n v="548"/>
    <n v="548"/>
    <s v="C34"/>
  </r>
  <r>
    <n v="6184.06"/>
    <x v="0"/>
    <n v="528"/>
    <n v="528"/>
    <s v="C34"/>
  </r>
  <r>
    <n v="2708.05"/>
    <x v="0"/>
    <n v="224"/>
    <n v="224"/>
    <s v="A09"/>
  </r>
  <r>
    <n v="14104.63"/>
    <x v="0"/>
    <n v="410"/>
    <n v="410"/>
    <s v="A09"/>
  </r>
  <r>
    <n v="3113.34"/>
    <x v="3"/>
    <n v="284"/>
    <n v="284"/>
    <s v="A09"/>
  </r>
  <r>
    <n v="21335.38"/>
    <x v="2"/>
    <n v="304"/>
    <n v="304"/>
    <s v="K21"/>
  </r>
  <r>
    <n v="798.78"/>
    <x v="1"/>
    <n v="150"/>
    <n v="150"/>
    <s v="J20"/>
  </r>
  <r>
    <n v="8938.99"/>
    <x v="3"/>
    <n v="241"/>
    <n v="241"/>
    <s v="M54"/>
  </r>
  <r>
    <n v="5392.65"/>
    <x v="1"/>
    <n v="479"/>
    <n v="479"/>
    <s v="M54"/>
  </r>
  <r>
    <n v="15486.79"/>
    <x v="3"/>
    <n v="262"/>
    <n v="262"/>
    <s v="K21"/>
  </r>
  <r>
    <n v="16058.98"/>
    <x v="0"/>
    <n v="203"/>
    <n v="203"/>
    <s v="J20"/>
  </r>
  <r>
    <n v="-500"/>
    <x v="4"/>
    <n v="265"/>
    <n v="265"/>
    <s v="I10"/>
  </r>
  <r>
    <n v="10069.69"/>
    <x v="1"/>
    <n v="201"/>
    <n v="201"/>
    <s v="I10"/>
  </r>
  <r>
    <n v="13414.13"/>
    <x v="0"/>
    <n v="168"/>
    <n v="168"/>
    <s v="M54"/>
  </r>
  <r>
    <n v="20688.12"/>
    <x v="3"/>
    <n v="380"/>
    <n v="380"/>
    <s v="E11"/>
  </r>
  <r>
    <n v="6284.72"/>
    <x v="3"/>
    <n v="325"/>
    <n v="325"/>
    <s v="C34"/>
  </r>
  <r>
    <n v="21466.78"/>
    <x v="0"/>
    <n v="529"/>
    <n v="529"/>
    <s v="M54"/>
  </r>
  <r>
    <n v="15755.93"/>
    <x v="0"/>
    <n v="482"/>
    <n v="482"/>
    <s v="J20"/>
  </r>
  <r>
    <n v="8139.84"/>
    <x v="1"/>
    <n v="139"/>
    <n v="139"/>
    <s v="C34"/>
  </r>
  <r>
    <n v="13476.93"/>
    <x v="1"/>
    <n v="513"/>
    <n v="513"/>
    <s v="K21"/>
  </r>
  <r>
    <n v="11613.92"/>
    <x v="0"/>
    <n v="354"/>
    <n v="354"/>
    <s v="A09"/>
  </r>
  <r>
    <n v="14063.1"/>
    <x v="2"/>
    <n v="277"/>
    <n v="277"/>
    <s v="M54"/>
  </r>
  <r>
    <n v="14329.89"/>
    <x v="2"/>
    <n v="465"/>
    <n v="465"/>
    <s v="A09"/>
  </r>
  <r>
    <n v="7883.67"/>
    <x v="2"/>
    <n v="269"/>
    <n v="269"/>
    <s v="E11"/>
  </r>
  <r>
    <n v="17860.419999999998"/>
    <x v="1"/>
    <n v="400"/>
    <n v="400"/>
    <s v="I10"/>
  </r>
  <r>
    <n v="18367.400000000001"/>
    <x v="3"/>
    <n v="407"/>
    <n v="407"/>
    <s v="K21"/>
  </r>
  <r>
    <n v="8428.39"/>
    <x v="1"/>
    <n v="306"/>
    <n v="306"/>
    <s v="A09"/>
  </r>
  <r>
    <n v="4738.1400000000003"/>
    <x v="2"/>
    <n v="281"/>
    <n v="281"/>
    <s v="E11"/>
  </r>
  <r>
    <n v="10155.41"/>
    <x v="3"/>
    <n v="279"/>
    <n v="279"/>
    <s v="C34"/>
  </r>
  <r>
    <n v="705.94"/>
    <x v="2"/>
    <n v="385"/>
    <n v="385"/>
    <s v="I10"/>
  </r>
  <r>
    <n v="315.58999999999997"/>
    <x v="0"/>
    <n v="256"/>
    <n v="256"/>
    <s v="I10"/>
  </r>
  <r>
    <n v="4708.3100000000004"/>
    <x v="3"/>
    <n v="276"/>
    <n v="276"/>
    <s v="I10"/>
  </r>
  <r>
    <n v="17717.919999999998"/>
    <x v="4"/>
    <n v="359"/>
    <n v="359"/>
    <s v="E11"/>
  </r>
  <r>
    <n v="23388.81"/>
    <x v="1"/>
    <n v="278"/>
    <n v="278"/>
    <s v="C34"/>
  </r>
  <r>
    <n v="15166.88"/>
    <x v="1"/>
    <n v="332"/>
    <n v="332"/>
    <s v="C34"/>
  </r>
  <r>
    <n v="9269.2000000000007"/>
    <x v="3"/>
    <n v="518"/>
    <n v="518"/>
    <s v="M54"/>
  </r>
  <r>
    <n v="20310.5"/>
    <x v="1"/>
    <n v="534"/>
    <n v="534"/>
    <s v="A09"/>
  </r>
  <r>
    <n v="7207.53"/>
    <x v="4"/>
    <n v="329"/>
    <n v="329"/>
    <s v="K21"/>
  </r>
  <r>
    <n v="2243.2399999999998"/>
    <x v="2"/>
    <n v="351"/>
    <n v="351"/>
    <s v="I10"/>
  </r>
  <r>
    <n v="24808.73"/>
    <x v="2"/>
    <n v="494"/>
    <n v="494"/>
    <s v="C34"/>
  </r>
  <r>
    <n v="7816.57"/>
    <x v="4"/>
    <n v="428"/>
    <n v="428"/>
    <s v="J20"/>
  </r>
  <r>
    <s v="twenty thousand"/>
    <x v="1"/>
    <n v="375"/>
    <n v="375"/>
    <s v="I10"/>
  </r>
  <r>
    <n v="22784.42"/>
    <x v="1"/>
    <n v="334"/>
    <n v="334"/>
    <s v="E11"/>
  </r>
  <r>
    <n v="14364.4"/>
    <x v="2"/>
    <n v="123"/>
    <n v="123"/>
    <s v="M54"/>
  </r>
  <r>
    <n v="15049.04"/>
    <x v="2"/>
    <n v="316"/>
    <n v="316"/>
    <s v="C34"/>
  </r>
  <r>
    <n v="10514.01"/>
    <x v="0"/>
    <n v="293"/>
    <n v="293"/>
    <s v="J20"/>
  </r>
  <r>
    <n v="1236.6199999999999"/>
    <x v="0"/>
    <n v="165"/>
    <n v="165"/>
    <s v="C34"/>
  </r>
  <r>
    <n v="1849.21"/>
    <x v="1"/>
    <n v="185"/>
    <n v="185"/>
    <s v="C34"/>
  </r>
  <r>
    <n v="7260.68"/>
    <x v="2"/>
    <n v="155"/>
    <n v="155"/>
    <s v="K21"/>
  </r>
  <r>
    <n v="5179.55"/>
    <x v="2"/>
    <n v="340"/>
    <n v="340"/>
    <s v="M54"/>
  </r>
  <r>
    <n v="4775.0600000000004"/>
    <x v="1"/>
    <n v="223"/>
    <n v="223"/>
    <s v="M54"/>
  </r>
  <r>
    <n v="16639.34"/>
    <x v="3"/>
    <n v="493"/>
    <n v="493"/>
    <s v="E11"/>
  </r>
  <r>
    <n v="23061.63"/>
    <x v="1"/>
    <n v="336"/>
    <n v="336"/>
    <s v="E11"/>
  </r>
  <r>
    <n v="12738.75"/>
    <x v="3"/>
    <n v="194"/>
    <n v="194"/>
    <s v="C34"/>
  </r>
  <r>
    <n v="1920.7"/>
    <x v="3"/>
    <n v="408"/>
    <n v="408"/>
    <s v="A09"/>
  </r>
  <r>
    <n v="1606.49"/>
    <x v="1"/>
    <n v="309"/>
    <n v="309"/>
    <s v="A09"/>
  </r>
  <r>
    <n v="3758.46"/>
    <x v="1"/>
    <n v="450"/>
    <n v="450"/>
    <s v="E11"/>
  </r>
  <r>
    <n v="19263.650000000001"/>
    <x v="1"/>
    <n v="538"/>
    <n v="538"/>
    <s v="E11"/>
  </r>
  <r>
    <n v="23442.83"/>
    <x v="0"/>
    <n v="244"/>
    <n v="244"/>
    <s v="C34"/>
  </r>
  <r>
    <n v="8759.6299999999992"/>
    <x v="0"/>
    <n v="345"/>
    <n v="345"/>
    <s v="E11"/>
  </r>
  <r>
    <n v="15999.91"/>
    <x v="4"/>
    <n v="298"/>
    <n v="298"/>
    <s v="J20"/>
  </r>
  <r>
    <n v="3770.8"/>
    <x v="0"/>
    <n v="310"/>
    <n v="310"/>
    <s v="C34"/>
  </r>
  <r>
    <n v="10644.29"/>
    <x v="0"/>
    <n v="335"/>
    <n v="335"/>
    <s v="C34"/>
  </r>
  <r>
    <n v="8285.07"/>
    <x v="0"/>
    <n v="168"/>
    <n v="168"/>
    <s v="C34"/>
  </r>
  <r>
    <n v="23710.52"/>
    <x v="1"/>
    <n v="337"/>
    <n v="337"/>
    <s v="A09"/>
  </r>
  <r>
    <n v="11861.76"/>
    <x v="0"/>
    <n v="253"/>
    <n v="253"/>
    <s v="K21"/>
  </r>
  <r>
    <n v="16559.36"/>
    <x v="0"/>
    <n v="192"/>
    <n v="192"/>
    <s v="M54"/>
  </r>
  <r>
    <n v="6978.34"/>
    <x v="4"/>
    <n v="428"/>
    <n v="428"/>
    <s v="M54"/>
  </r>
  <r>
    <n v="21727.15"/>
    <x v="4"/>
    <n v="490"/>
    <n v="490"/>
    <s v="M54"/>
  </r>
  <r>
    <n v="2326.6"/>
    <x v="2"/>
    <n v="541"/>
    <n v="541"/>
    <s v="K21"/>
  </r>
  <r>
    <n v="5234.58"/>
    <x v="4"/>
    <n v="209"/>
    <n v="209"/>
    <s v="J20"/>
  </r>
  <r>
    <n v="17649.36"/>
    <x v="2"/>
    <n v="255"/>
    <n v="255"/>
    <s v="I10"/>
  </r>
  <r>
    <n v="4125.3500000000004"/>
    <x v="0"/>
    <n v="458"/>
    <n v="458"/>
    <s v="J20"/>
  </r>
  <r>
    <n v="3562.85"/>
    <x v="0"/>
    <n v="342"/>
    <n v="342"/>
    <s v="M54"/>
  </r>
  <r>
    <n v="14705.3"/>
    <x v="4"/>
    <n v="329"/>
    <n v="329"/>
    <s v="I10"/>
  </r>
  <r>
    <n v="1908.47"/>
    <x v="4"/>
    <n v="419"/>
    <n v="419"/>
    <s v="J20"/>
  </r>
  <r>
    <n v="7450.27"/>
    <x v="1"/>
    <n v="281"/>
    <n v="281"/>
    <s v="A09"/>
  </r>
  <r>
    <n v="4962.17"/>
    <x v="2"/>
    <n v="366"/>
    <n v="366"/>
    <s v="I10"/>
  </r>
  <r>
    <n v="17572.77"/>
    <x v="2"/>
    <n v="329"/>
    <n v="329"/>
    <s v="M54"/>
  </r>
  <r>
    <n v="8456.39"/>
    <x v="2"/>
    <n v="166"/>
    <n v="166"/>
    <s v="K21"/>
  </r>
  <r>
    <n v="22632.46"/>
    <x v="0"/>
    <n v="298"/>
    <n v="298"/>
    <s v="I10"/>
  </r>
  <r>
    <n v="10298.44"/>
    <x v="1"/>
    <n v="167"/>
    <n v="167"/>
    <s v="J20"/>
  </r>
  <r>
    <n v="2265.9899999999998"/>
    <x v="0"/>
    <n v="443"/>
    <n v="443"/>
    <s v="I10"/>
  </r>
  <r>
    <n v="20194.419999999998"/>
    <x v="1"/>
    <n v="224"/>
    <n v="224"/>
    <s v="I10"/>
  </r>
  <r>
    <n v="19516.14"/>
    <x v="1"/>
    <n v="104"/>
    <n v="104"/>
    <s v="C34"/>
  </r>
  <r>
    <n v="15848.87"/>
    <x v="1"/>
    <n v="502"/>
    <n v="502"/>
    <s v="C34"/>
  </r>
  <r>
    <n v="5148.13"/>
    <x v="1"/>
    <n v="195"/>
    <n v="195"/>
    <s v="I10"/>
  </r>
  <r>
    <n v="17981.080000000002"/>
    <x v="0"/>
    <n v="264"/>
    <n v="264"/>
    <s v="C34"/>
  </r>
  <r>
    <n v="11836.42"/>
    <x v="2"/>
    <n v="326"/>
    <n v="326"/>
    <s v="E11"/>
  </r>
  <r>
    <n v="21978.78"/>
    <x v="3"/>
    <n v="458"/>
    <n v="458"/>
    <s v="I10"/>
  </r>
  <r>
    <n v="4228.1000000000004"/>
    <x v="2"/>
    <n v="407"/>
    <n v="407"/>
    <s v="M54"/>
  </r>
  <r>
    <n v="18438.990000000002"/>
    <x v="2"/>
    <n v="435"/>
    <n v="435"/>
    <s v="C34"/>
  </r>
  <r>
    <n v="12449.29"/>
    <x v="2"/>
    <n v="417"/>
    <n v="417"/>
    <s v="K21"/>
  </r>
  <r>
    <n v="8096.27"/>
    <x v="1"/>
    <n v="457"/>
    <n v="457"/>
    <s v="C34"/>
  </r>
  <r>
    <n v="18606.38"/>
    <x v="0"/>
    <n v="289"/>
    <n v="289"/>
    <s v="M54"/>
  </r>
  <r>
    <n v="1258.95"/>
    <x v="1"/>
    <n v="309"/>
    <n v="309"/>
    <s v="M54"/>
  </r>
  <r>
    <n v="11413.97"/>
    <x v="4"/>
    <n v="477"/>
    <n v="477"/>
    <s v="K21"/>
  </r>
  <r>
    <n v="9660.14"/>
    <x v="4"/>
    <n v="304"/>
    <n v="304"/>
    <s v="J20"/>
  </r>
  <r>
    <n v="5581.45"/>
    <x v="2"/>
    <n v="300"/>
    <n v="300"/>
    <s v="M54"/>
  </r>
  <r>
    <n v="17709.400000000001"/>
    <x v="2"/>
    <n v="172"/>
    <n v="172"/>
    <s v="E11"/>
  </r>
  <r>
    <n v="8659.2099999999991"/>
    <x v="1"/>
    <n v="513"/>
    <n v="513"/>
    <s v="C34"/>
  </r>
  <r>
    <n v="14515.05"/>
    <x v="1"/>
    <n v="457"/>
    <n v="457"/>
    <s v="E11"/>
  </r>
  <r>
    <n v="12316.98"/>
    <x v="0"/>
    <n v="109"/>
    <n v="109"/>
    <s v="J20"/>
  </r>
  <r>
    <n v="11674.69"/>
    <x v="2"/>
    <n v="134"/>
    <n v="134"/>
    <s v="M54"/>
  </r>
  <r>
    <n v="11948.92"/>
    <x v="3"/>
    <n v="424"/>
    <n v="424"/>
    <s v="I10"/>
  </r>
  <r>
    <n v="23925.360000000001"/>
    <x v="0"/>
    <n v="260"/>
    <n v="260"/>
    <s v="A09"/>
  </r>
  <r>
    <n v="7594.79"/>
    <x v="3"/>
    <n v="173"/>
    <n v="173"/>
    <s v="J20"/>
  </r>
  <r>
    <n v="19439.759999999998"/>
    <x v="4"/>
    <n v="328"/>
    <n v="328"/>
    <s v="C34"/>
  </r>
  <r>
    <n v="2872.07"/>
    <x v="2"/>
    <n v="333"/>
    <n v="333"/>
    <s v="J20"/>
  </r>
  <r>
    <n v="8205.5300000000007"/>
    <x v="2"/>
    <n v="163"/>
    <n v="163"/>
    <s v="I10"/>
  </r>
  <r>
    <n v="20828.75"/>
    <x v="0"/>
    <n v="381"/>
    <n v="381"/>
    <s v="I10"/>
  </r>
  <r>
    <n v="15404.44"/>
    <x v="2"/>
    <n v="429"/>
    <n v="429"/>
    <s v="J20"/>
  </r>
  <r>
    <n v="12517.58"/>
    <x v="1"/>
    <n v="171"/>
    <n v="171"/>
    <s v="E11"/>
  </r>
  <r>
    <n v="24313.52"/>
    <x v="1"/>
    <n v="141"/>
    <n v="141"/>
    <s v="M54"/>
  </r>
  <r>
    <n v="13212.05"/>
    <x v="0"/>
    <n v="455"/>
    <n v="455"/>
    <s v="E11"/>
  </r>
  <r>
    <n v="5631.22"/>
    <x v="3"/>
    <n v="178"/>
    <n v="178"/>
    <s v="K21"/>
  </r>
  <r>
    <n v="677.54"/>
    <x v="2"/>
    <n v="352"/>
    <n v="352"/>
    <s v="I10"/>
  </r>
  <r>
    <n v="5379.15"/>
    <x v="0"/>
    <n v="103"/>
    <n v="103"/>
    <s v="J20"/>
  </r>
  <r>
    <n v="3975.95"/>
    <x v="2"/>
    <n v="421"/>
    <n v="421"/>
    <s v="C34"/>
  </r>
  <r>
    <n v="18903.45"/>
    <x v="2"/>
    <n v="271"/>
    <n v="271"/>
    <s v="E11"/>
  </r>
  <r>
    <n v="11400.91"/>
    <x v="0"/>
    <n v="408"/>
    <n v="408"/>
    <s v="C34"/>
  </r>
  <r>
    <n v="20154.97"/>
    <x v="3"/>
    <n v="202"/>
    <n v="202"/>
    <s v="K21"/>
  </r>
  <r>
    <n v="1548.32"/>
    <x v="3"/>
    <n v="390"/>
    <n v="390"/>
    <s v="K21"/>
  </r>
  <r>
    <n v="22133.43"/>
    <x v="2"/>
    <n v="417"/>
    <n v="417"/>
    <s v="I10"/>
  </r>
  <r>
    <n v="18272.96"/>
    <x v="4"/>
    <n v="149"/>
    <n v="149"/>
    <s v="I10"/>
  </r>
  <r>
    <n v="2087.27"/>
    <x v="0"/>
    <n v="434"/>
    <n v="434"/>
    <s v="I10"/>
  </r>
  <r>
    <n v="11531.81"/>
    <x v="3"/>
    <n v="161"/>
    <n v="161"/>
    <s v="C34"/>
  </r>
  <r>
    <n v="18175.259999999998"/>
    <x v="0"/>
    <n v="545"/>
    <n v="545"/>
    <s v="A09"/>
  </r>
  <r>
    <n v="5543.79"/>
    <x v="0"/>
    <n v="447"/>
    <n v="447"/>
    <s v="M54"/>
  </r>
  <r>
    <n v="10428.120000000001"/>
    <x v="2"/>
    <n v="395"/>
    <n v="395"/>
    <s v="I10"/>
  </r>
  <r>
    <n v="805.44"/>
    <x v="2"/>
    <n v="546"/>
    <n v="546"/>
    <s v="E11"/>
  </r>
  <r>
    <n v="21863.32"/>
    <x v="0"/>
    <n v="386"/>
    <n v="386"/>
    <s v="C34"/>
  </r>
  <r>
    <n v="15031.62"/>
    <x v="0"/>
    <n v="520"/>
    <n v="520"/>
    <s v="M54"/>
  </r>
  <r>
    <n v="10293.64"/>
    <x v="0"/>
    <n v="290"/>
    <n v="290"/>
    <s v="M54"/>
  </r>
  <r>
    <n v="9136.16"/>
    <x v="0"/>
    <n v="144"/>
    <n v="144"/>
    <s v="A09"/>
  </r>
  <r>
    <n v="11379.06"/>
    <x v="4"/>
    <n v="121"/>
    <n v="121"/>
    <s v="J20"/>
  </r>
  <r>
    <n v="24435.35"/>
    <x v="3"/>
    <n v="522"/>
    <n v="522"/>
    <s v="C34"/>
  </r>
  <r>
    <n v="13085.31"/>
    <x v="2"/>
    <s v="Room-X"/>
    <n v="0"/>
    <s v="A09"/>
  </r>
  <r>
    <n v="18350"/>
    <x v="1"/>
    <n v="380"/>
    <n v="380"/>
    <s v="M54"/>
  </r>
  <r>
    <n v="5800.21"/>
    <x v="0"/>
    <n v="179"/>
    <n v="179"/>
    <s v="K21"/>
  </r>
  <r>
    <n v="17434.45"/>
    <x v="2"/>
    <n v="223"/>
    <n v="223"/>
    <s v="K21"/>
  </r>
  <r>
    <n v="782.94"/>
    <x v="2"/>
    <n v="251"/>
    <n v="251"/>
    <s v="I10"/>
  </r>
  <r>
    <n v="23785.11"/>
    <x v="0"/>
    <n v="283"/>
    <n v="283"/>
    <s v="C34"/>
  </r>
  <r>
    <n v="5369.52"/>
    <x v="0"/>
    <n v="417"/>
    <n v="417"/>
    <s v="A09"/>
  </r>
  <r>
    <n v="8126.87"/>
    <x v="2"/>
    <n v="230"/>
    <n v="230"/>
    <s v="C34"/>
  </r>
  <r>
    <n v="23738.23"/>
    <x v="0"/>
    <n v="113"/>
    <n v="113"/>
    <s v="M54"/>
  </r>
  <r>
    <n v="2257.52"/>
    <x v="1"/>
    <n v="332"/>
    <n v="332"/>
    <s v="M54"/>
  </r>
  <r>
    <n v="13905.12"/>
    <x v="0"/>
    <n v="210"/>
    <n v="210"/>
    <s v="A09"/>
  </r>
  <r>
    <n v="23401.35"/>
    <x v="0"/>
    <n v="135"/>
    <n v="135"/>
    <s v="A09"/>
  </r>
  <r>
    <n v="6479.47"/>
    <x v="1"/>
    <n v="457"/>
    <n v="457"/>
    <s v="A09"/>
  </r>
  <r>
    <n v="1187.45"/>
    <x v="1"/>
    <n v="318"/>
    <n v="318"/>
    <s v="I10"/>
  </r>
  <r>
    <n v="341.17"/>
    <x v="4"/>
    <n v="495"/>
    <n v="495"/>
    <s v="M54"/>
  </r>
  <r>
    <n v="5872.57"/>
    <x v="0"/>
    <n v="513"/>
    <n v="513"/>
    <s v="C34"/>
  </r>
  <r>
    <n v="11064.81"/>
    <x v="1"/>
    <n v="506"/>
    <n v="506"/>
    <s v="C34"/>
  </r>
  <r>
    <n v="1031.71"/>
    <x v="0"/>
    <n v="385"/>
    <n v="385"/>
    <s v="C34"/>
  </r>
  <r>
    <n v="11970.71"/>
    <x v="3"/>
    <n v="548"/>
    <n v="548"/>
    <s v="E11"/>
  </r>
  <r>
    <n v="16683.099999999999"/>
    <x v="0"/>
    <n v="437"/>
    <n v="437"/>
    <s v="A09"/>
  </r>
  <r>
    <n v="14636.59"/>
    <x v="1"/>
    <n v="386"/>
    <n v="386"/>
    <s v="I10"/>
  </r>
  <r>
    <n v="477.6"/>
    <x v="2"/>
    <n v="361"/>
    <n v="361"/>
    <s v="K21"/>
  </r>
  <r>
    <n v="8124.32"/>
    <x v="3"/>
    <n v="540"/>
    <n v="540"/>
    <s v="M54"/>
  </r>
  <r>
    <n v="2656.37"/>
    <x v="0"/>
    <n v="383"/>
    <n v="383"/>
    <s v="C34"/>
  </r>
  <r>
    <n v="12046.67"/>
    <x v="1"/>
    <n v="389"/>
    <n v="389"/>
    <s v="E11"/>
  </r>
  <r>
    <n v="-500"/>
    <x v="0"/>
    <n v="130"/>
    <n v="130"/>
    <s v="K21"/>
  </r>
  <r>
    <n v="6185.25"/>
    <x v="2"/>
    <n v="354"/>
    <n v="354"/>
    <s v="K21"/>
  </r>
  <r>
    <n v="17670.96"/>
    <x v="4"/>
    <n v="495"/>
    <n v="495"/>
    <s v="C34"/>
  </r>
  <r>
    <n v="16324.14"/>
    <x v="1"/>
    <n v="255"/>
    <n v="255"/>
    <s v="K21"/>
  </r>
  <r>
    <n v="11839.34"/>
    <x v="1"/>
    <n v="454"/>
    <n v="454"/>
    <s v="M54"/>
  </r>
  <r>
    <n v="23367.19"/>
    <x v="2"/>
    <n v="404"/>
    <n v="404"/>
    <s v="A09"/>
  </r>
  <r>
    <n v="8843.1299999999992"/>
    <x v="2"/>
    <n v="198"/>
    <n v="198"/>
    <s v="K21"/>
  </r>
  <r>
    <n v="16808.18"/>
    <x v="3"/>
    <n v="493"/>
    <n v="493"/>
    <s v="A09"/>
  </r>
  <r>
    <n v="17873"/>
    <x v="1"/>
    <n v="204"/>
    <n v="204"/>
    <s v="K21"/>
  </r>
  <r>
    <n v="16037.16"/>
    <x v="3"/>
    <n v="406"/>
    <n v="406"/>
    <s v="K21"/>
  </r>
  <r>
    <n v="12211.71"/>
    <x v="2"/>
    <n v="390"/>
    <n v="390"/>
    <s v="M54"/>
  </r>
  <r>
    <n v="24169.54"/>
    <x v="0"/>
    <n v="101"/>
    <n v="101"/>
    <s v="I10"/>
  </r>
  <r>
    <n v="12875.74"/>
    <x v="0"/>
    <n v="201"/>
    <n v="201"/>
    <s v="J20"/>
  </r>
  <r>
    <n v="9794.74"/>
    <x v="1"/>
    <n v="171"/>
    <n v="171"/>
    <s v="E11"/>
  </r>
  <r>
    <n v="7078.43"/>
    <x v="2"/>
    <n v="165"/>
    <n v="165"/>
    <s v="K21"/>
  </r>
  <r>
    <n v="444.43"/>
    <x v="1"/>
    <n v="419"/>
    <n v="419"/>
    <s v="C34"/>
  </r>
  <r>
    <n v="15534.14"/>
    <x v="2"/>
    <n v="382"/>
    <n v="382"/>
    <s v="J20"/>
  </r>
  <r>
    <n v="4461.6899999999996"/>
    <x v="0"/>
    <n v="204"/>
    <n v="204"/>
    <s v="A09"/>
  </r>
  <r>
    <n v="3289.17"/>
    <x v="3"/>
    <n v="532"/>
    <n v="532"/>
    <s v="M54"/>
  </r>
  <r>
    <n v="22957.11"/>
    <x v="2"/>
    <n v="154"/>
    <n v="154"/>
    <s v="I10"/>
  </r>
  <r>
    <n v="11264.9"/>
    <x v="3"/>
    <n v="151"/>
    <n v="151"/>
    <s v="K21"/>
  </r>
  <r>
    <n v="21294.54"/>
    <x v="0"/>
    <n v="111"/>
    <n v="111"/>
    <s v="A09"/>
  </r>
  <r>
    <n v="8187.58"/>
    <x v="0"/>
    <n v="359"/>
    <n v="359"/>
    <s v="A09"/>
  </r>
  <r>
    <n v="15103.65"/>
    <x v="0"/>
    <n v="186"/>
    <n v="186"/>
    <s v="K21"/>
  </r>
  <r>
    <n v="6998.72"/>
    <x v="2"/>
    <n v="218"/>
    <n v="218"/>
    <s v="M54"/>
  </r>
  <r>
    <n v="9843.9699999999993"/>
    <x v="1"/>
    <n v="284"/>
    <n v="284"/>
    <s v="M54"/>
  </r>
  <r>
    <n v="2418.63"/>
    <x v="2"/>
    <n v="278"/>
    <n v="278"/>
    <s v="E11"/>
  </r>
  <r>
    <n v="5634.59"/>
    <x v="3"/>
    <n v="533"/>
    <n v="533"/>
    <s v="I10"/>
  </r>
  <r>
    <n v="2490.94"/>
    <x v="2"/>
    <n v="228"/>
    <n v="228"/>
    <s v="I10"/>
  </r>
  <r>
    <n v="7107.13"/>
    <x v="4"/>
    <n v="217"/>
    <n v="217"/>
    <s v="M54"/>
  </r>
  <r>
    <n v="15599.43"/>
    <x v="4"/>
    <n v="247"/>
    <n v="247"/>
    <s v="A09"/>
  </r>
  <r>
    <n v="13925.28"/>
    <x v="1"/>
    <n v="470"/>
    <n v="470"/>
    <s v="E11"/>
  </r>
  <r>
    <n v="8271.85"/>
    <x v="4"/>
    <n v="492"/>
    <n v="492"/>
    <s v="J20"/>
  </r>
  <r>
    <n v="1398.94"/>
    <x v="4"/>
    <n v="533"/>
    <n v="533"/>
    <s v="E11"/>
  </r>
  <r>
    <n v="11482.62"/>
    <x v="1"/>
    <n v="465"/>
    <n v="465"/>
    <s v="E11"/>
  </r>
  <r>
    <n v="214.22"/>
    <x v="0"/>
    <n v="370"/>
    <n v="370"/>
    <s v="K21"/>
  </r>
  <r>
    <n v="24060.2"/>
    <x v="1"/>
    <n v="502"/>
    <n v="502"/>
    <s v="A09"/>
  </r>
  <r>
    <n v="3330.75"/>
    <x v="2"/>
    <n v="205"/>
    <n v="205"/>
    <s v="I10"/>
  </r>
  <r>
    <n v="7628.05"/>
    <x v="2"/>
    <n v="261"/>
    <n v="261"/>
    <s v="M54"/>
  </r>
  <r>
    <n v="11358.52"/>
    <x v="4"/>
    <n v="432"/>
    <n v="432"/>
    <s v="K21"/>
  </r>
  <r>
    <n v="10511.84"/>
    <x v="2"/>
    <n v="225"/>
    <n v="225"/>
    <s v="E11"/>
  </r>
  <r>
    <n v="22752.92"/>
    <x v="0"/>
    <n v="139"/>
    <n v="139"/>
    <s v="A09"/>
  </r>
  <r>
    <n v="1880.34"/>
    <x v="1"/>
    <n v="199"/>
    <n v="199"/>
    <s v="J20"/>
  </r>
  <r>
    <n v="1685.2"/>
    <x v="3"/>
    <n v="422"/>
    <n v="422"/>
    <s v="A09"/>
  </r>
  <r>
    <n v="8803.76"/>
    <x v="1"/>
    <n v="245"/>
    <n v="245"/>
    <s v="J20"/>
  </r>
  <r>
    <n v="10948.52"/>
    <x v="2"/>
    <n v="441"/>
    <n v="441"/>
    <s v="K21"/>
  </r>
  <r>
    <n v="18339.96"/>
    <x v="2"/>
    <n v="173"/>
    <n v="173"/>
    <s v="E11"/>
  </r>
  <r>
    <n v="1238.9100000000001"/>
    <x v="2"/>
    <n v="106"/>
    <n v="106"/>
    <s v="E11"/>
  </r>
  <r>
    <n v="10787.41"/>
    <x v="2"/>
    <n v="207"/>
    <n v="207"/>
    <s v="I10"/>
  </r>
  <r>
    <n v="19717.900000000001"/>
    <x v="3"/>
    <n v="339"/>
    <n v="339"/>
    <s v="E11"/>
  </r>
  <r>
    <n v="15496.6"/>
    <x v="1"/>
    <n v="535"/>
    <n v="535"/>
    <s v="M54"/>
  </r>
  <r>
    <n v="16760.25"/>
    <x v="2"/>
    <n v="512"/>
    <n v="512"/>
    <s v="A09"/>
  </r>
  <r>
    <n v="8338.2099999999991"/>
    <x v="2"/>
    <n v="355"/>
    <n v="355"/>
    <s v="C34"/>
  </r>
  <r>
    <n v="13964.35"/>
    <x v="3"/>
    <n v="550"/>
    <n v="550"/>
    <s v="E11"/>
  </r>
  <r>
    <n v="10598.43"/>
    <x v="1"/>
    <n v="253"/>
    <n v="253"/>
    <s v="I10"/>
  </r>
  <r>
    <n v="23167.89"/>
    <x v="2"/>
    <n v="323"/>
    <n v="323"/>
    <s v="M54"/>
  </r>
  <r>
    <n v="21266.36"/>
    <x v="2"/>
    <n v="224"/>
    <n v="224"/>
    <s v="A09"/>
  </r>
  <r>
    <n v="21359.32"/>
    <x v="1"/>
    <n v="142"/>
    <n v="142"/>
    <s v="I10"/>
  </r>
  <r>
    <n v="23372.48"/>
    <x v="4"/>
    <n v="126"/>
    <n v="126"/>
    <s v="I10"/>
  </r>
  <r>
    <n v="17032.75"/>
    <x v="1"/>
    <n v="441"/>
    <n v="441"/>
    <s v="A09"/>
  </r>
  <r>
    <n v="1165.77"/>
    <x v="1"/>
    <n v="120"/>
    <n v="120"/>
    <s v="A09"/>
  </r>
  <r>
    <n v="2866.95"/>
    <x v="2"/>
    <n v="415"/>
    <n v="415"/>
    <s v="K21"/>
  </r>
  <r>
    <n v="15232.96"/>
    <x v="2"/>
    <n v="180"/>
    <n v="180"/>
    <s v="C34"/>
  </r>
  <r>
    <n v="21333.48"/>
    <x v="4"/>
    <n v="455"/>
    <n v="455"/>
    <s v="M54"/>
  </r>
  <r>
    <n v="10565.65"/>
    <x v="3"/>
    <n v="506"/>
    <n v="506"/>
    <s v="K21"/>
  </r>
  <r>
    <n v="3888.28"/>
    <x v="4"/>
    <n v="118"/>
    <n v="118"/>
    <s v="I10"/>
  </r>
  <r>
    <n v="3327.52"/>
    <x v="1"/>
    <n v="244"/>
    <n v="244"/>
    <s v="K21"/>
  </r>
  <r>
    <n v="10996.3"/>
    <x v="1"/>
    <n v="429"/>
    <n v="429"/>
    <s v="C34"/>
  </r>
  <r>
    <n v="9891.7000000000007"/>
    <x v="1"/>
    <n v="133"/>
    <n v="133"/>
    <s v="I10"/>
  </r>
  <r>
    <n v="11694.9"/>
    <x v="0"/>
    <n v="501"/>
    <n v="501"/>
    <s v="C34"/>
  </r>
  <r>
    <n v="16528.439999999999"/>
    <x v="4"/>
    <n v="103"/>
    <n v="103"/>
    <s v="K21"/>
  </r>
  <r>
    <n v="3874.56"/>
    <x v="4"/>
    <n v="222"/>
    <n v="222"/>
    <s v="A09"/>
  </r>
  <r>
    <n v="19317.330000000002"/>
    <x v="1"/>
    <n v="464"/>
    <n v="464"/>
    <s v="J20"/>
  </r>
  <r>
    <n v="5434.33"/>
    <x v="1"/>
    <n v="448"/>
    <n v="448"/>
    <s v="C34"/>
  </r>
  <r>
    <n v="11482.82"/>
    <x v="2"/>
    <n v="375"/>
    <n v="375"/>
    <s v="K21"/>
  </r>
  <r>
    <n v="13362.42"/>
    <x v="2"/>
    <n v="213"/>
    <n v="213"/>
    <s v="K21"/>
  </r>
  <r>
    <n v="23974.21"/>
    <x v="2"/>
    <n v="374"/>
    <n v="374"/>
    <s v="K21"/>
  </r>
  <r>
    <n v="13445.43"/>
    <x v="2"/>
    <n v="499"/>
    <n v="499"/>
    <s v="I10"/>
  </r>
  <r>
    <n v="552.44000000000005"/>
    <x v="0"/>
    <n v="140"/>
    <n v="140"/>
    <s v="J20"/>
  </r>
  <r>
    <n v="4391.76"/>
    <x v="2"/>
    <n v="443"/>
    <n v="443"/>
    <s v="J20"/>
  </r>
  <r>
    <n v="9163.4500000000007"/>
    <x v="2"/>
    <n v="258"/>
    <n v="258"/>
    <s v="A09"/>
  </r>
  <r>
    <n v="23848.92"/>
    <x v="1"/>
    <n v="498"/>
    <n v="498"/>
    <s v="K21"/>
  </r>
  <r>
    <n v="12611.48"/>
    <x v="0"/>
    <n v="361"/>
    <n v="361"/>
    <s v="I10"/>
  </r>
  <r>
    <n v="8960.36"/>
    <x v="0"/>
    <n v="512"/>
    <n v="512"/>
    <s v="E11"/>
  </r>
  <r>
    <n v="2768.52"/>
    <x v="0"/>
    <n v="208"/>
    <n v="208"/>
    <s v="E11"/>
  </r>
  <r>
    <n v="20895.88"/>
    <x v="0"/>
    <n v="385"/>
    <n v="385"/>
    <s v="K21"/>
  </r>
  <r>
    <n v="1102.21"/>
    <x v="3"/>
    <n v="101"/>
    <n v="101"/>
    <s v="A09"/>
  </r>
  <r>
    <n v="24245.68"/>
    <x v="0"/>
    <n v="143"/>
    <n v="143"/>
    <s v="E11"/>
  </r>
  <r>
    <n v="13928.91"/>
    <x v="1"/>
    <n v="161"/>
    <n v="161"/>
    <s v="A09"/>
  </r>
  <r>
    <n v="7477.59"/>
    <x v="1"/>
    <n v="128"/>
    <n v="128"/>
    <s v="J20"/>
  </r>
  <r>
    <n v="8630.5400000000009"/>
    <x v="0"/>
    <n v="138"/>
    <n v="138"/>
    <s v="A09"/>
  </r>
  <r>
    <n v="10290.4"/>
    <x v="2"/>
    <n v="245"/>
    <n v="245"/>
    <s v="J20"/>
  </r>
  <r>
    <n v="2559.9"/>
    <x v="2"/>
    <n v="493"/>
    <n v="493"/>
    <s v="J20"/>
  </r>
  <r>
    <n v="18857.09"/>
    <x v="2"/>
    <n v="259"/>
    <n v="259"/>
    <s v="M54"/>
  </r>
  <r>
    <n v="3594.91"/>
    <x v="1"/>
    <n v="401"/>
    <n v="401"/>
    <s v="I10"/>
  </r>
  <r>
    <n v="10268.52"/>
    <x v="1"/>
    <n v="235"/>
    <n v="235"/>
    <s v="E11"/>
  </r>
  <r>
    <n v="15844.8"/>
    <x v="2"/>
    <n v="340"/>
    <n v="340"/>
    <s v="E11"/>
  </r>
  <r>
    <n v="4973.3"/>
    <x v="2"/>
    <n v="276"/>
    <n v="276"/>
    <s v="E11"/>
  </r>
  <r>
    <n v="15486.34"/>
    <x v="1"/>
    <n v="461"/>
    <n v="461"/>
    <s v="M54"/>
  </r>
  <r>
    <n v="14850.29"/>
    <x v="2"/>
    <n v="453"/>
    <n v="453"/>
    <s v="E11"/>
  </r>
  <r>
    <n v="5925.22"/>
    <x v="3"/>
    <n v="481"/>
    <n v="481"/>
    <s v="I10"/>
  </r>
  <r>
    <n v="7058.42"/>
    <x v="1"/>
    <n v="394"/>
    <n v="394"/>
    <s v="I10"/>
  </r>
  <r>
    <n v="5317.07"/>
    <x v="4"/>
    <n v="175"/>
    <n v="175"/>
    <s v="C34"/>
  </r>
  <r>
    <n v="11196.61"/>
    <x v="3"/>
    <n v="539"/>
    <n v="539"/>
    <s v="C34"/>
  </r>
  <r>
    <n v="12349.85"/>
    <x v="2"/>
    <n v="323"/>
    <n v="323"/>
    <s v="I10"/>
  </r>
  <r>
    <n v="19578.55"/>
    <x v="2"/>
    <n v="483"/>
    <n v="483"/>
    <s v="M54"/>
  </r>
  <r>
    <n v="3689.31"/>
    <x v="2"/>
    <n v="190"/>
    <n v="190"/>
    <s v="M54"/>
  </r>
  <r>
    <n v="16177.4"/>
    <x v="0"/>
    <n v="202"/>
    <n v="202"/>
    <s v="C34"/>
  </r>
  <r>
    <n v="5670.03"/>
    <x v="4"/>
    <n v="108"/>
    <n v="108"/>
    <s v="K21"/>
  </r>
  <r>
    <n v="2923.65"/>
    <x v="1"/>
    <n v="367"/>
    <n v="367"/>
    <s v="J20"/>
  </r>
  <r>
    <n v="3897.59"/>
    <x v="2"/>
    <n v="267"/>
    <n v="267"/>
    <s v="K21"/>
  </r>
  <r>
    <n v="4846.82"/>
    <x v="2"/>
    <n v="469"/>
    <n v="469"/>
    <s v="K21"/>
  </r>
  <r>
    <n v="16811.939999999999"/>
    <x v="1"/>
    <n v="149"/>
    <n v="149"/>
    <s v="M54"/>
  </r>
  <r>
    <n v="21473.35"/>
    <x v="1"/>
    <n v="341"/>
    <n v="341"/>
    <s v="K21"/>
  </r>
  <r>
    <n v="23946.04"/>
    <x v="2"/>
    <n v="453"/>
    <n v="453"/>
    <s v="I10"/>
  </r>
  <r>
    <n v="5282.99"/>
    <x v="0"/>
    <n v="373"/>
    <n v="373"/>
    <s v="C34"/>
  </r>
  <r>
    <n v="5618.07"/>
    <x v="1"/>
    <n v="118"/>
    <n v="118"/>
    <s v="J20"/>
  </r>
  <r>
    <n v="22348.95"/>
    <x v="1"/>
    <n v="274"/>
    <n v="274"/>
    <s v="E11"/>
  </r>
  <r>
    <n v="17287.12"/>
    <x v="4"/>
    <n v="436"/>
    <n v="436"/>
    <s v="K21"/>
  </r>
  <r>
    <n v="2682.32"/>
    <x v="3"/>
    <n v="394"/>
    <n v="394"/>
    <s v="J20"/>
  </r>
  <r>
    <n v="13995.91"/>
    <x v="4"/>
    <n v="113"/>
    <n v="113"/>
    <s v="C34"/>
  </r>
  <r>
    <n v="20593.39"/>
    <x v="3"/>
    <n v="477"/>
    <n v="477"/>
    <s v="I10"/>
  </r>
  <r>
    <n v="11629.21"/>
    <x v="0"/>
    <n v="215"/>
    <n v="215"/>
    <s v="A09"/>
  </r>
  <r>
    <n v="20901.71"/>
    <x v="0"/>
    <n v="178"/>
    <n v="178"/>
    <s v="C34"/>
  </r>
  <r>
    <n v="4012.74"/>
    <x v="1"/>
    <n v="322"/>
    <n v="322"/>
    <s v="E11"/>
  </r>
  <r>
    <n v="23849.73"/>
    <x v="0"/>
    <n v="188"/>
    <n v="188"/>
    <s v="A09"/>
  </r>
  <r>
    <n v="23170.09"/>
    <x v="2"/>
    <n v="200"/>
    <n v="200"/>
    <s v="M54"/>
  </r>
  <r>
    <n v="19955.72"/>
    <x v="4"/>
    <n v="127"/>
    <n v="127"/>
    <s v="E11"/>
  </r>
  <r>
    <n v="1510.23"/>
    <x v="4"/>
    <n v="375"/>
    <n v="375"/>
    <s v="E11"/>
  </r>
  <r>
    <n v="8609.98"/>
    <x v="1"/>
    <n v="232"/>
    <n v="232"/>
    <s v="J20"/>
  </r>
  <r>
    <n v="12364.61"/>
    <x v="3"/>
    <n v="171"/>
    <n v="171"/>
    <s v="K21"/>
  </r>
  <r>
    <n v="1971.59"/>
    <x v="1"/>
    <n v="477"/>
    <n v="477"/>
    <s v="K21"/>
  </r>
  <r>
    <n v="943.01"/>
    <x v="2"/>
    <n v="499"/>
    <n v="499"/>
    <s v="I10"/>
  </r>
  <r>
    <n v="2249.29"/>
    <x v="3"/>
    <n v="346"/>
    <n v="346"/>
    <s v="K21"/>
  </r>
  <r>
    <n v="18036.79"/>
    <x v="1"/>
    <n v="260"/>
    <n v="260"/>
    <s v="M54"/>
  </r>
  <r>
    <n v="2309"/>
    <x v="4"/>
    <n v="407"/>
    <n v="407"/>
    <s v="C34"/>
  </r>
  <r>
    <n v="20644.05"/>
    <x v="2"/>
    <n v="356"/>
    <n v="356"/>
    <s v="A09"/>
  </r>
  <r>
    <n v="11789.36"/>
    <x v="2"/>
    <n v="406"/>
    <n v="406"/>
    <s v="I10"/>
  </r>
  <r>
    <n v="15989.36"/>
    <x v="1"/>
    <n v="285"/>
    <n v="285"/>
    <s v="C34"/>
  </r>
  <r>
    <n v="6047.88"/>
    <x v="4"/>
    <s v="Room-X"/>
    <n v="0"/>
    <s v="J20"/>
  </r>
  <r>
    <n v="20575.14"/>
    <x v="0"/>
    <n v="473"/>
    <n v="473"/>
    <s v="I10"/>
  </r>
  <r>
    <n v="6161.67"/>
    <x v="0"/>
    <n v="416"/>
    <n v="416"/>
    <s v="J20"/>
  </r>
  <r>
    <n v="6841.71"/>
    <x v="2"/>
    <n v="162"/>
    <n v="162"/>
    <s v="K21"/>
  </r>
  <r>
    <n v="24061.37"/>
    <x v="4"/>
    <n v="380"/>
    <n v="380"/>
    <s v="M54"/>
  </r>
  <r>
    <n v="13302.37"/>
    <x v="1"/>
    <n v="304"/>
    <n v="304"/>
    <s v="J20"/>
  </r>
  <r>
    <n v="15553.05"/>
    <x v="2"/>
    <n v="471"/>
    <n v="471"/>
    <s v="E11"/>
  </r>
  <r>
    <n v="2237.77"/>
    <x v="2"/>
    <n v="520"/>
    <n v="520"/>
    <s v="M54"/>
  </r>
  <r>
    <n v="18989.919999999998"/>
    <x v="2"/>
    <n v="195"/>
    <n v="195"/>
    <s v="M54"/>
  </r>
  <r>
    <n v="-500"/>
    <x v="2"/>
    <n v="442"/>
    <n v="442"/>
    <s v="I10"/>
  </r>
  <r>
    <n v="21604.49"/>
    <x v="2"/>
    <n v="495"/>
    <n v="495"/>
    <s v="E11"/>
  </r>
  <r>
    <n v="8422.4699999999993"/>
    <x v="4"/>
    <n v="338"/>
    <n v="338"/>
    <s v="A09"/>
  </r>
  <r>
    <n v="24829.53"/>
    <x v="2"/>
    <n v="222"/>
    <n v="222"/>
    <s v="E11"/>
  </r>
  <r>
    <n v="14760.61"/>
    <x v="1"/>
    <n v="302"/>
    <n v="302"/>
    <s v="C34"/>
  </r>
  <r>
    <n v="13250.04"/>
    <x v="1"/>
    <n v="378"/>
    <n v="378"/>
    <s v="I10"/>
  </r>
  <r>
    <n v="3540.73"/>
    <x v="1"/>
    <n v="215"/>
    <n v="215"/>
    <s v="I10"/>
  </r>
  <r>
    <n v="19008.28"/>
    <x v="1"/>
    <n v="299"/>
    <n v="299"/>
    <s v="I10"/>
  </r>
  <r>
    <n v="20972.400000000001"/>
    <x v="2"/>
    <n v="225"/>
    <n v="225"/>
    <s v="C34"/>
  </r>
  <r>
    <n v="20611.41"/>
    <x v="1"/>
    <n v="471"/>
    <n v="471"/>
    <s v="M54"/>
  </r>
  <r>
    <n v="3521.37"/>
    <x v="2"/>
    <n v="139"/>
    <n v="139"/>
    <s v="J20"/>
  </r>
  <r>
    <n v="5800.93"/>
    <x v="0"/>
    <n v="371"/>
    <n v="371"/>
    <s v="M54"/>
  </r>
  <r>
    <n v="20410.669999999998"/>
    <x v="4"/>
    <n v="210"/>
    <n v="210"/>
    <s v="A09"/>
  </r>
  <r>
    <n v="8574.83"/>
    <x v="1"/>
    <n v="147"/>
    <n v="147"/>
    <s v="J20"/>
  </r>
  <r>
    <n v="23528.560000000001"/>
    <x v="2"/>
    <n v="524"/>
    <n v="524"/>
    <s v="J20"/>
  </r>
  <r>
    <n v="10831"/>
    <x v="2"/>
    <n v="365"/>
    <n v="365"/>
    <s v="C34"/>
  </r>
  <r>
    <n v="23483.360000000001"/>
    <x v="3"/>
    <n v="547"/>
    <n v="547"/>
    <s v="I10"/>
  </r>
  <r>
    <n v="20490.669999999998"/>
    <x v="2"/>
    <n v="297"/>
    <n v="297"/>
    <s v="E11"/>
  </r>
  <r>
    <n v="19236.349999999999"/>
    <x v="2"/>
    <n v="274"/>
    <n v="274"/>
    <s v="J20"/>
  </r>
  <r>
    <n v="12237.58"/>
    <x v="0"/>
    <n v="317"/>
    <n v="317"/>
    <s v="K21"/>
  </r>
  <r>
    <n v="3072.55"/>
    <x v="2"/>
    <n v="383"/>
    <n v="383"/>
    <s v="I10"/>
  </r>
  <r>
    <n v="21598.28"/>
    <x v="4"/>
    <n v="308"/>
    <n v="308"/>
    <s v="I10"/>
  </r>
  <r>
    <n v="16742.240000000002"/>
    <x v="0"/>
    <n v="453"/>
    <n v="453"/>
    <s v="C34"/>
  </r>
  <r>
    <n v="20121.509999999998"/>
    <x v="2"/>
    <n v="393"/>
    <n v="393"/>
    <s v="E11"/>
  </r>
  <r>
    <n v="19212.39"/>
    <x v="0"/>
    <n v="545"/>
    <n v="545"/>
    <s v="K21"/>
  </r>
  <r>
    <n v="3800.49"/>
    <x v="1"/>
    <n v="396"/>
    <n v="396"/>
    <s v="M54"/>
  </r>
  <r>
    <n v="19353.03"/>
    <x v="2"/>
    <n v="391"/>
    <n v="391"/>
    <s v="A09"/>
  </r>
  <r>
    <n v="7501.91"/>
    <x v="4"/>
    <n v="497"/>
    <n v="497"/>
    <s v="M54"/>
  </r>
  <r>
    <n v="24752.560000000001"/>
    <x v="0"/>
    <n v="179"/>
    <n v="179"/>
    <s v="M54"/>
  </r>
  <r>
    <n v="4513.08"/>
    <x v="3"/>
    <n v="258"/>
    <n v="258"/>
    <s v="A09"/>
  </r>
  <r>
    <n v="16324.7"/>
    <x v="4"/>
    <n v="436"/>
    <n v="436"/>
    <s v="A09"/>
  </r>
  <r>
    <n v="22204.61"/>
    <x v="1"/>
    <n v="172"/>
    <n v="172"/>
    <s v="C34"/>
  </r>
  <r>
    <n v="13703.61"/>
    <x v="4"/>
    <n v="322"/>
    <n v="322"/>
    <s v="C34"/>
  </r>
  <r>
    <n v="15832.75"/>
    <x v="3"/>
    <n v="107"/>
    <n v="107"/>
    <s v="A09"/>
  </r>
  <r>
    <n v="20219.37"/>
    <x v="1"/>
    <n v="392"/>
    <n v="392"/>
    <s v="J20"/>
  </r>
  <r>
    <n v="6166.9"/>
    <x v="2"/>
    <n v="535"/>
    <n v="535"/>
    <s v="A09"/>
  </r>
  <r>
    <n v="12064.75"/>
    <x v="3"/>
    <n v="100"/>
    <n v="100"/>
    <s v="I10"/>
  </r>
  <r>
    <n v="3096.24"/>
    <x v="0"/>
    <n v="357"/>
    <n v="357"/>
    <s v="E11"/>
  </r>
  <r>
    <n v="1388.32"/>
    <x v="1"/>
    <n v="292"/>
    <n v="292"/>
    <s v="A09"/>
  </r>
  <r>
    <n v="21474.35"/>
    <x v="1"/>
    <n v="127"/>
    <n v="127"/>
    <s v="M54"/>
  </r>
  <r>
    <n v="15749.05"/>
    <x v="2"/>
    <n v="473"/>
    <n v="473"/>
    <s v="J20"/>
  </r>
  <r>
    <n v="16850.560000000001"/>
    <x v="4"/>
    <n v="276"/>
    <n v="276"/>
    <s v="I10"/>
  </r>
  <r>
    <n v="24553.16"/>
    <x v="1"/>
    <n v="493"/>
    <n v="493"/>
    <s v="K21"/>
  </r>
  <r>
    <n v="5121.29"/>
    <x v="0"/>
    <n v="218"/>
    <n v="218"/>
    <s v="I10"/>
  </r>
  <r>
    <n v="22912.32"/>
    <x v="0"/>
    <n v="155"/>
    <n v="155"/>
    <s v="M54"/>
  </r>
  <r>
    <n v="17015.21"/>
    <x v="1"/>
    <n v="408"/>
    <n v="408"/>
    <s v="E11"/>
  </r>
  <r>
    <n v="6101.73"/>
    <x v="1"/>
    <n v="167"/>
    <n v="167"/>
    <s v="M54"/>
  </r>
  <r>
    <n v="5612.69"/>
    <x v="1"/>
    <n v="441"/>
    <n v="441"/>
    <s v="A09"/>
  </r>
  <r>
    <n v="21641.040000000001"/>
    <x v="1"/>
    <n v="124"/>
    <n v="124"/>
    <s v="E11"/>
  </r>
  <r>
    <n v="7262.06"/>
    <x v="2"/>
    <n v="221"/>
    <n v="221"/>
    <s v="M54"/>
  </r>
  <r>
    <n v="13447.71"/>
    <x v="4"/>
    <n v="337"/>
    <n v="337"/>
    <s v="C34"/>
  </r>
  <r>
    <n v="20882.150000000001"/>
    <x v="1"/>
    <n v="549"/>
    <n v="549"/>
    <s v="M54"/>
  </r>
  <r>
    <n v="4456.17"/>
    <x v="1"/>
    <n v="476"/>
    <n v="476"/>
    <s v="K21"/>
  </r>
  <r>
    <n v="21691.27"/>
    <x v="3"/>
    <n v="547"/>
    <n v="547"/>
    <s v="K21"/>
  </r>
  <r>
    <n v="8594.09"/>
    <x v="0"/>
    <n v="478"/>
    <n v="478"/>
    <s v="I10"/>
  </r>
  <r>
    <n v="11448.63"/>
    <x v="2"/>
    <n v="306"/>
    <n v="306"/>
    <s v="K21"/>
  </r>
  <r>
    <n v="9254.14"/>
    <x v="2"/>
    <n v="292"/>
    <n v="292"/>
    <s v="A09"/>
  </r>
  <r>
    <n v="8331.69"/>
    <x v="4"/>
    <n v="144"/>
    <n v="144"/>
    <s v="M54"/>
  </r>
  <r>
    <n v="8319.34"/>
    <x v="0"/>
    <n v="333"/>
    <n v="333"/>
    <s v="K21"/>
  </r>
  <r>
    <n v="19627.060000000001"/>
    <x v="2"/>
    <n v="181"/>
    <n v="181"/>
    <s v="E11"/>
  </r>
  <r>
    <n v="24380.23"/>
    <x v="2"/>
    <n v="359"/>
    <n v="359"/>
    <s v="J20"/>
  </r>
  <r>
    <n v="7232.44"/>
    <x v="0"/>
    <n v="420"/>
    <n v="420"/>
    <s v="A09"/>
  </r>
  <r>
    <n v="6034.97"/>
    <x v="0"/>
    <n v="329"/>
    <n v="329"/>
    <s v="M54"/>
  </r>
  <r>
    <n v="7017.52"/>
    <x v="1"/>
    <n v="414"/>
    <n v="414"/>
    <s v="I10"/>
  </r>
  <r>
    <n v="21454.19"/>
    <x v="0"/>
    <n v="358"/>
    <n v="358"/>
    <s v="M54"/>
  </r>
  <r>
    <n v="19805.09"/>
    <x v="1"/>
    <n v="448"/>
    <n v="448"/>
    <s v="A09"/>
  </r>
  <r>
    <n v="17448.439999999999"/>
    <x v="2"/>
    <n v="439"/>
    <n v="439"/>
    <s v="K21"/>
  </r>
  <r>
    <n v="14316"/>
    <x v="2"/>
    <n v="444"/>
    <n v="444"/>
    <s v="I10"/>
  </r>
  <r>
    <n v="6854.4"/>
    <x v="4"/>
    <n v="368"/>
    <n v="368"/>
    <s v="M54"/>
  </r>
  <r>
    <n v="20696.419999999998"/>
    <x v="2"/>
    <n v="195"/>
    <n v="195"/>
    <s v="C34"/>
  </r>
  <r>
    <n v="20791.650000000001"/>
    <x v="3"/>
    <n v="543"/>
    <n v="543"/>
    <s v="E11"/>
  </r>
  <r>
    <n v="17174.84"/>
    <x v="1"/>
    <n v="195"/>
    <n v="195"/>
    <s v="A09"/>
  </r>
  <r>
    <n v="24221.97"/>
    <x v="4"/>
    <n v="306"/>
    <n v="306"/>
    <s v="A09"/>
  </r>
  <r>
    <n v="2735.07"/>
    <x v="1"/>
    <n v="386"/>
    <n v="386"/>
    <s v="C34"/>
  </r>
  <r>
    <n v="13069.59"/>
    <x v="0"/>
    <n v="535"/>
    <n v="535"/>
    <s v="A09"/>
  </r>
  <r>
    <n v="20656.580000000002"/>
    <x v="3"/>
    <n v="103"/>
    <n v="103"/>
    <s v="E11"/>
  </r>
  <r>
    <n v="22864.23"/>
    <x v="0"/>
    <n v="184"/>
    <n v="184"/>
    <s v="I10"/>
  </r>
  <r>
    <n v="2333.0500000000002"/>
    <x v="1"/>
    <n v="207"/>
    <n v="207"/>
    <s v="M54"/>
  </r>
  <r>
    <n v="8303.84"/>
    <x v="1"/>
    <n v="203"/>
    <n v="203"/>
    <s v="I10"/>
  </r>
  <r>
    <n v="12001.22"/>
    <x v="1"/>
    <n v="221"/>
    <n v="221"/>
    <s v="K21"/>
  </r>
  <r>
    <n v="4597.6499999999996"/>
    <x v="0"/>
    <n v="415"/>
    <n v="415"/>
    <s v="A09"/>
  </r>
  <r>
    <n v="18992.57"/>
    <x v="2"/>
    <n v="239"/>
    <n v="239"/>
    <s v="J20"/>
  </r>
  <r>
    <n v="23392.31"/>
    <x v="0"/>
    <n v="313"/>
    <n v="313"/>
    <s v="I10"/>
  </r>
  <r>
    <n v="7132.54"/>
    <x v="4"/>
    <n v="170"/>
    <n v="170"/>
    <s v="M54"/>
  </r>
  <r>
    <n v="18375.62"/>
    <x v="0"/>
    <n v="286"/>
    <n v="286"/>
    <s v="K21"/>
  </r>
  <r>
    <n v="7752.63"/>
    <x v="1"/>
    <n v="142"/>
    <n v="142"/>
    <s v="K21"/>
  </r>
  <r>
    <n v="22085.75"/>
    <x v="2"/>
    <n v="179"/>
    <n v="179"/>
    <s v="K21"/>
  </r>
  <r>
    <n v="3451.97"/>
    <x v="1"/>
    <n v="509"/>
    <n v="509"/>
    <s v="J20"/>
  </r>
  <r>
    <n v="12117.12"/>
    <x v="3"/>
    <n v="424"/>
    <n v="424"/>
    <s v="C34"/>
  </r>
  <r>
    <n v="7252.2"/>
    <x v="0"/>
    <n v="297"/>
    <n v="297"/>
    <s v="A09"/>
  </r>
  <r>
    <n v="22491.95"/>
    <x v="0"/>
    <n v="468"/>
    <n v="468"/>
    <s v="J20"/>
  </r>
  <r>
    <n v="22997.18"/>
    <x v="2"/>
    <n v="207"/>
    <n v="207"/>
    <s v="I10"/>
  </r>
  <r>
    <n v="3332.13"/>
    <x v="4"/>
    <n v="549"/>
    <n v="549"/>
    <s v="K21"/>
  </r>
  <r>
    <n v="18509.75"/>
    <x v="1"/>
    <n v="366"/>
    <n v="366"/>
    <s v="E11"/>
  </r>
  <r>
    <n v="8756.18"/>
    <x v="4"/>
    <n v="492"/>
    <n v="492"/>
    <s v="M54"/>
  </r>
  <r>
    <n v="22516.32"/>
    <x v="0"/>
    <n v="337"/>
    <n v="337"/>
    <s v="J20"/>
  </r>
  <r>
    <n v="18293"/>
    <x v="0"/>
    <n v="127"/>
    <n v="127"/>
    <s v="A09"/>
  </r>
  <r>
    <n v="11537.74"/>
    <x v="3"/>
    <n v="201"/>
    <n v="201"/>
    <s v="M54"/>
  </r>
  <r>
    <n v="4479.09"/>
    <x v="3"/>
    <n v="479"/>
    <n v="479"/>
    <s v="M54"/>
  </r>
  <r>
    <n v="16080.87"/>
    <x v="3"/>
    <n v="383"/>
    <n v="383"/>
    <s v="A09"/>
  </r>
  <r>
    <n v="17621.259999999998"/>
    <x v="3"/>
    <n v="504"/>
    <n v="504"/>
    <s v="A09"/>
  </r>
  <r>
    <n v="12329.76"/>
    <x v="0"/>
    <n v="477"/>
    <n v="477"/>
    <s v="C34"/>
  </r>
  <r>
    <n v="23559.08"/>
    <x v="1"/>
    <n v="233"/>
    <n v="233"/>
    <s v="K21"/>
  </r>
  <r>
    <n v="15169.46"/>
    <x v="0"/>
    <n v="101"/>
    <n v="101"/>
    <s v="E11"/>
  </r>
  <r>
    <n v="6312.94"/>
    <x v="0"/>
    <n v="488"/>
    <n v="488"/>
    <s v="A09"/>
  </r>
  <r>
    <n v="10048.870000000001"/>
    <x v="2"/>
    <n v="380"/>
    <n v="380"/>
    <s v="E11"/>
  </r>
  <r>
    <n v="15243.18"/>
    <x v="0"/>
    <n v="365"/>
    <n v="365"/>
    <s v="A09"/>
  </r>
  <r>
    <n v="4779.47"/>
    <x v="0"/>
    <n v="131"/>
    <n v="131"/>
    <s v="K21"/>
  </r>
  <r>
    <n v="23079.11"/>
    <x v="1"/>
    <n v="517"/>
    <n v="517"/>
    <s v="A09"/>
  </r>
  <r>
    <n v="23861.54"/>
    <x v="1"/>
    <n v="111"/>
    <n v="111"/>
    <s v="K21"/>
  </r>
  <r>
    <n v="2493.38"/>
    <x v="3"/>
    <n v="344"/>
    <n v="344"/>
    <s v="J20"/>
  </r>
  <r>
    <n v="24806.03"/>
    <x v="1"/>
    <n v="207"/>
    <n v="207"/>
    <s v="C34"/>
  </r>
  <r>
    <n v="15905.61"/>
    <x v="4"/>
    <n v="159"/>
    <n v="159"/>
    <s v="E11"/>
  </r>
  <r>
    <n v="1526.89"/>
    <x v="1"/>
    <n v="159"/>
    <n v="159"/>
    <s v="I10"/>
  </r>
  <r>
    <n v="1237.9100000000001"/>
    <x v="2"/>
    <n v="328"/>
    <n v="328"/>
    <s v="E11"/>
  </r>
  <r>
    <n v="1118.17"/>
    <x v="3"/>
    <n v="320"/>
    <n v="320"/>
    <s v="M54"/>
  </r>
  <r>
    <n v="19460.89"/>
    <x v="1"/>
    <n v="176"/>
    <n v="176"/>
    <s v="K21"/>
  </r>
  <r>
    <n v="19787.96"/>
    <x v="0"/>
    <n v="420"/>
    <n v="420"/>
    <s v="A09"/>
  </r>
  <r>
    <n v="14988.82"/>
    <x v="0"/>
    <n v="165"/>
    <n v="165"/>
    <s v="I10"/>
  </r>
  <r>
    <n v="21023.22"/>
    <x v="1"/>
    <n v="514"/>
    <n v="514"/>
    <s v="C34"/>
  </r>
  <r>
    <n v="20622.64"/>
    <x v="1"/>
    <n v="217"/>
    <n v="217"/>
    <s v="M54"/>
  </r>
  <r>
    <n v="13832.44"/>
    <x v="1"/>
    <n v="298"/>
    <n v="298"/>
    <s v="J20"/>
  </r>
  <r>
    <n v="22224.94"/>
    <x v="4"/>
    <n v="113"/>
    <n v="113"/>
    <s v="E11"/>
  </r>
  <r>
    <n v="12086.9"/>
    <x v="0"/>
    <n v="242"/>
    <n v="242"/>
    <s v="I10"/>
  </r>
  <r>
    <s v="twenty thousand"/>
    <x v="2"/>
    <n v="311"/>
    <n v="311"/>
    <s v="E11"/>
  </r>
  <r>
    <n v="6674.33"/>
    <x v="4"/>
    <n v="523"/>
    <n v="523"/>
    <s v="C34"/>
  </r>
  <r>
    <n v="3292.43"/>
    <x v="1"/>
    <n v="307"/>
    <n v="307"/>
    <s v="M54"/>
  </r>
  <r>
    <n v="9398.02"/>
    <x v="1"/>
    <n v="290"/>
    <n v="290"/>
    <s v="J20"/>
  </r>
  <r>
    <n v="3594.11"/>
    <x v="2"/>
    <n v="336"/>
    <n v="336"/>
    <s v="M54"/>
  </r>
  <r>
    <n v="19972.02"/>
    <x v="1"/>
    <n v="119"/>
    <n v="119"/>
    <s v="E11"/>
  </r>
  <r>
    <n v="7049.02"/>
    <x v="1"/>
    <n v="350"/>
    <n v="350"/>
    <s v="E11"/>
  </r>
  <r>
    <n v="20345.939999999999"/>
    <x v="1"/>
    <n v="329"/>
    <n v="329"/>
    <s v="I10"/>
  </r>
  <r>
    <n v="11693.69"/>
    <x v="3"/>
    <n v="360"/>
    <n v="360"/>
    <s v="I10"/>
  </r>
  <r>
    <n v="17873.009999999998"/>
    <x v="1"/>
    <n v="140"/>
    <n v="140"/>
    <s v="I10"/>
  </r>
  <r>
    <n v="20065.46"/>
    <x v="4"/>
    <n v="158"/>
    <n v="158"/>
    <s v="C34"/>
  </r>
  <r>
    <n v="13385.95"/>
    <x v="1"/>
    <n v="328"/>
    <n v="328"/>
    <s v="M54"/>
  </r>
  <r>
    <n v="23064.84"/>
    <x v="0"/>
    <n v="301"/>
    <n v="301"/>
    <s v="M54"/>
  </r>
  <r>
    <n v="20801.189999999999"/>
    <x v="0"/>
    <n v="109"/>
    <n v="109"/>
    <s v="I10"/>
  </r>
  <r>
    <n v="7902.91"/>
    <x v="1"/>
    <n v="420"/>
    <n v="420"/>
    <s v="A09"/>
  </r>
  <r>
    <n v="16730.11"/>
    <x v="1"/>
    <n v="229"/>
    <n v="229"/>
    <s v="I10"/>
  </r>
  <r>
    <n v="20549.580000000002"/>
    <x v="2"/>
    <n v="393"/>
    <n v="393"/>
    <s v="I10"/>
  </r>
  <r>
    <n v="1248.96"/>
    <x v="2"/>
    <n v="513"/>
    <n v="513"/>
    <s v="A09"/>
  </r>
  <r>
    <n v="16044.26"/>
    <x v="1"/>
    <n v="201"/>
    <n v="201"/>
    <s v="M54"/>
  </r>
  <r>
    <n v="2730.97"/>
    <x v="0"/>
    <n v="150"/>
    <n v="150"/>
    <s v="E11"/>
  </r>
  <r>
    <n v="14361.24"/>
    <x v="3"/>
    <n v="219"/>
    <n v="219"/>
    <s v="K21"/>
  </r>
  <r>
    <n v="14655.03"/>
    <x v="1"/>
    <n v="412"/>
    <n v="412"/>
    <s v="M54"/>
  </r>
  <r>
    <n v="21233.41"/>
    <x v="4"/>
    <n v="113"/>
    <n v="113"/>
    <s v="E11"/>
  </r>
  <r>
    <n v="10386.4"/>
    <x v="4"/>
    <n v="438"/>
    <n v="438"/>
    <s v="C34"/>
  </r>
  <r>
    <n v="6033.23"/>
    <x v="0"/>
    <n v="175"/>
    <n v="175"/>
    <s v="I10"/>
  </r>
  <r>
    <n v="20419.91"/>
    <x v="1"/>
    <n v="379"/>
    <n v="379"/>
    <s v="M54"/>
  </r>
  <r>
    <n v="11392.03"/>
    <x v="1"/>
    <n v="367"/>
    <n v="367"/>
    <s v="A09"/>
  </r>
  <r>
    <n v="13569.67"/>
    <x v="2"/>
    <n v="515"/>
    <n v="515"/>
    <s v="I10"/>
  </r>
  <r>
    <n v="11937.23"/>
    <x v="1"/>
    <n v="524"/>
    <n v="524"/>
    <s v="K21"/>
  </r>
  <r>
    <n v="-500"/>
    <x v="1"/>
    <n v="180"/>
    <n v="180"/>
    <s v="A09"/>
  </r>
  <r>
    <n v="14080.28"/>
    <x v="4"/>
    <n v="337"/>
    <n v="337"/>
    <s v="C34"/>
  </r>
  <r>
    <n v="14803.27"/>
    <x v="3"/>
    <n v="465"/>
    <n v="465"/>
    <s v="I10"/>
  </r>
  <r>
    <n v="1291.73"/>
    <x v="3"/>
    <n v="190"/>
    <n v="190"/>
    <s v="M54"/>
  </r>
  <r>
    <n v="8980.26"/>
    <x v="0"/>
    <n v="397"/>
    <n v="397"/>
    <s v="K21"/>
  </r>
  <r>
    <n v="17609.87"/>
    <x v="2"/>
    <s v="Room-X"/>
    <n v="0"/>
    <s v="A09"/>
  </r>
  <r>
    <n v="835.4"/>
    <x v="0"/>
    <n v="361"/>
    <n v="361"/>
    <s v="J20"/>
  </r>
  <r>
    <n v="2734.8"/>
    <x v="4"/>
    <n v="181"/>
    <n v="181"/>
    <s v="J20"/>
  </r>
  <r>
    <n v="208.51"/>
    <x v="3"/>
    <n v="236"/>
    <n v="236"/>
    <s v="A09"/>
  </r>
  <r>
    <n v="3608.99"/>
    <x v="2"/>
    <n v="302"/>
    <n v="302"/>
    <s v="M54"/>
  </r>
  <r>
    <n v="15656.33"/>
    <x v="1"/>
    <n v="145"/>
    <n v="145"/>
    <s v="J20"/>
  </r>
  <r>
    <n v="24964.76"/>
    <x v="3"/>
    <n v="465"/>
    <n v="465"/>
    <s v="M54"/>
  </r>
  <r>
    <n v="22382.17"/>
    <x v="1"/>
    <n v="195"/>
    <n v="195"/>
    <s v="E11"/>
  </r>
  <r>
    <n v="19538.02"/>
    <x v="2"/>
    <n v="184"/>
    <n v="184"/>
    <s v="J20"/>
  </r>
  <r>
    <n v="15483.73"/>
    <x v="0"/>
    <n v="262"/>
    <n v="262"/>
    <s v="C34"/>
  </r>
  <r>
    <n v="13758.27"/>
    <x v="2"/>
    <n v="543"/>
    <n v="543"/>
    <s v="M54"/>
  </r>
  <r>
    <n v="11182.7"/>
    <x v="0"/>
    <n v="364"/>
    <n v="364"/>
    <s v="K21"/>
  </r>
  <r>
    <n v="15739.43"/>
    <x v="2"/>
    <n v="379"/>
    <n v="379"/>
    <s v="M54"/>
  </r>
  <r>
    <n v="14267.09"/>
    <x v="1"/>
    <n v="267"/>
    <n v="267"/>
    <s v="J20"/>
  </r>
  <r>
    <n v="18115.060000000001"/>
    <x v="4"/>
    <n v="129"/>
    <n v="129"/>
    <s v="K21"/>
  </r>
  <r>
    <n v="8911.27"/>
    <x v="1"/>
    <n v="342"/>
    <n v="342"/>
    <s v="I10"/>
  </r>
  <r>
    <n v="5337.11"/>
    <x v="1"/>
    <n v="227"/>
    <n v="227"/>
    <s v="M54"/>
  </r>
  <r>
    <n v="9598.7800000000007"/>
    <x v="2"/>
    <n v="125"/>
    <n v="125"/>
    <s v="I10"/>
  </r>
  <r>
    <n v="7474.27"/>
    <x v="0"/>
    <n v="292"/>
    <n v="292"/>
    <s v="C34"/>
  </r>
  <r>
    <n v="1440.06"/>
    <x v="0"/>
    <n v="234"/>
    <n v="234"/>
    <s v="E11"/>
  </r>
  <r>
    <n v="12352.73"/>
    <x v="0"/>
    <n v="274"/>
    <n v="274"/>
    <s v="A09"/>
  </r>
  <r>
    <n v="24125.99"/>
    <x v="3"/>
    <n v="500"/>
    <n v="500"/>
    <s v="A09"/>
  </r>
  <r>
    <n v="6600.6"/>
    <x v="0"/>
    <n v="548"/>
    <n v="548"/>
    <s v="M54"/>
  </r>
  <r>
    <n v="1543.97"/>
    <x v="0"/>
    <n v="423"/>
    <n v="423"/>
    <s v="J20"/>
  </r>
  <r>
    <n v="17409.95"/>
    <x v="0"/>
    <n v="259"/>
    <n v="259"/>
    <s v="M54"/>
  </r>
  <r>
    <n v="19060.22"/>
    <x v="2"/>
    <n v="155"/>
    <n v="155"/>
    <s v="M54"/>
  </r>
  <r>
    <n v="4487.6499999999996"/>
    <x v="1"/>
    <n v="327"/>
    <n v="327"/>
    <s v="K21"/>
  </r>
  <r>
    <n v="19854.7"/>
    <x v="4"/>
    <n v="426"/>
    <n v="426"/>
    <s v="K21"/>
  </r>
  <r>
    <n v="1526.09"/>
    <x v="2"/>
    <n v="217"/>
    <n v="217"/>
    <s v="C34"/>
  </r>
  <r>
    <n v="21686.68"/>
    <x v="2"/>
    <n v="336"/>
    <n v="336"/>
    <s v="A09"/>
  </r>
  <r>
    <n v="7882.12"/>
    <x v="1"/>
    <n v="443"/>
    <n v="443"/>
    <s v="A09"/>
  </r>
  <r>
    <n v="1369.3"/>
    <x v="0"/>
    <n v="230"/>
    <n v="230"/>
    <s v="J20"/>
  </r>
  <r>
    <n v="17117.87"/>
    <x v="1"/>
    <n v="330"/>
    <n v="330"/>
    <s v="M54"/>
  </r>
  <r>
    <n v="12334.27"/>
    <x v="2"/>
    <n v="198"/>
    <n v="198"/>
    <s v="K21"/>
  </r>
  <r>
    <n v="8970.0300000000007"/>
    <x v="2"/>
    <n v="435"/>
    <n v="435"/>
    <s v="A09"/>
  </r>
  <r>
    <n v="6522.26"/>
    <x v="3"/>
    <n v="116"/>
    <n v="116"/>
    <s v="M54"/>
  </r>
  <r>
    <n v="8409.4"/>
    <x v="3"/>
    <n v="256"/>
    <n v="256"/>
    <s v="I10"/>
  </r>
  <r>
    <n v="11125.43"/>
    <x v="2"/>
    <n v="363"/>
    <n v="363"/>
    <s v="I10"/>
  </r>
  <r>
    <n v="22936.39"/>
    <x v="1"/>
    <n v="233"/>
    <n v="233"/>
    <s v="J20"/>
  </r>
  <r>
    <n v="11982.76"/>
    <x v="3"/>
    <n v="330"/>
    <n v="330"/>
    <s v="C34"/>
  </r>
  <r>
    <n v="3847.67"/>
    <x v="0"/>
    <n v="357"/>
    <n v="357"/>
    <s v="A09"/>
  </r>
  <r>
    <n v="22143.02"/>
    <x v="2"/>
    <n v="256"/>
    <n v="256"/>
    <s v="J20"/>
  </r>
  <r>
    <n v="21025.69"/>
    <x v="4"/>
    <n v="229"/>
    <n v="229"/>
    <s v="M54"/>
  </r>
  <r>
    <n v="4540.7299999999996"/>
    <x v="4"/>
    <n v="204"/>
    <n v="204"/>
    <s v="K21"/>
  </r>
  <r>
    <n v="6109.03"/>
    <x v="1"/>
    <n v="177"/>
    <n v="177"/>
    <s v="I10"/>
  </r>
  <r>
    <n v="24588.45"/>
    <x v="2"/>
    <n v="464"/>
    <n v="464"/>
    <s v="A09"/>
  </r>
  <r>
    <n v="569.59"/>
    <x v="3"/>
    <n v="189"/>
    <n v="189"/>
    <s v="I10"/>
  </r>
  <r>
    <n v="3042.44"/>
    <x v="2"/>
    <n v="360"/>
    <n v="360"/>
    <s v="K21"/>
  </r>
  <r>
    <n v="20482.18"/>
    <x v="3"/>
    <n v="290"/>
    <n v="290"/>
    <s v="M54"/>
  </r>
  <r>
    <n v="23228.19"/>
    <x v="3"/>
    <n v="428"/>
    <n v="428"/>
    <s v="I10"/>
  </r>
  <r>
    <n v="5035.6899999999996"/>
    <x v="2"/>
    <n v="309"/>
    <n v="309"/>
    <s v="K21"/>
  </r>
  <r>
    <n v="23597.77"/>
    <x v="0"/>
    <n v="324"/>
    <n v="324"/>
    <s v="K21"/>
  </r>
  <r>
    <n v="24316.61"/>
    <x v="0"/>
    <n v="316"/>
    <n v="316"/>
    <s v="J20"/>
  </r>
  <r>
    <n v="7617.45"/>
    <x v="1"/>
    <n v="462"/>
    <n v="462"/>
    <s v="I10"/>
  </r>
  <r>
    <n v="2694.18"/>
    <x v="2"/>
    <n v="495"/>
    <n v="495"/>
    <s v="A09"/>
  </r>
  <r>
    <n v="10861.43"/>
    <x v="3"/>
    <n v="250"/>
    <n v="250"/>
    <s v="A09"/>
  </r>
  <r>
    <n v="19665.810000000001"/>
    <x v="3"/>
    <n v="376"/>
    <n v="376"/>
    <s v="M54"/>
  </r>
  <r>
    <n v="9400.69"/>
    <x v="0"/>
    <n v="192"/>
    <n v="192"/>
    <s v="J20"/>
  </r>
  <r>
    <n v="12860.32"/>
    <x v="1"/>
    <n v="335"/>
    <n v="335"/>
    <s v="M54"/>
  </r>
  <r>
    <n v="9750.39"/>
    <x v="4"/>
    <n v="501"/>
    <n v="501"/>
    <s v="I10"/>
  </r>
  <r>
    <n v="23511.14"/>
    <x v="0"/>
    <n v="236"/>
    <n v="236"/>
    <s v="E11"/>
  </r>
  <r>
    <n v="11342.12"/>
    <x v="2"/>
    <n v="469"/>
    <n v="469"/>
    <s v="C34"/>
  </r>
  <r>
    <n v="17089.18"/>
    <x v="1"/>
    <n v="348"/>
    <n v="348"/>
    <s v="K21"/>
  </r>
  <r>
    <n v="5645.02"/>
    <x v="1"/>
    <n v="309"/>
    <n v="309"/>
    <s v="J20"/>
  </r>
  <r>
    <n v="7105.46"/>
    <x v="0"/>
    <n v="190"/>
    <n v="190"/>
    <s v="A09"/>
  </r>
  <r>
    <n v="1997.7"/>
    <x v="1"/>
    <n v="103"/>
    <n v="103"/>
    <s v="M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939B56-6DD3-4C2B-824D-78700CE6A6E4}"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13:AL19" firstHeaderRow="1" firstDataRow="1" firstDataCol="1"/>
  <pivotFields count="5">
    <pivotField showAll="0"/>
    <pivotField axis="axisRow" showAll="0">
      <items count="6">
        <item x="3"/>
        <item x="1"/>
        <item x="4"/>
        <item x="2"/>
        <item x="0"/>
        <item t="default"/>
      </items>
    </pivotField>
    <pivotField showAll="0"/>
    <pivotField showAll="0"/>
    <pivotField showAll="0"/>
  </pivotFields>
  <rowFields count="1">
    <field x="1"/>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584DAA-5E93-4368-BCA1-5CC6DF12A8B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13:AJ20" firstHeaderRow="1" firstDataRow="1" firstDataCol="1"/>
  <pivotFields count="26">
    <pivotField showAll="0"/>
    <pivotField showAll="0"/>
    <pivotField showAll="0"/>
    <pivotField axis="axisRow" showAll="0">
      <items count="7">
        <item x="5"/>
        <item x="2"/>
        <item x="4"/>
        <item x="0"/>
        <item x="1"/>
        <item x="3"/>
        <item t="default"/>
      </items>
    </pivotField>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EDFB2B-28A5-4529-A955-7CA8A201F54A}" name="Table1" displayName="Table1" ref="A1:O1877" totalsRowShown="0" headerRowDxfId="0">
  <autoFilter ref="A1:O1877" xr:uid="{82EDFB2B-28A5-4529-A955-7CA8A201F54A}"/>
  <tableColumns count="15">
    <tableColumn id="1" xr3:uid="{565221A2-5C8D-4949-B33D-099817BAC49E}" name="Patient Id"/>
    <tableColumn id="2" xr3:uid="{7E4FA577-8A75-4E39-B6BE-3F282D8A0869}" name="Patient_Name"/>
    <tableColumn id="3" xr3:uid="{7AA12870-D305-48B6-BECD-36B73C0DCBCE}" name="Gender"/>
    <tableColumn id="4" xr3:uid="{34E68E8C-6B84-4611-A014-8854C57C42BC}" name="Age"/>
    <tableColumn id="5" xr3:uid="{22F71A17-E793-495A-AF65-0393AB749ED0}" name="Department"/>
    <tableColumn id="6" xr3:uid="{1E857D42-90BF-4093-8BBF-05C9F90EB4EA}" name="Doctors"/>
    <tableColumn id="7" xr3:uid="{8C425163-22A3-441C-8705-9535C874EFC6}" name="Scheduled_Date" dataDxfId="2"/>
    <tableColumn id="8" xr3:uid="{E3CA721E-7771-41C8-8748-229AD55A67C6}" name="Appointment Date" dataDxfId="1"/>
    <tableColumn id="9" xr3:uid="{FFF24BFB-DAF7-4381-A6C9-450949CB3747}" name="Phone Number"/>
    <tableColumn id="10" xr3:uid="{74FB9605-6AF4-4406-815E-0E6152293E9E}" name="Email"/>
    <tableColumn id="11" xr3:uid="{6A669636-AE63-48DA-8515-9E73D5AED5B4}" name="No_Show"/>
    <tableColumn id="12" xr3:uid="{4CEBDFDE-20FB-4B35-BD4E-3B736BE89C84}" name="Bill Amount"/>
    <tableColumn id="13" xr3:uid="{E9C18708-5ADE-45C9-9412-2BE5825987E2}" name="Room Number"/>
    <tableColumn id="14" xr3:uid="{07D47FC8-0CAB-4FC1-A7C2-A4FE4BB3150E}" name="Diagnosis_Code"/>
    <tableColumn id="15" xr3:uid="{91F8CCFD-F51C-46E1-B553-D56F9ABBD189}" name="Insurance_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2AF17-A4D9-4DF6-89FA-C70DFA4C298D}">
  <dimension ref="A1:O2013"/>
  <sheetViews>
    <sheetView topLeftCell="H5" workbookViewId="0">
      <selection activeCell="A3" sqref="A3:O23"/>
    </sheetView>
  </sheetViews>
  <sheetFormatPr defaultRowHeight="14.4" x14ac:dyDescent="0.3"/>
  <cols>
    <col min="1" max="15" width="22" customWidth="1"/>
  </cols>
  <sheetData>
    <row r="1" spans="1:15" ht="18" x14ac:dyDescent="0.35">
      <c r="A1" s="4" t="s">
        <v>8007</v>
      </c>
      <c r="B1" s="5"/>
      <c r="C1" s="5"/>
      <c r="D1" s="5"/>
      <c r="E1" s="5"/>
      <c r="F1" s="5"/>
      <c r="G1" s="5"/>
      <c r="H1" s="5"/>
      <c r="I1" s="5"/>
      <c r="J1" s="5"/>
      <c r="K1" s="5"/>
      <c r="L1" s="5"/>
      <c r="M1" s="5"/>
      <c r="N1" s="5"/>
      <c r="O1" s="5"/>
    </row>
    <row r="3" spans="1:15" x14ac:dyDescent="0.3">
      <c r="A3" t="s">
        <v>8006</v>
      </c>
      <c r="B3" t="s">
        <v>8005</v>
      </c>
      <c r="C3" t="s">
        <v>8004</v>
      </c>
      <c r="D3" t="s">
        <v>8003</v>
      </c>
      <c r="E3" t="s">
        <v>8002</v>
      </c>
      <c r="F3" t="s">
        <v>8001</v>
      </c>
      <c r="G3" t="s">
        <v>8000</v>
      </c>
      <c r="H3" t="s">
        <v>7999</v>
      </c>
      <c r="I3" t="s">
        <v>7998</v>
      </c>
      <c r="J3" t="s">
        <v>7997</v>
      </c>
      <c r="K3" t="s">
        <v>7996</v>
      </c>
      <c r="L3" t="s">
        <v>7995</v>
      </c>
      <c r="M3" t="s">
        <v>7994</v>
      </c>
      <c r="N3" t="s">
        <v>7993</v>
      </c>
      <c r="O3" t="s">
        <v>7992</v>
      </c>
    </row>
    <row r="4" spans="1:15" x14ac:dyDescent="0.3">
      <c r="A4" t="s">
        <v>572</v>
      </c>
      <c r="B4" t="s">
        <v>7991</v>
      </c>
      <c r="C4" t="s">
        <v>74</v>
      </c>
      <c r="D4">
        <v>-5</v>
      </c>
      <c r="E4" t="s">
        <v>850</v>
      </c>
      <c r="F4" t="s">
        <v>38</v>
      </c>
      <c r="G4" s="1">
        <v>46098</v>
      </c>
      <c r="H4" s="1">
        <v>46103</v>
      </c>
      <c r="I4" t="s">
        <v>510</v>
      </c>
      <c r="K4" t="s">
        <v>35</v>
      </c>
      <c r="L4" t="s">
        <v>488</v>
      </c>
      <c r="M4" t="s">
        <v>64</v>
      </c>
      <c r="N4" t="s">
        <v>347</v>
      </c>
      <c r="O4" t="s">
        <v>16</v>
      </c>
    </row>
    <row r="6" spans="1:15" x14ac:dyDescent="0.3">
      <c r="A6" t="s">
        <v>7990</v>
      </c>
      <c r="B6" t="s">
        <v>7989</v>
      </c>
      <c r="C6" t="s">
        <v>40</v>
      </c>
      <c r="D6">
        <v>4</v>
      </c>
      <c r="E6" t="s">
        <v>80</v>
      </c>
      <c r="F6" t="s">
        <v>38</v>
      </c>
      <c r="G6" s="1">
        <v>46107</v>
      </c>
      <c r="H6" s="1">
        <v>46100</v>
      </c>
      <c r="I6" t="s">
        <v>7988</v>
      </c>
      <c r="J6" t="s">
        <v>7987</v>
      </c>
      <c r="K6" t="s">
        <v>27</v>
      </c>
      <c r="L6">
        <v>14118.88</v>
      </c>
      <c r="N6">
        <v>212</v>
      </c>
      <c r="O6" t="s">
        <v>16</v>
      </c>
    </row>
    <row r="7" spans="1:15" x14ac:dyDescent="0.3">
      <c r="A7" t="s">
        <v>7986</v>
      </c>
      <c r="B7" t="s">
        <v>7985</v>
      </c>
      <c r="C7" t="s">
        <v>22</v>
      </c>
      <c r="D7">
        <v>1</v>
      </c>
      <c r="E7" t="s">
        <v>39</v>
      </c>
      <c r="F7" t="s">
        <v>90</v>
      </c>
      <c r="G7" s="1">
        <v>46081</v>
      </c>
      <c r="H7" s="1">
        <v>46071</v>
      </c>
      <c r="I7" t="s">
        <v>7984</v>
      </c>
      <c r="J7" t="s">
        <v>7983</v>
      </c>
      <c r="K7" t="s">
        <v>26</v>
      </c>
      <c r="L7">
        <v>4055.89</v>
      </c>
      <c r="M7" t="s">
        <v>17</v>
      </c>
      <c r="N7">
        <v>152</v>
      </c>
      <c r="O7" t="s">
        <v>77</v>
      </c>
    </row>
    <row r="8" spans="1:15" x14ac:dyDescent="0.3">
      <c r="A8" t="s">
        <v>7982</v>
      </c>
      <c r="B8" t="s">
        <v>7981</v>
      </c>
      <c r="C8" t="s">
        <v>123</v>
      </c>
      <c r="D8">
        <v>13</v>
      </c>
      <c r="E8" t="s">
        <v>31</v>
      </c>
      <c r="F8" t="s">
        <v>67</v>
      </c>
      <c r="G8" s="1">
        <v>46086</v>
      </c>
      <c r="H8" s="1">
        <v>46067</v>
      </c>
      <c r="I8" t="s">
        <v>7980</v>
      </c>
      <c r="J8" t="s">
        <v>7979</v>
      </c>
      <c r="K8" t="s">
        <v>26</v>
      </c>
      <c r="L8">
        <v>20216.78</v>
      </c>
      <c r="N8">
        <v>374</v>
      </c>
      <c r="O8" t="s">
        <v>77</v>
      </c>
    </row>
    <row r="9" spans="1:15" x14ac:dyDescent="0.3">
      <c r="A9" t="s">
        <v>7978</v>
      </c>
      <c r="B9" t="s">
        <v>7977</v>
      </c>
      <c r="C9" t="s">
        <v>123</v>
      </c>
      <c r="D9">
        <v>11</v>
      </c>
      <c r="E9" t="s">
        <v>132</v>
      </c>
      <c r="F9" t="s">
        <v>67</v>
      </c>
      <c r="G9" s="1">
        <v>46006</v>
      </c>
      <c r="H9" s="1">
        <v>45988</v>
      </c>
      <c r="I9" t="s">
        <v>7976</v>
      </c>
      <c r="J9" t="s">
        <v>7975</v>
      </c>
      <c r="K9" t="s">
        <v>17</v>
      </c>
      <c r="L9">
        <v>17673.38</v>
      </c>
      <c r="M9" t="s">
        <v>27</v>
      </c>
      <c r="N9">
        <v>438</v>
      </c>
      <c r="O9" t="s">
        <v>71</v>
      </c>
    </row>
    <row r="10" spans="1:15" x14ac:dyDescent="0.3">
      <c r="A10" t="s">
        <v>7974</v>
      </c>
      <c r="B10" t="s">
        <v>7973</v>
      </c>
      <c r="C10" t="s">
        <v>22</v>
      </c>
      <c r="D10">
        <v>11</v>
      </c>
      <c r="E10" t="s">
        <v>21</v>
      </c>
      <c r="F10" t="s">
        <v>20</v>
      </c>
      <c r="G10" s="1">
        <v>46074</v>
      </c>
      <c r="H10" s="1">
        <v>46062</v>
      </c>
      <c r="I10" t="s">
        <v>7972</v>
      </c>
      <c r="J10" t="s">
        <v>7971</v>
      </c>
      <c r="K10" t="s">
        <v>26</v>
      </c>
      <c r="L10">
        <v>11444.58</v>
      </c>
      <c r="M10" t="s">
        <v>17</v>
      </c>
      <c r="N10">
        <v>183</v>
      </c>
      <c r="O10" t="s">
        <v>43</v>
      </c>
    </row>
    <row r="11" spans="1:15" x14ac:dyDescent="0.3">
      <c r="A11" t="s">
        <v>7970</v>
      </c>
      <c r="B11" t="s">
        <v>7969</v>
      </c>
      <c r="C11" t="s">
        <v>60</v>
      </c>
      <c r="D11">
        <v>27</v>
      </c>
      <c r="E11" t="s">
        <v>132</v>
      </c>
      <c r="F11" t="s">
        <v>20</v>
      </c>
      <c r="G11" s="1">
        <v>46159</v>
      </c>
      <c r="H11" s="1">
        <v>46140</v>
      </c>
      <c r="I11" t="s">
        <v>7968</v>
      </c>
      <c r="J11" t="s">
        <v>7967</v>
      </c>
      <c r="K11" t="s">
        <v>35</v>
      </c>
      <c r="L11">
        <v>13446.67</v>
      </c>
      <c r="M11" t="s">
        <v>57</v>
      </c>
      <c r="N11">
        <v>183</v>
      </c>
      <c r="O11" t="s">
        <v>16</v>
      </c>
    </row>
    <row r="12" spans="1:15" x14ac:dyDescent="0.3">
      <c r="A12" t="s">
        <v>7966</v>
      </c>
      <c r="B12" t="s">
        <v>7965</v>
      </c>
      <c r="C12" t="s">
        <v>123</v>
      </c>
      <c r="D12">
        <v>35</v>
      </c>
      <c r="E12" t="s">
        <v>21</v>
      </c>
      <c r="F12" t="s">
        <v>67</v>
      </c>
      <c r="G12" s="1">
        <v>46044</v>
      </c>
      <c r="H12" s="1">
        <v>46018</v>
      </c>
      <c r="I12" t="s">
        <v>7964</v>
      </c>
      <c r="J12" t="s">
        <v>7963</v>
      </c>
      <c r="K12" t="s">
        <v>27</v>
      </c>
      <c r="L12">
        <v>5880.39</v>
      </c>
      <c r="M12" t="s">
        <v>27</v>
      </c>
      <c r="N12">
        <v>512</v>
      </c>
      <c r="O12" t="s">
        <v>43</v>
      </c>
    </row>
    <row r="13" spans="1:15" x14ac:dyDescent="0.3">
      <c r="A13" t="s">
        <v>7962</v>
      </c>
      <c r="B13" t="s">
        <v>7961</v>
      </c>
      <c r="C13" t="s">
        <v>123</v>
      </c>
      <c r="D13">
        <v>35</v>
      </c>
      <c r="E13" t="s">
        <v>80</v>
      </c>
      <c r="F13" t="s">
        <v>38</v>
      </c>
      <c r="G13" s="1">
        <v>46057</v>
      </c>
      <c r="H13" s="1">
        <v>46028</v>
      </c>
      <c r="I13" t="s">
        <v>7960</v>
      </c>
      <c r="J13" t="s">
        <v>7959</v>
      </c>
      <c r="K13" t="s">
        <v>57</v>
      </c>
      <c r="L13">
        <v>5473.14</v>
      </c>
      <c r="N13">
        <v>302</v>
      </c>
      <c r="O13" t="s">
        <v>25</v>
      </c>
    </row>
    <row r="14" spans="1:15" x14ac:dyDescent="0.3">
      <c r="A14" t="s">
        <v>7958</v>
      </c>
      <c r="B14" t="s">
        <v>7957</v>
      </c>
      <c r="D14">
        <v>19</v>
      </c>
      <c r="E14" t="s">
        <v>132</v>
      </c>
      <c r="F14" t="s">
        <v>53</v>
      </c>
      <c r="G14" s="1">
        <v>46107</v>
      </c>
      <c r="H14" s="1">
        <v>46100</v>
      </c>
      <c r="I14" t="s">
        <v>7956</v>
      </c>
      <c r="J14" t="s">
        <v>7955</v>
      </c>
      <c r="K14" t="s">
        <v>26</v>
      </c>
      <c r="L14">
        <v>18725.939999999999</v>
      </c>
      <c r="N14">
        <v>398</v>
      </c>
      <c r="O14" t="s">
        <v>16</v>
      </c>
    </row>
    <row r="15" spans="1:15" x14ac:dyDescent="0.3">
      <c r="A15" t="s">
        <v>7954</v>
      </c>
      <c r="B15" t="s">
        <v>7953</v>
      </c>
      <c r="C15" t="s">
        <v>60</v>
      </c>
      <c r="D15">
        <v>29</v>
      </c>
      <c r="E15" t="s">
        <v>39</v>
      </c>
      <c r="F15" t="s">
        <v>85</v>
      </c>
      <c r="G15" s="1">
        <v>46008</v>
      </c>
      <c r="H15" s="1">
        <v>46006</v>
      </c>
      <c r="I15" t="s">
        <v>7952</v>
      </c>
      <c r="J15" t="s">
        <v>7951</v>
      </c>
      <c r="K15" t="s">
        <v>27</v>
      </c>
      <c r="L15">
        <v>21555.35</v>
      </c>
      <c r="M15" t="s">
        <v>26</v>
      </c>
      <c r="N15">
        <v>421</v>
      </c>
      <c r="O15" t="s">
        <v>71</v>
      </c>
    </row>
    <row r="16" spans="1:15" x14ac:dyDescent="0.3">
      <c r="A16" t="s">
        <v>7950</v>
      </c>
      <c r="B16" t="s">
        <v>7949</v>
      </c>
      <c r="C16" t="s">
        <v>123</v>
      </c>
      <c r="D16">
        <v>77</v>
      </c>
      <c r="E16" t="s">
        <v>80</v>
      </c>
      <c r="F16" t="s">
        <v>90</v>
      </c>
      <c r="G16" s="1">
        <v>46154</v>
      </c>
      <c r="H16" s="1">
        <v>46142</v>
      </c>
      <c r="I16" t="s">
        <v>7948</v>
      </c>
      <c r="J16" t="s">
        <v>7947</v>
      </c>
      <c r="L16">
        <v>13322.04</v>
      </c>
      <c r="M16" t="s">
        <v>27</v>
      </c>
      <c r="N16">
        <v>448</v>
      </c>
      <c r="O16" t="s">
        <v>25</v>
      </c>
    </row>
    <row r="17" spans="1:15" x14ac:dyDescent="0.3">
      <c r="A17" t="s">
        <v>7946</v>
      </c>
      <c r="B17" t="s">
        <v>7945</v>
      </c>
      <c r="C17" t="s">
        <v>74</v>
      </c>
      <c r="D17">
        <v>88</v>
      </c>
      <c r="E17" t="s">
        <v>132</v>
      </c>
      <c r="F17" t="s">
        <v>67</v>
      </c>
      <c r="G17" s="1">
        <v>46118</v>
      </c>
      <c r="H17" s="1">
        <v>46115</v>
      </c>
      <c r="I17" t="s">
        <v>7944</v>
      </c>
      <c r="J17" t="s">
        <v>7943</v>
      </c>
      <c r="K17" t="s">
        <v>26</v>
      </c>
      <c r="L17">
        <v>10982.18</v>
      </c>
      <c r="N17">
        <v>101</v>
      </c>
      <c r="O17" t="s">
        <v>25</v>
      </c>
    </row>
    <row r="18" spans="1:15" x14ac:dyDescent="0.3">
      <c r="A18" t="s">
        <v>7942</v>
      </c>
      <c r="B18" t="s">
        <v>7941</v>
      </c>
      <c r="C18" t="s">
        <v>22</v>
      </c>
      <c r="D18">
        <v>65</v>
      </c>
      <c r="E18" t="s">
        <v>39</v>
      </c>
      <c r="F18" t="s">
        <v>20</v>
      </c>
      <c r="G18" s="1">
        <v>46097</v>
      </c>
      <c r="H18" s="1">
        <v>46070</v>
      </c>
      <c r="I18" t="s">
        <v>7940</v>
      </c>
      <c r="J18" t="s">
        <v>7939</v>
      </c>
      <c r="K18" t="s">
        <v>26</v>
      </c>
      <c r="L18">
        <v>21073.4</v>
      </c>
      <c r="M18" t="s">
        <v>57</v>
      </c>
      <c r="N18">
        <v>178</v>
      </c>
      <c r="O18" t="s">
        <v>43</v>
      </c>
    </row>
    <row r="19" spans="1:15" x14ac:dyDescent="0.3">
      <c r="A19" t="s">
        <v>7938</v>
      </c>
      <c r="B19" t="s">
        <v>7937</v>
      </c>
      <c r="C19" t="s">
        <v>0</v>
      </c>
      <c r="D19">
        <v>70</v>
      </c>
      <c r="E19" t="s">
        <v>47</v>
      </c>
      <c r="F19" t="s">
        <v>67</v>
      </c>
      <c r="G19" s="1">
        <v>46003</v>
      </c>
      <c r="H19" s="1">
        <v>45988</v>
      </c>
      <c r="I19" t="s">
        <v>7936</v>
      </c>
      <c r="J19" t="s">
        <v>7935</v>
      </c>
      <c r="K19" t="s">
        <v>27</v>
      </c>
      <c r="L19">
        <v>2974.32</v>
      </c>
      <c r="M19" t="s">
        <v>17</v>
      </c>
      <c r="N19">
        <v>549</v>
      </c>
      <c r="O19" t="s">
        <v>50</v>
      </c>
    </row>
    <row r="20" spans="1:15" x14ac:dyDescent="0.3">
      <c r="A20" t="s">
        <v>7934</v>
      </c>
      <c r="B20" t="s">
        <v>7933</v>
      </c>
      <c r="C20" t="s">
        <v>22</v>
      </c>
      <c r="D20">
        <v>31</v>
      </c>
      <c r="E20" t="s">
        <v>47</v>
      </c>
      <c r="F20" t="s">
        <v>38</v>
      </c>
      <c r="G20" s="1">
        <v>46140</v>
      </c>
      <c r="H20" s="1">
        <v>46112</v>
      </c>
      <c r="I20" t="s">
        <v>7932</v>
      </c>
      <c r="J20" t="s">
        <v>7931</v>
      </c>
      <c r="K20" t="s">
        <v>64</v>
      </c>
      <c r="L20">
        <v>2324.21</v>
      </c>
      <c r="N20">
        <v>517</v>
      </c>
      <c r="O20" t="s">
        <v>77</v>
      </c>
    </row>
    <row r="21" spans="1:15" x14ac:dyDescent="0.3">
      <c r="A21" t="s">
        <v>7930</v>
      </c>
      <c r="B21" t="s">
        <v>7929</v>
      </c>
      <c r="C21" t="s">
        <v>0</v>
      </c>
      <c r="D21">
        <v>17</v>
      </c>
      <c r="E21" t="s">
        <v>68</v>
      </c>
      <c r="F21" t="s">
        <v>53</v>
      </c>
      <c r="G21" s="1">
        <v>46075</v>
      </c>
      <c r="H21" s="1">
        <v>46067</v>
      </c>
      <c r="I21" t="s">
        <v>7928</v>
      </c>
      <c r="J21" t="s">
        <v>7927</v>
      </c>
      <c r="L21">
        <v>24116.2</v>
      </c>
      <c r="M21" t="s">
        <v>57</v>
      </c>
      <c r="N21">
        <v>465</v>
      </c>
      <c r="O21" t="s">
        <v>43</v>
      </c>
    </row>
    <row r="22" spans="1:15" x14ac:dyDescent="0.3">
      <c r="A22" t="s">
        <v>7926</v>
      </c>
      <c r="B22" t="s">
        <v>7925</v>
      </c>
      <c r="C22" t="s">
        <v>123</v>
      </c>
      <c r="D22">
        <v>86</v>
      </c>
      <c r="E22" t="s">
        <v>31</v>
      </c>
      <c r="F22" t="s">
        <v>85</v>
      </c>
      <c r="G22" s="1">
        <v>46091</v>
      </c>
      <c r="H22" s="1">
        <v>46063</v>
      </c>
      <c r="I22" t="s">
        <v>7924</v>
      </c>
      <c r="J22" t="s">
        <v>7923</v>
      </c>
      <c r="L22">
        <v>3200.9</v>
      </c>
      <c r="M22" t="s">
        <v>57</v>
      </c>
      <c r="N22">
        <v>132</v>
      </c>
      <c r="O22" t="s">
        <v>43</v>
      </c>
    </row>
    <row r="23" spans="1:15" x14ac:dyDescent="0.3">
      <c r="A23" t="s">
        <v>7922</v>
      </c>
      <c r="B23" t="s">
        <v>7921</v>
      </c>
      <c r="C23" t="s">
        <v>40</v>
      </c>
      <c r="D23">
        <v>76</v>
      </c>
      <c r="E23" t="s">
        <v>21</v>
      </c>
      <c r="F23" t="s">
        <v>38</v>
      </c>
      <c r="G23" s="1">
        <v>46125</v>
      </c>
      <c r="H23" s="1">
        <v>46125</v>
      </c>
      <c r="I23" t="s">
        <v>7920</v>
      </c>
      <c r="J23" t="s">
        <v>7919</v>
      </c>
      <c r="K23" t="s">
        <v>64</v>
      </c>
      <c r="L23">
        <v>17754.46</v>
      </c>
      <c r="M23" t="s">
        <v>27</v>
      </c>
      <c r="N23">
        <v>217</v>
      </c>
      <c r="O23" t="s">
        <v>77</v>
      </c>
    </row>
    <row r="24" spans="1:15" x14ac:dyDescent="0.3">
      <c r="A24" t="s">
        <v>7918</v>
      </c>
      <c r="B24" t="s">
        <v>7917</v>
      </c>
      <c r="C24" t="s">
        <v>40</v>
      </c>
      <c r="D24">
        <v>43</v>
      </c>
      <c r="E24" t="s">
        <v>80</v>
      </c>
      <c r="F24" t="s">
        <v>38</v>
      </c>
      <c r="G24" s="1">
        <v>46007</v>
      </c>
      <c r="H24" s="1">
        <v>45999</v>
      </c>
      <c r="I24" t="s">
        <v>7916</v>
      </c>
      <c r="J24" t="s">
        <v>7915</v>
      </c>
      <c r="L24">
        <v>5513.07</v>
      </c>
      <c r="M24" t="s">
        <v>26</v>
      </c>
      <c r="N24">
        <v>470</v>
      </c>
      <c r="O24" t="s">
        <v>34</v>
      </c>
    </row>
    <row r="25" spans="1:15" x14ac:dyDescent="0.3">
      <c r="A25" t="s">
        <v>7914</v>
      </c>
      <c r="B25" t="s">
        <v>7913</v>
      </c>
      <c r="D25">
        <v>32</v>
      </c>
      <c r="E25" t="s">
        <v>68</v>
      </c>
      <c r="F25" t="s">
        <v>90</v>
      </c>
      <c r="G25" s="1">
        <v>45986</v>
      </c>
      <c r="H25" s="1">
        <v>45980</v>
      </c>
      <c r="I25" t="s">
        <v>7912</v>
      </c>
      <c r="J25" t="s">
        <v>7911</v>
      </c>
      <c r="K25" t="s">
        <v>64</v>
      </c>
      <c r="L25">
        <v>2603.88</v>
      </c>
      <c r="N25">
        <v>281</v>
      </c>
      <c r="O25" t="s">
        <v>16</v>
      </c>
    </row>
    <row r="26" spans="1:15" x14ac:dyDescent="0.3">
      <c r="A26" t="s">
        <v>7910</v>
      </c>
      <c r="B26" t="s">
        <v>7909</v>
      </c>
      <c r="C26" t="s">
        <v>123</v>
      </c>
      <c r="D26">
        <v>60</v>
      </c>
      <c r="E26" t="s">
        <v>47</v>
      </c>
      <c r="F26" t="s">
        <v>20</v>
      </c>
      <c r="G26" s="1">
        <v>46059</v>
      </c>
      <c r="H26" s="1">
        <v>46058</v>
      </c>
      <c r="I26" t="s">
        <v>7908</v>
      </c>
      <c r="J26" t="s">
        <v>7907</v>
      </c>
      <c r="L26">
        <v>18259.7</v>
      </c>
      <c r="M26" t="s">
        <v>64</v>
      </c>
      <c r="N26">
        <v>227</v>
      </c>
      <c r="O26" t="s">
        <v>71</v>
      </c>
    </row>
    <row r="27" spans="1:15" x14ac:dyDescent="0.3">
      <c r="A27" t="s">
        <v>7906</v>
      </c>
      <c r="B27" t="s">
        <v>7905</v>
      </c>
      <c r="C27" t="s">
        <v>1</v>
      </c>
      <c r="D27">
        <v>69</v>
      </c>
      <c r="E27" t="s">
        <v>68</v>
      </c>
      <c r="F27" t="s">
        <v>53</v>
      </c>
      <c r="G27" s="1">
        <v>46090</v>
      </c>
      <c r="H27" s="1">
        <v>46077</v>
      </c>
      <c r="I27" t="s">
        <v>7904</v>
      </c>
      <c r="J27" t="s">
        <v>7903</v>
      </c>
      <c r="K27" t="s">
        <v>35</v>
      </c>
      <c r="L27">
        <v>7107.92</v>
      </c>
      <c r="M27" t="s">
        <v>57</v>
      </c>
      <c r="N27">
        <v>547</v>
      </c>
      <c r="O27" t="s">
        <v>77</v>
      </c>
    </row>
    <row r="28" spans="1:15" x14ac:dyDescent="0.3">
      <c r="A28" t="s">
        <v>7902</v>
      </c>
      <c r="B28" t="s">
        <v>7901</v>
      </c>
      <c r="D28">
        <v>71</v>
      </c>
      <c r="E28" t="s">
        <v>80</v>
      </c>
      <c r="F28" t="s">
        <v>46</v>
      </c>
      <c r="G28" s="1">
        <v>46117</v>
      </c>
      <c r="H28" s="1">
        <v>46097</v>
      </c>
      <c r="I28" t="s">
        <v>7900</v>
      </c>
      <c r="J28" t="s">
        <v>7899</v>
      </c>
      <c r="K28" t="s">
        <v>27</v>
      </c>
      <c r="L28">
        <v>24231.11</v>
      </c>
      <c r="M28" t="s">
        <v>57</v>
      </c>
      <c r="N28">
        <v>185</v>
      </c>
      <c r="O28" t="s">
        <v>16</v>
      </c>
    </row>
    <row r="29" spans="1:15" x14ac:dyDescent="0.3">
      <c r="A29" t="s">
        <v>7898</v>
      </c>
      <c r="B29" t="s">
        <v>7897</v>
      </c>
      <c r="D29">
        <v>62</v>
      </c>
      <c r="E29" t="s">
        <v>21</v>
      </c>
      <c r="F29" t="s">
        <v>90</v>
      </c>
      <c r="G29" s="1">
        <v>46072</v>
      </c>
      <c r="H29" s="1">
        <v>46044</v>
      </c>
      <c r="I29" t="s">
        <v>7896</v>
      </c>
      <c r="J29" t="s">
        <v>7895</v>
      </c>
      <c r="K29" t="s">
        <v>27</v>
      </c>
      <c r="L29">
        <v>4283</v>
      </c>
      <c r="M29" t="s">
        <v>27</v>
      </c>
      <c r="N29">
        <v>299</v>
      </c>
      <c r="O29" t="s">
        <v>43</v>
      </c>
    </row>
    <row r="30" spans="1:15" x14ac:dyDescent="0.3">
      <c r="A30" t="s">
        <v>7894</v>
      </c>
      <c r="B30" t="s">
        <v>7893</v>
      </c>
      <c r="D30">
        <v>37</v>
      </c>
      <c r="E30" t="s">
        <v>54</v>
      </c>
      <c r="F30" t="s">
        <v>85</v>
      </c>
      <c r="G30" s="1">
        <v>46044</v>
      </c>
      <c r="H30" s="1">
        <v>46040</v>
      </c>
      <c r="I30" t="s">
        <v>7892</v>
      </c>
      <c r="J30" t="s">
        <v>7891</v>
      </c>
      <c r="K30" t="s">
        <v>17</v>
      </c>
      <c r="L30">
        <v>7558.35</v>
      </c>
      <c r="M30" t="s">
        <v>27</v>
      </c>
      <c r="N30">
        <v>396</v>
      </c>
      <c r="O30" t="s">
        <v>25</v>
      </c>
    </row>
    <row r="31" spans="1:15" x14ac:dyDescent="0.3">
      <c r="A31" t="s">
        <v>7890</v>
      </c>
      <c r="B31" t="s">
        <v>7889</v>
      </c>
      <c r="C31" t="s">
        <v>40</v>
      </c>
      <c r="D31">
        <v>41</v>
      </c>
      <c r="E31" t="s">
        <v>47</v>
      </c>
      <c r="F31" t="s">
        <v>46</v>
      </c>
      <c r="G31" s="1">
        <v>46150</v>
      </c>
      <c r="H31" s="1">
        <v>46132</v>
      </c>
      <c r="I31" t="s">
        <v>7888</v>
      </c>
      <c r="J31" t="s">
        <v>7887</v>
      </c>
      <c r="L31">
        <v>12670.69</v>
      </c>
      <c r="M31" t="s">
        <v>26</v>
      </c>
      <c r="N31">
        <v>129</v>
      </c>
      <c r="O31" t="s">
        <v>34</v>
      </c>
    </row>
    <row r="32" spans="1:15" x14ac:dyDescent="0.3">
      <c r="A32" t="s">
        <v>7886</v>
      </c>
      <c r="B32" t="s">
        <v>7885</v>
      </c>
      <c r="C32" t="s">
        <v>74</v>
      </c>
      <c r="D32">
        <v>24</v>
      </c>
      <c r="E32" t="s">
        <v>80</v>
      </c>
      <c r="F32" t="s">
        <v>20</v>
      </c>
      <c r="G32" s="1">
        <v>46113</v>
      </c>
      <c r="H32" s="1">
        <v>46092</v>
      </c>
      <c r="I32" t="s">
        <v>7884</v>
      </c>
      <c r="J32" t="s">
        <v>7883</v>
      </c>
      <c r="K32" t="s">
        <v>17</v>
      </c>
      <c r="L32">
        <v>10213.629999999999</v>
      </c>
      <c r="M32" t="s">
        <v>57</v>
      </c>
      <c r="N32">
        <v>396</v>
      </c>
      <c r="O32" t="s">
        <v>34</v>
      </c>
    </row>
    <row r="33" spans="1:15" x14ac:dyDescent="0.3">
      <c r="A33" t="s">
        <v>7882</v>
      </c>
      <c r="B33" t="s">
        <v>7881</v>
      </c>
      <c r="C33" t="s">
        <v>40</v>
      </c>
      <c r="D33">
        <v>80</v>
      </c>
      <c r="E33" t="s">
        <v>80</v>
      </c>
      <c r="F33" t="s">
        <v>90</v>
      </c>
      <c r="G33" s="1">
        <v>46097</v>
      </c>
      <c r="H33" s="1">
        <v>46076</v>
      </c>
      <c r="I33" t="s">
        <v>7880</v>
      </c>
      <c r="J33" t="s">
        <v>7879</v>
      </c>
      <c r="K33" t="s">
        <v>57</v>
      </c>
      <c r="L33">
        <v>23380.720000000001</v>
      </c>
      <c r="M33" t="s">
        <v>57</v>
      </c>
      <c r="N33">
        <v>442</v>
      </c>
      <c r="O33" t="s">
        <v>25</v>
      </c>
    </row>
    <row r="34" spans="1:15" x14ac:dyDescent="0.3">
      <c r="A34" t="s">
        <v>7878</v>
      </c>
      <c r="B34" t="s">
        <v>7877</v>
      </c>
      <c r="C34" t="s">
        <v>60</v>
      </c>
      <c r="D34">
        <v>31</v>
      </c>
      <c r="E34" t="s">
        <v>132</v>
      </c>
      <c r="F34" t="s">
        <v>90</v>
      </c>
      <c r="G34" s="1">
        <v>46068</v>
      </c>
      <c r="H34" s="1">
        <v>46064</v>
      </c>
      <c r="I34" t="s">
        <v>7876</v>
      </c>
      <c r="J34" t="s">
        <v>7875</v>
      </c>
      <c r="K34" t="s">
        <v>26</v>
      </c>
      <c r="L34">
        <v>11539.17</v>
      </c>
      <c r="M34" t="s">
        <v>64</v>
      </c>
      <c r="N34">
        <v>104</v>
      </c>
      <c r="O34" t="s">
        <v>16</v>
      </c>
    </row>
    <row r="35" spans="1:15" x14ac:dyDescent="0.3">
      <c r="A35" t="s">
        <v>7874</v>
      </c>
      <c r="B35" t="s">
        <v>7873</v>
      </c>
      <c r="C35" t="s">
        <v>74</v>
      </c>
      <c r="D35">
        <v>10</v>
      </c>
      <c r="E35" t="s">
        <v>21</v>
      </c>
      <c r="F35" t="s">
        <v>30</v>
      </c>
      <c r="G35" s="1">
        <v>46074</v>
      </c>
      <c r="H35" s="1">
        <v>46070</v>
      </c>
      <c r="I35" t="s">
        <v>7872</v>
      </c>
      <c r="J35" t="s">
        <v>7871</v>
      </c>
      <c r="K35" t="s">
        <v>57</v>
      </c>
      <c r="L35">
        <v>22045.43</v>
      </c>
      <c r="M35" t="s">
        <v>57</v>
      </c>
      <c r="N35">
        <v>289</v>
      </c>
      <c r="O35" t="s">
        <v>43</v>
      </c>
    </row>
    <row r="36" spans="1:15" x14ac:dyDescent="0.3">
      <c r="A36" t="s">
        <v>7870</v>
      </c>
      <c r="B36" t="s">
        <v>7869</v>
      </c>
      <c r="C36" t="s">
        <v>0</v>
      </c>
      <c r="D36">
        <v>57</v>
      </c>
      <c r="E36" t="s">
        <v>132</v>
      </c>
      <c r="F36" t="s">
        <v>46</v>
      </c>
      <c r="G36" s="1">
        <v>46168</v>
      </c>
      <c r="H36" s="1">
        <v>46147</v>
      </c>
      <c r="I36" t="s">
        <v>7868</v>
      </c>
      <c r="J36" t="s">
        <v>7867</v>
      </c>
      <c r="K36" t="s">
        <v>26</v>
      </c>
      <c r="L36">
        <v>23307.55</v>
      </c>
      <c r="M36" t="s">
        <v>64</v>
      </c>
      <c r="N36">
        <v>549</v>
      </c>
      <c r="O36" t="s">
        <v>71</v>
      </c>
    </row>
    <row r="37" spans="1:15" x14ac:dyDescent="0.3">
      <c r="A37" t="s">
        <v>7866</v>
      </c>
      <c r="B37" t="s">
        <v>7865</v>
      </c>
      <c r="C37" t="s">
        <v>22</v>
      </c>
      <c r="D37">
        <v>15</v>
      </c>
      <c r="E37" t="s">
        <v>80</v>
      </c>
      <c r="F37" t="s">
        <v>53</v>
      </c>
      <c r="G37" s="1">
        <v>46052</v>
      </c>
      <c r="H37" s="1">
        <v>46044</v>
      </c>
      <c r="I37" t="s">
        <v>7864</v>
      </c>
      <c r="J37" t="s">
        <v>7863</v>
      </c>
      <c r="K37" t="s">
        <v>26</v>
      </c>
      <c r="L37">
        <v>15199.78</v>
      </c>
      <c r="M37" t="s">
        <v>17</v>
      </c>
      <c r="N37">
        <v>204</v>
      </c>
      <c r="O37" t="s">
        <v>25</v>
      </c>
    </row>
    <row r="38" spans="1:15" x14ac:dyDescent="0.3">
      <c r="A38" t="s">
        <v>7862</v>
      </c>
      <c r="B38" t="s">
        <v>7861</v>
      </c>
      <c r="C38" t="s">
        <v>22</v>
      </c>
      <c r="D38">
        <v>65</v>
      </c>
      <c r="E38" t="s">
        <v>68</v>
      </c>
      <c r="F38" t="s">
        <v>30</v>
      </c>
      <c r="G38" s="1">
        <v>46126</v>
      </c>
      <c r="H38" s="1">
        <v>46098</v>
      </c>
      <c r="I38" t="s">
        <v>7860</v>
      </c>
      <c r="J38" t="s">
        <v>7859</v>
      </c>
      <c r="K38" t="s">
        <v>27</v>
      </c>
      <c r="L38">
        <v>2489</v>
      </c>
      <c r="N38">
        <v>524</v>
      </c>
      <c r="O38" t="s">
        <v>43</v>
      </c>
    </row>
    <row r="39" spans="1:15" x14ac:dyDescent="0.3">
      <c r="A39" t="s">
        <v>7858</v>
      </c>
      <c r="B39" t="s">
        <v>7857</v>
      </c>
      <c r="C39" t="s">
        <v>40</v>
      </c>
      <c r="D39">
        <v>1</v>
      </c>
      <c r="E39" t="s">
        <v>31</v>
      </c>
      <c r="F39" t="s">
        <v>53</v>
      </c>
      <c r="G39" s="1">
        <v>46145</v>
      </c>
      <c r="H39" s="1">
        <v>46125</v>
      </c>
      <c r="I39" t="s">
        <v>7856</v>
      </c>
      <c r="J39" t="s">
        <v>7855</v>
      </c>
      <c r="K39" t="s">
        <v>26</v>
      </c>
      <c r="L39">
        <v>4207.2299999999996</v>
      </c>
      <c r="N39">
        <v>382</v>
      </c>
      <c r="O39" t="s">
        <v>25</v>
      </c>
    </row>
    <row r="40" spans="1:15" x14ac:dyDescent="0.3">
      <c r="A40" t="s">
        <v>7854</v>
      </c>
      <c r="B40" t="s">
        <v>7853</v>
      </c>
      <c r="C40" t="s">
        <v>123</v>
      </c>
      <c r="D40">
        <v>72</v>
      </c>
      <c r="E40" t="s">
        <v>47</v>
      </c>
      <c r="F40" t="s">
        <v>20</v>
      </c>
      <c r="G40" s="1">
        <v>45998</v>
      </c>
      <c r="H40" s="1">
        <v>45996</v>
      </c>
      <c r="I40" t="s">
        <v>7852</v>
      </c>
      <c r="J40" t="s">
        <v>7851</v>
      </c>
      <c r="K40" t="s">
        <v>35</v>
      </c>
      <c r="L40">
        <v>13730.64</v>
      </c>
      <c r="M40" t="s">
        <v>17</v>
      </c>
      <c r="N40">
        <v>398</v>
      </c>
      <c r="O40" t="s">
        <v>34</v>
      </c>
    </row>
    <row r="41" spans="1:15" x14ac:dyDescent="0.3">
      <c r="A41" t="s">
        <v>7850</v>
      </c>
      <c r="B41" t="s">
        <v>7849</v>
      </c>
      <c r="C41" t="s">
        <v>0</v>
      </c>
      <c r="D41">
        <v>56</v>
      </c>
      <c r="E41" t="s">
        <v>39</v>
      </c>
      <c r="F41" t="s">
        <v>46</v>
      </c>
      <c r="G41" s="1">
        <v>46139</v>
      </c>
      <c r="H41" s="1">
        <v>46130</v>
      </c>
      <c r="I41" t="s">
        <v>7848</v>
      </c>
      <c r="J41" t="s">
        <v>7847</v>
      </c>
      <c r="K41" t="s">
        <v>57</v>
      </c>
      <c r="L41">
        <v>22494.74</v>
      </c>
      <c r="M41" t="s">
        <v>27</v>
      </c>
      <c r="N41">
        <v>283</v>
      </c>
      <c r="O41" t="s">
        <v>71</v>
      </c>
    </row>
    <row r="42" spans="1:15" x14ac:dyDescent="0.3">
      <c r="A42" t="s">
        <v>7846</v>
      </c>
      <c r="B42" t="s">
        <v>7845</v>
      </c>
      <c r="C42" t="s">
        <v>1</v>
      </c>
      <c r="D42">
        <v>86</v>
      </c>
      <c r="E42" t="s">
        <v>80</v>
      </c>
      <c r="F42" t="s">
        <v>67</v>
      </c>
      <c r="G42" s="1">
        <v>46019</v>
      </c>
      <c r="H42" s="1">
        <v>45995</v>
      </c>
      <c r="I42" t="s">
        <v>7844</v>
      </c>
      <c r="J42" t="s">
        <v>7843</v>
      </c>
      <c r="L42">
        <v>24351.16</v>
      </c>
      <c r="M42" t="s">
        <v>26</v>
      </c>
      <c r="N42">
        <v>221</v>
      </c>
      <c r="O42" t="s">
        <v>50</v>
      </c>
    </row>
    <row r="43" spans="1:15" x14ac:dyDescent="0.3">
      <c r="A43" t="s">
        <v>7842</v>
      </c>
      <c r="B43" t="s">
        <v>7841</v>
      </c>
      <c r="C43" t="s">
        <v>0</v>
      </c>
      <c r="D43">
        <v>23</v>
      </c>
      <c r="E43" t="s">
        <v>54</v>
      </c>
      <c r="F43" t="s">
        <v>46</v>
      </c>
      <c r="G43" s="1">
        <v>46046</v>
      </c>
      <c r="H43" s="1">
        <v>46041</v>
      </c>
      <c r="I43" t="s">
        <v>7840</v>
      </c>
      <c r="J43" t="s">
        <v>7839</v>
      </c>
      <c r="K43" t="s">
        <v>57</v>
      </c>
      <c r="L43">
        <v>19603.189999999999</v>
      </c>
      <c r="N43">
        <v>510</v>
      </c>
      <c r="O43" t="s">
        <v>25</v>
      </c>
    </row>
    <row r="44" spans="1:15" x14ac:dyDescent="0.3">
      <c r="A44" t="s">
        <v>7838</v>
      </c>
      <c r="B44" t="s">
        <v>7837</v>
      </c>
      <c r="C44" t="s">
        <v>1</v>
      </c>
      <c r="D44">
        <v>35</v>
      </c>
      <c r="E44" t="s">
        <v>39</v>
      </c>
      <c r="F44" t="s">
        <v>20</v>
      </c>
      <c r="G44" s="1">
        <v>46041</v>
      </c>
      <c r="H44" s="1">
        <v>46029</v>
      </c>
      <c r="I44" t="s">
        <v>7836</v>
      </c>
      <c r="J44" t="s">
        <v>7835</v>
      </c>
      <c r="K44" t="s">
        <v>27</v>
      </c>
      <c r="L44">
        <v>21493.11</v>
      </c>
      <c r="M44" t="s">
        <v>57</v>
      </c>
      <c r="N44">
        <v>202</v>
      </c>
      <c r="O44" t="s">
        <v>50</v>
      </c>
    </row>
    <row r="45" spans="1:15" x14ac:dyDescent="0.3">
      <c r="A45" t="s">
        <v>7834</v>
      </c>
      <c r="B45" t="s">
        <v>7833</v>
      </c>
      <c r="D45">
        <v>45</v>
      </c>
      <c r="E45" t="s">
        <v>132</v>
      </c>
      <c r="F45" t="s">
        <v>38</v>
      </c>
      <c r="G45" s="1">
        <v>46027</v>
      </c>
      <c r="H45" s="1">
        <v>46020</v>
      </c>
      <c r="I45" t="s">
        <v>7832</v>
      </c>
      <c r="J45" t="s">
        <v>7831</v>
      </c>
      <c r="K45" t="s">
        <v>27</v>
      </c>
      <c r="L45">
        <v>16568.82</v>
      </c>
      <c r="N45">
        <v>268</v>
      </c>
      <c r="O45" t="s">
        <v>43</v>
      </c>
    </row>
    <row r="46" spans="1:15" x14ac:dyDescent="0.3">
      <c r="A46" t="s">
        <v>7830</v>
      </c>
      <c r="B46" t="s">
        <v>7829</v>
      </c>
      <c r="C46" t="s">
        <v>74</v>
      </c>
      <c r="D46">
        <v>36</v>
      </c>
      <c r="E46" t="s">
        <v>31</v>
      </c>
      <c r="F46" t="s">
        <v>90</v>
      </c>
      <c r="G46" s="1">
        <v>46006</v>
      </c>
      <c r="H46" s="1">
        <v>45985</v>
      </c>
      <c r="I46" t="s">
        <v>7828</v>
      </c>
      <c r="J46" t="s">
        <v>7827</v>
      </c>
      <c r="K46" t="s">
        <v>57</v>
      </c>
      <c r="L46">
        <v>23493.08</v>
      </c>
      <c r="M46" t="s">
        <v>64</v>
      </c>
      <c r="N46">
        <v>549</v>
      </c>
      <c r="O46" t="s">
        <v>43</v>
      </c>
    </row>
    <row r="47" spans="1:15" x14ac:dyDescent="0.3">
      <c r="A47" t="s">
        <v>7826</v>
      </c>
      <c r="B47" t="s">
        <v>7825</v>
      </c>
      <c r="C47" t="s">
        <v>0</v>
      </c>
      <c r="D47">
        <v>75</v>
      </c>
      <c r="E47" t="s">
        <v>132</v>
      </c>
      <c r="F47" t="s">
        <v>46</v>
      </c>
      <c r="G47" s="1">
        <v>46021</v>
      </c>
      <c r="H47" s="1">
        <v>46018</v>
      </c>
      <c r="I47" t="s">
        <v>7824</v>
      </c>
      <c r="J47" t="s">
        <v>7823</v>
      </c>
      <c r="L47">
        <v>8773.0400000000009</v>
      </c>
      <c r="M47" t="s">
        <v>17</v>
      </c>
      <c r="N47">
        <v>323</v>
      </c>
      <c r="O47" t="s">
        <v>34</v>
      </c>
    </row>
    <row r="48" spans="1:15" x14ac:dyDescent="0.3">
      <c r="A48" t="s">
        <v>7822</v>
      </c>
      <c r="B48" t="s">
        <v>7821</v>
      </c>
      <c r="C48" t="s">
        <v>74</v>
      </c>
      <c r="D48">
        <v>50</v>
      </c>
      <c r="E48" t="s">
        <v>21</v>
      </c>
      <c r="F48" t="s">
        <v>30</v>
      </c>
      <c r="G48" s="1">
        <v>46085</v>
      </c>
      <c r="H48" s="1">
        <v>46084</v>
      </c>
      <c r="I48" t="s">
        <v>7820</v>
      </c>
      <c r="J48" t="s">
        <v>7819</v>
      </c>
      <c r="L48">
        <v>241.94</v>
      </c>
      <c r="M48" t="s">
        <v>57</v>
      </c>
      <c r="N48">
        <v>286</v>
      </c>
      <c r="O48" t="s">
        <v>16</v>
      </c>
    </row>
    <row r="49" spans="1:15" x14ac:dyDescent="0.3">
      <c r="A49" t="s">
        <v>7818</v>
      </c>
      <c r="B49" t="s">
        <v>7817</v>
      </c>
      <c r="C49" t="s">
        <v>74</v>
      </c>
      <c r="D49">
        <v>86</v>
      </c>
      <c r="E49" t="s">
        <v>31</v>
      </c>
      <c r="F49" t="s">
        <v>67</v>
      </c>
      <c r="G49" s="1">
        <v>46109</v>
      </c>
      <c r="H49" s="1">
        <v>46088</v>
      </c>
      <c r="I49" t="s">
        <v>7816</v>
      </c>
      <c r="J49" t="s">
        <v>7815</v>
      </c>
      <c r="K49" t="s">
        <v>64</v>
      </c>
      <c r="L49">
        <v>18049.91</v>
      </c>
      <c r="M49" t="s">
        <v>63</v>
      </c>
      <c r="N49">
        <v>359</v>
      </c>
      <c r="O49" t="s">
        <v>43</v>
      </c>
    </row>
    <row r="50" spans="1:15" x14ac:dyDescent="0.3">
      <c r="A50" t="s">
        <v>7814</v>
      </c>
      <c r="B50" t="s">
        <v>7813</v>
      </c>
      <c r="C50" t="s">
        <v>123</v>
      </c>
      <c r="D50">
        <v>42</v>
      </c>
      <c r="E50" t="s">
        <v>54</v>
      </c>
      <c r="F50" t="s">
        <v>30</v>
      </c>
      <c r="G50" s="1">
        <v>46030</v>
      </c>
      <c r="H50" s="1">
        <v>46013</v>
      </c>
      <c r="I50" t="s">
        <v>7812</v>
      </c>
      <c r="J50" t="s">
        <v>7811</v>
      </c>
      <c r="K50" t="s">
        <v>35</v>
      </c>
      <c r="L50">
        <v>4957.63</v>
      </c>
      <c r="N50">
        <v>446</v>
      </c>
      <c r="O50" t="s">
        <v>25</v>
      </c>
    </row>
    <row r="51" spans="1:15" x14ac:dyDescent="0.3">
      <c r="A51" t="s">
        <v>7810</v>
      </c>
      <c r="B51" t="s">
        <v>7809</v>
      </c>
      <c r="C51" t="s">
        <v>0</v>
      </c>
      <c r="D51">
        <v>79</v>
      </c>
      <c r="E51" t="s">
        <v>132</v>
      </c>
      <c r="F51" t="s">
        <v>90</v>
      </c>
      <c r="G51" s="1">
        <v>45997</v>
      </c>
      <c r="H51" s="1">
        <v>45980</v>
      </c>
      <c r="I51" t="s">
        <v>7808</v>
      </c>
      <c r="J51" t="s">
        <v>7807</v>
      </c>
      <c r="K51" t="s">
        <v>27</v>
      </c>
      <c r="L51">
        <v>7736.1</v>
      </c>
      <c r="M51" t="s">
        <v>57</v>
      </c>
      <c r="N51">
        <v>320</v>
      </c>
      <c r="O51" t="s">
        <v>50</v>
      </c>
    </row>
    <row r="52" spans="1:15" x14ac:dyDescent="0.3">
      <c r="A52" t="s">
        <v>7806</v>
      </c>
      <c r="B52" t="s">
        <v>7805</v>
      </c>
      <c r="C52" t="s">
        <v>60</v>
      </c>
      <c r="D52">
        <v>60</v>
      </c>
      <c r="E52" t="s">
        <v>68</v>
      </c>
      <c r="F52" t="s">
        <v>85</v>
      </c>
      <c r="G52" s="1">
        <v>46163</v>
      </c>
      <c r="H52" s="1">
        <v>46142</v>
      </c>
      <c r="I52" t="s">
        <v>7804</v>
      </c>
      <c r="J52" t="s">
        <v>7803</v>
      </c>
      <c r="K52" t="s">
        <v>17</v>
      </c>
      <c r="L52">
        <v>12877.12</v>
      </c>
      <c r="M52" t="s">
        <v>26</v>
      </c>
      <c r="N52">
        <v>437</v>
      </c>
      <c r="O52" t="s">
        <v>77</v>
      </c>
    </row>
    <row r="53" spans="1:15" x14ac:dyDescent="0.3">
      <c r="A53" t="s">
        <v>7802</v>
      </c>
      <c r="B53" t="s">
        <v>7801</v>
      </c>
      <c r="C53" t="s">
        <v>22</v>
      </c>
      <c r="D53">
        <v>66</v>
      </c>
      <c r="E53" t="s">
        <v>31</v>
      </c>
      <c r="F53" t="s">
        <v>20</v>
      </c>
      <c r="G53" s="1">
        <v>46025</v>
      </c>
      <c r="H53" s="1">
        <v>45999</v>
      </c>
      <c r="I53" t="s">
        <v>7800</v>
      </c>
      <c r="J53" t="s">
        <v>7799</v>
      </c>
      <c r="K53" t="s">
        <v>17</v>
      </c>
      <c r="L53">
        <v>16885.330000000002</v>
      </c>
      <c r="M53" t="s">
        <v>57</v>
      </c>
      <c r="N53">
        <v>512</v>
      </c>
      <c r="O53" t="s">
        <v>71</v>
      </c>
    </row>
    <row r="54" spans="1:15" x14ac:dyDescent="0.3">
      <c r="A54" t="s">
        <v>7798</v>
      </c>
      <c r="B54" t="s">
        <v>7797</v>
      </c>
      <c r="C54" t="s">
        <v>0</v>
      </c>
      <c r="D54">
        <v>4</v>
      </c>
      <c r="E54" t="s">
        <v>47</v>
      </c>
      <c r="F54" t="s">
        <v>38</v>
      </c>
      <c r="G54" s="1">
        <v>46034</v>
      </c>
      <c r="H54" s="1">
        <v>46019</v>
      </c>
      <c r="I54" t="s">
        <v>7796</v>
      </c>
      <c r="J54" t="s">
        <v>7795</v>
      </c>
      <c r="K54" t="s">
        <v>64</v>
      </c>
      <c r="L54">
        <v>11494.32</v>
      </c>
      <c r="M54" t="s">
        <v>57</v>
      </c>
      <c r="N54">
        <v>467</v>
      </c>
      <c r="O54" t="s">
        <v>25</v>
      </c>
    </row>
    <row r="55" spans="1:15" x14ac:dyDescent="0.3">
      <c r="A55" t="s">
        <v>572</v>
      </c>
      <c r="B55" t="s">
        <v>7794</v>
      </c>
      <c r="C55" t="s">
        <v>123</v>
      </c>
      <c r="D55">
        <v>64</v>
      </c>
      <c r="E55" t="s">
        <v>54</v>
      </c>
      <c r="F55" t="s">
        <v>38</v>
      </c>
      <c r="G55" s="1">
        <v>46106</v>
      </c>
      <c r="H55" s="1">
        <v>46102</v>
      </c>
      <c r="I55" t="s">
        <v>7793</v>
      </c>
      <c r="J55" t="s">
        <v>7792</v>
      </c>
      <c r="K55" t="s">
        <v>27</v>
      </c>
      <c r="L55">
        <v>22337.96</v>
      </c>
      <c r="M55" t="s">
        <v>64</v>
      </c>
      <c r="N55">
        <v>498</v>
      </c>
      <c r="O55" t="s">
        <v>16</v>
      </c>
    </row>
    <row r="56" spans="1:15" x14ac:dyDescent="0.3">
      <c r="A56" t="s">
        <v>7791</v>
      </c>
      <c r="B56" t="s">
        <v>7790</v>
      </c>
      <c r="C56" t="s">
        <v>1</v>
      </c>
      <c r="D56">
        <v>23</v>
      </c>
      <c r="E56" t="s">
        <v>68</v>
      </c>
      <c r="F56" t="s">
        <v>46</v>
      </c>
      <c r="G56" s="1">
        <v>46103</v>
      </c>
      <c r="H56" s="1">
        <v>46086</v>
      </c>
      <c r="I56" t="s">
        <v>7789</v>
      </c>
      <c r="J56" t="s">
        <v>7788</v>
      </c>
      <c r="K56" t="s">
        <v>17</v>
      </c>
      <c r="L56">
        <v>22953.26</v>
      </c>
      <c r="M56" t="s">
        <v>64</v>
      </c>
      <c r="N56">
        <v>333</v>
      </c>
      <c r="O56" t="s">
        <v>71</v>
      </c>
    </row>
    <row r="57" spans="1:15" x14ac:dyDescent="0.3">
      <c r="A57" t="s">
        <v>7787</v>
      </c>
      <c r="B57" t="s">
        <v>7786</v>
      </c>
      <c r="D57">
        <v>86</v>
      </c>
      <c r="E57" t="s">
        <v>31</v>
      </c>
      <c r="F57" t="s">
        <v>85</v>
      </c>
      <c r="G57" s="1">
        <v>46092</v>
      </c>
      <c r="H57" s="1">
        <v>46073</v>
      </c>
      <c r="I57" t="s">
        <v>7785</v>
      </c>
      <c r="J57" t="s">
        <v>7784</v>
      </c>
      <c r="L57">
        <v>20798.12</v>
      </c>
      <c r="N57">
        <v>181</v>
      </c>
      <c r="O57" t="s">
        <v>25</v>
      </c>
    </row>
    <row r="58" spans="1:15" x14ac:dyDescent="0.3">
      <c r="A58" t="s">
        <v>7783</v>
      </c>
      <c r="B58" t="s">
        <v>7782</v>
      </c>
      <c r="D58">
        <v>58</v>
      </c>
      <c r="E58" t="s">
        <v>132</v>
      </c>
      <c r="F58" t="s">
        <v>38</v>
      </c>
      <c r="G58" s="1">
        <v>46067</v>
      </c>
      <c r="H58" s="1">
        <v>46041</v>
      </c>
      <c r="I58" t="s">
        <v>7781</v>
      </c>
      <c r="J58" t="s">
        <v>7780</v>
      </c>
      <c r="K58" t="s">
        <v>26</v>
      </c>
      <c r="L58">
        <v>19192.18</v>
      </c>
      <c r="N58">
        <v>420</v>
      </c>
      <c r="O58" t="s">
        <v>71</v>
      </c>
    </row>
    <row r="59" spans="1:15" x14ac:dyDescent="0.3">
      <c r="A59" t="s">
        <v>7779</v>
      </c>
      <c r="B59" t="s">
        <v>7778</v>
      </c>
      <c r="C59" t="s">
        <v>22</v>
      </c>
      <c r="D59">
        <v>57</v>
      </c>
      <c r="E59" t="s">
        <v>80</v>
      </c>
      <c r="F59" t="s">
        <v>30</v>
      </c>
      <c r="G59" s="1">
        <v>46062</v>
      </c>
      <c r="H59" s="1">
        <v>46055</v>
      </c>
      <c r="I59" t="s">
        <v>7777</v>
      </c>
      <c r="J59" t="s">
        <v>7776</v>
      </c>
      <c r="K59" t="s">
        <v>26</v>
      </c>
      <c r="L59">
        <v>8529.02</v>
      </c>
      <c r="M59" t="s">
        <v>64</v>
      </c>
      <c r="N59">
        <v>170</v>
      </c>
      <c r="O59" t="s">
        <v>71</v>
      </c>
    </row>
    <row r="60" spans="1:15" x14ac:dyDescent="0.3">
      <c r="A60" t="s">
        <v>7775</v>
      </c>
      <c r="B60" t="s">
        <v>7774</v>
      </c>
      <c r="C60" t="s">
        <v>1</v>
      </c>
      <c r="D60">
        <v>50</v>
      </c>
      <c r="E60" t="s">
        <v>39</v>
      </c>
      <c r="F60" t="s">
        <v>38</v>
      </c>
      <c r="G60" s="1">
        <v>45978</v>
      </c>
      <c r="H60" s="1">
        <v>45976</v>
      </c>
      <c r="I60" t="s">
        <v>7773</v>
      </c>
      <c r="J60" t="s">
        <v>7772</v>
      </c>
      <c r="L60">
        <v>10308.459999999999</v>
      </c>
      <c r="N60">
        <v>312</v>
      </c>
      <c r="O60" t="s">
        <v>77</v>
      </c>
    </row>
    <row r="61" spans="1:15" x14ac:dyDescent="0.3">
      <c r="A61" t="s">
        <v>7771</v>
      </c>
      <c r="B61" t="s">
        <v>7770</v>
      </c>
      <c r="C61" t="s">
        <v>1</v>
      </c>
      <c r="D61">
        <v>54</v>
      </c>
      <c r="E61" t="s">
        <v>54</v>
      </c>
      <c r="F61" t="s">
        <v>46</v>
      </c>
      <c r="G61" s="1">
        <v>46166</v>
      </c>
      <c r="H61" s="1">
        <v>46139</v>
      </c>
      <c r="I61" t="s">
        <v>7769</v>
      </c>
      <c r="J61" t="s">
        <v>7768</v>
      </c>
      <c r="L61">
        <v>12029.1</v>
      </c>
      <c r="M61" t="s">
        <v>17</v>
      </c>
      <c r="N61">
        <v>252</v>
      </c>
      <c r="O61" t="s">
        <v>50</v>
      </c>
    </row>
    <row r="62" spans="1:15" x14ac:dyDescent="0.3">
      <c r="A62" t="s">
        <v>7767</v>
      </c>
      <c r="B62" t="s">
        <v>7766</v>
      </c>
      <c r="C62" t="s">
        <v>123</v>
      </c>
      <c r="D62">
        <v>54</v>
      </c>
      <c r="E62" t="s">
        <v>21</v>
      </c>
      <c r="F62" t="s">
        <v>85</v>
      </c>
      <c r="G62" s="1">
        <v>45987</v>
      </c>
      <c r="H62" s="1">
        <v>45980</v>
      </c>
      <c r="I62" t="s">
        <v>7765</v>
      </c>
      <c r="J62" t="s">
        <v>7764</v>
      </c>
      <c r="K62" t="s">
        <v>26</v>
      </c>
      <c r="L62">
        <v>11008.73</v>
      </c>
      <c r="M62" t="s">
        <v>27</v>
      </c>
      <c r="N62">
        <v>299</v>
      </c>
      <c r="O62" t="s">
        <v>43</v>
      </c>
    </row>
    <row r="63" spans="1:15" x14ac:dyDescent="0.3">
      <c r="A63" t="s">
        <v>7763</v>
      </c>
      <c r="B63" t="s">
        <v>7762</v>
      </c>
      <c r="C63" t="s">
        <v>123</v>
      </c>
      <c r="D63">
        <v>22</v>
      </c>
      <c r="E63" t="s">
        <v>68</v>
      </c>
      <c r="F63" t="s">
        <v>53</v>
      </c>
      <c r="G63" s="1">
        <v>46118</v>
      </c>
      <c r="H63" s="1">
        <v>46099</v>
      </c>
      <c r="I63" t="s">
        <v>7761</v>
      </c>
      <c r="J63" t="s">
        <v>7760</v>
      </c>
      <c r="K63" t="s">
        <v>27</v>
      </c>
      <c r="L63">
        <v>22691.84</v>
      </c>
      <c r="M63" t="s">
        <v>27</v>
      </c>
      <c r="N63">
        <v>142</v>
      </c>
      <c r="O63" t="s">
        <v>25</v>
      </c>
    </row>
    <row r="64" spans="1:15" x14ac:dyDescent="0.3">
      <c r="A64" t="s">
        <v>7759</v>
      </c>
      <c r="B64" t="s">
        <v>7758</v>
      </c>
      <c r="C64" t="s">
        <v>123</v>
      </c>
      <c r="D64">
        <v>18</v>
      </c>
      <c r="E64" t="s">
        <v>68</v>
      </c>
      <c r="F64" t="s">
        <v>53</v>
      </c>
      <c r="G64" s="1">
        <v>46018</v>
      </c>
      <c r="H64" s="1">
        <v>46017</v>
      </c>
      <c r="I64" t="s">
        <v>7757</v>
      </c>
      <c r="J64" t="s">
        <v>7756</v>
      </c>
      <c r="K64" t="s">
        <v>26</v>
      </c>
      <c r="L64">
        <v>9601.7800000000007</v>
      </c>
      <c r="M64" t="s">
        <v>57</v>
      </c>
      <c r="N64">
        <v>332</v>
      </c>
      <c r="O64" t="s">
        <v>43</v>
      </c>
    </row>
    <row r="65" spans="1:15" x14ac:dyDescent="0.3">
      <c r="A65" t="s">
        <v>7755</v>
      </c>
      <c r="B65" t="s">
        <v>7754</v>
      </c>
      <c r="C65" t="s">
        <v>60</v>
      </c>
      <c r="D65">
        <v>49</v>
      </c>
      <c r="E65" t="s">
        <v>132</v>
      </c>
      <c r="F65" t="s">
        <v>90</v>
      </c>
      <c r="G65" s="1">
        <v>46151</v>
      </c>
      <c r="H65" s="1">
        <v>46143</v>
      </c>
      <c r="I65" t="s">
        <v>7753</v>
      </c>
      <c r="J65" t="s">
        <v>7752</v>
      </c>
      <c r="K65" t="s">
        <v>64</v>
      </c>
      <c r="L65">
        <v>11863.61</v>
      </c>
      <c r="M65" t="s">
        <v>27</v>
      </c>
      <c r="N65">
        <v>279</v>
      </c>
      <c r="O65" t="s">
        <v>71</v>
      </c>
    </row>
    <row r="66" spans="1:15" x14ac:dyDescent="0.3">
      <c r="A66" t="s">
        <v>7751</v>
      </c>
      <c r="B66" t="s">
        <v>7750</v>
      </c>
      <c r="C66" t="s">
        <v>74</v>
      </c>
      <c r="D66">
        <v>84</v>
      </c>
      <c r="E66" t="s">
        <v>47</v>
      </c>
      <c r="F66" t="s">
        <v>46</v>
      </c>
      <c r="G66" s="1">
        <v>46055</v>
      </c>
      <c r="H66" s="1">
        <v>46025</v>
      </c>
      <c r="I66" t="s">
        <v>7749</v>
      </c>
      <c r="J66" t="s">
        <v>7748</v>
      </c>
      <c r="K66" t="s">
        <v>17</v>
      </c>
      <c r="L66">
        <v>5144.1400000000003</v>
      </c>
      <c r="M66" t="s">
        <v>27</v>
      </c>
      <c r="N66">
        <v>418</v>
      </c>
      <c r="O66" t="s">
        <v>71</v>
      </c>
    </row>
    <row r="67" spans="1:15" x14ac:dyDescent="0.3">
      <c r="A67" t="s">
        <v>7747</v>
      </c>
      <c r="B67" t="s">
        <v>7746</v>
      </c>
      <c r="C67" t="s">
        <v>1</v>
      </c>
      <c r="D67">
        <v>17</v>
      </c>
      <c r="E67" t="s">
        <v>68</v>
      </c>
      <c r="F67" t="s">
        <v>20</v>
      </c>
      <c r="G67" s="1">
        <v>46109</v>
      </c>
      <c r="H67" s="1">
        <v>46091</v>
      </c>
      <c r="I67" t="s">
        <v>7745</v>
      </c>
      <c r="J67" t="s">
        <v>7744</v>
      </c>
      <c r="K67" t="s">
        <v>17</v>
      </c>
      <c r="L67">
        <v>11732.84</v>
      </c>
      <c r="M67" t="s">
        <v>63</v>
      </c>
      <c r="N67">
        <v>492</v>
      </c>
      <c r="O67" t="s">
        <v>43</v>
      </c>
    </row>
    <row r="68" spans="1:15" x14ac:dyDescent="0.3">
      <c r="A68" t="s">
        <v>7743</v>
      </c>
      <c r="B68" t="s">
        <v>7742</v>
      </c>
      <c r="C68" t="s">
        <v>0</v>
      </c>
      <c r="D68">
        <v>78</v>
      </c>
      <c r="E68" t="s">
        <v>80</v>
      </c>
      <c r="F68" t="s">
        <v>53</v>
      </c>
      <c r="G68" s="1">
        <v>46069</v>
      </c>
      <c r="H68" s="1">
        <v>46039</v>
      </c>
      <c r="I68" t="s">
        <v>7741</v>
      </c>
      <c r="J68" t="s">
        <v>7740</v>
      </c>
      <c r="K68" t="s">
        <v>26</v>
      </c>
      <c r="L68">
        <v>2880.85</v>
      </c>
      <c r="M68" t="s">
        <v>27</v>
      </c>
      <c r="N68">
        <v>259</v>
      </c>
      <c r="O68" t="s">
        <v>34</v>
      </c>
    </row>
    <row r="69" spans="1:15" x14ac:dyDescent="0.3">
      <c r="A69" t="s">
        <v>7739</v>
      </c>
      <c r="B69" t="s">
        <v>7738</v>
      </c>
      <c r="C69" t="s">
        <v>123</v>
      </c>
      <c r="D69">
        <v>51</v>
      </c>
      <c r="E69" t="s">
        <v>21</v>
      </c>
      <c r="F69" t="s">
        <v>20</v>
      </c>
      <c r="G69" s="1">
        <v>46064</v>
      </c>
      <c r="H69" s="1">
        <v>46046</v>
      </c>
      <c r="I69" t="s">
        <v>7737</v>
      </c>
      <c r="J69" t="s">
        <v>7736</v>
      </c>
      <c r="K69" t="s">
        <v>17</v>
      </c>
      <c r="L69">
        <v>2727.15</v>
      </c>
      <c r="M69" t="s">
        <v>63</v>
      </c>
      <c r="N69">
        <v>535</v>
      </c>
      <c r="O69" t="s">
        <v>25</v>
      </c>
    </row>
    <row r="70" spans="1:15" x14ac:dyDescent="0.3">
      <c r="A70" t="s">
        <v>7735</v>
      </c>
      <c r="B70" t="s">
        <v>7734</v>
      </c>
      <c r="C70" t="s">
        <v>74</v>
      </c>
      <c r="D70">
        <v>73</v>
      </c>
      <c r="E70" t="s">
        <v>47</v>
      </c>
      <c r="F70" t="s">
        <v>67</v>
      </c>
      <c r="G70" s="1">
        <v>46091</v>
      </c>
      <c r="H70" s="1">
        <v>46074</v>
      </c>
      <c r="I70" t="s">
        <v>7733</v>
      </c>
      <c r="J70" t="s">
        <v>7732</v>
      </c>
      <c r="L70">
        <v>16605.73</v>
      </c>
      <c r="M70" t="s">
        <v>64</v>
      </c>
      <c r="N70">
        <v>359</v>
      </c>
      <c r="O70" t="s">
        <v>25</v>
      </c>
    </row>
    <row r="71" spans="1:15" x14ac:dyDescent="0.3">
      <c r="A71" t="s">
        <v>7731</v>
      </c>
      <c r="B71" t="s">
        <v>7730</v>
      </c>
      <c r="C71" t="s">
        <v>60</v>
      </c>
      <c r="D71">
        <v>2</v>
      </c>
      <c r="E71" t="s">
        <v>54</v>
      </c>
      <c r="F71" t="s">
        <v>85</v>
      </c>
      <c r="G71" s="1">
        <v>46048</v>
      </c>
      <c r="H71" s="1">
        <v>46045</v>
      </c>
      <c r="I71" t="s">
        <v>7729</v>
      </c>
      <c r="J71" t="s">
        <v>7728</v>
      </c>
      <c r="L71">
        <v>24027.53</v>
      </c>
      <c r="N71">
        <v>462</v>
      </c>
      <c r="O71" t="s">
        <v>71</v>
      </c>
    </row>
    <row r="72" spans="1:15" x14ac:dyDescent="0.3">
      <c r="A72" t="s">
        <v>7727</v>
      </c>
      <c r="B72" t="s">
        <v>7726</v>
      </c>
      <c r="C72" t="s">
        <v>123</v>
      </c>
      <c r="D72">
        <v>23</v>
      </c>
      <c r="E72" t="s">
        <v>132</v>
      </c>
      <c r="F72" t="s">
        <v>85</v>
      </c>
      <c r="G72" s="1">
        <v>46026</v>
      </c>
      <c r="H72" s="1">
        <v>46012</v>
      </c>
      <c r="I72" t="s">
        <v>7725</v>
      </c>
      <c r="J72" t="s">
        <v>7724</v>
      </c>
      <c r="L72">
        <v>20678.22</v>
      </c>
      <c r="M72" t="s">
        <v>63</v>
      </c>
      <c r="N72">
        <v>265</v>
      </c>
      <c r="O72" t="s">
        <v>50</v>
      </c>
    </row>
    <row r="73" spans="1:15" x14ac:dyDescent="0.3">
      <c r="A73" t="s">
        <v>7723</v>
      </c>
      <c r="B73" t="s">
        <v>7722</v>
      </c>
      <c r="C73" t="s">
        <v>1</v>
      </c>
      <c r="D73">
        <v>12</v>
      </c>
      <c r="E73" t="s">
        <v>132</v>
      </c>
      <c r="F73" t="s">
        <v>85</v>
      </c>
      <c r="G73" s="1">
        <v>46038</v>
      </c>
      <c r="H73" s="1">
        <v>46031</v>
      </c>
      <c r="I73" t="s">
        <v>7721</v>
      </c>
      <c r="J73" t="s">
        <v>7720</v>
      </c>
      <c r="L73">
        <v>14332.27</v>
      </c>
      <c r="N73">
        <v>272</v>
      </c>
      <c r="O73" t="s">
        <v>77</v>
      </c>
    </row>
    <row r="74" spans="1:15" x14ac:dyDescent="0.3">
      <c r="A74" t="s">
        <v>7719</v>
      </c>
      <c r="B74" t="s">
        <v>7718</v>
      </c>
      <c r="D74">
        <v>42</v>
      </c>
      <c r="E74" t="s">
        <v>39</v>
      </c>
      <c r="F74" t="s">
        <v>85</v>
      </c>
      <c r="G74" s="1">
        <v>46098</v>
      </c>
      <c r="H74" s="1">
        <v>46092</v>
      </c>
      <c r="I74" t="s">
        <v>7717</v>
      </c>
      <c r="J74" t="s">
        <v>7716</v>
      </c>
      <c r="K74" t="s">
        <v>57</v>
      </c>
      <c r="L74">
        <v>19986.240000000002</v>
      </c>
      <c r="M74" t="s">
        <v>17</v>
      </c>
      <c r="N74">
        <v>243</v>
      </c>
      <c r="O74" t="s">
        <v>34</v>
      </c>
    </row>
    <row r="75" spans="1:15" x14ac:dyDescent="0.3">
      <c r="A75" t="s">
        <v>7715</v>
      </c>
      <c r="B75" t="s">
        <v>7714</v>
      </c>
      <c r="C75" t="s">
        <v>22</v>
      </c>
      <c r="D75">
        <v>72</v>
      </c>
      <c r="E75" t="s">
        <v>47</v>
      </c>
      <c r="F75" t="s">
        <v>38</v>
      </c>
      <c r="G75" s="1">
        <v>46049</v>
      </c>
      <c r="H75" s="1">
        <v>46047</v>
      </c>
      <c r="I75" t="s">
        <v>7713</v>
      </c>
      <c r="J75" t="s">
        <v>7712</v>
      </c>
      <c r="K75" t="s">
        <v>17</v>
      </c>
      <c r="L75">
        <v>18057.849999999999</v>
      </c>
      <c r="N75">
        <v>384</v>
      </c>
      <c r="O75" t="s">
        <v>50</v>
      </c>
    </row>
    <row r="76" spans="1:15" x14ac:dyDescent="0.3">
      <c r="A76" t="s">
        <v>7711</v>
      </c>
      <c r="B76" t="s">
        <v>7710</v>
      </c>
      <c r="C76" t="s">
        <v>1</v>
      </c>
      <c r="D76">
        <v>89</v>
      </c>
      <c r="E76" t="s">
        <v>68</v>
      </c>
      <c r="F76" t="s">
        <v>85</v>
      </c>
      <c r="G76" s="1">
        <v>46064</v>
      </c>
      <c r="H76" s="1">
        <v>46050</v>
      </c>
      <c r="I76" t="s">
        <v>7709</v>
      </c>
      <c r="J76" t="s">
        <v>7708</v>
      </c>
      <c r="K76" t="s">
        <v>27</v>
      </c>
      <c r="L76">
        <v>2507.7199999999998</v>
      </c>
      <c r="M76" t="s">
        <v>57</v>
      </c>
      <c r="N76">
        <v>307</v>
      </c>
      <c r="O76" t="s">
        <v>25</v>
      </c>
    </row>
    <row r="77" spans="1:15" x14ac:dyDescent="0.3">
      <c r="A77" t="s">
        <v>7707</v>
      </c>
      <c r="B77" t="s">
        <v>7706</v>
      </c>
      <c r="C77" t="s">
        <v>1</v>
      </c>
      <c r="D77">
        <v>40</v>
      </c>
      <c r="E77" t="s">
        <v>31</v>
      </c>
      <c r="F77" t="s">
        <v>85</v>
      </c>
      <c r="G77" s="1">
        <v>46016</v>
      </c>
      <c r="H77" s="1">
        <v>45999</v>
      </c>
      <c r="I77" t="s">
        <v>7705</v>
      </c>
      <c r="J77" t="s">
        <v>7704</v>
      </c>
      <c r="K77" t="s">
        <v>57</v>
      </c>
      <c r="L77">
        <v>10752.49</v>
      </c>
      <c r="M77" t="s">
        <v>17</v>
      </c>
      <c r="N77">
        <v>280</v>
      </c>
      <c r="O77" t="s">
        <v>25</v>
      </c>
    </row>
    <row r="78" spans="1:15" x14ac:dyDescent="0.3">
      <c r="A78" t="s">
        <v>7703</v>
      </c>
      <c r="B78" t="s">
        <v>7702</v>
      </c>
      <c r="D78">
        <v>35</v>
      </c>
      <c r="E78" t="s">
        <v>132</v>
      </c>
      <c r="F78" t="s">
        <v>30</v>
      </c>
      <c r="G78" s="1">
        <v>46049</v>
      </c>
      <c r="H78" s="1">
        <v>46042</v>
      </c>
      <c r="I78" t="s">
        <v>7701</v>
      </c>
      <c r="J78" t="s">
        <v>7700</v>
      </c>
      <c r="K78" t="s">
        <v>64</v>
      </c>
      <c r="L78">
        <v>18087.849999999999</v>
      </c>
      <c r="M78" t="s">
        <v>17</v>
      </c>
      <c r="N78">
        <v>161</v>
      </c>
      <c r="O78" t="s">
        <v>25</v>
      </c>
    </row>
    <row r="79" spans="1:15" x14ac:dyDescent="0.3">
      <c r="A79" t="s">
        <v>7699</v>
      </c>
      <c r="B79" t="s">
        <v>7698</v>
      </c>
      <c r="C79" t="s">
        <v>0</v>
      </c>
      <c r="D79">
        <v>25</v>
      </c>
      <c r="E79" t="s">
        <v>21</v>
      </c>
      <c r="F79" t="s">
        <v>85</v>
      </c>
      <c r="G79" s="1">
        <v>46028</v>
      </c>
      <c r="H79" s="1">
        <v>46020</v>
      </c>
      <c r="I79" t="s">
        <v>7697</v>
      </c>
      <c r="J79" t="s">
        <v>7696</v>
      </c>
      <c r="K79" t="s">
        <v>26</v>
      </c>
      <c r="L79">
        <v>24516.66</v>
      </c>
      <c r="M79" t="s">
        <v>57</v>
      </c>
      <c r="N79">
        <v>251</v>
      </c>
      <c r="O79" t="s">
        <v>71</v>
      </c>
    </row>
    <row r="80" spans="1:15" x14ac:dyDescent="0.3">
      <c r="A80" t="s">
        <v>7695</v>
      </c>
      <c r="B80" t="s">
        <v>7694</v>
      </c>
      <c r="C80" t="s">
        <v>60</v>
      </c>
      <c r="D80">
        <v>23</v>
      </c>
      <c r="E80" t="s">
        <v>132</v>
      </c>
      <c r="F80" t="s">
        <v>46</v>
      </c>
      <c r="G80" s="1">
        <v>46057</v>
      </c>
      <c r="H80" s="1">
        <v>46035</v>
      </c>
      <c r="I80" t="s">
        <v>7693</v>
      </c>
      <c r="J80" t="s">
        <v>7692</v>
      </c>
      <c r="K80" t="s">
        <v>35</v>
      </c>
      <c r="L80">
        <v>7002.92</v>
      </c>
      <c r="M80" t="s">
        <v>27</v>
      </c>
      <c r="N80">
        <v>383</v>
      </c>
      <c r="O80" t="s">
        <v>43</v>
      </c>
    </row>
    <row r="81" spans="1:15" x14ac:dyDescent="0.3">
      <c r="A81" t="s">
        <v>7691</v>
      </c>
      <c r="B81" t="s">
        <v>7690</v>
      </c>
      <c r="C81" t="s">
        <v>0</v>
      </c>
      <c r="D81">
        <v>82</v>
      </c>
      <c r="E81" t="s">
        <v>68</v>
      </c>
      <c r="F81" t="s">
        <v>20</v>
      </c>
      <c r="G81" s="1">
        <v>46038</v>
      </c>
      <c r="H81" s="1">
        <v>46011</v>
      </c>
      <c r="I81" t="s">
        <v>7689</v>
      </c>
      <c r="J81" t="s">
        <v>7688</v>
      </c>
      <c r="K81" t="s">
        <v>27</v>
      </c>
      <c r="L81">
        <v>14436.79</v>
      </c>
      <c r="N81">
        <v>345</v>
      </c>
      <c r="O81" t="s">
        <v>16</v>
      </c>
    </row>
    <row r="82" spans="1:15" x14ac:dyDescent="0.3">
      <c r="A82" t="s">
        <v>7687</v>
      </c>
      <c r="B82" t="s">
        <v>7686</v>
      </c>
      <c r="C82" t="s">
        <v>60</v>
      </c>
      <c r="D82">
        <v>24</v>
      </c>
      <c r="E82" t="s">
        <v>47</v>
      </c>
      <c r="F82" t="s">
        <v>30</v>
      </c>
      <c r="G82" s="1">
        <v>46012</v>
      </c>
      <c r="H82" s="1">
        <v>45982</v>
      </c>
      <c r="I82" t="s">
        <v>7685</v>
      </c>
      <c r="J82" t="s">
        <v>7684</v>
      </c>
      <c r="L82">
        <v>3029.36</v>
      </c>
      <c r="M82" t="s">
        <v>64</v>
      </c>
      <c r="N82">
        <v>305</v>
      </c>
      <c r="O82" t="s">
        <v>16</v>
      </c>
    </row>
    <row r="83" spans="1:15" x14ac:dyDescent="0.3">
      <c r="A83" t="s">
        <v>7683</v>
      </c>
      <c r="B83" t="s">
        <v>7682</v>
      </c>
      <c r="C83" t="s">
        <v>74</v>
      </c>
      <c r="D83">
        <v>74</v>
      </c>
      <c r="E83" t="s">
        <v>47</v>
      </c>
      <c r="F83" t="s">
        <v>53</v>
      </c>
      <c r="G83" s="1">
        <v>46152</v>
      </c>
      <c r="H83" s="1">
        <v>46148</v>
      </c>
      <c r="I83" t="s">
        <v>7681</v>
      </c>
      <c r="J83" t="s">
        <v>7680</v>
      </c>
      <c r="K83" t="s">
        <v>26</v>
      </c>
      <c r="L83">
        <v>2312.4899999999998</v>
      </c>
      <c r="M83" t="s">
        <v>57</v>
      </c>
      <c r="N83">
        <v>160</v>
      </c>
      <c r="O83" t="s">
        <v>34</v>
      </c>
    </row>
    <row r="84" spans="1:15" x14ac:dyDescent="0.3">
      <c r="A84" t="s">
        <v>7679</v>
      </c>
      <c r="B84" t="s">
        <v>7678</v>
      </c>
      <c r="C84" t="s">
        <v>123</v>
      </c>
      <c r="D84">
        <v>78</v>
      </c>
      <c r="E84" t="s">
        <v>21</v>
      </c>
      <c r="F84" t="s">
        <v>90</v>
      </c>
      <c r="G84" s="1">
        <v>46120</v>
      </c>
      <c r="H84" s="1">
        <v>46106</v>
      </c>
      <c r="I84" t="s">
        <v>7677</v>
      </c>
      <c r="J84" t="s">
        <v>7676</v>
      </c>
      <c r="L84">
        <v>7574.36</v>
      </c>
      <c r="N84">
        <v>256</v>
      </c>
      <c r="O84" t="s">
        <v>34</v>
      </c>
    </row>
    <row r="85" spans="1:15" x14ac:dyDescent="0.3">
      <c r="A85" t="s">
        <v>7675</v>
      </c>
      <c r="B85" t="s">
        <v>7674</v>
      </c>
      <c r="C85" t="s">
        <v>40</v>
      </c>
      <c r="D85">
        <v>79</v>
      </c>
      <c r="E85" t="s">
        <v>80</v>
      </c>
      <c r="F85" t="s">
        <v>38</v>
      </c>
      <c r="G85" s="1">
        <v>46104</v>
      </c>
      <c r="H85" s="1">
        <v>46084</v>
      </c>
      <c r="I85" t="s">
        <v>7673</v>
      </c>
      <c r="K85" t="s">
        <v>17</v>
      </c>
      <c r="L85">
        <v>6763.22</v>
      </c>
      <c r="M85" t="s">
        <v>64</v>
      </c>
      <c r="N85">
        <v>180</v>
      </c>
      <c r="O85" t="s">
        <v>71</v>
      </c>
    </row>
    <row r="86" spans="1:15" x14ac:dyDescent="0.3">
      <c r="A86" t="s">
        <v>7672</v>
      </c>
      <c r="B86" t="s">
        <v>7671</v>
      </c>
      <c r="C86" t="s">
        <v>0</v>
      </c>
      <c r="D86">
        <v>71</v>
      </c>
      <c r="E86" t="s">
        <v>80</v>
      </c>
      <c r="F86" t="s">
        <v>53</v>
      </c>
      <c r="G86" s="1">
        <v>46075</v>
      </c>
      <c r="H86" s="1">
        <v>46075</v>
      </c>
      <c r="I86" t="s">
        <v>7670</v>
      </c>
      <c r="J86" t="s">
        <v>7669</v>
      </c>
      <c r="L86">
        <v>11372.49</v>
      </c>
      <c r="N86">
        <v>249</v>
      </c>
      <c r="O86" t="s">
        <v>77</v>
      </c>
    </row>
    <row r="87" spans="1:15" x14ac:dyDescent="0.3">
      <c r="A87" t="s">
        <v>7668</v>
      </c>
      <c r="B87" t="s">
        <v>7667</v>
      </c>
      <c r="C87" t="s">
        <v>1</v>
      </c>
      <c r="D87">
        <v>37</v>
      </c>
      <c r="E87" t="s">
        <v>132</v>
      </c>
      <c r="F87" t="s">
        <v>85</v>
      </c>
      <c r="G87" s="1">
        <v>46074</v>
      </c>
      <c r="H87" s="1">
        <v>46072</v>
      </c>
      <c r="I87" t="s">
        <v>7666</v>
      </c>
      <c r="J87" t="s">
        <v>7665</v>
      </c>
      <c r="K87" t="s">
        <v>17</v>
      </c>
      <c r="L87">
        <v>23112.99</v>
      </c>
      <c r="M87" t="s">
        <v>57</v>
      </c>
      <c r="N87">
        <v>317</v>
      </c>
      <c r="O87" t="s">
        <v>77</v>
      </c>
    </row>
    <row r="88" spans="1:15" x14ac:dyDescent="0.3">
      <c r="A88" t="s">
        <v>7664</v>
      </c>
      <c r="B88" t="s">
        <v>7663</v>
      </c>
      <c r="C88" t="s">
        <v>1</v>
      </c>
      <c r="D88">
        <v>83</v>
      </c>
      <c r="E88" t="s">
        <v>39</v>
      </c>
      <c r="F88" t="s">
        <v>30</v>
      </c>
      <c r="G88" s="1">
        <v>46163</v>
      </c>
      <c r="H88" s="1">
        <v>46137</v>
      </c>
      <c r="I88" t="s">
        <v>7662</v>
      </c>
      <c r="J88" t="s">
        <v>7661</v>
      </c>
      <c r="K88" t="s">
        <v>35</v>
      </c>
      <c r="L88">
        <v>1970.96</v>
      </c>
      <c r="M88" t="s">
        <v>26</v>
      </c>
      <c r="N88">
        <v>505</v>
      </c>
      <c r="O88" t="s">
        <v>43</v>
      </c>
    </row>
    <row r="89" spans="1:15" x14ac:dyDescent="0.3">
      <c r="A89" t="s">
        <v>7660</v>
      </c>
      <c r="B89" t="s">
        <v>7659</v>
      </c>
      <c r="C89" t="s">
        <v>22</v>
      </c>
      <c r="D89">
        <v>57</v>
      </c>
      <c r="E89" t="s">
        <v>80</v>
      </c>
      <c r="F89" t="s">
        <v>85</v>
      </c>
      <c r="G89" s="1">
        <v>46068</v>
      </c>
      <c r="H89" s="1">
        <v>46046</v>
      </c>
      <c r="I89" t="s">
        <v>7658</v>
      </c>
      <c r="J89" t="s">
        <v>7657</v>
      </c>
      <c r="K89" t="s">
        <v>26</v>
      </c>
      <c r="L89">
        <v>17553.400000000001</v>
      </c>
      <c r="M89" t="s">
        <v>63</v>
      </c>
      <c r="N89">
        <v>356</v>
      </c>
      <c r="O89" t="s">
        <v>34</v>
      </c>
    </row>
    <row r="90" spans="1:15" x14ac:dyDescent="0.3">
      <c r="A90" t="s">
        <v>7656</v>
      </c>
      <c r="B90" t="s">
        <v>7655</v>
      </c>
      <c r="D90">
        <v>57</v>
      </c>
      <c r="E90" t="s">
        <v>80</v>
      </c>
      <c r="F90" t="s">
        <v>46</v>
      </c>
      <c r="G90" s="1">
        <v>46125</v>
      </c>
      <c r="H90" s="1">
        <v>46097</v>
      </c>
      <c r="I90" t="s">
        <v>7654</v>
      </c>
      <c r="J90" t="s">
        <v>7653</v>
      </c>
      <c r="L90">
        <v>18416.439999999999</v>
      </c>
      <c r="M90" t="s">
        <v>63</v>
      </c>
      <c r="N90">
        <v>113</v>
      </c>
      <c r="O90" t="s">
        <v>77</v>
      </c>
    </row>
    <row r="91" spans="1:15" x14ac:dyDescent="0.3">
      <c r="A91" t="s">
        <v>7652</v>
      </c>
      <c r="B91" t="s">
        <v>7651</v>
      </c>
      <c r="C91" t="s">
        <v>1</v>
      </c>
      <c r="D91">
        <v>87</v>
      </c>
      <c r="E91" t="s">
        <v>47</v>
      </c>
      <c r="F91" t="s">
        <v>30</v>
      </c>
      <c r="G91" s="1">
        <v>46091</v>
      </c>
      <c r="H91" s="1">
        <v>46073</v>
      </c>
      <c r="I91" t="s">
        <v>7650</v>
      </c>
      <c r="J91" t="s">
        <v>7649</v>
      </c>
      <c r="K91" t="s">
        <v>27</v>
      </c>
      <c r="L91">
        <v>19125.099999999999</v>
      </c>
      <c r="M91" t="s">
        <v>26</v>
      </c>
      <c r="N91">
        <v>340</v>
      </c>
      <c r="O91" t="s">
        <v>34</v>
      </c>
    </row>
    <row r="92" spans="1:15" x14ac:dyDescent="0.3">
      <c r="A92" t="s">
        <v>7648</v>
      </c>
      <c r="B92" t="s">
        <v>7647</v>
      </c>
      <c r="D92">
        <v>36</v>
      </c>
      <c r="E92" t="s">
        <v>39</v>
      </c>
      <c r="F92" t="s">
        <v>90</v>
      </c>
      <c r="G92" s="1">
        <v>46150</v>
      </c>
      <c r="H92" s="1">
        <v>46130</v>
      </c>
      <c r="I92" t="s">
        <v>7646</v>
      </c>
      <c r="J92" t="s">
        <v>7645</v>
      </c>
      <c r="L92">
        <v>24232.57</v>
      </c>
      <c r="N92">
        <v>278</v>
      </c>
      <c r="O92" t="s">
        <v>16</v>
      </c>
    </row>
    <row r="93" spans="1:15" x14ac:dyDescent="0.3">
      <c r="A93" t="s">
        <v>7644</v>
      </c>
      <c r="B93" t="s">
        <v>7643</v>
      </c>
      <c r="C93" t="s">
        <v>60</v>
      </c>
      <c r="D93">
        <v>42</v>
      </c>
      <c r="E93" t="s">
        <v>80</v>
      </c>
      <c r="F93" t="s">
        <v>53</v>
      </c>
      <c r="G93" s="1">
        <v>46155</v>
      </c>
      <c r="H93" s="1">
        <v>46145</v>
      </c>
      <c r="I93" t="s">
        <v>7642</v>
      </c>
      <c r="J93" t="s">
        <v>7641</v>
      </c>
      <c r="L93">
        <v>17403.11</v>
      </c>
      <c r="M93" t="s">
        <v>63</v>
      </c>
      <c r="N93">
        <v>439</v>
      </c>
      <c r="O93" t="s">
        <v>16</v>
      </c>
    </row>
    <row r="94" spans="1:15" x14ac:dyDescent="0.3">
      <c r="A94" t="s">
        <v>7640</v>
      </c>
      <c r="B94" t="s">
        <v>7639</v>
      </c>
      <c r="C94" t="s">
        <v>40</v>
      </c>
      <c r="D94">
        <v>59</v>
      </c>
      <c r="E94" t="s">
        <v>80</v>
      </c>
      <c r="F94" t="s">
        <v>67</v>
      </c>
      <c r="G94" s="1">
        <v>45999</v>
      </c>
      <c r="H94" s="1">
        <v>45991</v>
      </c>
      <c r="I94" t="s">
        <v>7638</v>
      </c>
      <c r="J94" t="s">
        <v>7637</v>
      </c>
      <c r="K94" t="s">
        <v>57</v>
      </c>
      <c r="L94">
        <v>3074.86</v>
      </c>
      <c r="N94">
        <v>542</v>
      </c>
      <c r="O94" t="s">
        <v>34</v>
      </c>
    </row>
    <row r="95" spans="1:15" x14ac:dyDescent="0.3">
      <c r="A95" t="s">
        <v>7636</v>
      </c>
      <c r="B95" t="s">
        <v>7635</v>
      </c>
      <c r="C95" t="s">
        <v>40</v>
      </c>
      <c r="D95">
        <v>85</v>
      </c>
      <c r="E95" t="s">
        <v>68</v>
      </c>
      <c r="F95" t="s">
        <v>90</v>
      </c>
      <c r="G95" s="1">
        <v>46030</v>
      </c>
      <c r="H95" s="1">
        <v>46029</v>
      </c>
      <c r="I95" t="s">
        <v>7634</v>
      </c>
      <c r="J95" t="s">
        <v>7633</v>
      </c>
      <c r="K95" t="s">
        <v>17</v>
      </c>
      <c r="L95">
        <v>13057.3</v>
      </c>
      <c r="N95">
        <v>420</v>
      </c>
      <c r="O95" t="s">
        <v>16</v>
      </c>
    </row>
    <row r="96" spans="1:15" x14ac:dyDescent="0.3">
      <c r="A96" t="s">
        <v>7632</v>
      </c>
      <c r="B96" t="s">
        <v>7631</v>
      </c>
      <c r="C96" t="s">
        <v>40</v>
      </c>
      <c r="D96">
        <v>27</v>
      </c>
      <c r="E96" t="s">
        <v>132</v>
      </c>
      <c r="F96" t="s">
        <v>53</v>
      </c>
      <c r="G96" s="1">
        <v>46170</v>
      </c>
      <c r="H96" s="1">
        <v>46141</v>
      </c>
      <c r="I96" t="s">
        <v>7630</v>
      </c>
      <c r="J96" t="s">
        <v>7629</v>
      </c>
      <c r="K96" t="s">
        <v>26</v>
      </c>
      <c r="L96">
        <v>11065.28</v>
      </c>
      <c r="N96">
        <v>162</v>
      </c>
      <c r="O96" t="s">
        <v>77</v>
      </c>
    </row>
    <row r="97" spans="1:15" x14ac:dyDescent="0.3">
      <c r="A97" t="s">
        <v>7628</v>
      </c>
      <c r="B97" t="s">
        <v>7627</v>
      </c>
      <c r="C97" t="s">
        <v>1</v>
      </c>
      <c r="D97">
        <v>21</v>
      </c>
      <c r="E97" t="s">
        <v>132</v>
      </c>
      <c r="F97" t="s">
        <v>46</v>
      </c>
      <c r="G97" s="1">
        <v>46124</v>
      </c>
      <c r="H97" s="1">
        <v>46107</v>
      </c>
      <c r="I97" t="s">
        <v>7626</v>
      </c>
      <c r="J97" t="s">
        <v>7625</v>
      </c>
      <c r="L97">
        <v>2511.59</v>
      </c>
      <c r="M97" t="s">
        <v>64</v>
      </c>
      <c r="N97">
        <v>336</v>
      </c>
      <c r="O97" t="s">
        <v>77</v>
      </c>
    </row>
    <row r="98" spans="1:15" x14ac:dyDescent="0.3">
      <c r="A98" t="s">
        <v>7624</v>
      </c>
      <c r="B98" t="s">
        <v>7623</v>
      </c>
      <c r="C98" t="s">
        <v>0</v>
      </c>
      <c r="D98">
        <v>64</v>
      </c>
      <c r="E98" t="s">
        <v>132</v>
      </c>
      <c r="F98" t="s">
        <v>30</v>
      </c>
      <c r="G98" s="1">
        <v>46011</v>
      </c>
      <c r="H98" s="1">
        <v>45998</v>
      </c>
      <c r="I98" t="s">
        <v>7622</v>
      </c>
      <c r="J98" t="s">
        <v>7621</v>
      </c>
      <c r="L98">
        <v>24510.07</v>
      </c>
      <c r="M98" t="s">
        <v>57</v>
      </c>
      <c r="N98">
        <v>333</v>
      </c>
      <c r="O98" t="s">
        <v>34</v>
      </c>
    </row>
    <row r="99" spans="1:15" x14ac:dyDescent="0.3">
      <c r="A99" t="s">
        <v>7620</v>
      </c>
      <c r="B99" t="s">
        <v>7619</v>
      </c>
      <c r="C99" t="s">
        <v>0</v>
      </c>
      <c r="D99">
        <v>50</v>
      </c>
      <c r="E99" t="s">
        <v>21</v>
      </c>
      <c r="F99" t="s">
        <v>53</v>
      </c>
      <c r="G99" s="1">
        <v>46019</v>
      </c>
      <c r="H99" s="1">
        <v>45992</v>
      </c>
      <c r="I99" t="s">
        <v>7618</v>
      </c>
      <c r="J99" t="s">
        <v>7617</v>
      </c>
      <c r="K99" t="s">
        <v>64</v>
      </c>
      <c r="L99">
        <v>7050.94</v>
      </c>
      <c r="N99">
        <v>274</v>
      </c>
      <c r="O99" t="s">
        <v>50</v>
      </c>
    </row>
    <row r="100" spans="1:15" x14ac:dyDescent="0.3">
      <c r="A100" t="s">
        <v>7616</v>
      </c>
      <c r="B100" t="s">
        <v>7615</v>
      </c>
      <c r="C100" t="s">
        <v>22</v>
      </c>
      <c r="D100">
        <v>1</v>
      </c>
      <c r="E100" t="s">
        <v>132</v>
      </c>
      <c r="F100" t="s">
        <v>30</v>
      </c>
      <c r="G100" s="1">
        <v>46030</v>
      </c>
      <c r="H100" s="1">
        <v>46004</v>
      </c>
      <c r="I100" t="s">
        <v>7614</v>
      </c>
      <c r="J100" t="s">
        <v>7613</v>
      </c>
      <c r="L100">
        <v>21658.46</v>
      </c>
      <c r="N100">
        <v>375</v>
      </c>
      <c r="O100" t="s">
        <v>16</v>
      </c>
    </row>
    <row r="101" spans="1:15" x14ac:dyDescent="0.3">
      <c r="A101" t="s">
        <v>7612</v>
      </c>
      <c r="B101" t="s">
        <v>7611</v>
      </c>
      <c r="C101" t="s">
        <v>60</v>
      </c>
      <c r="D101">
        <v>43</v>
      </c>
      <c r="E101" t="s">
        <v>54</v>
      </c>
      <c r="F101" t="s">
        <v>85</v>
      </c>
      <c r="G101" s="1">
        <v>46169</v>
      </c>
      <c r="H101" s="1">
        <v>46140</v>
      </c>
      <c r="I101" t="s">
        <v>7610</v>
      </c>
      <c r="J101" t="s">
        <v>7609</v>
      </c>
      <c r="K101" t="s">
        <v>57</v>
      </c>
      <c r="L101">
        <v>21766.12</v>
      </c>
      <c r="M101" t="s">
        <v>57</v>
      </c>
      <c r="N101">
        <v>392</v>
      </c>
      <c r="O101" t="s">
        <v>16</v>
      </c>
    </row>
    <row r="102" spans="1:15" x14ac:dyDescent="0.3">
      <c r="A102" t="s">
        <v>7608</v>
      </c>
      <c r="B102" t="s">
        <v>7607</v>
      </c>
      <c r="C102" t="s">
        <v>1</v>
      </c>
      <c r="D102">
        <v>53</v>
      </c>
      <c r="E102" t="s">
        <v>47</v>
      </c>
      <c r="F102" t="s">
        <v>67</v>
      </c>
      <c r="G102" s="1">
        <v>46128</v>
      </c>
      <c r="H102" s="1">
        <v>46105</v>
      </c>
      <c r="I102" t="s">
        <v>7606</v>
      </c>
      <c r="J102" t="s">
        <v>7605</v>
      </c>
      <c r="L102">
        <v>17689.650000000001</v>
      </c>
      <c r="N102">
        <v>297</v>
      </c>
      <c r="O102" t="s">
        <v>25</v>
      </c>
    </row>
    <row r="103" spans="1:15" x14ac:dyDescent="0.3">
      <c r="A103" t="s">
        <v>7604</v>
      </c>
      <c r="B103" t="s">
        <v>7603</v>
      </c>
      <c r="C103" t="s">
        <v>0</v>
      </c>
      <c r="D103">
        <v>64</v>
      </c>
      <c r="E103" t="s">
        <v>47</v>
      </c>
      <c r="F103" t="s">
        <v>53</v>
      </c>
      <c r="G103" s="1">
        <v>46151</v>
      </c>
      <c r="H103" s="1">
        <v>46135</v>
      </c>
      <c r="I103" t="s">
        <v>7602</v>
      </c>
      <c r="J103" t="s">
        <v>7601</v>
      </c>
      <c r="K103" t="s">
        <v>57</v>
      </c>
      <c r="L103">
        <v>21768.57</v>
      </c>
      <c r="N103">
        <v>151</v>
      </c>
      <c r="O103" t="s">
        <v>34</v>
      </c>
    </row>
    <row r="104" spans="1:15" x14ac:dyDescent="0.3">
      <c r="A104" t="s">
        <v>7600</v>
      </c>
      <c r="B104" t="s">
        <v>7599</v>
      </c>
      <c r="D104">
        <v>2</v>
      </c>
      <c r="E104" t="s">
        <v>39</v>
      </c>
      <c r="F104" t="s">
        <v>90</v>
      </c>
      <c r="G104" s="1">
        <v>46020</v>
      </c>
      <c r="H104" s="1">
        <v>45993</v>
      </c>
      <c r="I104" t="s">
        <v>7598</v>
      </c>
      <c r="J104" t="s">
        <v>7597</v>
      </c>
      <c r="K104" t="s">
        <v>35</v>
      </c>
      <c r="L104">
        <v>2055.7399999999998</v>
      </c>
      <c r="M104" t="s">
        <v>63</v>
      </c>
      <c r="N104">
        <v>273</v>
      </c>
      <c r="O104" t="s">
        <v>34</v>
      </c>
    </row>
    <row r="105" spans="1:15" x14ac:dyDescent="0.3">
      <c r="A105" t="s">
        <v>7596</v>
      </c>
      <c r="B105" t="s">
        <v>7595</v>
      </c>
      <c r="C105" t="s">
        <v>123</v>
      </c>
      <c r="D105">
        <v>84</v>
      </c>
      <c r="E105" t="s">
        <v>80</v>
      </c>
      <c r="F105" t="s">
        <v>67</v>
      </c>
      <c r="G105" s="1">
        <v>46139</v>
      </c>
      <c r="H105" s="1">
        <v>46112</v>
      </c>
      <c r="I105" t="s">
        <v>7594</v>
      </c>
      <c r="J105" t="s">
        <v>7593</v>
      </c>
      <c r="L105">
        <v>23862.66</v>
      </c>
      <c r="N105">
        <v>546</v>
      </c>
      <c r="O105" t="s">
        <v>34</v>
      </c>
    </row>
    <row r="106" spans="1:15" x14ac:dyDescent="0.3">
      <c r="A106" t="s">
        <v>7592</v>
      </c>
      <c r="B106" t="s">
        <v>7591</v>
      </c>
      <c r="C106" t="s">
        <v>40</v>
      </c>
      <c r="D106">
        <v>80</v>
      </c>
      <c r="E106" t="s">
        <v>80</v>
      </c>
      <c r="F106" t="s">
        <v>38</v>
      </c>
      <c r="G106" s="1">
        <v>46145</v>
      </c>
      <c r="H106" s="1">
        <v>46125</v>
      </c>
      <c r="I106" t="s">
        <v>7590</v>
      </c>
      <c r="J106" t="s">
        <v>7589</v>
      </c>
      <c r="K106" t="s">
        <v>26</v>
      </c>
      <c r="L106">
        <v>24936.16</v>
      </c>
      <c r="M106" t="s">
        <v>64</v>
      </c>
      <c r="N106">
        <v>322</v>
      </c>
      <c r="O106" t="s">
        <v>77</v>
      </c>
    </row>
    <row r="107" spans="1:15" x14ac:dyDescent="0.3">
      <c r="A107" t="s">
        <v>7588</v>
      </c>
      <c r="B107" t="s">
        <v>7587</v>
      </c>
      <c r="C107" t="s">
        <v>74</v>
      </c>
      <c r="D107">
        <v>57</v>
      </c>
      <c r="E107" t="s">
        <v>39</v>
      </c>
      <c r="F107" t="s">
        <v>30</v>
      </c>
      <c r="G107" s="1">
        <v>46014</v>
      </c>
      <c r="H107" s="1">
        <v>45986</v>
      </c>
      <c r="I107" t="s">
        <v>7586</v>
      </c>
      <c r="J107" t="s">
        <v>7585</v>
      </c>
      <c r="K107" t="s">
        <v>27</v>
      </c>
      <c r="L107">
        <v>1340.58</v>
      </c>
      <c r="M107" t="s">
        <v>27</v>
      </c>
      <c r="N107">
        <v>250</v>
      </c>
      <c r="O107" t="s">
        <v>43</v>
      </c>
    </row>
    <row r="108" spans="1:15" x14ac:dyDescent="0.3">
      <c r="A108" t="s">
        <v>7584</v>
      </c>
      <c r="B108" t="s">
        <v>7583</v>
      </c>
      <c r="C108" t="s">
        <v>60</v>
      </c>
      <c r="D108">
        <v>56</v>
      </c>
      <c r="E108" t="s">
        <v>39</v>
      </c>
      <c r="F108" t="s">
        <v>38</v>
      </c>
      <c r="G108" s="1">
        <v>46163</v>
      </c>
      <c r="H108" s="1">
        <v>46147</v>
      </c>
      <c r="I108" t="s">
        <v>7582</v>
      </c>
      <c r="J108" t="s">
        <v>7581</v>
      </c>
      <c r="L108">
        <v>14235.02</v>
      </c>
      <c r="M108" t="s">
        <v>26</v>
      </c>
      <c r="N108">
        <v>187</v>
      </c>
      <c r="O108" t="s">
        <v>71</v>
      </c>
    </row>
    <row r="109" spans="1:15" x14ac:dyDescent="0.3">
      <c r="A109" t="s">
        <v>7580</v>
      </c>
      <c r="B109" t="s">
        <v>7579</v>
      </c>
      <c r="C109" t="s">
        <v>74</v>
      </c>
      <c r="D109">
        <v>79</v>
      </c>
      <c r="E109" t="s">
        <v>54</v>
      </c>
      <c r="F109" t="s">
        <v>38</v>
      </c>
      <c r="G109" s="1">
        <v>46145</v>
      </c>
      <c r="H109" s="1">
        <v>46130</v>
      </c>
      <c r="I109" t="s">
        <v>7578</v>
      </c>
      <c r="J109" t="s">
        <v>7577</v>
      </c>
      <c r="K109" t="s">
        <v>35</v>
      </c>
      <c r="L109">
        <v>5958.27</v>
      </c>
      <c r="M109" t="s">
        <v>63</v>
      </c>
      <c r="N109">
        <v>335</v>
      </c>
      <c r="O109" t="s">
        <v>43</v>
      </c>
    </row>
    <row r="110" spans="1:15" x14ac:dyDescent="0.3">
      <c r="A110" t="s">
        <v>7576</v>
      </c>
      <c r="B110" t="s">
        <v>7575</v>
      </c>
      <c r="C110" t="s">
        <v>40</v>
      </c>
      <c r="D110">
        <v>60</v>
      </c>
      <c r="E110" t="s">
        <v>132</v>
      </c>
      <c r="F110" t="s">
        <v>53</v>
      </c>
      <c r="G110" s="1">
        <v>46069</v>
      </c>
      <c r="H110" s="1">
        <v>46067</v>
      </c>
      <c r="I110" t="s">
        <v>7574</v>
      </c>
      <c r="J110" t="s">
        <v>7573</v>
      </c>
      <c r="L110">
        <v>23641.84</v>
      </c>
      <c r="M110" t="s">
        <v>63</v>
      </c>
      <c r="N110">
        <v>427</v>
      </c>
      <c r="O110" t="s">
        <v>16</v>
      </c>
    </row>
    <row r="111" spans="1:15" x14ac:dyDescent="0.3">
      <c r="A111" t="s">
        <v>7572</v>
      </c>
      <c r="B111" t="s">
        <v>7571</v>
      </c>
      <c r="C111" t="s">
        <v>22</v>
      </c>
      <c r="D111">
        <v>59</v>
      </c>
      <c r="E111" t="s">
        <v>132</v>
      </c>
      <c r="F111" t="s">
        <v>38</v>
      </c>
      <c r="G111" s="1">
        <v>46157</v>
      </c>
      <c r="H111" s="1">
        <v>46145</v>
      </c>
      <c r="I111" t="s">
        <v>7570</v>
      </c>
      <c r="J111" t="s">
        <v>7569</v>
      </c>
      <c r="L111">
        <v>2845</v>
      </c>
      <c r="N111">
        <v>392</v>
      </c>
      <c r="O111" t="s">
        <v>43</v>
      </c>
    </row>
    <row r="112" spans="1:15" x14ac:dyDescent="0.3">
      <c r="A112" t="s">
        <v>7568</v>
      </c>
      <c r="B112" t="s">
        <v>7567</v>
      </c>
      <c r="C112" t="s">
        <v>22</v>
      </c>
      <c r="D112">
        <v>90</v>
      </c>
      <c r="E112" t="s">
        <v>132</v>
      </c>
      <c r="F112" t="s">
        <v>46</v>
      </c>
      <c r="G112" s="1">
        <v>46134</v>
      </c>
      <c r="H112" s="1">
        <v>46108</v>
      </c>
      <c r="I112" t="s">
        <v>7566</v>
      </c>
      <c r="J112" t="s">
        <v>7565</v>
      </c>
      <c r="L112">
        <v>7007.11</v>
      </c>
      <c r="M112" t="s">
        <v>27</v>
      </c>
      <c r="N112">
        <v>410</v>
      </c>
      <c r="O112" t="s">
        <v>25</v>
      </c>
    </row>
    <row r="113" spans="1:15" x14ac:dyDescent="0.3">
      <c r="A113" t="s">
        <v>7564</v>
      </c>
      <c r="B113" t="s">
        <v>7563</v>
      </c>
      <c r="D113">
        <v>37</v>
      </c>
      <c r="E113" t="s">
        <v>21</v>
      </c>
      <c r="F113" t="s">
        <v>67</v>
      </c>
      <c r="G113" s="1">
        <v>45996</v>
      </c>
      <c r="H113" s="1">
        <v>45989</v>
      </c>
      <c r="I113" t="s">
        <v>7562</v>
      </c>
      <c r="J113" t="s">
        <v>7561</v>
      </c>
      <c r="K113" t="s">
        <v>17</v>
      </c>
      <c r="L113">
        <v>15598.1</v>
      </c>
      <c r="M113" t="s">
        <v>26</v>
      </c>
      <c r="N113">
        <v>421</v>
      </c>
      <c r="O113" t="s">
        <v>77</v>
      </c>
    </row>
    <row r="114" spans="1:15" x14ac:dyDescent="0.3">
      <c r="A114" t="s">
        <v>7560</v>
      </c>
      <c r="B114" t="s">
        <v>7559</v>
      </c>
      <c r="C114" t="s">
        <v>40</v>
      </c>
      <c r="D114">
        <v>40</v>
      </c>
      <c r="E114" t="s">
        <v>68</v>
      </c>
      <c r="F114" t="s">
        <v>46</v>
      </c>
      <c r="G114" s="1">
        <v>46066</v>
      </c>
      <c r="H114" s="1">
        <v>46048</v>
      </c>
      <c r="I114" t="s">
        <v>7558</v>
      </c>
      <c r="J114" t="s">
        <v>7557</v>
      </c>
      <c r="K114" t="s">
        <v>57</v>
      </c>
      <c r="L114">
        <v>18362.52</v>
      </c>
      <c r="M114" t="s">
        <v>64</v>
      </c>
      <c r="N114">
        <v>251</v>
      </c>
      <c r="O114" t="s">
        <v>43</v>
      </c>
    </row>
    <row r="115" spans="1:15" x14ac:dyDescent="0.3">
      <c r="A115" t="s">
        <v>7556</v>
      </c>
      <c r="B115" t="s">
        <v>7555</v>
      </c>
      <c r="C115" t="s">
        <v>123</v>
      </c>
      <c r="D115">
        <v>23</v>
      </c>
      <c r="E115" t="s">
        <v>21</v>
      </c>
      <c r="F115" t="s">
        <v>53</v>
      </c>
      <c r="G115" s="1">
        <v>46025</v>
      </c>
      <c r="H115" s="1">
        <v>46000</v>
      </c>
      <c r="I115" t="s">
        <v>7554</v>
      </c>
      <c r="J115" t="s">
        <v>7553</v>
      </c>
      <c r="K115" t="s">
        <v>57</v>
      </c>
      <c r="L115">
        <v>13365.14</v>
      </c>
      <c r="M115" t="s">
        <v>63</v>
      </c>
      <c r="N115">
        <v>525</v>
      </c>
      <c r="O115" t="s">
        <v>71</v>
      </c>
    </row>
    <row r="116" spans="1:15" x14ac:dyDescent="0.3">
      <c r="A116" t="s">
        <v>7552</v>
      </c>
      <c r="B116" t="s">
        <v>7551</v>
      </c>
      <c r="C116" t="s">
        <v>22</v>
      </c>
      <c r="D116">
        <v>62</v>
      </c>
      <c r="E116" t="s">
        <v>132</v>
      </c>
      <c r="F116" t="s">
        <v>67</v>
      </c>
      <c r="G116" s="1">
        <v>46107</v>
      </c>
      <c r="H116" s="1">
        <v>46082</v>
      </c>
      <c r="I116" t="s">
        <v>7550</v>
      </c>
      <c r="J116" t="s">
        <v>7549</v>
      </c>
      <c r="K116" t="s">
        <v>64</v>
      </c>
      <c r="L116">
        <v>11814.62</v>
      </c>
      <c r="M116" t="s">
        <v>64</v>
      </c>
      <c r="N116">
        <v>172</v>
      </c>
      <c r="O116" t="s">
        <v>50</v>
      </c>
    </row>
    <row r="117" spans="1:15" x14ac:dyDescent="0.3">
      <c r="A117" t="s">
        <v>7548</v>
      </c>
      <c r="B117" t="s">
        <v>7547</v>
      </c>
      <c r="C117" t="s">
        <v>1</v>
      </c>
      <c r="D117">
        <v>87</v>
      </c>
      <c r="E117" t="s">
        <v>54</v>
      </c>
      <c r="F117" t="s">
        <v>67</v>
      </c>
      <c r="G117" s="1">
        <v>46032</v>
      </c>
      <c r="H117" s="1">
        <v>46030</v>
      </c>
      <c r="I117" t="s">
        <v>7546</v>
      </c>
      <c r="J117" t="s">
        <v>7545</v>
      </c>
      <c r="L117">
        <v>545.17999999999995</v>
      </c>
      <c r="M117" t="s">
        <v>64</v>
      </c>
      <c r="N117">
        <v>332</v>
      </c>
      <c r="O117" t="s">
        <v>43</v>
      </c>
    </row>
    <row r="118" spans="1:15" x14ac:dyDescent="0.3">
      <c r="A118" t="s">
        <v>7544</v>
      </c>
      <c r="B118" t="s">
        <v>7543</v>
      </c>
      <c r="C118" t="s">
        <v>22</v>
      </c>
      <c r="D118">
        <v>75</v>
      </c>
      <c r="E118" t="s">
        <v>54</v>
      </c>
      <c r="F118" t="s">
        <v>67</v>
      </c>
      <c r="G118" s="1">
        <v>46119</v>
      </c>
      <c r="H118" s="1">
        <v>46116</v>
      </c>
      <c r="I118" t="s">
        <v>7542</v>
      </c>
      <c r="J118" t="s">
        <v>7541</v>
      </c>
      <c r="K118" t="s">
        <v>17</v>
      </c>
      <c r="L118">
        <v>11892.63</v>
      </c>
      <c r="M118" t="s">
        <v>17</v>
      </c>
      <c r="N118">
        <v>412</v>
      </c>
      <c r="O118" t="s">
        <v>71</v>
      </c>
    </row>
    <row r="119" spans="1:15" x14ac:dyDescent="0.3">
      <c r="A119" t="s">
        <v>7540</v>
      </c>
      <c r="B119" t="s">
        <v>7539</v>
      </c>
      <c r="C119" t="s">
        <v>74</v>
      </c>
      <c r="D119">
        <v>82</v>
      </c>
      <c r="E119" t="s">
        <v>68</v>
      </c>
      <c r="F119" t="s">
        <v>30</v>
      </c>
      <c r="G119" s="1">
        <v>46029</v>
      </c>
      <c r="H119" s="1">
        <v>46009</v>
      </c>
      <c r="I119" t="s">
        <v>7538</v>
      </c>
      <c r="J119" t="s">
        <v>7537</v>
      </c>
      <c r="L119">
        <v>3093.56</v>
      </c>
      <c r="M119" t="s">
        <v>27</v>
      </c>
      <c r="N119">
        <v>119</v>
      </c>
      <c r="O119" t="s">
        <v>43</v>
      </c>
    </row>
    <row r="120" spans="1:15" x14ac:dyDescent="0.3">
      <c r="A120" t="s">
        <v>7536</v>
      </c>
      <c r="B120" t="s">
        <v>7535</v>
      </c>
      <c r="D120">
        <v>15</v>
      </c>
      <c r="E120" t="s">
        <v>80</v>
      </c>
      <c r="F120" t="s">
        <v>38</v>
      </c>
      <c r="G120" s="1">
        <v>46158</v>
      </c>
      <c r="H120" s="1">
        <v>46130</v>
      </c>
      <c r="I120" t="s">
        <v>7534</v>
      </c>
      <c r="J120" t="s">
        <v>7533</v>
      </c>
      <c r="K120" t="s">
        <v>35</v>
      </c>
      <c r="L120">
        <v>9838.42</v>
      </c>
      <c r="M120" t="s">
        <v>17</v>
      </c>
      <c r="N120">
        <v>443</v>
      </c>
      <c r="O120" t="s">
        <v>25</v>
      </c>
    </row>
    <row r="121" spans="1:15" x14ac:dyDescent="0.3">
      <c r="A121" t="s">
        <v>7532</v>
      </c>
      <c r="B121" t="s">
        <v>7531</v>
      </c>
      <c r="C121" t="s">
        <v>123</v>
      </c>
      <c r="D121">
        <v>76</v>
      </c>
      <c r="E121" t="s">
        <v>39</v>
      </c>
      <c r="F121" t="s">
        <v>90</v>
      </c>
      <c r="G121" s="1">
        <v>46140</v>
      </c>
      <c r="H121" s="1">
        <v>46120</v>
      </c>
      <c r="I121" t="s">
        <v>7530</v>
      </c>
      <c r="J121" t="s">
        <v>7529</v>
      </c>
      <c r="K121" t="s">
        <v>64</v>
      </c>
      <c r="L121">
        <v>20875.59</v>
      </c>
      <c r="N121">
        <v>243</v>
      </c>
      <c r="O121" t="s">
        <v>77</v>
      </c>
    </row>
    <row r="122" spans="1:15" x14ac:dyDescent="0.3">
      <c r="A122" t="s">
        <v>7528</v>
      </c>
      <c r="B122" t="s">
        <v>7527</v>
      </c>
      <c r="C122" t="s">
        <v>60</v>
      </c>
      <c r="D122">
        <v>28</v>
      </c>
      <c r="E122" t="s">
        <v>68</v>
      </c>
      <c r="F122" t="s">
        <v>85</v>
      </c>
      <c r="G122" s="1">
        <v>46177</v>
      </c>
      <c r="H122" s="1">
        <v>46147</v>
      </c>
      <c r="I122" t="s">
        <v>7526</v>
      </c>
      <c r="J122" t="s">
        <v>7525</v>
      </c>
      <c r="K122" t="s">
        <v>17</v>
      </c>
      <c r="L122">
        <v>21415.16</v>
      </c>
      <c r="M122" t="s">
        <v>64</v>
      </c>
      <c r="N122">
        <v>451</v>
      </c>
      <c r="O122" t="s">
        <v>43</v>
      </c>
    </row>
    <row r="123" spans="1:15" x14ac:dyDescent="0.3">
      <c r="A123" t="s">
        <v>7524</v>
      </c>
      <c r="B123" t="s">
        <v>7523</v>
      </c>
      <c r="C123" t="s">
        <v>60</v>
      </c>
      <c r="D123">
        <v>8</v>
      </c>
      <c r="E123" t="s">
        <v>54</v>
      </c>
      <c r="F123" t="s">
        <v>30</v>
      </c>
      <c r="G123" s="1">
        <v>46060</v>
      </c>
      <c r="H123" s="1">
        <v>46054</v>
      </c>
      <c r="I123" t="s">
        <v>7522</v>
      </c>
      <c r="J123" t="s">
        <v>7521</v>
      </c>
      <c r="K123" t="s">
        <v>64</v>
      </c>
      <c r="L123">
        <v>23735.47</v>
      </c>
      <c r="N123">
        <v>146</v>
      </c>
      <c r="O123" t="s">
        <v>25</v>
      </c>
    </row>
    <row r="124" spans="1:15" x14ac:dyDescent="0.3">
      <c r="A124" t="s">
        <v>7520</v>
      </c>
      <c r="B124" t="s">
        <v>7519</v>
      </c>
      <c r="C124" t="s">
        <v>1</v>
      </c>
      <c r="D124">
        <v>83</v>
      </c>
      <c r="E124" t="s">
        <v>47</v>
      </c>
      <c r="F124" t="s">
        <v>46</v>
      </c>
      <c r="G124" s="1">
        <v>46115</v>
      </c>
      <c r="H124" s="1">
        <v>46090</v>
      </c>
      <c r="I124" t="s">
        <v>7518</v>
      </c>
      <c r="J124" t="s">
        <v>7517</v>
      </c>
      <c r="K124" t="s">
        <v>57</v>
      </c>
      <c r="L124">
        <v>6240.51</v>
      </c>
      <c r="M124" t="s">
        <v>26</v>
      </c>
      <c r="N124">
        <v>502</v>
      </c>
      <c r="O124" t="s">
        <v>34</v>
      </c>
    </row>
    <row r="125" spans="1:15" x14ac:dyDescent="0.3">
      <c r="A125" t="s">
        <v>7516</v>
      </c>
      <c r="B125" t="s">
        <v>7515</v>
      </c>
      <c r="C125" t="s">
        <v>1</v>
      </c>
      <c r="D125">
        <v>9</v>
      </c>
      <c r="E125" t="s">
        <v>1326</v>
      </c>
      <c r="F125" t="s">
        <v>38</v>
      </c>
      <c r="G125" s="1">
        <v>46157</v>
      </c>
      <c r="H125" s="1">
        <v>46131</v>
      </c>
      <c r="I125" t="s">
        <v>7514</v>
      </c>
      <c r="J125" t="s">
        <v>7513</v>
      </c>
      <c r="K125" t="s">
        <v>17</v>
      </c>
      <c r="L125">
        <v>8348.2800000000007</v>
      </c>
      <c r="M125" t="s">
        <v>26</v>
      </c>
      <c r="N125">
        <v>503</v>
      </c>
      <c r="O125" t="s">
        <v>34</v>
      </c>
    </row>
    <row r="126" spans="1:15" x14ac:dyDescent="0.3">
      <c r="A126" t="s">
        <v>7512</v>
      </c>
      <c r="B126" t="s">
        <v>7511</v>
      </c>
      <c r="C126" t="s">
        <v>40</v>
      </c>
      <c r="D126">
        <v>36</v>
      </c>
      <c r="E126" t="s">
        <v>39</v>
      </c>
      <c r="F126" t="s">
        <v>53</v>
      </c>
      <c r="G126" s="1">
        <v>46012</v>
      </c>
      <c r="H126" s="1">
        <v>45995</v>
      </c>
      <c r="I126" t="s">
        <v>7510</v>
      </c>
      <c r="J126" t="s">
        <v>7509</v>
      </c>
      <c r="K126" t="s">
        <v>26</v>
      </c>
      <c r="L126">
        <v>20003.14</v>
      </c>
      <c r="M126" t="s">
        <v>64</v>
      </c>
      <c r="N126">
        <v>438</v>
      </c>
      <c r="O126" t="s">
        <v>50</v>
      </c>
    </row>
    <row r="127" spans="1:15" x14ac:dyDescent="0.3">
      <c r="A127" t="s">
        <v>7508</v>
      </c>
      <c r="B127" t="s">
        <v>7507</v>
      </c>
      <c r="C127" t="s">
        <v>40</v>
      </c>
      <c r="D127">
        <v>17</v>
      </c>
      <c r="E127" t="s">
        <v>47</v>
      </c>
      <c r="F127" t="s">
        <v>67</v>
      </c>
      <c r="G127" s="1">
        <v>46015</v>
      </c>
      <c r="H127" s="1">
        <v>45990</v>
      </c>
      <c r="I127" t="s">
        <v>7506</v>
      </c>
      <c r="J127" t="s">
        <v>7505</v>
      </c>
      <c r="K127" t="s">
        <v>17</v>
      </c>
      <c r="L127">
        <v>14803.55</v>
      </c>
      <c r="M127" t="s">
        <v>27</v>
      </c>
      <c r="N127">
        <v>189</v>
      </c>
      <c r="O127" t="s">
        <v>43</v>
      </c>
    </row>
    <row r="128" spans="1:15" x14ac:dyDescent="0.3">
      <c r="A128" t="s">
        <v>7504</v>
      </c>
      <c r="B128" t="s">
        <v>7503</v>
      </c>
      <c r="C128" t="s">
        <v>40</v>
      </c>
      <c r="D128">
        <v>17</v>
      </c>
      <c r="E128" t="s">
        <v>54</v>
      </c>
      <c r="F128" t="s">
        <v>20</v>
      </c>
      <c r="G128" s="1">
        <v>46170</v>
      </c>
      <c r="H128" s="1">
        <v>46147</v>
      </c>
      <c r="I128" t="s">
        <v>7502</v>
      </c>
      <c r="J128" t="s">
        <v>7501</v>
      </c>
      <c r="K128" t="s">
        <v>64</v>
      </c>
      <c r="L128">
        <v>12010.9</v>
      </c>
      <c r="M128" t="s">
        <v>17</v>
      </c>
      <c r="N128">
        <v>362</v>
      </c>
      <c r="O128" t="s">
        <v>34</v>
      </c>
    </row>
    <row r="129" spans="1:15" x14ac:dyDescent="0.3">
      <c r="A129" t="s">
        <v>7500</v>
      </c>
      <c r="B129" t="s">
        <v>7499</v>
      </c>
      <c r="C129" t="s">
        <v>74</v>
      </c>
      <c r="D129">
        <v>58</v>
      </c>
      <c r="E129" t="s">
        <v>21</v>
      </c>
      <c r="F129" t="s">
        <v>46</v>
      </c>
      <c r="G129" s="1">
        <v>46160</v>
      </c>
      <c r="H129" s="1">
        <v>46137</v>
      </c>
      <c r="I129" t="s">
        <v>7498</v>
      </c>
      <c r="J129" t="s">
        <v>7497</v>
      </c>
      <c r="K129" t="s">
        <v>26</v>
      </c>
      <c r="L129">
        <v>11559.45</v>
      </c>
      <c r="M129" t="s">
        <v>27</v>
      </c>
      <c r="N129">
        <v>131</v>
      </c>
      <c r="O129" t="s">
        <v>16</v>
      </c>
    </row>
    <row r="130" spans="1:15" x14ac:dyDescent="0.3">
      <c r="A130" t="s">
        <v>7496</v>
      </c>
      <c r="B130" t="s">
        <v>7495</v>
      </c>
      <c r="C130" t="s">
        <v>123</v>
      </c>
      <c r="D130">
        <v>55</v>
      </c>
      <c r="E130" t="s">
        <v>80</v>
      </c>
      <c r="F130" t="s">
        <v>85</v>
      </c>
      <c r="G130" s="1">
        <v>46145</v>
      </c>
      <c r="H130" s="1">
        <v>46123</v>
      </c>
      <c r="I130" t="s">
        <v>7494</v>
      </c>
      <c r="J130" t="s">
        <v>7493</v>
      </c>
      <c r="L130">
        <v>2022.57</v>
      </c>
      <c r="M130" t="s">
        <v>64</v>
      </c>
      <c r="N130">
        <v>264</v>
      </c>
      <c r="O130" t="s">
        <v>34</v>
      </c>
    </row>
    <row r="131" spans="1:15" x14ac:dyDescent="0.3">
      <c r="A131" t="s">
        <v>7492</v>
      </c>
      <c r="B131" t="s">
        <v>7491</v>
      </c>
      <c r="C131" t="s">
        <v>0</v>
      </c>
      <c r="D131">
        <v>9</v>
      </c>
      <c r="E131" t="s">
        <v>39</v>
      </c>
      <c r="F131" t="s">
        <v>30</v>
      </c>
      <c r="G131" s="1">
        <v>46133</v>
      </c>
      <c r="H131" s="1">
        <v>46114</v>
      </c>
      <c r="I131" t="s">
        <v>7490</v>
      </c>
      <c r="J131" t="s">
        <v>7489</v>
      </c>
      <c r="K131" t="s">
        <v>57</v>
      </c>
      <c r="L131">
        <v>9646.43</v>
      </c>
      <c r="M131" t="s">
        <v>63</v>
      </c>
      <c r="N131">
        <v>332</v>
      </c>
      <c r="O131" t="s">
        <v>34</v>
      </c>
    </row>
    <row r="132" spans="1:15" x14ac:dyDescent="0.3">
      <c r="A132" t="s">
        <v>7488</v>
      </c>
      <c r="B132" t="s">
        <v>7487</v>
      </c>
      <c r="C132" t="s">
        <v>123</v>
      </c>
      <c r="D132">
        <v>13</v>
      </c>
      <c r="E132" t="s">
        <v>80</v>
      </c>
      <c r="F132" t="s">
        <v>38</v>
      </c>
      <c r="G132" s="1">
        <v>46040</v>
      </c>
      <c r="H132" s="1">
        <v>46027</v>
      </c>
      <c r="I132" t="s">
        <v>7486</v>
      </c>
      <c r="J132" t="s">
        <v>7485</v>
      </c>
      <c r="L132">
        <v>22224.66</v>
      </c>
      <c r="N132">
        <v>273</v>
      </c>
      <c r="O132" t="s">
        <v>50</v>
      </c>
    </row>
    <row r="133" spans="1:15" x14ac:dyDescent="0.3">
      <c r="A133" t="s">
        <v>7484</v>
      </c>
      <c r="B133" t="s">
        <v>7483</v>
      </c>
      <c r="D133">
        <v>52</v>
      </c>
      <c r="E133" t="s">
        <v>54</v>
      </c>
      <c r="F133" t="s">
        <v>20</v>
      </c>
      <c r="G133" s="1">
        <v>46039</v>
      </c>
      <c r="H133" s="1">
        <v>46029</v>
      </c>
      <c r="I133" t="s">
        <v>7482</v>
      </c>
      <c r="J133" t="s">
        <v>7481</v>
      </c>
      <c r="L133">
        <v>7950.58</v>
      </c>
      <c r="M133" t="s">
        <v>63</v>
      </c>
      <c r="N133">
        <v>291</v>
      </c>
      <c r="O133" t="s">
        <v>71</v>
      </c>
    </row>
    <row r="134" spans="1:15" x14ac:dyDescent="0.3">
      <c r="A134" t="s">
        <v>7480</v>
      </c>
      <c r="B134" t="s">
        <v>7479</v>
      </c>
      <c r="D134">
        <v>9</v>
      </c>
      <c r="E134" t="s">
        <v>80</v>
      </c>
      <c r="F134" t="s">
        <v>20</v>
      </c>
      <c r="G134" s="1">
        <v>46069</v>
      </c>
      <c r="H134" s="1">
        <v>46067</v>
      </c>
      <c r="I134" t="s">
        <v>7478</v>
      </c>
      <c r="J134" t="s">
        <v>7477</v>
      </c>
      <c r="L134">
        <v>2594.8000000000002</v>
      </c>
      <c r="M134" t="s">
        <v>17</v>
      </c>
      <c r="N134">
        <v>515</v>
      </c>
      <c r="O134" t="s">
        <v>71</v>
      </c>
    </row>
    <row r="135" spans="1:15" x14ac:dyDescent="0.3">
      <c r="A135" t="s">
        <v>7476</v>
      </c>
      <c r="B135" t="s">
        <v>7475</v>
      </c>
      <c r="C135" t="s">
        <v>40</v>
      </c>
      <c r="D135">
        <v>76</v>
      </c>
      <c r="E135" t="s">
        <v>31</v>
      </c>
      <c r="F135" t="s">
        <v>20</v>
      </c>
      <c r="G135" s="1">
        <v>46038</v>
      </c>
      <c r="H135" s="1">
        <v>46043</v>
      </c>
      <c r="I135" t="s">
        <v>7474</v>
      </c>
      <c r="J135" t="s">
        <v>7473</v>
      </c>
      <c r="K135" t="s">
        <v>57</v>
      </c>
      <c r="L135">
        <v>21865.46</v>
      </c>
      <c r="N135">
        <v>544</v>
      </c>
      <c r="O135" t="s">
        <v>25</v>
      </c>
    </row>
    <row r="136" spans="1:15" x14ac:dyDescent="0.3">
      <c r="A136" t="s">
        <v>7472</v>
      </c>
      <c r="B136" t="s">
        <v>7471</v>
      </c>
      <c r="C136" t="s">
        <v>40</v>
      </c>
      <c r="D136">
        <v>37</v>
      </c>
      <c r="E136" t="s">
        <v>132</v>
      </c>
      <c r="F136" t="s">
        <v>67</v>
      </c>
      <c r="G136" s="1">
        <v>46130</v>
      </c>
      <c r="H136" s="1">
        <v>46127</v>
      </c>
      <c r="I136" t="s">
        <v>7470</v>
      </c>
      <c r="J136" t="s">
        <v>7469</v>
      </c>
      <c r="K136" t="s">
        <v>17</v>
      </c>
      <c r="L136">
        <v>4037.31</v>
      </c>
      <c r="N136">
        <v>214</v>
      </c>
      <c r="O136" t="s">
        <v>50</v>
      </c>
    </row>
    <row r="137" spans="1:15" x14ac:dyDescent="0.3">
      <c r="A137" t="s">
        <v>7468</v>
      </c>
      <c r="B137" t="s">
        <v>7467</v>
      </c>
      <c r="C137" t="s">
        <v>74</v>
      </c>
      <c r="D137">
        <v>45</v>
      </c>
      <c r="E137" t="s">
        <v>31</v>
      </c>
      <c r="F137" t="s">
        <v>20</v>
      </c>
      <c r="G137" s="1">
        <v>46157</v>
      </c>
      <c r="H137" s="1">
        <v>46133</v>
      </c>
      <c r="I137" t="s">
        <v>7466</v>
      </c>
      <c r="J137" t="s">
        <v>7465</v>
      </c>
      <c r="K137" t="s">
        <v>26</v>
      </c>
      <c r="L137">
        <v>14437.68</v>
      </c>
      <c r="N137">
        <v>532</v>
      </c>
      <c r="O137" t="s">
        <v>34</v>
      </c>
    </row>
    <row r="138" spans="1:15" x14ac:dyDescent="0.3">
      <c r="A138" t="s">
        <v>7464</v>
      </c>
      <c r="B138" t="s">
        <v>7463</v>
      </c>
      <c r="C138" t="s">
        <v>40</v>
      </c>
      <c r="D138">
        <v>78</v>
      </c>
      <c r="E138" t="s">
        <v>132</v>
      </c>
      <c r="F138" t="s">
        <v>46</v>
      </c>
      <c r="G138" s="1">
        <v>46020</v>
      </c>
      <c r="H138" s="1">
        <v>46015</v>
      </c>
      <c r="I138" t="s">
        <v>7462</v>
      </c>
      <c r="J138" t="s">
        <v>7461</v>
      </c>
      <c r="K138" t="s">
        <v>26</v>
      </c>
      <c r="L138">
        <v>17626.93</v>
      </c>
      <c r="M138" t="s">
        <v>63</v>
      </c>
      <c r="N138">
        <v>273</v>
      </c>
      <c r="O138" t="s">
        <v>43</v>
      </c>
    </row>
    <row r="139" spans="1:15" x14ac:dyDescent="0.3">
      <c r="A139" t="s">
        <v>7460</v>
      </c>
      <c r="B139" t="s">
        <v>7459</v>
      </c>
      <c r="C139" t="s">
        <v>40</v>
      </c>
      <c r="D139">
        <v>24</v>
      </c>
      <c r="E139" t="s">
        <v>39</v>
      </c>
      <c r="F139" t="s">
        <v>90</v>
      </c>
      <c r="G139" s="1">
        <v>45997</v>
      </c>
      <c r="H139" s="1">
        <v>45995</v>
      </c>
      <c r="I139" t="s">
        <v>7458</v>
      </c>
      <c r="J139" t="s">
        <v>7457</v>
      </c>
      <c r="K139" t="s">
        <v>35</v>
      </c>
      <c r="L139">
        <v>18576.03</v>
      </c>
      <c r="M139" t="s">
        <v>27</v>
      </c>
      <c r="N139">
        <v>146</v>
      </c>
      <c r="O139" t="s">
        <v>25</v>
      </c>
    </row>
    <row r="140" spans="1:15" x14ac:dyDescent="0.3">
      <c r="A140" t="s">
        <v>7456</v>
      </c>
      <c r="B140" t="s">
        <v>7455</v>
      </c>
      <c r="C140" t="s">
        <v>1</v>
      </c>
      <c r="D140">
        <v>49</v>
      </c>
      <c r="E140" t="s">
        <v>54</v>
      </c>
      <c r="F140" t="s">
        <v>85</v>
      </c>
      <c r="G140" s="1">
        <v>45996</v>
      </c>
      <c r="H140" s="1">
        <v>45986</v>
      </c>
      <c r="I140" t="s">
        <v>7454</v>
      </c>
      <c r="J140" t="s">
        <v>7453</v>
      </c>
      <c r="K140" t="s">
        <v>35</v>
      </c>
      <c r="L140">
        <v>9377.32</v>
      </c>
      <c r="M140" t="s">
        <v>17</v>
      </c>
      <c r="N140">
        <v>497</v>
      </c>
      <c r="O140" t="s">
        <v>34</v>
      </c>
    </row>
    <row r="141" spans="1:15" x14ac:dyDescent="0.3">
      <c r="A141" t="s">
        <v>7452</v>
      </c>
      <c r="B141" t="s">
        <v>7451</v>
      </c>
      <c r="C141" t="s">
        <v>74</v>
      </c>
      <c r="D141">
        <v>7</v>
      </c>
      <c r="E141" t="s">
        <v>39</v>
      </c>
      <c r="F141" t="s">
        <v>53</v>
      </c>
      <c r="G141" s="1">
        <v>46094</v>
      </c>
      <c r="H141" s="1">
        <v>46070</v>
      </c>
      <c r="I141" t="s">
        <v>7450</v>
      </c>
      <c r="J141" t="s">
        <v>7449</v>
      </c>
      <c r="K141" t="s">
        <v>27</v>
      </c>
      <c r="L141">
        <v>16914.419999999998</v>
      </c>
      <c r="M141" t="s">
        <v>63</v>
      </c>
      <c r="N141">
        <v>326</v>
      </c>
      <c r="O141" t="s">
        <v>25</v>
      </c>
    </row>
    <row r="142" spans="1:15" x14ac:dyDescent="0.3">
      <c r="A142" t="s">
        <v>7448</v>
      </c>
      <c r="B142" t="s">
        <v>7447</v>
      </c>
      <c r="C142" t="s">
        <v>123</v>
      </c>
      <c r="D142">
        <v>63</v>
      </c>
      <c r="E142" t="s">
        <v>68</v>
      </c>
      <c r="F142" t="s">
        <v>90</v>
      </c>
      <c r="G142" s="1">
        <v>46081</v>
      </c>
      <c r="H142" s="1">
        <v>46073</v>
      </c>
      <c r="I142" t="s">
        <v>7446</v>
      </c>
      <c r="J142" t="s">
        <v>7445</v>
      </c>
      <c r="K142" t="s">
        <v>17</v>
      </c>
      <c r="L142">
        <v>18922.59</v>
      </c>
      <c r="M142" t="s">
        <v>64</v>
      </c>
      <c r="N142">
        <v>276</v>
      </c>
      <c r="O142" t="s">
        <v>16</v>
      </c>
    </row>
    <row r="143" spans="1:15" x14ac:dyDescent="0.3">
      <c r="A143" t="s">
        <v>7444</v>
      </c>
      <c r="B143" t="s">
        <v>7443</v>
      </c>
      <c r="C143" t="s">
        <v>74</v>
      </c>
      <c r="D143">
        <v>37</v>
      </c>
      <c r="E143" t="s">
        <v>68</v>
      </c>
      <c r="F143" t="s">
        <v>30</v>
      </c>
      <c r="G143" s="1">
        <v>46121</v>
      </c>
      <c r="H143" s="1">
        <v>46120</v>
      </c>
      <c r="I143" t="s">
        <v>7442</v>
      </c>
      <c r="J143" t="s">
        <v>7441</v>
      </c>
      <c r="K143" t="s">
        <v>17</v>
      </c>
      <c r="L143">
        <v>10002.530000000001</v>
      </c>
      <c r="M143" t="s">
        <v>27</v>
      </c>
      <c r="N143">
        <v>103</v>
      </c>
      <c r="O143" t="s">
        <v>71</v>
      </c>
    </row>
    <row r="144" spans="1:15" x14ac:dyDescent="0.3">
      <c r="A144" t="s">
        <v>7440</v>
      </c>
      <c r="B144" t="s">
        <v>7439</v>
      </c>
      <c r="C144" t="s">
        <v>22</v>
      </c>
      <c r="D144">
        <v>28</v>
      </c>
      <c r="E144" t="s">
        <v>39</v>
      </c>
      <c r="F144" t="s">
        <v>30</v>
      </c>
      <c r="G144" s="1">
        <v>46089</v>
      </c>
      <c r="H144" s="1">
        <v>46080</v>
      </c>
      <c r="I144" t="s">
        <v>7438</v>
      </c>
      <c r="J144" t="s">
        <v>7437</v>
      </c>
      <c r="K144" t="s">
        <v>57</v>
      </c>
      <c r="L144">
        <v>3175.61</v>
      </c>
      <c r="N144">
        <v>482</v>
      </c>
      <c r="O144" t="s">
        <v>16</v>
      </c>
    </row>
    <row r="145" spans="1:15" x14ac:dyDescent="0.3">
      <c r="A145" t="s">
        <v>7436</v>
      </c>
      <c r="B145" t="s">
        <v>7435</v>
      </c>
      <c r="C145" t="s">
        <v>0</v>
      </c>
      <c r="D145">
        <v>-5</v>
      </c>
      <c r="E145" t="s">
        <v>54</v>
      </c>
      <c r="F145" t="s">
        <v>38</v>
      </c>
      <c r="G145" s="1">
        <v>46144</v>
      </c>
      <c r="H145" s="1">
        <v>46128</v>
      </c>
      <c r="I145" t="s">
        <v>7434</v>
      </c>
      <c r="J145" t="s">
        <v>7433</v>
      </c>
      <c r="K145" t="s">
        <v>57</v>
      </c>
      <c r="L145">
        <v>1987.47</v>
      </c>
      <c r="M145" t="s">
        <v>27</v>
      </c>
      <c r="N145">
        <v>323</v>
      </c>
      <c r="O145" t="s">
        <v>77</v>
      </c>
    </row>
    <row r="146" spans="1:15" x14ac:dyDescent="0.3">
      <c r="A146" t="s">
        <v>7432</v>
      </c>
      <c r="B146" t="s">
        <v>7431</v>
      </c>
      <c r="D146">
        <v>10</v>
      </c>
      <c r="E146" t="s">
        <v>31</v>
      </c>
      <c r="F146" t="s">
        <v>90</v>
      </c>
      <c r="G146" s="1">
        <v>46000</v>
      </c>
      <c r="H146" s="1">
        <v>45982</v>
      </c>
      <c r="I146" t="s">
        <v>7430</v>
      </c>
      <c r="J146" t="s">
        <v>7429</v>
      </c>
      <c r="L146">
        <v>17795.57</v>
      </c>
      <c r="N146">
        <v>248</v>
      </c>
      <c r="O146" t="s">
        <v>77</v>
      </c>
    </row>
    <row r="147" spans="1:15" x14ac:dyDescent="0.3">
      <c r="A147" t="s">
        <v>7428</v>
      </c>
      <c r="B147" t="s">
        <v>7427</v>
      </c>
      <c r="C147" t="s">
        <v>123</v>
      </c>
      <c r="D147">
        <v>3</v>
      </c>
      <c r="E147" t="s">
        <v>31</v>
      </c>
      <c r="F147" t="s">
        <v>53</v>
      </c>
      <c r="G147" s="1">
        <v>46123</v>
      </c>
      <c r="H147" s="1">
        <v>46098</v>
      </c>
      <c r="I147" t="s">
        <v>7426</v>
      </c>
      <c r="J147" t="s">
        <v>7425</v>
      </c>
      <c r="L147">
        <v>20834.240000000002</v>
      </c>
      <c r="M147" t="s">
        <v>17</v>
      </c>
      <c r="N147">
        <v>145</v>
      </c>
      <c r="O147" t="s">
        <v>16</v>
      </c>
    </row>
    <row r="148" spans="1:15" x14ac:dyDescent="0.3">
      <c r="A148" t="s">
        <v>7424</v>
      </c>
      <c r="B148" t="s">
        <v>7423</v>
      </c>
      <c r="C148" t="s">
        <v>74</v>
      </c>
      <c r="D148">
        <v>32</v>
      </c>
      <c r="E148" t="s">
        <v>54</v>
      </c>
      <c r="F148" t="s">
        <v>90</v>
      </c>
      <c r="G148" s="1">
        <v>46034</v>
      </c>
      <c r="H148" s="1">
        <v>46018</v>
      </c>
      <c r="I148" t="s">
        <v>7422</v>
      </c>
      <c r="J148" t="s">
        <v>7421</v>
      </c>
      <c r="K148" t="s">
        <v>64</v>
      </c>
      <c r="L148">
        <v>10015.01</v>
      </c>
      <c r="M148" t="s">
        <v>63</v>
      </c>
      <c r="N148">
        <v>481</v>
      </c>
      <c r="O148" t="s">
        <v>43</v>
      </c>
    </row>
    <row r="149" spans="1:15" x14ac:dyDescent="0.3">
      <c r="A149" t="s">
        <v>7420</v>
      </c>
      <c r="B149" t="s">
        <v>7419</v>
      </c>
      <c r="C149" t="s">
        <v>1</v>
      </c>
      <c r="D149">
        <v>43</v>
      </c>
      <c r="E149" t="s">
        <v>39</v>
      </c>
      <c r="F149" t="s">
        <v>20</v>
      </c>
      <c r="G149" s="1">
        <v>46098</v>
      </c>
      <c r="H149" s="1">
        <v>46082</v>
      </c>
      <c r="I149" t="s">
        <v>7418</v>
      </c>
      <c r="J149" t="s">
        <v>7417</v>
      </c>
      <c r="K149" t="s">
        <v>64</v>
      </c>
      <c r="L149">
        <v>13359</v>
      </c>
      <c r="M149" t="s">
        <v>57</v>
      </c>
      <c r="N149">
        <v>497</v>
      </c>
      <c r="O149" t="s">
        <v>43</v>
      </c>
    </row>
    <row r="150" spans="1:15" x14ac:dyDescent="0.3">
      <c r="A150" t="s">
        <v>7416</v>
      </c>
      <c r="B150" t="s">
        <v>7415</v>
      </c>
      <c r="C150" t="s">
        <v>60</v>
      </c>
      <c r="D150">
        <v>83</v>
      </c>
      <c r="E150" t="s">
        <v>39</v>
      </c>
      <c r="F150" t="s">
        <v>38</v>
      </c>
      <c r="G150" s="1">
        <v>46132</v>
      </c>
      <c r="H150" s="1">
        <v>46129</v>
      </c>
      <c r="I150" t="s">
        <v>510</v>
      </c>
      <c r="J150" t="s">
        <v>7414</v>
      </c>
      <c r="K150" t="s">
        <v>35</v>
      </c>
      <c r="L150">
        <v>6548.01</v>
      </c>
      <c r="M150" t="s">
        <v>26</v>
      </c>
      <c r="N150">
        <v>408</v>
      </c>
      <c r="O150" t="s">
        <v>71</v>
      </c>
    </row>
    <row r="151" spans="1:15" x14ac:dyDescent="0.3">
      <c r="A151" t="s">
        <v>7413</v>
      </c>
      <c r="B151" t="s">
        <v>7412</v>
      </c>
      <c r="C151" t="s">
        <v>74</v>
      </c>
      <c r="D151">
        <v>23</v>
      </c>
      <c r="E151" t="s">
        <v>68</v>
      </c>
      <c r="F151" t="s">
        <v>85</v>
      </c>
      <c r="G151" s="1">
        <v>46057</v>
      </c>
      <c r="H151" s="1">
        <v>46033</v>
      </c>
      <c r="I151" t="s">
        <v>7411</v>
      </c>
      <c r="J151" t="s">
        <v>7410</v>
      </c>
      <c r="L151">
        <v>17092.11</v>
      </c>
      <c r="M151" t="s">
        <v>17</v>
      </c>
      <c r="N151">
        <v>542</v>
      </c>
      <c r="O151" t="s">
        <v>25</v>
      </c>
    </row>
    <row r="152" spans="1:15" x14ac:dyDescent="0.3">
      <c r="A152" t="s">
        <v>7409</v>
      </c>
      <c r="B152" t="s">
        <v>7408</v>
      </c>
      <c r="C152" t="s">
        <v>60</v>
      </c>
      <c r="D152">
        <v>20</v>
      </c>
      <c r="E152" t="s">
        <v>68</v>
      </c>
      <c r="F152" t="s">
        <v>20</v>
      </c>
      <c r="G152" s="1">
        <v>46107</v>
      </c>
      <c r="H152" s="1">
        <v>46092</v>
      </c>
      <c r="I152" t="s">
        <v>7407</v>
      </c>
      <c r="J152" t="s">
        <v>7406</v>
      </c>
      <c r="L152">
        <v>15858.35</v>
      </c>
      <c r="M152" t="s">
        <v>63</v>
      </c>
      <c r="N152">
        <v>402</v>
      </c>
      <c r="O152" t="s">
        <v>77</v>
      </c>
    </row>
    <row r="153" spans="1:15" x14ac:dyDescent="0.3">
      <c r="A153" t="s">
        <v>7405</v>
      </c>
      <c r="B153" t="s">
        <v>7404</v>
      </c>
      <c r="C153" t="s">
        <v>60</v>
      </c>
      <c r="D153">
        <v>65</v>
      </c>
      <c r="E153" t="s">
        <v>80</v>
      </c>
      <c r="F153" t="s">
        <v>30</v>
      </c>
      <c r="G153" s="1">
        <v>46150</v>
      </c>
      <c r="H153" s="1">
        <v>46136</v>
      </c>
      <c r="I153" t="s">
        <v>7403</v>
      </c>
      <c r="J153" t="s">
        <v>7402</v>
      </c>
      <c r="L153">
        <v>1132.6600000000001</v>
      </c>
      <c r="M153" t="s">
        <v>17</v>
      </c>
      <c r="N153">
        <v>525</v>
      </c>
      <c r="O153" t="s">
        <v>43</v>
      </c>
    </row>
    <row r="154" spans="1:15" x14ac:dyDescent="0.3">
      <c r="A154" t="s">
        <v>7401</v>
      </c>
      <c r="B154" t="s">
        <v>7400</v>
      </c>
      <c r="C154" t="s">
        <v>74</v>
      </c>
      <c r="D154">
        <v>83</v>
      </c>
      <c r="E154" t="s">
        <v>80</v>
      </c>
      <c r="F154" t="s">
        <v>90</v>
      </c>
      <c r="G154" s="1">
        <v>46153</v>
      </c>
      <c r="H154" s="1">
        <v>46139</v>
      </c>
      <c r="I154" t="s">
        <v>7399</v>
      </c>
      <c r="J154" t="s">
        <v>7398</v>
      </c>
      <c r="K154" t="s">
        <v>27</v>
      </c>
      <c r="L154">
        <v>11353.4</v>
      </c>
      <c r="M154" t="s">
        <v>57</v>
      </c>
      <c r="N154">
        <v>264</v>
      </c>
      <c r="O154" t="s">
        <v>34</v>
      </c>
    </row>
    <row r="155" spans="1:15" x14ac:dyDescent="0.3">
      <c r="A155" t="s">
        <v>7397</v>
      </c>
      <c r="B155" t="s">
        <v>7396</v>
      </c>
      <c r="D155">
        <v>65</v>
      </c>
      <c r="E155" t="s">
        <v>39</v>
      </c>
      <c r="F155" t="s">
        <v>46</v>
      </c>
      <c r="G155" s="1">
        <v>46043</v>
      </c>
      <c r="H155" s="1">
        <v>46029</v>
      </c>
      <c r="I155" t="s">
        <v>7395</v>
      </c>
      <c r="J155" t="s">
        <v>7394</v>
      </c>
      <c r="K155" t="s">
        <v>64</v>
      </c>
      <c r="L155">
        <v>20311.98</v>
      </c>
      <c r="M155" t="s">
        <v>17</v>
      </c>
      <c r="N155">
        <v>465</v>
      </c>
      <c r="O155" t="s">
        <v>77</v>
      </c>
    </row>
    <row r="156" spans="1:15" x14ac:dyDescent="0.3">
      <c r="A156" t="s">
        <v>7393</v>
      </c>
      <c r="B156" t="s">
        <v>7392</v>
      </c>
      <c r="C156" t="s">
        <v>0</v>
      </c>
      <c r="D156">
        <v>6</v>
      </c>
      <c r="E156" t="s">
        <v>21</v>
      </c>
      <c r="F156" t="s">
        <v>85</v>
      </c>
      <c r="G156" s="1">
        <v>46044</v>
      </c>
      <c r="H156" s="1">
        <v>46030</v>
      </c>
      <c r="I156" t="s">
        <v>7391</v>
      </c>
      <c r="J156" t="s">
        <v>7390</v>
      </c>
      <c r="K156" t="s">
        <v>35</v>
      </c>
      <c r="L156">
        <v>9224.67</v>
      </c>
      <c r="M156" t="s">
        <v>63</v>
      </c>
      <c r="N156">
        <v>298</v>
      </c>
      <c r="O156" t="s">
        <v>16</v>
      </c>
    </row>
    <row r="157" spans="1:15" x14ac:dyDescent="0.3">
      <c r="A157" t="s">
        <v>7389</v>
      </c>
      <c r="B157" t="s">
        <v>7388</v>
      </c>
      <c r="C157" t="s">
        <v>60</v>
      </c>
      <c r="D157">
        <v>87</v>
      </c>
      <c r="E157" t="s">
        <v>47</v>
      </c>
      <c r="F157" t="s">
        <v>67</v>
      </c>
      <c r="G157" s="1">
        <v>46129</v>
      </c>
      <c r="H157" s="1">
        <v>46127</v>
      </c>
      <c r="I157" t="s">
        <v>7387</v>
      </c>
      <c r="J157" t="s">
        <v>7386</v>
      </c>
      <c r="K157" t="s">
        <v>57</v>
      </c>
      <c r="L157">
        <v>2543.75</v>
      </c>
      <c r="N157">
        <v>245</v>
      </c>
      <c r="O157" t="s">
        <v>43</v>
      </c>
    </row>
    <row r="158" spans="1:15" x14ac:dyDescent="0.3">
      <c r="A158" t="s">
        <v>7385</v>
      </c>
      <c r="B158" t="s">
        <v>7384</v>
      </c>
      <c r="C158" t="s">
        <v>0</v>
      </c>
      <c r="D158">
        <v>43</v>
      </c>
      <c r="E158" t="s">
        <v>80</v>
      </c>
      <c r="F158" t="s">
        <v>53</v>
      </c>
      <c r="G158" s="1">
        <v>46076</v>
      </c>
      <c r="H158" s="1">
        <v>46047</v>
      </c>
      <c r="I158" t="s">
        <v>7383</v>
      </c>
      <c r="J158" t="s">
        <v>7382</v>
      </c>
      <c r="K158" t="s">
        <v>57</v>
      </c>
      <c r="L158">
        <v>7893.75</v>
      </c>
      <c r="N158">
        <v>166</v>
      </c>
      <c r="O158" t="s">
        <v>34</v>
      </c>
    </row>
    <row r="159" spans="1:15" x14ac:dyDescent="0.3">
      <c r="A159" t="s">
        <v>7381</v>
      </c>
      <c r="B159" t="s">
        <v>7380</v>
      </c>
      <c r="C159" t="s">
        <v>74</v>
      </c>
      <c r="D159">
        <v>40</v>
      </c>
      <c r="E159" t="s">
        <v>54</v>
      </c>
      <c r="F159" t="s">
        <v>67</v>
      </c>
      <c r="G159" s="1">
        <v>46120</v>
      </c>
      <c r="H159" s="1">
        <v>46094</v>
      </c>
      <c r="I159" t="s">
        <v>7379</v>
      </c>
      <c r="J159" t="s">
        <v>7378</v>
      </c>
      <c r="K159" t="s">
        <v>35</v>
      </c>
      <c r="L159">
        <v>16818.89</v>
      </c>
      <c r="M159" t="s">
        <v>64</v>
      </c>
      <c r="N159">
        <v>430</v>
      </c>
      <c r="O159" t="s">
        <v>25</v>
      </c>
    </row>
    <row r="160" spans="1:15" x14ac:dyDescent="0.3">
      <c r="A160" t="s">
        <v>7377</v>
      </c>
      <c r="B160" t="s">
        <v>7376</v>
      </c>
      <c r="C160" t="s">
        <v>123</v>
      </c>
      <c r="D160">
        <v>220</v>
      </c>
      <c r="E160" t="s">
        <v>31</v>
      </c>
      <c r="F160" t="s">
        <v>46</v>
      </c>
      <c r="G160" s="1">
        <v>46108</v>
      </c>
      <c r="H160" s="1">
        <v>46097</v>
      </c>
      <c r="I160" t="s">
        <v>7375</v>
      </c>
      <c r="J160" t="s">
        <v>7374</v>
      </c>
      <c r="K160" t="s">
        <v>26</v>
      </c>
      <c r="L160">
        <v>4670.5200000000004</v>
      </c>
      <c r="M160" t="s">
        <v>57</v>
      </c>
      <c r="N160">
        <v>274</v>
      </c>
      <c r="O160" t="s">
        <v>50</v>
      </c>
    </row>
    <row r="161" spans="1:15" x14ac:dyDescent="0.3">
      <c r="A161" t="s">
        <v>7373</v>
      </c>
      <c r="B161" t="s">
        <v>7372</v>
      </c>
      <c r="D161">
        <v>25</v>
      </c>
      <c r="E161" t="s">
        <v>21</v>
      </c>
      <c r="F161" t="s">
        <v>53</v>
      </c>
      <c r="G161" s="1">
        <v>46066</v>
      </c>
      <c r="H161" s="1">
        <v>46062</v>
      </c>
      <c r="I161" t="s">
        <v>7371</v>
      </c>
      <c r="J161" t="s">
        <v>7370</v>
      </c>
      <c r="K161" t="s">
        <v>64</v>
      </c>
      <c r="L161">
        <v>7535.64</v>
      </c>
      <c r="M161" t="s">
        <v>64</v>
      </c>
      <c r="N161">
        <v>359</v>
      </c>
      <c r="O161" t="s">
        <v>50</v>
      </c>
    </row>
    <row r="162" spans="1:15" x14ac:dyDescent="0.3">
      <c r="A162" t="s">
        <v>7369</v>
      </c>
      <c r="B162" t="s">
        <v>7368</v>
      </c>
      <c r="C162" t="s">
        <v>40</v>
      </c>
      <c r="D162">
        <v>85</v>
      </c>
      <c r="E162" t="s">
        <v>31</v>
      </c>
      <c r="F162" t="s">
        <v>53</v>
      </c>
      <c r="G162" s="1">
        <v>46102</v>
      </c>
      <c r="H162" s="1">
        <v>46083</v>
      </c>
      <c r="I162" t="s">
        <v>7367</v>
      </c>
      <c r="J162" t="s">
        <v>7366</v>
      </c>
      <c r="L162">
        <v>4025.47</v>
      </c>
      <c r="M162" t="s">
        <v>26</v>
      </c>
      <c r="N162">
        <v>525</v>
      </c>
      <c r="O162" t="s">
        <v>25</v>
      </c>
    </row>
    <row r="163" spans="1:15" x14ac:dyDescent="0.3">
      <c r="A163" t="s">
        <v>7365</v>
      </c>
      <c r="B163" t="s">
        <v>7364</v>
      </c>
      <c r="C163" t="s">
        <v>0</v>
      </c>
      <c r="D163">
        <v>57</v>
      </c>
      <c r="E163" t="s">
        <v>47</v>
      </c>
      <c r="F163" t="s">
        <v>90</v>
      </c>
      <c r="G163" s="1">
        <v>46029</v>
      </c>
      <c r="H163" s="1">
        <v>46018</v>
      </c>
      <c r="I163" t="s">
        <v>7363</v>
      </c>
      <c r="J163" t="s">
        <v>7362</v>
      </c>
      <c r="K163" t="s">
        <v>17</v>
      </c>
      <c r="L163">
        <v>24245.8</v>
      </c>
      <c r="M163" t="s">
        <v>63</v>
      </c>
      <c r="N163">
        <v>485</v>
      </c>
      <c r="O163" t="s">
        <v>25</v>
      </c>
    </row>
    <row r="164" spans="1:15" x14ac:dyDescent="0.3">
      <c r="A164" t="s">
        <v>7361</v>
      </c>
      <c r="B164" t="s">
        <v>7360</v>
      </c>
      <c r="D164">
        <v>30</v>
      </c>
      <c r="E164" t="s">
        <v>21</v>
      </c>
      <c r="F164" t="s">
        <v>30</v>
      </c>
      <c r="G164" s="1">
        <v>46105</v>
      </c>
      <c r="H164" s="1">
        <v>46075</v>
      </c>
      <c r="I164" t="s">
        <v>7359</v>
      </c>
      <c r="J164" t="s">
        <v>7358</v>
      </c>
      <c r="L164">
        <v>22618.560000000001</v>
      </c>
      <c r="M164" t="s">
        <v>57</v>
      </c>
      <c r="N164">
        <v>288</v>
      </c>
      <c r="O164" t="s">
        <v>25</v>
      </c>
    </row>
    <row r="165" spans="1:15" x14ac:dyDescent="0.3">
      <c r="A165" t="s">
        <v>7357</v>
      </c>
      <c r="B165" t="s">
        <v>7356</v>
      </c>
      <c r="D165">
        <v>60</v>
      </c>
      <c r="E165" t="s">
        <v>132</v>
      </c>
      <c r="F165" t="s">
        <v>90</v>
      </c>
      <c r="G165" s="1">
        <v>46073</v>
      </c>
      <c r="H165" s="1">
        <v>46057</v>
      </c>
      <c r="I165" t="s">
        <v>7355</v>
      </c>
      <c r="L165">
        <v>-500</v>
      </c>
      <c r="M165" t="s">
        <v>57</v>
      </c>
      <c r="N165">
        <v>510</v>
      </c>
      <c r="O165" t="s">
        <v>34</v>
      </c>
    </row>
    <row r="166" spans="1:15" x14ac:dyDescent="0.3">
      <c r="A166" t="s">
        <v>7354</v>
      </c>
      <c r="B166" t="s">
        <v>7353</v>
      </c>
      <c r="C166" t="s">
        <v>0</v>
      </c>
      <c r="D166">
        <v>33</v>
      </c>
      <c r="E166" t="s">
        <v>47</v>
      </c>
      <c r="F166" t="s">
        <v>85</v>
      </c>
      <c r="G166" s="1">
        <v>46086</v>
      </c>
      <c r="H166" s="1">
        <v>46059</v>
      </c>
      <c r="I166" t="s">
        <v>7352</v>
      </c>
      <c r="J166" t="s">
        <v>7351</v>
      </c>
      <c r="K166" t="s">
        <v>57</v>
      </c>
      <c r="L166">
        <v>13952.61</v>
      </c>
      <c r="M166" t="s">
        <v>64</v>
      </c>
      <c r="N166">
        <v>464</v>
      </c>
      <c r="O166" t="s">
        <v>50</v>
      </c>
    </row>
    <row r="167" spans="1:15" x14ac:dyDescent="0.3">
      <c r="A167" t="s">
        <v>7350</v>
      </c>
      <c r="B167" t="s">
        <v>7349</v>
      </c>
      <c r="C167" t="s">
        <v>74</v>
      </c>
      <c r="D167">
        <v>37</v>
      </c>
      <c r="E167" t="s">
        <v>80</v>
      </c>
      <c r="F167" t="s">
        <v>53</v>
      </c>
      <c r="G167" s="1">
        <v>46055</v>
      </c>
      <c r="H167" s="1">
        <v>46047</v>
      </c>
      <c r="I167" t="s">
        <v>7348</v>
      </c>
      <c r="J167" t="s">
        <v>7347</v>
      </c>
      <c r="L167">
        <v>22651.59</v>
      </c>
      <c r="M167" t="s">
        <v>26</v>
      </c>
      <c r="N167">
        <v>525</v>
      </c>
      <c r="O167" t="s">
        <v>16</v>
      </c>
    </row>
    <row r="168" spans="1:15" x14ac:dyDescent="0.3">
      <c r="A168" t="s">
        <v>7346</v>
      </c>
      <c r="B168" t="s">
        <v>7345</v>
      </c>
      <c r="C168" t="s">
        <v>74</v>
      </c>
      <c r="D168">
        <v>29</v>
      </c>
      <c r="E168" t="s">
        <v>68</v>
      </c>
      <c r="F168" t="s">
        <v>67</v>
      </c>
      <c r="G168" s="1">
        <v>46163</v>
      </c>
      <c r="H168" s="1">
        <v>46134</v>
      </c>
      <c r="I168" t="s">
        <v>7344</v>
      </c>
      <c r="J168" t="s">
        <v>7343</v>
      </c>
      <c r="K168" t="s">
        <v>27</v>
      </c>
      <c r="L168">
        <v>10489.44</v>
      </c>
      <c r="N168">
        <v>357</v>
      </c>
      <c r="O168" t="s">
        <v>43</v>
      </c>
    </row>
    <row r="169" spans="1:15" x14ac:dyDescent="0.3">
      <c r="A169" t="s">
        <v>7342</v>
      </c>
      <c r="B169" t="s">
        <v>7341</v>
      </c>
      <c r="C169" t="s">
        <v>1</v>
      </c>
      <c r="D169">
        <v>50</v>
      </c>
      <c r="E169" t="s">
        <v>80</v>
      </c>
      <c r="F169" t="s">
        <v>67</v>
      </c>
      <c r="G169" s="1">
        <v>46059</v>
      </c>
      <c r="H169" s="1">
        <v>46052</v>
      </c>
      <c r="I169" t="s">
        <v>7340</v>
      </c>
      <c r="J169" t="s">
        <v>7339</v>
      </c>
      <c r="K169" t="s">
        <v>27</v>
      </c>
      <c r="L169">
        <v>8103.38</v>
      </c>
      <c r="M169" t="s">
        <v>64</v>
      </c>
      <c r="N169">
        <v>529</v>
      </c>
      <c r="O169" t="s">
        <v>25</v>
      </c>
    </row>
    <row r="170" spans="1:15" x14ac:dyDescent="0.3">
      <c r="A170" t="s">
        <v>7338</v>
      </c>
      <c r="B170" t="s">
        <v>7337</v>
      </c>
      <c r="C170" t="s">
        <v>60</v>
      </c>
      <c r="D170">
        <v>19</v>
      </c>
      <c r="E170" t="s">
        <v>39</v>
      </c>
      <c r="F170" t="s">
        <v>46</v>
      </c>
      <c r="G170" s="1">
        <v>46108</v>
      </c>
      <c r="H170" s="1">
        <v>46099</v>
      </c>
      <c r="I170" t="s">
        <v>7336</v>
      </c>
      <c r="J170" t="s">
        <v>7335</v>
      </c>
      <c r="L170">
        <v>17462.59</v>
      </c>
      <c r="M170" t="s">
        <v>26</v>
      </c>
      <c r="N170">
        <v>488</v>
      </c>
      <c r="O170" t="s">
        <v>25</v>
      </c>
    </row>
    <row r="171" spans="1:15" x14ac:dyDescent="0.3">
      <c r="A171" t="s">
        <v>7334</v>
      </c>
      <c r="B171" t="s">
        <v>7333</v>
      </c>
      <c r="D171">
        <v>58</v>
      </c>
      <c r="E171" t="s">
        <v>47</v>
      </c>
      <c r="F171" t="s">
        <v>20</v>
      </c>
      <c r="G171" s="1">
        <v>46062</v>
      </c>
      <c r="H171" s="1">
        <v>46062</v>
      </c>
      <c r="I171" t="s">
        <v>7332</v>
      </c>
      <c r="J171" t="s">
        <v>7331</v>
      </c>
      <c r="K171" t="s">
        <v>26</v>
      </c>
      <c r="L171">
        <v>5548.24</v>
      </c>
      <c r="M171" t="s">
        <v>26</v>
      </c>
      <c r="N171">
        <v>380</v>
      </c>
      <c r="O171" t="s">
        <v>25</v>
      </c>
    </row>
    <row r="172" spans="1:15" x14ac:dyDescent="0.3">
      <c r="A172" t="s">
        <v>7330</v>
      </c>
      <c r="B172" t="s">
        <v>7329</v>
      </c>
      <c r="C172" t="s">
        <v>123</v>
      </c>
      <c r="D172">
        <v>15</v>
      </c>
      <c r="E172" t="s">
        <v>132</v>
      </c>
      <c r="F172" t="s">
        <v>38</v>
      </c>
      <c r="G172" s="1">
        <v>46051</v>
      </c>
      <c r="H172" s="1">
        <v>46042</v>
      </c>
      <c r="I172" t="s">
        <v>7328</v>
      </c>
      <c r="J172" t="s">
        <v>7327</v>
      </c>
      <c r="K172" t="s">
        <v>64</v>
      </c>
      <c r="L172">
        <v>1384.19</v>
      </c>
      <c r="N172">
        <v>427</v>
      </c>
      <c r="O172" t="s">
        <v>50</v>
      </c>
    </row>
    <row r="173" spans="1:15" x14ac:dyDescent="0.3">
      <c r="A173" t="s">
        <v>7326</v>
      </c>
      <c r="B173" t="s">
        <v>1054</v>
      </c>
      <c r="D173">
        <v>9</v>
      </c>
      <c r="E173" t="s">
        <v>80</v>
      </c>
      <c r="F173" t="s">
        <v>85</v>
      </c>
      <c r="G173" s="1">
        <v>46100</v>
      </c>
      <c r="H173" s="1">
        <v>46081</v>
      </c>
      <c r="I173" t="s">
        <v>7325</v>
      </c>
      <c r="J173" t="s">
        <v>7324</v>
      </c>
      <c r="K173" t="s">
        <v>27</v>
      </c>
      <c r="L173">
        <v>15872.48</v>
      </c>
      <c r="M173" t="s">
        <v>57</v>
      </c>
      <c r="N173">
        <v>467</v>
      </c>
      <c r="O173" t="s">
        <v>71</v>
      </c>
    </row>
    <row r="174" spans="1:15" x14ac:dyDescent="0.3">
      <c r="A174" t="s">
        <v>7323</v>
      </c>
      <c r="B174" t="s">
        <v>7322</v>
      </c>
      <c r="C174" t="s">
        <v>22</v>
      </c>
      <c r="D174">
        <v>55</v>
      </c>
      <c r="E174" t="s">
        <v>47</v>
      </c>
      <c r="F174" t="s">
        <v>67</v>
      </c>
      <c r="G174" s="1">
        <v>46140</v>
      </c>
      <c r="H174" s="1">
        <v>46133</v>
      </c>
      <c r="I174" t="s">
        <v>7321</v>
      </c>
      <c r="J174" t="s">
        <v>7320</v>
      </c>
      <c r="L174">
        <v>4845.3900000000003</v>
      </c>
      <c r="M174" t="s">
        <v>64</v>
      </c>
      <c r="N174">
        <v>368</v>
      </c>
      <c r="O174" t="s">
        <v>43</v>
      </c>
    </row>
    <row r="175" spans="1:15" x14ac:dyDescent="0.3">
      <c r="A175" t="s">
        <v>572</v>
      </c>
      <c r="B175" t="s">
        <v>7319</v>
      </c>
      <c r="C175" t="s">
        <v>74</v>
      </c>
      <c r="D175">
        <v>68</v>
      </c>
      <c r="E175" t="s">
        <v>47</v>
      </c>
      <c r="F175" t="s">
        <v>90</v>
      </c>
      <c r="G175" s="1">
        <v>46072</v>
      </c>
      <c r="H175" s="1">
        <v>46045</v>
      </c>
      <c r="I175" t="s">
        <v>7318</v>
      </c>
      <c r="J175" t="s">
        <v>7317</v>
      </c>
      <c r="L175">
        <v>1279.6500000000001</v>
      </c>
      <c r="N175">
        <v>291</v>
      </c>
      <c r="O175" t="s">
        <v>43</v>
      </c>
    </row>
    <row r="176" spans="1:15" x14ac:dyDescent="0.3">
      <c r="A176" t="s">
        <v>7316</v>
      </c>
      <c r="B176" t="s">
        <v>7315</v>
      </c>
      <c r="C176" t="s">
        <v>40</v>
      </c>
      <c r="D176">
        <v>46</v>
      </c>
      <c r="E176" t="s">
        <v>80</v>
      </c>
      <c r="F176" t="s">
        <v>67</v>
      </c>
      <c r="G176" s="1">
        <v>46136</v>
      </c>
      <c r="H176" s="1">
        <v>46129</v>
      </c>
      <c r="I176" t="s">
        <v>7314</v>
      </c>
      <c r="J176" t="s">
        <v>7313</v>
      </c>
      <c r="K176" t="s">
        <v>64</v>
      </c>
      <c r="L176">
        <v>19333.23</v>
      </c>
      <c r="M176" t="s">
        <v>17</v>
      </c>
      <c r="N176">
        <v>168</v>
      </c>
      <c r="O176" t="s">
        <v>77</v>
      </c>
    </row>
    <row r="177" spans="1:15" x14ac:dyDescent="0.3">
      <c r="A177" t="s">
        <v>7312</v>
      </c>
      <c r="B177" t="s">
        <v>7311</v>
      </c>
      <c r="C177" t="s">
        <v>60</v>
      </c>
      <c r="D177">
        <v>70</v>
      </c>
      <c r="E177" t="s">
        <v>31</v>
      </c>
      <c r="F177" t="s">
        <v>53</v>
      </c>
      <c r="G177" s="1">
        <v>46047</v>
      </c>
      <c r="H177" s="1">
        <v>46021</v>
      </c>
      <c r="I177" t="s">
        <v>7310</v>
      </c>
      <c r="J177" t="s">
        <v>7309</v>
      </c>
      <c r="L177">
        <v>24524.32</v>
      </c>
      <c r="N177">
        <v>423</v>
      </c>
      <c r="O177" t="s">
        <v>71</v>
      </c>
    </row>
    <row r="178" spans="1:15" x14ac:dyDescent="0.3">
      <c r="A178" t="s">
        <v>7308</v>
      </c>
      <c r="B178" t="s">
        <v>7307</v>
      </c>
      <c r="C178" t="s">
        <v>0</v>
      </c>
      <c r="D178">
        <v>9</v>
      </c>
      <c r="E178" t="s">
        <v>68</v>
      </c>
      <c r="F178" t="s">
        <v>46</v>
      </c>
      <c r="G178" s="1">
        <v>45990</v>
      </c>
      <c r="H178" s="1">
        <v>45981</v>
      </c>
      <c r="I178" t="s">
        <v>7306</v>
      </c>
      <c r="J178" t="s">
        <v>7305</v>
      </c>
      <c r="K178" t="s">
        <v>17</v>
      </c>
      <c r="L178">
        <v>1286.4000000000001</v>
      </c>
      <c r="M178" t="s">
        <v>57</v>
      </c>
      <c r="N178">
        <v>121</v>
      </c>
      <c r="O178" t="s">
        <v>43</v>
      </c>
    </row>
    <row r="179" spans="1:15" x14ac:dyDescent="0.3">
      <c r="A179" t="s">
        <v>7304</v>
      </c>
      <c r="B179" t="s">
        <v>7303</v>
      </c>
      <c r="C179" t="s">
        <v>22</v>
      </c>
      <c r="D179">
        <v>66</v>
      </c>
      <c r="E179" t="s">
        <v>54</v>
      </c>
      <c r="F179" t="s">
        <v>85</v>
      </c>
      <c r="G179" s="1">
        <v>46127</v>
      </c>
      <c r="H179" s="1">
        <v>46119</v>
      </c>
      <c r="I179" t="s">
        <v>7302</v>
      </c>
      <c r="J179" t="s">
        <v>7301</v>
      </c>
      <c r="K179" t="s">
        <v>27</v>
      </c>
      <c r="L179">
        <v>18881.61</v>
      </c>
      <c r="M179" t="s">
        <v>57</v>
      </c>
      <c r="N179">
        <v>246</v>
      </c>
      <c r="O179" t="s">
        <v>43</v>
      </c>
    </row>
    <row r="180" spans="1:15" x14ac:dyDescent="0.3">
      <c r="A180" t="s">
        <v>7300</v>
      </c>
      <c r="B180" t="s">
        <v>7299</v>
      </c>
      <c r="C180" t="s">
        <v>40</v>
      </c>
      <c r="D180">
        <v>84</v>
      </c>
      <c r="E180" t="s">
        <v>31</v>
      </c>
      <c r="F180" t="s">
        <v>30</v>
      </c>
      <c r="G180" s="1">
        <v>46041</v>
      </c>
      <c r="H180" s="1">
        <v>46038</v>
      </c>
      <c r="I180" t="s">
        <v>7298</v>
      </c>
      <c r="J180" t="s">
        <v>7297</v>
      </c>
      <c r="K180" t="s">
        <v>57</v>
      </c>
      <c r="L180">
        <v>11036.39</v>
      </c>
      <c r="N180" t="s">
        <v>347</v>
      </c>
      <c r="O180" t="s">
        <v>16</v>
      </c>
    </row>
    <row r="181" spans="1:15" x14ac:dyDescent="0.3">
      <c r="A181" t="s">
        <v>7296</v>
      </c>
      <c r="B181" t="s">
        <v>7295</v>
      </c>
      <c r="C181" t="s">
        <v>123</v>
      </c>
      <c r="D181">
        <v>44</v>
      </c>
      <c r="E181" t="s">
        <v>39</v>
      </c>
      <c r="F181" t="s">
        <v>85</v>
      </c>
      <c r="G181" s="1">
        <v>46148</v>
      </c>
      <c r="H181" s="1">
        <v>46126</v>
      </c>
      <c r="I181" t="s">
        <v>7294</v>
      </c>
      <c r="J181" t="s">
        <v>7293</v>
      </c>
      <c r="L181">
        <v>9310.2000000000007</v>
      </c>
      <c r="M181" t="s">
        <v>63</v>
      </c>
      <c r="N181">
        <v>510</v>
      </c>
      <c r="O181" t="s">
        <v>77</v>
      </c>
    </row>
    <row r="182" spans="1:15" x14ac:dyDescent="0.3">
      <c r="A182" t="s">
        <v>7292</v>
      </c>
      <c r="B182" t="s">
        <v>7291</v>
      </c>
      <c r="C182" t="s">
        <v>123</v>
      </c>
      <c r="D182">
        <v>11</v>
      </c>
      <c r="E182" t="s">
        <v>54</v>
      </c>
      <c r="F182" t="s">
        <v>53</v>
      </c>
      <c r="G182" s="1">
        <v>46031</v>
      </c>
      <c r="H182" s="1">
        <v>46014</v>
      </c>
      <c r="I182" t="s">
        <v>7290</v>
      </c>
      <c r="J182" t="s">
        <v>7289</v>
      </c>
      <c r="K182" t="s">
        <v>26</v>
      </c>
      <c r="L182">
        <v>8166.04</v>
      </c>
      <c r="M182" t="s">
        <v>64</v>
      </c>
      <c r="N182">
        <v>267</v>
      </c>
      <c r="O182" t="s">
        <v>25</v>
      </c>
    </row>
    <row r="183" spans="1:15" x14ac:dyDescent="0.3">
      <c r="A183" t="s">
        <v>7288</v>
      </c>
      <c r="B183" t="s">
        <v>7287</v>
      </c>
      <c r="C183" t="s">
        <v>22</v>
      </c>
      <c r="D183">
        <v>40</v>
      </c>
      <c r="E183" t="s">
        <v>68</v>
      </c>
      <c r="F183" t="s">
        <v>90</v>
      </c>
      <c r="G183" s="1">
        <v>46039</v>
      </c>
      <c r="H183" s="1">
        <v>46034</v>
      </c>
      <c r="I183" t="s">
        <v>7286</v>
      </c>
      <c r="J183" t="s">
        <v>7285</v>
      </c>
      <c r="L183">
        <v>8918.3700000000008</v>
      </c>
      <c r="M183" t="s">
        <v>27</v>
      </c>
      <c r="N183">
        <v>472</v>
      </c>
      <c r="O183" t="s">
        <v>50</v>
      </c>
    </row>
    <row r="184" spans="1:15" x14ac:dyDescent="0.3">
      <c r="A184" t="s">
        <v>7284</v>
      </c>
      <c r="B184" t="s">
        <v>7283</v>
      </c>
      <c r="C184" t="s">
        <v>60</v>
      </c>
      <c r="D184">
        <v>79</v>
      </c>
      <c r="E184" t="s">
        <v>54</v>
      </c>
      <c r="F184" t="s">
        <v>30</v>
      </c>
      <c r="G184" s="1">
        <v>46107</v>
      </c>
      <c r="H184" s="1">
        <v>46087</v>
      </c>
      <c r="I184" t="s">
        <v>7282</v>
      </c>
      <c r="J184" t="s">
        <v>7281</v>
      </c>
      <c r="K184" t="s">
        <v>27</v>
      </c>
      <c r="L184">
        <v>2061.02</v>
      </c>
      <c r="N184">
        <v>286</v>
      </c>
      <c r="O184" t="s">
        <v>34</v>
      </c>
    </row>
    <row r="185" spans="1:15" x14ac:dyDescent="0.3">
      <c r="A185" t="s">
        <v>7280</v>
      </c>
      <c r="B185" t="s">
        <v>7279</v>
      </c>
      <c r="C185" t="s">
        <v>0</v>
      </c>
      <c r="D185">
        <v>4</v>
      </c>
      <c r="E185" t="s">
        <v>39</v>
      </c>
      <c r="F185" t="s">
        <v>85</v>
      </c>
      <c r="G185" s="1">
        <v>46019</v>
      </c>
      <c r="H185" s="1">
        <v>46018</v>
      </c>
      <c r="I185" t="s">
        <v>7278</v>
      </c>
      <c r="J185" t="s">
        <v>7277</v>
      </c>
      <c r="K185" t="s">
        <v>35</v>
      </c>
      <c r="L185">
        <v>1867.39</v>
      </c>
      <c r="M185" t="s">
        <v>17</v>
      </c>
      <c r="N185">
        <v>285</v>
      </c>
      <c r="O185" t="s">
        <v>16</v>
      </c>
    </row>
    <row r="186" spans="1:15" x14ac:dyDescent="0.3">
      <c r="A186" t="s">
        <v>7276</v>
      </c>
      <c r="B186" t="s">
        <v>7275</v>
      </c>
      <c r="C186" t="s">
        <v>40</v>
      </c>
      <c r="D186">
        <v>78</v>
      </c>
      <c r="E186" t="s">
        <v>39</v>
      </c>
      <c r="F186" t="s">
        <v>85</v>
      </c>
      <c r="G186" s="1">
        <v>46068</v>
      </c>
      <c r="H186" s="1">
        <v>46038</v>
      </c>
      <c r="I186" t="s">
        <v>7274</v>
      </c>
      <c r="J186" t="s">
        <v>7273</v>
      </c>
      <c r="K186" t="s">
        <v>57</v>
      </c>
      <c r="L186">
        <v>9425.93</v>
      </c>
      <c r="M186" t="s">
        <v>64</v>
      </c>
      <c r="N186">
        <v>393</v>
      </c>
      <c r="O186" t="s">
        <v>71</v>
      </c>
    </row>
    <row r="187" spans="1:15" x14ac:dyDescent="0.3">
      <c r="A187" t="s">
        <v>7272</v>
      </c>
      <c r="B187" t="s">
        <v>7271</v>
      </c>
      <c r="C187" t="s">
        <v>60</v>
      </c>
      <c r="D187">
        <v>51</v>
      </c>
      <c r="E187" t="s">
        <v>31</v>
      </c>
      <c r="F187" t="s">
        <v>30</v>
      </c>
      <c r="G187" s="1">
        <v>46108</v>
      </c>
      <c r="H187" s="1">
        <v>46101</v>
      </c>
      <c r="I187" t="s">
        <v>7270</v>
      </c>
      <c r="J187" t="s">
        <v>7269</v>
      </c>
      <c r="K187" t="s">
        <v>64</v>
      </c>
      <c r="L187">
        <v>842.65</v>
      </c>
      <c r="M187" t="s">
        <v>26</v>
      </c>
      <c r="N187">
        <v>355</v>
      </c>
      <c r="O187" t="s">
        <v>34</v>
      </c>
    </row>
    <row r="188" spans="1:15" x14ac:dyDescent="0.3">
      <c r="A188" t="s">
        <v>7268</v>
      </c>
      <c r="B188" t="s">
        <v>7267</v>
      </c>
      <c r="C188" t="s">
        <v>123</v>
      </c>
      <c r="D188">
        <v>72</v>
      </c>
      <c r="E188" t="s">
        <v>80</v>
      </c>
      <c r="F188" t="s">
        <v>30</v>
      </c>
      <c r="G188" s="1">
        <v>46168</v>
      </c>
      <c r="H188" s="1">
        <v>46144</v>
      </c>
      <c r="I188" t="s">
        <v>7266</v>
      </c>
      <c r="J188" t="s">
        <v>7265</v>
      </c>
      <c r="K188" t="s">
        <v>26</v>
      </c>
      <c r="L188">
        <v>17660.14</v>
      </c>
      <c r="M188" t="s">
        <v>57</v>
      </c>
      <c r="N188">
        <v>413</v>
      </c>
      <c r="O188" t="s">
        <v>43</v>
      </c>
    </row>
    <row r="189" spans="1:15" x14ac:dyDescent="0.3">
      <c r="A189" t="s">
        <v>7264</v>
      </c>
      <c r="B189" t="s">
        <v>7263</v>
      </c>
      <c r="D189">
        <v>26</v>
      </c>
      <c r="E189" t="s">
        <v>80</v>
      </c>
      <c r="F189" t="s">
        <v>53</v>
      </c>
      <c r="G189" s="1">
        <v>46107</v>
      </c>
      <c r="H189" s="1">
        <v>46080</v>
      </c>
      <c r="I189" t="s">
        <v>7262</v>
      </c>
      <c r="J189" t="s">
        <v>7261</v>
      </c>
      <c r="K189" t="s">
        <v>64</v>
      </c>
      <c r="L189">
        <v>11410.66</v>
      </c>
      <c r="N189">
        <v>144</v>
      </c>
      <c r="O189" t="s">
        <v>50</v>
      </c>
    </row>
    <row r="190" spans="1:15" x14ac:dyDescent="0.3">
      <c r="A190" t="s">
        <v>7260</v>
      </c>
      <c r="B190" t="s">
        <v>7259</v>
      </c>
      <c r="C190" t="s">
        <v>60</v>
      </c>
      <c r="D190">
        <v>86</v>
      </c>
      <c r="E190" t="s">
        <v>31</v>
      </c>
      <c r="F190" t="s">
        <v>20</v>
      </c>
      <c r="G190" s="1">
        <v>46004</v>
      </c>
      <c r="H190" s="1">
        <v>45987</v>
      </c>
      <c r="I190" t="s">
        <v>7258</v>
      </c>
      <c r="J190" t="s">
        <v>7257</v>
      </c>
      <c r="K190" t="s">
        <v>26</v>
      </c>
      <c r="L190">
        <v>22305.03</v>
      </c>
      <c r="M190" t="s">
        <v>26</v>
      </c>
      <c r="N190">
        <v>464</v>
      </c>
      <c r="O190" t="s">
        <v>25</v>
      </c>
    </row>
    <row r="191" spans="1:15" x14ac:dyDescent="0.3">
      <c r="A191" t="s">
        <v>7256</v>
      </c>
      <c r="B191" t="s">
        <v>7255</v>
      </c>
      <c r="C191" t="s">
        <v>0</v>
      </c>
      <c r="D191">
        <v>47</v>
      </c>
      <c r="E191" t="s">
        <v>21</v>
      </c>
      <c r="F191" t="s">
        <v>20</v>
      </c>
      <c r="G191" s="1">
        <v>46076</v>
      </c>
      <c r="H191" s="1">
        <v>46070</v>
      </c>
      <c r="I191" t="s">
        <v>7254</v>
      </c>
      <c r="J191" t="s">
        <v>7253</v>
      </c>
      <c r="K191" t="s">
        <v>35</v>
      </c>
      <c r="L191">
        <v>6071.06</v>
      </c>
      <c r="N191">
        <v>113</v>
      </c>
      <c r="O191" t="s">
        <v>43</v>
      </c>
    </row>
    <row r="192" spans="1:15" x14ac:dyDescent="0.3">
      <c r="A192" t="s">
        <v>7252</v>
      </c>
      <c r="B192" t="s">
        <v>7251</v>
      </c>
      <c r="C192" t="s">
        <v>60</v>
      </c>
      <c r="D192">
        <v>60</v>
      </c>
      <c r="E192" t="s">
        <v>39</v>
      </c>
      <c r="F192" t="s">
        <v>20</v>
      </c>
      <c r="G192" s="1">
        <v>46104</v>
      </c>
      <c r="H192" s="1">
        <v>46102</v>
      </c>
      <c r="I192" t="s">
        <v>7250</v>
      </c>
      <c r="J192" t="s">
        <v>7249</v>
      </c>
      <c r="K192" t="s">
        <v>26</v>
      </c>
      <c r="L192">
        <v>10074.370000000001</v>
      </c>
      <c r="N192">
        <v>369</v>
      </c>
      <c r="O192" t="s">
        <v>16</v>
      </c>
    </row>
    <row r="193" spans="1:15" x14ac:dyDescent="0.3">
      <c r="A193" t="s">
        <v>7248</v>
      </c>
      <c r="B193" t="s">
        <v>7247</v>
      </c>
      <c r="C193" t="s">
        <v>123</v>
      </c>
      <c r="D193">
        <v>74</v>
      </c>
      <c r="E193" t="s">
        <v>80</v>
      </c>
      <c r="F193" t="s">
        <v>53</v>
      </c>
      <c r="G193" s="1">
        <v>46079</v>
      </c>
      <c r="H193" s="1">
        <v>46069</v>
      </c>
      <c r="I193" t="s">
        <v>7246</v>
      </c>
      <c r="J193" t="s">
        <v>7245</v>
      </c>
      <c r="K193" t="s">
        <v>64</v>
      </c>
      <c r="L193">
        <v>11359.37</v>
      </c>
      <c r="M193" t="s">
        <v>17</v>
      </c>
      <c r="N193">
        <v>165</v>
      </c>
      <c r="O193" t="s">
        <v>50</v>
      </c>
    </row>
    <row r="194" spans="1:15" x14ac:dyDescent="0.3">
      <c r="A194" t="s">
        <v>7244</v>
      </c>
      <c r="B194" t="s">
        <v>7243</v>
      </c>
      <c r="C194" t="s">
        <v>0</v>
      </c>
      <c r="D194">
        <v>17</v>
      </c>
      <c r="E194" t="s">
        <v>54</v>
      </c>
      <c r="F194" t="s">
        <v>46</v>
      </c>
      <c r="G194" s="1">
        <v>46138</v>
      </c>
      <c r="H194" s="1">
        <v>46112</v>
      </c>
      <c r="I194" t="s">
        <v>7242</v>
      </c>
      <c r="J194" t="s">
        <v>7241</v>
      </c>
      <c r="K194" t="s">
        <v>64</v>
      </c>
      <c r="L194">
        <v>13048.93</v>
      </c>
      <c r="M194" t="s">
        <v>63</v>
      </c>
      <c r="N194">
        <v>184</v>
      </c>
      <c r="O194" t="s">
        <v>71</v>
      </c>
    </row>
    <row r="195" spans="1:15" x14ac:dyDescent="0.3">
      <c r="A195" t="s">
        <v>7240</v>
      </c>
      <c r="B195" t="s">
        <v>7239</v>
      </c>
      <c r="C195" t="s">
        <v>60</v>
      </c>
      <c r="D195">
        <v>29</v>
      </c>
      <c r="E195" t="s">
        <v>31</v>
      </c>
      <c r="F195" t="s">
        <v>30</v>
      </c>
      <c r="G195" s="1">
        <v>46082</v>
      </c>
      <c r="H195" s="1">
        <v>46055</v>
      </c>
      <c r="I195" t="s">
        <v>7238</v>
      </c>
      <c r="J195" t="s">
        <v>7237</v>
      </c>
      <c r="K195" t="s">
        <v>64</v>
      </c>
      <c r="L195">
        <v>6415.01</v>
      </c>
      <c r="M195" t="s">
        <v>63</v>
      </c>
      <c r="N195">
        <v>164</v>
      </c>
      <c r="O195" t="s">
        <v>25</v>
      </c>
    </row>
    <row r="196" spans="1:15" x14ac:dyDescent="0.3">
      <c r="A196" t="s">
        <v>7236</v>
      </c>
      <c r="B196" t="s">
        <v>7235</v>
      </c>
      <c r="C196" t="s">
        <v>22</v>
      </c>
      <c r="D196">
        <v>79</v>
      </c>
      <c r="E196" t="s">
        <v>80</v>
      </c>
      <c r="F196" t="s">
        <v>53</v>
      </c>
      <c r="G196" s="1">
        <v>46130</v>
      </c>
      <c r="H196" s="1">
        <v>46112</v>
      </c>
      <c r="I196" t="s">
        <v>7234</v>
      </c>
      <c r="J196" t="s">
        <v>7233</v>
      </c>
      <c r="K196" t="s">
        <v>35</v>
      </c>
      <c r="L196">
        <v>4445.78</v>
      </c>
      <c r="M196" t="s">
        <v>17</v>
      </c>
      <c r="N196">
        <v>531</v>
      </c>
      <c r="O196" t="s">
        <v>34</v>
      </c>
    </row>
    <row r="197" spans="1:15" x14ac:dyDescent="0.3">
      <c r="A197" t="s">
        <v>7232</v>
      </c>
      <c r="B197" t="s">
        <v>7231</v>
      </c>
      <c r="C197" t="s">
        <v>40</v>
      </c>
      <c r="D197">
        <v>4</v>
      </c>
      <c r="E197" t="s">
        <v>80</v>
      </c>
      <c r="F197" t="s">
        <v>46</v>
      </c>
      <c r="G197" s="1">
        <v>46049</v>
      </c>
      <c r="H197" s="1">
        <v>46019</v>
      </c>
      <c r="I197" t="s">
        <v>7230</v>
      </c>
      <c r="J197" t="s">
        <v>7229</v>
      </c>
      <c r="K197" t="s">
        <v>26</v>
      </c>
      <c r="L197">
        <v>16348.02</v>
      </c>
      <c r="N197">
        <v>416</v>
      </c>
      <c r="O197" t="s">
        <v>25</v>
      </c>
    </row>
    <row r="198" spans="1:15" x14ac:dyDescent="0.3">
      <c r="A198" t="s">
        <v>7228</v>
      </c>
      <c r="B198" t="s">
        <v>7227</v>
      </c>
      <c r="C198" t="s">
        <v>40</v>
      </c>
      <c r="D198">
        <v>64</v>
      </c>
      <c r="E198" t="s">
        <v>132</v>
      </c>
      <c r="F198" t="s">
        <v>30</v>
      </c>
      <c r="G198" s="1">
        <v>46080</v>
      </c>
      <c r="H198" s="1">
        <v>46065</v>
      </c>
      <c r="I198" t="s">
        <v>7226</v>
      </c>
      <c r="J198" t="s">
        <v>7225</v>
      </c>
      <c r="K198" t="s">
        <v>17</v>
      </c>
      <c r="L198">
        <v>20156.27</v>
      </c>
      <c r="N198">
        <v>252</v>
      </c>
      <c r="O198" t="s">
        <v>16</v>
      </c>
    </row>
    <row r="199" spans="1:15" x14ac:dyDescent="0.3">
      <c r="A199" t="s">
        <v>7224</v>
      </c>
      <c r="B199" t="s">
        <v>7223</v>
      </c>
      <c r="C199" t="s">
        <v>74</v>
      </c>
      <c r="D199">
        <v>89</v>
      </c>
      <c r="E199" t="s">
        <v>47</v>
      </c>
      <c r="F199" t="s">
        <v>53</v>
      </c>
      <c r="G199" s="1">
        <v>46105</v>
      </c>
      <c r="H199" s="1">
        <v>46091</v>
      </c>
      <c r="I199" t="s">
        <v>7222</v>
      </c>
      <c r="J199" t="s">
        <v>7221</v>
      </c>
      <c r="L199">
        <v>12209.43</v>
      </c>
      <c r="M199" t="s">
        <v>57</v>
      </c>
      <c r="N199">
        <v>274</v>
      </c>
      <c r="O199" t="s">
        <v>34</v>
      </c>
    </row>
    <row r="200" spans="1:15" x14ac:dyDescent="0.3">
      <c r="A200" t="s">
        <v>7220</v>
      </c>
      <c r="B200" t="s">
        <v>7219</v>
      </c>
      <c r="C200" t="s">
        <v>0</v>
      </c>
      <c r="D200">
        <v>41</v>
      </c>
      <c r="E200" t="s">
        <v>31</v>
      </c>
      <c r="F200" t="s">
        <v>67</v>
      </c>
      <c r="G200" s="1">
        <v>46109</v>
      </c>
      <c r="H200" s="1">
        <v>46097</v>
      </c>
      <c r="I200" t="s">
        <v>7218</v>
      </c>
      <c r="J200" t="s">
        <v>7217</v>
      </c>
      <c r="K200" t="s">
        <v>35</v>
      </c>
      <c r="L200">
        <v>19064.490000000002</v>
      </c>
      <c r="M200" t="s">
        <v>64</v>
      </c>
      <c r="N200">
        <v>263</v>
      </c>
      <c r="O200" t="s">
        <v>71</v>
      </c>
    </row>
    <row r="201" spans="1:15" x14ac:dyDescent="0.3">
      <c r="A201" t="s">
        <v>7216</v>
      </c>
      <c r="B201" t="s">
        <v>7215</v>
      </c>
      <c r="D201">
        <v>16</v>
      </c>
      <c r="E201" t="s">
        <v>132</v>
      </c>
      <c r="F201" t="s">
        <v>85</v>
      </c>
      <c r="G201" s="1">
        <v>46068</v>
      </c>
      <c r="H201" s="1">
        <v>46061</v>
      </c>
      <c r="I201" t="s">
        <v>7214</v>
      </c>
      <c r="J201" t="s">
        <v>7213</v>
      </c>
      <c r="K201" t="s">
        <v>35</v>
      </c>
      <c r="L201">
        <v>2600.9299999999998</v>
      </c>
      <c r="M201" t="s">
        <v>63</v>
      </c>
      <c r="N201">
        <v>296</v>
      </c>
      <c r="O201" t="s">
        <v>50</v>
      </c>
    </row>
    <row r="202" spans="1:15" x14ac:dyDescent="0.3">
      <c r="A202" t="s">
        <v>7212</v>
      </c>
      <c r="B202" t="s">
        <v>7211</v>
      </c>
      <c r="C202" t="s">
        <v>123</v>
      </c>
      <c r="D202">
        <v>32</v>
      </c>
      <c r="E202" t="s">
        <v>39</v>
      </c>
      <c r="F202" t="s">
        <v>67</v>
      </c>
      <c r="G202" s="1">
        <v>46154</v>
      </c>
      <c r="H202" s="1">
        <v>46125</v>
      </c>
      <c r="I202" t="s">
        <v>7210</v>
      </c>
      <c r="J202" t="s">
        <v>7209</v>
      </c>
      <c r="K202" t="s">
        <v>57</v>
      </c>
      <c r="L202">
        <v>4907.8900000000003</v>
      </c>
      <c r="M202" t="s">
        <v>26</v>
      </c>
      <c r="N202">
        <v>355</v>
      </c>
      <c r="O202" t="s">
        <v>34</v>
      </c>
    </row>
    <row r="203" spans="1:15" x14ac:dyDescent="0.3">
      <c r="A203" t="s">
        <v>7208</v>
      </c>
      <c r="B203" t="s">
        <v>7207</v>
      </c>
      <c r="D203">
        <v>64</v>
      </c>
      <c r="E203" t="s">
        <v>132</v>
      </c>
      <c r="F203" t="s">
        <v>85</v>
      </c>
      <c r="G203" s="1">
        <v>46081</v>
      </c>
      <c r="H203" s="1">
        <v>46081</v>
      </c>
      <c r="I203" t="s">
        <v>7206</v>
      </c>
      <c r="J203" t="s">
        <v>7205</v>
      </c>
      <c r="K203" t="s">
        <v>64</v>
      </c>
      <c r="L203">
        <v>23641.77</v>
      </c>
      <c r="N203">
        <v>223</v>
      </c>
      <c r="O203" t="s">
        <v>71</v>
      </c>
    </row>
    <row r="204" spans="1:15" x14ac:dyDescent="0.3">
      <c r="A204" t="s">
        <v>7204</v>
      </c>
      <c r="B204" t="s">
        <v>7203</v>
      </c>
      <c r="C204" t="s">
        <v>60</v>
      </c>
      <c r="D204">
        <v>7</v>
      </c>
      <c r="E204" t="s">
        <v>47</v>
      </c>
      <c r="F204" t="s">
        <v>30</v>
      </c>
      <c r="G204" s="1">
        <v>46010</v>
      </c>
      <c r="H204" s="1">
        <v>45995</v>
      </c>
      <c r="I204" t="s">
        <v>7202</v>
      </c>
      <c r="J204" t="s">
        <v>7201</v>
      </c>
      <c r="L204">
        <v>7286.56</v>
      </c>
      <c r="M204" t="s">
        <v>27</v>
      </c>
      <c r="N204">
        <v>533</v>
      </c>
      <c r="O204" t="s">
        <v>77</v>
      </c>
    </row>
    <row r="205" spans="1:15" x14ac:dyDescent="0.3">
      <c r="A205" t="s">
        <v>7200</v>
      </c>
      <c r="B205" t="s">
        <v>7199</v>
      </c>
      <c r="C205" t="s">
        <v>123</v>
      </c>
      <c r="D205">
        <v>18</v>
      </c>
      <c r="E205" t="s">
        <v>132</v>
      </c>
      <c r="F205" t="s">
        <v>67</v>
      </c>
      <c r="G205" s="1">
        <v>46148</v>
      </c>
      <c r="H205" s="1">
        <v>46124</v>
      </c>
      <c r="I205" t="s">
        <v>7198</v>
      </c>
      <c r="J205" t="s">
        <v>7197</v>
      </c>
      <c r="L205">
        <v>9275.25</v>
      </c>
      <c r="N205">
        <v>126</v>
      </c>
      <c r="O205" t="s">
        <v>34</v>
      </c>
    </row>
    <row r="206" spans="1:15" x14ac:dyDescent="0.3">
      <c r="A206" t="s">
        <v>7196</v>
      </c>
      <c r="B206" t="s">
        <v>7195</v>
      </c>
      <c r="C206" t="s">
        <v>1</v>
      </c>
      <c r="D206">
        <v>47</v>
      </c>
      <c r="E206" t="s">
        <v>132</v>
      </c>
      <c r="F206" t="s">
        <v>20</v>
      </c>
      <c r="G206" s="1">
        <v>46052</v>
      </c>
      <c r="H206" s="1">
        <v>46040</v>
      </c>
      <c r="I206" t="s">
        <v>7194</v>
      </c>
      <c r="J206" t="s">
        <v>7193</v>
      </c>
      <c r="L206">
        <v>19157.22</v>
      </c>
      <c r="M206" t="s">
        <v>63</v>
      </c>
      <c r="N206">
        <v>522</v>
      </c>
      <c r="O206" t="s">
        <v>34</v>
      </c>
    </row>
    <row r="207" spans="1:15" x14ac:dyDescent="0.3">
      <c r="A207" t="s">
        <v>7192</v>
      </c>
      <c r="B207" t="s">
        <v>7191</v>
      </c>
      <c r="C207" t="s">
        <v>74</v>
      </c>
      <c r="D207">
        <v>17</v>
      </c>
      <c r="E207" t="s">
        <v>80</v>
      </c>
      <c r="F207" t="s">
        <v>90</v>
      </c>
      <c r="G207" s="1">
        <v>46135</v>
      </c>
      <c r="H207" s="1">
        <v>46124</v>
      </c>
      <c r="I207" t="s">
        <v>7190</v>
      </c>
      <c r="J207" t="s">
        <v>7189</v>
      </c>
      <c r="K207" t="s">
        <v>57</v>
      </c>
      <c r="L207">
        <v>14034.23</v>
      </c>
      <c r="M207" t="s">
        <v>17</v>
      </c>
      <c r="N207">
        <v>486</v>
      </c>
      <c r="O207" t="s">
        <v>71</v>
      </c>
    </row>
    <row r="208" spans="1:15" x14ac:dyDescent="0.3">
      <c r="A208" t="s">
        <v>7188</v>
      </c>
      <c r="B208" t="s">
        <v>7187</v>
      </c>
      <c r="C208" t="s">
        <v>1</v>
      </c>
      <c r="D208">
        <v>78</v>
      </c>
      <c r="E208" t="s">
        <v>54</v>
      </c>
      <c r="F208" t="s">
        <v>46</v>
      </c>
      <c r="G208" s="1">
        <v>46034</v>
      </c>
      <c r="H208" s="1">
        <v>46033</v>
      </c>
      <c r="I208" t="s">
        <v>7186</v>
      </c>
      <c r="J208" t="s">
        <v>7185</v>
      </c>
      <c r="K208" t="s">
        <v>27</v>
      </c>
      <c r="L208">
        <v>3598.5</v>
      </c>
      <c r="M208" t="s">
        <v>17</v>
      </c>
      <c r="N208">
        <v>511</v>
      </c>
      <c r="O208" t="s">
        <v>16</v>
      </c>
    </row>
    <row r="209" spans="1:15" x14ac:dyDescent="0.3">
      <c r="A209" t="s">
        <v>7184</v>
      </c>
      <c r="B209" t="s">
        <v>7183</v>
      </c>
      <c r="D209">
        <v>20</v>
      </c>
      <c r="E209" t="s">
        <v>39</v>
      </c>
      <c r="F209" t="s">
        <v>67</v>
      </c>
      <c r="G209" s="1">
        <v>46153</v>
      </c>
      <c r="H209" s="1">
        <v>46124</v>
      </c>
      <c r="I209" t="s">
        <v>7182</v>
      </c>
      <c r="J209" t="s">
        <v>7181</v>
      </c>
      <c r="K209" t="s">
        <v>57</v>
      </c>
      <c r="L209">
        <v>4230.05</v>
      </c>
      <c r="M209" t="s">
        <v>63</v>
      </c>
      <c r="N209">
        <v>403</v>
      </c>
      <c r="O209" t="s">
        <v>43</v>
      </c>
    </row>
    <row r="210" spans="1:15" x14ac:dyDescent="0.3">
      <c r="A210" t="s">
        <v>7180</v>
      </c>
      <c r="B210" t="s">
        <v>7179</v>
      </c>
      <c r="D210">
        <v>73</v>
      </c>
      <c r="E210" t="s">
        <v>132</v>
      </c>
      <c r="F210" t="s">
        <v>85</v>
      </c>
      <c r="G210" s="1">
        <v>46033</v>
      </c>
      <c r="H210" s="1">
        <v>46007</v>
      </c>
      <c r="I210" t="s">
        <v>7178</v>
      </c>
      <c r="J210" t="s">
        <v>7177</v>
      </c>
      <c r="K210" t="s">
        <v>27</v>
      </c>
      <c r="L210">
        <v>9335.27</v>
      </c>
      <c r="M210" t="s">
        <v>64</v>
      </c>
      <c r="N210">
        <v>313</v>
      </c>
      <c r="O210" t="s">
        <v>34</v>
      </c>
    </row>
    <row r="211" spans="1:15" x14ac:dyDescent="0.3">
      <c r="A211" t="s">
        <v>7176</v>
      </c>
      <c r="B211" t="s">
        <v>7175</v>
      </c>
      <c r="C211" t="s">
        <v>22</v>
      </c>
      <c r="D211">
        <v>89</v>
      </c>
      <c r="E211" t="s">
        <v>47</v>
      </c>
      <c r="F211" t="s">
        <v>85</v>
      </c>
      <c r="G211" s="1">
        <v>46043</v>
      </c>
      <c r="H211" s="1">
        <v>46035</v>
      </c>
      <c r="I211" t="s">
        <v>7174</v>
      </c>
      <c r="J211" t="s">
        <v>7173</v>
      </c>
      <c r="K211" t="s">
        <v>17</v>
      </c>
      <c r="L211">
        <v>18090.72</v>
      </c>
      <c r="N211">
        <v>187</v>
      </c>
      <c r="O211" t="s">
        <v>34</v>
      </c>
    </row>
    <row r="212" spans="1:15" x14ac:dyDescent="0.3">
      <c r="A212" t="s">
        <v>7172</v>
      </c>
      <c r="B212" t="s">
        <v>7171</v>
      </c>
      <c r="C212" t="s">
        <v>123</v>
      </c>
      <c r="D212">
        <v>19</v>
      </c>
      <c r="E212" t="s">
        <v>21</v>
      </c>
      <c r="F212" t="s">
        <v>46</v>
      </c>
      <c r="G212" s="1">
        <v>46009</v>
      </c>
      <c r="H212" s="1">
        <v>45991</v>
      </c>
      <c r="I212" t="s">
        <v>7170</v>
      </c>
      <c r="J212" t="s">
        <v>7169</v>
      </c>
      <c r="K212" t="s">
        <v>64</v>
      </c>
      <c r="L212">
        <v>4931.45</v>
      </c>
      <c r="N212">
        <v>260</v>
      </c>
      <c r="O212" t="s">
        <v>16</v>
      </c>
    </row>
    <row r="213" spans="1:15" x14ac:dyDescent="0.3">
      <c r="A213" t="s">
        <v>7168</v>
      </c>
      <c r="B213" t="s">
        <v>7167</v>
      </c>
      <c r="C213" t="s">
        <v>0</v>
      </c>
      <c r="D213">
        <v>53</v>
      </c>
      <c r="E213" t="s">
        <v>21</v>
      </c>
      <c r="F213" t="s">
        <v>90</v>
      </c>
      <c r="G213" s="1">
        <v>46062</v>
      </c>
      <c r="H213" s="1">
        <v>46046</v>
      </c>
      <c r="I213" t="s">
        <v>7166</v>
      </c>
      <c r="J213" t="s">
        <v>7165</v>
      </c>
      <c r="L213">
        <v>21845.88</v>
      </c>
      <c r="M213" t="s">
        <v>27</v>
      </c>
      <c r="N213">
        <v>461</v>
      </c>
      <c r="O213" t="s">
        <v>71</v>
      </c>
    </row>
    <row r="214" spans="1:15" x14ac:dyDescent="0.3">
      <c r="A214" t="s">
        <v>7164</v>
      </c>
      <c r="B214" t="s">
        <v>7163</v>
      </c>
      <c r="C214" t="s">
        <v>1</v>
      </c>
      <c r="D214">
        <v>72</v>
      </c>
      <c r="E214" t="s">
        <v>31</v>
      </c>
      <c r="F214" t="s">
        <v>85</v>
      </c>
      <c r="G214" s="1">
        <v>46040</v>
      </c>
      <c r="H214" s="1">
        <v>46024</v>
      </c>
      <c r="I214" t="s">
        <v>7162</v>
      </c>
      <c r="J214" t="s">
        <v>7161</v>
      </c>
      <c r="L214">
        <v>7981.06</v>
      </c>
      <c r="M214" t="s">
        <v>26</v>
      </c>
      <c r="N214">
        <v>335</v>
      </c>
      <c r="O214" t="s">
        <v>34</v>
      </c>
    </row>
    <row r="215" spans="1:15" x14ac:dyDescent="0.3">
      <c r="A215" t="s">
        <v>7160</v>
      </c>
      <c r="B215" t="s">
        <v>7159</v>
      </c>
      <c r="C215" t="s">
        <v>60</v>
      </c>
      <c r="D215">
        <v>70</v>
      </c>
      <c r="E215" t="s">
        <v>31</v>
      </c>
      <c r="F215" t="s">
        <v>30</v>
      </c>
      <c r="G215" s="1">
        <v>46152</v>
      </c>
      <c r="H215" s="1">
        <v>46133</v>
      </c>
      <c r="I215" t="s">
        <v>7158</v>
      </c>
      <c r="J215" t="s">
        <v>7157</v>
      </c>
      <c r="L215" t="s">
        <v>488</v>
      </c>
      <c r="M215" t="s">
        <v>57</v>
      </c>
      <c r="N215">
        <v>242</v>
      </c>
      <c r="O215" t="s">
        <v>34</v>
      </c>
    </row>
    <row r="216" spans="1:15" x14ac:dyDescent="0.3">
      <c r="A216" t="s">
        <v>7156</v>
      </c>
      <c r="B216" t="s">
        <v>7155</v>
      </c>
      <c r="C216" t="s">
        <v>22</v>
      </c>
      <c r="D216">
        <v>29</v>
      </c>
      <c r="E216" t="s">
        <v>132</v>
      </c>
      <c r="F216" t="s">
        <v>30</v>
      </c>
      <c r="G216" s="1">
        <v>46086</v>
      </c>
      <c r="H216" s="1">
        <v>46064</v>
      </c>
      <c r="I216" t="s">
        <v>7154</v>
      </c>
      <c r="J216" t="s">
        <v>7153</v>
      </c>
      <c r="K216" t="s">
        <v>17</v>
      </c>
      <c r="L216">
        <v>17317.95</v>
      </c>
      <c r="N216">
        <v>262</v>
      </c>
      <c r="O216" t="s">
        <v>16</v>
      </c>
    </row>
    <row r="217" spans="1:15" x14ac:dyDescent="0.3">
      <c r="A217" t="s">
        <v>7152</v>
      </c>
      <c r="B217" t="s">
        <v>7151</v>
      </c>
      <c r="C217" t="s">
        <v>60</v>
      </c>
      <c r="D217">
        <v>72</v>
      </c>
      <c r="E217" t="s">
        <v>132</v>
      </c>
      <c r="F217" t="s">
        <v>30</v>
      </c>
      <c r="G217" s="1">
        <v>46036</v>
      </c>
      <c r="H217" s="1">
        <v>46033</v>
      </c>
      <c r="I217" t="s">
        <v>7150</v>
      </c>
      <c r="J217" t="s">
        <v>7149</v>
      </c>
      <c r="L217">
        <v>22414.86</v>
      </c>
      <c r="N217">
        <v>519</v>
      </c>
      <c r="O217" t="s">
        <v>43</v>
      </c>
    </row>
    <row r="218" spans="1:15" x14ac:dyDescent="0.3">
      <c r="A218" t="s">
        <v>7148</v>
      </c>
      <c r="B218" t="s">
        <v>7147</v>
      </c>
      <c r="C218" t="s">
        <v>0</v>
      </c>
      <c r="D218">
        <v>38</v>
      </c>
      <c r="E218" t="s">
        <v>47</v>
      </c>
      <c r="F218" t="s">
        <v>30</v>
      </c>
      <c r="G218" s="1">
        <v>46105</v>
      </c>
      <c r="H218" s="1">
        <v>46075</v>
      </c>
      <c r="I218" t="s">
        <v>7146</v>
      </c>
      <c r="J218" t="s">
        <v>7145</v>
      </c>
      <c r="K218" t="s">
        <v>64</v>
      </c>
      <c r="L218">
        <v>8789.82</v>
      </c>
      <c r="N218">
        <v>435</v>
      </c>
      <c r="O218" t="s">
        <v>43</v>
      </c>
    </row>
    <row r="219" spans="1:15" x14ac:dyDescent="0.3">
      <c r="A219" t="s">
        <v>7144</v>
      </c>
      <c r="B219" t="s">
        <v>7143</v>
      </c>
      <c r="D219">
        <v>28</v>
      </c>
      <c r="E219" t="s">
        <v>21</v>
      </c>
      <c r="F219" t="s">
        <v>30</v>
      </c>
      <c r="G219" s="1">
        <v>46177</v>
      </c>
      <c r="H219" s="1">
        <v>46148</v>
      </c>
      <c r="I219" t="s">
        <v>7142</v>
      </c>
      <c r="J219" t="s">
        <v>7141</v>
      </c>
      <c r="K219" t="s">
        <v>26</v>
      </c>
      <c r="L219">
        <v>3604.37</v>
      </c>
      <c r="M219" t="s">
        <v>57</v>
      </c>
      <c r="N219">
        <v>224</v>
      </c>
      <c r="O219" t="s">
        <v>77</v>
      </c>
    </row>
    <row r="220" spans="1:15" x14ac:dyDescent="0.3">
      <c r="A220" t="s">
        <v>7140</v>
      </c>
      <c r="B220" t="s">
        <v>6401</v>
      </c>
      <c r="C220" t="s">
        <v>1</v>
      </c>
      <c r="D220">
        <v>82</v>
      </c>
      <c r="E220" t="s">
        <v>21</v>
      </c>
      <c r="F220" t="s">
        <v>46</v>
      </c>
      <c r="G220" s="1">
        <v>46101</v>
      </c>
      <c r="H220" s="1">
        <v>46098</v>
      </c>
      <c r="I220" t="s">
        <v>7139</v>
      </c>
      <c r="J220" t="s">
        <v>7138</v>
      </c>
      <c r="L220">
        <v>8391.2800000000007</v>
      </c>
      <c r="N220">
        <v>151</v>
      </c>
      <c r="O220" t="s">
        <v>25</v>
      </c>
    </row>
    <row r="221" spans="1:15" x14ac:dyDescent="0.3">
      <c r="A221" t="s">
        <v>7137</v>
      </c>
      <c r="B221" t="s">
        <v>7136</v>
      </c>
      <c r="C221" t="s">
        <v>0</v>
      </c>
      <c r="D221">
        <v>1</v>
      </c>
      <c r="E221" t="s">
        <v>39</v>
      </c>
      <c r="F221" t="s">
        <v>90</v>
      </c>
      <c r="G221" s="1">
        <v>46035</v>
      </c>
      <c r="H221" s="1">
        <v>46015</v>
      </c>
      <c r="I221" t="s">
        <v>7135</v>
      </c>
      <c r="J221" t="s">
        <v>7134</v>
      </c>
      <c r="L221">
        <v>12040.72</v>
      </c>
      <c r="M221" t="s">
        <v>57</v>
      </c>
      <c r="N221">
        <v>487</v>
      </c>
      <c r="O221" t="s">
        <v>43</v>
      </c>
    </row>
    <row r="222" spans="1:15" x14ac:dyDescent="0.3">
      <c r="A222" t="s">
        <v>7133</v>
      </c>
      <c r="B222" t="s">
        <v>7132</v>
      </c>
      <c r="C222" t="s">
        <v>60</v>
      </c>
      <c r="D222">
        <v>37</v>
      </c>
      <c r="E222" t="s">
        <v>47</v>
      </c>
      <c r="F222" t="s">
        <v>20</v>
      </c>
      <c r="G222" s="1">
        <v>46004</v>
      </c>
      <c r="H222" s="1">
        <v>45984</v>
      </c>
      <c r="I222" t="s">
        <v>7131</v>
      </c>
      <c r="J222" t="s">
        <v>7130</v>
      </c>
      <c r="K222" t="s">
        <v>17</v>
      </c>
      <c r="L222">
        <v>13471.78</v>
      </c>
      <c r="M222" t="s">
        <v>27</v>
      </c>
      <c r="N222">
        <v>189</v>
      </c>
      <c r="O222" t="s">
        <v>16</v>
      </c>
    </row>
    <row r="223" spans="1:15" x14ac:dyDescent="0.3">
      <c r="A223" t="s">
        <v>7129</v>
      </c>
      <c r="B223" t="s">
        <v>7128</v>
      </c>
      <c r="C223" t="s">
        <v>0</v>
      </c>
      <c r="D223">
        <v>5</v>
      </c>
      <c r="E223" t="s">
        <v>54</v>
      </c>
      <c r="F223" t="s">
        <v>85</v>
      </c>
      <c r="G223" s="1">
        <v>46042</v>
      </c>
      <c r="H223" s="1">
        <v>46037</v>
      </c>
      <c r="I223" t="s">
        <v>7127</v>
      </c>
      <c r="J223" t="s">
        <v>7126</v>
      </c>
      <c r="K223" t="s">
        <v>26</v>
      </c>
      <c r="L223">
        <v>21943.23</v>
      </c>
      <c r="M223" t="s">
        <v>27</v>
      </c>
      <c r="N223">
        <v>252</v>
      </c>
      <c r="O223" t="s">
        <v>34</v>
      </c>
    </row>
    <row r="224" spans="1:15" x14ac:dyDescent="0.3">
      <c r="A224" t="s">
        <v>7125</v>
      </c>
      <c r="B224" t="s">
        <v>7124</v>
      </c>
      <c r="C224" t="s">
        <v>74</v>
      </c>
      <c r="D224">
        <v>43</v>
      </c>
      <c r="E224" t="s">
        <v>132</v>
      </c>
      <c r="F224" t="s">
        <v>85</v>
      </c>
      <c r="G224" s="1">
        <v>46161</v>
      </c>
      <c r="H224" s="1">
        <v>46141</v>
      </c>
      <c r="I224" t="s">
        <v>7123</v>
      </c>
      <c r="J224" t="s">
        <v>7122</v>
      </c>
      <c r="L224">
        <v>22253.65</v>
      </c>
      <c r="M224" t="s">
        <v>26</v>
      </c>
      <c r="N224">
        <v>535</v>
      </c>
      <c r="O224" t="s">
        <v>34</v>
      </c>
    </row>
    <row r="225" spans="1:15" x14ac:dyDescent="0.3">
      <c r="A225" t="s">
        <v>7121</v>
      </c>
      <c r="B225" t="s">
        <v>7120</v>
      </c>
      <c r="D225">
        <v>35</v>
      </c>
      <c r="E225" t="s">
        <v>21</v>
      </c>
      <c r="F225" t="s">
        <v>20</v>
      </c>
      <c r="G225" s="1">
        <v>45998</v>
      </c>
      <c r="H225" s="1">
        <v>45988</v>
      </c>
      <c r="I225" t="s">
        <v>7119</v>
      </c>
      <c r="J225" t="s">
        <v>7118</v>
      </c>
      <c r="K225" t="s">
        <v>35</v>
      </c>
      <c r="L225">
        <v>18331.759999999998</v>
      </c>
      <c r="M225" t="s">
        <v>63</v>
      </c>
      <c r="N225">
        <v>467</v>
      </c>
      <c r="O225" t="s">
        <v>71</v>
      </c>
    </row>
    <row r="226" spans="1:15" x14ac:dyDescent="0.3">
      <c r="A226" t="s">
        <v>7117</v>
      </c>
      <c r="B226" t="s">
        <v>7116</v>
      </c>
      <c r="C226" t="s">
        <v>40</v>
      </c>
      <c r="D226">
        <v>44</v>
      </c>
      <c r="E226" t="s">
        <v>132</v>
      </c>
      <c r="F226" t="s">
        <v>38</v>
      </c>
      <c r="G226" s="1">
        <v>46006</v>
      </c>
      <c r="H226" s="1">
        <v>46001</v>
      </c>
      <c r="I226" t="s">
        <v>7115</v>
      </c>
      <c r="J226" t="s">
        <v>7114</v>
      </c>
      <c r="L226">
        <v>20709.349999999999</v>
      </c>
      <c r="M226" t="s">
        <v>17</v>
      </c>
      <c r="N226">
        <v>144</v>
      </c>
      <c r="O226" t="s">
        <v>16</v>
      </c>
    </row>
    <row r="227" spans="1:15" x14ac:dyDescent="0.3">
      <c r="A227" t="s">
        <v>7113</v>
      </c>
      <c r="B227" t="s">
        <v>7112</v>
      </c>
      <c r="C227" t="s">
        <v>74</v>
      </c>
      <c r="D227">
        <v>24</v>
      </c>
      <c r="E227" t="s">
        <v>39</v>
      </c>
      <c r="F227" t="s">
        <v>85</v>
      </c>
      <c r="G227" s="1">
        <v>46144</v>
      </c>
      <c r="H227" s="1">
        <v>46134</v>
      </c>
      <c r="I227" t="s">
        <v>7111</v>
      </c>
      <c r="J227" t="s">
        <v>7110</v>
      </c>
      <c r="K227" t="s">
        <v>17</v>
      </c>
      <c r="L227">
        <v>369.39</v>
      </c>
      <c r="N227">
        <v>220</v>
      </c>
      <c r="O227" t="s">
        <v>16</v>
      </c>
    </row>
    <row r="228" spans="1:15" x14ac:dyDescent="0.3">
      <c r="A228" t="s">
        <v>7109</v>
      </c>
      <c r="B228" t="s">
        <v>6020</v>
      </c>
      <c r="C228" t="s">
        <v>22</v>
      </c>
      <c r="D228">
        <v>43</v>
      </c>
      <c r="E228" t="s">
        <v>132</v>
      </c>
      <c r="F228" t="s">
        <v>46</v>
      </c>
      <c r="G228" s="1">
        <v>46045</v>
      </c>
      <c r="H228" s="1">
        <v>46037</v>
      </c>
      <c r="I228" t="s">
        <v>7108</v>
      </c>
      <c r="J228" t="s">
        <v>7107</v>
      </c>
      <c r="K228" t="s">
        <v>57</v>
      </c>
      <c r="L228">
        <v>17380.66</v>
      </c>
      <c r="M228" t="s">
        <v>27</v>
      </c>
      <c r="N228">
        <v>441</v>
      </c>
      <c r="O228" t="s">
        <v>77</v>
      </c>
    </row>
    <row r="229" spans="1:15" x14ac:dyDescent="0.3">
      <c r="A229" t="s">
        <v>7106</v>
      </c>
      <c r="B229" t="s">
        <v>7105</v>
      </c>
      <c r="D229">
        <v>40</v>
      </c>
      <c r="E229" t="s">
        <v>39</v>
      </c>
      <c r="F229" t="s">
        <v>90</v>
      </c>
      <c r="G229" s="1">
        <v>46004</v>
      </c>
      <c r="H229" s="1">
        <v>45983</v>
      </c>
      <c r="I229" t="s">
        <v>7104</v>
      </c>
      <c r="J229" t="s">
        <v>7103</v>
      </c>
      <c r="K229" t="s">
        <v>26</v>
      </c>
      <c r="L229">
        <v>17319.2</v>
      </c>
      <c r="M229" t="s">
        <v>63</v>
      </c>
      <c r="N229">
        <v>288</v>
      </c>
      <c r="O229" t="s">
        <v>34</v>
      </c>
    </row>
    <row r="230" spans="1:15" x14ac:dyDescent="0.3">
      <c r="A230" t="s">
        <v>7102</v>
      </c>
      <c r="B230" t="s">
        <v>7101</v>
      </c>
      <c r="C230" t="s">
        <v>1</v>
      </c>
      <c r="D230">
        <v>29</v>
      </c>
      <c r="E230" t="s">
        <v>39</v>
      </c>
      <c r="F230" t="s">
        <v>85</v>
      </c>
      <c r="G230" s="1">
        <v>46116</v>
      </c>
      <c r="H230" s="1">
        <v>46112</v>
      </c>
      <c r="I230" t="s">
        <v>7100</v>
      </c>
      <c r="J230" t="s">
        <v>7099</v>
      </c>
      <c r="L230">
        <v>18743.82</v>
      </c>
      <c r="M230" t="s">
        <v>17</v>
      </c>
      <c r="N230">
        <v>312</v>
      </c>
      <c r="O230" t="s">
        <v>25</v>
      </c>
    </row>
    <row r="231" spans="1:15" x14ac:dyDescent="0.3">
      <c r="A231" t="s">
        <v>7098</v>
      </c>
      <c r="B231" t="s">
        <v>7097</v>
      </c>
      <c r="D231">
        <v>69</v>
      </c>
      <c r="E231" t="s">
        <v>21</v>
      </c>
      <c r="F231" t="s">
        <v>38</v>
      </c>
      <c r="G231" s="1">
        <v>46051</v>
      </c>
      <c r="H231" s="1">
        <v>46030</v>
      </c>
      <c r="I231" t="s">
        <v>7096</v>
      </c>
      <c r="J231" t="s">
        <v>7095</v>
      </c>
      <c r="K231" t="s">
        <v>64</v>
      </c>
      <c r="L231">
        <v>13232.57</v>
      </c>
      <c r="M231" t="s">
        <v>17</v>
      </c>
      <c r="N231">
        <v>139</v>
      </c>
      <c r="O231" t="s">
        <v>34</v>
      </c>
    </row>
    <row r="232" spans="1:15" x14ac:dyDescent="0.3">
      <c r="A232" t="s">
        <v>7094</v>
      </c>
      <c r="B232" t="s">
        <v>7093</v>
      </c>
      <c r="C232" t="s">
        <v>74</v>
      </c>
      <c r="D232">
        <v>8</v>
      </c>
      <c r="E232" t="s">
        <v>21</v>
      </c>
      <c r="F232" t="s">
        <v>53</v>
      </c>
      <c r="G232" s="1">
        <v>46107</v>
      </c>
      <c r="H232" s="1">
        <v>46102</v>
      </c>
      <c r="I232" t="s">
        <v>7092</v>
      </c>
      <c r="J232" t="s">
        <v>7091</v>
      </c>
      <c r="K232" t="s">
        <v>57</v>
      </c>
      <c r="L232">
        <v>21391.25</v>
      </c>
      <c r="N232">
        <v>159</v>
      </c>
      <c r="O232" t="s">
        <v>25</v>
      </c>
    </row>
    <row r="233" spans="1:15" x14ac:dyDescent="0.3">
      <c r="A233" t="s">
        <v>7090</v>
      </c>
      <c r="B233" t="s">
        <v>7089</v>
      </c>
      <c r="C233" t="s">
        <v>1</v>
      </c>
      <c r="D233">
        <v>75</v>
      </c>
      <c r="E233" t="s">
        <v>68</v>
      </c>
      <c r="F233" t="s">
        <v>20</v>
      </c>
      <c r="G233" s="1">
        <v>46125</v>
      </c>
      <c r="H233" s="1">
        <v>46097</v>
      </c>
      <c r="I233" t="s">
        <v>7088</v>
      </c>
      <c r="J233" t="s">
        <v>7087</v>
      </c>
      <c r="L233">
        <v>20255.560000000001</v>
      </c>
      <c r="N233">
        <v>167</v>
      </c>
      <c r="O233" t="s">
        <v>34</v>
      </c>
    </row>
    <row r="234" spans="1:15" x14ac:dyDescent="0.3">
      <c r="A234" t="s">
        <v>7086</v>
      </c>
      <c r="B234" t="s">
        <v>7085</v>
      </c>
      <c r="C234" t="s">
        <v>123</v>
      </c>
      <c r="D234">
        <v>59</v>
      </c>
      <c r="E234" t="s">
        <v>47</v>
      </c>
      <c r="F234" t="s">
        <v>85</v>
      </c>
      <c r="G234" s="1">
        <v>46065</v>
      </c>
      <c r="H234" s="1">
        <v>46044</v>
      </c>
      <c r="I234" t="s">
        <v>7084</v>
      </c>
      <c r="J234" t="s">
        <v>7083</v>
      </c>
      <c r="K234" t="s">
        <v>26</v>
      </c>
      <c r="L234">
        <v>18137.349999999999</v>
      </c>
      <c r="N234">
        <v>230</v>
      </c>
      <c r="O234" t="s">
        <v>50</v>
      </c>
    </row>
    <row r="235" spans="1:15" x14ac:dyDescent="0.3">
      <c r="A235" t="s">
        <v>7082</v>
      </c>
      <c r="B235" t="s">
        <v>7081</v>
      </c>
      <c r="C235" t="s">
        <v>40</v>
      </c>
      <c r="D235">
        <v>28</v>
      </c>
      <c r="E235" t="s">
        <v>80</v>
      </c>
      <c r="F235" t="s">
        <v>46</v>
      </c>
      <c r="G235" s="1">
        <v>46079</v>
      </c>
      <c r="H235" s="1">
        <v>46066</v>
      </c>
      <c r="I235" t="s">
        <v>7080</v>
      </c>
      <c r="J235" t="s">
        <v>7079</v>
      </c>
      <c r="K235" t="s">
        <v>57</v>
      </c>
      <c r="L235">
        <v>17569.54</v>
      </c>
      <c r="M235" t="s">
        <v>27</v>
      </c>
      <c r="N235">
        <v>135</v>
      </c>
      <c r="O235" t="s">
        <v>16</v>
      </c>
    </row>
    <row r="236" spans="1:15" x14ac:dyDescent="0.3">
      <c r="A236" t="s">
        <v>7078</v>
      </c>
      <c r="B236" t="s">
        <v>7077</v>
      </c>
      <c r="C236" t="s">
        <v>40</v>
      </c>
      <c r="D236">
        <v>37</v>
      </c>
      <c r="E236" t="s">
        <v>54</v>
      </c>
      <c r="F236" t="s">
        <v>53</v>
      </c>
      <c r="G236" s="1">
        <v>46134</v>
      </c>
      <c r="H236" s="1">
        <v>46110</v>
      </c>
      <c r="I236" t="s">
        <v>7076</v>
      </c>
      <c r="J236" t="s">
        <v>7075</v>
      </c>
      <c r="K236" t="s">
        <v>35</v>
      </c>
      <c r="L236">
        <v>19192.53</v>
      </c>
      <c r="N236">
        <v>291</v>
      </c>
      <c r="O236" t="s">
        <v>16</v>
      </c>
    </row>
    <row r="237" spans="1:15" x14ac:dyDescent="0.3">
      <c r="A237" t="s">
        <v>7074</v>
      </c>
      <c r="B237" t="s">
        <v>7073</v>
      </c>
      <c r="D237">
        <v>49</v>
      </c>
      <c r="E237" t="s">
        <v>54</v>
      </c>
      <c r="F237" t="s">
        <v>20</v>
      </c>
      <c r="G237" s="1">
        <v>46012</v>
      </c>
      <c r="H237" s="1">
        <v>45991</v>
      </c>
      <c r="I237" t="s">
        <v>7072</v>
      </c>
      <c r="J237" t="s">
        <v>7071</v>
      </c>
      <c r="K237" t="s">
        <v>35</v>
      </c>
      <c r="L237">
        <v>16407.650000000001</v>
      </c>
      <c r="M237" t="s">
        <v>17</v>
      </c>
      <c r="N237">
        <v>160</v>
      </c>
      <c r="O237" t="s">
        <v>71</v>
      </c>
    </row>
    <row r="238" spans="1:15" x14ac:dyDescent="0.3">
      <c r="A238" t="s">
        <v>7070</v>
      </c>
      <c r="B238" t="s">
        <v>7069</v>
      </c>
      <c r="C238" t="s">
        <v>123</v>
      </c>
      <c r="D238">
        <v>68</v>
      </c>
      <c r="E238" t="s">
        <v>39</v>
      </c>
      <c r="F238" t="s">
        <v>38</v>
      </c>
      <c r="G238" s="1">
        <v>46012</v>
      </c>
      <c r="H238" s="1">
        <v>45986</v>
      </c>
      <c r="I238" t="s">
        <v>7068</v>
      </c>
      <c r="J238" t="s">
        <v>7067</v>
      </c>
      <c r="K238" t="s">
        <v>27</v>
      </c>
      <c r="L238">
        <v>18953.25</v>
      </c>
      <c r="M238" t="s">
        <v>63</v>
      </c>
      <c r="N238">
        <v>337</v>
      </c>
      <c r="O238" t="s">
        <v>25</v>
      </c>
    </row>
    <row r="239" spans="1:15" x14ac:dyDescent="0.3">
      <c r="A239" t="s">
        <v>7066</v>
      </c>
      <c r="B239" t="s">
        <v>7065</v>
      </c>
      <c r="C239" t="s">
        <v>123</v>
      </c>
      <c r="D239">
        <v>69</v>
      </c>
      <c r="E239" t="s">
        <v>54</v>
      </c>
      <c r="F239" t="s">
        <v>38</v>
      </c>
      <c r="G239" s="1">
        <v>46081</v>
      </c>
      <c r="H239" s="1">
        <v>46074</v>
      </c>
      <c r="I239" t="s">
        <v>7064</v>
      </c>
      <c r="J239" t="s">
        <v>7063</v>
      </c>
      <c r="L239">
        <v>8784.76</v>
      </c>
      <c r="M239" t="s">
        <v>63</v>
      </c>
      <c r="N239">
        <v>196</v>
      </c>
      <c r="O239" t="s">
        <v>25</v>
      </c>
    </row>
    <row r="240" spans="1:15" x14ac:dyDescent="0.3">
      <c r="A240" t="s">
        <v>7062</v>
      </c>
      <c r="B240" t="s">
        <v>7061</v>
      </c>
      <c r="C240" t="s">
        <v>74</v>
      </c>
      <c r="D240">
        <v>5</v>
      </c>
      <c r="E240" t="s">
        <v>54</v>
      </c>
      <c r="F240" t="s">
        <v>46</v>
      </c>
      <c r="G240" s="1">
        <v>46156</v>
      </c>
      <c r="H240" s="1">
        <v>46149</v>
      </c>
      <c r="I240" t="s">
        <v>7060</v>
      </c>
      <c r="J240" t="s">
        <v>7059</v>
      </c>
      <c r="K240" t="s">
        <v>17</v>
      </c>
      <c r="L240">
        <v>1868.81</v>
      </c>
      <c r="M240" t="s">
        <v>27</v>
      </c>
      <c r="N240">
        <v>328</v>
      </c>
      <c r="O240" t="s">
        <v>34</v>
      </c>
    </row>
    <row r="241" spans="1:15" x14ac:dyDescent="0.3">
      <c r="A241" t="s">
        <v>7058</v>
      </c>
      <c r="B241" t="s">
        <v>7057</v>
      </c>
      <c r="C241" t="s">
        <v>40</v>
      </c>
      <c r="D241">
        <v>32</v>
      </c>
      <c r="E241" t="s">
        <v>47</v>
      </c>
      <c r="F241" t="s">
        <v>90</v>
      </c>
      <c r="G241" s="1">
        <v>46126</v>
      </c>
      <c r="H241" s="1">
        <v>46112</v>
      </c>
      <c r="I241" t="s">
        <v>7056</v>
      </c>
      <c r="J241" t="s">
        <v>7055</v>
      </c>
      <c r="K241" t="s">
        <v>17</v>
      </c>
      <c r="L241">
        <v>13586.04</v>
      </c>
      <c r="M241" t="s">
        <v>27</v>
      </c>
      <c r="N241">
        <v>171</v>
      </c>
      <c r="O241" t="s">
        <v>34</v>
      </c>
    </row>
    <row r="242" spans="1:15" x14ac:dyDescent="0.3">
      <c r="A242" t="s">
        <v>7054</v>
      </c>
      <c r="B242" t="s">
        <v>7053</v>
      </c>
      <c r="C242" t="s">
        <v>22</v>
      </c>
      <c r="D242">
        <v>30</v>
      </c>
      <c r="E242" t="s">
        <v>31</v>
      </c>
      <c r="F242" t="s">
        <v>67</v>
      </c>
      <c r="G242" s="1">
        <v>46090</v>
      </c>
      <c r="H242" s="1">
        <v>46083</v>
      </c>
      <c r="I242" t="s">
        <v>7052</v>
      </c>
      <c r="J242" t="s">
        <v>7051</v>
      </c>
      <c r="K242" t="s">
        <v>26</v>
      </c>
      <c r="L242">
        <v>21931.21</v>
      </c>
      <c r="M242" t="s">
        <v>57</v>
      </c>
      <c r="N242">
        <v>311</v>
      </c>
      <c r="O242" t="s">
        <v>43</v>
      </c>
    </row>
    <row r="243" spans="1:15" x14ac:dyDescent="0.3">
      <c r="A243" t="s">
        <v>7050</v>
      </c>
      <c r="B243" t="s">
        <v>7049</v>
      </c>
      <c r="C243" t="s">
        <v>22</v>
      </c>
      <c r="D243">
        <v>8</v>
      </c>
      <c r="E243" t="s">
        <v>39</v>
      </c>
      <c r="F243" t="s">
        <v>90</v>
      </c>
      <c r="G243" s="1">
        <v>46166</v>
      </c>
      <c r="H243" s="1">
        <v>46149</v>
      </c>
      <c r="I243" t="s">
        <v>7048</v>
      </c>
      <c r="J243" t="s">
        <v>7047</v>
      </c>
      <c r="L243">
        <v>1362.73</v>
      </c>
      <c r="M243" t="s">
        <v>17</v>
      </c>
      <c r="N243">
        <v>429</v>
      </c>
      <c r="O243" t="s">
        <v>25</v>
      </c>
    </row>
    <row r="244" spans="1:15" x14ac:dyDescent="0.3">
      <c r="A244" t="s">
        <v>7046</v>
      </c>
      <c r="B244" t="s">
        <v>7045</v>
      </c>
      <c r="C244" t="s">
        <v>123</v>
      </c>
      <c r="D244">
        <v>68</v>
      </c>
      <c r="E244" t="s">
        <v>31</v>
      </c>
      <c r="F244" t="s">
        <v>90</v>
      </c>
      <c r="G244" s="1">
        <v>46013</v>
      </c>
      <c r="H244" s="1">
        <v>46000</v>
      </c>
      <c r="I244" t="s">
        <v>7044</v>
      </c>
      <c r="J244" t="s">
        <v>7043</v>
      </c>
      <c r="K244" t="s">
        <v>35</v>
      </c>
      <c r="L244">
        <v>7637.23</v>
      </c>
      <c r="M244" t="s">
        <v>26</v>
      </c>
      <c r="N244">
        <v>486</v>
      </c>
      <c r="O244" t="s">
        <v>34</v>
      </c>
    </row>
    <row r="245" spans="1:15" x14ac:dyDescent="0.3">
      <c r="A245" t="s">
        <v>7042</v>
      </c>
      <c r="B245" t="s">
        <v>7041</v>
      </c>
      <c r="D245">
        <v>31</v>
      </c>
      <c r="E245" t="s">
        <v>1326</v>
      </c>
      <c r="F245" t="s">
        <v>30</v>
      </c>
      <c r="G245" s="1">
        <v>46006</v>
      </c>
      <c r="H245" s="1">
        <v>45979</v>
      </c>
      <c r="I245" t="s">
        <v>7040</v>
      </c>
      <c r="K245" t="s">
        <v>35</v>
      </c>
      <c r="L245">
        <v>20183.25</v>
      </c>
      <c r="M245" t="s">
        <v>27</v>
      </c>
      <c r="N245">
        <v>387</v>
      </c>
      <c r="O245" t="s">
        <v>16</v>
      </c>
    </row>
    <row r="246" spans="1:15" x14ac:dyDescent="0.3">
      <c r="A246" t="s">
        <v>7039</v>
      </c>
      <c r="B246" t="s">
        <v>7038</v>
      </c>
      <c r="C246" t="s">
        <v>123</v>
      </c>
      <c r="D246">
        <v>72</v>
      </c>
      <c r="E246" t="s">
        <v>39</v>
      </c>
      <c r="F246" t="s">
        <v>90</v>
      </c>
      <c r="G246" s="1">
        <v>46059</v>
      </c>
      <c r="H246" s="1">
        <v>46052</v>
      </c>
      <c r="I246" t="s">
        <v>7037</v>
      </c>
      <c r="J246" t="s">
        <v>7036</v>
      </c>
      <c r="K246" t="s">
        <v>26</v>
      </c>
      <c r="L246">
        <v>5242.75</v>
      </c>
      <c r="M246" t="s">
        <v>64</v>
      </c>
      <c r="N246">
        <v>330</v>
      </c>
      <c r="O246" t="s">
        <v>50</v>
      </c>
    </row>
    <row r="247" spans="1:15" x14ac:dyDescent="0.3">
      <c r="A247" t="s">
        <v>7035</v>
      </c>
      <c r="B247" t="s">
        <v>7034</v>
      </c>
      <c r="C247" t="s">
        <v>60</v>
      </c>
      <c r="D247">
        <v>12</v>
      </c>
      <c r="E247" t="s">
        <v>21</v>
      </c>
      <c r="F247" t="s">
        <v>46</v>
      </c>
      <c r="G247" s="1">
        <v>46031</v>
      </c>
      <c r="H247" s="1">
        <v>46023</v>
      </c>
      <c r="I247" t="s">
        <v>7033</v>
      </c>
      <c r="J247" t="s">
        <v>7032</v>
      </c>
      <c r="L247">
        <v>16907.060000000001</v>
      </c>
      <c r="M247" t="s">
        <v>27</v>
      </c>
      <c r="N247">
        <v>547</v>
      </c>
      <c r="O247" t="s">
        <v>77</v>
      </c>
    </row>
    <row r="248" spans="1:15" x14ac:dyDescent="0.3">
      <c r="A248" t="s">
        <v>7031</v>
      </c>
      <c r="B248" t="s">
        <v>7030</v>
      </c>
      <c r="C248" t="s">
        <v>1</v>
      </c>
      <c r="D248">
        <v>76</v>
      </c>
      <c r="E248" t="s">
        <v>21</v>
      </c>
      <c r="F248" t="s">
        <v>85</v>
      </c>
      <c r="G248" s="1">
        <v>46042</v>
      </c>
      <c r="H248" s="1">
        <v>46036</v>
      </c>
      <c r="I248" t="s">
        <v>7029</v>
      </c>
      <c r="J248" t="s">
        <v>7028</v>
      </c>
      <c r="K248" t="s">
        <v>57</v>
      </c>
      <c r="L248">
        <v>7719.06</v>
      </c>
      <c r="M248" t="s">
        <v>27</v>
      </c>
      <c r="N248">
        <v>208</v>
      </c>
      <c r="O248" t="s">
        <v>71</v>
      </c>
    </row>
    <row r="249" spans="1:15" x14ac:dyDescent="0.3">
      <c r="A249" t="s">
        <v>7027</v>
      </c>
      <c r="B249" t="s">
        <v>7026</v>
      </c>
      <c r="C249" t="s">
        <v>74</v>
      </c>
      <c r="D249">
        <v>62</v>
      </c>
      <c r="E249" t="s">
        <v>21</v>
      </c>
      <c r="F249" t="s">
        <v>38</v>
      </c>
      <c r="G249" s="1">
        <v>46041</v>
      </c>
      <c r="H249" s="1">
        <v>46029</v>
      </c>
      <c r="I249" t="s">
        <v>7025</v>
      </c>
      <c r="J249" t="s">
        <v>7024</v>
      </c>
      <c r="K249" t="s">
        <v>17</v>
      </c>
      <c r="L249">
        <v>13891.57</v>
      </c>
      <c r="M249" t="s">
        <v>63</v>
      </c>
      <c r="N249">
        <v>294</v>
      </c>
      <c r="O249" t="s">
        <v>16</v>
      </c>
    </row>
    <row r="250" spans="1:15" x14ac:dyDescent="0.3">
      <c r="A250" t="s">
        <v>7023</v>
      </c>
      <c r="B250" t="s">
        <v>7022</v>
      </c>
      <c r="C250" t="s">
        <v>60</v>
      </c>
      <c r="D250">
        <v>40</v>
      </c>
      <c r="E250" t="s">
        <v>132</v>
      </c>
      <c r="F250" t="s">
        <v>67</v>
      </c>
      <c r="G250" s="1">
        <v>46116</v>
      </c>
      <c r="H250" s="1">
        <v>46100</v>
      </c>
      <c r="I250" t="s">
        <v>7021</v>
      </c>
      <c r="J250" t="s">
        <v>7020</v>
      </c>
      <c r="L250">
        <v>11756.9</v>
      </c>
      <c r="N250">
        <v>489</v>
      </c>
      <c r="O250" t="s">
        <v>50</v>
      </c>
    </row>
    <row r="251" spans="1:15" x14ac:dyDescent="0.3">
      <c r="A251" t="s">
        <v>7019</v>
      </c>
      <c r="B251" t="s">
        <v>7018</v>
      </c>
      <c r="C251" t="s">
        <v>60</v>
      </c>
      <c r="D251">
        <v>27</v>
      </c>
      <c r="E251" t="s">
        <v>31</v>
      </c>
      <c r="F251" t="s">
        <v>67</v>
      </c>
      <c r="G251" s="1">
        <v>46130</v>
      </c>
      <c r="H251" s="1">
        <v>46117</v>
      </c>
      <c r="I251" t="s">
        <v>7017</v>
      </c>
      <c r="J251" t="s">
        <v>7016</v>
      </c>
      <c r="K251" t="s">
        <v>27</v>
      </c>
      <c r="L251">
        <v>14150.61</v>
      </c>
      <c r="M251" t="s">
        <v>57</v>
      </c>
      <c r="N251">
        <v>479</v>
      </c>
      <c r="O251" t="s">
        <v>71</v>
      </c>
    </row>
    <row r="252" spans="1:15" x14ac:dyDescent="0.3">
      <c r="A252" t="s">
        <v>7015</v>
      </c>
      <c r="B252" t="s">
        <v>7014</v>
      </c>
      <c r="C252" t="s">
        <v>40</v>
      </c>
      <c r="D252">
        <v>34</v>
      </c>
      <c r="E252" t="s">
        <v>54</v>
      </c>
      <c r="F252" t="s">
        <v>30</v>
      </c>
      <c r="G252" s="1">
        <v>46069</v>
      </c>
      <c r="H252" s="1">
        <v>46065</v>
      </c>
      <c r="I252" t="s">
        <v>7013</v>
      </c>
      <c r="J252" t="s">
        <v>7012</v>
      </c>
      <c r="K252" t="s">
        <v>17</v>
      </c>
      <c r="L252">
        <v>8380.66</v>
      </c>
      <c r="N252">
        <v>391</v>
      </c>
      <c r="O252" t="s">
        <v>50</v>
      </c>
    </row>
    <row r="253" spans="1:15" x14ac:dyDescent="0.3">
      <c r="A253" t="s">
        <v>7011</v>
      </c>
      <c r="B253" t="s">
        <v>7010</v>
      </c>
      <c r="C253" t="s">
        <v>1</v>
      </c>
      <c r="D253">
        <v>64</v>
      </c>
      <c r="E253" t="s">
        <v>31</v>
      </c>
      <c r="F253" t="s">
        <v>30</v>
      </c>
      <c r="G253" s="1">
        <v>46132</v>
      </c>
      <c r="H253" s="1">
        <v>46108</v>
      </c>
      <c r="I253" t="s">
        <v>7009</v>
      </c>
      <c r="J253" t="s">
        <v>7008</v>
      </c>
      <c r="L253">
        <v>24169.41</v>
      </c>
      <c r="N253">
        <v>335</v>
      </c>
      <c r="O253" t="s">
        <v>71</v>
      </c>
    </row>
    <row r="254" spans="1:15" x14ac:dyDescent="0.3">
      <c r="A254" t="s">
        <v>7007</v>
      </c>
      <c r="B254" t="s">
        <v>7006</v>
      </c>
      <c r="C254" t="s">
        <v>60</v>
      </c>
      <c r="D254">
        <v>22</v>
      </c>
      <c r="E254" t="s">
        <v>39</v>
      </c>
      <c r="F254" t="s">
        <v>85</v>
      </c>
      <c r="G254" s="1">
        <v>46077</v>
      </c>
      <c r="H254" s="1">
        <v>46072</v>
      </c>
      <c r="I254" t="s">
        <v>7005</v>
      </c>
      <c r="J254" t="s">
        <v>7004</v>
      </c>
      <c r="K254" t="s">
        <v>27</v>
      </c>
      <c r="L254">
        <v>13193.82</v>
      </c>
      <c r="M254" t="s">
        <v>64</v>
      </c>
      <c r="N254">
        <v>518</v>
      </c>
      <c r="O254" t="s">
        <v>25</v>
      </c>
    </row>
    <row r="255" spans="1:15" x14ac:dyDescent="0.3">
      <c r="A255" t="s">
        <v>7003</v>
      </c>
      <c r="B255" t="s">
        <v>7002</v>
      </c>
      <c r="C255" t="s">
        <v>40</v>
      </c>
      <c r="D255">
        <v>1</v>
      </c>
      <c r="E255" t="s">
        <v>54</v>
      </c>
      <c r="F255" t="s">
        <v>53</v>
      </c>
      <c r="G255" s="1">
        <v>46102</v>
      </c>
      <c r="H255" s="1">
        <v>46076</v>
      </c>
      <c r="I255" t="s">
        <v>7001</v>
      </c>
      <c r="J255" t="s">
        <v>7000</v>
      </c>
      <c r="K255" t="s">
        <v>17</v>
      </c>
      <c r="L255">
        <v>1885.6</v>
      </c>
      <c r="M255" t="s">
        <v>26</v>
      </c>
      <c r="N255">
        <v>104</v>
      </c>
      <c r="O255" t="s">
        <v>71</v>
      </c>
    </row>
    <row r="257" spans="1:15" x14ac:dyDescent="0.3">
      <c r="A257" t="s">
        <v>6999</v>
      </c>
      <c r="B257" t="s">
        <v>6998</v>
      </c>
      <c r="D257">
        <v>48</v>
      </c>
      <c r="E257" t="s">
        <v>47</v>
      </c>
      <c r="F257" t="s">
        <v>85</v>
      </c>
      <c r="G257" s="1">
        <v>46075</v>
      </c>
      <c r="H257" s="1">
        <v>46054</v>
      </c>
      <c r="I257" t="s">
        <v>6997</v>
      </c>
      <c r="J257" t="s">
        <v>6996</v>
      </c>
      <c r="L257">
        <v>590.15</v>
      </c>
      <c r="N257">
        <v>106</v>
      </c>
      <c r="O257" t="s">
        <v>77</v>
      </c>
    </row>
    <row r="258" spans="1:15" x14ac:dyDescent="0.3">
      <c r="A258" t="s">
        <v>6995</v>
      </c>
      <c r="B258" t="s">
        <v>6994</v>
      </c>
      <c r="C258" t="s">
        <v>22</v>
      </c>
      <c r="D258">
        <v>69</v>
      </c>
      <c r="E258" t="s">
        <v>132</v>
      </c>
      <c r="F258" t="s">
        <v>46</v>
      </c>
      <c r="G258" s="1">
        <v>46093</v>
      </c>
      <c r="H258" s="1">
        <v>46077</v>
      </c>
      <c r="I258" t="s">
        <v>6993</v>
      </c>
      <c r="J258" t="s">
        <v>6992</v>
      </c>
      <c r="L258">
        <v>20192.96</v>
      </c>
      <c r="M258" t="s">
        <v>26</v>
      </c>
      <c r="N258">
        <v>154</v>
      </c>
      <c r="O258" t="s">
        <v>77</v>
      </c>
    </row>
    <row r="259" spans="1:15" x14ac:dyDescent="0.3">
      <c r="A259" t="s">
        <v>6991</v>
      </c>
      <c r="B259" t="s">
        <v>6990</v>
      </c>
      <c r="C259" t="s">
        <v>0</v>
      </c>
      <c r="D259">
        <v>31</v>
      </c>
      <c r="E259" t="s">
        <v>21</v>
      </c>
      <c r="F259" t="s">
        <v>30</v>
      </c>
      <c r="G259" s="1">
        <v>46021</v>
      </c>
      <c r="H259" s="1">
        <v>45995</v>
      </c>
      <c r="I259" t="s">
        <v>6989</v>
      </c>
      <c r="J259" t="s">
        <v>6988</v>
      </c>
      <c r="K259" t="s">
        <v>57</v>
      </c>
      <c r="L259">
        <v>6829.65</v>
      </c>
      <c r="N259">
        <v>140</v>
      </c>
      <c r="O259" t="s">
        <v>43</v>
      </c>
    </row>
    <row r="260" spans="1:15" x14ac:dyDescent="0.3">
      <c r="A260" t="s">
        <v>6987</v>
      </c>
      <c r="B260" t="s">
        <v>6986</v>
      </c>
      <c r="C260" t="s">
        <v>123</v>
      </c>
      <c r="D260">
        <v>59</v>
      </c>
      <c r="E260" t="s">
        <v>21</v>
      </c>
      <c r="F260" t="s">
        <v>38</v>
      </c>
      <c r="G260" s="1">
        <v>46058</v>
      </c>
      <c r="H260" s="1">
        <v>46049</v>
      </c>
      <c r="I260" t="s">
        <v>6985</v>
      </c>
      <c r="J260" t="s">
        <v>6984</v>
      </c>
      <c r="K260" t="s">
        <v>64</v>
      </c>
      <c r="L260">
        <v>16412.650000000001</v>
      </c>
      <c r="M260" t="s">
        <v>27</v>
      </c>
      <c r="N260">
        <v>147</v>
      </c>
      <c r="O260" t="s">
        <v>16</v>
      </c>
    </row>
    <row r="261" spans="1:15" x14ac:dyDescent="0.3">
      <c r="A261" t="s">
        <v>6983</v>
      </c>
      <c r="B261" t="s">
        <v>6982</v>
      </c>
      <c r="C261" t="s">
        <v>123</v>
      </c>
      <c r="D261">
        <v>49</v>
      </c>
      <c r="E261" t="s">
        <v>68</v>
      </c>
      <c r="F261" t="s">
        <v>46</v>
      </c>
      <c r="G261" s="1">
        <v>46076</v>
      </c>
      <c r="H261" s="1">
        <v>46056</v>
      </c>
      <c r="I261" t="s">
        <v>6981</v>
      </c>
      <c r="J261" t="s">
        <v>6980</v>
      </c>
      <c r="K261" t="s">
        <v>27</v>
      </c>
      <c r="L261">
        <v>17630.560000000001</v>
      </c>
      <c r="M261" t="s">
        <v>64</v>
      </c>
      <c r="N261">
        <v>355</v>
      </c>
      <c r="O261" t="s">
        <v>50</v>
      </c>
    </row>
    <row r="262" spans="1:15" x14ac:dyDescent="0.3">
      <c r="A262" t="s">
        <v>6979</v>
      </c>
      <c r="B262" t="s">
        <v>6978</v>
      </c>
      <c r="C262" t="s">
        <v>123</v>
      </c>
      <c r="D262">
        <v>83</v>
      </c>
      <c r="E262" t="s">
        <v>31</v>
      </c>
      <c r="F262" t="s">
        <v>20</v>
      </c>
      <c r="G262" s="1">
        <v>46090</v>
      </c>
      <c r="H262" s="1">
        <v>46062</v>
      </c>
      <c r="I262" t="s">
        <v>6977</v>
      </c>
      <c r="J262" t="s">
        <v>6976</v>
      </c>
      <c r="K262" t="s">
        <v>27</v>
      </c>
      <c r="L262">
        <v>5898.21</v>
      </c>
      <c r="N262">
        <v>238</v>
      </c>
      <c r="O262" t="s">
        <v>77</v>
      </c>
    </row>
    <row r="263" spans="1:15" x14ac:dyDescent="0.3">
      <c r="A263" t="s">
        <v>6975</v>
      </c>
      <c r="B263" t="s">
        <v>6974</v>
      </c>
      <c r="C263" t="s">
        <v>74</v>
      </c>
      <c r="D263">
        <v>88</v>
      </c>
      <c r="E263" t="s">
        <v>132</v>
      </c>
      <c r="F263" t="s">
        <v>46</v>
      </c>
      <c r="G263" s="1">
        <v>46075</v>
      </c>
      <c r="H263" s="1">
        <v>46070</v>
      </c>
      <c r="I263" t="s">
        <v>6973</v>
      </c>
      <c r="J263" t="s">
        <v>6972</v>
      </c>
      <c r="K263" t="s">
        <v>57</v>
      </c>
      <c r="L263">
        <v>588.32000000000005</v>
      </c>
      <c r="M263" t="s">
        <v>57</v>
      </c>
      <c r="N263">
        <v>400</v>
      </c>
      <c r="O263" t="s">
        <v>71</v>
      </c>
    </row>
    <row r="264" spans="1:15" x14ac:dyDescent="0.3">
      <c r="A264" t="s">
        <v>6971</v>
      </c>
      <c r="B264" t="s">
        <v>6970</v>
      </c>
      <c r="C264" t="s">
        <v>123</v>
      </c>
      <c r="D264">
        <v>10</v>
      </c>
      <c r="E264" t="s">
        <v>132</v>
      </c>
      <c r="F264" t="s">
        <v>53</v>
      </c>
      <c r="G264" s="1">
        <v>46060</v>
      </c>
      <c r="H264" s="1">
        <v>46042</v>
      </c>
      <c r="I264" t="s">
        <v>6969</v>
      </c>
      <c r="J264" t="s">
        <v>6968</v>
      </c>
      <c r="K264" t="s">
        <v>17</v>
      </c>
      <c r="L264">
        <v>14254.06</v>
      </c>
      <c r="N264">
        <v>446</v>
      </c>
      <c r="O264" t="s">
        <v>34</v>
      </c>
    </row>
    <row r="265" spans="1:15" x14ac:dyDescent="0.3">
      <c r="A265" t="s">
        <v>6967</v>
      </c>
      <c r="B265" t="s">
        <v>6966</v>
      </c>
      <c r="C265" t="s">
        <v>60</v>
      </c>
      <c r="D265">
        <v>50</v>
      </c>
      <c r="E265" t="s">
        <v>39</v>
      </c>
      <c r="F265" t="s">
        <v>20</v>
      </c>
      <c r="G265" s="1">
        <v>46042</v>
      </c>
      <c r="H265" s="1">
        <v>46026</v>
      </c>
      <c r="I265" t="s">
        <v>6965</v>
      </c>
      <c r="J265" t="s">
        <v>6964</v>
      </c>
      <c r="K265" t="s">
        <v>57</v>
      </c>
      <c r="L265">
        <v>1531.67</v>
      </c>
      <c r="N265">
        <v>218</v>
      </c>
      <c r="O265" t="s">
        <v>50</v>
      </c>
    </row>
    <row r="266" spans="1:15" x14ac:dyDescent="0.3">
      <c r="A266" t="s">
        <v>6963</v>
      </c>
      <c r="B266" t="s">
        <v>6962</v>
      </c>
      <c r="C266" t="s">
        <v>74</v>
      </c>
      <c r="D266">
        <v>44</v>
      </c>
      <c r="E266" t="s">
        <v>54</v>
      </c>
      <c r="F266" t="s">
        <v>67</v>
      </c>
      <c r="G266" s="1">
        <v>46143</v>
      </c>
      <c r="H266" s="1">
        <v>46148</v>
      </c>
      <c r="I266" t="s">
        <v>6961</v>
      </c>
      <c r="J266" t="s">
        <v>6960</v>
      </c>
      <c r="K266" t="s">
        <v>26</v>
      </c>
      <c r="L266">
        <v>19631.990000000002</v>
      </c>
      <c r="N266">
        <v>351</v>
      </c>
      <c r="O266" t="s">
        <v>71</v>
      </c>
    </row>
    <row r="267" spans="1:15" x14ac:dyDescent="0.3">
      <c r="A267" t="s">
        <v>6959</v>
      </c>
      <c r="B267" t="s">
        <v>6958</v>
      </c>
      <c r="C267" t="s">
        <v>60</v>
      </c>
      <c r="D267">
        <v>71</v>
      </c>
      <c r="E267" t="s">
        <v>54</v>
      </c>
      <c r="F267" t="s">
        <v>90</v>
      </c>
      <c r="G267" s="1">
        <v>46034</v>
      </c>
      <c r="H267" s="1">
        <v>46029</v>
      </c>
      <c r="I267" t="s">
        <v>6957</v>
      </c>
      <c r="J267" t="s">
        <v>6956</v>
      </c>
      <c r="L267">
        <v>2325.21</v>
      </c>
      <c r="M267" t="s">
        <v>63</v>
      </c>
      <c r="N267">
        <v>508</v>
      </c>
      <c r="O267" t="s">
        <v>71</v>
      </c>
    </row>
    <row r="268" spans="1:15" x14ac:dyDescent="0.3">
      <c r="A268" t="s">
        <v>6955</v>
      </c>
      <c r="B268" t="s">
        <v>6954</v>
      </c>
      <c r="C268" t="s">
        <v>74</v>
      </c>
      <c r="D268">
        <v>11</v>
      </c>
      <c r="E268" t="s">
        <v>132</v>
      </c>
      <c r="F268" t="s">
        <v>53</v>
      </c>
      <c r="G268" s="1">
        <v>46120</v>
      </c>
      <c r="H268" s="1">
        <v>46108</v>
      </c>
      <c r="I268" t="s">
        <v>6953</v>
      </c>
      <c r="J268" t="s">
        <v>6952</v>
      </c>
      <c r="K268" t="s">
        <v>35</v>
      </c>
      <c r="L268">
        <v>18543.45</v>
      </c>
      <c r="M268" t="s">
        <v>17</v>
      </c>
      <c r="N268">
        <v>284</v>
      </c>
      <c r="O268" t="s">
        <v>77</v>
      </c>
    </row>
    <row r="269" spans="1:15" x14ac:dyDescent="0.3">
      <c r="A269" t="s">
        <v>6951</v>
      </c>
      <c r="B269" t="s">
        <v>6950</v>
      </c>
      <c r="C269" t="s">
        <v>74</v>
      </c>
      <c r="D269">
        <v>1</v>
      </c>
      <c r="E269" t="s">
        <v>132</v>
      </c>
      <c r="F269" t="s">
        <v>85</v>
      </c>
      <c r="G269" s="1">
        <v>46075</v>
      </c>
      <c r="H269" s="1">
        <v>46064</v>
      </c>
      <c r="I269" t="s">
        <v>6949</v>
      </c>
      <c r="J269" t="s">
        <v>6948</v>
      </c>
      <c r="K269" t="s">
        <v>26</v>
      </c>
      <c r="L269">
        <v>2735.34</v>
      </c>
      <c r="M269" t="s">
        <v>64</v>
      </c>
      <c r="N269">
        <v>195</v>
      </c>
      <c r="O269" t="s">
        <v>16</v>
      </c>
    </row>
    <row r="270" spans="1:15" x14ac:dyDescent="0.3">
      <c r="A270" t="s">
        <v>6947</v>
      </c>
      <c r="B270" t="s">
        <v>6946</v>
      </c>
      <c r="D270">
        <v>72</v>
      </c>
      <c r="E270" t="s">
        <v>54</v>
      </c>
      <c r="F270" t="s">
        <v>20</v>
      </c>
      <c r="G270" s="1">
        <v>46148</v>
      </c>
      <c r="H270" s="1">
        <v>46148</v>
      </c>
      <c r="I270" t="s">
        <v>6945</v>
      </c>
      <c r="J270" t="s">
        <v>6944</v>
      </c>
      <c r="K270" t="s">
        <v>64</v>
      </c>
      <c r="L270">
        <v>8977.07</v>
      </c>
      <c r="M270" t="s">
        <v>64</v>
      </c>
      <c r="N270">
        <v>405</v>
      </c>
      <c r="O270" t="s">
        <v>34</v>
      </c>
    </row>
    <row r="271" spans="1:15" x14ac:dyDescent="0.3">
      <c r="A271" t="s">
        <v>6943</v>
      </c>
      <c r="B271" t="s">
        <v>6942</v>
      </c>
      <c r="C271" t="s">
        <v>60</v>
      </c>
      <c r="D271">
        <v>50</v>
      </c>
      <c r="E271" t="s">
        <v>47</v>
      </c>
      <c r="F271" t="s">
        <v>30</v>
      </c>
      <c r="G271" s="1">
        <v>46071</v>
      </c>
      <c r="H271" s="1">
        <v>46058</v>
      </c>
      <c r="I271" t="s">
        <v>6941</v>
      </c>
      <c r="J271" t="s">
        <v>6940</v>
      </c>
      <c r="L271">
        <v>19523.39</v>
      </c>
      <c r="M271" t="s">
        <v>57</v>
      </c>
      <c r="N271">
        <v>392</v>
      </c>
      <c r="O271" t="s">
        <v>34</v>
      </c>
    </row>
    <row r="272" spans="1:15" x14ac:dyDescent="0.3">
      <c r="A272" t="s">
        <v>6939</v>
      </c>
      <c r="B272" t="s">
        <v>6938</v>
      </c>
      <c r="C272" t="s">
        <v>0</v>
      </c>
      <c r="D272">
        <v>88</v>
      </c>
      <c r="E272" t="s">
        <v>54</v>
      </c>
      <c r="F272" t="s">
        <v>53</v>
      </c>
      <c r="G272" s="1">
        <v>46007</v>
      </c>
      <c r="H272" s="1">
        <v>46003</v>
      </c>
      <c r="I272" t="s">
        <v>6937</v>
      </c>
      <c r="J272" t="s">
        <v>6936</v>
      </c>
      <c r="K272" t="s">
        <v>26</v>
      </c>
      <c r="L272">
        <v>7668.06</v>
      </c>
      <c r="N272">
        <v>174</v>
      </c>
      <c r="O272" t="s">
        <v>77</v>
      </c>
    </row>
    <row r="273" spans="1:15" x14ac:dyDescent="0.3">
      <c r="A273" t="s">
        <v>6935</v>
      </c>
      <c r="B273" t="s">
        <v>6934</v>
      </c>
      <c r="C273" t="s">
        <v>0</v>
      </c>
      <c r="D273">
        <v>56</v>
      </c>
      <c r="E273" t="s">
        <v>132</v>
      </c>
      <c r="F273" t="s">
        <v>90</v>
      </c>
      <c r="G273" s="1">
        <v>46029</v>
      </c>
      <c r="H273" s="1">
        <v>46020</v>
      </c>
      <c r="I273" t="s">
        <v>6933</v>
      </c>
      <c r="J273" t="s">
        <v>6932</v>
      </c>
      <c r="L273">
        <v>19610.13</v>
      </c>
      <c r="M273" t="s">
        <v>17</v>
      </c>
      <c r="N273">
        <v>228</v>
      </c>
      <c r="O273" t="s">
        <v>71</v>
      </c>
    </row>
    <row r="274" spans="1:15" x14ac:dyDescent="0.3">
      <c r="A274" t="s">
        <v>6931</v>
      </c>
      <c r="B274" t="s">
        <v>2918</v>
      </c>
      <c r="D274">
        <v>77</v>
      </c>
      <c r="E274" t="s">
        <v>21</v>
      </c>
      <c r="F274" t="s">
        <v>85</v>
      </c>
      <c r="G274" s="1">
        <v>46034</v>
      </c>
      <c r="H274" s="1">
        <v>46031</v>
      </c>
      <c r="I274" t="s">
        <v>6930</v>
      </c>
      <c r="J274" t="s">
        <v>6929</v>
      </c>
      <c r="K274" t="s">
        <v>35</v>
      </c>
      <c r="L274">
        <v>7755.52</v>
      </c>
      <c r="N274">
        <v>270</v>
      </c>
      <c r="O274" t="s">
        <v>50</v>
      </c>
    </row>
    <row r="275" spans="1:15" x14ac:dyDescent="0.3">
      <c r="A275" t="s">
        <v>6928</v>
      </c>
      <c r="B275" t="s">
        <v>6927</v>
      </c>
      <c r="C275" t="s">
        <v>123</v>
      </c>
      <c r="D275">
        <v>43</v>
      </c>
      <c r="E275" t="s">
        <v>68</v>
      </c>
      <c r="F275" t="s">
        <v>67</v>
      </c>
      <c r="G275" s="1">
        <v>46122</v>
      </c>
      <c r="H275" s="1">
        <v>46109</v>
      </c>
      <c r="I275" t="s">
        <v>6926</v>
      </c>
      <c r="J275" t="s">
        <v>6925</v>
      </c>
      <c r="K275" t="s">
        <v>35</v>
      </c>
      <c r="L275">
        <v>7650.8</v>
      </c>
      <c r="M275" t="s">
        <v>57</v>
      </c>
      <c r="N275">
        <v>345</v>
      </c>
      <c r="O275" t="s">
        <v>43</v>
      </c>
    </row>
    <row r="276" spans="1:15" x14ac:dyDescent="0.3">
      <c r="A276" t="s">
        <v>6924</v>
      </c>
      <c r="B276" t="s">
        <v>6923</v>
      </c>
      <c r="C276" t="s">
        <v>0</v>
      </c>
      <c r="D276">
        <v>51</v>
      </c>
      <c r="E276" t="s">
        <v>31</v>
      </c>
      <c r="F276" t="s">
        <v>30</v>
      </c>
      <c r="G276" s="1">
        <v>46018</v>
      </c>
      <c r="H276" s="1">
        <v>45995</v>
      </c>
      <c r="I276" t="s">
        <v>6922</v>
      </c>
      <c r="J276" t="s">
        <v>6921</v>
      </c>
      <c r="L276">
        <v>24200.52</v>
      </c>
      <c r="M276" t="s">
        <v>57</v>
      </c>
      <c r="N276">
        <v>266</v>
      </c>
      <c r="O276" t="s">
        <v>16</v>
      </c>
    </row>
    <row r="277" spans="1:15" x14ac:dyDescent="0.3">
      <c r="A277" t="s">
        <v>6920</v>
      </c>
      <c r="B277" t="s">
        <v>6919</v>
      </c>
      <c r="C277" t="s">
        <v>22</v>
      </c>
      <c r="D277">
        <v>51</v>
      </c>
      <c r="E277" t="s">
        <v>31</v>
      </c>
      <c r="F277" t="s">
        <v>20</v>
      </c>
      <c r="G277" s="1">
        <v>46113</v>
      </c>
      <c r="H277" s="1">
        <v>46084</v>
      </c>
      <c r="I277" t="s">
        <v>6918</v>
      </c>
      <c r="J277" t="s">
        <v>6917</v>
      </c>
      <c r="K277" t="s">
        <v>17</v>
      </c>
      <c r="L277">
        <v>14887.23</v>
      </c>
      <c r="M277" t="s">
        <v>26</v>
      </c>
      <c r="N277">
        <v>449</v>
      </c>
      <c r="O277" t="s">
        <v>50</v>
      </c>
    </row>
    <row r="278" spans="1:15" x14ac:dyDescent="0.3">
      <c r="A278" t="s">
        <v>6916</v>
      </c>
      <c r="B278" t="s">
        <v>6915</v>
      </c>
      <c r="C278" t="s">
        <v>40</v>
      </c>
      <c r="D278">
        <v>60</v>
      </c>
      <c r="E278" t="s">
        <v>21</v>
      </c>
      <c r="F278" t="s">
        <v>85</v>
      </c>
      <c r="G278" s="1">
        <v>46006</v>
      </c>
      <c r="H278" s="1">
        <v>45981</v>
      </c>
      <c r="I278" t="s">
        <v>6914</v>
      </c>
      <c r="J278" t="s">
        <v>6913</v>
      </c>
      <c r="K278" t="s">
        <v>26</v>
      </c>
      <c r="L278">
        <v>20815.79</v>
      </c>
      <c r="M278" t="s">
        <v>64</v>
      </c>
      <c r="N278">
        <v>519</v>
      </c>
      <c r="O278" t="s">
        <v>50</v>
      </c>
    </row>
    <row r="279" spans="1:15" x14ac:dyDescent="0.3">
      <c r="A279" t="s">
        <v>6912</v>
      </c>
      <c r="B279" t="s">
        <v>6911</v>
      </c>
      <c r="C279" t="s">
        <v>123</v>
      </c>
      <c r="D279">
        <v>87</v>
      </c>
      <c r="E279" t="s">
        <v>68</v>
      </c>
      <c r="F279" t="s">
        <v>53</v>
      </c>
      <c r="G279" s="1">
        <v>46100</v>
      </c>
      <c r="H279" s="1">
        <v>46080</v>
      </c>
      <c r="I279" t="s">
        <v>6910</v>
      </c>
      <c r="J279" t="s">
        <v>6909</v>
      </c>
      <c r="K279" t="s">
        <v>26</v>
      </c>
      <c r="L279">
        <v>6202.12</v>
      </c>
      <c r="M279" t="s">
        <v>26</v>
      </c>
      <c r="N279">
        <v>466</v>
      </c>
      <c r="O279" t="s">
        <v>16</v>
      </c>
    </row>
    <row r="280" spans="1:15" x14ac:dyDescent="0.3">
      <c r="A280" t="s">
        <v>6908</v>
      </c>
      <c r="B280" t="s">
        <v>6907</v>
      </c>
      <c r="C280" t="s">
        <v>123</v>
      </c>
      <c r="D280">
        <v>10</v>
      </c>
      <c r="E280" t="s">
        <v>68</v>
      </c>
      <c r="F280" t="s">
        <v>85</v>
      </c>
      <c r="G280" s="1">
        <v>46011</v>
      </c>
      <c r="H280" s="1">
        <v>45993</v>
      </c>
      <c r="I280" t="s">
        <v>6906</v>
      </c>
      <c r="J280" t="s">
        <v>6905</v>
      </c>
      <c r="L280">
        <v>13452.31</v>
      </c>
      <c r="N280">
        <v>378</v>
      </c>
      <c r="O280" t="s">
        <v>77</v>
      </c>
    </row>
    <row r="281" spans="1:15" x14ac:dyDescent="0.3">
      <c r="A281" t="s">
        <v>6904</v>
      </c>
      <c r="B281" t="s">
        <v>6903</v>
      </c>
      <c r="C281" t="s">
        <v>60</v>
      </c>
      <c r="D281">
        <v>90</v>
      </c>
      <c r="E281" t="s">
        <v>80</v>
      </c>
      <c r="F281" t="s">
        <v>20</v>
      </c>
      <c r="G281" s="1">
        <v>46159</v>
      </c>
      <c r="H281" s="1">
        <v>46135</v>
      </c>
      <c r="I281" t="s">
        <v>6902</v>
      </c>
      <c r="J281" t="s">
        <v>6901</v>
      </c>
      <c r="K281" t="s">
        <v>17</v>
      </c>
      <c r="L281">
        <v>16508.52</v>
      </c>
      <c r="M281" t="s">
        <v>17</v>
      </c>
      <c r="N281">
        <v>185</v>
      </c>
      <c r="O281" t="s">
        <v>25</v>
      </c>
    </row>
    <row r="282" spans="1:15" x14ac:dyDescent="0.3">
      <c r="A282" t="s">
        <v>6900</v>
      </c>
      <c r="B282" t="s">
        <v>6899</v>
      </c>
      <c r="C282" t="s">
        <v>40</v>
      </c>
      <c r="D282">
        <v>73</v>
      </c>
      <c r="E282" t="s">
        <v>54</v>
      </c>
      <c r="F282" t="s">
        <v>67</v>
      </c>
      <c r="G282" s="1">
        <v>46038</v>
      </c>
      <c r="H282" s="1">
        <v>46008</v>
      </c>
      <c r="I282" t="s">
        <v>6898</v>
      </c>
      <c r="J282" t="s">
        <v>6897</v>
      </c>
      <c r="L282">
        <v>2827.42</v>
      </c>
      <c r="M282" t="s">
        <v>64</v>
      </c>
      <c r="N282">
        <v>232</v>
      </c>
      <c r="O282" t="s">
        <v>71</v>
      </c>
    </row>
    <row r="283" spans="1:15" x14ac:dyDescent="0.3">
      <c r="A283" t="s">
        <v>6896</v>
      </c>
      <c r="B283" t="s">
        <v>6895</v>
      </c>
      <c r="C283" t="s">
        <v>1</v>
      </c>
      <c r="D283">
        <v>58</v>
      </c>
      <c r="E283" t="s">
        <v>31</v>
      </c>
      <c r="F283" t="s">
        <v>90</v>
      </c>
      <c r="G283" s="1">
        <v>46138</v>
      </c>
      <c r="H283" s="1">
        <v>46124</v>
      </c>
      <c r="I283" t="s">
        <v>6894</v>
      </c>
      <c r="J283" t="s">
        <v>6893</v>
      </c>
      <c r="K283" t="s">
        <v>35</v>
      </c>
      <c r="L283">
        <v>8755.19</v>
      </c>
      <c r="M283" t="s">
        <v>27</v>
      </c>
      <c r="N283">
        <v>347</v>
      </c>
      <c r="O283" t="s">
        <v>77</v>
      </c>
    </row>
    <row r="284" spans="1:15" x14ac:dyDescent="0.3">
      <c r="A284" t="s">
        <v>6892</v>
      </c>
      <c r="B284" t="s">
        <v>6891</v>
      </c>
      <c r="C284" t="s">
        <v>22</v>
      </c>
      <c r="D284">
        <v>54</v>
      </c>
      <c r="E284" t="s">
        <v>80</v>
      </c>
      <c r="F284" t="s">
        <v>20</v>
      </c>
      <c r="G284" s="1">
        <v>46080</v>
      </c>
      <c r="H284" s="1">
        <v>46054</v>
      </c>
      <c r="I284" t="s">
        <v>6890</v>
      </c>
      <c r="J284" t="s">
        <v>6889</v>
      </c>
      <c r="K284" t="s">
        <v>35</v>
      </c>
      <c r="L284">
        <v>8838.5499999999993</v>
      </c>
      <c r="M284" t="s">
        <v>17</v>
      </c>
      <c r="N284">
        <v>333</v>
      </c>
      <c r="O284" t="s">
        <v>50</v>
      </c>
    </row>
    <row r="285" spans="1:15" x14ac:dyDescent="0.3">
      <c r="A285" t="s">
        <v>6888</v>
      </c>
      <c r="B285" t="s">
        <v>6887</v>
      </c>
      <c r="C285" t="s">
        <v>1</v>
      </c>
      <c r="D285">
        <v>67</v>
      </c>
      <c r="E285" t="s">
        <v>68</v>
      </c>
      <c r="F285" t="s">
        <v>67</v>
      </c>
      <c r="G285" s="1">
        <v>46035</v>
      </c>
      <c r="H285" s="1">
        <v>46020</v>
      </c>
      <c r="I285" t="s">
        <v>6886</v>
      </c>
      <c r="J285" t="s">
        <v>6885</v>
      </c>
      <c r="K285" t="s">
        <v>64</v>
      </c>
      <c r="L285">
        <v>11066.52</v>
      </c>
      <c r="N285">
        <v>263</v>
      </c>
      <c r="O285" t="s">
        <v>77</v>
      </c>
    </row>
    <row r="286" spans="1:15" x14ac:dyDescent="0.3">
      <c r="A286" t="s">
        <v>6884</v>
      </c>
      <c r="B286" t="s">
        <v>6883</v>
      </c>
      <c r="C286" t="s">
        <v>22</v>
      </c>
      <c r="D286">
        <v>-5</v>
      </c>
      <c r="E286" t="s">
        <v>80</v>
      </c>
      <c r="F286" t="s">
        <v>46</v>
      </c>
      <c r="G286" s="1">
        <v>46036</v>
      </c>
      <c r="H286" s="1">
        <v>46009</v>
      </c>
      <c r="I286" t="s">
        <v>6882</v>
      </c>
      <c r="J286" t="s">
        <v>6881</v>
      </c>
      <c r="K286" t="s">
        <v>57</v>
      </c>
      <c r="L286">
        <v>16269.65</v>
      </c>
      <c r="M286" t="s">
        <v>26</v>
      </c>
      <c r="N286">
        <v>479</v>
      </c>
      <c r="O286" t="s">
        <v>71</v>
      </c>
    </row>
    <row r="287" spans="1:15" x14ac:dyDescent="0.3">
      <c r="A287" t="s">
        <v>6880</v>
      </c>
      <c r="B287" t="s">
        <v>6879</v>
      </c>
      <c r="C287" t="s">
        <v>0</v>
      </c>
      <c r="D287">
        <v>71</v>
      </c>
      <c r="E287" t="s">
        <v>39</v>
      </c>
      <c r="F287" t="s">
        <v>67</v>
      </c>
      <c r="G287" s="1">
        <v>46102</v>
      </c>
      <c r="H287" s="1">
        <v>46085</v>
      </c>
      <c r="I287" t="s">
        <v>6878</v>
      </c>
      <c r="J287" t="s">
        <v>6877</v>
      </c>
      <c r="L287">
        <v>23969.87</v>
      </c>
      <c r="M287" t="s">
        <v>57</v>
      </c>
      <c r="N287">
        <v>508</v>
      </c>
      <c r="O287" t="s">
        <v>16</v>
      </c>
    </row>
    <row r="288" spans="1:15" x14ac:dyDescent="0.3">
      <c r="A288" t="s">
        <v>6876</v>
      </c>
      <c r="B288" t="s">
        <v>6875</v>
      </c>
      <c r="C288" t="s">
        <v>0</v>
      </c>
      <c r="D288">
        <v>24</v>
      </c>
      <c r="E288" t="s">
        <v>54</v>
      </c>
      <c r="F288" t="s">
        <v>90</v>
      </c>
      <c r="G288" s="1">
        <v>46066</v>
      </c>
      <c r="H288" s="1">
        <v>46066</v>
      </c>
      <c r="I288" t="s">
        <v>6874</v>
      </c>
      <c r="J288" t="s">
        <v>6873</v>
      </c>
      <c r="K288" t="s">
        <v>17</v>
      </c>
      <c r="L288">
        <v>11349.46</v>
      </c>
      <c r="N288">
        <v>299</v>
      </c>
      <c r="O288" t="s">
        <v>77</v>
      </c>
    </row>
    <row r="289" spans="1:15" x14ac:dyDescent="0.3">
      <c r="A289" t="s">
        <v>6872</v>
      </c>
      <c r="B289" t="s">
        <v>6871</v>
      </c>
      <c r="C289" t="s">
        <v>1</v>
      </c>
      <c r="D289">
        <v>27</v>
      </c>
      <c r="E289" t="s">
        <v>132</v>
      </c>
      <c r="F289" t="s">
        <v>20</v>
      </c>
      <c r="G289" s="1">
        <v>46082</v>
      </c>
      <c r="H289" s="1">
        <v>46064</v>
      </c>
      <c r="I289" t="s">
        <v>6870</v>
      </c>
      <c r="J289" t="s">
        <v>6869</v>
      </c>
      <c r="K289" t="s">
        <v>64</v>
      </c>
      <c r="L289">
        <v>20027.66</v>
      </c>
      <c r="M289" t="s">
        <v>26</v>
      </c>
      <c r="N289">
        <v>287</v>
      </c>
      <c r="O289" t="s">
        <v>43</v>
      </c>
    </row>
    <row r="290" spans="1:15" x14ac:dyDescent="0.3">
      <c r="A290" t="s">
        <v>6868</v>
      </c>
      <c r="B290" t="s">
        <v>6867</v>
      </c>
      <c r="C290" t="s">
        <v>1</v>
      </c>
      <c r="D290">
        <v>59</v>
      </c>
      <c r="E290" t="s">
        <v>80</v>
      </c>
      <c r="F290" t="s">
        <v>30</v>
      </c>
      <c r="G290" s="1">
        <v>46070</v>
      </c>
      <c r="H290" s="1">
        <v>46049</v>
      </c>
      <c r="I290" t="s">
        <v>6866</v>
      </c>
      <c r="J290" t="s">
        <v>6865</v>
      </c>
      <c r="L290">
        <v>13287.33</v>
      </c>
      <c r="M290" t="s">
        <v>17</v>
      </c>
      <c r="N290">
        <v>405</v>
      </c>
      <c r="O290" t="s">
        <v>16</v>
      </c>
    </row>
    <row r="291" spans="1:15" x14ac:dyDescent="0.3">
      <c r="A291" t="s">
        <v>6864</v>
      </c>
      <c r="B291" t="s">
        <v>6863</v>
      </c>
      <c r="C291" t="s">
        <v>123</v>
      </c>
      <c r="D291">
        <v>76</v>
      </c>
      <c r="E291" t="s">
        <v>80</v>
      </c>
      <c r="F291" t="s">
        <v>67</v>
      </c>
      <c r="G291" s="1">
        <v>46041</v>
      </c>
      <c r="H291" s="1">
        <v>46030</v>
      </c>
      <c r="I291" t="s">
        <v>6862</v>
      </c>
      <c r="J291" t="s">
        <v>6861</v>
      </c>
      <c r="L291">
        <v>15510.59</v>
      </c>
      <c r="M291" t="s">
        <v>63</v>
      </c>
      <c r="N291">
        <v>414</v>
      </c>
      <c r="O291" t="s">
        <v>34</v>
      </c>
    </row>
    <row r="292" spans="1:15" x14ac:dyDescent="0.3">
      <c r="A292" t="s">
        <v>6860</v>
      </c>
      <c r="B292" t="s">
        <v>6859</v>
      </c>
      <c r="C292" t="s">
        <v>74</v>
      </c>
      <c r="D292">
        <v>87</v>
      </c>
      <c r="E292" t="s">
        <v>39</v>
      </c>
      <c r="F292" t="s">
        <v>67</v>
      </c>
      <c r="G292" s="1">
        <v>46087</v>
      </c>
      <c r="H292" s="1">
        <v>46084</v>
      </c>
      <c r="I292" t="s">
        <v>6858</v>
      </c>
      <c r="J292" t="s">
        <v>6857</v>
      </c>
      <c r="K292" t="s">
        <v>17</v>
      </c>
      <c r="L292">
        <v>7773.42</v>
      </c>
      <c r="M292" t="s">
        <v>26</v>
      </c>
      <c r="N292">
        <v>291</v>
      </c>
      <c r="O292" t="s">
        <v>25</v>
      </c>
    </row>
    <row r="293" spans="1:15" x14ac:dyDescent="0.3">
      <c r="A293" t="s">
        <v>6856</v>
      </c>
      <c r="B293" t="s">
        <v>6855</v>
      </c>
      <c r="C293" t="s">
        <v>0</v>
      </c>
      <c r="D293">
        <v>66</v>
      </c>
      <c r="E293" t="s">
        <v>54</v>
      </c>
      <c r="F293" t="s">
        <v>90</v>
      </c>
      <c r="G293" s="1">
        <v>46080</v>
      </c>
      <c r="H293" s="1">
        <v>46061</v>
      </c>
      <c r="I293" t="s">
        <v>6854</v>
      </c>
      <c r="J293" t="s">
        <v>6853</v>
      </c>
      <c r="K293" t="s">
        <v>35</v>
      </c>
      <c r="L293">
        <v>14455.19</v>
      </c>
      <c r="N293">
        <v>195</v>
      </c>
      <c r="O293" t="s">
        <v>16</v>
      </c>
    </row>
    <row r="294" spans="1:15" x14ac:dyDescent="0.3">
      <c r="A294" t="s">
        <v>6852</v>
      </c>
      <c r="B294" t="s">
        <v>6851</v>
      </c>
      <c r="C294" t="s">
        <v>0</v>
      </c>
      <c r="D294">
        <v>72</v>
      </c>
      <c r="E294" t="s">
        <v>39</v>
      </c>
      <c r="F294" t="s">
        <v>85</v>
      </c>
      <c r="G294" s="1">
        <v>46120</v>
      </c>
      <c r="H294" s="1">
        <v>46111</v>
      </c>
      <c r="I294" t="s">
        <v>6850</v>
      </c>
      <c r="J294" t="s">
        <v>6849</v>
      </c>
      <c r="K294" t="s">
        <v>35</v>
      </c>
      <c r="L294">
        <v>4840.04</v>
      </c>
      <c r="N294">
        <v>417</v>
      </c>
      <c r="O294" t="s">
        <v>77</v>
      </c>
    </row>
    <row r="295" spans="1:15" x14ac:dyDescent="0.3">
      <c r="A295" t="s">
        <v>6848</v>
      </c>
      <c r="B295" t="s">
        <v>6847</v>
      </c>
      <c r="C295" t="s">
        <v>60</v>
      </c>
      <c r="D295">
        <v>2</v>
      </c>
      <c r="E295" t="s">
        <v>68</v>
      </c>
      <c r="F295" t="s">
        <v>53</v>
      </c>
      <c r="G295" s="1">
        <v>46103</v>
      </c>
      <c r="H295" s="1">
        <v>46097</v>
      </c>
      <c r="I295" t="s">
        <v>6846</v>
      </c>
      <c r="J295" t="s">
        <v>6845</v>
      </c>
      <c r="L295">
        <v>24102.959999999999</v>
      </c>
      <c r="N295">
        <v>309</v>
      </c>
      <c r="O295" t="s">
        <v>25</v>
      </c>
    </row>
    <row r="296" spans="1:15" x14ac:dyDescent="0.3">
      <c r="A296" t="s">
        <v>6844</v>
      </c>
      <c r="B296" t="s">
        <v>6843</v>
      </c>
      <c r="D296">
        <v>54</v>
      </c>
      <c r="E296" t="s">
        <v>68</v>
      </c>
      <c r="F296" t="s">
        <v>85</v>
      </c>
      <c r="G296" s="1">
        <v>46117</v>
      </c>
      <c r="H296" s="1">
        <v>46112</v>
      </c>
      <c r="I296" t="s">
        <v>510</v>
      </c>
      <c r="J296" t="s">
        <v>6842</v>
      </c>
      <c r="K296" t="s">
        <v>64</v>
      </c>
      <c r="L296">
        <v>14221.87</v>
      </c>
      <c r="M296" t="s">
        <v>57</v>
      </c>
      <c r="N296">
        <v>249</v>
      </c>
      <c r="O296" t="s">
        <v>77</v>
      </c>
    </row>
    <row r="297" spans="1:15" x14ac:dyDescent="0.3">
      <c r="A297" t="s">
        <v>6841</v>
      </c>
      <c r="B297" t="s">
        <v>6840</v>
      </c>
      <c r="C297" t="s">
        <v>22</v>
      </c>
      <c r="D297">
        <v>29</v>
      </c>
      <c r="E297" t="s">
        <v>132</v>
      </c>
      <c r="F297" t="s">
        <v>53</v>
      </c>
      <c r="G297" s="1">
        <v>46078</v>
      </c>
      <c r="H297" s="1">
        <v>46054</v>
      </c>
      <c r="I297" t="s">
        <v>6839</v>
      </c>
      <c r="J297" t="s">
        <v>6838</v>
      </c>
      <c r="L297">
        <v>14228.13</v>
      </c>
      <c r="N297">
        <v>381</v>
      </c>
      <c r="O297" t="s">
        <v>34</v>
      </c>
    </row>
    <row r="298" spans="1:15" x14ac:dyDescent="0.3">
      <c r="A298" t="s">
        <v>6837</v>
      </c>
      <c r="B298" t="s">
        <v>6836</v>
      </c>
      <c r="C298" t="s">
        <v>74</v>
      </c>
      <c r="D298">
        <v>74</v>
      </c>
      <c r="E298" t="s">
        <v>80</v>
      </c>
      <c r="F298" t="s">
        <v>30</v>
      </c>
      <c r="G298" s="1">
        <v>46086</v>
      </c>
      <c r="H298" s="1">
        <v>46062</v>
      </c>
      <c r="I298" t="s">
        <v>6835</v>
      </c>
      <c r="J298" t="s">
        <v>6834</v>
      </c>
      <c r="K298" t="s">
        <v>57</v>
      </c>
      <c r="L298">
        <v>13642.68</v>
      </c>
      <c r="M298" t="s">
        <v>27</v>
      </c>
      <c r="N298">
        <v>489</v>
      </c>
      <c r="O298" t="s">
        <v>25</v>
      </c>
    </row>
    <row r="299" spans="1:15" x14ac:dyDescent="0.3">
      <c r="A299" t="s">
        <v>6833</v>
      </c>
      <c r="B299" t="s">
        <v>6832</v>
      </c>
      <c r="D299">
        <v>70</v>
      </c>
      <c r="E299" t="s">
        <v>21</v>
      </c>
      <c r="F299" t="s">
        <v>90</v>
      </c>
      <c r="G299" s="1">
        <v>46109</v>
      </c>
      <c r="H299" s="1">
        <v>46106</v>
      </c>
      <c r="I299" t="s">
        <v>6831</v>
      </c>
      <c r="J299" t="s">
        <v>6830</v>
      </c>
      <c r="K299" t="s">
        <v>17</v>
      </c>
      <c r="L299">
        <v>7583.18</v>
      </c>
      <c r="M299" t="s">
        <v>27</v>
      </c>
      <c r="N299">
        <v>330</v>
      </c>
      <c r="O299" t="s">
        <v>43</v>
      </c>
    </row>
    <row r="300" spans="1:15" x14ac:dyDescent="0.3">
      <c r="A300" t="s">
        <v>6829</v>
      </c>
      <c r="B300" t="s">
        <v>6828</v>
      </c>
      <c r="C300" t="s">
        <v>60</v>
      </c>
      <c r="D300">
        <v>12</v>
      </c>
      <c r="E300" t="s">
        <v>68</v>
      </c>
      <c r="F300" t="s">
        <v>20</v>
      </c>
      <c r="G300" s="1">
        <v>46074</v>
      </c>
      <c r="H300" s="1">
        <v>46050</v>
      </c>
      <c r="I300" t="s">
        <v>6827</v>
      </c>
      <c r="J300" t="s">
        <v>6826</v>
      </c>
      <c r="K300" t="s">
        <v>17</v>
      </c>
      <c r="L300">
        <v>5404.98</v>
      </c>
      <c r="M300" t="s">
        <v>17</v>
      </c>
      <c r="N300">
        <v>540</v>
      </c>
      <c r="O300" t="s">
        <v>25</v>
      </c>
    </row>
    <row r="301" spans="1:15" x14ac:dyDescent="0.3">
      <c r="A301" t="s">
        <v>6825</v>
      </c>
      <c r="B301" t="s">
        <v>6824</v>
      </c>
      <c r="C301" t="s">
        <v>123</v>
      </c>
      <c r="D301">
        <v>22</v>
      </c>
      <c r="E301" t="s">
        <v>39</v>
      </c>
      <c r="F301" t="s">
        <v>38</v>
      </c>
      <c r="G301" s="1">
        <v>46106</v>
      </c>
      <c r="H301" s="1">
        <v>46080</v>
      </c>
      <c r="I301" t="s">
        <v>6823</v>
      </c>
      <c r="J301" t="s">
        <v>6822</v>
      </c>
      <c r="K301" t="s">
        <v>17</v>
      </c>
      <c r="L301">
        <v>20174.919999999998</v>
      </c>
      <c r="M301" t="s">
        <v>17</v>
      </c>
      <c r="N301">
        <v>372</v>
      </c>
      <c r="O301" t="s">
        <v>43</v>
      </c>
    </row>
    <row r="302" spans="1:15" x14ac:dyDescent="0.3">
      <c r="A302" t="s">
        <v>6821</v>
      </c>
      <c r="B302" t="s">
        <v>6820</v>
      </c>
      <c r="C302" t="s">
        <v>0</v>
      </c>
      <c r="D302">
        <v>42</v>
      </c>
      <c r="E302" t="s">
        <v>132</v>
      </c>
      <c r="F302" t="s">
        <v>30</v>
      </c>
      <c r="G302" s="1">
        <v>46148</v>
      </c>
      <c r="H302" s="1">
        <v>46130</v>
      </c>
      <c r="I302" t="s">
        <v>6819</v>
      </c>
      <c r="J302" t="s">
        <v>6818</v>
      </c>
      <c r="K302" t="s">
        <v>26</v>
      </c>
      <c r="L302">
        <v>23819.45</v>
      </c>
      <c r="M302" t="s">
        <v>64</v>
      </c>
      <c r="N302">
        <v>169</v>
      </c>
      <c r="O302" t="s">
        <v>50</v>
      </c>
    </row>
    <row r="303" spans="1:15" x14ac:dyDescent="0.3">
      <c r="A303" t="s">
        <v>6817</v>
      </c>
      <c r="B303" t="s">
        <v>6816</v>
      </c>
      <c r="C303" t="s">
        <v>123</v>
      </c>
      <c r="D303">
        <v>8</v>
      </c>
      <c r="E303" t="s">
        <v>132</v>
      </c>
      <c r="F303" t="s">
        <v>53</v>
      </c>
      <c r="G303" s="1">
        <v>46154</v>
      </c>
      <c r="H303" s="1">
        <v>46132</v>
      </c>
      <c r="I303" t="s">
        <v>6815</v>
      </c>
      <c r="J303" t="s">
        <v>6814</v>
      </c>
      <c r="K303" t="s">
        <v>35</v>
      </c>
      <c r="L303">
        <v>6392</v>
      </c>
      <c r="M303" t="s">
        <v>17</v>
      </c>
      <c r="N303">
        <v>524</v>
      </c>
      <c r="O303" t="s">
        <v>71</v>
      </c>
    </row>
    <row r="304" spans="1:15" x14ac:dyDescent="0.3">
      <c r="A304" t="s">
        <v>6813</v>
      </c>
      <c r="B304" t="s">
        <v>6812</v>
      </c>
      <c r="C304" t="s">
        <v>123</v>
      </c>
      <c r="D304">
        <v>63</v>
      </c>
      <c r="E304" t="s">
        <v>39</v>
      </c>
      <c r="F304" t="s">
        <v>30</v>
      </c>
      <c r="G304" s="1">
        <v>46116</v>
      </c>
      <c r="H304" s="1">
        <v>46096</v>
      </c>
      <c r="I304" t="s">
        <v>6811</v>
      </c>
      <c r="J304" t="s">
        <v>6810</v>
      </c>
      <c r="L304">
        <v>9504.27</v>
      </c>
      <c r="M304" t="s">
        <v>64</v>
      </c>
      <c r="N304">
        <v>424</v>
      </c>
      <c r="O304" t="s">
        <v>50</v>
      </c>
    </row>
    <row r="305" spans="1:15" x14ac:dyDescent="0.3">
      <c r="A305" t="s">
        <v>6809</v>
      </c>
      <c r="B305" t="s">
        <v>6808</v>
      </c>
      <c r="C305" t="s">
        <v>74</v>
      </c>
      <c r="D305">
        <v>52</v>
      </c>
      <c r="E305" t="s">
        <v>132</v>
      </c>
      <c r="F305" t="s">
        <v>67</v>
      </c>
      <c r="G305" s="1">
        <v>46096</v>
      </c>
      <c r="H305" s="1">
        <v>46082</v>
      </c>
      <c r="I305" t="s">
        <v>6807</v>
      </c>
      <c r="J305" t="s">
        <v>6806</v>
      </c>
      <c r="L305">
        <v>8316.77</v>
      </c>
      <c r="M305" t="s">
        <v>27</v>
      </c>
      <c r="N305">
        <v>544</v>
      </c>
      <c r="O305" t="s">
        <v>50</v>
      </c>
    </row>
    <row r="306" spans="1:15" x14ac:dyDescent="0.3">
      <c r="A306" t="s">
        <v>6805</v>
      </c>
      <c r="B306" t="s">
        <v>6804</v>
      </c>
      <c r="C306" t="s">
        <v>74</v>
      </c>
      <c r="D306">
        <v>59</v>
      </c>
      <c r="E306" t="s">
        <v>31</v>
      </c>
      <c r="F306" t="s">
        <v>20</v>
      </c>
      <c r="G306" s="1">
        <v>46040</v>
      </c>
      <c r="H306" s="1">
        <v>46015</v>
      </c>
      <c r="I306" t="s">
        <v>6803</v>
      </c>
      <c r="J306" t="s">
        <v>6802</v>
      </c>
      <c r="L306">
        <v>5602.18</v>
      </c>
      <c r="N306">
        <v>522</v>
      </c>
      <c r="O306" t="s">
        <v>71</v>
      </c>
    </row>
    <row r="307" spans="1:15" x14ac:dyDescent="0.3">
      <c r="A307" t="s">
        <v>6801</v>
      </c>
      <c r="B307" t="s">
        <v>6800</v>
      </c>
      <c r="D307">
        <v>35</v>
      </c>
      <c r="E307" t="s">
        <v>31</v>
      </c>
      <c r="F307" t="s">
        <v>30</v>
      </c>
      <c r="G307" s="1">
        <v>46014</v>
      </c>
      <c r="H307" s="1">
        <v>46004</v>
      </c>
      <c r="I307" t="s">
        <v>6799</v>
      </c>
      <c r="J307" t="s">
        <v>6798</v>
      </c>
      <c r="K307" t="s">
        <v>35</v>
      </c>
      <c r="L307">
        <v>14240.32</v>
      </c>
      <c r="N307">
        <v>503</v>
      </c>
      <c r="O307" t="s">
        <v>43</v>
      </c>
    </row>
    <row r="308" spans="1:15" x14ac:dyDescent="0.3">
      <c r="A308" t="s">
        <v>6797</v>
      </c>
      <c r="B308" t="s">
        <v>6796</v>
      </c>
      <c r="C308" t="s">
        <v>40</v>
      </c>
      <c r="D308">
        <v>6</v>
      </c>
      <c r="E308" t="s">
        <v>80</v>
      </c>
      <c r="F308" t="s">
        <v>85</v>
      </c>
      <c r="G308" s="1">
        <v>46039</v>
      </c>
      <c r="H308" s="1">
        <v>46039</v>
      </c>
      <c r="I308" t="s">
        <v>6795</v>
      </c>
      <c r="J308" t="s">
        <v>6794</v>
      </c>
      <c r="K308" t="s">
        <v>64</v>
      </c>
      <c r="L308">
        <v>23249.94</v>
      </c>
      <c r="M308" t="s">
        <v>26</v>
      </c>
      <c r="N308">
        <v>325</v>
      </c>
      <c r="O308" t="s">
        <v>16</v>
      </c>
    </row>
    <row r="309" spans="1:15" x14ac:dyDescent="0.3">
      <c r="A309" t="s">
        <v>6793</v>
      </c>
      <c r="B309" t="s">
        <v>6792</v>
      </c>
      <c r="C309" t="s">
        <v>40</v>
      </c>
      <c r="D309">
        <v>55</v>
      </c>
      <c r="E309" t="s">
        <v>21</v>
      </c>
      <c r="F309" t="s">
        <v>53</v>
      </c>
      <c r="G309" s="1">
        <v>46025</v>
      </c>
      <c r="H309" s="1">
        <v>45997</v>
      </c>
      <c r="I309" t="s">
        <v>6791</v>
      </c>
      <c r="J309" t="s">
        <v>6790</v>
      </c>
      <c r="K309" t="s">
        <v>26</v>
      </c>
      <c r="L309">
        <v>4142.6400000000003</v>
      </c>
      <c r="M309" t="s">
        <v>63</v>
      </c>
      <c r="N309">
        <v>147</v>
      </c>
      <c r="O309" t="s">
        <v>25</v>
      </c>
    </row>
    <row r="310" spans="1:15" x14ac:dyDescent="0.3">
      <c r="A310" t="s">
        <v>6789</v>
      </c>
      <c r="B310" t="s">
        <v>6788</v>
      </c>
      <c r="C310" t="s">
        <v>60</v>
      </c>
      <c r="D310">
        <v>33</v>
      </c>
      <c r="E310" t="s">
        <v>80</v>
      </c>
      <c r="F310" t="s">
        <v>67</v>
      </c>
      <c r="G310" s="1">
        <v>46064</v>
      </c>
      <c r="H310" s="1">
        <v>46043</v>
      </c>
      <c r="I310" t="s">
        <v>6787</v>
      </c>
      <c r="J310" t="s">
        <v>6786</v>
      </c>
      <c r="K310" t="s">
        <v>35</v>
      </c>
      <c r="L310">
        <v>1484.32</v>
      </c>
      <c r="M310" t="s">
        <v>63</v>
      </c>
      <c r="N310">
        <v>471</v>
      </c>
      <c r="O310" t="s">
        <v>25</v>
      </c>
    </row>
    <row r="311" spans="1:15" x14ac:dyDescent="0.3">
      <c r="A311" t="s">
        <v>6785</v>
      </c>
      <c r="B311" t="s">
        <v>6784</v>
      </c>
      <c r="C311" t="s">
        <v>1</v>
      </c>
      <c r="D311">
        <v>55</v>
      </c>
      <c r="E311" t="s">
        <v>80</v>
      </c>
      <c r="F311" t="s">
        <v>20</v>
      </c>
      <c r="G311" s="1">
        <v>46080</v>
      </c>
      <c r="H311" s="1">
        <v>46080</v>
      </c>
      <c r="I311" t="s">
        <v>6783</v>
      </c>
      <c r="J311" t="s">
        <v>6782</v>
      </c>
      <c r="K311" t="s">
        <v>17</v>
      </c>
      <c r="L311">
        <v>12024.81</v>
      </c>
      <c r="M311" t="s">
        <v>26</v>
      </c>
      <c r="N311">
        <v>403</v>
      </c>
      <c r="O311" t="s">
        <v>71</v>
      </c>
    </row>
    <row r="312" spans="1:15" x14ac:dyDescent="0.3">
      <c r="A312" t="s">
        <v>6781</v>
      </c>
      <c r="B312" t="s">
        <v>6780</v>
      </c>
      <c r="D312">
        <v>2</v>
      </c>
      <c r="E312" t="s">
        <v>47</v>
      </c>
      <c r="F312" t="s">
        <v>67</v>
      </c>
      <c r="G312" s="1">
        <v>46083</v>
      </c>
      <c r="H312" s="1">
        <v>46057</v>
      </c>
      <c r="I312" t="s">
        <v>6779</v>
      </c>
      <c r="J312" t="s">
        <v>6778</v>
      </c>
      <c r="K312" t="s">
        <v>64</v>
      </c>
      <c r="L312">
        <v>24706.240000000002</v>
      </c>
      <c r="N312">
        <v>455</v>
      </c>
      <c r="O312" t="s">
        <v>71</v>
      </c>
    </row>
    <row r="313" spans="1:15" x14ac:dyDescent="0.3">
      <c r="A313" t="s">
        <v>6777</v>
      </c>
      <c r="B313" t="s">
        <v>6776</v>
      </c>
      <c r="D313">
        <v>10</v>
      </c>
      <c r="E313" t="s">
        <v>21</v>
      </c>
      <c r="F313" t="s">
        <v>90</v>
      </c>
      <c r="G313" s="1">
        <v>46046</v>
      </c>
      <c r="H313" s="1">
        <v>46044</v>
      </c>
      <c r="I313" t="s">
        <v>6775</v>
      </c>
      <c r="J313" t="s">
        <v>6774</v>
      </c>
      <c r="K313" t="s">
        <v>64</v>
      </c>
      <c r="L313">
        <v>2759.4</v>
      </c>
      <c r="M313" t="s">
        <v>17</v>
      </c>
      <c r="N313">
        <v>253</v>
      </c>
      <c r="O313" t="s">
        <v>71</v>
      </c>
    </row>
    <row r="314" spans="1:15" x14ac:dyDescent="0.3">
      <c r="A314" t="s">
        <v>6773</v>
      </c>
      <c r="B314" t="s">
        <v>6772</v>
      </c>
      <c r="C314" t="s">
        <v>123</v>
      </c>
      <c r="D314">
        <v>18</v>
      </c>
      <c r="E314" t="s">
        <v>39</v>
      </c>
      <c r="F314" t="s">
        <v>20</v>
      </c>
      <c r="G314" s="1">
        <v>46036</v>
      </c>
      <c r="H314" s="1">
        <v>46020</v>
      </c>
      <c r="I314" t="s">
        <v>6771</v>
      </c>
      <c r="J314" t="s">
        <v>6770</v>
      </c>
      <c r="K314" t="s">
        <v>27</v>
      </c>
      <c r="L314">
        <v>15335.92</v>
      </c>
      <c r="M314" t="s">
        <v>26</v>
      </c>
      <c r="N314">
        <v>325</v>
      </c>
      <c r="O314" t="s">
        <v>43</v>
      </c>
    </row>
    <row r="315" spans="1:15" x14ac:dyDescent="0.3">
      <c r="A315" t="s">
        <v>6769</v>
      </c>
      <c r="B315" t="s">
        <v>6768</v>
      </c>
      <c r="C315" t="s">
        <v>1</v>
      </c>
      <c r="D315">
        <v>81</v>
      </c>
      <c r="E315" t="s">
        <v>39</v>
      </c>
      <c r="F315" t="s">
        <v>90</v>
      </c>
      <c r="G315" s="1">
        <v>46152</v>
      </c>
      <c r="H315" s="1">
        <v>46133</v>
      </c>
      <c r="I315" t="s">
        <v>6767</v>
      </c>
      <c r="J315" t="s">
        <v>6766</v>
      </c>
      <c r="L315">
        <v>21527.07</v>
      </c>
      <c r="M315" t="s">
        <v>64</v>
      </c>
      <c r="N315">
        <v>151</v>
      </c>
      <c r="O315" t="s">
        <v>71</v>
      </c>
    </row>
    <row r="316" spans="1:15" x14ac:dyDescent="0.3">
      <c r="A316" t="s">
        <v>6765</v>
      </c>
      <c r="B316" t="s">
        <v>6764</v>
      </c>
      <c r="C316" t="s">
        <v>74</v>
      </c>
      <c r="D316">
        <v>220</v>
      </c>
      <c r="E316" t="s">
        <v>54</v>
      </c>
      <c r="F316" t="s">
        <v>67</v>
      </c>
      <c r="G316" s="1">
        <v>46071</v>
      </c>
      <c r="H316" s="1">
        <v>46041</v>
      </c>
      <c r="I316" t="s">
        <v>6763</v>
      </c>
      <c r="J316" t="s">
        <v>6762</v>
      </c>
      <c r="L316">
        <v>7999.69</v>
      </c>
      <c r="M316" t="s">
        <v>26</v>
      </c>
      <c r="N316">
        <v>226</v>
      </c>
      <c r="O316" t="s">
        <v>43</v>
      </c>
    </row>
    <row r="317" spans="1:15" x14ac:dyDescent="0.3">
      <c r="A317" t="s">
        <v>6761</v>
      </c>
      <c r="B317" t="s">
        <v>6760</v>
      </c>
      <c r="C317" t="s">
        <v>74</v>
      </c>
      <c r="D317">
        <v>32</v>
      </c>
      <c r="E317" t="s">
        <v>132</v>
      </c>
      <c r="F317" t="s">
        <v>46</v>
      </c>
      <c r="G317" s="1">
        <v>46174</v>
      </c>
      <c r="H317" s="1">
        <v>46147</v>
      </c>
      <c r="I317" t="s">
        <v>6759</v>
      </c>
      <c r="J317" t="s">
        <v>6758</v>
      </c>
      <c r="K317" t="s">
        <v>26</v>
      </c>
      <c r="L317">
        <v>5295.05</v>
      </c>
      <c r="M317" t="s">
        <v>57</v>
      </c>
      <c r="N317">
        <v>482</v>
      </c>
      <c r="O317" t="s">
        <v>16</v>
      </c>
    </row>
    <row r="318" spans="1:15" x14ac:dyDescent="0.3">
      <c r="A318" t="s">
        <v>6757</v>
      </c>
      <c r="B318" t="s">
        <v>6756</v>
      </c>
      <c r="C318" t="s">
        <v>22</v>
      </c>
      <c r="D318">
        <v>83</v>
      </c>
      <c r="E318" t="s">
        <v>47</v>
      </c>
      <c r="F318" t="s">
        <v>38</v>
      </c>
      <c r="G318" s="1">
        <v>46089</v>
      </c>
      <c r="H318" s="1">
        <v>46074</v>
      </c>
      <c r="I318" t="s">
        <v>6755</v>
      </c>
      <c r="J318" t="s">
        <v>6754</v>
      </c>
      <c r="L318">
        <v>2996.04</v>
      </c>
      <c r="N318">
        <v>426</v>
      </c>
      <c r="O318" t="s">
        <v>34</v>
      </c>
    </row>
    <row r="319" spans="1:15" x14ac:dyDescent="0.3">
      <c r="A319" t="s">
        <v>6753</v>
      </c>
      <c r="B319" t="s">
        <v>6752</v>
      </c>
      <c r="C319" t="s">
        <v>74</v>
      </c>
      <c r="D319">
        <v>68</v>
      </c>
      <c r="E319" t="s">
        <v>47</v>
      </c>
      <c r="F319" t="s">
        <v>67</v>
      </c>
      <c r="G319" s="1">
        <v>46067</v>
      </c>
      <c r="H319" s="1">
        <v>46038</v>
      </c>
      <c r="I319" t="s">
        <v>6751</v>
      </c>
      <c r="J319" t="s">
        <v>6750</v>
      </c>
      <c r="K319" t="s">
        <v>57</v>
      </c>
      <c r="L319">
        <v>3473.18</v>
      </c>
      <c r="N319">
        <v>287</v>
      </c>
      <c r="O319" t="s">
        <v>34</v>
      </c>
    </row>
    <row r="320" spans="1:15" x14ac:dyDescent="0.3">
      <c r="A320" t="s">
        <v>6749</v>
      </c>
      <c r="B320" t="s">
        <v>6748</v>
      </c>
      <c r="C320" t="s">
        <v>0</v>
      </c>
      <c r="D320">
        <v>61</v>
      </c>
      <c r="E320" t="s">
        <v>80</v>
      </c>
      <c r="F320" t="s">
        <v>46</v>
      </c>
      <c r="G320" s="1">
        <v>46067</v>
      </c>
      <c r="H320" s="1">
        <v>46049</v>
      </c>
      <c r="I320" t="s">
        <v>6747</v>
      </c>
      <c r="J320" t="s">
        <v>6746</v>
      </c>
      <c r="K320" t="s">
        <v>64</v>
      </c>
      <c r="L320">
        <v>542.08000000000004</v>
      </c>
      <c r="M320" t="s">
        <v>57</v>
      </c>
      <c r="N320">
        <v>120</v>
      </c>
      <c r="O320" t="s">
        <v>77</v>
      </c>
    </row>
    <row r="321" spans="1:15" x14ac:dyDescent="0.3">
      <c r="A321" t="s">
        <v>6745</v>
      </c>
      <c r="B321" t="s">
        <v>6744</v>
      </c>
      <c r="C321" t="s">
        <v>123</v>
      </c>
      <c r="D321">
        <v>65</v>
      </c>
      <c r="E321" t="s">
        <v>132</v>
      </c>
      <c r="F321" t="s">
        <v>90</v>
      </c>
      <c r="G321" s="1">
        <v>46001</v>
      </c>
      <c r="H321" s="1">
        <v>45988</v>
      </c>
      <c r="I321" t="s">
        <v>6743</v>
      </c>
      <c r="J321" t="s">
        <v>6742</v>
      </c>
      <c r="L321">
        <v>2244.21</v>
      </c>
      <c r="M321" t="s">
        <v>26</v>
      </c>
      <c r="N321">
        <v>242</v>
      </c>
      <c r="O321" t="s">
        <v>77</v>
      </c>
    </row>
    <row r="322" spans="1:15" x14ac:dyDescent="0.3">
      <c r="A322" t="s">
        <v>6741</v>
      </c>
      <c r="B322" t="s">
        <v>6740</v>
      </c>
      <c r="C322" t="s">
        <v>22</v>
      </c>
      <c r="D322">
        <v>11</v>
      </c>
      <c r="E322" t="s">
        <v>21</v>
      </c>
      <c r="F322" t="s">
        <v>53</v>
      </c>
      <c r="G322" s="1">
        <v>46015</v>
      </c>
      <c r="H322" s="1">
        <v>45998</v>
      </c>
      <c r="I322" t="s">
        <v>6739</v>
      </c>
      <c r="J322" t="s">
        <v>6738</v>
      </c>
      <c r="K322" t="s">
        <v>57</v>
      </c>
      <c r="L322">
        <v>9890.14</v>
      </c>
      <c r="M322" t="s">
        <v>64</v>
      </c>
      <c r="N322">
        <v>258</v>
      </c>
      <c r="O322" t="s">
        <v>25</v>
      </c>
    </row>
    <row r="323" spans="1:15" x14ac:dyDescent="0.3">
      <c r="A323" t="s">
        <v>6737</v>
      </c>
      <c r="B323" t="s">
        <v>6736</v>
      </c>
      <c r="C323" t="s">
        <v>123</v>
      </c>
      <c r="D323">
        <v>31</v>
      </c>
      <c r="E323" t="s">
        <v>47</v>
      </c>
      <c r="F323" t="s">
        <v>38</v>
      </c>
      <c r="G323" s="1">
        <v>46043</v>
      </c>
      <c r="H323" s="1">
        <v>46041</v>
      </c>
      <c r="I323" t="s">
        <v>6735</v>
      </c>
      <c r="J323" t="s">
        <v>5239</v>
      </c>
      <c r="L323">
        <v>3076.47</v>
      </c>
      <c r="M323" t="s">
        <v>27</v>
      </c>
      <c r="N323">
        <v>258</v>
      </c>
      <c r="O323" t="s">
        <v>25</v>
      </c>
    </row>
    <row r="324" spans="1:15" x14ac:dyDescent="0.3">
      <c r="A324" t="s">
        <v>6734</v>
      </c>
      <c r="B324" t="s">
        <v>6733</v>
      </c>
      <c r="C324" t="s">
        <v>0</v>
      </c>
      <c r="D324">
        <v>16</v>
      </c>
      <c r="E324" t="s">
        <v>47</v>
      </c>
      <c r="F324" t="s">
        <v>53</v>
      </c>
      <c r="G324" s="1">
        <v>46171</v>
      </c>
      <c r="H324" s="1">
        <v>46149</v>
      </c>
      <c r="I324" t="s">
        <v>6732</v>
      </c>
      <c r="J324" t="s">
        <v>6731</v>
      </c>
      <c r="K324" t="s">
        <v>27</v>
      </c>
      <c r="L324">
        <v>4263.05</v>
      </c>
      <c r="M324" t="s">
        <v>17</v>
      </c>
      <c r="N324">
        <v>367</v>
      </c>
      <c r="O324" t="s">
        <v>34</v>
      </c>
    </row>
    <row r="325" spans="1:15" x14ac:dyDescent="0.3">
      <c r="A325" t="s">
        <v>6730</v>
      </c>
      <c r="B325" t="s">
        <v>6729</v>
      </c>
      <c r="C325" t="s">
        <v>22</v>
      </c>
      <c r="D325">
        <v>22</v>
      </c>
      <c r="E325" t="s">
        <v>31</v>
      </c>
      <c r="F325" t="s">
        <v>53</v>
      </c>
      <c r="G325" s="1">
        <v>46159</v>
      </c>
      <c r="H325" s="1">
        <v>46136</v>
      </c>
      <c r="I325" t="s">
        <v>6728</v>
      </c>
      <c r="J325" t="s">
        <v>6727</v>
      </c>
      <c r="K325" t="s">
        <v>26</v>
      </c>
      <c r="L325">
        <v>18376.810000000001</v>
      </c>
      <c r="M325" t="s">
        <v>64</v>
      </c>
      <c r="N325">
        <v>494</v>
      </c>
      <c r="O325" t="s">
        <v>77</v>
      </c>
    </row>
    <row r="326" spans="1:15" x14ac:dyDescent="0.3">
      <c r="A326" t="s">
        <v>6726</v>
      </c>
      <c r="B326" t="s">
        <v>6725</v>
      </c>
      <c r="C326" t="s">
        <v>60</v>
      </c>
      <c r="D326">
        <v>55</v>
      </c>
      <c r="E326" t="s">
        <v>132</v>
      </c>
      <c r="F326" t="s">
        <v>20</v>
      </c>
      <c r="G326" s="1">
        <v>45990</v>
      </c>
      <c r="H326" s="1">
        <v>45982</v>
      </c>
      <c r="I326" t="s">
        <v>6724</v>
      </c>
      <c r="K326" t="s">
        <v>64</v>
      </c>
      <c r="L326">
        <v>-500</v>
      </c>
      <c r="M326" t="s">
        <v>17</v>
      </c>
      <c r="N326">
        <v>128</v>
      </c>
      <c r="O326" t="s">
        <v>16</v>
      </c>
    </row>
    <row r="327" spans="1:15" x14ac:dyDescent="0.3">
      <c r="A327" t="s">
        <v>6723</v>
      </c>
      <c r="B327" t="s">
        <v>6722</v>
      </c>
      <c r="C327" t="s">
        <v>0</v>
      </c>
      <c r="D327">
        <v>48</v>
      </c>
      <c r="E327" t="s">
        <v>39</v>
      </c>
      <c r="F327" t="s">
        <v>30</v>
      </c>
      <c r="G327" s="1">
        <v>46009</v>
      </c>
      <c r="H327" s="1">
        <v>45985</v>
      </c>
      <c r="I327" t="s">
        <v>6721</v>
      </c>
      <c r="J327" t="s">
        <v>6720</v>
      </c>
      <c r="K327" t="s">
        <v>64</v>
      </c>
      <c r="L327">
        <v>22377.86</v>
      </c>
      <c r="M327" t="s">
        <v>64</v>
      </c>
      <c r="N327">
        <v>216</v>
      </c>
      <c r="O327" t="s">
        <v>25</v>
      </c>
    </row>
    <row r="328" spans="1:15" x14ac:dyDescent="0.3">
      <c r="A328" t="s">
        <v>6719</v>
      </c>
      <c r="B328" t="s">
        <v>6718</v>
      </c>
      <c r="C328" t="s">
        <v>40</v>
      </c>
      <c r="D328">
        <v>6</v>
      </c>
      <c r="E328" t="s">
        <v>47</v>
      </c>
      <c r="F328" t="s">
        <v>38</v>
      </c>
      <c r="G328" s="1">
        <v>46085</v>
      </c>
      <c r="H328" s="1">
        <v>46084</v>
      </c>
      <c r="I328" t="s">
        <v>6717</v>
      </c>
      <c r="J328" t="s">
        <v>6716</v>
      </c>
      <c r="L328">
        <v>9226.6200000000008</v>
      </c>
      <c r="M328" t="s">
        <v>26</v>
      </c>
      <c r="N328">
        <v>191</v>
      </c>
      <c r="O328" t="s">
        <v>50</v>
      </c>
    </row>
    <row r="329" spans="1:15" x14ac:dyDescent="0.3">
      <c r="A329" t="s">
        <v>6715</v>
      </c>
      <c r="B329" t="s">
        <v>6714</v>
      </c>
      <c r="C329" t="s">
        <v>40</v>
      </c>
      <c r="D329">
        <v>71</v>
      </c>
      <c r="E329" t="s">
        <v>54</v>
      </c>
      <c r="F329" t="s">
        <v>38</v>
      </c>
      <c r="G329" s="1">
        <v>46124</v>
      </c>
      <c r="H329" s="1">
        <v>46114</v>
      </c>
      <c r="I329" t="s">
        <v>6713</v>
      </c>
      <c r="J329" t="s">
        <v>6712</v>
      </c>
      <c r="K329" t="s">
        <v>17</v>
      </c>
      <c r="L329">
        <v>10523.16</v>
      </c>
      <c r="M329" t="s">
        <v>17</v>
      </c>
      <c r="N329">
        <v>238</v>
      </c>
      <c r="O329" t="s">
        <v>50</v>
      </c>
    </row>
    <row r="330" spans="1:15" x14ac:dyDescent="0.3">
      <c r="A330" t="s">
        <v>6711</v>
      </c>
      <c r="B330" t="s">
        <v>6710</v>
      </c>
      <c r="C330" t="s">
        <v>74</v>
      </c>
      <c r="D330">
        <v>74</v>
      </c>
      <c r="E330" t="s">
        <v>31</v>
      </c>
      <c r="F330" t="s">
        <v>20</v>
      </c>
      <c r="G330" s="1">
        <v>46150</v>
      </c>
      <c r="H330" s="1">
        <v>46134</v>
      </c>
      <c r="I330" t="s">
        <v>6709</v>
      </c>
      <c r="J330" t="s">
        <v>6708</v>
      </c>
      <c r="K330" t="s">
        <v>27</v>
      </c>
      <c r="L330">
        <v>4647.74</v>
      </c>
      <c r="M330" t="s">
        <v>27</v>
      </c>
      <c r="N330">
        <v>305</v>
      </c>
      <c r="O330" t="s">
        <v>77</v>
      </c>
    </row>
    <row r="331" spans="1:15" x14ac:dyDescent="0.3">
      <c r="A331" t="s">
        <v>6707</v>
      </c>
      <c r="B331" t="s">
        <v>6706</v>
      </c>
      <c r="D331">
        <v>37</v>
      </c>
      <c r="E331" t="s">
        <v>132</v>
      </c>
      <c r="F331" t="s">
        <v>67</v>
      </c>
      <c r="G331" s="1">
        <v>46115</v>
      </c>
      <c r="H331" s="1">
        <v>46113</v>
      </c>
      <c r="I331" t="s">
        <v>6705</v>
      </c>
      <c r="J331" t="s">
        <v>6704</v>
      </c>
      <c r="L331">
        <v>397.64</v>
      </c>
      <c r="M331" t="s">
        <v>57</v>
      </c>
      <c r="N331">
        <v>249</v>
      </c>
      <c r="O331" t="s">
        <v>34</v>
      </c>
    </row>
    <row r="332" spans="1:15" x14ac:dyDescent="0.3">
      <c r="A332" t="s">
        <v>6703</v>
      </c>
      <c r="B332" t="s">
        <v>6702</v>
      </c>
      <c r="C332" t="s">
        <v>22</v>
      </c>
      <c r="D332">
        <v>80</v>
      </c>
      <c r="E332" t="s">
        <v>21</v>
      </c>
      <c r="F332" t="s">
        <v>85</v>
      </c>
      <c r="G332" s="1">
        <v>46067</v>
      </c>
      <c r="H332" s="1">
        <v>46056</v>
      </c>
      <c r="I332" t="s">
        <v>6701</v>
      </c>
      <c r="J332" t="s">
        <v>6700</v>
      </c>
      <c r="L332">
        <v>24945.119999999999</v>
      </c>
      <c r="M332" t="s">
        <v>57</v>
      </c>
      <c r="N332">
        <v>475</v>
      </c>
      <c r="O332" t="s">
        <v>34</v>
      </c>
    </row>
    <row r="333" spans="1:15" x14ac:dyDescent="0.3">
      <c r="A333" t="s">
        <v>6699</v>
      </c>
      <c r="B333" t="s">
        <v>6698</v>
      </c>
      <c r="C333" t="s">
        <v>1</v>
      </c>
      <c r="D333">
        <v>20</v>
      </c>
      <c r="E333" t="s">
        <v>47</v>
      </c>
      <c r="F333" t="s">
        <v>90</v>
      </c>
      <c r="G333" s="1">
        <v>46035</v>
      </c>
      <c r="H333" s="1">
        <v>46035</v>
      </c>
      <c r="I333" t="s">
        <v>6697</v>
      </c>
      <c r="J333" t="s">
        <v>6696</v>
      </c>
      <c r="K333" t="s">
        <v>17</v>
      </c>
      <c r="L333">
        <v>13630.32</v>
      </c>
      <c r="M333" t="s">
        <v>27</v>
      </c>
      <c r="N333">
        <v>271</v>
      </c>
      <c r="O333" t="s">
        <v>77</v>
      </c>
    </row>
    <row r="334" spans="1:15" x14ac:dyDescent="0.3">
      <c r="A334" t="s">
        <v>6695</v>
      </c>
      <c r="B334" t="s">
        <v>6694</v>
      </c>
      <c r="C334" t="s">
        <v>123</v>
      </c>
      <c r="D334">
        <v>40</v>
      </c>
      <c r="E334" t="s">
        <v>80</v>
      </c>
      <c r="F334" t="s">
        <v>38</v>
      </c>
      <c r="G334" s="1">
        <v>46141</v>
      </c>
      <c r="H334" s="1">
        <v>46125</v>
      </c>
      <c r="I334" t="s">
        <v>6693</v>
      </c>
      <c r="J334" t="s">
        <v>6692</v>
      </c>
      <c r="K334" t="s">
        <v>17</v>
      </c>
      <c r="L334">
        <v>10611.43</v>
      </c>
      <c r="M334" t="s">
        <v>27</v>
      </c>
      <c r="N334">
        <v>172</v>
      </c>
      <c r="O334" t="s">
        <v>25</v>
      </c>
    </row>
    <row r="335" spans="1:15" x14ac:dyDescent="0.3">
      <c r="A335" t="s">
        <v>6691</v>
      </c>
      <c r="B335" t="s">
        <v>6690</v>
      </c>
      <c r="C335" t="s">
        <v>22</v>
      </c>
      <c r="D335">
        <v>12</v>
      </c>
      <c r="E335" t="s">
        <v>47</v>
      </c>
      <c r="F335" t="s">
        <v>38</v>
      </c>
      <c r="G335" s="1">
        <v>46060</v>
      </c>
      <c r="H335" s="1">
        <v>46032</v>
      </c>
      <c r="I335" t="s">
        <v>6689</v>
      </c>
      <c r="J335" t="s">
        <v>6688</v>
      </c>
      <c r="L335">
        <v>17581</v>
      </c>
      <c r="M335" t="s">
        <v>17</v>
      </c>
      <c r="N335">
        <v>334</v>
      </c>
      <c r="O335" t="s">
        <v>25</v>
      </c>
    </row>
    <row r="336" spans="1:15" x14ac:dyDescent="0.3">
      <c r="A336" t="s">
        <v>6687</v>
      </c>
      <c r="B336" t="s">
        <v>6686</v>
      </c>
      <c r="C336" t="s">
        <v>74</v>
      </c>
      <c r="D336">
        <v>75</v>
      </c>
      <c r="E336" t="s">
        <v>80</v>
      </c>
      <c r="F336" t="s">
        <v>53</v>
      </c>
      <c r="G336" s="1">
        <v>46167</v>
      </c>
      <c r="H336" s="1">
        <v>46147</v>
      </c>
      <c r="I336" t="s">
        <v>6685</v>
      </c>
      <c r="J336" t="s">
        <v>6684</v>
      </c>
      <c r="L336">
        <v>2055.8000000000002</v>
      </c>
      <c r="M336" t="s">
        <v>27</v>
      </c>
      <c r="N336">
        <v>322</v>
      </c>
      <c r="O336" t="s">
        <v>25</v>
      </c>
    </row>
    <row r="337" spans="1:15" x14ac:dyDescent="0.3">
      <c r="A337" t="s">
        <v>6683</v>
      </c>
      <c r="B337" t="s">
        <v>6682</v>
      </c>
      <c r="C337" t="s">
        <v>0</v>
      </c>
      <c r="D337">
        <v>31</v>
      </c>
      <c r="E337" t="s">
        <v>132</v>
      </c>
      <c r="F337" t="s">
        <v>30</v>
      </c>
      <c r="G337" s="1">
        <v>46129</v>
      </c>
      <c r="H337" s="1">
        <v>46102</v>
      </c>
      <c r="I337" t="s">
        <v>6681</v>
      </c>
      <c r="J337" t="s">
        <v>6680</v>
      </c>
      <c r="K337" t="s">
        <v>57</v>
      </c>
      <c r="L337">
        <v>23165.84</v>
      </c>
      <c r="N337">
        <v>458</v>
      </c>
      <c r="O337" t="s">
        <v>50</v>
      </c>
    </row>
    <row r="338" spans="1:15" x14ac:dyDescent="0.3">
      <c r="A338" t="s">
        <v>6679</v>
      </c>
      <c r="B338" t="s">
        <v>6678</v>
      </c>
      <c r="C338" t="s">
        <v>60</v>
      </c>
      <c r="D338">
        <v>41</v>
      </c>
      <c r="E338" t="s">
        <v>68</v>
      </c>
      <c r="F338" t="s">
        <v>30</v>
      </c>
      <c r="G338" s="1">
        <v>46105</v>
      </c>
      <c r="H338" s="1">
        <v>46098</v>
      </c>
      <c r="I338" t="s">
        <v>6677</v>
      </c>
      <c r="J338" t="s">
        <v>6676</v>
      </c>
      <c r="K338" t="s">
        <v>64</v>
      </c>
      <c r="L338">
        <v>23600.16</v>
      </c>
      <c r="M338" t="s">
        <v>26</v>
      </c>
      <c r="N338">
        <v>499</v>
      </c>
      <c r="O338" t="s">
        <v>50</v>
      </c>
    </row>
    <row r="339" spans="1:15" x14ac:dyDescent="0.3">
      <c r="A339" t="s">
        <v>6675</v>
      </c>
      <c r="B339" t="s">
        <v>6674</v>
      </c>
      <c r="C339" t="s">
        <v>74</v>
      </c>
      <c r="D339">
        <v>20</v>
      </c>
      <c r="E339" t="s">
        <v>80</v>
      </c>
      <c r="F339" t="s">
        <v>53</v>
      </c>
      <c r="G339" s="1">
        <v>46020</v>
      </c>
      <c r="H339" s="1">
        <v>46006</v>
      </c>
      <c r="I339" t="s">
        <v>6673</v>
      </c>
      <c r="J339" t="s">
        <v>6672</v>
      </c>
      <c r="L339">
        <v>7988.03</v>
      </c>
      <c r="M339" t="s">
        <v>64</v>
      </c>
      <c r="N339">
        <v>374</v>
      </c>
      <c r="O339" t="s">
        <v>43</v>
      </c>
    </row>
    <row r="340" spans="1:15" x14ac:dyDescent="0.3">
      <c r="A340" t="s">
        <v>6671</v>
      </c>
      <c r="B340" t="s">
        <v>6670</v>
      </c>
      <c r="C340" t="s">
        <v>1</v>
      </c>
      <c r="D340">
        <v>58</v>
      </c>
      <c r="E340" t="s">
        <v>132</v>
      </c>
      <c r="F340" t="s">
        <v>85</v>
      </c>
      <c r="G340" s="1">
        <v>46120</v>
      </c>
      <c r="H340" s="1">
        <v>46112</v>
      </c>
      <c r="I340" t="s">
        <v>6669</v>
      </c>
      <c r="J340" t="s">
        <v>6668</v>
      </c>
      <c r="K340" t="s">
        <v>64</v>
      </c>
      <c r="L340">
        <v>2442.44</v>
      </c>
      <c r="M340" t="s">
        <v>63</v>
      </c>
      <c r="N340">
        <v>523</v>
      </c>
      <c r="O340" t="s">
        <v>25</v>
      </c>
    </row>
    <row r="341" spans="1:15" x14ac:dyDescent="0.3">
      <c r="A341" t="s">
        <v>6667</v>
      </c>
      <c r="B341" t="s">
        <v>6666</v>
      </c>
      <c r="C341" t="s">
        <v>40</v>
      </c>
      <c r="D341">
        <v>28</v>
      </c>
      <c r="E341" t="s">
        <v>31</v>
      </c>
      <c r="F341" t="s">
        <v>53</v>
      </c>
      <c r="G341" s="1">
        <v>46014</v>
      </c>
      <c r="H341" s="1">
        <v>46012</v>
      </c>
      <c r="I341" t="s">
        <v>6665</v>
      </c>
      <c r="J341" t="s">
        <v>6664</v>
      </c>
      <c r="K341" t="s">
        <v>17</v>
      </c>
      <c r="L341">
        <v>24216.32</v>
      </c>
      <c r="N341">
        <v>362</v>
      </c>
      <c r="O341" t="s">
        <v>77</v>
      </c>
    </row>
    <row r="342" spans="1:15" x14ac:dyDescent="0.3">
      <c r="A342" t="s">
        <v>6663</v>
      </c>
      <c r="B342" t="s">
        <v>6662</v>
      </c>
      <c r="C342" t="s">
        <v>22</v>
      </c>
      <c r="D342">
        <v>34</v>
      </c>
      <c r="E342" t="s">
        <v>39</v>
      </c>
      <c r="F342" t="s">
        <v>46</v>
      </c>
      <c r="G342" s="1">
        <v>46162</v>
      </c>
      <c r="H342" s="1">
        <v>46132</v>
      </c>
      <c r="I342" t="s">
        <v>6661</v>
      </c>
      <c r="J342" t="s">
        <v>6660</v>
      </c>
      <c r="L342">
        <v>21394.11</v>
      </c>
      <c r="M342" t="s">
        <v>57</v>
      </c>
      <c r="N342">
        <v>148</v>
      </c>
      <c r="O342" t="s">
        <v>16</v>
      </c>
    </row>
    <row r="343" spans="1:15" x14ac:dyDescent="0.3">
      <c r="A343" t="s">
        <v>6659</v>
      </c>
      <c r="B343" t="s">
        <v>6658</v>
      </c>
      <c r="C343" t="s">
        <v>74</v>
      </c>
      <c r="D343">
        <v>18</v>
      </c>
      <c r="E343" t="s">
        <v>80</v>
      </c>
      <c r="F343" t="s">
        <v>46</v>
      </c>
      <c r="G343" s="1">
        <v>46107</v>
      </c>
      <c r="H343" s="1">
        <v>46106</v>
      </c>
      <c r="I343" t="s">
        <v>6657</v>
      </c>
      <c r="J343" t="s">
        <v>6656</v>
      </c>
      <c r="K343" t="s">
        <v>17</v>
      </c>
      <c r="L343">
        <v>3441.74</v>
      </c>
      <c r="N343">
        <v>290</v>
      </c>
      <c r="O343" t="s">
        <v>25</v>
      </c>
    </row>
    <row r="344" spans="1:15" x14ac:dyDescent="0.3">
      <c r="A344" t="s">
        <v>6655</v>
      </c>
      <c r="B344" t="s">
        <v>6654</v>
      </c>
      <c r="C344" t="s">
        <v>74</v>
      </c>
      <c r="D344">
        <v>75</v>
      </c>
      <c r="E344" t="s">
        <v>132</v>
      </c>
      <c r="F344" t="s">
        <v>20</v>
      </c>
      <c r="G344" s="1">
        <v>46071</v>
      </c>
      <c r="H344" s="1">
        <v>46071</v>
      </c>
      <c r="I344" t="s">
        <v>6653</v>
      </c>
      <c r="J344" t="s">
        <v>6652</v>
      </c>
      <c r="K344" t="s">
        <v>64</v>
      </c>
      <c r="L344">
        <v>5104.21</v>
      </c>
      <c r="N344">
        <v>514</v>
      </c>
      <c r="O344" t="s">
        <v>71</v>
      </c>
    </row>
    <row r="345" spans="1:15" x14ac:dyDescent="0.3">
      <c r="A345" t="s">
        <v>6651</v>
      </c>
      <c r="B345" t="s">
        <v>6650</v>
      </c>
      <c r="C345" t="s">
        <v>74</v>
      </c>
      <c r="D345">
        <v>43</v>
      </c>
      <c r="E345" t="s">
        <v>80</v>
      </c>
      <c r="F345" t="s">
        <v>46</v>
      </c>
      <c r="G345" s="1">
        <v>46020</v>
      </c>
      <c r="H345" s="1">
        <v>45990</v>
      </c>
      <c r="I345" t="s">
        <v>6649</v>
      </c>
      <c r="J345" t="s">
        <v>6648</v>
      </c>
      <c r="L345">
        <v>1455.81</v>
      </c>
      <c r="N345">
        <v>520</v>
      </c>
      <c r="O345" t="s">
        <v>25</v>
      </c>
    </row>
    <row r="346" spans="1:15" x14ac:dyDescent="0.3">
      <c r="A346" t="s">
        <v>572</v>
      </c>
      <c r="B346" t="s">
        <v>6647</v>
      </c>
      <c r="C346" t="s">
        <v>123</v>
      </c>
      <c r="D346">
        <v>64</v>
      </c>
      <c r="E346" t="s">
        <v>47</v>
      </c>
      <c r="F346" t="s">
        <v>90</v>
      </c>
      <c r="G346" s="1">
        <v>46006</v>
      </c>
      <c r="H346" s="1">
        <v>45985</v>
      </c>
      <c r="I346" t="s">
        <v>6646</v>
      </c>
      <c r="J346" t="s">
        <v>6645</v>
      </c>
      <c r="L346">
        <v>4485.62</v>
      </c>
      <c r="M346" t="s">
        <v>57</v>
      </c>
      <c r="N346">
        <v>195</v>
      </c>
      <c r="O346" t="s">
        <v>43</v>
      </c>
    </row>
    <row r="347" spans="1:15" x14ac:dyDescent="0.3">
      <c r="A347" t="s">
        <v>6644</v>
      </c>
      <c r="B347" t="s">
        <v>6643</v>
      </c>
      <c r="C347" t="s">
        <v>22</v>
      </c>
      <c r="D347">
        <v>58</v>
      </c>
      <c r="E347" t="s">
        <v>39</v>
      </c>
      <c r="F347" t="s">
        <v>46</v>
      </c>
      <c r="G347" s="1">
        <v>46098</v>
      </c>
      <c r="H347" s="1">
        <v>46079</v>
      </c>
      <c r="I347" t="s">
        <v>6642</v>
      </c>
      <c r="J347" t="s">
        <v>6641</v>
      </c>
      <c r="K347" t="s">
        <v>17</v>
      </c>
      <c r="L347">
        <v>16252.5</v>
      </c>
      <c r="N347">
        <v>310</v>
      </c>
      <c r="O347" t="s">
        <v>34</v>
      </c>
    </row>
    <row r="348" spans="1:15" x14ac:dyDescent="0.3">
      <c r="A348" t="s">
        <v>6640</v>
      </c>
      <c r="B348" t="s">
        <v>6639</v>
      </c>
      <c r="D348">
        <v>8</v>
      </c>
      <c r="E348" t="s">
        <v>80</v>
      </c>
      <c r="F348" t="s">
        <v>30</v>
      </c>
      <c r="G348" s="1">
        <v>46103</v>
      </c>
      <c r="H348" s="1">
        <v>46091</v>
      </c>
      <c r="I348" t="s">
        <v>6638</v>
      </c>
      <c r="J348" t="s">
        <v>6637</v>
      </c>
      <c r="K348" t="s">
        <v>35</v>
      </c>
      <c r="L348">
        <v>10597.02</v>
      </c>
      <c r="M348" t="s">
        <v>57</v>
      </c>
      <c r="N348">
        <v>422</v>
      </c>
      <c r="O348" t="s">
        <v>50</v>
      </c>
    </row>
    <row r="349" spans="1:15" x14ac:dyDescent="0.3">
      <c r="A349" t="s">
        <v>6636</v>
      </c>
      <c r="B349" t="s">
        <v>6635</v>
      </c>
      <c r="C349" t="s">
        <v>40</v>
      </c>
      <c r="D349">
        <v>49</v>
      </c>
      <c r="E349" t="s">
        <v>31</v>
      </c>
      <c r="F349" t="s">
        <v>85</v>
      </c>
      <c r="G349" s="1">
        <v>46061</v>
      </c>
      <c r="H349" s="1">
        <v>46044</v>
      </c>
      <c r="I349" t="s">
        <v>6634</v>
      </c>
      <c r="J349" t="s">
        <v>6633</v>
      </c>
      <c r="L349">
        <v>8732.0499999999993</v>
      </c>
      <c r="M349" t="s">
        <v>17</v>
      </c>
      <c r="N349">
        <v>298</v>
      </c>
      <c r="O349" t="s">
        <v>43</v>
      </c>
    </row>
    <row r="350" spans="1:15" x14ac:dyDescent="0.3">
      <c r="A350" t="s">
        <v>6632</v>
      </c>
      <c r="B350" t="s">
        <v>6631</v>
      </c>
      <c r="C350" t="s">
        <v>0</v>
      </c>
      <c r="D350">
        <v>4</v>
      </c>
      <c r="E350" t="s">
        <v>31</v>
      </c>
      <c r="F350" t="s">
        <v>38</v>
      </c>
      <c r="G350" s="1">
        <v>46018</v>
      </c>
      <c r="H350" s="1">
        <v>46018</v>
      </c>
      <c r="I350" t="s">
        <v>6630</v>
      </c>
      <c r="J350" t="s">
        <v>6629</v>
      </c>
      <c r="K350" t="s">
        <v>26</v>
      </c>
      <c r="L350">
        <v>1653.06</v>
      </c>
      <c r="N350">
        <v>371</v>
      </c>
      <c r="O350" t="s">
        <v>43</v>
      </c>
    </row>
    <row r="351" spans="1:15" x14ac:dyDescent="0.3">
      <c r="A351" t="s">
        <v>6628</v>
      </c>
      <c r="B351" t="s">
        <v>6627</v>
      </c>
      <c r="C351" t="s">
        <v>1</v>
      </c>
      <c r="D351">
        <v>21</v>
      </c>
      <c r="E351" t="s">
        <v>80</v>
      </c>
      <c r="F351" t="s">
        <v>38</v>
      </c>
      <c r="G351" s="1">
        <v>46094</v>
      </c>
      <c r="H351" s="1">
        <v>46073</v>
      </c>
      <c r="I351" t="s">
        <v>6626</v>
      </c>
      <c r="J351" t="s">
        <v>6625</v>
      </c>
      <c r="K351" t="s">
        <v>17</v>
      </c>
      <c r="L351">
        <v>6809.87</v>
      </c>
      <c r="M351" t="s">
        <v>27</v>
      </c>
      <c r="N351">
        <v>491</v>
      </c>
      <c r="O351" t="s">
        <v>71</v>
      </c>
    </row>
    <row r="352" spans="1:15" x14ac:dyDescent="0.3">
      <c r="A352" t="s">
        <v>6624</v>
      </c>
      <c r="B352" t="s">
        <v>6623</v>
      </c>
      <c r="C352" t="s">
        <v>123</v>
      </c>
      <c r="D352">
        <v>46</v>
      </c>
      <c r="E352" t="s">
        <v>39</v>
      </c>
      <c r="F352" t="s">
        <v>53</v>
      </c>
      <c r="G352" s="1">
        <v>46016</v>
      </c>
      <c r="H352" s="1">
        <v>46009</v>
      </c>
      <c r="I352" t="s">
        <v>6622</v>
      </c>
      <c r="J352" t="s">
        <v>6621</v>
      </c>
      <c r="K352" t="s">
        <v>57</v>
      </c>
      <c r="L352">
        <v>20194.009999999998</v>
      </c>
      <c r="M352" t="s">
        <v>17</v>
      </c>
      <c r="N352">
        <v>402</v>
      </c>
      <c r="O352" t="s">
        <v>77</v>
      </c>
    </row>
    <row r="353" spans="1:15" x14ac:dyDescent="0.3">
      <c r="A353" t="s">
        <v>6620</v>
      </c>
      <c r="B353" t="s">
        <v>6619</v>
      </c>
      <c r="C353" t="s">
        <v>60</v>
      </c>
      <c r="D353">
        <v>73</v>
      </c>
      <c r="E353" t="s">
        <v>39</v>
      </c>
      <c r="F353" t="s">
        <v>38</v>
      </c>
      <c r="G353" s="1">
        <v>46059</v>
      </c>
      <c r="H353" s="1">
        <v>46033</v>
      </c>
      <c r="I353" t="s">
        <v>6618</v>
      </c>
      <c r="J353" t="s">
        <v>6617</v>
      </c>
      <c r="L353">
        <v>13644.69</v>
      </c>
      <c r="M353" t="s">
        <v>26</v>
      </c>
      <c r="N353">
        <v>351</v>
      </c>
      <c r="O353" t="s">
        <v>77</v>
      </c>
    </row>
    <row r="354" spans="1:15" x14ac:dyDescent="0.3">
      <c r="A354" t="s">
        <v>6616</v>
      </c>
      <c r="B354" t="s">
        <v>6615</v>
      </c>
      <c r="C354" t="s">
        <v>74</v>
      </c>
      <c r="D354">
        <v>8</v>
      </c>
      <c r="E354" t="s">
        <v>21</v>
      </c>
      <c r="F354" t="s">
        <v>38</v>
      </c>
      <c r="G354" s="1">
        <v>46087</v>
      </c>
      <c r="H354" s="1">
        <v>46087</v>
      </c>
      <c r="I354" t="s">
        <v>6614</v>
      </c>
      <c r="J354" t="s">
        <v>6613</v>
      </c>
      <c r="L354">
        <v>216.95</v>
      </c>
      <c r="M354" t="s">
        <v>57</v>
      </c>
      <c r="N354">
        <v>512</v>
      </c>
      <c r="O354" t="s">
        <v>71</v>
      </c>
    </row>
    <row r="355" spans="1:15" x14ac:dyDescent="0.3">
      <c r="A355" t="s">
        <v>6612</v>
      </c>
      <c r="B355" t="s">
        <v>6611</v>
      </c>
      <c r="C355" t="s">
        <v>60</v>
      </c>
      <c r="D355">
        <v>23</v>
      </c>
      <c r="E355" t="s">
        <v>31</v>
      </c>
      <c r="F355" t="s">
        <v>46</v>
      </c>
      <c r="G355" s="1">
        <v>46130</v>
      </c>
      <c r="H355" s="1">
        <v>46130</v>
      </c>
      <c r="I355" t="s">
        <v>6610</v>
      </c>
      <c r="J355" t="s">
        <v>6609</v>
      </c>
      <c r="K355" t="s">
        <v>35</v>
      </c>
      <c r="L355">
        <v>14747.91</v>
      </c>
      <c r="M355" t="s">
        <v>26</v>
      </c>
      <c r="N355">
        <v>496</v>
      </c>
      <c r="O355" t="s">
        <v>77</v>
      </c>
    </row>
    <row r="356" spans="1:15" x14ac:dyDescent="0.3">
      <c r="A356" t="s">
        <v>6608</v>
      </c>
      <c r="B356" t="s">
        <v>6607</v>
      </c>
      <c r="C356" t="s">
        <v>60</v>
      </c>
      <c r="D356">
        <v>10</v>
      </c>
      <c r="E356" t="s">
        <v>31</v>
      </c>
      <c r="F356" t="s">
        <v>90</v>
      </c>
      <c r="G356" s="1">
        <v>45993</v>
      </c>
      <c r="H356" s="1">
        <v>45975</v>
      </c>
      <c r="I356" t="s">
        <v>6606</v>
      </c>
      <c r="J356" t="s">
        <v>6605</v>
      </c>
      <c r="K356" t="s">
        <v>64</v>
      </c>
      <c r="L356">
        <v>8546.7099999999991</v>
      </c>
      <c r="M356" t="s">
        <v>17</v>
      </c>
      <c r="N356" t="s">
        <v>347</v>
      </c>
      <c r="O356" t="s">
        <v>71</v>
      </c>
    </row>
    <row r="357" spans="1:15" x14ac:dyDescent="0.3">
      <c r="A357" t="s">
        <v>6604</v>
      </c>
      <c r="B357" t="s">
        <v>6603</v>
      </c>
      <c r="C357" t="s">
        <v>123</v>
      </c>
      <c r="D357">
        <v>82</v>
      </c>
      <c r="E357" t="s">
        <v>68</v>
      </c>
      <c r="F357" t="s">
        <v>67</v>
      </c>
      <c r="G357" s="1">
        <v>46056</v>
      </c>
      <c r="H357" s="1">
        <v>46051</v>
      </c>
      <c r="I357" t="s">
        <v>6602</v>
      </c>
      <c r="J357" t="s">
        <v>6601</v>
      </c>
      <c r="K357" t="s">
        <v>57</v>
      </c>
      <c r="L357">
        <v>5736.28</v>
      </c>
      <c r="M357" t="s">
        <v>26</v>
      </c>
      <c r="N357">
        <v>293</v>
      </c>
      <c r="O357" t="s">
        <v>43</v>
      </c>
    </row>
    <row r="358" spans="1:15" x14ac:dyDescent="0.3">
      <c r="A358" t="s">
        <v>6600</v>
      </c>
      <c r="B358" t="s">
        <v>6599</v>
      </c>
      <c r="C358" t="s">
        <v>22</v>
      </c>
      <c r="D358">
        <v>17</v>
      </c>
      <c r="E358" t="s">
        <v>39</v>
      </c>
      <c r="F358" t="s">
        <v>46</v>
      </c>
      <c r="G358" s="1">
        <v>46087</v>
      </c>
      <c r="H358" s="1">
        <v>46057</v>
      </c>
      <c r="I358" t="s">
        <v>6598</v>
      </c>
      <c r="J358" t="s">
        <v>6597</v>
      </c>
      <c r="L358">
        <v>21298.77</v>
      </c>
      <c r="M358" t="s">
        <v>27</v>
      </c>
      <c r="N358">
        <v>193</v>
      </c>
      <c r="O358" t="s">
        <v>34</v>
      </c>
    </row>
    <row r="359" spans="1:15" x14ac:dyDescent="0.3">
      <c r="A359" t="s">
        <v>6596</v>
      </c>
      <c r="B359" t="s">
        <v>6595</v>
      </c>
      <c r="C359" t="s">
        <v>60</v>
      </c>
      <c r="D359">
        <v>79</v>
      </c>
      <c r="E359" t="s">
        <v>21</v>
      </c>
      <c r="F359" t="s">
        <v>20</v>
      </c>
      <c r="G359" s="1">
        <v>46095</v>
      </c>
      <c r="H359" s="1">
        <v>46066</v>
      </c>
      <c r="I359" t="s">
        <v>6594</v>
      </c>
      <c r="J359" t="s">
        <v>6593</v>
      </c>
      <c r="L359">
        <v>3687.96</v>
      </c>
      <c r="M359" t="s">
        <v>64</v>
      </c>
      <c r="N359">
        <v>221</v>
      </c>
      <c r="O359" t="s">
        <v>43</v>
      </c>
    </row>
    <row r="360" spans="1:15" x14ac:dyDescent="0.3">
      <c r="A360" t="s">
        <v>6592</v>
      </c>
      <c r="B360" t="s">
        <v>6591</v>
      </c>
      <c r="C360" t="s">
        <v>60</v>
      </c>
      <c r="D360">
        <v>22</v>
      </c>
      <c r="E360" t="s">
        <v>80</v>
      </c>
      <c r="F360" t="s">
        <v>67</v>
      </c>
      <c r="G360" s="1">
        <v>46074</v>
      </c>
      <c r="H360" s="1">
        <v>46060</v>
      </c>
      <c r="I360" t="s">
        <v>6590</v>
      </c>
      <c r="J360" t="s">
        <v>6589</v>
      </c>
      <c r="K360" t="s">
        <v>27</v>
      </c>
      <c r="L360">
        <v>6777.27</v>
      </c>
      <c r="M360" t="s">
        <v>57</v>
      </c>
      <c r="N360">
        <v>454</v>
      </c>
      <c r="O360" t="s">
        <v>77</v>
      </c>
    </row>
    <row r="361" spans="1:15" x14ac:dyDescent="0.3">
      <c r="A361" t="s">
        <v>6588</v>
      </c>
      <c r="B361" t="s">
        <v>6587</v>
      </c>
      <c r="C361" t="s">
        <v>60</v>
      </c>
      <c r="D361">
        <v>33</v>
      </c>
      <c r="E361" t="s">
        <v>80</v>
      </c>
      <c r="F361" t="s">
        <v>46</v>
      </c>
      <c r="G361" s="1">
        <v>45986</v>
      </c>
      <c r="H361" s="1">
        <v>45985</v>
      </c>
      <c r="I361" t="s">
        <v>6586</v>
      </c>
      <c r="J361" t="s">
        <v>6585</v>
      </c>
      <c r="L361">
        <v>11067.86</v>
      </c>
      <c r="N361">
        <v>185</v>
      </c>
      <c r="O361" t="s">
        <v>16</v>
      </c>
    </row>
    <row r="362" spans="1:15" x14ac:dyDescent="0.3">
      <c r="A362" t="s">
        <v>6584</v>
      </c>
      <c r="B362" t="s">
        <v>6583</v>
      </c>
      <c r="D362">
        <v>49</v>
      </c>
      <c r="E362" t="s">
        <v>31</v>
      </c>
      <c r="F362" t="s">
        <v>90</v>
      </c>
      <c r="G362" s="1">
        <v>46126</v>
      </c>
      <c r="H362" s="1">
        <v>46123</v>
      </c>
      <c r="I362" t="s">
        <v>6582</v>
      </c>
      <c r="J362" t="s">
        <v>6581</v>
      </c>
      <c r="L362">
        <v>19760.5</v>
      </c>
      <c r="M362" t="s">
        <v>57</v>
      </c>
      <c r="N362">
        <v>183</v>
      </c>
      <c r="O362" t="s">
        <v>16</v>
      </c>
    </row>
    <row r="363" spans="1:15" x14ac:dyDescent="0.3">
      <c r="A363" t="s">
        <v>6580</v>
      </c>
      <c r="B363" t="s">
        <v>6579</v>
      </c>
      <c r="C363" t="s">
        <v>74</v>
      </c>
      <c r="D363">
        <v>5</v>
      </c>
      <c r="E363" t="s">
        <v>132</v>
      </c>
      <c r="F363" t="s">
        <v>46</v>
      </c>
      <c r="G363" s="1">
        <v>46068</v>
      </c>
      <c r="H363" s="1">
        <v>46058</v>
      </c>
      <c r="I363" t="s">
        <v>6578</v>
      </c>
      <c r="J363" t="s">
        <v>6577</v>
      </c>
      <c r="K363" t="s">
        <v>26</v>
      </c>
      <c r="L363">
        <v>23801.22</v>
      </c>
      <c r="M363" t="s">
        <v>64</v>
      </c>
      <c r="N363">
        <v>275</v>
      </c>
      <c r="O363" t="s">
        <v>71</v>
      </c>
    </row>
    <row r="364" spans="1:15" x14ac:dyDescent="0.3">
      <c r="A364" t="s">
        <v>6576</v>
      </c>
      <c r="B364" t="s">
        <v>6575</v>
      </c>
      <c r="C364" t="s">
        <v>123</v>
      </c>
      <c r="D364">
        <v>21</v>
      </c>
      <c r="E364" t="s">
        <v>80</v>
      </c>
      <c r="F364" t="s">
        <v>20</v>
      </c>
      <c r="G364" s="1">
        <v>46151</v>
      </c>
      <c r="H364" s="1">
        <v>46141</v>
      </c>
      <c r="I364" t="s">
        <v>6574</v>
      </c>
      <c r="J364" t="s">
        <v>6573</v>
      </c>
      <c r="L364">
        <v>17671.72</v>
      </c>
      <c r="N364">
        <v>434</v>
      </c>
      <c r="O364" t="s">
        <v>71</v>
      </c>
    </row>
    <row r="365" spans="1:15" x14ac:dyDescent="0.3">
      <c r="A365" t="s">
        <v>6572</v>
      </c>
      <c r="B365" t="s">
        <v>6571</v>
      </c>
      <c r="C365" t="s">
        <v>123</v>
      </c>
      <c r="D365">
        <v>21</v>
      </c>
      <c r="E365" t="s">
        <v>47</v>
      </c>
      <c r="F365" t="s">
        <v>20</v>
      </c>
      <c r="G365" s="1">
        <v>46138</v>
      </c>
      <c r="H365" s="1">
        <v>46128</v>
      </c>
      <c r="I365" t="s">
        <v>6570</v>
      </c>
      <c r="J365" t="s">
        <v>6569</v>
      </c>
      <c r="K365" t="s">
        <v>17</v>
      </c>
      <c r="L365">
        <v>24365.08</v>
      </c>
      <c r="N365">
        <v>456</v>
      </c>
      <c r="O365" t="s">
        <v>34</v>
      </c>
    </row>
    <row r="366" spans="1:15" x14ac:dyDescent="0.3">
      <c r="A366" t="s">
        <v>6568</v>
      </c>
      <c r="B366" t="s">
        <v>6567</v>
      </c>
      <c r="C366" t="s">
        <v>22</v>
      </c>
      <c r="D366">
        <v>85</v>
      </c>
      <c r="E366" t="s">
        <v>850</v>
      </c>
      <c r="F366" t="s">
        <v>30</v>
      </c>
      <c r="G366" s="1">
        <v>46146</v>
      </c>
      <c r="H366" s="1">
        <v>46139</v>
      </c>
      <c r="I366" t="s">
        <v>6566</v>
      </c>
      <c r="J366" t="s">
        <v>6565</v>
      </c>
      <c r="K366" t="s">
        <v>64</v>
      </c>
      <c r="L366">
        <v>1430.96</v>
      </c>
      <c r="N366">
        <v>178</v>
      </c>
      <c r="O366" t="s">
        <v>77</v>
      </c>
    </row>
    <row r="367" spans="1:15" x14ac:dyDescent="0.3">
      <c r="A367" t="s">
        <v>6564</v>
      </c>
      <c r="B367" t="s">
        <v>6563</v>
      </c>
      <c r="C367" t="s">
        <v>60</v>
      </c>
      <c r="D367">
        <v>1</v>
      </c>
      <c r="E367" t="s">
        <v>54</v>
      </c>
      <c r="F367" t="s">
        <v>20</v>
      </c>
      <c r="G367" s="1">
        <v>46126</v>
      </c>
      <c r="H367" s="1">
        <v>46117</v>
      </c>
      <c r="I367" t="s">
        <v>6562</v>
      </c>
      <c r="J367" t="s">
        <v>6561</v>
      </c>
      <c r="L367">
        <v>5151.9399999999996</v>
      </c>
      <c r="M367" t="s">
        <v>27</v>
      </c>
      <c r="N367">
        <v>205</v>
      </c>
      <c r="O367" t="s">
        <v>71</v>
      </c>
    </row>
    <row r="368" spans="1:15" x14ac:dyDescent="0.3">
      <c r="A368" t="s">
        <v>6560</v>
      </c>
      <c r="B368" t="s">
        <v>6559</v>
      </c>
      <c r="C368" t="s">
        <v>22</v>
      </c>
      <c r="D368">
        <v>11</v>
      </c>
      <c r="E368" t="s">
        <v>68</v>
      </c>
      <c r="F368" t="s">
        <v>20</v>
      </c>
      <c r="G368" s="1">
        <v>46134</v>
      </c>
      <c r="H368" s="1">
        <v>46125</v>
      </c>
      <c r="I368" t="s">
        <v>6558</v>
      </c>
      <c r="J368" t="s">
        <v>6557</v>
      </c>
      <c r="L368">
        <v>11879.42</v>
      </c>
      <c r="M368" t="s">
        <v>63</v>
      </c>
      <c r="N368">
        <v>146</v>
      </c>
      <c r="O368" t="s">
        <v>25</v>
      </c>
    </row>
    <row r="369" spans="1:15" x14ac:dyDescent="0.3">
      <c r="A369" t="s">
        <v>6556</v>
      </c>
      <c r="B369" t="s">
        <v>6555</v>
      </c>
      <c r="C369" t="s">
        <v>123</v>
      </c>
      <c r="D369">
        <v>24</v>
      </c>
      <c r="E369" t="s">
        <v>31</v>
      </c>
      <c r="F369" t="s">
        <v>90</v>
      </c>
      <c r="G369" s="1">
        <v>46060</v>
      </c>
      <c r="H369" s="1">
        <v>46049</v>
      </c>
      <c r="I369" t="s">
        <v>6554</v>
      </c>
      <c r="J369" t="s">
        <v>6553</v>
      </c>
      <c r="K369" t="s">
        <v>35</v>
      </c>
      <c r="L369">
        <v>11255.23</v>
      </c>
      <c r="M369" t="s">
        <v>63</v>
      </c>
      <c r="N369">
        <v>325</v>
      </c>
      <c r="O369" t="s">
        <v>16</v>
      </c>
    </row>
    <row r="370" spans="1:15" x14ac:dyDescent="0.3">
      <c r="A370" t="s">
        <v>6552</v>
      </c>
      <c r="B370" t="s">
        <v>6551</v>
      </c>
      <c r="C370" t="s">
        <v>22</v>
      </c>
      <c r="D370">
        <v>29</v>
      </c>
      <c r="E370" t="s">
        <v>132</v>
      </c>
      <c r="F370" t="s">
        <v>46</v>
      </c>
      <c r="G370" s="1">
        <v>46124</v>
      </c>
      <c r="H370" s="1">
        <v>46120</v>
      </c>
      <c r="I370" t="s">
        <v>6550</v>
      </c>
      <c r="J370" t="s">
        <v>6549</v>
      </c>
      <c r="K370" t="s">
        <v>64</v>
      </c>
      <c r="L370">
        <v>2325.54</v>
      </c>
      <c r="M370" t="s">
        <v>17</v>
      </c>
      <c r="N370">
        <v>513</v>
      </c>
      <c r="O370" t="s">
        <v>34</v>
      </c>
    </row>
    <row r="371" spans="1:15" x14ac:dyDescent="0.3">
      <c r="A371" t="s">
        <v>6548</v>
      </c>
      <c r="B371" t="s">
        <v>6547</v>
      </c>
      <c r="C371" t="s">
        <v>123</v>
      </c>
      <c r="D371">
        <v>76</v>
      </c>
      <c r="E371" t="s">
        <v>21</v>
      </c>
      <c r="F371" t="s">
        <v>46</v>
      </c>
      <c r="G371" s="1">
        <v>46135</v>
      </c>
      <c r="H371" s="1">
        <v>46109</v>
      </c>
      <c r="I371" t="s">
        <v>6546</v>
      </c>
      <c r="J371" t="s">
        <v>6545</v>
      </c>
      <c r="L371">
        <v>20496.45</v>
      </c>
      <c r="N371">
        <v>374</v>
      </c>
      <c r="O371" t="s">
        <v>25</v>
      </c>
    </row>
    <row r="372" spans="1:15" x14ac:dyDescent="0.3">
      <c r="A372" t="s">
        <v>6544</v>
      </c>
      <c r="B372" t="s">
        <v>6543</v>
      </c>
      <c r="D372">
        <v>74</v>
      </c>
      <c r="E372" t="s">
        <v>21</v>
      </c>
      <c r="F372" t="s">
        <v>85</v>
      </c>
      <c r="G372" s="1">
        <v>46103</v>
      </c>
      <c r="H372" s="1">
        <v>46094</v>
      </c>
      <c r="I372" t="s">
        <v>6542</v>
      </c>
      <c r="J372" t="s">
        <v>6541</v>
      </c>
      <c r="K372" t="s">
        <v>64</v>
      </c>
      <c r="L372">
        <v>9991.15</v>
      </c>
      <c r="M372" t="s">
        <v>27</v>
      </c>
      <c r="N372">
        <v>357</v>
      </c>
      <c r="O372" t="s">
        <v>34</v>
      </c>
    </row>
    <row r="373" spans="1:15" x14ac:dyDescent="0.3">
      <c r="A373" t="s">
        <v>6540</v>
      </c>
      <c r="B373" t="s">
        <v>6539</v>
      </c>
      <c r="C373" t="s">
        <v>0</v>
      </c>
      <c r="D373">
        <v>16</v>
      </c>
      <c r="E373" t="s">
        <v>68</v>
      </c>
      <c r="F373" t="s">
        <v>53</v>
      </c>
      <c r="G373" s="1">
        <v>46019</v>
      </c>
      <c r="H373" s="1">
        <v>45989</v>
      </c>
      <c r="I373" t="s">
        <v>6538</v>
      </c>
      <c r="J373" t="s">
        <v>6537</v>
      </c>
      <c r="K373" t="s">
        <v>35</v>
      </c>
      <c r="L373">
        <v>24309.69</v>
      </c>
      <c r="M373" t="s">
        <v>57</v>
      </c>
      <c r="N373">
        <v>164</v>
      </c>
      <c r="O373" t="s">
        <v>77</v>
      </c>
    </row>
    <row r="374" spans="1:15" x14ac:dyDescent="0.3">
      <c r="A374" t="s">
        <v>6536</v>
      </c>
      <c r="B374" t="s">
        <v>6535</v>
      </c>
      <c r="C374" t="s">
        <v>123</v>
      </c>
      <c r="D374">
        <v>11</v>
      </c>
      <c r="E374" t="s">
        <v>54</v>
      </c>
      <c r="F374" t="s">
        <v>38</v>
      </c>
      <c r="G374" s="1">
        <v>46153</v>
      </c>
      <c r="H374" s="1">
        <v>46127</v>
      </c>
      <c r="I374" t="s">
        <v>6534</v>
      </c>
      <c r="J374" t="s">
        <v>6533</v>
      </c>
      <c r="K374" t="s">
        <v>35</v>
      </c>
      <c r="L374">
        <v>20885.88</v>
      </c>
      <c r="M374" t="s">
        <v>63</v>
      </c>
      <c r="N374">
        <v>263</v>
      </c>
      <c r="O374" t="s">
        <v>25</v>
      </c>
    </row>
    <row r="375" spans="1:15" x14ac:dyDescent="0.3">
      <c r="A375" t="s">
        <v>6532</v>
      </c>
      <c r="B375" t="s">
        <v>6531</v>
      </c>
      <c r="C375" t="s">
        <v>74</v>
      </c>
      <c r="D375">
        <v>12</v>
      </c>
      <c r="E375" t="s">
        <v>54</v>
      </c>
      <c r="F375" t="s">
        <v>90</v>
      </c>
      <c r="G375" s="1">
        <v>46165</v>
      </c>
      <c r="H375" s="1">
        <v>46148</v>
      </c>
      <c r="I375" t="s">
        <v>6530</v>
      </c>
      <c r="J375" t="s">
        <v>6529</v>
      </c>
      <c r="K375" t="s">
        <v>57</v>
      </c>
      <c r="L375">
        <v>21444.28</v>
      </c>
      <c r="N375">
        <v>547</v>
      </c>
      <c r="O375" t="s">
        <v>77</v>
      </c>
    </row>
    <row r="376" spans="1:15" x14ac:dyDescent="0.3">
      <c r="A376" t="s">
        <v>6528</v>
      </c>
      <c r="B376" t="s">
        <v>6527</v>
      </c>
      <c r="C376" t="s">
        <v>123</v>
      </c>
      <c r="D376">
        <v>15</v>
      </c>
      <c r="E376" t="s">
        <v>54</v>
      </c>
      <c r="F376" t="s">
        <v>53</v>
      </c>
      <c r="G376" s="1">
        <v>46078</v>
      </c>
      <c r="H376" s="1">
        <v>46074</v>
      </c>
      <c r="I376" t="s">
        <v>6526</v>
      </c>
      <c r="J376" t="s">
        <v>6525</v>
      </c>
      <c r="K376" t="s">
        <v>64</v>
      </c>
      <c r="L376">
        <v>23138.22</v>
      </c>
      <c r="M376" t="s">
        <v>64</v>
      </c>
      <c r="N376">
        <v>502</v>
      </c>
      <c r="O376" t="s">
        <v>43</v>
      </c>
    </row>
    <row r="377" spans="1:15" x14ac:dyDescent="0.3">
      <c r="A377" t="s">
        <v>6524</v>
      </c>
      <c r="B377" t="s">
        <v>6523</v>
      </c>
      <c r="C377" t="s">
        <v>60</v>
      </c>
      <c r="D377">
        <v>53</v>
      </c>
      <c r="E377" t="s">
        <v>132</v>
      </c>
      <c r="F377" t="s">
        <v>90</v>
      </c>
      <c r="G377" s="1">
        <v>46142</v>
      </c>
      <c r="H377" s="1">
        <v>46122</v>
      </c>
      <c r="I377" t="s">
        <v>6522</v>
      </c>
      <c r="J377" t="s">
        <v>6521</v>
      </c>
      <c r="L377">
        <v>14386.18</v>
      </c>
      <c r="N377">
        <v>119</v>
      </c>
      <c r="O377" t="s">
        <v>71</v>
      </c>
    </row>
    <row r="378" spans="1:15" x14ac:dyDescent="0.3">
      <c r="A378" t="s">
        <v>6520</v>
      </c>
      <c r="B378" t="s">
        <v>6519</v>
      </c>
      <c r="C378" t="s">
        <v>22</v>
      </c>
      <c r="D378">
        <v>52</v>
      </c>
      <c r="E378" t="s">
        <v>39</v>
      </c>
      <c r="F378" t="s">
        <v>90</v>
      </c>
      <c r="G378" s="1">
        <v>46063</v>
      </c>
      <c r="H378" s="1">
        <v>46062</v>
      </c>
      <c r="I378" t="s">
        <v>6518</v>
      </c>
      <c r="J378" t="s">
        <v>6517</v>
      </c>
      <c r="L378">
        <v>22261.439999999999</v>
      </c>
      <c r="M378" t="s">
        <v>17</v>
      </c>
      <c r="N378">
        <v>453</v>
      </c>
      <c r="O378" t="s">
        <v>71</v>
      </c>
    </row>
    <row r="379" spans="1:15" x14ac:dyDescent="0.3">
      <c r="A379" t="s">
        <v>6516</v>
      </c>
      <c r="B379" t="s">
        <v>6515</v>
      </c>
      <c r="C379" t="s">
        <v>40</v>
      </c>
      <c r="D379">
        <v>61</v>
      </c>
      <c r="E379" t="s">
        <v>132</v>
      </c>
      <c r="F379" t="s">
        <v>67</v>
      </c>
      <c r="G379" s="1">
        <v>46108</v>
      </c>
      <c r="H379" s="1">
        <v>46108</v>
      </c>
      <c r="I379" t="s">
        <v>6514</v>
      </c>
      <c r="J379" t="s">
        <v>6513</v>
      </c>
      <c r="K379" t="s">
        <v>57</v>
      </c>
      <c r="L379">
        <v>20471.169999999998</v>
      </c>
      <c r="M379" t="s">
        <v>63</v>
      </c>
      <c r="N379">
        <v>259</v>
      </c>
      <c r="O379" t="s">
        <v>43</v>
      </c>
    </row>
    <row r="380" spans="1:15" x14ac:dyDescent="0.3">
      <c r="A380" t="s">
        <v>6512</v>
      </c>
      <c r="B380" t="s">
        <v>6511</v>
      </c>
      <c r="D380">
        <v>90</v>
      </c>
      <c r="E380" t="s">
        <v>80</v>
      </c>
      <c r="F380" t="s">
        <v>38</v>
      </c>
      <c r="G380" s="1">
        <v>46133</v>
      </c>
      <c r="H380" s="1">
        <v>46129</v>
      </c>
      <c r="I380" t="s">
        <v>6510</v>
      </c>
      <c r="J380" t="s">
        <v>6509</v>
      </c>
      <c r="K380" t="s">
        <v>26</v>
      </c>
      <c r="L380">
        <v>24360.639999999999</v>
      </c>
      <c r="N380">
        <v>496</v>
      </c>
      <c r="O380" t="s">
        <v>50</v>
      </c>
    </row>
    <row r="381" spans="1:15" x14ac:dyDescent="0.3">
      <c r="A381" t="s">
        <v>6508</v>
      </c>
      <c r="B381" t="s">
        <v>6507</v>
      </c>
      <c r="C381" t="s">
        <v>60</v>
      </c>
      <c r="D381">
        <v>35</v>
      </c>
      <c r="E381" t="s">
        <v>54</v>
      </c>
      <c r="F381" t="s">
        <v>20</v>
      </c>
      <c r="G381" s="1">
        <v>46066</v>
      </c>
      <c r="H381" s="1">
        <v>46060</v>
      </c>
      <c r="I381" t="s">
        <v>6506</v>
      </c>
      <c r="J381" t="s">
        <v>6505</v>
      </c>
      <c r="L381">
        <v>5442.48</v>
      </c>
      <c r="N381">
        <v>479</v>
      </c>
      <c r="O381" t="s">
        <v>16</v>
      </c>
    </row>
    <row r="382" spans="1:15" x14ac:dyDescent="0.3">
      <c r="A382" t="s">
        <v>6504</v>
      </c>
      <c r="B382" t="s">
        <v>6503</v>
      </c>
      <c r="C382" t="s">
        <v>60</v>
      </c>
      <c r="D382">
        <v>8</v>
      </c>
      <c r="E382" t="s">
        <v>39</v>
      </c>
      <c r="F382" t="s">
        <v>20</v>
      </c>
      <c r="G382" s="1">
        <v>46141</v>
      </c>
      <c r="H382" s="1">
        <v>46132</v>
      </c>
      <c r="I382" t="s">
        <v>6502</v>
      </c>
      <c r="J382" t="s">
        <v>6501</v>
      </c>
      <c r="L382">
        <v>3564.12</v>
      </c>
      <c r="M382" t="s">
        <v>27</v>
      </c>
      <c r="N382">
        <v>188</v>
      </c>
      <c r="O382" t="s">
        <v>71</v>
      </c>
    </row>
    <row r="383" spans="1:15" x14ac:dyDescent="0.3">
      <c r="A383" t="s">
        <v>6500</v>
      </c>
      <c r="B383" t="s">
        <v>6499</v>
      </c>
      <c r="C383" t="s">
        <v>1</v>
      </c>
      <c r="D383">
        <v>8</v>
      </c>
      <c r="E383" t="s">
        <v>21</v>
      </c>
      <c r="F383" t="s">
        <v>46</v>
      </c>
      <c r="G383" s="1">
        <v>46081</v>
      </c>
      <c r="H383" s="1">
        <v>46067</v>
      </c>
      <c r="I383" t="s">
        <v>6498</v>
      </c>
      <c r="J383" t="s">
        <v>6497</v>
      </c>
      <c r="K383" t="s">
        <v>27</v>
      </c>
      <c r="L383">
        <v>22967.17</v>
      </c>
      <c r="M383" t="s">
        <v>57</v>
      </c>
      <c r="N383">
        <v>240</v>
      </c>
      <c r="O383" t="s">
        <v>43</v>
      </c>
    </row>
    <row r="384" spans="1:15" x14ac:dyDescent="0.3">
      <c r="A384" t="s">
        <v>6496</v>
      </c>
      <c r="B384" t="s">
        <v>6495</v>
      </c>
      <c r="D384">
        <v>65</v>
      </c>
      <c r="E384" t="s">
        <v>54</v>
      </c>
      <c r="F384" t="s">
        <v>20</v>
      </c>
      <c r="G384" s="1">
        <v>46047</v>
      </c>
      <c r="H384" s="1">
        <v>46026</v>
      </c>
      <c r="I384" t="s">
        <v>6494</v>
      </c>
      <c r="J384" t="s">
        <v>6493</v>
      </c>
      <c r="K384" t="s">
        <v>27</v>
      </c>
      <c r="L384">
        <v>6200.06</v>
      </c>
      <c r="N384">
        <v>404</v>
      </c>
      <c r="O384" t="s">
        <v>16</v>
      </c>
    </row>
    <row r="385" spans="1:15" x14ac:dyDescent="0.3">
      <c r="A385" t="s">
        <v>6492</v>
      </c>
      <c r="B385" t="s">
        <v>6491</v>
      </c>
      <c r="C385" t="s">
        <v>0</v>
      </c>
      <c r="D385">
        <v>61</v>
      </c>
      <c r="E385" t="s">
        <v>31</v>
      </c>
      <c r="F385" t="s">
        <v>67</v>
      </c>
      <c r="G385" s="1">
        <v>46054</v>
      </c>
      <c r="H385" s="1">
        <v>46049</v>
      </c>
      <c r="I385" t="s">
        <v>6490</v>
      </c>
      <c r="J385" t="s">
        <v>6489</v>
      </c>
      <c r="K385" t="s">
        <v>26</v>
      </c>
      <c r="L385">
        <v>18774.240000000002</v>
      </c>
      <c r="M385" t="s">
        <v>64</v>
      </c>
      <c r="N385">
        <v>245</v>
      </c>
      <c r="O385" t="s">
        <v>77</v>
      </c>
    </row>
    <row r="386" spans="1:15" x14ac:dyDescent="0.3">
      <c r="A386" t="s">
        <v>6488</v>
      </c>
      <c r="B386" t="s">
        <v>6487</v>
      </c>
      <c r="C386" t="s">
        <v>123</v>
      </c>
      <c r="D386">
        <v>7</v>
      </c>
      <c r="E386" t="s">
        <v>39</v>
      </c>
      <c r="F386" t="s">
        <v>38</v>
      </c>
      <c r="G386" s="1">
        <v>46039</v>
      </c>
      <c r="H386" s="1">
        <v>46012</v>
      </c>
      <c r="I386" t="s">
        <v>6486</v>
      </c>
      <c r="J386" t="s">
        <v>6485</v>
      </c>
      <c r="K386" t="s">
        <v>17</v>
      </c>
      <c r="L386">
        <v>16255.02</v>
      </c>
      <c r="M386" t="s">
        <v>57</v>
      </c>
      <c r="N386">
        <v>237</v>
      </c>
      <c r="O386" t="s">
        <v>25</v>
      </c>
    </row>
    <row r="387" spans="1:15" x14ac:dyDescent="0.3">
      <c r="A387" t="s">
        <v>6484</v>
      </c>
      <c r="B387" t="s">
        <v>6483</v>
      </c>
      <c r="C387" t="s">
        <v>123</v>
      </c>
      <c r="D387">
        <v>66</v>
      </c>
      <c r="E387" t="s">
        <v>47</v>
      </c>
      <c r="F387" t="s">
        <v>46</v>
      </c>
      <c r="G387" s="1">
        <v>46103</v>
      </c>
      <c r="H387" s="1">
        <v>46088</v>
      </c>
      <c r="I387" t="s">
        <v>6482</v>
      </c>
      <c r="J387" t="s">
        <v>6481</v>
      </c>
      <c r="K387" t="s">
        <v>35</v>
      </c>
      <c r="L387">
        <v>16254.81</v>
      </c>
      <c r="M387" t="s">
        <v>27</v>
      </c>
      <c r="N387">
        <v>214</v>
      </c>
      <c r="O387" t="s">
        <v>43</v>
      </c>
    </row>
    <row r="388" spans="1:15" x14ac:dyDescent="0.3">
      <c r="A388" t="s">
        <v>6480</v>
      </c>
      <c r="B388" t="s">
        <v>6479</v>
      </c>
      <c r="C388" t="s">
        <v>22</v>
      </c>
      <c r="D388">
        <v>83</v>
      </c>
      <c r="E388" t="s">
        <v>132</v>
      </c>
      <c r="F388" t="s">
        <v>90</v>
      </c>
      <c r="G388" s="1">
        <v>46101</v>
      </c>
      <c r="H388" s="1">
        <v>46073</v>
      </c>
      <c r="I388" t="s">
        <v>6478</v>
      </c>
      <c r="J388" t="s">
        <v>6477</v>
      </c>
      <c r="L388">
        <v>21319.34</v>
      </c>
      <c r="N388">
        <v>229</v>
      </c>
      <c r="O388" t="s">
        <v>71</v>
      </c>
    </row>
    <row r="389" spans="1:15" x14ac:dyDescent="0.3">
      <c r="A389" t="s">
        <v>6476</v>
      </c>
      <c r="B389" t="s">
        <v>6475</v>
      </c>
      <c r="D389">
        <v>39</v>
      </c>
      <c r="E389" t="s">
        <v>54</v>
      </c>
      <c r="F389" t="s">
        <v>20</v>
      </c>
      <c r="G389" s="1">
        <v>46043</v>
      </c>
      <c r="H389" s="1">
        <v>46043</v>
      </c>
      <c r="I389" t="s">
        <v>6474</v>
      </c>
      <c r="J389" t="s">
        <v>6473</v>
      </c>
      <c r="K389" t="s">
        <v>57</v>
      </c>
      <c r="L389">
        <v>14124.14</v>
      </c>
      <c r="M389" t="s">
        <v>63</v>
      </c>
      <c r="N389">
        <v>252</v>
      </c>
      <c r="O389" t="s">
        <v>25</v>
      </c>
    </row>
    <row r="390" spans="1:15" x14ac:dyDescent="0.3">
      <c r="A390" t="s">
        <v>6472</v>
      </c>
      <c r="B390" t="s">
        <v>6471</v>
      </c>
      <c r="C390" t="s">
        <v>74</v>
      </c>
      <c r="D390">
        <v>62</v>
      </c>
      <c r="E390" t="s">
        <v>80</v>
      </c>
      <c r="F390" t="s">
        <v>67</v>
      </c>
      <c r="G390" s="1">
        <v>46069</v>
      </c>
      <c r="H390" s="1">
        <v>46061</v>
      </c>
      <c r="I390" t="s">
        <v>6470</v>
      </c>
      <c r="J390" t="s">
        <v>6469</v>
      </c>
      <c r="K390" t="s">
        <v>57</v>
      </c>
      <c r="L390">
        <v>21564.99</v>
      </c>
      <c r="M390" t="s">
        <v>63</v>
      </c>
      <c r="N390">
        <v>435</v>
      </c>
      <c r="O390" t="s">
        <v>25</v>
      </c>
    </row>
    <row r="391" spans="1:15" x14ac:dyDescent="0.3">
      <c r="A391" t="s">
        <v>6468</v>
      </c>
      <c r="B391" t="s">
        <v>6467</v>
      </c>
      <c r="C391" t="s">
        <v>22</v>
      </c>
      <c r="D391">
        <v>25</v>
      </c>
      <c r="E391" t="s">
        <v>39</v>
      </c>
      <c r="F391" t="s">
        <v>38</v>
      </c>
      <c r="G391" s="1">
        <v>46116</v>
      </c>
      <c r="H391" s="1">
        <v>46088</v>
      </c>
      <c r="I391" t="s">
        <v>6466</v>
      </c>
      <c r="J391" t="s">
        <v>6465</v>
      </c>
      <c r="K391" t="s">
        <v>27</v>
      </c>
      <c r="L391">
        <v>20174.66</v>
      </c>
      <c r="N391">
        <v>438</v>
      </c>
      <c r="O391" t="s">
        <v>43</v>
      </c>
    </row>
    <row r="392" spans="1:15" x14ac:dyDescent="0.3">
      <c r="A392" t="s">
        <v>6464</v>
      </c>
      <c r="B392" t="s">
        <v>6463</v>
      </c>
      <c r="C392" t="s">
        <v>0</v>
      </c>
      <c r="D392">
        <v>4</v>
      </c>
      <c r="E392" t="s">
        <v>68</v>
      </c>
      <c r="F392" t="s">
        <v>30</v>
      </c>
      <c r="G392" s="1">
        <v>46053</v>
      </c>
      <c r="H392" s="1">
        <v>46045</v>
      </c>
      <c r="I392" t="s">
        <v>6462</v>
      </c>
      <c r="J392" t="s">
        <v>6461</v>
      </c>
      <c r="L392">
        <v>10234.049999999999</v>
      </c>
      <c r="M392" t="s">
        <v>27</v>
      </c>
      <c r="N392">
        <v>398</v>
      </c>
      <c r="O392" t="s">
        <v>25</v>
      </c>
    </row>
    <row r="393" spans="1:15" x14ac:dyDescent="0.3">
      <c r="A393" t="s">
        <v>6460</v>
      </c>
      <c r="B393" t="s">
        <v>4987</v>
      </c>
      <c r="C393" t="s">
        <v>1</v>
      </c>
      <c r="D393">
        <v>44</v>
      </c>
      <c r="E393" t="s">
        <v>21</v>
      </c>
      <c r="F393" t="s">
        <v>85</v>
      </c>
      <c r="G393" s="1">
        <v>46143</v>
      </c>
      <c r="H393" s="1">
        <v>46114</v>
      </c>
      <c r="I393" t="s">
        <v>6459</v>
      </c>
      <c r="J393" t="s">
        <v>6458</v>
      </c>
      <c r="K393" t="s">
        <v>57</v>
      </c>
      <c r="L393">
        <v>12781.41</v>
      </c>
      <c r="M393" t="s">
        <v>26</v>
      </c>
      <c r="N393">
        <v>530</v>
      </c>
      <c r="O393" t="s">
        <v>25</v>
      </c>
    </row>
    <row r="394" spans="1:15" x14ac:dyDescent="0.3">
      <c r="A394" t="s">
        <v>6457</v>
      </c>
      <c r="B394" t="s">
        <v>6456</v>
      </c>
      <c r="C394" t="s">
        <v>0</v>
      </c>
      <c r="D394">
        <v>38</v>
      </c>
      <c r="E394" t="s">
        <v>80</v>
      </c>
      <c r="F394" t="s">
        <v>85</v>
      </c>
      <c r="G394" s="1">
        <v>46011</v>
      </c>
      <c r="H394" s="1">
        <v>46007</v>
      </c>
      <c r="I394" t="s">
        <v>6455</v>
      </c>
      <c r="J394" t="s">
        <v>6454</v>
      </c>
      <c r="K394" t="s">
        <v>26</v>
      </c>
      <c r="L394">
        <v>18184.63</v>
      </c>
      <c r="M394" t="s">
        <v>26</v>
      </c>
      <c r="N394">
        <v>448</v>
      </c>
      <c r="O394" t="s">
        <v>43</v>
      </c>
    </row>
    <row r="395" spans="1:15" x14ac:dyDescent="0.3">
      <c r="A395" t="s">
        <v>6453</v>
      </c>
      <c r="B395" t="s">
        <v>6452</v>
      </c>
      <c r="C395" t="s">
        <v>74</v>
      </c>
      <c r="D395">
        <v>29</v>
      </c>
      <c r="E395" t="s">
        <v>31</v>
      </c>
      <c r="F395" t="s">
        <v>38</v>
      </c>
      <c r="G395" s="1">
        <v>46072</v>
      </c>
      <c r="H395" s="1">
        <v>46049</v>
      </c>
      <c r="I395" t="s">
        <v>6451</v>
      </c>
      <c r="J395" t="s">
        <v>6450</v>
      </c>
      <c r="K395" t="s">
        <v>26</v>
      </c>
      <c r="L395">
        <v>10627.72</v>
      </c>
      <c r="M395" t="s">
        <v>17</v>
      </c>
      <c r="N395">
        <v>290</v>
      </c>
      <c r="O395" t="s">
        <v>43</v>
      </c>
    </row>
    <row r="396" spans="1:15" x14ac:dyDescent="0.3">
      <c r="A396" t="s">
        <v>6449</v>
      </c>
      <c r="B396" t="s">
        <v>6448</v>
      </c>
      <c r="C396" t="s">
        <v>22</v>
      </c>
      <c r="D396">
        <v>60</v>
      </c>
      <c r="E396" t="s">
        <v>80</v>
      </c>
      <c r="F396" t="s">
        <v>85</v>
      </c>
      <c r="G396" s="1">
        <v>46111</v>
      </c>
      <c r="H396" s="1">
        <v>46116</v>
      </c>
      <c r="I396" t="s">
        <v>6447</v>
      </c>
      <c r="J396" t="s">
        <v>6446</v>
      </c>
      <c r="K396" t="s">
        <v>64</v>
      </c>
      <c r="L396">
        <v>11911.05</v>
      </c>
      <c r="M396" t="s">
        <v>57</v>
      </c>
      <c r="N396">
        <v>356</v>
      </c>
      <c r="O396" t="s">
        <v>77</v>
      </c>
    </row>
    <row r="397" spans="1:15" x14ac:dyDescent="0.3">
      <c r="A397" t="s">
        <v>6445</v>
      </c>
      <c r="B397" t="s">
        <v>6444</v>
      </c>
      <c r="C397" t="s">
        <v>123</v>
      </c>
      <c r="D397">
        <v>68</v>
      </c>
      <c r="E397" t="s">
        <v>132</v>
      </c>
      <c r="F397" t="s">
        <v>90</v>
      </c>
      <c r="G397" s="1">
        <v>46046</v>
      </c>
      <c r="H397" s="1">
        <v>46045</v>
      </c>
      <c r="I397" t="s">
        <v>6443</v>
      </c>
      <c r="J397" t="s">
        <v>6442</v>
      </c>
      <c r="K397" t="s">
        <v>35</v>
      </c>
      <c r="L397">
        <v>3606.66</v>
      </c>
      <c r="M397" t="s">
        <v>57</v>
      </c>
      <c r="N397">
        <v>275</v>
      </c>
      <c r="O397" t="s">
        <v>16</v>
      </c>
    </row>
    <row r="398" spans="1:15" x14ac:dyDescent="0.3">
      <c r="A398" t="s">
        <v>6441</v>
      </c>
      <c r="B398" t="s">
        <v>6440</v>
      </c>
      <c r="D398">
        <v>19</v>
      </c>
      <c r="E398" t="s">
        <v>31</v>
      </c>
      <c r="F398" t="s">
        <v>53</v>
      </c>
      <c r="G398" s="1">
        <v>46063</v>
      </c>
      <c r="H398" s="1">
        <v>46039</v>
      </c>
      <c r="I398" t="s">
        <v>6439</v>
      </c>
      <c r="J398" t="s">
        <v>6438</v>
      </c>
      <c r="K398" t="s">
        <v>64</v>
      </c>
      <c r="L398">
        <v>12292</v>
      </c>
      <c r="M398" t="s">
        <v>26</v>
      </c>
      <c r="N398">
        <v>260</v>
      </c>
      <c r="O398" t="s">
        <v>25</v>
      </c>
    </row>
    <row r="399" spans="1:15" x14ac:dyDescent="0.3">
      <c r="A399" t="s">
        <v>6437</v>
      </c>
      <c r="B399" t="s">
        <v>6436</v>
      </c>
      <c r="C399" t="s">
        <v>40</v>
      </c>
      <c r="D399">
        <v>1</v>
      </c>
      <c r="E399" t="s">
        <v>68</v>
      </c>
      <c r="F399" t="s">
        <v>30</v>
      </c>
      <c r="G399" s="1">
        <v>45984</v>
      </c>
      <c r="H399" s="1">
        <v>45978</v>
      </c>
      <c r="I399" t="s">
        <v>6435</v>
      </c>
      <c r="J399" t="s">
        <v>6434</v>
      </c>
      <c r="K399" t="s">
        <v>35</v>
      </c>
      <c r="L399">
        <v>14491.72</v>
      </c>
      <c r="M399" t="s">
        <v>26</v>
      </c>
      <c r="N399">
        <v>350</v>
      </c>
      <c r="O399" t="s">
        <v>50</v>
      </c>
    </row>
    <row r="400" spans="1:15" x14ac:dyDescent="0.3">
      <c r="A400" t="s">
        <v>6433</v>
      </c>
      <c r="B400" t="s">
        <v>6432</v>
      </c>
      <c r="C400" t="s">
        <v>74</v>
      </c>
      <c r="D400">
        <v>17</v>
      </c>
      <c r="E400" t="s">
        <v>54</v>
      </c>
      <c r="F400" t="s">
        <v>90</v>
      </c>
      <c r="G400" s="1">
        <v>46032</v>
      </c>
      <c r="H400" s="1">
        <v>46020</v>
      </c>
      <c r="I400" t="s">
        <v>6431</v>
      </c>
      <c r="J400" t="s">
        <v>6430</v>
      </c>
      <c r="L400">
        <v>24140.13</v>
      </c>
      <c r="N400">
        <v>102</v>
      </c>
      <c r="O400" t="s">
        <v>77</v>
      </c>
    </row>
    <row r="401" spans="1:15" x14ac:dyDescent="0.3">
      <c r="A401" t="s">
        <v>6429</v>
      </c>
      <c r="B401" t="s">
        <v>6428</v>
      </c>
      <c r="C401" t="s">
        <v>1</v>
      </c>
      <c r="D401">
        <v>48</v>
      </c>
      <c r="E401" t="s">
        <v>47</v>
      </c>
      <c r="F401" t="s">
        <v>67</v>
      </c>
      <c r="G401" s="1">
        <v>46080</v>
      </c>
      <c r="H401" s="1">
        <v>46056</v>
      </c>
      <c r="I401" t="s">
        <v>6427</v>
      </c>
      <c r="J401" t="s">
        <v>6426</v>
      </c>
      <c r="K401" t="s">
        <v>17</v>
      </c>
      <c r="L401">
        <v>644.32000000000005</v>
      </c>
      <c r="M401" t="s">
        <v>27</v>
      </c>
      <c r="N401">
        <v>420</v>
      </c>
      <c r="O401" t="s">
        <v>25</v>
      </c>
    </row>
    <row r="402" spans="1:15" x14ac:dyDescent="0.3">
      <c r="A402" t="s">
        <v>6425</v>
      </c>
      <c r="B402" t="s">
        <v>6424</v>
      </c>
      <c r="C402" t="s">
        <v>1</v>
      </c>
      <c r="D402">
        <v>29</v>
      </c>
      <c r="E402" t="s">
        <v>31</v>
      </c>
      <c r="F402" t="s">
        <v>30</v>
      </c>
      <c r="G402" s="1">
        <v>46077</v>
      </c>
      <c r="H402" s="1">
        <v>46073</v>
      </c>
      <c r="I402" t="s">
        <v>6423</v>
      </c>
      <c r="J402" t="s">
        <v>6422</v>
      </c>
      <c r="K402" t="s">
        <v>64</v>
      </c>
      <c r="L402">
        <v>9712.0499999999993</v>
      </c>
      <c r="M402" t="s">
        <v>63</v>
      </c>
      <c r="N402">
        <v>185</v>
      </c>
      <c r="O402" t="s">
        <v>77</v>
      </c>
    </row>
    <row r="403" spans="1:15" x14ac:dyDescent="0.3">
      <c r="A403" t="s">
        <v>6421</v>
      </c>
      <c r="B403" t="s">
        <v>6420</v>
      </c>
      <c r="C403" t="s">
        <v>40</v>
      </c>
      <c r="D403">
        <v>39</v>
      </c>
      <c r="E403" t="s">
        <v>132</v>
      </c>
      <c r="F403" t="s">
        <v>85</v>
      </c>
      <c r="G403" s="1">
        <v>46099</v>
      </c>
      <c r="H403" s="1">
        <v>46076</v>
      </c>
      <c r="I403" t="s">
        <v>6419</v>
      </c>
      <c r="J403" t="s">
        <v>6418</v>
      </c>
      <c r="K403" t="s">
        <v>57</v>
      </c>
      <c r="L403">
        <v>10954.9</v>
      </c>
      <c r="M403" t="s">
        <v>26</v>
      </c>
      <c r="N403">
        <v>275</v>
      </c>
      <c r="O403" t="s">
        <v>16</v>
      </c>
    </row>
    <row r="404" spans="1:15" x14ac:dyDescent="0.3">
      <c r="A404" t="s">
        <v>6417</v>
      </c>
      <c r="B404" t="s">
        <v>6416</v>
      </c>
      <c r="C404" t="s">
        <v>60</v>
      </c>
      <c r="D404">
        <v>25</v>
      </c>
      <c r="E404" t="s">
        <v>39</v>
      </c>
      <c r="F404" t="s">
        <v>90</v>
      </c>
      <c r="G404" s="1">
        <v>46100</v>
      </c>
      <c r="H404" s="1">
        <v>46100</v>
      </c>
      <c r="I404" t="s">
        <v>6415</v>
      </c>
      <c r="J404" t="s">
        <v>6414</v>
      </c>
      <c r="K404" t="s">
        <v>17</v>
      </c>
      <c r="L404">
        <v>5763.17</v>
      </c>
      <c r="M404" t="s">
        <v>26</v>
      </c>
      <c r="N404">
        <v>208</v>
      </c>
      <c r="O404" t="s">
        <v>25</v>
      </c>
    </row>
    <row r="405" spans="1:15" x14ac:dyDescent="0.3">
      <c r="A405" t="s">
        <v>6413</v>
      </c>
      <c r="B405" t="s">
        <v>6412</v>
      </c>
      <c r="C405" t="s">
        <v>40</v>
      </c>
      <c r="D405">
        <v>76</v>
      </c>
      <c r="E405" t="s">
        <v>39</v>
      </c>
      <c r="F405" t="s">
        <v>20</v>
      </c>
      <c r="G405" s="1">
        <v>46107</v>
      </c>
      <c r="H405" s="1">
        <v>46096</v>
      </c>
      <c r="I405" t="s">
        <v>6411</v>
      </c>
      <c r="J405" t="s">
        <v>6410</v>
      </c>
      <c r="K405" t="s">
        <v>27</v>
      </c>
      <c r="L405">
        <v>9504.77</v>
      </c>
      <c r="M405" t="s">
        <v>63</v>
      </c>
      <c r="N405">
        <v>494</v>
      </c>
      <c r="O405" t="s">
        <v>34</v>
      </c>
    </row>
    <row r="406" spans="1:15" x14ac:dyDescent="0.3">
      <c r="A406" t="s">
        <v>6409</v>
      </c>
      <c r="B406" t="s">
        <v>6408</v>
      </c>
      <c r="C406" t="s">
        <v>40</v>
      </c>
      <c r="D406">
        <v>77</v>
      </c>
      <c r="E406" t="s">
        <v>47</v>
      </c>
      <c r="F406" t="s">
        <v>20</v>
      </c>
      <c r="G406" s="1">
        <v>46139</v>
      </c>
      <c r="H406" s="1">
        <v>46119</v>
      </c>
      <c r="I406" t="s">
        <v>6407</v>
      </c>
      <c r="K406" t="s">
        <v>27</v>
      </c>
      <c r="L406">
        <v>1396.23</v>
      </c>
      <c r="M406" t="s">
        <v>64</v>
      </c>
      <c r="N406">
        <v>313</v>
      </c>
      <c r="O406" t="s">
        <v>16</v>
      </c>
    </row>
    <row r="407" spans="1:15" x14ac:dyDescent="0.3">
      <c r="A407" t="s">
        <v>6406</v>
      </c>
      <c r="B407" t="s">
        <v>6405</v>
      </c>
      <c r="C407" t="s">
        <v>123</v>
      </c>
      <c r="D407">
        <v>16</v>
      </c>
      <c r="E407" t="s">
        <v>132</v>
      </c>
      <c r="F407" t="s">
        <v>85</v>
      </c>
      <c r="G407" s="1">
        <v>46151</v>
      </c>
      <c r="H407" s="1">
        <v>46129</v>
      </c>
      <c r="I407" t="s">
        <v>6404</v>
      </c>
      <c r="J407" t="s">
        <v>6403</v>
      </c>
      <c r="K407" t="s">
        <v>35</v>
      </c>
      <c r="L407">
        <v>5296.27</v>
      </c>
      <c r="M407" t="s">
        <v>27</v>
      </c>
      <c r="N407">
        <v>254</v>
      </c>
      <c r="O407" t="s">
        <v>16</v>
      </c>
    </row>
    <row r="408" spans="1:15" x14ac:dyDescent="0.3">
      <c r="A408" t="s">
        <v>6402</v>
      </c>
      <c r="B408" t="s">
        <v>6401</v>
      </c>
      <c r="C408" t="s">
        <v>74</v>
      </c>
      <c r="D408">
        <v>85</v>
      </c>
      <c r="E408" t="s">
        <v>132</v>
      </c>
      <c r="F408" t="s">
        <v>53</v>
      </c>
      <c r="G408" s="1">
        <v>46140</v>
      </c>
      <c r="H408" s="1">
        <v>46127</v>
      </c>
      <c r="I408" t="s">
        <v>6400</v>
      </c>
      <c r="J408" t="s">
        <v>6399</v>
      </c>
      <c r="K408" t="s">
        <v>64</v>
      </c>
      <c r="L408">
        <v>12887.3</v>
      </c>
      <c r="M408" t="s">
        <v>64</v>
      </c>
      <c r="N408">
        <v>244</v>
      </c>
      <c r="O408" t="s">
        <v>77</v>
      </c>
    </row>
    <row r="409" spans="1:15" x14ac:dyDescent="0.3">
      <c r="A409" t="s">
        <v>6398</v>
      </c>
      <c r="B409" t="s">
        <v>6397</v>
      </c>
      <c r="C409" t="s">
        <v>74</v>
      </c>
      <c r="D409">
        <v>64</v>
      </c>
      <c r="E409" t="s">
        <v>21</v>
      </c>
      <c r="F409" t="s">
        <v>38</v>
      </c>
      <c r="G409" s="1">
        <v>46072</v>
      </c>
      <c r="H409" s="1">
        <v>46048</v>
      </c>
      <c r="I409" t="s">
        <v>6396</v>
      </c>
      <c r="J409" t="s">
        <v>6395</v>
      </c>
      <c r="K409" t="s">
        <v>26</v>
      </c>
      <c r="L409">
        <v>20821.169999999998</v>
      </c>
      <c r="M409" t="s">
        <v>57</v>
      </c>
      <c r="N409">
        <v>283</v>
      </c>
      <c r="O409" t="s">
        <v>25</v>
      </c>
    </row>
    <row r="410" spans="1:15" x14ac:dyDescent="0.3">
      <c r="A410" t="s">
        <v>6394</v>
      </c>
      <c r="B410" t="s">
        <v>6393</v>
      </c>
      <c r="C410" t="s">
        <v>123</v>
      </c>
      <c r="D410">
        <v>38</v>
      </c>
      <c r="E410" t="s">
        <v>39</v>
      </c>
      <c r="F410" t="s">
        <v>46</v>
      </c>
      <c r="G410" s="1">
        <v>46139</v>
      </c>
      <c r="H410" s="1">
        <v>46122</v>
      </c>
      <c r="I410" t="s">
        <v>6392</v>
      </c>
      <c r="J410" t="s">
        <v>6391</v>
      </c>
      <c r="L410">
        <v>22776.84</v>
      </c>
      <c r="N410">
        <v>269</v>
      </c>
      <c r="O410" t="s">
        <v>71</v>
      </c>
    </row>
    <row r="411" spans="1:15" x14ac:dyDescent="0.3">
      <c r="A411" t="s">
        <v>6390</v>
      </c>
      <c r="B411" t="s">
        <v>6389</v>
      </c>
      <c r="C411" t="s">
        <v>40</v>
      </c>
      <c r="D411">
        <v>2</v>
      </c>
      <c r="E411" t="s">
        <v>80</v>
      </c>
      <c r="F411" t="s">
        <v>20</v>
      </c>
      <c r="G411" s="1">
        <v>46061</v>
      </c>
      <c r="H411" s="1">
        <v>46035</v>
      </c>
      <c r="I411" t="s">
        <v>6388</v>
      </c>
      <c r="J411" t="s">
        <v>6387</v>
      </c>
      <c r="L411">
        <v>3898.78</v>
      </c>
      <c r="M411" t="s">
        <v>64</v>
      </c>
      <c r="N411">
        <v>499</v>
      </c>
      <c r="O411" t="s">
        <v>34</v>
      </c>
    </row>
    <row r="412" spans="1:15" x14ac:dyDescent="0.3">
      <c r="A412" t="s">
        <v>6386</v>
      </c>
      <c r="B412" t="s">
        <v>6385</v>
      </c>
      <c r="C412" t="s">
        <v>74</v>
      </c>
      <c r="D412">
        <v>13</v>
      </c>
      <c r="E412" t="s">
        <v>132</v>
      </c>
      <c r="F412" t="s">
        <v>38</v>
      </c>
      <c r="G412" s="1">
        <v>46113</v>
      </c>
      <c r="H412" s="1">
        <v>46099</v>
      </c>
      <c r="I412" t="s">
        <v>6384</v>
      </c>
      <c r="J412" t="s">
        <v>6383</v>
      </c>
      <c r="K412" t="s">
        <v>26</v>
      </c>
      <c r="L412">
        <v>6750.3</v>
      </c>
      <c r="M412" t="s">
        <v>27</v>
      </c>
      <c r="N412">
        <v>151</v>
      </c>
      <c r="O412" t="s">
        <v>50</v>
      </c>
    </row>
    <row r="413" spans="1:15" x14ac:dyDescent="0.3">
      <c r="A413" t="s">
        <v>6382</v>
      </c>
      <c r="B413" t="s">
        <v>6381</v>
      </c>
      <c r="C413" t="s">
        <v>0</v>
      </c>
      <c r="D413">
        <v>6</v>
      </c>
      <c r="E413" t="s">
        <v>132</v>
      </c>
      <c r="F413" t="s">
        <v>67</v>
      </c>
      <c r="G413" s="1">
        <v>46036</v>
      </c>
      <c r="H413" s="1">
        <v>46011</v>
      </c>
      <c r="I413" t="s">
        <v>6380</v>
      </c>
      <c r="J413" t="s">
        <v>6379</v>
      </c>
      <c r="K413" t="s">
        <v>57</v>
      </c>
      <c r="L413">
        <v>10764.68</v>
      </c>
      <c r="M413" t="s">
        <v>64</v>
      </c>
      <c r="N413">
        <v>148</v>
      </c>
      <c r="O413" t="s">
        <v>50</v>
      </c>
    </row>
    <row r="414" spans="1:15" x14ac:dyDescent="0.3">
      <c r="A414" t="s">
        <v>6378</v>
      </c>
      <c r="B414" t="s">
        <v>6377</v>
      </c>
      <c r="C414" t="s">
        <v>40</v>
      </c>
      <c r="D414">
        <v>2</v>
      </c>
      <c r="E414" t="s">
        <v>39</v>
      </c>
      <c r="F414" t="s">
        <v>53</v>
      </c>
      <c r="G414" s="1">
        <v>45991</v>
      </c>
      <c r="H414" s="1">
        <v>45981</v>
      </c>
      <c r="I414" t="s">
        <v>6376</v>
      </c>
      <c r="J414" t="s">
        <v>6375</v>
      </c>
      <c r="K414" t="s">
        <v>57</v>
      </c>
      <c r="L414">
        <v>22384.28</v>
      </c>
      <c r="M414" t="s">
        <v>63</v>
      </c>
      <c r="N414">
        <v>549</v>
      </c>
      <c r="O414" t="s">
        <v>25</v>
      </c>
    </row>
    <row r="415" spans="1:15" x14ac:dyDescent="0.3">
      <c r="A415" t="s">
        <v>6374</v>
      </c>
      <c r="B415" t="s">
        <v>6373</v>
      </c>
      <c r="C415" t="s">
        <v>74</v>
      </c>
      <c r="D415">
        <v>48</v>
      </c>
      <c r="E415" t="s">
        <v>31</v>
      </c>
      <c r="F415" t="s">
        <v>53</v>
      </c>
      <c r="G415" s="1">
        <v>46059</v>
      </c>
      <c r="H415" s="1">
        <v>46056</v>
      </c>
      <c r="I415" t="s">
        <v>6372</v>
      </c>
      <c r="J415" t="s">
        <v>6371</v>
      </c>
      <c r="L415">
        <v>10126.209999999999</v>
      </c>
      <c r="N415">
        <v>239</v>
      </c>
      <c r="O415" t="s">
        <v>50</v>
      </c>
    </row>
    <row r="416" spans="1:15" x14ac:dyDescent="0.3">
      <c r="A416" t="s">
        <v>6370</v>
      </c>
      <c r="B416" t="s">
        <v>6369</v>
      </c>
      <c r="C416" t="s">
        <v>123</v>
      </c>
      <c r="D416">
        <v>89</v>
      </c>
      <c r="E416" t="s">
        <v>68</v>
      </c>
      <c r="F416" t="s">
        <v>90</v>
      </c>
      <c r="G416" s="1">
        <v>46103</v>
      </c>
      <c r="H416" s="1">
        <v>46083</v>
      </c>
      <c r="I416" t="s">
        <v>6368</v>
      </c>
      <c r="J416" t="s">
        <v>6367</v>
      </c>
      <c r="K416" t="s">
        <v>35</v>
      </c>
      <c r="L416">
        <v>3003.8</v>
      </c>
      <c r="M416" t="s">
        <v>27</v>
      </c>
      <c r="N416">
        <v>532</v>
      </c>
      <c r="O416" t="s">
        <v>71</v>
      </c>
    </row>
    <row r="417" spans="1:15" x14ac:dyDescent="0.3">
      <c r="A417" t="s">
        <v>6366</v>
      </c>
      <c r="B417" t="s">
        <v>6365</v>
      </c>
      <c r="C417" t="s">
        <v>74</v>
      </c>
      <c r="D417">
        <v>54</v>
      </c>
      <c r="E417" t="s">
        <v>68</v>
      </c>
      <c r="F417" t="s">
        <v>85</v>
      </c>
      <c r="G417" s="1">
        <v>46021</v>
      </c>
      <c r="H417" s="1">
        <v>46016</v>
      </c>
      <c r="I417" t="s">
        <v>6364</v>
      </c>
      <c r="J417" t="s">
        <v>6363</v>
      </c>
      <c r="L417">
        <v>19523.27</v>
      </c>
      <c r="M417" t="s">
        <v>27</v>
      </c>
      <c r="N417">
        <v>541</v>
      </c>
      <c r="O417" t="s">
        <v>25</v>
      </c>
    </row>
    <row r="418" spans="1:15" x14ac:dyDescent="0.3">
      <c r="A418" t="s">
        <v>6362</v>
      </c>
      <c r="B418" t="s">
        <v>6361</v>
      </c>
      <c r="C418" t="s">
        <v>0</v>
      </c>
      <c r="D418">
        <v>62</v>
      </c>
      <c r="E418" t="s">
        <v>68</v>
      </c>
      <c r="F418" t="s">
        <v>20</v>
      </c>
      <c r="G418" s="1">
        <v>46016</v>
      </c>
      <c r="H418" s="1">
        <v>45988</v>
      </c>
      <c r="I418" t="s">
        <v>6360</v>
      </c>
      <c r="J418" t="s">
        <v>6359</v>
      </c>
      <c r="L418">
        <v>11129.06</v>
      </c>
      <c r="M418" t="s">
        <v>64</v>
      </c>
      <c r="N418">
        <v>233</v>
      </c>
      <c r="O418" t="s">
        <v>25</v>
      </c>
    </row>
    <row r="419" spans="1:15" x14ac:dyDescent="0.3">
      <c r="A419" t="s">
        <v>6358</v>
      </c>
      <c r="B419" t="s">
        <v>6357</v>
      </c>
      <c r="C419" t="s">
        <v>60</v>
      </c>
      <c r="D419">
        <v>2</v>
      </c>
      <c r="E419" t="s">
        <v>21</v>
      </c>
      <c r="F419" t="s">
        <v>67</v>
      </c>
      <c r="G419" s="1">
        <v>46109</v>
      </c>
      <c r="H419" s="1">
        <v>46093</v>
      </c>
      <c r="I419" t="s">
        <v>6356</v>
      </c>
      <c r="J419" t="s">
        <v>6355</v>
      </c>
      <c r="K419" t="s">
        <v>64</v>
      </c>
      <c r="L419">
        <v>10934.63</v>
      </c>
      <c r="M419" t="s">
        <v>57</v>
      </c>
      <c r="N419">
        <v>346</v>
      </c>
      <c r="O419" t="s">
        <v>43</v>
      </c>
    </row>
    <row r="420" spans="1:15" x14ac:dyDescent="0.3">
      <c r="A420" t="s">
        <v>6354</v>
      </c>
      <c r="B420" t="s">
        <v>6353</v>
      </c>
      <c r="C420" t="s">
        <v>123</v>
      </c>
      <c r="D420">
        <v>20</v>
      </c>
      <c r="E420" t="s">
        <v>47</v>
      </c>
      <c r="F420" t="s">
        <v>46</v>
      </c>
      <c r="G420" s="1">
        <v>46089</v>
      </c>
      <c r="H420" s="1">
        <v>46069</v>
      </c>
      <c r="I420" t="s">
        <v>6352</v>
      </c>
      <c r="J420" t="s">
        <v>6351</v>
      </c>
      <c r="K420" t="s">
        <v>35</v>
      </c>
      <c r="L420">
        <v>12738.08</v>
      </c>
      <c r="N420">
        <v>536</v>
      </c>
      <c r="O420" t="s">
        <v>16</v>
      </c>
    </row>
    <row r="421" spans="1:15" x14ac:dyDescent="0.3">
      <c r="A421" t="s">
        <v>6350</v>
      </c>
      <c r="B421" t="s">
        <v>6349</v>
      </c>
      <c r="C421" t="s">
        <v>0</v>
      </c>
      <c r="D421">
        <v>10</v>
      </c>
      <c r="E421" t="s">
        <v>68</v>
      </c>
      <c r="F421" t="s">
        <v>67</v>
      </c>
      <c r="G421" s="1">
        <v>46034</v>
      </c>
      <c r="H421" s="1">
        <v>46027</v>
      </c>
      <c r="I421" t="s">
        <v>6348</v>
      </c>
      <c r="J421" t="s">
        <v>6347</v>
      </c>
      <c r="K421" t="s">
        <v>57</v>
      </c>
      <c r="L421">
        <v>24259.599999999999</v>
      </c>
      <c r="M421" t="s">
        <v>27</v>
      </c>
      <c r="N421">
        <v>359</v>
      </c>
      <c r="O421" t="s">
        <v>71</v>
      </c>
    </row>
    <row r="422" spans="1:15" x14ac:dyDescent="0.3">
      <c r="A422" t="s">
        <v>6346</v>
      </c>
      <c r="B422" t="s">
        <v>6345</v>
      </c>
      <c r="C422" t="s">
        <v>123</v>
      </c>
      <c r="D422">
        <v>52</v>
      </c>
      <c r="E422" t="s">
        <v>21</v>
      </c>
      <c r="F422" t="s">
        <v>20</v>
      </c>
      <c r="G422" s="1">
        <v>46108</v>
      </c>
      <c r="H422" s="1">
        <v>46094</v>
      </c>
      <c r="I422" t="s">
        <v>6344</v>
      </c>
      <c r="J422" t="s">
        <v>6343</v>
      </c>
      <c r="L422">
        <v>20071.28</v>
      </c>
      <c r="N422">
        <v>145</v>
      </c>
      <c r="O422" t="s">
        <v>50</v>
      </c>
    </row>
    <row r="423" spans="1:15" x14ac:dyDescent="0.3">
      <c r="A423" t="s">
        <v>6342</v>
      </c>
      <c r="B423" t="s">
        <v>6341</v>
      </c>
      <c r="D423">
        <v>58</v>
      </c>
      <c r="E423" t="s">
        <v>31</v>
      </c>
      <c r="F423" t="s">
        <v>20</v>
      </c>
      <c r="G423" s="1">
        <v>46082</v>
      </c>
      <c r="H423" s="1">
        <v>46067</v>
      </c>
      <c r="I423" t="s">
        <v>6340</v>
      </c>
      <c r="J423" t="s">
        <v>6339</v>
      </c>
      <c r="K423" t="s">
        <v>27</v>
      </c>
      <c r="L423">
        <v>2745.55</v>
      </c>
      <c r="N423">
        <v>118</v>
      </c>
      <c r="O423" t="s">
        <v>34</v>
      </c>
    </row>
    <row r="424" spans="1:15" x14ac:dyDescent="0.3">
      <c r="A424" t="s">
        <v>6338</v>
      </c>
      <c r="B424" t="s">
        <v>6337</v>
      </c>
      <c r="C424" t="s">
        <v>40</v>
      </c>
      <c r="D424">
        <v>12</v>
      </c>
      <c r="E424" t="s">
        <v>132</v>
      </c>
      <c r="F424" t="s">
        <v>38</v>
      </c>
      <c r="G424" s="1">
        <v>46156</v>
      </c>
      <c r="H424" s="1">
        <v>46136</v>
      </c>
      <c r="I424" t="s">
        <v>6336</v>
      </c>
      <c r="J424" t="s">
        <v>6335</v>
      </c>
      <c r="L424">
        <v>23768.81</v>
      </c>
      <c r="M424" t="s">
        <v>17</v>
      </c>
      <c r="N424">
        <v>522</v>
      </c>
      <c r="O424" t="s">
        <v>77</v>
      </c>
    </row>
    <row r="425" spans="1:15" x14ac:dyDescent="0.3">
      <c r="A425" t="s">
        <v>6334</v>
      </c>
      <c r="B425" t="s">
        <v>6333</v>
      </c>
      <c r="C425" t="s">
        <v>1</v>
      </c>
      <c r="D425">
        <v>59</v>
      </c>
      <c r="E425" t="s">
        <v>31</v>
      </c>
      <c r="F425" t="s">
        <v>85</v>
      </c>
      <c r="G425" s="1">
        <v>45997</v>
      </c>
      <c r="H425" s="1">
        <v>45975</v>
      </c>
      <c r="I425" t="s">
        <v>6332</v>
      </c>
      <c r="J425" t="s">
        <v>6331</v>
      </c>
      <c r="K425" t="s">
        <v>57</v>
      </c>
      <c r="L425">
        <v>17954.650000000001</v>
      </c>
      <c r="M425" t="s">
        <v>64</v>
      </c>
      <c r="N425">
        <v>149</v>
      </c>
      <c r="O425" t="s">
        <v>50</v>
      </c>
    </row>
    <row r="426" spans="1:15" x14ac:dyDescent="0.3">
      <c r="A426" t="s">
        <v>6330</v>
      </c>
      <c r="B426" t="s">
        <v>6329</v>
      </c>
      <c r="C426" t="s">
        <v>1</v>
      </c>
      <c r="D426">
        <v>-5</v>
      </c>
      <c r="E426" t="s">
        <v>31</v>
      </c>
      <c r="F426" t="s">
        <v>67</v>
      </c>
      <c r="G426" s="1">
        <v>46133</v>
      </c>
      <c r="H426" s="1">
        <v>46107</v>
      </c>
      <c r="I426" t="s">
        <v>6328</v>
      </c>
      <c r="J426" t="s">
        <v>6327</v>
      </c>
      <c r="K426" t="s">
        <v>26</v>
      </c>
      <c r="L426" t="s">
        <v>488</v>
      </c>
      <c r="M426" t="s">
        <v>17</v>
      </c>
      <c r="N426">
        <v>459</v>
      </c>
      <c r="O426" t="s">
        <v>77</v>
      </c>
    </row>
    <row r="427" spans="1:15" x14ac:dyDescent="0.3">
      <c r="A427" t="s">
        <v>6326</v>
      </c>
      <c r="B427" t="s">
        <v>6325</v>
      </c>
      <c r="C427" t="s">
        <v>40</v>
      </c>
      <c r="D427">
        <v>22</v>
      </c>
      <c r="E427" t="s">
        <v>68</v>
      </c>
      <c r="F427" t="s">
        <v>53</v>
      </c>
      <c r="G427" s="1">
        <v>46032</v>
      </c>
      <c r="H427" s="1">
        <v>46006</v>
      </c>
      <c r="I427" t="s">
        <v>6324</v>
      </c>
      <c r="J427" t="s">
        <v>6323</v>
      </c>
      <c r="L427">
        <v>2852.65</v>
      </c>
      <c r="M427" t="s">
        <v>57</v>
      </c>
      <c r="N427">
        <v>196</v>
      </c>
      <c r="O427" t="s">
        <v>77</v>
      </c>
    </row>
    <row r="428" spans="1:15" x14ac:dyDescent="0.3">
      <c r="A428" t="s">
        <v>6322</v>
      </c>
      <c r="B428" t="s">
        <v>6321</v>
      </c>
      <c r="C428" t="s">
        <v>123</v>
      </c>
      <c r="D428">
        <v>28</v>
      </c>
      <c r="E428" t="s">
        <v>68</v>
      </c>
      <c r="F428" t="s">
        <v>38</v>
      </c>
      <c r="G428" s="1">
        <v>46037</v>
      </c>
      <c r="H428" s="1">
        <v>46015</v>
      </c>
      <c r="I428" t="s">
        <v>6320</v>
      </c>
      <c r="J428" t="s">
        <v>6319</v>
      </c>
      <c r="K428" t="s">
        <v>57</v>
      </c>
      <c r="L428">
        <v>2872.59</v>
      </c>
      <c r="N428">
        <v>123</v>
      </c>
      <c r="O428" t="s">
        <v>25</v>
      </c>
    </row>
    <row r="429" spans="1:15" x14ac:dyDescent="0.3">
      <c r="A429" t="s">
        <v>6318</v>
      </c>
      <c r="B429" t="s">
        <v>6317</v>
      </c>
      <c r="C429" t="s">
        <v>74</v>
      </c>
      <c r="D429">
        <v>58</v>
      </c>
      <c r="E429" t="s">
        <v>68</v>
      </c>
      <c r="F429" t="s">
        <v>53</v>
      </c>
      <c r="G429" s="1">
        <v>46111</v>
      </c>
      <c r="H429" s="1">
        <v>46081</v>
      </c>
      <c r="I429" t="s">
        <v>6316</v>
      </c>
      <c r="J429" t="s">
        <v>6315</v>
      </c>
      <c r="L429">
        <v>307.57</v>
      </c>
      <c r="M429" t="s">
        <v>27</v>
      </c>
      <c r="N429">
        <v>383</v>
      </c>
      <c r="O429" t="s">
        <v>16</v>
      </c>
    </row>
    <row r="430" spans="1:15" x14ac:dyDescent="0.3">
      <c r="A430" t="s">
        <v>6314</v>
      </c>
      <c r="B430" t="s">
        <v>6313</v>
      </c>
      <c r="D430">
        <v>66</v>
      </c>
      <c r="E430" t="s">
        <v>39</v>
      </c>
      <c r="F430" t="s">
        <v>53</v>
      </c>
      <c r="G430" s="1">
        <v>46160</v>
      </c>
      <c r="H430" s="1">
        <v>46137</v>
      </c>
      <c r="I430" t="s">
        <v>6312</v>
      </c>
      <c r="J430" t="s">
        <v>6311</v>
      </c>
      <c r="K430" t="s">
        <v>35</v>
      </c>
      <c r="L430">
        <v>2768.14</v>
      </c>
      <c r="M430" t="s">
        <v>17</v>
      </c>
      <c r="N430">
        <v>358</v>
      </c>
      <c r="O430" t="s">
        <v>16</v>
      </c>
    </row>
    <row r="431" spans="1:15" x14ac:dyDescent="0.3">
      <c r="A431" t="s">
        <v>6310</v>
      </c>
      <c r="B431" t="s">
        <v>6309</v>
      </c>
      <c r="C431" t="s">
        <v>123</v>
      </c>
      <c r="D431">
        <v>78</v>
      </c>
      <c r="E431" t="s">
        <v>21</v>
      </c>
      <c r="F431" t="s">
        <v>30</v>
      </c>
      <c r="G431" s="1">
        <v>46057</v>
      </c>
      <c r="H431" s="1">
        <v>46045</v>
      </c>
      <c r="I431" t="s">
        <v>6308</v>
      </c>
      <c r="J431" t="s">
        <v>6307</v>
      </c>
      <c r="K431" t="s">
        <v>57</v>
      </c>
      <c r="L431">
        <v>24268.19</v>
      </c>
      <c r="N431">
        <v>512</v>
      </c>
      <c r="O431" t="s">
        <v>71</v>
      </c>
    </row>
    <row r="432" spans="1:15" x14ac:dyDescent="0.3">
      <c r="A432" t="s">
        <v>6306</v>
      </c>
      <c r="B432" t="s">
        <v>6305</v>
      </c>
      <c r="C432" t="s">
        <v>0</v>
      </c>
      <c r="D432">
        <v>53</v>
      </c>
      <c r="E432" t="s">
        <v>132</v>
      </c>
      <c r="F432" t="s">
        <v>67</v>
      </c>
      <c r="G432" s="1">
        <v>46166</v>
      </c>
      <c r="H432" s="1">
        <v>46144</v>
      </c>
      <c r="I432" t="s">
        <v>6304</v>
      </c>
      <c r="J432" t="s">
        <v>6303</v>
      </c>
      <c r="K432" t="s">
        <v>17</v>
      </c>
      <c r="L432">
        <v>5182.05</v>
      </c>
      <c r="M432" t="s">
        <v>63</v>
      </c>
      <c r="N432">
        <v>451</v>
      </c>
      <c r="O432" t="s">
        <v>43</v>
      </c>
    </row>
    <row r="433" spans="1:15" x14ac:dyDescent="0.3">
      <c r="A433" t="s">
        <v>6302</v>
      </c>
      <c r="B433" t="s">
        <v>6301</v>
      </c>
      <c r="C433" t="s">
        <v>0</v>
      </c>
      <c r="D433">
        <v>84</v>
      </c>
      <c r="E433" t="s">
        <v>39</v>
      </c>
      <c r="F433" t="s">
        <v>67</v>
      </c>
      <c r="G433" s="1">
        <v>46111</v>
      </c>
      <c r="H433" s="1">
        <v>46089</v>
      </c>
      <c r="I433" t="s">
        <v>6300</v>
      </c>
      <c r="J433" t="s">
        <v>6299</v>
      </c>
      <c r="K433" t="s">
        <v>64</v>
      </c>
      <c r="L433">
        <v>19067.22</v>
      </c>
      <c r="N433">
        <v>398</v>
      </c>
      <c r="O433" t="s">
        <v>34</v>
      </c>
    </row>
    <row r="434" spans="1:15" x14ac:dyDescent="0.3">
      <c r="A434" t="s">
        <v>6298</v>
      </c>
      <c r="B434" t="s">
        <v>6297</v>
      </c>
      <c r="C434" t="s">
        <v>123</v>
      </c>
      <c r="D434">
        <v>87</v>
      </c>
      <c r="E434" t="s">
        <v>132</v>
      </c>
      <c r="F434" t="s">
        <v>90</v>
      </c>
      <c r="G434" s="1">
        <v>46114</v>
      </c>
      <c r="H434" s="1">
        <v>46089</v>
      </c>
      <c r="I434" t="s">
        <v>6296</v>
      </c>
      <c r="J434" t="s">
        <v>6295</v>
      </c>
      <c r="K434" t="s">
        <v>27</v>
      </c>
      <c r="L434">
        <v>13163.7</v>
      </c>
      <c r="M434" t="s">
        <v>27</v>
      </c>
      <c r="N434">
        <v>295</v>
      </c>
      <c r="O434" t="s">
        <v>71</v>
      </c>
    </row>
    <row r="435" spans="1:15" x14ac:dyDescent="0.3">
      <c r="A435" t="s">
        <v>6294</v>
      </c>
      <c r="B435" t="s">
        <v>6293</v>
      </c>
      <c r="C435" t="s">
        <v>40</v>
      </c>
      <c r="D435">
        <v>86</v>
      </c>
      <c r="E435" t="s">
        <v>47</v>
      </c>
      <c r="F435" t="s">
        <v>38</v>
      </c>
      <c r="G435" s="1">
        <v>46133</v>
      </c>
      <c r="H435" s="1">
        <v>46125</v>
      </c>
      <c r="I435" t="s">
        <v>6292</v>
      </c>
      <c r="J435" t="s">
        <v>6291</v>
      </c>
      <c r="K435" t="s">
        <v>35</v>
      </c>
      <c r="L435">
        <v>24591.599999999999</v>
      </c>
      <c r="M435" t="s">
        <v>63</v>
      </c>
      <c r="N435">
        <v>174</v>
      </c>
      <c r="O435" t="s">
        <v>50</v>
      </c>
    </row>
    <row r="436" spans="1:15" x14ac:dyDescent="0.3">
      <c r="A436" t="s">
        <v>6290</v>
      </c>
      <c r="B436" t="s">
        <v>6289</v>
      </c>
      <c r="C436" t="s">
        <v>40</v>
      </c>
      <c r="D436">
        <v>89</v>
      </c>
      <c r="E436" t="s">
        <v>132</v>
      </c>
      <c r="F436" t="s">
        <v>38</v>
      </c>
      <c r="G436" s="1">
        <v>46018</v>
      </c>
      <c r="H436" s="1">
        <v>45994</v>
      </c>
      <c r="I436" t="s">
        <v>6288</v>
      </c>
      <c r="J436" t="s">
        <v>6287</v>
      </c>
      <c r="K436" t="s">
        <v>27</v>
      </c>
      <c r="L436">
        <v>9095.32</v>
      </c>
      <c r="N436">
        <v>152</v>
      </c>
      <c r="O436" t="s">
        <v>34</v>
      </c>
    </row>
    <row r="437" spans="1:15" x14ac:dyDescent="0.3">
      <c r="A437" t="s">
        <v>6286</v>
      </c>
      <c r="B437" t="s">
        <v>6285</v>
      </c>
      <c r="C437" t="s">
        <v>1</v>
      </c>
      <c r="D437">
        <v>83</v>
      </c>
      <c r="E437" t="s">
        <v>54</v>
      </c>
      <c r="F437" t="s">
        <v>38</v>
      </c>
      <c r="G437" s="1">
        <v>46158</v>
      </c>
      <c r="H437" s="1">
        <v>46142</v>
      </c>
      <c r="I437" t="s">
        <v>6284</v>
      </c>
      <c r="J437" t="s">
        <v>6283</v>
      </c>
      <c r="K437" t="s">
        <v>26</v>
      </c>
      <c r="L437">
        <v>17384.810000000001</v>
      </c>
      <c r="M437" t="s">
        <v>27</v>
      </c>
      <c r="N437">
        <v>295</v>
      </c>
      <c r="O437" t="s">
        <v>16</v>
      </c>
    </row>
    <row r="438" spans="1:15" x14ac:dyDescent="0.3">
      <c r="A438" t="s">
        <v>6282</v>
      </c>
      <c r="B438" t="s">
        <v>6281</v>
      </c>
      <c r="C438" t="s">
        <v>123</v>
      </c>
      <c r="D438">
        <v>88</v>
      </c>
      <c r="E438" t="s">
        <v>31</v>
      </c>
      <c r="F438" t="s">
        <v>46</v>
      </c>
      <c r="G438" s="1">
        <v>45987</v>
      </c>
      <c r="H438" s="1">
        <v>45987</v>
      </c>
      <c r="I438" t="s">
        <v>6280</v>
      </c>
      <c r="J438" t="s">
        <v>6279</v>
      </c>
      <c r="K438" t="s">
        <v>26</v>
      </c>
      <c r="L438">
        <v>5236.5600000000004</v>
      </c>
      <c r="N438">
        <v>524</v>
      </c>
      <c r="O438" t="s">
        <v>71</v>
      </c>
    </row>
    <row r="439" spans="1:15" x14ac:dyDescent="0.3">
      <c r="A439" t="s">
        <v>6278</v>
      </c>
      <c r="B439" t="s">
        <v>6277</v>
      </c>
      <c r="C439" t="s">
        <v>60</v>
      </c>
      <c r="D439">
        <v>76</v>
      </c>
      <c r="E439" t="s">
        <v>21</v>
      </c>
      <c r="F439" t="s">
        <v>38</v>
      </c>
      <c r="G439" s="1">
        <v>46115</v>
      </c>
      <c r="H439" s="1">
        <v>46106</v>
      </c>
      <c r="I439" t="s">
        <v>6276</v>
      </c>
      <c r="J439" t="s">
        <v>6275</v>
      </c>
      <c r="L439">
        <v>4600.16</v>
      </c>
      <c r="M439" t="s">
        <v>64</v>
      </c>
      <c r="N439">
        <v>195</v>
      </c>
      <c r="O439" t="s">
        <v>71</v>
      </c>
    </row>
    <row r="440" spans="1:15" x14ac:dyDescent="0.3">
      <c r="A440" t="s">
        <v>6274</v>
      </c>
      <c r="B440" t="s">
        <v>6273</v>
      </c>
      <c r="C440" t="s">
        <v>74</v>
      </c>
      <c r="D440">
        <v>49</v>
      </c>
      <c r="E440" t="s">
        <v>47</v>
      </c>
      <c r="F440" t="s">
        <v>90</v>
      </c>
      <c r="G440" s="1">
        <v>46089</v>
      </c>
      <c r="H440" s="1">
        <v>46081</v>
      </c>
      <c r="I440" t="s">
        <v>6272</v>
      </c>
      <c r="J440" t="s">
        <v>6271</v>
      </c>
      <c r="K440" t="s">
        <v>26</v>
      </c>
      <c r="L440">
        <v>3425.65</v>
      </c>
      <c r="M440" t="s">
        <v>63</v>
      </c>
      <c r="N440">
        <v>102</v>
      </c>
      <c r="O440" t="s">
        <v>43</v>
      </c>
    </row>
    <row r="441" spans="1:15" x14ac:dyDescent="0.3">
      <c r="A441" t="s">
        <v>6270</v>
      </c>
      <c r="B441" t="s">
        <v>6269</v>
      </c>
      <c r="D441">
        <v>20</v>
      </c>
      <c r="E441" t="s">
        <v>47</v>
      </c>
      <c r="F441" t="s">
        <v>53</v>
      </c>
      <c r="G441" s="1">
        <v>46070</v>
      </c>
      <c r="H441" s="1">
        <v>46041</v>
      </c>
      <c r="I441" t="s">
        <v>510</v>
      </c>
      <c r="J441" t="s">
        <v>6268</v>
      </c>
      <c r="K441" t="s">
        <v>57</v>
      </c>
      <c r="L441">
        <v>15002.63</v>
      </c>
      <c r="M441" t="s">
        <v>63</v>
      </c>
      <c r="N441">
        <v>351</v>
      </c>
      <c r="O441" t="s">
        <v>50</v>
      </c>
    </row>
    <row r="442" spans="1:15" x14ac:dyDescent="0.3">
      <c r="A442" t="s">
        <v>6267</v>
      </c>
      <c r="B442" t="s">
        <v>6266</v>
      </c>
      <c r="C442" t="s">
        <v>60</v>
      </c>
      <c r="D442">
        <v>10</v>
      </c>
      <c r="E442" t="s">
        <v>31</v>
      </c>
      <c r="F442" t="s">
        <v>38</v>
      </c>
      <c r="G442" s="1">
        <v>46046</v>
      </c>
      <c r="H442" s="1">
        <v>46016</v>
      </c>
      <c r="I442" t="s">
        <v>6265</v>
      </c>
      <c r="J442" t="s">
        <v>6264</v>
      </c>
      <c r="K442" t="s">
        <v>35</v>
      </c>
      <c r="L442">
        <v>13111.04</v>
      </c>
      <c r="M442" t="s">
        <v>26</v>
      </c>
      <c r="N442">
        <v>312</v>
      </c>
      <c r="O442" t="s">
        <v>34</v>
      </c>
    </row>
    <row r="443" spans="1:15" x14ac:dyDescent="0.3">
      <c r="A443" t="s">
        <v>6263</v>
      </c>
      <c r="B443" t="s">
        <v>6262</v>
      </c>
      <c r="C443" t="s">
        <v>123</v>
      </c>
      <c r="D443">
        <v>12</v>
      </c>
      <c r="E443" t="s">
        <v>31</v>
      </c>
      <c r="F443" t="s">
        <v>38</v>
      </c>
      <c r="G443" s="1">
        <v>46163</v>
      </c>
      <c r="H443" s="1">
        <v>46135</v>
      </c>
      <c r="I443" t="s">
        <v>6261</v>
      </c>
      <c r="J443" t="s">
        <v>6260</v>
      </c>
      <c r="K443" t="s">
        <v>17</v>
      </c>
      <c r="L443">
        <v>16650.7</v>
      </c>
      <c r="M443" t="s">
        <v>17</v>
      </c>
      <c r="N443">
        <v>284</v>
      </c>
      <c r="O443" t="s">
        <v>43</v>
      </c>
    </row>
    <row r="444" spans="1:15" x14ac:dyDescent="0.3">
      <c r="A444" t="s">
        <v>6259</v>
      </c>
      <c r="B444" t="s">
        <v>6258</v>
      </c>
      <c r="C444" t="s">
        <v>1</v>
      </c>
      <c r="D444">
        <v>80</v>
      </c>
      <c r="E444" t="s">
        <v>68</v>
      </c>
      <c r="F444" t="s">
        <v>46</v>
      </c>
      <c r="G444" s="1">
        <v>46121</v>
      </c>
      <c r="H444" s="1">
        <v>46118</v>
      </c>
      <c r="I444" t="s">
        <v>6257</v>
      </c>
      <c r="J444" t="s">
        <v>6256</v>
      </c>
      <c r="K444" t="s">
        <v>57</v>
      </c>
      <c r="L444">
        <v>11252.55</v>
      </c>
      <c r="M444" t="s">
        <v>57</v>
      </c>
      <c r="N444">
        <v>120</v>
      </c>
      <c r="O444" t="s">
        <v>25</v>
      </c>
    </row>
    <row r="445" spans="1:15" x14ac:dyDescent="0.3">
      <c r="A445" t="s">
        <v>6255</v>
      </c>
      <c r="B445" t="s">
        <v>6254</v>
      </c>
      <c r="C445" t="s">
        <v>60</v>
      </c>
      <c r="D445">
        <v>49</v>
      </c>
      <c r="E445" t="s">
        <v>80</v>
      </c>
      <c r="F445" t="s">
        <v>90</v>
      </c>
      <c r="G445" s="1">
        <v>46101</v>
      </c>
      <c r="H445" s="1">
        <v>46093</v>
      </c>
      <c r="I445" t="s">
        <v>6253</v>
      </c>
      <c r="J445" t="s">
        <v>6252</v>
      </c>
      <c r="K445" t="s">
        <v>26</v>
      </c>
      <c r="L445">
        <v>812.7</v>
      </c>
      <c r="M445" t="s">
        <v>17</v>
      </c>
      <c r="N445">
        <v>363</v>
      </c>
      <c r="O445" t="s">
        <v>50</v>
      </c>
    </row>
    <row r="446" spans="1:15" x14ac:dyDescent="0.3">
      <c r="A446" t="s">
        <v>6251</v>
      </c>
      <c r="B446" t="s">
        <v>6250</v>
      </c>
      <c r="D446">
        <v>63</v>
      </c>
      <c r="E446" t="s">
        <v>47</v>
      </c>
      <c r="F446" t="s">
        <v>30</v>
      </c>
      <c r="G446" s="1">
        <v>46134</v>
      </c>
      <c r="H446" s="1">
        <v>46106</v>
      </c>
      <c r="I446" t="s">
        <v>6249</v>
      </c>
      <c r="J446" t="s">
        <v>6248</v>
      </c>
      <c r="K446" t="s">
        <v>17</v>
      </c>
      <c r="L446">
        <v>8143.76</v>
      </c>
      <c r="M446" t="s">
        <v>64</v>
      </c>
      <c r="N446">
        <v>149</v>
      </c>
      <c r="O446" t="s">
        <v>71</v>
      </c>
    </row>
    <row r="447" spans="1:15" x14ac:dyDescent="0.3">
      <c r="A447" t="s">
        <v>6247</v>
      </c>
      <c r="B447" t="s">
        <v>6246</v>
      </c>
      <c r="C447" t="s">
        <v>40</v>
      </c>
      <c r="D447">
        <v>81</v>
      </c>
      <c r="E447" t="s">
        <v>80</v>
      </c>
      <c r="F447" t="s">
        <v>38</v>
      </c>
      <c r="G447" s="1">
        <v>46029</v>
      </c>
      <c r="H447" s="1">
        <v>46008</v>
      </c>
      <c r="I447" t="s">
        <v>6245</v>
      </c>
      <c r="J447" t="s">
        <v>6244</v>
      </c>
      <c r="K447" t="s">
        <v>17</v>
      </c>
      <c r="L447">
        <v>21650.78</v>
      </c>
      <c r="N447">
        <v>527</v>
      </c>
      <c r="O447" t="s">
        <v>77</v>
      </c>
    </row>
    <row r="448" spans="1:15" x14ac:dyDescent="0.3">
      <c r="A448" t="s">
        <v>6243</v>
      </c>
      <c r="B448" t="s">
        <v>6242</v>
      </c>
      <c r="C448" t="s">
        <v>1</v>
      </c>
      <c r="D448">
        <v>69</v>
      </c>
      <c r="E448" t="s">
        <v>54</v>
      </c>
      <c r="F448" t="s">
        <v>20</v>
      </c>
      <c r="G448" s="1">
        <v>46006</v>
      </c>
      <c r="H448" s="1">
        <v>45983</v>
      </c>
      <c r="I448" t="s">
        <v>6241</v>
      </c>
      <c r="J448" t="s">
        <v>6240</v>
      </c>
      <c r="K448" t="s">
        <v>35</v>
      </c>
      <c r="L448">
        <v>789.07</v>
      </c>
      <c r="M448" t="s">
        <v>17</v>
      </c>
      <c r="N448">
        <v>119</v>
      </c>
      <c r="O448" t="s">
        <v>77</v>
      </c>
    </row>
    <row r="449" spans="1:15" x14ac:dyDescent="0.3">
      <c r="A449" t="s">
        <v>6239</v>
      </c>
      <c r="B449" t="s">
        <v>6238</v>
      </c>
      <c r="C449" t="s">
        <v>74</v>
      </c>
      <c r="D449">
        <v>7</v>
      </c>
      <c r="E449" t="s">
        <v>39</v>
      </c>
      <c r="F449" t="s">
        <v>30</v>
      </c>
      <c r="G449" s="1">
        <v>46077</v>
      </c>
      <c r="H449" s="1">
        <v>46060</v>
      </c>
      <c r="I449" t="s">
        <v>6237</v>
      </c>
      <c r="J449" t="s">
        <v>6236</v>
      </c>
      <c r="K449" t="s">
        <v>64</v>
      </c>
      <c r="L449">
        <v>14459.06</v>
      </c>
      <c r="M449" t="s">
        <v>57</v>
      </c>
      <c r="N449">
        <v>232</v>
      </c>
      <c r="O449" t="s">
        <v>16</v>
      </c>
    </row>
    <row r="450" spans="1:15" x14ac:dyDescent="0.3">
      <c r="A450" t="s">
        <v>6235</v>
      </c>
      <c r="B450" t="s">
        <v>6234</v>
      </c>
      <c r="C450" t="s">
        <v>123</v>
      </c>
      <c r="D450">
        <v>58</v>
      </c>
      <c r="E450" t="s">
        <v>54</v>
      </c>
      <c r="F450" t="s">
        <v>90</v>
      </c>
      <c r="G450" s="1">
        <v>46030</v>
      </c>
      <c r="H450" s="1">
        <v>46020</v>
      </c>
      <c r="I450" t="s">
        <v>6233</v>
      </c>
      <c r="J450" t="s">
        <v>6232</v>
      </c>
      <c r="K450" t="s">
        <v>27</v>
      </c>
      <c r="L450">
        <v>9859.65</v>
      </c>
      <c r="M450" t="s">
        <v>64</v>
      </c>
      <c r="N450">
        <v>373</v>
      </c>
      <c r="O450" t="s">
        <v>77</v>
      </c>
    </row>
    <row r="451" spans="1:15" x14ac:dyDescent="0.3">
      <c r="A451" t="s">
        <v>6231</v>
      </c>
      <c r="B451" t="s">
        <v>6230</v>
      </c>
      <c r="C451" t="s">
        <v>74</v>
      </c>
      <c r="D451">
        <v>75</v>
      </c>
      <c r="E451" t="s">
        <v>47</v>
      </c>
      <c r="F451" t="s">
        <v>20</v>
      </c>
      <c r="G451" s="1">
        <v>46091</v>
      </c>
      <c r="H451" s="1">
        <v>46080</v>
      </c>
      <c r="I451" t="s">
        <v>6229</v>
      </c>
      <c r="J451" t="s">
        <v>6228</v>
      </c>
      <c r="K451" t="s">
        <v>64</v>
      </c>
      <c r="L451">
        <v>7387.95</v>
      </c>
      <c r="M451" t="s">
        <v>63</v>
      </c>
      <c r="N451">
        <v>410</v>
      </c>
      <c r="O451" t="s">
        <v>77</v>
      </c>
    </row>
    <row r="452" spans="1:15" x14ac:dyDescent="0.3">
      <c r="A452" t="s">
        <v>6227</v>
      </c>
      <c r="B452" t="s">
        <v>6226</v>
      </c>
      <c r="C452" t="s">
        <v>22</v>
      </c>
      <c r="D452">
        <v>57</v>
      </c>
      <c r="E452" t="s">
        <v>54</v>
      </c>
      <c r="F452" t="s">
        <v>90</v>
      </c>
      <c r="G452" s="1">
        <v>46151</v>
      </c>
      <c r="H452" s="1">
        <v>46125</v>
      </c>
      <c r="I452" t="s">
        <v>6225</v>
      </c>
      <c r="J452" t="s">
        <v>6224</v>
      </c>
      <c r="K452" t="s">
        <v>27</v>
      </c>
      <c r="L452">
        <v>11954.89</v>
      </c>
      <c r="M452" t="s">
        <v>57</v>
      </c>
      <c r="N452">
        <v>169</v>
      </c>
      <c r="O452" t="s">
        <v>25</v>
      </c>
    </row>
    <row r="453" spans="1:15" x14ac:dyDescent="0.3">
      <c r="A453" t="s">
        <v>6223</v>
      </c>
      <c r="B453" t="s">
        <v>4868</v>
      </c>
      <c r="C453" t="s">
        <v>123</v>
      </c>
      <c r="D453">
        <v>70</v>
      </c>
      <c r="E453" t="s">
        <v>132</v>
      </c>
      <c r="F453" t="s">
        <v>53</v>
      </c>
      <c r="G453" s="1">
        <v>46140</v>
      </c>
      <c r="H453" s="1">
        <v>46131</v>
      </c>
      <c r="I453" t="s">
        <v>6222</v>
      </c>
      <c r="J453" t="s">
        <v>6221</v>
      </c>
      <c r="K453" t="s">
        <v>57</v>
      </c>
      <c r="L453">
        <v>23943.31</v>
      </c>
      <c r="M453" t="s">
        <v>27</v>
      </c>
      <c r="N453">
        <v>383</v>
      </c>
      <c r="O453" t="s">
        <v>50</v>
      </c>
    </row>
    <row r="454" spans="1:15" x14ac:dyDescent="0.3">
      <c r="A454" t="s">
        <v>6220</v>
      </c>
      <c r="B454" t="s">
        <v>6219</v>
      </c>
      <c r="C454" t="s">
        <v>0</v>
      </c>
      <c r="D454">
        <v>16</v>
      </c>
      <c r="E454" t="s">
        <v>47</v>
      </c>
      <c r="F454" t="s">
        <v>46</v>
      </c>
      <c r="G454" s="1">
        <v>46139</v>
      </c>
      <c r="H454" s="1">
        <v>46121</v>
      </c>
      <c r="I454" t="s">
        <v>6218</v>
      </c>
      <c r="J454" t="s">
        <v>6217</v>
      </c>
      <c r="L454">
        <v>13521.37</v>
      </c>
      <c r="M454" t="s">
        <v>64</v>
      </c>
      <c r="N454">
        <v>256</v>
      </c>
      <c r="O454" t="s">
        <v>71</v>
      </c>
    </row>
    <row r="455" spans="1:15" x14ac:dyDescent="0.3">
      <c r="A455" t="s">
        <v>6216</v>
      </c>
      <c r="B455" t="s">
        <v>6215</v>
      </c>
      <c r="C455" t="s">
        <v>60</v>
      </c>
      <c r="D455">
        <v>28</v>
      </c>
      <c r="E455" t="s">
        <v>54</v>
      </c>
      <c r="F455" t="s">
        <v>53</v>
      </c>
      <c r="G455" s="1">
        <v>46050</v>
      </c>
      <c r="H455" s="1">
        <v>46045</v>
      </c>
      <c r="I455" t="s">
        <v>6214</v>
      </c>
      <c r="J455" t="s">
        <v>6213</v>
      </c>
      <c r="K455" t="s">
        <v>35</v>
      </c>
      <c r="L455">
        <v>5675.54</v>
      </c>
      <c r="M455" t="s">
        <v>63</v>
      </c>
      <c r="N455">
        <v>199</v>
      </c>
      <c r="O455" t="s">
        <v>77</v>
      </c>
    </row>
    <row r="456" spans="1:15" x14ac:dyDescent="0.3">
      <c r="A456" t="s">
        <v>6212</v>
      </c>
      <c r="B456" t="s">
        <v>6211</v>
      </c>
      <c r="C456" t="s">
        <v>0</v>
      </c>
      <c r="D456">
        <v>86</v>
      </c>
      <c r="E456" t="s">
        <v>47</v>
      </c>
      <c r="F456" t="s">
        <v>85</v>
      </c>
      <c r="G456" s="1">
        <v>46134</v>
      </c>
      <c r="H456" s="1">
        <v>46114</v>
      </c>
      <c r="I456" t="s">
        <v>6210</v>
      </c>
      <c r="J456" t="s">
        <v>6209</v>
      </c>
      <c r="K456" t="s">
        <v>64</v>
      </c>
      <c r="L456">
        <v>7408.19</v>
      </c>
      <c r="M456" t="s">
        <v>64</v>
      </c>
      <c r="N456">
        <v>228</v>
      </c>
      <c r="O456" t="s">
        <v>77</v>
      </c>
    </row>
    <row r="457" spans="1:15" x14ac:dyDescent="0.3">
      <c r="A457" t="s">
        <v>6208</v>
      </c>
      <c r="B457" t="s">
        <v>6207</v>
      </c>
      <c r="C457" t="s">
        <v>1</v>
      </c>
      <c r="D457">
        <v>75</v>
      </c>
      <c r="E457" t="s">
        <v>68</v>
      </c>
      <c r="F457" t="s">
        <v>67</v>
      </c>
      <c r="G457" s="1">
        <v>46143</v>
      </c>
      <c r="H457" s="1">
        <v>46132</v>
      </c>
      <c r="I457" t="s">
        <v>6206</v>
      </c>
      <c r="J457" t="s">
        <v>6205</v>
      </c>
      <c r="K457" t="s">
        <v>35</v>
      </c>
      <c r="L457">
        <v>16848.13</v>
      </c>
      <c r="M457" t="s">
        <v>57</v>
      </c>
      <c r="N457">
        <v>151</v>
      </c>
      <c r="O457" t="s">
        <v>43</v>
      </c>
    </row>
    <row r="458" spans="1:15" x14ac:dyDescent="0.3">
      <c r="A458" t="s">
        <v>6204</v>
      </c>
      <c r="B458" t="s">
        <v>6203</v>
      </c>
      <c r="C458" t="s">
        <v>74</v>
      </c>
      <c r="D458">
        <v>25</v>
      </c>
      <c r="E458" t="s">
        <v>31</v>
      </c>
      <c r="F458" t="s">
        <v>85</v>
      </c>
      <c r="G458" s="1">
        <v>46119</v>
      </c>
      <c r="H458" s="1">
        <v>46105</v>
      </c>
      <c r="I458" t="s">
        <v>6202</v>
      </c>
      <c r="J458" t="s">
        <v>6201</v>
      </c>
      <c r="K458" t="s">
        <v>57</v>
      </c>
      <c r="L458">
        <v>15485.29</v>
      </c>
      <c r="M458" t="s">
        <v>63</v>
      </c>
      <c r="N458">
        <v>455</v>
      </c>
      <c r="O458" t="s">
        <v>34</v>
      </c>
    </row>
    <row r="459" spans="1:15" x14ac:dyDescent="0.3">
      <c r="A459" t="s">
        <v>6200</v>
      </c>
      <c r="B459" t="s">
        <v>6199</v>
      </c>
      <c r="C459" t="s">
        <v>0</v>
      </c>
      <c r="D459">
        <v>73</v>
      </c>
      <c r="E459" t="s">
        <v>31</v>
      </c>
      <c r="F459" t="s">
        <v>67</v>
      </c>
      <c r="G459" s="1">
        <v>46171</v>
      </c>
      <c r="H459" s="1">
        <v>46141</v>
      </c>
      <c r="I459" t="s">
        <v>6198</v>
      </c>
      <c r="J459" t="s">
        <v>6197</v>
      </c>
      <c r="L459">
        <v>4382.26</v>
      </c>
      <c r="M459" t="s">
        <v>17</v>
      </c>
      <c r="N459">
        <v>226</v>
      </c>
      <c r="O459" t="s">
        <v>50</v>
      </c>
    </row>
    <row r="460" spans="1:15" x14ac:dyDescent="0.3">
      <c r="A460" t="s">
        <v>6196</v>
      </c>
      <c r="B460" t="s">
        <v>6195</v>
      </c>
      <c r="C460" t="s">
        <v>1</v>
      </c>
      <c r="D460">
        <v>83</v>
      </c>
      <c r="E460" t="s">
        <v>54</v>
      </c>
      <c r="F460" t="s">
        <v>30</v>
      </c>
      <c r="G460" s="1">
        <v>46065</v>
      </c>
      <c r="H460" s="1">
        <v>46039</v>
      </c>
      <c r="I460" t="s">
        <v>6194</v>
      </c>
      <c r="J460" t="s">
        <v>6193</v>
      </c>
      <c r="K460" t="s">
        <v>57</v>
      </c>
      <c r="L460">
        <v>3530.78</v>
      </c>
      <c r="M460" t="s">
        <v>17</v>
      </c>
      <c r="N460">
        <v>549</v>
      </c>
      <c r="O460" t="s">
        <v>16</v>
      </c>
    </row>
    <row r="461" spans="1:15" x14ac:dyDescent="0.3">
      <c r="A461" t="s">
        <v>6192</v>
      </c>
      <c r="B461" t="s">
        <v>6191</v>
      </c>
      <c r="D461">
        <v>58</v>
      </c>
      <c r="E461" t="s">
        <v>31</v>
      </c>
      <c r="F461" t="s">
        <v>30</v>
      </c>
      <c r="G461" s="1">
        <v>46091</v>
      </c>
      <c r="H461" s="1">
        <v>46076</v>
      </c>
      <c r="I461" t="s">
        <v>6190</v>
      </c>
      <c r="J461" t="s">
        <v>6189</v>
      </c>
      <c r="K461" t="s">
        <v>64</v>
      </c>
      <c r="L461">
        <v>4559.1000000000004</v>
      </c>
      <c r="M461" t="s">
        <v>64</v>
      </c>
      <c r="N461">
        <v>530</v>
      </c>
      <c r="O461" t="s">
        <v>43</v>
      </c>
    </row>
    <row r="462" spans="1:15" x14ac:dyDescent="0.3">
      <c r="A462" t="s">
        <v>6188</v>
      </c>
      <c r="B462" t="s">
        <v>6187</v>
      </c>
      <c r="C462" t="s">
        <v>0</v>
      </c>
      <c r="D462">
        <v>69</v>
      </c>
      <c r="E462" t="s">
        <v>21</v>
      </c>
      <c r="F462" t="s">
        <v>30</v>
      </c>
      <c r="G462" s="1">
        <v>46070</v>
      </c>
      <c r="H462" s="1">
        <v>46047</v>
      </c>
      <c r="I462" t="s">
        <v>6186</v>
      </c>
      <c r="J462" t="s">
        <v>6185</v>
      </c>
      <c r="K462" t="s">
        <v>64</v>
      </c>
      <c r="L462">
        <v>18240.150000000001</v>
      </c>
      <c r="M462" t="s">
        <v>27</v>
      </c>
      <c r="N462">
        <v>534</v>
      </c>
      <c r="O462" t="s">
        <v>34</v>
      </c>
    </row>
    <row r="463" spans="1:15" x14ac:dyDescent="0.3">
      <c r="A463" t="s">
        <v>6184</v>
      </c>
      <c r="B463" t="s">
        <v>6183</v>
      </c>
      <c r="C463" t="s">
        <v>40</v>
      </c>
      <c r="D463">
        <v>75</v>
      </c>
      <c r="E463" t="s">
        <v>54</v>
      </c>
      <c r="F463" t="s">
        <v>38</v>
      </c>
      <c r="G463" s="1">
        <v>46150</v>
      </c>
      <c r="H463" s="1">
        <v>46121</v>
      </c>
      <c r="I463" t="s">
        <v>6182</v>
      </c>
      <c r="J463" t="s">
        <v>6181</v>
      </c>
      <c r="K463" t="s">
        <v>27</v>
      </c>
      <c r="L463">
        <v>13879.53</v>
      </c>
      <c r="N463">
        <v>434</v>
      </c>
      <c r="O463" t="s">
        <v>50</v>
      </c>
    </row>
    <row r="464" spans="1:15" x14ac:dyDescent="0.3">
      <c r="A464" t="s">
        <v>6180</v>
      </c>
      <c r="B464" t="s">
        <v>6179</v>
      </c>
      <c r="C464" t="s">
        <v>0</v>
      </c>
      <c r="D464">
        <v>47</v>
      </c>
      <c r="E464" t="s">
        <v>54</v>
      </c>
      <c r="F464" t="s">
        <v>38</v>
      </c>
      <c r="G464" s="1">
        <v>46129</v>
      </c>
      <c r="H464" s="1">
        <v>46101</v>
      </c>
      <c r="I464" t="s">
        <v>6178</v>
      </c>
      <c r="J464" t="s">
        <v>6177</v>
      </c>
      <c r="K464" t="s">
        <v>26</v>
      </c>
      <c r="L464">
        <v>3520.26</v>
      </c>
      <c r="M464" t="s">
        <v>64</v>
      </c>
      <c r="N464">
        <v>303</v>
      </c>
      <c r="O464" t="s">
        <v>43</v>
      </c>
    </row>
    <row r="465" spans="1:15" x14ac:dyDescent="0.3">
      <c r="A465" t="s">
        <v>6176</v>
      </c>
      <c r="B465" t="s">
        <v>6175</v>
      </c>
      <c r="C465" t="s">
        <v>40</v>
      </c>
      <c r="D465">
        <v>85</v>
      </c>
      <c r="E465" t="s">
        <v>21</v>
      </c>
      <c r="F465" t="s">
        <v>53</v>
      </c>
      <c r="G465" s="1">
        <v>46152</v>
      </c>
      <c r="H465" s="1">
        <v>46128</v>
      </c>
      <c r="I465" t="s">
        <v>6174</v>
      </c>
      <c r="J465" t="s">
        <v>6173</v>
      </c>
      <c r="K465" t="s">
        <v>35</v>
      </c>
      <c r="L465">
        <v>11266.27</v>
      </c>
      <c r="M465" t="s">
        <v>26</v>
      </c>
      <c r="N465">
        <v>389</v>
      </c>
      <c r="O465" t="s">
        <v>34</v>
      </c>
    </row>
    <row r="466" spans="1:15" x14ac:dyDescent="0.3">
      <c r="A466" t="s">
        <v>6172</v>
      </c>
      <c r="B466" t="s">
        <v>6171</v>
      </c>
      <c r="C466" t="s">
        <v>0</v>
      </c>
      <c r="D466">
        <v>62</v>
      </c>
      <c r="E466" t="s">
        <v>31</v>
      </c>
      <c r="F466" t="s">
        <v>46</v>
      </c>
      <c r="G466" s="1">
        <v>46136</v>
      </c>
      <c r="H466" s="1">
        <v>46129</v>
      </c>
      <c r="I466" t="s">
        <v>6170</v>
      </c>
      <c r="J466" t="s">
        <v>6169</v>
      </c>
      <c r="L466">
        <v>5947.4</v>
      </c>
      <c r="M466" t="s">
        <v>63</v>
      </c>
      <c r="N466">
        <v>289</v>
      </c>
      <c r="O466" t="s">
        <v>71</v>
      </c>
    </row>
    <row r="467" spans="1:15" x14ac:dyDescent="0.3">
      <c r="A467" t="s">
        <v>6168</v>
      </c>
      <c r="B467" t="s">
        <v>6167</v>
      </c>
      <c r="C467" t="s">
        <v>40</v>
      </c>
      <c r="D467">
        <v>86</v>
      </c>
      <c r="E467" t="s">
        <v>21</v>
      </c>
      <c r="F467" t="s">
        <v>67</v>
      </c>
      <c r="G467" s="1">
        <v>45997</v>
      </c>
      <c r="H467" s="1">
        <v>45985</v>
      </c>
      <c r="I467" t="s">
        <v>6166</v>
      </c>
      <c r="J467" t="s">
        <v>6165</v>
      </c>
      <c r="L467">
        <v>22963.97</v>
      </c>
      <c r="M467" t="s">
        <v>27</v>
      </c>
      <c r="N467">
        <v>120</v>
      </c>
      <c r="O467" t="s">
        <v>25</v>
      </c>
    </row>
    <row r="468" spans="1:15" x14ac:dyDescent="0.3">
      <c r="A468" t="s">
        <v>6164</v>
      </c>
      <c r="B468" t="s">
        <v>6163</v>
      </c>
      <c r="C468" t="s">
        <v>60</v>
      </c>
      <c r="D468">
        <v>14</v>
      </c>
      <c r="E468" t="s">
        <v>132</v>
      </c>
      <c r="F468" t="s">
        <v>30</v>
      </c>
      <c r="G468" s="1">
        <v>45995</v>
      </c>
      <c r="H468" s="1">
        <v>45977</v>
      </c>
      <c r="I468" t="s">
        <v>6162</v>
      </c>
      <c r="J468" t="s">
        <v>6161</v>
      </c>
      <c r="K468" t="s">
        <v>35</v>
      </c>
      <c r="L468">
        <v>9541.16</v>
      </c>
      <c r="N468">
        <v>287</v>
      </c>
      <c r="O468" t="s">
        <v>34</v>
      </c>
    </row>
    <row r="469" spans="1:15" x14ac:dyDescent="0.3">
      <c r="A469" t="s">
        <v>6160</v>
      </c>
      <c r="B469" t="s">
        <v>6159</v>
      </c>
      <c r="C469" t="s">
        <v>74</v>
      </c>
      <c r="D469">
        <v>67</v>
      </c>
      <c r="E469" t="s">
        <v>132</v>
      </c>
      <c r="F469" t="s">
        <v>90</v>
      </c>
      <c r="G469" s="1">
        <v>46105</v>
      </c>
      <c r="H469" s="1">
        <v>46076</v>
      </c>
      <c r="I469" t="s">
        <v>6158</v>
      </c>
      <c r="J469" t="s">
        <v>6157</v>
      </c>
      <c r="K469" t="s">
        <v>17</v>
      </c>
      <c r="L469">
        <v>13006.02</v>
      </c>
      <c r="M469" t="s">
        <v>17</v>
      </c>
      <c r="N469">
        <v>518</v>
      </c>
      <c r="O469" t="s">
        <v>50</v>
      </c>
    </row>
    <row r="470" spans="1:15" x14ac:dyDescent="0.3">
      <c r="A470" t="s">
        <v>6156</v>
      </c>
      <c r="B470" t="s">
        <v>6155</v>
      </c>
      <c r="C470" t="s">
        <v>60</v>
      </c>
      <c r="D470">
        <v>63</v>
      </c>
      <c r="E470" t="s">
        <v>68</v>
      </c>
      <c r="F470" t="s">
        <v>46</v>
      </c>
      <c r="G470" s="1">
        <v>46020</v>
      </c>
      <c r="H470" s="1">
        <v>46004</v>
      </c>
      <c r="I470" t="s">
        <v>6154</v>
      </c>
      <c r="J470" t="s">
        <v>6153</v>
      </c>
      <c r="K470" t="s">
        <v>35</v>
      </c>
      <c r="L470">
        <v>11109.49</v>
      </c>
      <c r="M470" t="s">
        <v>57</v>
      </c>
      <c r="N470">
        <v>139</v>
      </c>
      <c r="O470" t="s">
        <v>34</v>
      </c>
    </row>
    <row r="471" spans="1:15" x14ac:dyDescent="0.3">
      <c r="A471" t="s">
        <v>6152</v>
      </c>
      <c r="B471" t="s">
        <v>6151</v>
      </c>
      <c r="C471" t="s">
        <v>22</v>
      </c>
      <c r="D471">
        <v>220</v>
      </c>
      <c r="E471" t="s">
        <v>39</v>
      </c>
      <c r="F471" t="s">
        <v>53</v>
      </c>
      <c r="G471" s="1">
        <v>46127</v>
      </c>
      <c r="H471" s="1">
        <v>46122</v>
      </c>
      <c r="I471" t="s">
        <v>6150</v>
      </c>
      <c r="J471" t="s">
        <v>6149</v>
      </c>
      <c r="K471" t="s">
        <v>57</v>
      </c>
      <c r="L471">
        <v>15130.1</v>
      </c>
      <c r="M471" t="s">
        <v>64</v>
      </c>
      <c r="N471">
        <v>438</v>
      </c>
      <c r="O471" t="s">
        <v>71</v>
      </c>
    </row>
    <row r="472" spans="1:15" x14ac:dyDescent="0.3">
      <c r="A472" t="s">
        <v>6148</v>
      </c>
      <c r="B472" t="s">
        <v>6147</v>
      </c>
      <c r="C472" t="s">
        <v>123</v>
      </c>
      <c r="D472">
        <v>43</v>
      </c>
      <c r="E472" t="s">
        <v>80</v>
      </c>
      <c r="F472" t="s">
        <v>85</v>
      </c>
      <c r="G472" s="1">
        <v>46034</v>
      </c>
      <c r="H472" s="1">
        <v>46013</v>
      </c>
      <c r="I472" t="s">
        <v>6146</v>
      </c>
      <c r="J472" t="s">
        <v>6145</v>
      </c>
      <c r="L472">
        <v>12079.72</v>
      </c>
      <c r="M472" t="s">
        <v>26</v>
      </c>
      <c r="N472">
        <v>431</v>
      </c>
      <c r="O472" t="s">
        <v>50</v>
      </c>
    </row>
    <row r="473" spans="1:15" x14ac:dyDescent="0.3">
      <c r="A473" t="s">
        <v>6144</v>
      </c>
      <c r="B473" t="s">
        <v>6143</v>
      </c>
      <c r="C473" t="s">
        <v>123</v>
      </c>
      <c r="D473">
        <v>3</v>
      </c>
      <c r="E473" t="s">
        <v>21</v>
      </c>
      <c r="F473" t="s">
        <v>46</v>
      </c>
      <c r="G473" s="1">
        <v>46094</v>
      </c>
      <c r="H473" s="1">
        <v>46090</v>
      </c>
      <c r="I473" t="s">
        <v>6142</v>
      </c>
      <c r="J473" t="s">
        <v>6141</v>
      </c>
      <c r="K473" t="s">
        <v>35</v>
      </c>
      <c r="L473">
        <v>3541.16</v>
      </c>
      <c r="M473" t="s">
        <v>27</v>
      </c>
      <c r="N473">
        <v>393</v>
      </c>
      <c r="O473" t="s">
        <v>71</v>
      </c>
    </row>
    <row r="474" spans="1:15" x14ac:dyDescent="0.3">
      <c r="A474" t="s">
        <v>6140</v>
      </c>
      <c r="B474" t="s">
        <v>6139</v>
      </c>
      <c r="C474" t="s">
        <v>40</v>
      </c>
      <c r="D474">
        <v>22</v>
      </c>
      <c r="E474" t="s">
        <v>132</v>
      </c>
      <c r="F474" t="s">
        <v>53</v>
      </c>
      <c r="G474" s="1">
        <v>46029</v>
      </c>
      <c r="H474" s="1">
        <v>46013</v>
      </c>
      <c r="I474" t="s">
        <v>6138</v>
      </c>
      <c r="J474" t="s">
        <v>6137</v>
      </c>
      <c r="L474">
        <v>15064.07</v>
      </c>
      <c r="M474" t="s">
        <v>27</v>
      </c>
      <c r="N474">
        <v>549</v>
      </c>
      <c r="O474" t="s">
        <v>25</v>
      </c>
    </row>
    <row r="475" spans="1:15" x14ac:dyDescent="0.3">
      <c r="A475" t="s">
        <v>6136</v>
      </c>
      <c r="B475" t="s">
        <v>6135</v>
      </c>
      <c r="C475" t="s">
        <v>22</v>
      </c>
      <c r="D475">
        <v>11</v>
      </c>
      <c r="E475" t="s">
        <v>21</v>
      </c>
      <c r="F475" t="s">
        <v>85</v>
      </c>
      <c r="G475" s="1">
        <v>46046</v>
      </c>
      <c r="H475" s="1">
        <v>46027</v>
      </c>
      <c r="I475" t="s">
        <v>6134</v>
      </c>
      <c r="J475" t="s">
        <v>6133</v>
      </c>
      <c r="L475">
        <v>21709.1</v>
      </c>
      <c r="M475" t="s">
        <v>26</v>
      </c>
      <c r="N475">
        <v>212</v>
      </c>
      <c r="O475" t="s">
        <v>50</v>
      </c>
    </row>
    <row r="476" spans="1:15" x14ac:dyDescent="0.3">
      <c r="A476" t="s">
        <v>6132</v>
      </c>
      <c r="B476" t="s">
        <v>6131</v>
      </c>
      <c r="C476" t="s">
        <v>123</v>
      </c>
      <c r="D476">
        <v>77</v>
      </c>
      <c r="E476" t="s">
        <v>39</v>
      </c>
      <c r="F476" t="s">
        <v>53</v>
      </c>
      <c r="G476" s="1">
        <v>46037</v>
      </c>
      <c r="H476" s="1">
        <v>46018</v>
      </c>
      <c r="I476" t="s">
        <v>6130</v>
      </c>
      <c r="J476" t="s">
        <v>6129</v>
      </c>
      <c r="K476" t="s">
        <v>26</v>
      </c>
      <c r="L476">
        <v>4359.5</v>
      </c>
      <c r="M476" t="s">
        <v>17</v>
      </c>
      <c r="N476">
        <v>332</v>
      </c>
      <c r="O476" t="s">
        <v>34</v>
      </c>
    </row>
    <row r="477" spans="1:15" x14ac:dyDescent="0.3">
      <c r="A477" t="s">
        <v>6128</v>
      </c>
      <c r="B477" t="s">
        <v>6127</v>
      </c>
      <c r="C477" t="s">
        <v>74</v>
      </c>
      <c r="D477">
        <v>30</v>
      </c>
      <c r="E477" t="s">
        <v>54</v>
      </c>
      <c r="F477" t="s">
        <v>90</v>
      </c>
      <c r="G477" s="1">
        <v>45988</v>
      </c>
      <c r="H477" s="1">
        <v>45984</v>
      </c>
      <c r="I477" t="s">
        <v>6126</v>
      </c>
      <c r="J477" t="s">
        <v>6125</v>
      </c>
      <c r="K477" t="s">
        <v>64</v>
      </c>
      <c r="L477">
        <v>610.75</v>
      </c>
      <c r="N477">
        <v>523</v>
      </c>
      <c r="O477" t="s">
        <v>71</v>
      </c>
    </row>
    <row r="478" spans="1:15" x14ac:dyDescent="0.3">
      <c r="A478" t="s">
        <v>6124</v>
      </c>
      <c r="B478" t="s">
        <v>6123</v>
      </c>
      <c r="C478" t="s">
        <v>74</v>
      </c>
      <c r="D478">
        <v>23</v>
      </c>
      <c r="E478" t="s">
        <v>68</v>
      </c>
      <c r="F478" t="s">
        <v>46</v>
      </c>
      <c r="G478" s="1">
        <v>46011</v>
      </c>
      <c r="H478" s="1">
        <v>45983</v>
      </c>
      <c r="I478" t="s">
        <v>6122</v>
      </c>
      <c r="J478" t="s">
        <v>6121</v>
      </c>
      <c r="K478" t="s">
        <v>64</v>
      </c>
      <c r="L478">
        <v>2511.11</v>
      </c>
      <c r="M478" t="s">
        <v>26</v>
      </c>
      <c r="N478">
        <v>408</v>
      </c>
      <c r="O478" t="s">
        <v>34</v>
      </c>
    </row>
    <row r="479" spans="1:15" x14ac:dyDescent="0.3">
      <c r="A479" t="s">
        <v>6120</v>
      </c>
      <c r="B479" t="s">
        <v>6119</v>
      </c>
      <c r="C479" t="s">
        <v>40</v>
      </c>
      <c r="D479">
        <v>87</v>
      </c>
      <c r="E479" t="s">
        <v>54</v>
      </c>
      <c r="F479" t="s">
        <v>90</v>
      </c>
      <c r="G479" s="1">
        <v>46036</v>
      </c>
      <c r="H479" s="1">
        <v>46025</v>
      </c>
      <c r="I479" t="s">
        <v>6118</v>
      </c>
      <c r="J479" t="s">
        <v>6117</v>
      </c>
      <c r="K479" t="s">
        <v>27</v>
      </c>
      <c r="L479">
        <v>17501.54</v>
      </c>
      <c r="N479">
        <v>217</v>
      </c>
      <c r="O479" t="s">
        <v>50</v>
      </c>
    </row>
    <row r="480" spans="1:15" x14ac:dyDescent="0.3">
      <c r="A480" t="s">
        <v>6116</v>
      </c>
      <c r="B480" t="s">
        <v>6115</v>
      </c>
      <c r="D480">
        <v>49</v>
      </c>
      <c r="E480" t="s">
        <v>31</v>
      </c>
      <c r="F480" t="s">
        <v>20</v>
      </c>
      <c r="G480" s="1">
        <v>45989</v>
      </c>
      <c r="H480" s="1">
        <v>45976</v>
      </c>
      <c r="I480" t="s">
        <v>6114</v>
      </c>
      <c r="J480" t="s">
        <v>6113</v>
      </c>
      <c r="K480" t="s">
        <v>35</v>
      </c>
      <c r="L480">
        <v>6512.05</v>
      </c>
      <c r="M480" t="s">
        <v>57</v>
      </c>
      <c r="N480">
        <v>539</v>
      </c>
      <c r="O480" t="s">
        <v>77</v>
      </c>
    </row>
    <row r="481" spans="1:15" x14ac:dyDescent="0.3">
      <c r="A481" t="s">
        <v>6112</v>
      </c>
      <c r="B481" t="s">
        <v>6111</v>
      </c>
      <c r="C481" t="s">
        <v>22</v>
      </c>
      <c r="D481">
        <v>77</v>
      </c>
      <c r="E481" t="s">
        <v>54</v>
      </c>
      <c r="F481" t="s">
        <v>30</v>
      </c>
      <c r="G481" s="1">
        <v>46125</v>
      </c>
      <c r="H481" s="1">
        <v>46119</v>
      </c>
      <c r="I481" t="s">
        <v>6110</v>
      </c>
      <c r="J481" t="s">
        <v>6109</v>
      </c>
      <c r="K481" t="s">
        <v>27</v>
      </c>
      <c r="L481">
        <v>17786.89</v>
      </c>
      <c r="M481" t="s">
        <v>27</v>
      </c>
      <c r="N481">
        <v>395</v>
      </c>
      <c r="O481" t="s">
        <v>34</v>
      </c>
    </row>
    <row r="482" spans="1:15" x14ac:dyDescent="0.3">
      <c r="A482" t="s">
        <v>6108</v>
      </c>
      <c r="B482" t="s">
        <v>6107</v>
      </c>
      <c r="C482" t="s">
        <v>74</v>
      </c>
      <c r="D482">
        <v>67</v>
      </c>
      <c r="E482" t="s">
        <v>47</v>
      </c>
      <c r="F482" t="s">
        <v>90</v>
      </c>
      <c r="G482" s="1">
        <v>46062</v>
      </c>
      <c r="H482" s="1">
        <v>46042</v>
      </c>
      <c r="I482" t="s">
        <v>6106</v>
      </c>
      <c r="J482" t="s">
        <v>6105</v>
      </c>
      <c r="K482" t="s">
        <v>17</v>
      </c>
      <c r="L482">
        <v>17256.62</v>
      </c>
      <c r="M482" t="s">
        <v>17</v>
      </c>
      <c r="N482">
        <v>309</v>
      </c>
      <c r="O482" t="s">
        <v>43</v>
      </c>
    </row>
    <row r="483" spans="1:15" x14ac:dyDescent="0.3">
      <c r="A483" t="s">
        <v>6104</v>
      </c>
      <c r="B483" t="s">
        <v>6103</v>
      </c>
      <c r="C483" t="s">
        <v>74</v>
      </c>
      <c r="D483">
        <v>20</v>
      </c>
      <c r="E483" t="s">
        <v>54</v>
      </c>
      <c r="F483" t="s">
        <v>30</v>
      </c>
      <c r="G483" s="1">
        <v>46035</v>
      </c>
      <c r="H483" s="1">
        <v>46027</v>
      </c>
      <c r="I483" t="s">
        <v>6102</v>
      </c>
      <c r="J483" t="s">
        <v>6101</v>
      </c>
      <c r="L483">
        <v>14203.82</v>
      </c>
      <c r="M483" t="s">
        <v>63</v>
      </c>
      <c r="N483">
        <v>448</v>
      </c>
      <c r="O483" t="s">
        <v>16</v>
      </c>
    </row>
    <row r="484" spans="1:15" x14ac:dyDescent="0.3">
      <c r="A484" t="s">
        <v>6100</v>
      </c>
      <c r="B484" t="s">
        <v>6099</v>
      </c>
      <c r="C484" t="s">
        <v>1</v>
      </c>
      <c r="D484">
        <v>53</v>
      </c>
      <c r="E484" t="s">
        <v>68</v>
      </c>
      <c r="F484" t="s">
        <v>53</v>
      </c>
      <c r="G484" s="1">
        <v>46007</v>
      </c>
      <c r="H484" s="1">
        <v>45996</v>
      </c>
      <c r="I484" t="s">
        <v>6098</v>
      </c>
      <c r="J484" t="s">
        <v>6097</v>
      </c>
      <c r="L484">
        <v>6493.69</v>
      </c>
      <c r="M484" t="s">
        <v>63</v>
      </c>
      <c r="N484">
        <v>395</v>
      </c>
      <c r="O484" t="s">
        <v>43</v>
      </c>
    </row>
    <row r="485" spans="1:15" x14ac:dyDescent="0.3">
      <c r="A485" t="s">
        <v>6096</v>
      </c>
      <c r="B485" t="s">
        <v>6095</v>
      </c>
      <c r="C485" t="s">
        <v>123</v>
      </c>
      <c r="D485">
        <v>18</v>
      </c>
      <c r="E485" t="s">
        <v>80</v>
      </c>
      <c r="F485" t="s">
        <v>38</v>
      </c>
      <c r="G485" s="1">
        <v>46112</v>
      </c>
      <c r="H485" s="1">
        <v>46098</v>
      </c>
      <c r="I485" t="s">
        <v>6094</v>
      </c>
      <c r="J485" t="s">
        <v>6093</v>
      </c>
      <c r="K485" t="s">
        <v>35</v>
      </c>
      <c r="L485">
        <v>2686.91</v>
      </c>
      <c r="N485">
        <v>502</v>
      </c>
      <c r="O485" t="s">
        <v>43</v>
      </c>
    </row>
    <row r="486" spans="1:15" x14ac:dyDescent="0.3">
      <c r="A486" t="s">
        <v>6092</v>
      </c>
      <c r="B486" t="s">
        <v>6091</v>
      </c>
      <c r="C486" t="s">
        <v>40</v>
      </c>
      <c r="D486">
        <v>21</v>
      </c>
      <c r="E486" t="s">
        <v>369</v>
      </c>
      <c r="F486" t="s">
        <v>46</v>
      </c>
      <c r="G486" s="1">
        <v>46010</v>
      </c>
      <c r="H486" s="1">
        <v>45985</v>
      </c>
      <c r="I486" t="s">
        <v>6090</v>
      </c>
      <c r="K486" t="s">
        <v>64</v>
      </c>
      <c r="L486">
        <v>-500</v>
      </c>
      <c r="N486">
        <v>407</v>
      </c>
      <c r="O486" t="s">
        <v>16</v>
      </c>
    </row>
    <row r="487" spans="1:15" x14ac:dyDescent="0.3">
      <c r="A487" t="s">
        <v>6089</v>
      </c>
      <c r="B487" t="s">
        <v>6088</v>
      </c>
      <c r="C487" t="s">
        <v>74</v>
      </c>
      <c r="D487">
        <v>9</v>
      </c>
      <c r="E487" t="s">
        <v>132</v>
      </c>
      <c r="F487" t="s">
        <v>38</v>
      </c>
      <c r="G487" s="1">
        <v>46112</v>
      </c>
      <c r="H487" s="1">
        <v>46101</v>
      </c>
      <c r="I487" t="s">
        <v>6087</v>
      </c>
      <c r="J487" t="s">
        <v>6086</v>
      </c>
      <c r="K487" t="s">
        <v>64</v>
      </c>
      <c r="L487">
        <v>15303.92</v>
      </c>
      <c r="N487">
        <v>305</v>
      </c>
      <c r="O487" t="s">
        <v>34</v>
      </c>
    </row>
    <row r="488" spans="1:15" x14ac:dyDescent="0.3">
      <c r="A488" t="s">
        <v>6085</v>
      </c>
      <c r="B488" t="s">
        <v>6084</v>
      </c>
      <c r="C488" t="s">
        <v>22</v>
      </c>
      <c r="D488">
        <v>77</v>
      </c>
      <c r="E488" t="s">
        <v>47</v>
      </c>
      <c r="F488" t="s">
        <v>53</v>
      </c>
      <c r="G488" s="1">
        <v>46126</v>
      </c>
      <c r="H488" s="1">
        <v>46106</v>
      </c>
      <c r="I488" t="s">
        <v>6083</v>
      </c>
      <c r="J488" t="s">
        <v>6082</v>
      </c>
      <c r="L488">
        <v>11086.51</v>
      </c>
      <c r="M488" t="s">
        <v>57</v>
      </c>
      <c r="N488">
        <v>535</v>
      </c>
      <c r="O488" t="s">
        <v>25</v>
      </c>
    </row>
    <row r="489" spans="1:15" x14ac:dyDescent="0.3">
      <c r="A489" t="s">
        <v>6081</v>
      </c>
      <c r="B489" t="s">
        <v>6080</v>
      </c>
      <c r="C489" t="s">
        <v>22</v>
      </c>
      <c r="D489">
        <v>25</v>
      </c>
      <c r="E489" t="s">
        <v>47</v>
      </c>
      <c r="F489" t="s">
        <v>38</v>
      </c>
      <c r="G489" s="1">
        <v>46020</v>
      </c>
      <c r="H489" s="1">
        <v>46001</v>
      </c>
      <c r="I489" t="s">
        <v>6079</v>
      </c>
      <c r="J489" t="s">
        <v>6078</v>
      </c>
      <c r="K489" t="s">
        <v>35</v>
      </c>
      <c r="L489">
        <v>16915.8</v>
      </c>
      <c r="M489" t="s">
        <v>17</v>
      </c>
      <c r="N489">
        <v>222</v>
      </c>
      <c r="O489" t="s">
        <v>25</v>
      </c>
    </row>
    <row r="490" spans="1:15" x14ac:dyDescent="0.3">
      <c r="A490" t="s">
        <v>6077</v>
      </c>
      <c r="B490" t="s">
        <v>6076</v>
      </c>
      <c r="C490" t="s">
        <v>40</v>
      </c>
      <c r="D490">
        <v>21</v>
      </c>
      <c r="E490" t="s">
        <v>80</v>
      </c>
      <c r="F490" t="s">
        <v>30</v>
      </c>
      <c r="G490" s="1">
        <v>46148</v>
      </c>
      <c r="H490" s="1">
        <v>46124</v>
      </c>
      <c r="I490" t="s">
        <v>6075</v>
      </c>
      <c r="J490" t="s">
        <v>6074</v>
      </c>
      <c r="L490">
        <v>8957.57</v>
      </c>
      <c r="N490">
        <v>307</v>
      </c>
      <c r="O490" t="s">
        <v>34</v>
      </c>
    </row>
    <row r="491" spans="1:15" x14ac:dyDescent="0.3">
      <c r="A491" t="s">
        <v>6073</v>
      </c>
      <c r="B491" t="s">
        <v>6072</v>
      </c>
      <c r="C491" t="s">
        <v>1</v>
      </c>
      <c r="D491">
        <v>67</v>
      </c>
      <c r="E491" t="s">
        <v>47</v>
      </c>
      <c r="F491" t="s">
        <v>20</v>
      </c>
      <c r="G491" s="1">
        <v>46044</v>
      </c>
      <c r="H491" s="1">
        <v>46015</v>
      </c>
      <c r="I491" t="s">
        <v>6071</v>
      </c>
      <c r="J491" t="s">
        <v>6070</v>
      </c>
      <c r="K491" t="s">
        <v>64</v>
      </c>
      <c r="L491">
        <v>13829.9</v>
      </c>
      <c r="M491" t="s">
        <v>17</v>
      </c>
      <c r="N491">
        <v>277</v>
      </c>
      <c r="O491" t="s">
        <v>50</v>
      </c>
    </row>
    <row r="492" spans="1:15" x14ac:dyDescent="0.3">
      <c r="A492" t="s">
        <v>6069</v>
      </c>
      <c r="B492" t="s">
        <v>6068</v>
      </c>
      <c r="C492" t="s">
        <v>22</v>
      </c>
      <c r="D492">
        <v>29</v>
      </c>
      <c r="E492" t="s">
        <v>21</v>
      </c>
      <c r="F492" t="s">
        <v>85</v>
      </c>
      <c r="G492" s="1">
        <v>46124</v>
      </c>
      <c r="H492" s="1">
        <v>46095</v>
      </c>
      <c r="I492" t="s">
        <v>6067</v>
      </c>
      <c r="J492" t="s">
        <v>6066</v>
      </c>
      <c r="L492">
        <v>14457.69</v>
      </c>
      <c r="M492" t="s">
        <v>63</v>
      </c>
      <c r="N492">
        <v>189</v>
      </c>
      <c r="O492" t="s">
        <v>16</v>
      </c>
    </row>
    <row r="493" spans="1:15" x14ac:dyDescent="0.3">
      <c r="A493" t="s">
        <v>6065</v>
      </c>
      <c r="B493" t="s">
        <v>6064</v>
      </c>
      <c r="C493" t="s">
        <v>74</v>
      </c>
      <c r="D493">
        <v>72</v>
      </c>
      <c r="E493" t="s">
        <v>80</v>
      </c>
      <c r="F493" t="s">
        <v>30</v>
      </c>
      <c r="G493" s="1">
        <v>46016</v>
      </c>
      <c r="H493" s="1">
        <v>46006</v>
      </c>
      <c r="I493" t="s">
        <v>6063</v>
      </c>
      <c r="J493" t="s">
        <v>6062</v>
      </c>
      <c r="K493" t="s">
        <v>64</v>
      </c>
      <c r="L493">
        <v>20112.97</v>
      </c>
      <c r="M493" t="s">
        <v>63</v>
      </c>
      <c r="N493">
        <v>548</v>
      </c>
      <c r="O493" t="s">
        <v>34</v>
      </c>
    </row>
    <row r="494" spans="1:15" x14ac:dyDescent="0.3">
      <c r="A494" t="s">
        <v>6061</v>
      </c>
      <c r="B494" t="s">
        <v>6060</v>
      </c>
      <c r="C494" t="s">
        <v>22</v>
      </c>
      <c r="D494">
        <v>89</v>
      </c>
      <c r="E494" t="s">
        <v>68</v>
      </c>
      <c r="F494" t="s">
        <v>90</v>
      </c>
      <c r="G494" s="1">
        <v>46074</v>
      </c>
      <c r="H494" s="1">
        <v>46056</v>
      </c>
      <c r="I494" t="s">
        <v>6059</v>
      </c>
      <c r="J494" t="s">
        <v>6058</v>
      </c>
      <c r="L494">
        <v>19295.189999999999</v>
      </c>
      <c r="M494" t="s">
        <v>17</v>
      </c>
      <c r="N494">
        <v>497</v>
      </c>
      <c r="O494" t="s">
        <v>16</v>
      </c>
    </row>
    <row r="495" spans="1:15" x14ac:dyDescent="0.3">
      <c r="A495" t="s">
        <v>6057</v>
      </c>
      <c r="B495" t="s">
        <v>6056</v>
      </c>
      <c r="D495">
        <v>76</v>
      </c>
      <c r="E495" t="s">
        <v>47</v>
      </c>
      <c r="F495" t="s">
        <v>85</v>
      </c>
      <c r="G495" s="1">
        <v>46065</v>
      </c>
      <c r="H495" s="1">
        <v>46062</v>
      </c>
      <c r="I495" t="s">
        <v>6055</v>
      </c>
      <c r="J495" t="s">
        <v>6054</v>
      </c>
      <c r="K495" t="s">
        <v>26</v>
      </c>
      <c r="L495">
        <v>1875.35</v>
      </c>
      <c r="M495" t="s">
        <v>57</v>
      </c>
      <c r="N495">
        <v>446</v>
      </c>
      <c r="O495" t="s">
        <v>25</v>
      </c>
    </row>
    <row r="496" spans="1:15" x14ac:dyDescent="0.3">
      <c r="A496" t="s">
        <v>6053</v>
      </c>
      <c r="B496" t="s">
        <v>6052</v>
      </c>
      <c r="C496" t="s">
        <v>1</v>
      </c>
      <c r="D496">
        <v>41</v>
      </c>
      <c r="E496" t="s">
        <v>54</v>
      </c>
      <c r="F496" t="s">
        <v>67</v>
      </c>
      <c r="G496" s="1">
        <v>46106</v>
      </c>
      <c r="H496" s="1">
        <v>46090</v>
      </c>
      <c r="I496" t="s">
        <v>6051</v>
      </c>
      <c r="J496" t="s">
        <v>6050</v>
      </c>
      <c r="K496" t="s">
        <v>27</v>
      </c>
      <c r="L496">
        <v>17580.3</v>
      </c>
      <c r="M496" t="s">
        <v>63</v>
      </c>
      <c r="N496">
        <v>227</v>
      </c>
      <c r="O496" t="s">
        <v>43</v>
      </c>
    </row>
    <row r="497" spans="1:15" x14ac:dyDescent="0.3">
      <c r="A497" t="s">
        <v>6049</v>
      </c>
      <c r="B497" t="s">
        <v>6048</v>
      </c>
      <c r="C497" t="s">
        <v>74</v>
      </c>
      <c r="D497">
        <v>52</v>
      </c>
      <c r="E497" t="s">
        <v>31</v>
      </c>
      <c r="F497" t="s">
        <v>20</v>
      </c>
      <c r="G497" s="1">
        <v>46082</v>
      </c>
      <c r="H497" s="1">
        <v>46065</v>
      </c>
      <c r="I497" t="s">
        <v>6047</v>
      </c>
      <c r="J497" t="s">
        <v>6046</v>
      </c>
      <c r="K497" t="s">
        <v>35</v>
      </c>
      <c r="L497">
        <v>12018.58</v>
      </c>
      <c r="M497" t="s">
        <v>17</v>
      </c>
      <c r="N497">
        <v>211</v>
      </c>
      <c r="O497" t="s">
        <v>34</v>
      </c>
    </row>
    <row r="498" spans="1:15" x14ac:dyDescent="0.3">
      <c r="A498" t="s">
        <v>6045</v>
      </c>
      <c r="B498" t="s">
        <v>6044</v>
      </c>
      <c r="C498" t="s">
        <v>22</v>
      </c>
      <c r="D498">
        <v>24</v>
      </c>
      <c r="E498" t="s">
        <v>21</v>
      </c>
      <c r="F498" t="s">
        <v>85</v>
      </c>
      <c r="G498" s="1">
        <v>46120</v>
      </c>
      <c r="H498" s="1">
        <v>46097</v>
      </c>
      <c r="I498" t="s">
        <v>6043</v>
      </c>
      <c r="J498" t="s">
        <v>6042</v>
      </c>
      <c r="K498" t="s">
        <v>17</v>
      </c>
      <c r="L498">
        <v>6024.56</v>
      </c>
      <c r="M498" t="s">
        <v>57</v>
      </c>
      <c r="N498">
        <v>546</v>
      </c>
      <c r="O498" t="s">
        <v>43</v>
      </c>
    </row>
    <row r="499" spans="1:15" x14ac:dyDescent="0.3">
      <c r="A499" t="s">
        <v>6041</v>
      </c>
      <c r="B499" t="s">
        <v>6040</v>
      </c>
      <c r="C499" t="s">
        <v>1</v>
      </c>
      <c r="D499">
        <v>30</v>
      </c>
      <c r="E499" t="s">
        <v>21</v>
      </c>
      <c r="F499" t="s">
        <v>38</v>
      </c>
      <c r="G499" s="1">
        <v>46127</v>
      </c>
      <c r="H499" s="1">
        <v>46101</v>
      </c>
      <c r="I499" t="s">
        <v>6039</v>
      </c>
      <c r="J499" t="s">
        <v>6038</v>
      </c>
      <c r="K499" t="s">
        <v>57</v>
      </c>
      <c r="L499">
        <v>4068.69</v>
      </c>
      <c r="M499" t="s">
        <v>64</v>
      </c>
      <c r="N499">
        <v>161</v>
      </c>
      <c r="O499" t="s">
        <v>77</v>
      </c>
    </row>
    <row r="500" spans="1:15" x14ac:dyDescent="0.3">
      <c r="A500" t="s">
        <v>6037</v>
      </c>
      <c r="B500" t="s">
        <v>6036</v>
      </c>
      <c r="D500">
        <v>79</v>
      </c>
      <c r="E500" t="s">
        <v>47</v>
      </c>
      <c r="F500" t="s">
        <v>46</v>
      </c>
      <c r="G500" s="1">
        <v>46133</v>
      </c>
      <c r="H500" s="1">
        <v>46106</v>
      </c>
      <c r="I500" t="s">
        <v>6035</v>
      </c>
      <c r="J500" t="s">
        <v>6034</v>
      </c>
      <c r="L500">
        <v>9405.67</v>
      </c>
      <c r="M500" t="s">
        <v>17</v>
      </c>
      <c r="N500">
        <v>352</v>
      </c>
      <c r="O500" t="s">
        <v>34</v>
      </c>
    </row>
    <row r="501" spans="1:15" x14ac:dyDescent="0.3">
      <c r="A501" t="s">
        <v>6033</v>
      </c>
      <c r="B501" t="s">
        <v>6032</v>
      </c>
      <c r="C501" t="s">
        <v>22</v>
      </c>
      <c r="D501">
        <v>63</v>
      </c>
      <c r="E501" t="s">
        <v>39</v>
      </c>
      <c r="F501" t="s">
        <v>30</v>
      </c>
      <c r="G501" s="1">
        <v>46078</v>
      </c>
      <c r="H501" s="1">
        <v>46066</v>
      </c>
      <c r="I501" t="s">
        <v>6031</v>
      </c>
      <c r="J501" t="s">
        <v>6030</v>
      </c>
      <c r="K501" t="s">
        <v>17</v>
      </c>
      <c r="L501">
        <v>18804.2</v>
      </c>
      <c r="M501" t="s">
        <v>26</v>
      </c>
      <c r="N501">
        <v>127</v>
      </c>
      <c r="O501" t="s">
        <v>34</v>
      </c>
    </row>
    <row r="502" spans="1:15" x14ac:dyDescent="0.3">
      <c r="A502" t="s">
        <v>6029</v>
      </c>
      <c r="B502" t="s">
        <v>6028</v>
      </c>
      <c r="C502" t="s">
        <v>123</v>
      </c>
      <c r="D502">
        <v>62</v>
      </c>
      <c r="E502" t="s">
        <v>47</v>
      </c>
      <c r="F502" t="s">
        <v>67</v>
      </c>
      <c r="G502" s="1">
        <v>46056</v>
      </c>
      <c r="H502" s="1">
        <v>46044</v>
      </c>
      <c r="I502" t="s">
        <v>6027</v>
      </c>
      <c r="J502" t="s">
        <v>6026</v>
      </c>
      <c r="K502" t="s">
        <v>35</v>
      </c>
      <c r="L502">
        <v>11538.46</v>
      </c>
      <c r="M502" t="s">
        <v>64</v>
      </c>
      <c r="N502">
        <v>457</v>
      </c>
      <c r="O502" t="s">
        <v>34</v>
      </c>
    </row>
    <row r="503" spans="1:15" x14ac:dyDescent="0.3">
      <c r="A503" t="s">
        <v>6025</v>
      </c>
      <c r="B503" t="s">
        <v>6024</v>
      </c>
      <c r="D503">
        <v>41</v>
      </c>
      <c r="E503" t="s">
        <v>47</v>
      </c>
      <c r="F503" t="s">
        <v>46</v>
      </c>
      <c r="G503" s="1">
        <v>46070</v>
      </c>
      <c r="H503" s="1">
        <v>46049</v>
      </c>
      <c r="I503" t="s">
        <v>6023</v>
      </c>
      <c r="J503" t="s">
        <v>6022</v>
      </c>
      <c r="K503" t="s">
        <v>17</v>
      </c>
      <c r="L503">
        <v>9609.81</v>
      </c>
      <c r="M503" t="s">
        <v>64</v>
      </c>
      <c r="N503">
        <v>266</v>
      </c>
      <c r="O503" t="s">
        <v>43</v>
      </c>
    </row>
    <row r="504" spans="1:15" x14ac:dyDescent="0.3">
      <c r="A504" t="s">
        <v>6021</v>
      </c>
      <c r="B504" t="s">
        <v>6020</v>
      </c>
      <c r="C504" t="s">
        <v>22</v>
      </c>
      <c r="D504">
        <v>24</v>
      </c>
      <c r="E504" t="s">
        <v>132</v>
      </c>
      <c r="F504" t="s">
        <v>38</v>
      </c>
      <c r="G504" s="1">
        <v>45984</v>
      </c>
      <c r="H504" s="1">
        <v>45976</v>
      </c>
      <c r="I504" t="s">
        <v>6019</v>
      </c>
      <c r="J504" t="s">
        <v>6018</v>
      </c>
      <c r="L504">
        <v>23971.47</v>
      </c>
      <c r="M504" t="s">
        <v>17</v>
      </c>
      <c r="N504">
        <v>287</v>
      </c>
      <c r="O504" t="s">
        <v>71</v>
      </c>
    </row>
    <row r="505" spans="1:15" x14ac:dyDescent="0.3">
      <c r="A505" t="s">
        <v>6017</v>
      </c>
      <c r="B505" t="s">
        <v>6016</v>
      </c>
      <c r="D505">
        <v>55</v>
      </c>
      <c r="E505" t="s">
        <v>21</v>
      </c>
      <c r="F505" t="s">
        <v>90</v>
      </c>
      <c r="G505" s="1">
        <v>46122</v>
      </c>
      <c r="H505" s="1">
        <v>46100</v>
      </c>
      <c r="I505" t="s">
        <v>6015</v>
      </c>
      <c r="J505" t="s">
        <v>6014</v>
      </c>
      <c r="K505" t="s">
        <v>57</v>
      </c>
      <c r="L505">
        <v>9253.93</v>
      </c>
      <c r="N505">
        <v>243</v>
      </c>
      <c r="O505" t="s">
        <v>16</v>
      </c>
    </row>
    <row r="506" spans="1:15" x14ac:dyDescent="0.3">
      <c r="A506" t="s">
        <v>6013</v>
      </c>
      <c r="B506" t="s">
        <v>6012</v>
      </c>
      <c r="C506" t="s">
        <v>0</v>
      </c>
      <c r="D506">
        <v>74</v>
      </c>
      <c r="E506" t="s">
        <v>39</v>
      </c>
      <c r="F506" t="s">
        <v>38</v>
      </c>
      <c r="G506" s="1">
        <v>46012</v>
      </c>
      <c r="H506" s="1">
        <v>45986</v>
      </c>
      <c r="I506" t="s">
        <v>6011</v>
      </c>
      <c r="J506" t="s">
        <v>6010</v>
      </c>
      <c r="K506" t="s">
        <v>64</v>
      </c>
      <c r="L506">
        <v>18076.22</v>
      </c>
      <c r="M506" t="s">
        <v>57</v>
      </c>
      <c r="N506">
        <v>384</v>
      </c>
      <c r="O506" t="s">
        <v>16</v>
      </c>
    </row>
    <row r="508" spans="1:15" x14ac:dyDescent="0.3">
      <c r="A508" t="s">
        <v>6009</v>
      </c>
      <c r="B508" t="s">
        <v>6008</v>
      </c>
      <c r="C508" t="s">
        <v>123</v>
      </c>
      <c r="D508">
        <v>26</v>
      </c>
      <c r="E508" t="s">
        <v>39</v>
      </c>
      <c r="F508" t="s">
        <v>53</v>
      </c>
      <c r="G508" s="1">
        <v>46123</v>
      </c>
      <c r="H508" s="1">
        <v>46108</v>
      </c>
      <c r="I508" t="s">
        <v>6007</v>
      </c>
      <c r="J508" t="s">
        <v>6006</v>
      </c>
      <c r="K508" t="s">
        <v>27</v>
      </c>
      <c r="L508">
        <v>4579.8599999999997</v>
      </c>
      <c r="N508">
        <v>168</v>
      </c>
      <c r="O508" t="s">
        <v>50</v>
      </c>
    </row>
    <row r="509" spans="1:15" x14ac:dyDescent="0.3">
      <c r="A509" t="s">
        <v>6005</v>
      </c>
      <c r="B509" t="s">
        <v>6004</v>
      </c>
      <c r="C509" t="s">
        <v>60</v>
      </c>
      <c r="D509">
        <v>63</v>
      </c>
      <c r="E509" t="s">
        <v>132</v>
      </c>
      <c r="F509" t="s">
        <v>30</v>
      </c>
      <c r="G509" s="1">
        <v>46143</v>
      </c>
      <c r="H509" s="1">
        <v>46126</v>
      </c>
      <c r="I509" t="s">
        <v>6003</v>
      </c>
      <c r="J509" t="s">
        <v>6002</v>
      </c>
      <c r="K509" t="s">
        <v>27</v>
      </c>
      <c r="L509">
        <v>10080.370000000001</v>
      </c>
      <c r="M509" t="s">
        <v>26</v>
      </c>
      <c r="N509">
        <v>130</v>
      </c>
      <c r="O509" t="s">
        <v>71</v>
      </c>
    </row>
    <row r="510" spans="1:15" x14ac:dyDescent="0.3">
      <c r="A510" t="s">
        <v>6001</v>
      </c>
      <c r="B510" t="s">
        <v>6000</v>
      </c>
      <c r="C510" t="s">
        <v>22</v>
      </c>
      <c r="D510">
        <v>61</v>
      </c>
      <c r="E510" t="s">
        <v>80</v>
      </c>
      <c r="F510" t="s">
        <v>85</v>
      </c>
      <c r="G510" s="1">
        <v>46031</v>
      </c>
      <c r="H510" s="1">
        <v>46008</v>
      </c>
      <c r="I510" t="s">
        <v>5999</v>
      </c>
      <c r="J510" t="s">
        <v>5998</v>
      </c>
      <c r="K510" t="s">
        <v>57</v>
      </c>
      <c r="L510">
        <v>6642.27</v>
      </c>
      <c r="M510" t="s">
        <v>17</v>
      </c>
      <c r="N510">
        <v>386</v>
      </c>
      <c r="O510" t="s">
        <v>34</v>
      </c>
    </row>
    <row r="511" spans="1:15" x14ac:dyDescent="0.3">
      <c r="A511" t="s">
        <v>5997</v>
      </c>
      <c r="B511" t="s">
        <v>5996</v>
      </c>
      <c r="C511" t="s">
        <v>22</v>
      </c>
      <c r="D511">
        <v>45</v>
      </c>
      <c r="E511" t="s">
        <v>47</v>
      </c>
      <c r="F511" t="s">
        <v>90</v>
      </c>
      <c r="G511" s="1">
        <v>46076</v>
      </c>
      <c r="H511" s="1">
        <v>46073</v>
      </c>
      <c r="I511" t="s">
        <v>5995</v>
      </c>
      <c r="J511" t="s">
        <v>5994</v>
      </c>
      <c r="K511" t="s">
        <v>57</v>
      </c>
      <c r="L511">
        <v>21710.74</v>
      </c>
      <c r="M511" t="s">
        <v>57</v>
      </c>
      <c r="N511">
        <v>395</v>
      </c>
      <c r="O511" t="s">
        <v>34</v>
      </c>
    </row>
    <row r="512" spans="1:15" x14ac:dyDescent="0.3">
      <c r="A512" t="s">
        <v>5993</v>
      </c>
      <c r="B512" t="s">
        <v>5992</v>
      </c>
      <c r="C512" t="s">
        <v>0</v>
      </c>
      <c r="D512">
        <v>37</v>
      </c>
      <c r="E512" t="s">
        <v>31</v>
      </c>
      <c r="F512" t="s">
        <v>67</v>
      </c>
      <c r="G512" s="1">
        <v>46155</v>
      </c>
      <c r="H512" s="1">
        <v>46134</v>
      </c>
      <c r="I512" t="s">
        <v>5991</v>
      </c>
      <c r="J512" t="s">
        <v>5990</v>
      </c>
      <c r="L512">
        <v>19413.66</v>
      </c>
      <c r="N512">
        <v>140</v>
      </c>
      <c r="O512" t="s">
        <v>16</v>
      </c>
    </row>
    <row r="513" spans="1:15" x14ac:dyDescent="0.3">
      <c r="A513" t="s">
        <v>5989</v>
      </c>
      <c r="B513" t="s">
        <v>5988</v>
      </c>
      <c r="C513" t="s">
        <v>22</v>
      </c>
      <c r="D513">
        <v>60</v>
      </c>
      <c r="E513" t="s">
        <v>39</v>
      </c>
      <c r="F513" t="s">
        <v>53</v>
      </c>
      <c r="G513" s="1">
        <v>46004</v>
      </c>
      <c r="H513" s="1">
        <v>45984</v>
      </c>
      <c r="I513" t="s">
        <v>5987</v>
      </c>
      <c r="J513" t="s">
        <v>5986</v>
      </c>
      <c r="K513" t="s">
        <v>57</v>
      </c>
      <c r="L513">
        <v>10661.05</v>
      </c>
      <c r="N513">
        <v>534</v>
      </c>
      <c r="O513" t="s">
        <v>77</v>
      </c>
    </row>
    <row r="514" spans="1:15" x14ac:dyDescent="0.3">
      <c r="A514" t="s">
        <v>5985</v>
      </c>
      <c r="B514" t="s">
        <v>5984</v>
      </c>
      <c r="C514" t="s">
        <v>74</v>
      </c>
      <c r="D514">
        <v>21</v>
      </c>
      <c r="E514" t="s">
        <v>31</v>
      </c>
      <c r="F514" t="s">
        <v>38</v>
      </c>
      <c r="G514" s="1">
        <v>46072</v>
      </c>
      <c r="H514" s="1">
        <v>46062</v>
      </c>
      <c r="I514" t="s">
        <v>5983</v>
      </c>
      <c r="J514" t="s">
        <v>5982</v>
      </c>
      <c r="K514" t="s">
        <v>57</v>
      </c>
      <c r="L514">
        <v>16394.72</v>
      </c>
      <c r="M514" t="s">
        <v>63</v>
      </c>
      <c r="N514">
        <v>409</v>
      </c>
      <c r="O514" t="s">
        <v>25</v>
      </c>
    </row>
    <row r="515" spans="1:15" x14ac:dyDescent="0.3">
      <c r="A515" t="s">
        <v>5981</v>
      </c>
      <c r="B515" t="s">
        <v>5980</v>
      </c>
      <c r="C515" t="s">
        <v>123</v>
      </c>
      <c r="D515">
        <v>35</v>
      </c>
      <c r="E515" t="s">
        <v>68</v>
      </c>
      <c r="F515" t="s">
        <v>67</v>
      </c>
      <c r="G515" s="1">
        <v>46076</v>
      </c>
      <c r="H515" s="1">
        <v>46053</v>
      </c>
      <c r="I515" t="s">
        <v>5979</v>
      </c>
      <c r="J515" t="s">
        <v>5978</v>
      </c>
      <c r="L515">
        <v>10466.93</v>
      </c>
      <c r="M515" t="s">
        <v>26</v>
      </c>
      <c r="N515">
        <v>537</v>
      </c>
      <c r="O515" t="s">
        <v>77</v>
      </c>
    </row>
    <row r="516" spans="1:15" x14ac:dyDescent="0.3">
      <c r="A516" t="s">
        <v>5977</v>
      </c>
      <c r="B516" t="s">
        <v>5976</v>
      </c>
      <c r="C516" t="s">
        <v>0</v>
      </c>
      <c r="D516">
        <v>31</v>
      </c>
      <c r="E516" t="s">
        <v>132</v>
      </c>
      <c r="F516" t="s">
        <v>20</v>
      </c>
      <c r="G516" s="1">
        <v>46011</v>
      </c>
      <c r="H516" s="1">
        <v>46005</v>
      </c>
      <c r="I516" t="s">
        <v>5975</v>
      </c>
      <c r="J516" t="s">
        <v>5974</v>
      </c>
      <c r="K516" t="s">
        <v>35</v>
      </c>
      <c r="L516">
        <v>10046.73</v>
      </c>
      <c r="M516" t="s">
        <v>64</v>
      </c>
      <c r="N516">
        <v>132</v>
      </c>
      <c r="O516" t="s">
        <v>16</v>
      </c>
    </row>
    <row r="517" spans="1:15" x14ac:dyDescent="0.3">
      <c r="A517" t="s">
        <v>572</v>
      </c>
      <c r="B517" t="s">
        <v>5973</v>
      </c>
      <c r="C517" t="s">
        <v>40</v>
      </c>
      <c r="D517">
        <v>4</v>
      </c>
      <c r="E517" t="s">
        <v>54</v>
      </c>
      <c r="F517" t="s">
        <v>20</v>
      </c>
      <c r="G517" s="1">
        <v>46009</v>
      </c>
      <c r="H517" s="1">
        <v>46006</v>
      </c>
      <c r="I517" t="s">
        <v>5972</v>
      </c>
      <c r="J517" t="s">
        <v>5971</v>
      </c>
      <c r="K517" t="s">
        <v>26</v>
      </c>
      <c r="L517">
        <v>15528.93</v>
      </c>
      <c r="M517" t="s">
        <v>64</v>
      </c>
      <c r="N517">
        <v>435</v>
      </c>
      <c r="O517" t="s">
        <v>16</v>
      </c>
    </row>
    <row r="518" spans="1:15" x14ac:dyDescent="0.3">
      <c r="A518" t="s">
        <v>5970</v>
      </c>
      <c r="B518" t="s">
        <v>5969</v>
      </c>
      <c r="C518" t="s">
        <v>22</v>
      </c>
      <c r="D518">
        <v>30</v>
      </c>
      <c r="E518" t="s">
        <v>21</v>
      </c>
      <c r="F518" t="s">
        <v>30</v>
      </c>
      <c r="G518" s="1">
        <v>46103</v>
      </c>
      <c r="H518" s="1">
        <v>46089</v>
      </c>
      <c r="I518" t="s">
        <v>5968</v>
      </c>
      <c r="J518" t="s">
        <v>5967</v>
      </c>
      <c r="K518" t="s">
        <v>35</v>
      </c>
      <c r="L518">
        <v>3455.67</v>
      </c>
      <c r="M518" t="s">
        <v>26</v>
      </c>
      <c r="N518">
        <v>114</v>
      </c>
      <c r="O518" t="s">
        <v>77</v>
      </c>
    </row>
    <row r="519" spans="1:15" x14ac:dyDescent="0.3">
      <c r="A519" t="s">
        <v>5966</v>
      </c>
      <c r="B519" t="s">
        <v>5965</v>
      </c>
      <c r="C519" t="s">
        <v>60</v>
      </c>
      <c r="D519">
        <v>42</v>
      </c>
      <c r="E519" t="s">
        <v>68</v>
      </c>
      <c r="F519" t="s">
        <v>85</v>
      </c>
      <c r="G519" s="1">
        <v>46067</v>
      </c>
      <c r="H519" s="1">
        <v>46040</v>
      </c>
      <c r="I519" t="s">
        <v>5964</v>
      </c>
      <c r="J519" t="s">
        <v>5963</v>
      </c>
      <c r="K519" t="s">
        <v>26</v>
      </c>
      <c r="L519">
        <v>13803.92</v>
      </c>
      <c r="M519" t="s">
        <v>26</v>
      </c>
      <c r="N519">
        <v>457</v>
      </c>
      <c r="O519" t="s">
        <v>34</v>
      </c>
    </row>
    <row r="520" spans="1:15" x14ac:dyDescent="0.3">
      <c r="A520" t="s">
        <v>5962</v>
      </c>
      <c r="B520" t="s">
        <v>5961</v>
      </c>
      <c r="C520" t="s">
        <v>0</v>
      </c>
      <c r="D520">
        <v>76</v>
      </c>
      <c r="E520" t="s">
        <v>68</v>
      </c>
      <c r="F520" t="s">
        <v>90</v>
      </c>
      <c r="G520" s="1">
        <v>46131</v>
      </c>
      <c r="H520" s="1">
        <v>46115</v>
      </c>
      <c r="I520" t="s">
        <v>5960</v>
      </c>
      <c r="J520" t="s">
        <v>5959</v>
      </c>
      <c r="K520" t="s">
        <v>26</v>
      </c>
      <c r="L520">
        <v>22741.29</v>
      </c>
      <c r="N520">
        <v>376</v>
      </c>
      <c r="O520" t="s">
        <v>71</v>
      </c>
    </row>
    <row r="521" spans="1:15" x14ac:dyDescent="0.3">
      <c r="A521" t="s">
        <v>5958</v>
      </c>
      <c r="B521" t="s">
        <v>5957</v>
      </c>
      <c r="C521" t="s">
        <v>74</v>
      </c>
      <c r="D521">
        <v>57</v>
      </c>
      <c r="E521" t="s">
        <v>132</v>
      </c>
      <c r="F521" t="s">
        <v>67</v>
      </c>
      <c r="G521" s="1">
        <v>46057</v>
      </c>
      <c r="H521" s="1">
        <v>46044</v>
      </c>
      <c r="I521" t="s">
        <v>5956</v>
      </c>
      <c r="J521" t="s">
        <v>5955</v>
      </c>
      <c r="K521" t="s">
        <v>26</v>
      </c>
      <c r="L521">
        <v>4061.79</v>
      </c>
      <c r="M521" t="s">
        <v>27</v>
      </c>
      <c r="N521">
        <v>100</v>
      </c>
      <c r="O521" t="s">
        <v>34</v>
      </c>
    </row>
    <row r="522" spans="1:15" x14ac:dyDescent="0.3">
      <c r="A522" t="s">
        <v>5954</v>
      </c>
      <c r="B522" t="s">
        <v>5953</v>
      </c>
      <c r="C522" t="s">
        <v>0</v>
      </c>
      <c r="D522">
        <v>45</v>
      </c>
      <c r="E522" t="s">
        <v>132</v>
      </c>
      <c r="F522" t="s">
        <v>85</v>
      </c>
      <c r="G522" s="1">
        <v>46125</v>
      </c>
      <c r="H522" s="1">
        <v>46108</v>
      </c>
      <c r="I522" t="s">
        <v>5952</v>
      </c>
      <c r="J522" t="s">
        <v>5951</v>
      </c>
      <c r="K522" t="s">
        <v>27</v>
      </c>
      <c r="L522">
        <v>17256.7</v>
      </c>
      <c r="N522">
        <v>486</v>
      </c>
      <c r="O522" t="s">
        <v>16</v>
      </c>
    </row>
    <row r="523" spans="1:15" x14ac:dyDescent="0.3">
      <c r="A523" t="s">
        <v>5950</v>
      </c>
      <c r="B523" t="s">
        <v>5949</v>
      </c>
      <c r="C523" t="s">
        <v>22</v>
      </c>
      <c r="D523">
        <v>2</v>
      </c>
      <c r="E523" t="s">
        <v>54</v>
      </c>
      <c r="F523" t="s">
        <v>30</v>
      </c>
      <c r="G523" s="1">
        <v>46086</v>
      </c>
      <c r="H523" s="1">
        <v>46067</v>
      </c>
      <c r="I523" t="s">
        <v>5948</v>
      </c>
      <c r="J523" t="s">
        <v>5947</v>
      </c>
      <c r="K523" t="s">
        <v>17</v>
      </c>
      <c r="L523">
        <v>19959.830000000002</v>
      </c>
      <c r="M523" t="s">
        <v>17</v>
      </c>
      <c r="N523">
        <v>196</v>
      </c>
      <c r="O523" t="s">
        <v>16</v>
      </c>
    </row>
    <row r="524" spans="1:15" x14ac:dyDescent="0.3">
      <c r="A524" t="s">
        <v>5946</v>
      </c>
      <c r="B524" t="s">
        <v>5945</v>
      </c>
      <c r="C524" t="s">
        <v>123</v>
      </c>
      <c r="D524">
        <v>51</v>
      </c>
      <c r="E524" t="s">
        <v>21</v>
      </c>
      <c r="F524" t="s">
        <v>53</v>
      </c>
      <c r="G524" s="1">
        <v>46003</v>
      </c>
      <c r="H524" s="1">
        <v>45981</v>
      </c>
      <c r="I524" t="s">
        <v>5944</v>
      </c>
      <c r="J524" t="s">
        <v>5943</v>
      </c>
      <c r="L524">
        <v>20744.990000000002</v>
      </c>
      <c r="M524" t="s">
        <v>57</v>
      </c>
      <c r="N524">
        <v>234</v>
      </c>
      <c r="O524" t="s">
        <v>77</v>
      </c>
    </row>
    <row r="525" spans="1:15" x14ac:dyDescent="0.3">
      <c r="A525" t="s">
        <v>5942</v>
      </c>
      <c r="B525" t="s">
        <v>5941</v>
      </c>
      <c r="C525" t="s">
        <v>123</v>
      </c>
      <c r="D525">
        <v>81</v>
      </c>
      <c r="E525" t="s">
        <v>21</v>
      </c>
      <c r="F525" t="s">
        <v>30</v>
      </c>
      <c r="G525" s="1">
        <v>46074</v>
      </c>
      <c r="H525" s="1">
        <v>46065</v>
      </c>
      <c r="I525" t="s">
        <v>5940</v>
      </c>
      <c r="J525" t="s">
        <v>5939</v>
      </c>
      <c r="K525" t="s">
        <v>26</v>
      </c>
      <c r="L525">
        <v>10440.02</v>
      </c>
      <c r="M525" t="s">
        <v>64</v>
      </c>
      <c r="N525">
        <v>193</v>
      </c>
      <c r="O525" t="s">
        <v>71</v>
      </c>
    </row>
    <row r="526" spans="1:15" x14ac:dyDescent="0.3">
      <c r="A526" t="s">
        <v>5938</v>
      </c>
      <c r="B526" t="s">
        <v>5937</v>
      </c>
      <c r="C526" t="s">
        <v>22</v>
      </c>
      <c r="D526">
        <v>15</v>
      </c>
      <c r="E526" t="s">
        <v>68</v>
      </c>
      <c r="F526" t="s">
        <v>85</v>
      </c>
      <c r="G526" s="1">
        <v>46046</v>
      </c>
      <c r="H526" s="1">
        <v>46038</v>
      </c>
      <c r="I526" t="s">
        <v>5936</v>
      </c>
      <c r="J526" t="s">
        <v>5935</v>
      </c>
      <c r="L526">
        <v>4857.18</v>
      </c>
      <c r="M526" t="s">
        <v>27</v>
      </c>
      <c r="N526">
        <v>177</v>
      </c>
      <c r="O526" t="s">
        <v>77</v>
      </c>
    </row>
    <row r="527" spans="1:15" x14ac:dyDescent="0.3">
      <c r="A527" t="s">
        <v>5934</v>
      </c>
      <c r="B527" t="s">
        <v>5933</v>
      </c>
      <c r="C527" t="s">
        <v>40</v>
      </c>
      <c r="D527">
        <v>24</v>
      </c>
      <c r="E527" t="s">
        <v>80</v>
      </c>
      <c r="F527" t="s">
        <v>30</v>
      </c>
      <c r="G527" s="1">
        <v>46030</v>
      </c>
      <c r="H527" s="1">
        <v>46035</v>
      </c>
      <c r="I527" t="s">
        <v>5932</v>
      </c>
      <c r="J527" t="s">
        <v>5931</v>
      </c>
      <c r="K527" t="s">
        <v>35</v>
      </c>
      <c r="L527">
        <v>17936.86</v>
      </c>
      <c r="M527" t="s">
        <v>27</v>
      </c>
      <c r="N527">
        <v>219</v>
      </c>
      <c r="O527" t="s">
        <v>77</v>
      </c>
    </row>
    <row r="528" spans="1:15" x14ac:dyDescent="0.3">
      <c r="A528" t="s">
        <v>5930</v>
      </c>
      <c r="B528" t="s">
        <v>5929</v>
      </c>
      <c r="C528" t="s">
        <v>0</v>
      </c>
      <c r="D528">
        <v>2</v>
      </c>
      <c r="E528" t="s">
        <v>68</v>
      </c>
      <c r="F528" t="s">
        <v>38</v>
      </c>
      <c r="G528" s="1">
        <v>46012</v>
      </c>
      <c r="H528" s="1">
        <v>46002</v>
      </c>
      <c r="I528" t="s">
        <v>5928</v>
      </c>
      <c r="J528" t="s">
        <v>5927</v>
      </c>
      <c r="L528">
        <v>7927.1</v>
      </c>
      <c r="N528">
        <v>290</v>
      </c>
      <c r="O528" t="s">
        <v>16</v>
      </c>
    </row>
    <row r="529" spans="1:15" x14ac:dyDescent="0.3">
      <c r="A529" t="s">
        <v>5926</v>
      </c>
      <c r="B529" t="s">
        <v>5925</v>
      </c>
      <c r="C529" t="s">
        <v>40</v>
      </c>
      <c r="D529">
        <v>43</v>
      </c>
      <c r="E529" t="s">
        <v>80</v>
      </c>
      <c r="F529" t="s">
        <v>53</v>
      </c>
      <c r="G529" s="1">
        <v>46013</v>
      </c>
      <c r="H529" s="1">
        <v>46012</v>
      </c>
      <c r="I529" t="s">
        <v>5924</v>
      </c>
      <c r="J529" t="s">
        <v>5923</v>
      </c>
      <c r="K529" t="s">
        <v>26</v>
      </c>
      <c r="L529">
        <v>19436.189999999999</v>
      </c>
      <c r="M529" t="s">
        <v>64</v>
      </c>
      <c r="N529">
        <v>378</v>
      </c>
      <c r="O529" t="s">
        <v>16</v>
      </c>
    </row>
    <row r="530" spans="1:15" x14ac:dyDescent="0.3">
      <c r="A530" t="s">
        <v>5922</v>
      </c>
      <c r="B530" t="s">
        <v>5921</v>
      </c>
      <c r="C530" t="s">
        <v>0</v>
      </c>
      <c r="D530">
        <v>25</v>
      </c>
      <c r="E530" t="s">
        <v>132</v>
      </c>
      <c r="F530" t="s">
        <v>90</v>
      </c>
      <c r="G530" s="1">
        <v>46025</v>
      </c>
      <c r="H530" s="1">
        <v>45999</v>
      </c>
      <c r="I530" t="s">
        <v>5920</v>
      </c>
      <c r="J530" t="s">
        <v>5919</v>
      </c>
      <c r="K530" t="s">
        <v>27</v>
      </c>
      <c r="L530">
        <v>3224.65</v>
      </c>
      <c r="M530" t="s">
        <v>57</v>
      </c>
      <c r="N530">
        <v>297</v>
      </c>
      <c r="O530" t="s">
        <v>50</v>
      </c>
    </row>
    <row r="531" spans="1:15" x14ac:dyDescent="0.3">
      <c r="A531" t="s">
        <v>5918</v>
      </c>
      <c r="B531" t="s">
        <v>5917</v>
      </c>
      <c r="D531">
        <v>32</v>
      </c>
      <c r="E531" t="s">
        <v>47</v>
      </c>
      <c r="F531" t="s">
        <v>38</v>
      </c>
      <c r="G531" s="1">
        <v>45991</v>
      </c>
      <c r="H531" s="1">
        <v>45977</v>
      </c>
      <c r="I531" t="s">
        <v>5916</v>
      </c>
      <c r="J531" t="s">
        <v>5915</v>
      </c>
      <c r="K531" t="s">
        <v>64</v>
      </c>
      <c r="L531">
        <v>13124.25</v>
      </c>
      <c r="M531" t="s">
        <v>57</v>
      </c>
      <c r="N531">
        <v>342</v>
      </c>
      <c r="O531" t="s">
        <v>16</v>
      </c>
    </row>
    <row r="532" spans="1:15" x14ac:dyDescent="0.3">
      <c r="A532" t="s">
        <v>5914</v>
      </c>
      <c r="B532" t="s">
        <v>5913</v>
      </c>
      <c r="C532" t="s">
        <v>22</v>
      </c>
      <c r="D532">
        <v>42</v>
      </c>
      <c r="E532" t="s">
        <v>39</v>
      </c>
      <c r="F532" t="s">
        <v>46</v>
      </c>
      <c r="G532" s="1">
        <v>46036</v>
      </c>
      <c r="H532" s="1">
        <v>46013</v>
      </c>
      <c r="I532" t="s">
        <v>5912</v>
      </c>
      <c r="J532" t="s">
        <v>5911</v>
      </c>
      <c r="K532" t="s">
        <v>64</v>
      </c>
      <c r="L532">
        <v>6482.16</v>
      </c>
      <c r="M532" t="s">
        <v>63</v>
      </c>
      <c r="N532" t="s">
        <v>347</v>
      </c>
      <c r="O532" t="s">
        <v>43</v>
      </c>
    </row>
    <row r="533" spans="1:15" x14ac:dyDescent="0.3">
      <c r="A533" t="s">
        <v>5910</v>
      </c>
      <c r="B533" t="s">
        <v>5909</v>
      </c>
      <c r="C533" t="s">
        <v>40</v>
      </c>
      <c r="D533">
        <v>86</v>
      </c>
      <c r="E533" t="s">
        <v>21</v>
      </c>
      <c r="F533" t="s">
        <v>20</v>
      </c>
      <c r="G533" s="1">
        <v>46023</v>
      </c>
      <c r="H533" s="1">
        <v>46016</v>
      </c>
      <c r="I533" t="s">
        <v>5908</v>
      </c>
      <c r="J533" t="s">
        <v>5907</v>
      </c>
      <c r="L533">
        <v>8247.93</v>
      </c>
      <c r="M533" t="s">
        <v>26</v>
      </c>
      <c r="N533">
        <v>506</v>
      </c>
      <c r="O533" t="s">
        <v>43</v>
      </c>
    </row>
    <row r="534" spans="1:15" x14ac:dyDescent="0.3">
      <c r="A534" t="s">
        <v>5906</v>
      </c>
      <c r="B534" t="s">
        <v>5905</v>
      </c>
      <c r="C534" t="s">
        <v>74</v>
      </c>
      <c r="D534">
        <v>51</v>
      </c>
      <c r="E534" t="s">
        <v>21</v>
      </c>
      <c r="F534" t="s">
        <v>46</v>
      </c>
      <c r="G534" s="1">
        <v>45981</v>
      </c>
      <c r="H534" s="1">
        <v>45980</v>
      </c>
      <c r="I534" t="s">
        <v>5904</v>
      </c>
      <c r="J534" t="s">
        <v>5903</v>
      </c>
      <c r="L534">
        <v>17272.48</v>
      </c>
      <c r="M534" t="s">
        <v>26</v>
      </c>
      <c r="N534">
        <v>290</v>
      </c>
      <c r="O534" t="s">
        <v>50</v>
      </c>
    </row>
    <row r="535" spans="1:15" x14ac:dyDescent="0.3">
      <c r="A535" t="s">
        <v>5902</v>
      </c>
      <c r="B535" t="s">
        <v>5901</v>
      </c>
      <c r="C535" t="s">
        <v>74</v>
      </c>
      <c r="D535">
        <v>32</v>
      </c>
      <c r="E535" t="s">
        <v>39</v>
      </c>
      <c r="F535" t="s">
        <v>85</v>
      </c>
      <c r="G535" s="1">
        <v>45988</v>
      </c>
      <c r="H535" s="1">
        <v>45986</v>
      </c>
      <c r="I535" t="s">
        <v>5900</v>
      </c>
      <c r="J535" t="s">
        <v>5899</v>
      </c>
      <c r="K535" t="s">
        <v>57</v>
      </c>
      <c r="L535">
        <v>23285.05</v>
      </c>
      <c r="M535" t="s">
        <v>27</v>
      </c>
      <c r="N535">
        <v>130</v>
      </c>
      <c r="O535" t="s">
        <v>43</v>
      </c>
    </row>
    <row r="536" spans="1:15" x14ac:dyDescent="0.3">
      <c r="A536" t="s">
        <v>5898</v>
      </c>
      <c r="B536" t="s">
        <v>5897</v>
      </c>
      <c r="C536" t="s">
        <v>0</v>
      </c>
      <c r="D536">
        <v>90</v>
      </c>
      <c r="E536" t="s">
        <v>80</v>
      </c>
      <c r="F536" t="s">
        <v>53</v>
      </c>
      <c r="G536" s="1">
        <v>46051</v>
      </c>
      <c r="H536" s="1">
        <v>46036</v>
      </c>
      <c r="I536" t="s">
        <v>5896</v>
      </c>
      <c r="J536" t="s">
        <v>5895</v>
      </c>
      <c r="K536" t="s">
        <v>17</v>
      </c>
      <c r="L536">
        <v>8055.14</v>
      </c>
      <c r="M536" t="s">
        <v>17</v>
      </c>
      <c r="N536">
        <v>512</v>
      </c>
      <c r="O536" t="s">
        <v>16</v>
      </c>
    </row>
    <row r="537" spans="1:15" x14ac:dyDescent="0.3">
      <c r="A537" t="s">
        <v>5894</v>
      </c>
      <c r="B537" t="s">
        <v>5893</v>
      </c>
      <c r="C537" t="s">
        <v>1</v>
      </c>
      <c r="D537">
        <v>3</v>
      </c>
      <c r="E537" t="s">
        <v>54</v>
      </c>
      <c r="F537" t="s">
        <v>67</v>
      </c>
      <c r="G537" s="1">
        <v>46107</v>
      </c>
      <c r="H537" s="1">
        <v>46084</v>
      </c>
      <c r="I537" t="s">
        <v>5892</v>
      </c>
      <c r="J537" t="s">
        <v>5891</v>
      </c>
      <c r="K537" t="s">
        <v>35</v>
      </c>
      <c r="L537">
        <v>6417.27</v>
      </c>
      <c r="M537" t="s">
        <v>27</v>
      </c>
      <c r="N537">
        <v>348</v>
      </c>
      <c r="O537" t="s">
        <v>25</v>
      </c>
    </row>
    <row r="538" spans="1:15" x14ac:dyDescent="0.3">
      <c r="A538" t="s">
        <v>5890</v>
      </c>
      <c r="B538" t="s">
        <v>5889</v>
      </c>
      <c r="D538">
        <v>72</v>
      </c>
      <c r="E538" t="s">
        <v>132</v>
      </c>
      <c r="F538" t="s">
        <v>85</v>
      </c>
      <c r="G538" s="1">
        <v>46034</v>
      </c>
      <c r="H538" s="1">
        <v>46028</v>
      </c>
      <c r="I538" t="s">
        <v>5888</v>
      </c>
      <c r="J538" t="s">
        <v>5887</v>
      </c>
      <c r="K538" t="s">
        <v>35</v>
      </c>
      <c r="L538">
        <v>13681.79</v>
      </c>
      <c r="M538" t="s">
        <v>17</v>
      </c>
      <c r="N538">
        <v>474</v>
      </c>
      <c r="O538" t="s">
        <v>16</v>
      </c>
    </row>
    <row r="539" spans="1:15" x14ac:dyDescent="0.3">
      <c r="A539" t="s">
        <v>5886</v>
      </c>
      <c r="B539" t="s">
        <v>5885</v>
      </c>
      <c r="C539" t="s">
        <v>22</v>
      </c>
      <c r="D539">
        <v>77</v>
      </c>
      <c r="E539" t="s">
        <v>39</v>
      </c>
      <c r="F539" t="s">
        <v>20</v>
      </c>
      <c r="G539" s="1">
        <v>45997</v>
      </c>
      <c r="H539" s="1">
        <v>45981</v>
      </c>
      <c r="I539" t="s">
        <v>5884</v>
      </c>
      <c r="J539" t="s">
        <v>5883</v>
      </c>
      <c r="K539" t="s">
        <v>35</v>
      </c>
      <c r="L539">
        <v>11344.73</v>
      </c>
      <c r="M539" t="s">
        <v>63</v>
      </c>
      <c r="N539">
        <v>377</v>
      </c>
      <c r="O539" t="s">
        <v>43</v>
      </c>
    </row>
    <row r="540" spans="1:15" x14ac:dyDescent="0.3">
      <c r="A540" t="s">
        <v>5882</v>
      </c>
      <c r="B540" t="s">
        <v>5881</v>
      </c>
      <c r="D540">
        <v>1</v>
      </c>
      <c r="E540" t="s">
        <v>54</v>
      </c>
      <c r="F540" t="s">
        <v>53</v>
      </c>
      <c r="G540" s="1">
        <v>46025</v>
      </c>
      <c r="H540" s="1">
        <v>45997</v>
      </c>
      <c r="I540" t="s">
        <v>5880</v>
      </c>
      <c r="J540" t="s">
        <v>5879</v>
      </c>
      <c r="K540" t="s">
        <v>27</v>
      </c>
      <c r="L540">
        <v>15569.42</v>
      </c>
      <c r="M540" t="s">
        <v>17</v>
      </c>
      <c r="N540">
        <v>497</v>
      </c>
      <c r="O540" t="s">
        <v>34</v>
      </c>
    </row>
    <row r="541" spans="1:15" x14ac:dyDescent="0.3">
      <c r="A541" t="s">
        <v>5878</v>
      </c>
      <c r="B541" t="s">
        <v>5877</v>
      </c>
      <c r="C541" t="s">
        <v>1</v>
      </c>
      <c r="D541">
        <v>42</v>
      </c>
      <c r="E541" t="s">
        <v>80</v>
      </c>
      <c r="F541" t="s">
        <v>90</v>
      </c>
      <c r="G541" s="1">
        <v>46107</v>
      </c>
      <c r="H541" s="1">
        <v>46101</v>
      </c>
      <c r="I541" t="s">
        <v>5876</v>
      </c>
      <c r="J541" t="s">
        <v>5875</v>
      </c>
      <c r="L541">
        <v>19190.21</v>
      </c>
      <c r="M541" t="s">
        <v>26</v>
      </c>
      <c r="N541">
        <v>413</v>
      </c>
      <c r="O541" t="s">
        <v>43</v>
      </c>
    </row>
    <row r="542" spans="1:15" x14ac:dyDescent="0.3">
      <c r="A542" t="s">
        <v>5874</v>
      </c>
      <c r="B542" t="s">
        <v>5873</v>
      </c>
      <c r="C542" t="s">
        <v>60</v>
      </c>
      <c r="D542">
        <v>53</v>
      </c>
      <c r="E542" t="s">
        <v>31</v>
      </c>
      <c r="F542" t="s">
        <v>20</v>
      </c>
      <c r="G542" s="1">
        <v>46097</v>
      </c>
      <c r="H542" s="1">
        <v>46094</v>
      </c>
      <c r="I542" t="s">
        <v>5872</v>
      </c>
      <c r="J542" t="s">
        <v>5871</v>
      </c>
      <c r="K542" t="s">
        <v>64</v>
      </c>
      <c r="L542">
        <v>1285.68</v>
      </c>
      <c r="M542" t="s">
        <v>26</v>
      </c>
      <c r="N542">
        <v>191</v>
      </c>
      <c r="O542" t="s">
        <v>50</v>
      </c>
    </row>
    <row r="543" spans="1:15" x14ac:dyDescent="0.3">
      <c r="A543" t="s">
        <v>5870</v>
      </c>
      <c r="B543" t="s">
        <v>5869</v>
      </c>
      <c r="C543" t="s">
        <v>40</v>
      </c>
      <c r="D543">
        <v>26</v>
      </c>
      <c r="E543" t="s">
        <v>80</v>
      </c>
      <c r="F543" t="s">
        <v>85</v>
      </c>
      <c r="G543" s="1">
        <v>46075</v>
      </c>
      <c r="H543" s="1">
        <v>46069</v>
      </c>
      <c r="I543" t="s">
        <v>5868</v>
      </c>
      <c r="J543" t="s">
        <v>5867</v>
      </c>
      <c r="K543" t="s">
        <v>64</v>
      </c>
      <c r="L543">
        <v>989.07</v>
      </c>
      <c r="N543">
        <v>436</v>
      </c>
      <c r="O543" t="s">
        <v>16</v>
      </c>
    </row>
    <row r="544" spans="1:15" x14ac:dyDescent="0.3">
      <c r="A544" t="s">
        <v>5866</v>
      </c>
      <c r="B544" t="s">
        <v>5865</v>
      </c>
      <c r="C544" t="s">
        <v>22</v>
      </c>
      <c r="D544">
        <v>7</v>
      </c>
      <c r="E544" t="s">
        <v>31</v>
      </c>
      <c r="F544" t="s">
        <v>38</v>
      </c>
      <c r="G544" s="1">
        <v>46161</v>
      </c>
      <c r="H544" s="1">
        <v>46142</v>
      </c>
      <c r="I544" t="s">
        <v>5864</v>
      </c>
      <c r="J544" t="s">
        <v>5863</v>
      </c>
      <c r="K544" t="s">
        <v>64</v>
      </c>
      <c r="L544">
        <v>524.54</v>
      </c>
      <c r="M544" t="s">
        <v>57</v>
      </c>
      <c r="N544">
        <v>435</v>
      </c>
      <c r="O544" t="s">
        <v>16</v>
      </c>
    </row>
    <row r="545" spans="1:15" x14ac:dyDescent="0.3">
      <c r="A545" t="s">
        <v>5862</v>
      </c>
      <c r="B545" t="s">
        <v>5861</v>
      </c>
      <c r="C545" t="s">
        <v>74</v>
      </c>
      <c r="D545">
        <v>60</v>
      </c>
      <c r="E545" t="s">
        <v>47</v>
      </c>
      <c r="F545" t="s">
        <v>67</v>
      </c>
      <c r="G545" s="1">
        <v>46061</v>
      </c>
      <c r="H545" s="1">
        <v>46044</v>
      </c>
      <c r="I545" t="s">
        <v>5860</v>
      </c>
      <c r="J545" t="s">
        <v>5859</v>
      </c>
      <c r="L545">
        <v>20586.259999999998</v>
      </c>
      <c r="M545" t="s">
        <v>27</v>
      </c>
      <c r="N545">
        <v>521</v>
      </c>
      <c r="O545" t="s">
        <v>34</v>
      </c>
    </row>
    <row r="546" spans="1:15" x14ac:dyDescent="0.3">
      <c r="A546" t="s">
        <v>5858</v>
      </c>
      <c r="B546" t="s">
        <v>5857</v>
      </c>
      <c r="C546" t="s">
        <v>22</v>
      </c>
      <c r="D546">
        <v>68</v>
      </c>
      <c r="E546" t="s">
        <v>47</v>
      </c>
      <c r="F546" t="s">
        <v>20</v>
      </c>
      <c r="G546" s="1">
        <v>46079</v>
      </c>
      <c r="H546" s="1">
        <v>46053</v>
      </c>
      <c r="I546" t="s">
        <v>5856</v>
      </c>
      <c r="J546" t="s">
        <v>5855</v>
      </c>
      <c r="K546" t="s">
        <v>26</v>
      </c>
      <c r="L546">
        <v>2132.8000000000002</v>
      </c>
      <c r="M546" t="s">
        <v>57</v>
      </c>
      <c r="N546">
        <v>365</v>
      </c>
      <c r="O546" t="s">
        <v>77</v>
      </c>
    </row>
    <row r="547" spans="1:15" x14ac:dyDescent="0.3">
      <c r="A547" t="s">
        <v>5854</v>
      </c>
      <c r="B547" t="s">
        <v>5853</v>
      </c>
      <c r="C547" t="s">
        <v>74</v>
      </c>
      <c r="D547">
        <v>30</v>
      </c>
      <c r="E547" t="s">
        <v>54</v>
      </c>
      <c r="F547" t="s">
        <v>38</v>
      </c>
      <c r="G547" s="1">
        <v>45999</v>
      </c>
      <c r="H547" s="1">
        <v>45993</v>
      </c>
      <c r="I547" t="s">
        <v>5852</v>
      </c>
      <c r="J547" t="s">
        <v>5851</v>
      </c>
      <c r="K547" t="s">
        <v>17</v>
      </c>
      <c r="L547">
        <v>14336.69</v>
      </c>
      <c r="M547" t="s">
        <v>26</v>
      </c>
      <c r="N547">
        <v>385</v>
      </c>
      <c r="O547" t="s">
        <v>25</v>
      </c>
    </row>
    <row r="548" spans="1:15" x14ac:dyDescent="0.3">
      <c r="A548" t="s">
        <v>5850</v>
      </c>
      <c r="B548" t="s">
        <v>5849</v>
      </c>
      <c r="C548" t="s">
        <v>123</v>
      </c>
      <c r="D548">
        <v>14</v>
      </c>
      <c r="E548" t="s">
        <v>31</v>
      </c>
      <c r="F548" t="s">
        <v>85</v>
      </c>
      <c r="G548" s="1">
        <v>46146</v>
      </c>
      <c r="H548" s="1">
        <v>46124</v>
      </c>
      <c r="I548" t="s">
        <v>5848</v>
      </c>
      <c r="J548" t="s">
        <v>5847</v>
      </c>
      <c r="L548">
        <v>22094.04</v>
      </c>
      <c r="M548" t="s">
        <v>26</v>
      </c>
      <c r="N548">
        <v>505</v>
      </c>
      <c r="O548" t="s">
        <v>71</v>
      </c>
    </row>
    <row r="549" spans="1:15" x14ac:dyDescent="0.3">
      <c r="A549" t="s">
        <v>5846</v>
      </c>
      <c r="B549" t="s">
        <v>5845</v>
      </c>
      <c r="C549" t="s">
        <v>123</v>
      </c>
      <c r="D549">
        <v>65</v>
      </c>
      <c r="E549" t="s">
        <v>31</v>
      </c>
      <c r="F549" t="s">
        <v>53</v>
      </c>
      <c r="G549" s="1">
        <v>46029</v>
      </c>
      <c r="H549" s="1">
        <v>46012</v>
      </c>
      <c r="I549" t="s">
        <v>5844</v>
      </c>
      <c r="J549" t="s">
        <v>5843</v>
      </c>
      <c r="L549">
        <v>23351.3</v>
      </c>
      <c r="M549" t="s">
        <v>17</v>
      </c>
      <c r="N549">
        <v>381</v>
      </c>
      <c r="O549" t="s">
        <v>43</v>
      </c>
    </row>
    <row r="550" spans="1:15" x14ac:dyDescent="0.3">
      <c r="A550" t="s">
        <v>5842</v>
      </c>
      <c r="B550" t="s">
        <v>5841</v>
      </c>
      <c r="C550" t="s">
        <v>60</v>
      </c>
      <c r="D550">
        <v>53</v>
      </c>
      <c r="E550" t="s">
        <v>54</v>
      </c>
      <c r="F550" t="s">
        <v>67</v>
      </c>
      <c r="G550" s="1">
        <v>46154</v>
      </c>
      <c r="H550" s="1">
        <v>46135</v>
      </c>
      <c r="I550" t="s">
        <v>5840</v>
      </c>
      <c r="J550" t="s">
        <v>5839</v>
      </c>
      <c r="K550" t="s">
        <v>17</v>
      </c>
      <c r="L550">
        <v>14165.99</v>
      </c>
      <c r="M550" t="s">
        <v>57</v>
      </c>
      <c r="N550">
        <v>292</v>
      </c>
      <c r="O550" t="s">
        <v>50</v>
      </c>
    </row>
    <row r="551" spans="1:15" x14ac:dyDescent="0.3">
      <c r="A551" t="s">
        <v>5838</v>
      </c>
      <c r="B551" t="s">
        <v>5837</v>
      </c>
      <c r="C551" t="s">
        <v>22</v>
      </c>
      <c r="D551">
        <v>47</v>
      </c>
      <c r="E551" t="s">
        <v>68</v>
      </c>
      <c r="F551" t="s">
        <v>85</v>
      </c>
      <c r="G551" s="1">
        <v>46164</v>
      </c>
      <c r="H551" s="1">
        <v>46134</v>
      </c>
      <c r="I551" t="s">
        <v>5836</v>
      </c>
      <c r="J551" t="s">
        <v>5835</v>
      </c>
      <c r="L551">
        <v>204.85</v>
      </c>
      <c r="M551" t="s">
        <v>27</v>
      </c>
      <c r="N551">
        <v>245</v>
      </c>
      <c r="O551" t="s">
        <v>34</v>
      </c>
    </row>
    <row r="552" spans="1:15" x14ac:dyDescent="0.3">
      <c r="A552" t="s">
        <v>5834</v>
      </c>
      <c r="B552" t="s">
        <v>5833</v>
      </c>
      <c r="C552" t="s">
        <v>40</v>
      </c>
      <c r="D552">
        <v>67</v>
      </c>
      <c r="E552" t="s">
        <v>39</v>
      </c>
      <c r="F552" t="s">
        <v>30</v>
      </c>
      <c r="G552" s="1">
        <v>45981</v>
      </c>
      <c r="H552" s="1">
        <v>45981</v>
      </c>
      <c r="I552" t="s">
        <v>5832</v>
      </c>
      <c r="J552" t="s">
        <v>5831</v>
      </c>
      <c r="K552" t="s">
        <v>26</v>
      </c>
      <c r="L552">
        <v>24612.98</v>
      </c>
      <c r="M552" t="s">
        <v>57</v>
      </c>
      <c r="N552">
        <v>538</v>
      </c>
      <c r="O552" t="s">
        <v>43</v>
      </c>
    </row>
    <row r="553" spans="1:15" x14ac:dyDescent="0.3">
      <c r="A553" t="s">
        <v>5830</v>
      </c>
      <c r="B553" t="s">
        <v>5829</v>
      </c>
      <c r="C553" t="s">
        <v>40</v>
      </c>
      <c r="D553">
        <v>89</v>
      </c>
      <c r="E553" t="s">
        <v>132</v>
      </c>
      <c r="F553" t="s">
        <v>53</v>
      </c>
      <c r="G553" s="1">
        <v>46080</v>
      </c>
      <c r="H553" s="1">
        <v>46077</v>
      </c>
      <c r="I553" t="s">
        <v>5828</v>
      </c>
      <c r="J553" t="s">
        <v>5827</v>
      </c>
      <c r="K553" t="s">
        <v>27</v>
      </c>
      <c r="L553">
        <v>11617.17</v>
      </c>
      <c r="M553" t="s">
        <v>26</v>
      </c>
      <c r="N553">
        <v>170</v>
      </c>
      <c r="O553" t="s">
        <v>43</v>
      </c>
    </row>
    <row r="554" spans="1:15" x14ac:dyDescent="0.3">
      <c r="A554" t="s">
        <v>5826</v>
      </c>
      <c r="B554" t="s">
        <v>5825</v>
      </c>
      <c r="C554" t="s">
        <v>60</v>
      </c>
      <c r="D554">
        <v>75</v>
      </c>
      <c r="E554" t="s">
        <v>21</v>
      </c>
      <c r="F554" t="s">
        <v>38</v>
      </c>
      <c r="G554" s="1">
        <v>46078</v>
      </c>
      <c r="H554" s="1">
        <v>46070</v>
      </c>
      <c r="I554" t="s">
        <v>5824</v>
      </c>
      <c r="J554" t="s">
        <v>5823</v>
      </c>
      <c r="K554" t="s">
        <v>26</v>
      </c>
      <c r="L554">
        <v>2479.25</v>
      </c>
      <c r="N554">
        <v>391</v>
      </c>
      <c r="O554" t="s">
        <v>71</v>
      </c>
    </row>
    <row r="555" spans="1:15" x14ac:dyDescent="0.3">
      <c r="A555" t="s">
        <v>5822</v>
      </c>
      <c r="B555" t="s">
        <v>5821</v>
      </c>
      <c r="C555" t="s">
        <v>74</v>
      </c>
      <c r="D555">
        <v>42</v>
      </c>
      <c r="E555" t="s">
        <v>68</v>
      </c>
      <c r="F555" t="s">
        <v>53</v>
      </c>
      <c r="G555" s="1">
        <v>46148</v>
      </c>
      <c r="H555" s="1">
        <v>46133</v>
      </c>
      <c r="I555" t="s">
        <v>5820</v>
      </c>
      <c r="J555" t="s">
        <v>5819</v>
      </c>
      <c r="K555" t="s">
        <v>64</v>
      </c>
      <c r="L555">
        <v>14961.73</v>
      </c>
      <c r="M555" t="s">
        <v>63</v>
      </c>
      <c r="N555">
        <v>119</v>
      </c>
      <c r="O555" t="s">
        <v>25</v>
      </c>
    </row>
    <row r="556" spans="1:15" x14ac:dyDescent="0.3">
      <c r="A556" t="s">
        <v>5818</v>
      </c>
      <c r="B556" t="s">
        <v>5817</v>
      </c>
      <c r="C556" t="s">
        <v>123</v>
      </c>
      <c r="D556">
        <v>11</v>
      </c>
      <c r="E556" t="s">
        <v>47</v>
      </c>
      <c r="F556" t="s">
        <v>67</v>
      </c>
      <c r="G556" s="1">
        <v>46129</v>
      </c>
      <c r="H556" s="1">
        <v>46118</v>
      </c>
      <c r="I556" t="s">
        <v>5816</v>
      </c>
      <c r="J556" t="s">
        <v>5815</v>
      </c>
      <c r="L556">
        <v>10529.74</v>
      </c>
      <c r="M556" t="s">
        <v>64</v>
      </c>
      <c r="N556">
        <v>545</v>
      </c>
      <c r="O556" t="s">
        <v>50</v>
      </c>
    </row>
    <row r="557" spans="1:15" x14ac:dyDescent="0.3">
      <c r="A557" t="s">
        <v>5814</v>
      </c>
      <c r="B557" t="s">
        <v>5813</v>
      </c>
      <c r="C557" t="s">
        <v>1</v>
      </c>
      <c r="D557">
        <v>84</v>
      </c>
      <c r="E557" t="s">
        <v>47</v>
      </c>
      <c r="F557" t="s">
        <v>90</v>
      </c>
      <c r="G557" s="1">
        <v>46062</v>
      </c>
      <c r="H557" s="1">
        <v>46061</v>
      </c>
      <c r="I557" t="s">
        <v>5812</v>
      </c>
      <c r="J557" t="s">
        <v>5811</v>
      </c>
      <c r="K557" t="s">
        <v>26</v>
      </c>
      <c r="L557">
        <v>13204.71</v>
      </c>
      <c r="M557" t="s">
        <v>17</v>
      </c>
      <c r="N557">
        <v>376</v>
      </c>
      <c r="O557" t="s">
        <v>34</v>
      </c>
    </row>
    <row r="558" spans="1:15" x14ac:dyDescent="0.3">
      <c r="A558" t="s">
        <v>5810</v>
      </c>
      <c r="B558" t="s">
        <v>5809</v>
      </c>
      <c r="C558" t="s">
        <v>0</v>
      </c>
      <c r="D558">
        <v>42</v>
      </c>
      <c r="E558" t="s">
        <v>21</v>
      </c>
      <c r="F558" t="s">
        <v>53</v>
      </c>
      <c r="G558" s="1">
        <v>46076</v>
      </c>
      <c r="H558" s="1">
        <v>46075</v>
      </c>
      <c r="I558" t="s">
        <v>5808</v>
      </c>
      <c r="J558" t="s">
        <v>5807</v>
      </c>
      <c r="L558">
        <v>24281.8</v>
      </c>
      <c r="M558" t="s">
        <v>64</v>
      </c>
      <c r="N558">
        <v>213</v>
      </c>
      <c r="O558" t="s">
        <v>16</v>
      </c>
    </row>
    <row r="559" spans="1:15" x14ac:dyDescent="0.3">
      <c r="A559" t="s">
        <v>5806</v>
      </c>
      <c r="B559" t="s">
        <v>5805</v>
      </c>
      <c r="C559" t="s">
        <v>22</v>
      </c>
      <c r="D559">
        <v>51</v>
      </c>
      <c r="E559" t="s">
        <v>39</v>
      </c>
      <c r="F559" t="s">
        <v>53</v>
      </c>
      <c r="G559" s="1">
        <v>46108</v>
      </c>
      <c r="H559" s="1">
        <v>46098</v>
      </c>
      <c r="I559" t="s">
        <v>5804</v>
      </c>
      <c r="J559" t="s">
        <v>5803</v>
      </c>
      <c r="K559" t="s">
        <v>64</v>
      </c>
      <c r="L559">
        <v>12001.2</v>
      </c>
      <c r="M559" t="s">
        <v>27</v>
      </c>
      <c r="N559">
        <v>380</v>
      </c>
      <c r="O559" t="s">
        <v>16</v>
      </c>
    </row>
    <row r="560" spans="1:15" x14ac:dyDescent="0.3">
      <c r="A560" t="s">
        <v>5802</v>
      </c>
      <c r="B560" t="s">
        <v>5801</v>
      </c>
      <c r="C560" t="s">
        <v>22</v>
      </c>
      <c r="D560">
        <v>11</v>
      </c>
      <c r="E560" t="s">
        <v>54</v>
      </c>
      <c r="F560" t="s">
        <v>90</v>
      </c>
      <c r="G560" s="1">
        <v>46106</v>
      </c>
      <c r="H560" s="1">
        <v>46082</v>
      </c>
      <c r="I560" t="s">
        <v>5800</v>
      </c>
      <c r="J560" t="s">
        <v>5799</v>
      </c>
      <c r="K560" t="s">
        <v>35</v>
      </c>
      <c r="L560">
        <v>19098.419999999998</v>
      </c>
      <c r="N560">
        <v>386</v>
      </c>
      <c r="O560" t="s">
        <v>71</v>
      </c>
    </row>
    <row r="561" spans="1:15" x14ac:dyDescent="0.3">
      <c r="A561" t="s">
        <v>5798</v>
      </c>
      <c r="B561" t="s">
        <v>5797</v>
      </c>
      <c r="D561">
        <v>51</v>
      </c>
      <c r="E561" t="s">
        <v>21</v>
      </c>
      <c r="F561" t="s">
        <v>38</v>
      </c>
      <c r="G561" s="1">
        <v>46028</v>
      </c>
      <c r="H561" s="1">
        <v>46021</v>
      </c>
      <c r="I561" t="s">
        <v>5796</v>
      </c>
      <c r="J561" t="s">
        <v>5795</v>
      </c>
      <c r="K561" t="s">
        <v>64</v>
      </c>
      <c r="L561">
        <v>6803.18</v>
      </c>
      <c r="N561">
        <v>265</v>
      </c>
      <c r="O561" t="s">
        <v>25</v>
      </c>
    </row>
    <row r="562" spans="1:15" x14ac:dyDescent="0.3">
      <c r="A562" t="s">
        <v>5794</v>
      </c>
      <c r="B562" t="s">
        <v>5793</v>
      </c>
      <c r="C562" t="s">
        <v>74</v>
      </c>
      <c r="D562">
        <v>15</v>
      </c>
      <c r="E562" t="s">
        <v>54</v>
      </c>
      <c r="F562" t="s">
        <v>90</v>
      </c>
      <c r="G562" s="1">
        <v>46102</v>
      </c>
      <c r="H562" s="1">
        <v>46091</v>
      </c>
      <c r="I562" t="s">
        <v>5792</v>
      </c>
      <c r="J562" t="s">
        <v>5791</v>
      </c>
      <c r="K562" t="s">
        <v>57</v>
      </c>
      <c r="L562">
        <v>4924.1499999999996</v>
      </c>
      <c r="M562" t="s">
        <v>17</v>
      </c>
      <c r="N562">
        <v>404</v>
      </c>
      <c r="O562" t="s">
        <v>25</v>
      </c>
    </row>
    <row r="563" spans="1:15" x14ac:dyDescent="0.3">
      <c r="A563" t="s">
        <v>5790</v>
      </c>
      <c r="B563" t="s">
        <v>5789</v>
      </c>
      <c r="C563" t="s">
        <v>40</v>
      </c>
      <c r="D563">
        <v>40</v>
      </c>
      <c r="E563" t="s">
        <v>39</v>
      </c>
      <c r="F563" t="s">
        <v>67</v>
      </c>
      <c r="G563" s="1">
        <v>46165</v>
      </c>
      <c r="H563" s="1">
        <v>46146</v>
      </c>
      <c r="I563" t="s">
        <v>5788</v>
      </c>
      <c r="J563" t="s">
        <v>5787</v>
      </c>
      <c r="L563">
        <v>15654.92</v>
      </c>
      <c r="N563">
        <v>122</v>
      </c>
      <c r="O563" t="s">
        <v>50</v>
      </c>
    </row>
    <row r="564" spans="1:15" x14ac:dyDescent="0.3">
      <c r="A564" t="s">
        <v>5786</v>
      </c>
      <c r="B564" t="s">
        <v>5785</v>
      </c>
      <c r="C564" t="s">
        <v>1</v>
      </c>
      <c r="D564">
        <v>26</v>
      </c>
      <c r="E564" t="s">
        <v>31</v>
      </c>
      <c r="F564" t="s">
        <v>53</v>
      </c>
      <c r="G564" s="1">
        <v>46120</v>
      </c>
      <c r="H564" s="1">
        <v>46096</v>
      </c>
      <c r="I564" t="s">
        <v>5784</v>
      </c>
      <c r="J564" t="s">
        <v>5783</v>
      </c>
      <c r="K564" t="s">
        <v>64</v>
      </c>
      <c r="L564">
        <v>2986.82</v>
      </c>
      <c r="M564" t="s">
        <v>27</v>
      </c>
      <c r="N564">
        <v>224</v>
      </c>
      <c r="O564" t="s">
        <v>34</v>
      </c>
    </row>
    <row r="565" spans="1:15" x14ac:dyDescent="0.3">
      <c r="A565" t="s">
        <v>5782</v>
      </c>
      <c r="B565" t="s">
        <v>5781</v>
      </c>
      <c r="C565" t="s">
        <v>0</v>
      </c>
      <c r="D565">
        <v>37</v>
      </c>
      <c r="E565" t="s">
        <v>47</v>
      </c>
      <c r="F565" t="s">
        <v>67</v>
      </c>
      <c r="G565" s="1">
        <v>46099</v>
      </c>
      <c r="H565" s="1">
        <v>46077</v>
      </c>
      <c r="I565" t="s">
        <v>5780</v>
      </c>
      <c r="J565" t="s">
        <v>5779</v>
      </c>
      <c r="K565" t="s">
        <v>64</v>
      </c>
      <c r="L565">
        <v>7766.93</v>
      </c>
      <c r="N565">
        <v>111</v>
      </c>
      <c r="O565" t="s">
        <v>43</v>
      </c>
    </row>
    <row r="566" spans="1:15" x14ac:dyDescent="0.3">
      <c r="A566" t="s">
        <v>5778</v>
      </c>
      <c r="B566" t="s">
        <v>5777</v>
      </c>
      <c r="C566" t="s">
        <v>1</v>
      </c>
      <c r="D566">
        <v>69</v>
      </c>
      <c r="E566" t="s">
        <v>21</v>
      </c>
      <c r="F566" t="s">
        <v>38</v>
      </c>
      <c r="G566" s="1">
        <v>46029</v>
      </c>
      <c r="H566" s="1">
        <v>46012</v>
      </c>
      <c r="I566" t="s">
        <v>5776</v>
      </c>
      <c r="J566" t="s">
        <v>5775</v>
      </c>
      <c r="K566" t="s">
        <v>26</v>
      </c>
      <c r="L566">
        <v>13810.24</v>
      </c>
      <c r="M566" t="s">
        <v>26</v>
      </c>
      <c r="N566">
        <v>455</v>
      </c>
      <c r="O566" t="s">
        <v>25</v>
      </c>
    </row>
    <row r="567" spans="1:15" x14ac:dyDescent="0.3">
      <c r="A567" t="s">
        <v>5774</v>
      </c>
      <c r="B567" t="s">
        <v>5773</v>
      </c>
      <c r="C567" t="s">
        <v>40</v>
      </c>
      <c r="D567">
        <v>-5</v>
      </c>
      <c r="E567" t="s">
        <v>47</v>
      </c>
      <c r="F567" t="s">
        <v>30</v>
      </c>
      <c r="G567" s="1">
        <v>46141</v>
      </c>
      <c r="H567" s="1">
        <v>46136</v>
      </c>
      <c r="I567" t="s">
        <v>5772</v>
      </c>
      <c r="K567" t="s">
        <v>27</v>
      </c>
      <c r="L567">
        <v>7243.54</v>
      </c>
      <c r="M567" t="s">
        <v>63</v>
      </c>
      <c r="N567">
        <v>127</v>
      </c>
      <c r="O567" t="s">
        <v>16</v>
      </c>
    </row>
    <row r="568" spans="1:15" x14ac:dyDescent="0.3">
      <c r="A568" t="s">
        <v>5771</v>
      </c>
      <c r="B568" t="s">
        <v>5770</v>
      </c>
      <c r="C568" t="s">
        <v>40</v>
      </c>
      <c r="D568">
        <v>9</v>
      </c>
      <c r="E568" t="s">
        <v>54</v>
      </c>
      <c r="F568" t="s">
        <v>30</v>
      </c>
      <c r="G568" s="1">
        <v>46118</v>
      </c>
      <c r="H568" s="1">
        <v>46097</v>
      </c>
      <c r="I568" t="s">
        <v>5769</v>
      </c>
      <c r="J568" t="s">
        <v>5768</v>
      </c>
      <c r="K568" t="s">
        <v>57</v>
      </c>
      <c r="L568">
        <v>21634.2</v>
      </c>
      <c r="M568" t="s">
        <v>27</v>
      </c>
      <c r="N568">
        <v>249</v>
      </c>
      <c r="O568" t="s">
        <v>50</v>
      </c>
    </row>
    <row r="569" spans="1:15" x14ac:dyDescent="0.3">
      <c r="A569" t="s">
        <v>5767</v>
      </c>
      <c r="B569" t="s">
        <v>5766</v>
      </c>
      <c r="C569" t="s">
        <v>123</v>
      </c>
      <c r="D569">
        <v>30</v>
      </c>
      <c r="E569" t="s">
        <v>54</v>
      </c>
      <c r="F569" t="s">
        <v>20</v>
      </c>
      <c r="G569" s="1">
        <v>46061</v>
      </c>
      <c r="H569" s="1">
        <v>46033</v>
      </c>
      <c r="I569" t="s">
        <v>5765</v>
      </c>
      <c r="J569" t="s">
        <v>5764</v>
      </c>
      <c r="K569" t="s">
        <v>57</v>
      </c>
      <c r="L569">
        <v>12219.62</v>
      </c>
      <c r="M569" t="s">
        <v>64</v>
      </c>
      <c r="N569">
        <v>195</v>
      </c>
      <c r="O569" t="s">
        <v>71</v>
      </c>
    </row>
    <row r="570" spans="1:15" x14ac:dyDescent="0.3">
      <c r="A570" t="s">
        <v>5763</v>
      </c>
      <c r="B570" t="s">
        <v>5762</v>
      </c>
      <c r="D570">
        <v>72</v>
      </c>
      <c r="E570" t="s">
        <v>47</v>
      </c>
      <c r="F570" t="s">
        <v>46</v>
      </c>
      <c r="G570" s="1">
        <v>46113</v>
      </c>
      <c r="H570" s="1">
        <v>46106</v>
      </c>
      <c r="I570" t="s">
        <v>5761</v>
      </c>
      <c r="J570" t="s">
        <v>5760</v>
      </c>
      <c r="K570" t="s">
        <v>26</v>
      </c>
      <c r="L570">
        <v>8472.5300000000007</v>
      </c>
      <c r="N570">
        <v>481</v>
      </c>
      <c r="O570" t="s">
        <v>71</v>
      </c>
    </row>
    <row r="571" spans="1:15" x14ac:dyDescent="0.3">
      <c r="A571" t="s">
        <v>5759</v>
      </c>
      <c r="B571" t="s">
        <v>5758</v>
      </c>
      <c r="C571" t="s">
        <v>40</v>
      </c>
      <c r="D571">
        <v>45</v>
      </c>
      <c r="E571" t="s">
        <v>31</v>
      </c>
      <c r="F571" t="s">
        <v>67</v>
      </c>
      <c r="G571" s="1">
        <v>46169</v>
      </c>
      <c r="H571" s="1">
        <v>46149</v>
      </c>
      <c r="I571" t="s">
        <v>5757</v>
      </c>
      <c r="J571" t="s">
        <v>5756</v>
      </c>
      <c r="K571" t="s">
        <v>26</v>
      </c>
      <c r="L571">
        <v>6057.88</v>
      </c>
      <c r="M571" t="s">
        <v>63</v>
      </c>
      <c r="N571">
        <v>515</v>
      </c>
      <c r="O571" t="s">
        <v>77</v>
      </c>
    </row>
    <row r="572" spans="1:15" x14ac:dyDescent="0.3">
      <c r="A572" t="s">
        <v>5755</v>
      </c>
      <c r="B572" t="s">
        <v>5754</v>
      </c>
      <c r="C572" t="s">
        <v>22</v>
      </c>
      <c r="D572">
        <v>50</v>
      </c>
      <c r="E572" t="s">
        <v>47</v>
      </c>
      <c r="F572" t="s">
        <v>30</v>
      </c>
      <c r="G572" s="1">
        <v>46030</v>
      </c>
      <c r="H572" s="1">
        <v>46023</v>
      </c>
      <c r="I572" t="s">
        <v>5753</v>
      </c>
      <c r="J572" t="s">
        <v>5752</v>
      </c>
      <c r="K572" t="s">
        <v>35</v>
      </c>
      <c r="L572">
        <v>8676.2999999999993</v>
      </c>
      <c r="N572">
        <v>436</v>
      </c>
      <c r="O572" t="s">
        <v>71</v>
      </c>
    </row>
    <row r="573" spans="1:15" x14ac:dyDescent="0.3">
      <c r="A573" t="s">
        <v>5751</v>
      </c>
      <c r="B573" t="s">
        <v>5750</v>
      </c>
      <c r="C573" t="s">
        <v>74</v>
      </c>
      <c r="D573">
        <v>49</v>
      </c>
      <c r="E573" t="s">
        <v>21</v>
      </c>
      <c r="F573" t="s">
        <v>90</v>
      </c>
      <c r="G573" s="1">
        <v>46038</v>
      </c>
      <c r="H573" s="1">
        <v>46031</v>
      </c>
      <c r="I573" t="s">
        <v>5749</v>
      </c>
      <c r="J573" t="s">
        <v>5748</v>
      </c>
      <c r="K573" t="s">
        <v>35</v>
      </c>
      <c r="L573">
        <v>10776.33</v>
      </c>
      <c r="M573" t="s">
        <v>63</v>
      </c>
      <c r="N573">
        <v>409</v>
      </c>
      <c r="O573" t="s">
        <v>43</v>
      </c>
    </row>
    <row r="574" spans="1:15" x14ac:dyDescent="0.3">
      <c r="A574" t="s">
        <v>5747</v>
      </c>
      <c r="B574" t="s">
        <v>5746</v>
      </c>
      <c r="D574">
        <v>70</v>
      </c>
      <c r="E574" t="s">
        <v>39</v>
      </c>
      <c r="F574" t="s">
        <v>38</v>
      </c>
      <c r="G574" s="1">
        <v>46139</v>
      </c>
      <c r="H574" s="1">
        <v>46119</v>
      </c>
      <c r="I574" t="s">
        <v>5745</v>
      </c>
      <c r="J574" t="s">
        <v>5744</v>
      </c>
      <c r="K574" t="s">
        <v>35</v>
      </c>
      <c r="L574">
        <v>14609.56</v>
      </c>
      <c r="M574" t="s">
        <v>57</v>
      </c>
      <c r="N574">
        <v>541</v>
      </c>
      <c r="O574" t="s">
        <v>71</v>
      </c>
    </row>
    <row r="575" spans="1:15" x14ac:dyDescent="0.3">
      <c r="A575" t="s">
        <v>5743</v>
      </c>
      <c r="B575" t="s">
        <v>5742</v>
      </c>
      <c r="C575" t="s">
        <v>22</v>
      </c>
      <c r="D575">
        <v>89</v>
      </c>
      <c r="E575" t="s">
        <v>39</v>
      </c>
      <c r="F575" t="s">
        <v>90</v>
      </c>
      <c r="G575" s="1">
        <v>46141</v>
      </c>
      <c r="H575" s="1">
        <v>46112</v>
      </c>
      <c r="I575" t="s">
        <v>5741</v>
      </c>
      <c r="J575" t="s">
        <v>5740</v>
      </c>
      <c r="K575" t="s">
        <v>35</v>
      </c>
      <c r="L575">
        <v>16474.55</v>
      </c>
      <c r="M575" t="s">
        <v>26</v>
      </c>
      <c r="N575">
        <v>262</v>
      </c>
      <c r="O575" t="s">
        <v>77</v>
      </c>
    </row>
    <row r="576" spans="1:15" x14ac:dyDescent="0.3">
      <c r="A576" t="s">
        <v>5739</v>
      </c>
      <c r="B576" t="s">
        <v>5738</v>
      </c>
      <c r="C576" t="s">
        <v>74</v>
      </c>
      <c r="D576">
        <v>24</v>
      </c>
      <c r="E576" t="s">
        <v>31</v>
      </c>
      <c r="F576" t="s">
        <v>53</v>
      </c>
      <c r="G576" s="1">
        <v>46065</v>
      </c>
      <c r="H576" s="1">
        <v>46042</v>
      </c>
      <c r="I576" t="s">
        <v>5737</v>
      </c>
      <c r="J576" t="s">
        <v>5736</v>
      </c>
      <c r="K576" t="s">
        <v>27</v>
      </c>
      <c r="L576">
        <v>19182.79</v>
      </c>
      <c r="N576">
        <v>310</v>
      </c>
      <c r="O576" t="s">
        <v>43</v>
      </c>
    </row>
    <row r="577" spans="1:15" x14ac:dyDescent="0.3">
      <c r="A577" t="s">
        <v>5735</v>
      </c>
      <c r="B577" t="s">
        <v>5734</v>
      </c>
      <c r="D577">
        <v>82</v>
      </c>
      <c r="E577" t="s">
        <v>132</v>
      </c>
      <c r="F577" t="s">
        <v>53</v>
      </c>
      <c r="G577" s="1">
        <v>46053</v>
      </c>
      <c r="H577" s="1">
        <v>46029</v>
      </c>
      <c r="I577" t="s">
        <v>5733</v>
      </c>
      <c r="J577" t="s">
        <v>5732</v>
      </c>
      <c r="K577" t="s">
        <v>17</v>
      </c>
      <c r="L577">
        <v>2847.93</v>
      </c>
      <c r="M577" t="s">
        <v>26</v>
      </c>
      <c r="N577">
        <v>113</v>
      </c>
      <c r="O577" t="s">
        <v>50</v>
      </c>
    </row>
    <row r="578" spans="1:15" x14ac:dyDescent="0.3">
      <c r="A578" t="s">
        <v>5731</v>
      </c>
      <c r="B578" t="s">
        <v>5730</v>
      </c>
      <c r="C578" t="s">
        <v>22</v>
      </c>
      <c r="D578">
        <v>78</v>
      </c>
      <c r="E578" t="s">
        <v>21</v>
      </c>
      <c r="F578" t="s">
        <v>38</v>
      </c>
      <c r="G578" s="1">
        <v>46072</v>
      </c>
      <c r="H578" s="1">
        <v>46065</v>
      </c>
      <c r="I578" t="s">
        <v>5729</v>
      </c>
      <c r="J578" t="s">
        <v>5728</v>
      </c>
      <c r="K578" t="s">
        <v>27</v>
      </c>
      <c r="L578">
        <v>9109.68</v>
      </c>
      <c r="N578">
        <v>168</v>
      </c>
      <c r="O578" t="s">
        <v>34</v>
      </c>
    </row>
    <row r="579" spans="1:15" x14ac:dyDescent="0.3">
      <c r="A579" t="s">
        <v>5727</v>
      </c>
      <c r="B579" t="s">
        <v>5726</v>
      </c>
      <c r="D579">
        <v>84</v>
      </c>
      <c r="E579" t="s">
        <v>31</v>
      </c>
      <c r="F579" t="s">
        <v>53</v>
      </c>
      <c r="G579" s="1">
        <v>46102</v>
      </c>
      <c r="H579" s="1">
        <v>46075</v>
      </c>
      <c r="I579" t="s">
        <v>5725</v>
      </c>
      <c r="J579" t="s">
        <v>5724</v>
      </c>
      <c r="L579">
        <v>12387.85</v>
      </c>
      <c r="M579" t="s">
        <v>26</v>
      </c>
      <c r="N579">
        <v>183</v>
      </c>
      <c r="O579" t="s">
        <v>71</v>
      </c>
    </row>
    <row r="580" spans="1:15" x14ac:dyDescent="0.3">
      <c r="A580" t="s">
        <v>5723</v>
      </c>
      <c r="B580" t="s">
        <v>5722</v>
      </c>
      <c r="C580" t="s">
        <v>1</v>
      </c>
      <c r="D580">
        <v>5</v>
      </c>
      <c r="E580" t="s">
        <v>54</v>
      </c>
      <c r="F580" t="s">
        <v>46</v>
      </c>
      <c r="G580" s="1">
        <v>46021</v>
      </c>
      <c r="H580" s="1">
        <v>45992</v>
      </c>
      <c r="I580" t="s">
        <v>5721</v>
      </c>
      <c r="J580" t="s">
        <v>5720</v>
      </c>
      <c r="K580" t="s">
        <v>26</v>
      </c>
      <c r="L580">
        <v>23764.91</v>
      </c>
      <c r="M580" t="s">
        <v>57</v>
      </c>
      <c r="N580">
        <v>480</v>
      </c>
      <c r="O580" t="s">
        <v>25</v>
      </c>
    </row>
    <row r="581" spans="1:15" x14ac:dyDescent="0.3">
      <c r="A581" t="s">
        <v>5719</v>
      </c>
      <c r="B581" t="s">
        <v>5718</v>
      </c>
      <c r="C581" t="s">
        <v>1</v>
      </c>
      <c r="D581">
        <v>27</v>
      </c>
      <c r="E581" t="s">
        <v>80</v>
      </c>
      <c r="F581" t="s">
        <v>53</v>
      </c>
      <c r="G581" s="1">
        <v>46164</v>
      </c>
      <c r="H581" s="1">
        <v>46135</v>
      </c>
      <c r="I581" t="s">
        <v>5717</v>
      </c>
      <c r="J581" t="s">
        <v>5716</v>
      </c>
      <c r="L581">
        <v>21704.799999999999</v>
      </c>
      <c r="N581">
        <v>452</v>
      </c>
      <c r="O581" t="s">
        <v>43</v>
      </c>
    </row>
    <row r="582" spans="1:15" x14ac:dyDescent="0.3">
      <c r="A582" t="s">
        <v>5715</v>
      </c>
      <c r="B582" t="s">
        <v>5714</v>
      </c>
      <c r="D582">
        <v>32</v>
      </c>
      <c r="E582" t="s">
        <v>54</v>
      </c>
      <c r="F582" t="s">
        <v>90</v>
      </c>
      <c r="G582" s="1">
        <v>46037</v>
      </c>
      <c r="H582" s="1">
        <v>46013</v>
      </c>
      <c r="I582" t="s">
        <v>5713</v>
      </c>
      <c r="J582" t="s">
        <v>5712</v>
      </c>
      <c r="K582" t="s">
        <v>27</v>
      </c>
      <c r="L582">
        <v>15276.66</v>
      </c>
      <c r="N582">
        <v>468</v>
      </c>
      <c r="O582" t="s">
        <v>43</v>
      </c>
    </row>
    <row r="583" spans="1:15" x14ac:dyDescent="0.3">
      <c r="A583" t="s">
        <v>5711</v>
      </c>
      <c r="B583" t="s">
        <v>5710</v>
      </c>
      <c r="C583" t="s">
        <v>123</v>
      </c>
      <c r="D583">
        <v>79</v>
      </c>
      <c r="E583" t="s">
        <v>47</v>
      </c>
      <c r="F583" t="s">
        <v>20</v>
      </c>
      <c r="G583" s="1">
        <v>46000</v>
      </c>
      <c r="H583" s="1">
        <v>45986</v>
      </c>
      <c r="I583" t="s">
        <v>5709</v>
      </c>
      <c r="J583" t="s">
        <v>5708</v>
      </c>
      <c r="L583">
        <v>20709.849999999999</v>
      </c>
      <c r="M583" t="s">
        <v>27</v>
      </c>
      <c r="N583">
        <v>549</v>
      </c>
      <c r="O583" t="s">
        <v>71</v>
      </c>
    </row>
    <row r="584" spans="1:15" x14ac:dyDescent="0.3">
      <c r="A584" t="s">
        <v>5707</v>
      </c>
      <c r="B584" t="s">
        <v>5706</v>
      </c>
      <c r="C584" t="s">
        <v>123</v>
      </c>
      <c r="D584">
        <v>6</v>
      </c>
      <c r="E584" t="s">
        <v>54</v>
      </c>
      <c r="F584" t="s">
        <v>46</v>
      </c>
      <c r="G584" s="1">
        <v>46037</v>
      </c>
      <c r="H584" s="1">
        <v>46031</v>
      </c>
      <c r="I584" t="s">
        <v>5705</v>
      </c>
      <c r="J584" t="s">
        <v>5704</v>
      </c>
      <c r="K584" t="s">
        <v>26</v>
      </c>
      <c r="L584">
        <v>11100.94</v>
      </c>
      <c r="M584" t="s">
        <v>63</v>
      </c>
      <c r="N584">
        <v>496</v>
      </c>
      <c r="O584" t="s">
        <v>50</v>
      </c>
    </row>
    <row r="585" spans="1:15" x14ac:dyDescent="0.3">
      <c r="A585" t="s">
        <v>5703</v>
      </c>
      <c r="B585" t="s">
        <v>5702</v>
      </c>
      <c r="C585" t="s">
        <v>22</v>
      </c>
      <c r="D585">
        <v>60</v>
      </c>
      <c r="E585" t="s">
        <v>39</v>
      </c>
      <c r="F585" t="s">
        <v>90</v>
      </c>
      <c r="G585" s="1">
        <v>46035</v>
      </c>
      <c r="H585" s="1">
        <v>46026</v>
      </c>
      <c r="I585" t="s">
        <v>5701</v>
      </c>
      <c r="J585" t="s">
        <v>5700</v>
      </c>
      <c r="K585" t="s">
        <v>27</v>
      </c>
      <c r="L585">
        <v>17310.830000000002</v>
      </c>
      <c r="M585" t="s">
        <v>26</v>
      </c>
      <c r="N585">
        <v>337</v>
      </c>
      <c r="O585" t="s">
        <v>50</v>
      </c>
    </row>
    <row r="586" spans="1:15" x14ac:dyDescent="0.3">
      <c r="A586" t="s">
        <v>5699</v>
      </c>
      <c r="B586" t="s">
        <v>5698</v>
      </c>
      <c r="D586">
        <v>12</v>
      </c>
      <c r="E586" t="s">
        <v>80</v>
      </c>
      <c r="F586" t="s">
        <v>53</v>
      </c>
      <c r="G586" s="1">
        <v>46145</v>
      </c>
      <c r="H586" s="1">
        <v>46121</v>
      </c>
      <c r="I586" t="s">
        <v>5697</v>
      </c>
      <c r="J586" t="s">
        <v>5696</v>
      </c>
      <c r="K586" t="s">
        <v>35</v>
      </c>
      <c r="L586">
        <v>9948.0499999999993</v>
      </c>
      <c r="M586" t="s">
        <v>17</v>
      </c>
      <c r="N586">
        <v>330</v>
      </c>
      <c r="O586" t="s">
        <v>77</v>
      </c>
    </row>
    <row r="587" spans="1:15" x14ac:dyDescent="0.3">
      <c r="A587" t="s">
        <v>5695</v>
      </c>
      <c r="B587" t="s">
        <v>5694</v>
      </c>
      <c r="C587" t="s">
        <v>0</v>
      </c>
      <c r="D587">
        <v>59</v>
      </c>
      <c r="E587" t="s">
        <v>21</v>
      </c>
      <c r="F587" t="s">
        <v>85</v>
      </c>
      <c r="G587" s="1">
        <v>45985</v>
      </c>
      <c r="H587" s="1">
        <v>45983</v>
      </c>
      <c r="I587" t="s">
        <v>510</v>
      </c>
      <c r="J587" t="s">
        <v>5693</v>
      </c>
      <c r="K587" t="s">
        <v>26</v>
      </c>
      <c r="L587">
        <v>8237.0499999999993</v>
      </c>
      <c r="M587" t="s">
        <v>26</v>
      </c>
      <c r="N587">
        <v>467</v>
      </c>
      <c r="O587" t="s">
        <v>25</v>
      </c>
    </row>
    <row r="588" spans="1:15" x14ac:dyDescent="0.3">
      <c r="A588" t="s">
        <v>5692</v>
      </c>
      <c r="B588" t="s">
        <v>5691</v>
      </c>
      <c r="C588" t="s">
        <v>74</v>
      </c>
      <c r="D588">
        <v>12</v>
      </c>
      <c r="E588" t="s">
        <v>80</v>
      </c>
      <c r="F588" t="s">
        <v>85</v>
      </c>
      <c r="G588" s="1">
        <v>46082</v>
      </c>
      <c r="H588" s="1">
        <v>46062</v>
      </c>
      <c r="I588" t="s">
        <v>5690</v>
      </c>
      <c r="J588" t="s">
        <v>5689</v>
      </c>
      <c r="K588" t="s">
        <v>57</v>
      </c>
      <c r="L588">
        <v>2315.6</v>
      </c>
      <c r="N588">
        <v>472</v>
      </c>
      <c r="O588" t="s">
        <v>50</v>
      </c>
    </row>
    <row r="589" spans="1:15" x14ac:dyDescent="0.3">
      <c r="A589" t="s">
        <v>5688</v>
      </c>
      <c r="B589" t="s">
        <v>5687</v>
      </c>
      <c r="C589" t="s">
        <v>0</v>
      </c>
      <c r="D589">
        <v>49</v>
      </c>
      <c r="E589" t="s">
        <v>54</v>
      </c>
      <c r="F589" t="s">
        <v>46</v>
      </c>
      <c r="G589" s="1">
        <v>46090</v>
      </c>
      <c r="H589" s="1">
        <v>46066</v>
      </c>
      <c r="I589" t="s">
        <v>5686</v>
      </c>
      <c r="J589" t="s">
        <v>5685</v>
      </c>
      <c r="K589" t="s">
        <v>35</v>
      </c>
      <c r="L589">
        <v>22823.87</v>
      </c>
      <c r="M589" t="s">
        <v>26</v>
      </c>
      <c r="N589">
        <v>183</v>
      </c>
      <c r="O589" t="s">
        <v>50</v>
      </c>
    </row>
    <row r="590" spans="1:15" x14ac:dyDescent="0.3">
      <c r="A590" t="s">
        <v>5684</v>
      </c>
      <c r="B590" t="s">
        <v>5683</v>
      </c>
      <c r="C590" t="s">
        <v>0</v>
      </c>
      <c r="D590">
        <v>23</v>
      </c>
      <c r="E590" t="s">
        <v>47</v>
      </c>
      <c r="F590" t="s">
        <v>90</v>
      </c>
      <c r="G590" s="1">
        <v>46090</v>
      </c>
      <c r="H590" s="1">
        <v>46081</v>
      </c>
      <c r="I590" t="s">
        <v>5682</v>
      </c>
      <c r="J590" t="s">
        <v>5681</v>
      </c>
      <c r="K590" t="s">
        <v>26</v>
      </c>
      <c r="L590">
        <v>18308.009999999998</v>
      </c>
      <c r="N590">
        <v>247</v>
      </c>
      <c r="O590" t="s">
        <v>25</v>
      </c>
    </row>
    <row r="591" spans="1:15" x14ac:dyDescent="0.3">
      <c r="A591" t="s">
        <v>5680</v>
      </c>
      <c r="B591" t="s">
        <v>5679</v>
      </c>
      <c r="C591" t="s">
        <v>0</v>
      </c>
      <c r="D591">
        <v>16</v>
      </c>
      <c r="E591" t="s">
        <v>39</v>
      </c>
      <c r="F591" t="s">
        <v>38</v>
      </c>
      <c r="G591" s="1">
        <v>46024</v>
      </c>
      <c r="H591" s="1">
        <v>46024</v>
      </c>
      <c r="I591" t="s">
        <v>5678</v>
      </c>
      <c r="J591" t="s">
        <v>5677</v>
      </c>
      <c r="K591" t="s">
        <v>26</v>
      </c>
      <c r="L591">
        <v>502.75</v>
      </c>
      <c r="N591">
        <v>537</v>
      </c>
      <c r="O591" t="s">
        <v>16</v>
      </c>
    </row>
    <row r="592" spans="1:15" x14ac:dyDescent="0.3">
      <c r="A592" t="s">
        <v>5676</v>
      </c>
      <c r="B592" t="s">
        <v>5675</v>
      </c>
      <c r="C592" t="s">
        <v>40</v>
      </c>
      <c r="D592">
        <v>78</v>
      </c>
      <c r="E592" t="s">
        <v>68</v>
      </c>
      <c r="F592" t="s">
        <v>38</v>
      </c>
      <c r="G592" s="1">
        <v>46112</v>
      </c>
      <c r="H592" s="1">
        <v>46106</v>
      </c>
      <c r="I592" t="s">
        <v>5674</v>
      </c>
      <c r="J592" t="s">
        <v>5673</v>
      </c>
      <c r="L592">
        <v>11452.71</v>
      </c>
      <c r="N592">
        <v>140</v>
      </c>
      <c r="O592" t="s">
        <v>34</v>
      </c>
    </row>
    <row r="593" spans="1:15" x14ac:dyDescent="0.3">
      <c r="A593" t="s">
        <v>5672</v>
      </c>
      <c r="B593" t="s">
        <v>5671</v>
      </c>
      <c r="C593" t="s">
        <v>40</v>
      </c>
      <c r="D593">
        <v>32</v>
      </c>
      <c r="E593" t="s">
        <v>132</v>
      </c>
      <c r="F593" t="s">
        <v>38</v>
      </c>
      <c r="G593" s="1">
        <v>45982</v>
      </c>
      <c r="H593" s="1">
        <v>45981</v>
      </c>
      <c r="I593" t="s">
        <v>5670</v>
      </c>
      <c r="J593" t="s">
        <v>5669</v>
      </c>
      <c r="K593" t="s">
        <v>35</v>
      </c>
      <c r="L593">
        <v>3876.75</v>
      </c>
      <c r="M593" t="s">
        <v>17</v>
      </c>
      <c r="N593">
        <v>118</v>
      </c>
      <c r="O593" t="s">
        <v>71</v>
      </c>
    </row>
    <row r="594" spans="1:15" x14ac:dyDescent="0.3">
      <c r="A594" t="s">
        <v>5668</v>
      </c>
      <c r="B594" t="s">
        <v>5667</v>
      </c>
      <c r="C594" t="s">
        <v>40</v>
      </c>
      <c r="D594">
        <v>86</v>
      </c>
      <c r="E594" t="s">
        <v>132</v>
      </c>
      <c r="F594" t="s">
        <v>67</v>
      </c>
      <c r="G594" s="1">
        <v>46043</v>
      </c>
      <c r="H594" s="1">
        <v>46014</v>
      </c>
      <c r="I594" t="s">
        <v>5666</v>
      </c>
      <c r="J594" t="s">
        <v>5665</v>
      </c>
      <c r="K594" t="s">
        <v>64</v>
      </c>
      <c r="L594">
        <v>1415.98</v>
      </c>
      <c r="N594">
        <v>191</v>
      </c>
      <c r="O594" t="s">
        <v>71</v>
      </c>
    </row>
    <row r="595" spans="1:15" x14ac:dyDescent="0.3">
      <c r="A595" t="s">
        <v>5664</v>
      </c>
      <c r="B595" t="s">
        <v>5663</v>
      </c>
      <c r="C595" t="s">
        <v>22</v>
      </c>
      <c r="D595">
        <v>79</v>
      </c>
      <c r="E595" t="s">
        <v>39</v>
      </c>
      <c r="F595" t="s">
        <v>85</v>
      </c>
      <c r="G595" s="1">
        <v>46125</v>
      </c>
      <c r="H595" s="1">
        <v>46102</v>
      </c>
      <c r="I595" t="s">
        <v>5662</v>
      </c>
      <c r="J595" t="s">
        <v>5661</v>
      </c>
      <c r="K595" t="s">
        <v>57</v>
      </c>
      <c r="L595">
        <v>23300.7</v>
      </c>
      <c r="M595" t="s">
        <v>64</v>
      </c>
      <c r="N595">
        <v>493</v>
      </c>
      <c r="O595" t="s">
        <v>43</v>
      </c>
    </row>
    <row r="596" spans="1:15" x14ac:dyDescent="0.3">
      <c r="A596" t="s">
        <v>5660</v>
      </c>
      <c r="B596" t="s">
        <v>5659</v>
      </c>
      <c r="C596" t="s">
        <v>60</v>
      </c>
      <c r="D596">
        <v>48</v>
      </c>
      <c r="E596" t="s">
        <v>54</v>
      </c>
      <c r="F596" t="s">
        <v>20</v>
      </c>
      <c r="G596" s="1">
        <v>46033</v>
      </c>
      <c r="H596" s="1">
        <v>46009</v>
      </c>
      <c r="I596" t="s">
        <v>5658</v>
      </c>
      <c r="J596" t="s">
        <v>5657</v>
      </c>
      <c r="L596">
        <v>21114.080000000002</v>
      </c>
      <c r="M596" t="s">
        <v>64</v>
      </c>
      <c r="N596">
        <v>249</v>
      </c>
      <c r="O596" t="s">
        <v>16</v>
      </c>
    </row>
    <row r="597" spans="1:15" x14ac:dyDescent="0.3">
      <c r="A597" t="s">
        <v>5656</v>
      </c>
      <c r="B597" t="s">
        <v>5655</v>
      </c>
      <c r="C597" t="s">
        <v>0</v>
      </c>
      <c r="D597">
        <v>16</v>
      </c>
      <c r="E597" t="s">
        <v>132</v>
      </c>
      <c r="F597" t="s">
        <v>67</v>
      </c>
      <c r="G597" s="1">
        <v>45991</v>
      </c>
      <c r="H597" s="1">
        <v>45975</v>
      </c>
      <c r="I597" t="s">
        <v>5654</v>
      </c>
      <c r="J597" t="s">
        <v>5653</v>
      </c>
      <c r="L597">
        <v>13211.23</v>
      </c>
      <c r="M597" t="s">
        <v>57</v>
      </c>
      <c r="N597">
        <v>413</v>
      </c>
      <c r="O597" t="s">
        <v>77</v>
      </c>
    </row>
    <row r="598" spans="1:15" x14ac:dyDescent="0.3">
      <c r="A598" t="s">
        <v>5652</v>
      </c>
      <c r="B598" t="s">
        <v>5651</v>
      </c>
      <c r="C598" t="s">
        <v>74</v>
      </c>
      <c r="D598">
        <v>74</v>
      </c>
      <c r="E598" t="s">
        <v>80</v>
      </c>
      <c r="F598" t="s">
        <v>85</v>
      </c>
      <c r="G598" s="1">
        <v>46047</v>
      </c>
      <c r="H598" s="1">
        <v>46024</v>
      </c>
      <c r="I598" t="s">
        <v>5650</v>
      </c>
      <c r="J598" t="s">
        <v>5649</v>
      </c>
      <c r="K598" t="s">
        <v>26</v>
      </c>
      <c r="L598">
        <v>10790.93</v>
      </c>
      <c r="M598" t="s">
        <v>17</v>
      </c>
      <c r="N598">
        <v>232</v>
      </c>
      <c r="O598" t="s">
        <v>34</v>
      </c>
    </row>
    <row r="599" spans="1:15" x14ac:dyDescent="0.3">
      <c r="A599" t="s">
        <v>5648</v>
      </c>
      <c r="B599" t="s">
        <v>5647</v>
      </c>
      <c r="C599" t="s">
        <v>60</v>
      </c>
      <c r="D599">
        <v>17</v>
      </c>
      <c r="E599" t="s">
        <v>68</v>
      </c>
      <c r="F599" t="s">
        <v>85</v>
      </c>
      <c r="G599" s="1">
        <v>46161</v>
      </c>
      <c r="H599" s="1">
        <v>46146</v>
      </c>
      <c r="I599" t="s">
        <v>5646</v>
      </c>
      <c r="J599" t="s">
        <v>5645</v>
      </c>
      <c r="K599" t="s">
        <v>35</v>
      </c>
      <c r="L599">
        <v>22114.86</v>
      </c>
      <c r="M599" t="s">
        <v>57</v>
      </c>
      <c r="N599">
        <v>462</v>
      </c>
      <c r="O599" t="s">
        <v>43</v>
      </c>
    </row>
    <row r="600" spans="1:15" x14ac:dyDescent="0.3">
      <c r="A600" t="s">
        <v>5644</v>
      </c>
      <c r="B600" t="s">
        <v>5643</v>
      </c>
      <c r="C600" t="s">
        <v>1</v>
      </c>
      <c r="D600">
        <v>1</v>
      </c>
      <c r="E600" t="s">
        <v>80</v>
      </c>
      <c r="F600" t="s">
        <v>46</v>
      </c>
      <c r="G600" s="1">
        <v>46116</v>
      </c>
      <c r="H600" s="1">
        <v>46102</v>
      </c>
      <c r="I600" t="s">
        <v>5642</v>
      </c>
      <c r="J600" t="s">
        <v>5641</v>
      </c>
      <c r="K600" t="s">
        <v>64</v>
      </c>
      <c r="L600">
        <v>18489.22</v>
      </c>
      <c r="M600" t="s">
        <v>57</v>
      </c>
      <c r="N600">
        <v>509</v>
      </c>
      <c r="O600" t="s">
        <v>34</v>
      </c>
    </row>
    <row r="601" spans="1:15" x14ac:dyDescent="0.3">
      <c r="A601" t="s">
        <v>5640</v>
      </c>
      <c r="B601" t="s">
        <v>5639</v>
      </c>
      <c r="C601" t="s">
        <v>123</v>
      </c>
      <c r="D601">
        <v>53</v>
      </c>
      <c r="E601" t="s">
        <v>47</v>
      </c>
      <c r="F601" t="s">
        <v>67</v>
      </c>
      <c r="G601" s="1">
        <v>46107</v>
      </c>
      <c r="H601" s="1">
        <v>46096</v>
      </c>
      <c r="I601" t="s">
        <v>5638</v>
      </c>
      <c r="J601" t="s">
        <v>5637</v>
      </c>
      <c r="K601" t="s">
        <v>17</v>
      </c>
      <c r="L601">
        <v>480.17</v>
      </c>
      <c r="M601" t="s">
        <v>57</v>
      </c>
      <c r="N601">
        <v>453</v>
      </c>
      <c r="O601" t="s">
        <v>43</v>
      </c>
    </row>
    <row r="602" spans="1:15" x14ac:dyDescent="0.3">
      <c r="A602" t="s">
        <v>5636</v>
      </c>
      <c r="B602" t="s">
        <v>5635</v>
      </c>
      <c r="C602" t="s">
        <v>22</v>
      </c>
      <c r="D602">
        <v>9</v>
      </c>
      <c r="E602" t="s">
        <v>132</v>
      </c>
      <c r="F602" t="s">
        <v>30</v>
      </c>
      <c r="G602" s="1">
        <v>46087</v>
      </c>
      <c r="H602" s="1">
        <v>46071</v>
      </c>
      <c r="I602" t="s">
        <v>5634</v>
      </c>
      <c r="J602" t="s">
        <v>5633</v>
      </c>
      <c r="K602" t="s">
        <v>57</v>
      </c>
      <c r="L602">
        <v>19222.41</v>
      </c>
      <c r="M602" t="s">
        <v>64</v>
      </c>
      <c r="N602">
        <v>451</v>
      </c>
      <c r="O602" t="s">
        <v>43</v>
      </c>
    </row>
    <row r="603" spans="1:15" x14ac:dyDescent="0.3">
      <c r="A603" t="s">
        <v>5632</v>
      </c>
      <c r="B603" t="s">
        <v>5631</v>
      </c>
      <c r="C603" t="s">
        <v>60</v>
      </c>
      <c r="D603">
        <v>51</v>
      </c>
      <c r="E603" t="s">
        <v>47</v>
      </c>
      <c r="F603" t="s">
        <v>53</v>
      </c>
      <c r="G603" s="1">
        <v>46087</v>
      </c>
      <c r="H603" s="1">
        <v>46081</v>
      </c>
      <c r="I603" t="s">
        <v>5630</v>
      </c>
      <c r="J603" t="s">
        <v>5629</v>
      </c>
      <c r="K603" t="s">
        <v>57</v>
      </c>
      <c r="L603">
        <v>20878.87</v>
      </c>
      <c r="N603">
        <v>342</v>
      </c>
      <c r="O603" t="s">
        <v>50</v>
      </c>
    </row>
    <row r="604" spans="1:15" x14ac:dyDescent="0.3">
      <c r="A604" t="s">
        <v>5628</v>
      </c>
      <c r="B604" t="s">
        <v>5627</v>
      </c>
      <c r="C604" t="s">
        <v>40</v>
      </c>
      <c r="D604">
        <v>83</v>
      </c>
      <c r="E604" t="s">
        <v>39</v>
      </c>
      <c r="F604" t="s">
        <v>85</v>
      </c>
      <c r="G604" s="1">
        <v>46094</v>
      </c>
      <c r="H604" s="1">
        <v>46090</v>
      </c>
      <c r="I604" t="s">
        <v>5626</v>
      </c>
      <c r="J604" t="s">
        <v>5625</v>
      </c>
      <c r="L604">
        <v>22323.05</v>
      </c>
      <c r="M604" t="s">
        <v>17</v>
      </c>
      <c r="N604">
        <v>336</v>
      </c>
      <c r="O604" t="s">
        <v>50</v>
      </c>
    </row>
    <row r="605" spans="1:15" x14ac:dyDescent="0.3">
      <c r="A605" t="s">
        <v>5624</v>
      </c>
      <c r="B605" t="s">
        <v>5623</v>
      </c>
      <c r="C605" t="s">
        <v>123</v>
      </c>
      <c r="D605">
        <v>8</v>
      </c>
      <c r="E605" t="s">
        <v>132</v>
      </c>
      <c r="F605" t="s">
        <v>67</v>
      </c>
      <c r="G605" s="1">
        <v>46104</v>
      </c>
      <c r="H605" s="1">
        <v>46087</v>
      </c>
      <c r="I605" t="s">
        <v>5622</v>
      </c>
      <c r="J605" t="s">
        <v>5621</v>
      </c>
      <c r="K605" t="s">
        <v>27</v>
      </c>
      <c r="L605">
        <v>5364.91</v>
      </c>
      <c r="M605" t="s">
        <v>17</v>
      </c>
      <c r="N605">
        <v>509</v>
      </c>
      <c r="O605" t="s">
        <v>50</v>
      </c>
    </row>
    <row r="606" spans="1:15" x14ac:dyDescent="0.3">
      <c r="A606" t="s">
        <v>5620</v>
      </c>
      <c r="B606" t="s">
        <v>5619</v>
      </c>
      <c r="C606" t="s">
        <v>60</v>
      </c>
      <c r="D606">
        <v>9</v>
      </c>
      <c r="E606" t="s">
        <v>39</v>
      </c>
      <c r="F606" t="s">
        <v>30</v>
      </c>
      <c r="G606" s="1">
        <v>46059</v>
      </c>
      <c r="H606" s="1">
        <v>46033</v>
      </c>
      <c r="I606" t="s">
        <v>5618</v>
      </c>
      <c r="J606" t="s">
        <v>5617</v>
      </c>
      <c r="K606" t="s">
        <v>27</v>
      </c>
      <c r="L606">
        <v>8610.98</v>
      </c>
      <c r="N606">
        <v>420</v>
      </c>
      <c r="O606" t="s">
        <v>34</v>
      </c>
    </row>
    <row r="607" spans="1:15" x14ac:dyDescent="0.3">
      <c r="A607" t="s">
        <v>5616</v>
      </c>
      <c r="B607" t="s">
        <v>5615</v>
      </c>
      <c r="C607" t="s">
        <v>0</v>
      </c>
      <c r="D607">
        <v>74</v>
      </c>
      <c r="E607" t="s">
        <v>369</v>
      </c>
      <c r="F607" t="s">
        <v>53</v>
      </c>
      <c r="G607" s="1">
        <v>46045</v>
      </c>
      <c r="H607" s="1">
        <v>46026</v>
      </c>
      <c r="I607" t="s">
        <v>5614</v>
      </c>
      <c r="J607" t="s">
        <v>5613</v>
      </c>
      <c r="K607" t="s">
        <v>64</v>
      </c>
      <c r="L607">
        <v>21641.919999999998</v>
      </c>
      <c r="M607" t="s">
        <v>63</v>
      </c>
      <c r="N607">
        <v>461</v>
      </c>
      <c r="O607" t="s">
        <v>50</v>
      </c>
    </row>
    <row r="608" spans="1:15" x14ac:dyDescent="0.3">
      <c r="A608" t="s">
        <v>5612</v>
      </c>
      <c r="B608" t="s">
        <v>5611</v>
      </c>
      <c r="C608" t="s">
        <v>60</v>
      </c>
      <c r="D608">
        <v>5</v>
      </c>
      <c r="E608" t="s">
        <v>132</v>
      </c>
      <c r="F608" t="s">
        <v>90</v>
      </c>
      <c r="G608" s="1">
        <v>46151</v>
      </c>
      <c r="H608" s="1">
        <v>46149</v>
      </c>
      <c r="I608" t="s">
        <v>5610</v>
      </c>
      <c r="J608" t="s">
        <v>5609</v>
      </c>
      <c r="L608">
        <v>21950.81</v>
      </c>
      <c r="M608" t="s">
        <v>17</v>
      </c>
      <c r="N608">
        <v>331</v>
      </c>
      <c r="O608" t="s">
        <v>50</v>
      </c>
    </row>
    <row r="609" spans="1:15" x14ac:dyDescent="0.3">
      <c r="A609" t="s">
        <v>5608</v>
      </c>
      <c r="B609" t="s">
        <v>5607</v>
      </c>
      <c r="C609" t="s">
        <v>22</v>
      </c>
      <c r="D609">
        <v>28</v>
      </c>
      <c r="E609" t="s">
        <v>132</v>
      </c>
      <c r="F609" t="s">
        <v>53</v>
      </c>
      <c r="G609" s="1">
        <v>46051</v>
      </c>
      <c r="H609" s="1">
        <v>46048</v>
      </c>
      <c r="I609" t="s">
        <v>5606</v>
      </c>
      <c r="J609" t="s">
        <v>5605</v>
      </c>
      <c r="K609" t="s">
        <v>57</v>
      </c>
      <c r="L609">
        <v>19666.61</v>
      </c>
      <c r="M609" t="s">
        <v>57</v>
      </c>
      <c r="N609">
        <v>147</v>
      </c>
      <c r="O609" t="s">
        <v>16</v>
      </c>
    </row>
    <row r="610" spans="1:15" x14ac:dyDescent="0.3">
      <c r="A610" t="s">
        <v>5604</v>
      </c>
      <c r="B610" t="s">
        <v>5603</v>
      </c>
      <c r="C610" t="s">
        <v>40</v>
      </c>
      <c r="D610">
        <v>62</v>
      </c>
      <c r="E610" t="s">
        <v>39</v>
      </c>
      <c r="F610" t="s">
        <v>38</v>
      </c>
      <c r="G610" s="1">
        <v>46030</v>
      </c>
      <c r="H610" s="1">
        <v>46020</v>
      </c>
      <c r="I610" t="s">
        <v>5602</v>
      </c>
      <c r="J610" t="s">
        <v>5601</v>
      </c>
      <c r="L610">
        <v>18364.54</v>
      </c>
      <c r="M610" t="s">
        <v>63</v>
      </c>
      <c r="N610">
        <v>497</v>
      </c>
      <c r="O610" t="s">
        <v>43</v>
      </c>
    </row>
    <row r="611" spans="1:15" x14ac:dyDescent="0.3">
      <c r="A611" t="s">
        <v>5600</v>
      </c>
      <c r="B611" t="s">
        <v>5599</v>
      </c>
      <c r="C611" t="s">
        <v>0</v>
      </c>
      <c r="D611">
        <v>13</v>
      </c>
      <c r="E611" t="s">
        <v>39</v>
      </c>
      <c r="F611" t="s">
        <v>38</v>
      </c>
      <c r="G611" s="1">
        <v>46042</v>
      </c>
      <c r="H611" s="1">
        <v>46019</v>
      </c>
      <c r="I611" t="s">
        <v>5598</v>
      </c>
      <c r="J611" t="s">
        <v>5597</v>
      </c>
      <c r="K611" t="s">
        <v>27</v>
      </c>
      <c r="L611">
        <v>11592.34</v>
      </c>
      <c r="M611" t="s">
        <v>64</v>
      </c>
      <c r="N611">
        <v>102</v>
      </c>
      <c r="O611" t="s">
        <v>43</v>
      </c>
    </row>
    <row r="612" spans="1:15" x14ac:dyDescent="0.3">
      <c r="A612" t="s">
        <v>5596</v>
      </c>
      <c r="B612" t="s">
        <v>5595</v>
      </c>
      <c r="C612" t="s">
        <v>40</v>
      </c>
      <c r="D612">
        <v>88</v>
      </c>
      <c r="E612" t="s">
        <v>80</v>
      </c>
      <c r="F612" t="s">
        <v>67</v>
      </c>
      <c r="G612" s="1">
        <v>46002</v>
      </c>
      <c r="H612" s="1">
        <v>45988</v>
      </c>
      <c r="I612" t="s">
        <v>5594</v>
      </c>
      <c r="J612" t="s">
        <v>5593</v>
      </c>
      <c r="K612" t="s">
        <v>27</v>
      </c>
      <c r="L612">
        <v>2756.95</v>
      </c>
      <c r="M612" t="s">
        <v>63</v>
      </c>
      <c r="N612">
        <v>111</v>
      </c>
      <c r="O612" t="s">
        <v>34</v>
      </c>
    </row>
    <row r="613" spans="1:15" x14ac:dyDescent="0.3">
      <c r="A613" t="s">
        <v>5592</v>
      </c>
      <c r="B613" t="s">
        <v>5591</v>
      </c>
      <c r="C613" t="s">
        <v>22</v>
      </c>
      <c r="D613">
        <v>82</v>
      </c>
      <c r="E613" t="s">
        <v>21</v>
      </c>
      <c r="F613" t="s">
        <v>67</v>
      </c>
      <c r="G613" s="1">
        <v>46003</v>
      </c>
      <c r="H613" s="1">
        <v>45997</v>
      </c>
      <c r="I613" t="s">
        <v>5590</v>
      </c>
      <c r="J613" t="s">
        <v>5589</v>
      </c>
      <c r="K613" t="s">
        <v>17</v>
      </c>
      <c r="L613">
        <v>7306.87</v>
      </c>
      <c r="M613" t="s">
        <v>17</v>
      </c>
      <c r="N613">
        <v>495</v>
      </c>
      <c r="O613" t="s">
        <v>16</v>
      </c>
    </row>
    <row r="614" spans="1:15" x14ac:dyDescent="0.3">
      <c r="A614" t="s">
        <v>5588</v>
      </c>
      <c r="B614" t="s">
        <v>5587</v>
      </c>
      <c r="C614" t="s">
        <v>74</v>
      </c>
      <c r="D614">
        <v>35</v>
      </c>
      <c r="E614" t="s">
        <v>39</v>
      </c>
      <c r="F614" t="s">
        <v>53</v>
      </c>
      <c r="G614" s="1">
        <v>45994</v>
      </c>
      <c r="H614" s="1">
        <v>45986</v>
      </c>
      <c r="I614" t="s">
        <v>5586</v>
      </c>
      <c r="J614" t="s">
        <v>5585</v>
      </c>
      <c r="K614" t="s">
        <v>64</v>
      </c>
      <c r="L614">
        <v>578.37</v>
      </c>
      <c r="M614" t="s">
        <v>64</v>
      </c>
      <c r="N614">
        <v>205</v>
      </c>
      <c r="O614" t="s">
        <v>34</v>
      </c>
    </row>
    <row r="615" spans="1:15" x14ac:dyDescent="0.3">
      <c r="A615" t="s">
        <v>5584</v>
      </c>
      <c r="B615" t="s">
        <v>5583</v>
      </c>
      <c r="C615" t="s">
        <v>60</v>
      </c>
      <c r="D615">
        <v>71</v>
      </c>
      <c r="E615" t="s">
        <v>31</v>
      </c>
      <c r="F615" t="s">
        <v>30</v>
      </c>
      <c r="G615" s="1">
        <v>46068</v>
      </c>
      <c r="H615" s="1">
        <v>46064</v>
      </c>
      <c r="I615" t="s">
        <v>5582</v>
      </c>
      <c r="J615" t="s">
        <v>5581</v>
      </c>
      <c r="K615" t="s">
        <v>26</v>
      </c>
      <c r="L615">
        <v>14437.26</v>
      </c>
      <c r="M615" t="s">
        <v>26</v>
      </c>
      <c r="N615">
        <v>136</v>
      </c>
      <c r="O615" t="s">
        <v>43</v>
      </c>
    </row>
    <row r="616" spans="1:15" x14ac:dyDescent="0.3">
      <c r="A616" t="s">
        <v>5580</v>
      </c>
      <c r="B616" t="s">
        <v>5579</v>
      </c>
      <c r="C616" t="s">
        <v>60</v>
      </c>
      <c r="D616">
        <v>70</v>
      </c>
      <c r="E616" t="s">
        <v>68</v>
      </c>
      <c r="F616" t="s">
        <v>46</v>
      </c>
      <c r="G616" s="1">
        <v>45984</v>
      </c>
      <c r="H616" s="1">
        <v>45980</v>
      </c>
      <c r="I616" t="s">
        <v>5578</v>
      </c>
      <c r="J616" t="s">
        <v>5577</v>
      </c>
      <c r="K616" t="s">
        <v>27</v>
      </c>
      <c r="L616">
        <v>11874.24</v>
      </c>
      <c r="M616" t="s">
        <v>27</v>
      </c>
      <c r="N616">
        <v>154</v>
      </c>
      <c r="O616" t="s">
        <v>16</v>
      </c>
    </row>
    <row r="617" spans="1:15" x14ac:dyDescent="0.3">
      <c r="A617" t="s">
        <v>5576</v>
      </c>
      <c r="B617" t="s">
        <v>5575</v>
      </c>
      <c r="C617" t="s">
        <v>40</v>
      </c>
      <c r="D617">
        <v>12</v>
      </c>
      <c r="E617" t="s">
        <v>54</v>
      </c>
      <c r="F617" t="s">
        <v>90</v>
      </c>
      <c r="G617" s="1">
        <v>46121</v>
      </c>
      <c r="H617" s="1">
        <v>46116</v>
      </c>
      <c r="I617" t="s">
        <v>5574</v>
      </c>
      <c r="J617" t="s">
        <v>5573</v>
      </c>
      <c r="L617">
        <v>15484.62</v>
      </c>
      <c r="M617" t="s">
        <v>63</v>
      </c>
      <c r="N617">
        <v>270</v>
      </c>
      <c r="O617" t="s">
        <v>50</v>
      </c>
    </row>
    <row r="618" spans="1:15" x14ac:dyDescent="0.3">
      <c r="A618" t="s">
        <v>5572</v>
      </c>
      <c r="B618" t="s">
        <v>5571</v>
      </c>
      <c r="C618" t="s">
        <v>1</v>
      </c>
      <c r="D618">
        <v>86</v>
      </c>
      <c r="E618" t="s">
        <v>80</v>
      </c>
      <c r="F618" t="s">
        <v>85</v>
      </c>
      <c r="G618" s="1">
        <v>46025</v>
      </c>
      <c r="H618" s="1">
        <v>46007</v>
      </c>
      <c r="I618" t="s">
        <v>5570</v>
      </c>
      <c r="J618" t="s">
        <v>5569</v>
      </c>
      <c r="K618" t="s">
        <v>35</v>
      </c>
      <c r="L618">
        <v>2504.3200000000002</v>
      </c>
      <c r="N618">
        <v>149</v>
      </c>
      <c r="O618" t="s">
        <v>16</v>
      </c>
    </row>
    <row r="619" spans="1:15" x14ac:dyDescent="0.3">
      <c r="A619" t="s">
        <v>5568</v>
      </c>
      <c r="B619" t="s">
        <v>5567</v>
      </c>
      <c r="C619" t="s">
        <v>22</v>
      </c>
      <c r="D619">
        <v>88</v>
      </c>
      <c r="E619" t="s">
        <v>68</v>
      </c>
      <c r="F619" t="s">
        <v>85</v>
      </c>
      <c r="G619" s="1">
        <v>46102</v>
      </c>
      <c r="H619" s="1">
        <v>46095</v>
      </c>
      <c r="I619" t="s">
        <v>5566</v>
      </c>
      <c r="J619" t="s">
        <v>5565</v>
      </c>
      <c r="K619" t="s">
        <v>17</v>
      </c>
      <c r="L619">
        <v>3764.3</v>
      </c>
      <c r="M619" t="s">
        <v>63</v>
      </c>
      <c r="N619">
        <v>286</v>
      </c>
      <c r="O619" t="s">
        <v>16</v>
      </c>
    </row>
    <row r="620" spans="1:15" x14ac:dyDescent="0.3">
      <c r="A620" t="s">
        <v>5564</v>
      </c>
      <c r="B620" t="s">
        <v>5563</v>
      </c>
      <c r="C620" t="s">
        <v>0</v>
      </c>
      <c r="D620">
        <v>90</v>
      </c>
      <c r="E620" t="s">
        <v>31</v>
      </c>
      <c r="F620" t="s">
        <v>67</v>
      </c>
      <c r="G620" s="1">
        <v>46058</v>
      </c>
      <c r="H620" s="1">
        <v>46044</v>
      </c>
      <c r="I620" t="s">
        <v>5562</v>
      </c>
      <c r="J620" t="s">
        <v>5561</v>
      </c>
      <c r="L620">
        <v>950.55</v>
      </c>
      <c r="N620">
        <v>157</v>
      </c>
      <c r="O620" t="s">
        <v>43</v>
      </c>
    </row>
    <row r="621" spans="1:15" x14ac:dyDescent="0.3">
      <c r="A621" t="s">
        <v>5560</v>
      </c>
      <c r="B621" t="s">
        <v>5559</v>
      </c>
      <c r="D621">
        <v>60</v>
      </c>
      <c r="E621" t="s">
        <v>39</v>
      </c>
      <c r="F621" t="s">
        <v>30</v>
      </c>
      <c r="G621" s="1">
        <v>46113</v>
      </c>
      <c r="H621" s="1">
        <v>46089</v>
      </c>
      <c r="I621" t="s">
        <v>5558</v>
      </c>
      <c r="J621" t="s">
        <v>5557</v>
      </c>
      <c r="K621" t="s">
        <v>57</v>
      </c>
      <c r="L621">
        <v>15190.12</v>
      </c>
      <c r="M621" t="s">
        <v>26</v>
      </c>
      <c r="N621">
        <v>360</v>
      </c>
      <c r="O621" t="s">
        <v>77</v>
      </c>
    </row>
    <row r="622" spans="1:15" x14ac:dyDescent="0.3">
      <c r="A622" t="s">
        <v>5556</v>
      </c>
      <c r="B622" t="s">
        <v>5555</v>
      </c>
      <c r="C622" t="s">
        <v>123</v>
      </c>
      <c r="D622">
        <v>14</v>
      </c>
      <c r="E622" t="s">
        <v>31</v>
      </c>
      <c r="F622" t="s">
        <v>20</v>
      </c>
      <c r="G622" s="1">
        <v>46135</v>
      </c>
      <c r="H622" s="1">
        <v>46110</v>
      </c>
      <c r="I622" t="s">
        <v>5554</v>
      </c>
      <c r="J622" t="s">
        <v>5553</v>
      </c>
      <c r="K622" t="s">
        <v>26</v>
      </c>
      <c r="L622">
        <v>13412.09</v>
      </c>
      <c r="N622">
        <v>402</v>
      </c>
      <c r="O622" t="s">
        <v>16</v>
      </c>
    </row>
    <row r="623" spans="1:15" x14ac:dyDescent="0.3">
      <c r="A623" t="s">
        <v>5552</v>
      </c>
      <c r="B623" t="s">
        <v>5551</v>
      </c>
      <c r="C623" t="s">
        <v>1</v>
      </c>
      <c r="D623">
        <v>80</v>
      </c>
      <c r="E623" t="s">
        <v>21</v>
      </c>
      <c r="F623" t="s">
        <v>53</v>
      </c>
      <c r="G623" s="1">
        <v>46015</v>
      </c>
      <c r="H623" s="1">
        <v>46000</v>
      </c>
      <c r="I623" t="s">
        <v>5550</v>
      </c>
      <c r="J623" t="s">
        <v>5549</v>
      </c>
      <c r="L623">
        <v>1838.29</v>
      </c>
      <c r="M623" t="s">
        <v>57</v>
      </c>
      <c r="N623">
        <v>516</v>
      </c>
      <c r="O623" t="s">
        <v>25</v>
      </c>
    </row>
    <row r="624" spans="1:15" x14ac:dyDescent="0.3">
      <c r="A624" t="s">
        <v>5548</v>
      </c>
      <c r="B624" t="s">
        <v>5547</v>
      </c>
      <c r="C624" t="s">
        <v>123</v>
      </c>
      <c r="D624">
        <v>56</v>
      </c>
      <c r="E624" t="s">
        <v>31</v>
      </c>
      <c r="F624" t="s">
        <v>38</v>
      </c>
      <c r="G624" s="1">
        <v>46138</v>
      </c>
      <c r="H624" s="1">
        <v>46133</v>
      </c>
      <c r="I624" t="s">
        <v>5546</v>
      </c>
      <c r="J624" t="s">
        <v>5545</v>
      </c>
      <c r="K624" t="s">
        <v>64</v>
      </c>
      <c r="L624">
        <v>18536.3</v>
      </c>
      <c r="N624">
        <v>158</v>
      </c>
      <c r="O624" t="s">
        <v>34</v>
      </c>
    </row>
    <row r="625" spans="1:15" x14ac:dyDescent="0.3">
      <c r="A625" t="s">
        <v>5544</v>
      </c>
      <c r="B625" t="s">
        <v>5543</v>
      </c>
      <c r="D625">
        <v>42</v>
      </c>
      <c r="E625" t="s">
        <v>80</v>
      </c>
      <c r="F625" t="s">
        <v>85</v>
      </c>
      <c r="G625" s="1">
        <v>46072</v>
      </c>
      <c r="H625" s="1">
        <v>46067</v>
      </c>
      <c r="I625" t="s">
        <v>5542</v>
      </c>
      <c r="J625" t="s">
        <v>5541</v>
      </c>
      <c r="K625" t="s">
        <v>26</v>
      </c>
      <c r="L625">
        <v>23905.91</v>
      </c>
      <c r="M625" t="s">
        <v>64</v>
      </c>
      <c r="N625">
        <v>406</v>
      </c>
      <c r="O625" t="s">
        <v>77</v>
      </c>
    </row>
    <row r="626" spans="1:15" x14ac:dyDescent="0.3">
      <c r="A626" t="s">
        <v>5540</v>
      </c>
      <c r="B626" t="s">
        <v>5539</v>
      </c>
      <c r="C626" t="s">
        <v>123</v>
      </c>
      <c r="D626">
        <v>42</v>
      </c>
      <c r="E626" t="s">
        <v>68</v>
      </c>
      <c r="F626" t="s">
        <v>46</v>
      </c>
      <c r="G626" s="1">
        <v>46091</v>
      </c>
      <c r="H626" s="1">
        <v>46089</v>
      </c>
      <c r="I626" t="s">
        <v>5538</v>
      </c>
      <c r="J626" t="s">
        <v>5537</v>
      </c>
      <c r="K626" t="s">
        <v>17</v>
      </c>
      <c r="L626">
        <v>20462.43</v>
      </c>
      <c r="M626" t="s">
        <v>27</v>
      </c>
      <c r="N626">
        <v>487</v>
      </c>
      <c r="O626" t="s">
        <v>71</v>
      </c>
    </row>
    <row r="627" spans="1:15" x14ac:dyDescent="0.3">
      <c r="A627" t="s">
        <v>5536</v>
      </c>
      <c r="B627" t="s">
        <v>5535</v>
      </c>
      <c r="C627" t="s">
        <v>0</v>
      </c>
      <c r="D627">
        <v>220</v>
      </c>
      <c r="E627" t="s">
        <v>132</v>
      </c>
      <c r="F627" t="s">
        <v>90</v>
      </c>
      <c r="G627" s="1">
        <v>46050</v>
      </c>
      <c r="H627" s="1">
        <v>46031</v>
      </c>
      <c r="I627" t="s">
        <v>5534</v>
      </c>
      <c r="J627" t="s">
        <v>5533</v>
      </c>
      <c r="L627">
        <v>5052.53</v>
      </c>
      <c r="M627" t="s">
        <v>17</v>
      </c>
      <c r="N627">
        <v>253</v>
      </c>
      <c r="O627" t="s">
        <v>34</v>
      </c>
    </row>
    <row r="628" spans="1:15" x14ac:dyDescent="0.3">
      <c r="A628" t="s">
        <v>5532</v>
      </c>
      <c r="B628" t="s">
        <v>5531</v>
      </c>
      <c r="C628" t="s">
        <v>22</v>
      </c>
      <c r="D628">
        <v>56</v>
      </c>
      <c r="E628" t="s">
        <v>31</v>
      </c>
      <c r="F628" t="s">
        <v>20</v>
      </c>
      <c r="G628" s="1">
        <v>46068</v>
      </c>
      <c r="H628" s="1">
        <v>46050</v>
      </c>
      <c r="I628" t="s">
        <v>5530</v>
      </c>
      <c r="J628" t="s">
        <v>5529</v>
      </c>
      <c r="K628" t="s">
        <v>27</v>
      </c>
      <c r="L628">
        <v>15364.97</v>
      </c>
      <c r="N628">
        <v>533</v>
      </c>
      <c r="O628" t="s">
        <v>71</v>
      </c>
    </row>
    <row r="629" spans="1:15" x14ac:dyDescent="0.3">
      <c r="A629" t="s">
        <v>5528</v>
      </c>
      <c r="B629" t="s">
        <v>5527</v>
      </c>
      <c r="C629" t="s">
        <v>22</v>
      </c>
      <c r="D629">
        <v>8</v>
      </c>
      <c r="E629" t="s">
        <v>31</v>
      </c>
      <c r="F629" t="s">
        <v>46</v>
      </c>
      <c r="G629" s="1">
        <v>46078</v>
      </c>
      <c r="H629" s="1">
        <v>46078</v>
      </c>
      <c r="I629" t="s">
        <v>5526</v>
      </c>
      <c r="J629" t="s">
        <v>5525</v>
      </c>
      <c r="K629" t="s">
        <v>57</v>
      </c>
      <c r="L629">
        <v>2920.52</v>
      </c>
      <c r="M629" t="s">
        <v>63</v>
      </c>
      <c r="N629">
        <v>543</v>
      </c>
      <c r="O629" t="s">
        <v>77</v>
      </c>
    </row>
    <row r="630" spans="1:15" x14ac:dyDescent="0.3">
      <c r="A630" t="s">
        <v>5524</v>
      </c>
      <c r="B630" t="s">
        <v>5523</v>
      </c>
      <c r="C630" t="s">
        <v>1</v>
      </c>
      <c r="D630">
        <v>56</v>
      </c>
      <c r="E630" t="s">
        <v>54</v>
      </c>
      <c r="F630" t="s">
        <v>67</v>
      </c>
      <c r="G630" s="1">
        <v>46038</v>
      </c>
      <c r="H630" s="1">
        <v>46016</v>
      </c>
      <c r="I630" t="s">
        <v>5522</v>
      </c>
      <c r="J630" t="s">
        <v>5521</v>
      </c>
      <c r="L630">
        <v>10269.61</v>
      </c>
      <c r="N630">
        <v>379</v>
      </c>
      <c r="O630" t="s">
        <v>71</v>
      </c>
    </row>
    <row r="631" spans="1:15" x14ac:dyDescent="0.3">
      <c r="A631" t="s">
        <v>5520</v>
      </c>
      <c r="B631" t="s">
        <v>5519</v>
      </c>
      <c r="C631" t="s">
        <v>0</v>
      </c>
      <c r="D631">
        <v>61</v>
      </c>
      <c r="E631" t="s">
        <v>39</v>
      </c>
      <c r="F631" t="s">
        <v>38</v>
      </c>
      <c r="G631" s="1">
        <v>46049</v>
      </c>
      <c r="H631" s="1">
        <v>46032</v>
      </c>
      <c r="I631" t="s">
        <v>5518</v>
      </c>
      <c r="J631" t="s">
        <v>5517</v>
      </c>
      <c r="L631">
        <v>21114.53</v>
      </c>
      <c r="M631" t="s">
        <v>17</v>
      </c>
      <c r="N631">
        <v>530</v>
      </c>
      <c r="O631" t="s">
        <v>16</v>
      </c>
    </row>
    <row r="632" spans="1:15" x14ac:dyDescent="0.3">
      <c r="A632" t="s">
        <v>5516</v>
      </c>
      <c r="B632" t="s">
        <v>5515</v>
      </c>
      <c r="C632" t="s">
        <v>0</v>
      </c>
      <c r="D632">
        <v>37</v>
      </c>
      <c r="E632" t="s">
        <v>39</v>
      </c>
      <c r="F632" t="s">
        <v>53</v>
      </c>
      <c r="G632" s="1">
        <v>46099</v>
      </c>
      <c r="H632" s="1">
        <v>46099</v>
      </c>
      <c r="I632" t="s">
        <v>5514</v>
      </c>
      <c r="J632" t="s">
        <v>5513</v>
      </c>
      <c r="K632" t="s">
        <v>64</v>
      </c>
      <c r="L632">
        <v>16280.05</v>
      </c>
      <c r="M632" t="s">
        <v>26</v>
      </c>
      <c r="N632">
        <v>469</v>
      </c>
      <c r="O632" t="s">
        <v>16</v>
      </c>
    </row>
    <row r="633" spans="1:15" x14ac:dyDescent="0.3">
      <c r="A633" t="s">
        <v>5512</v>
      </c>
      <c r="B633" t="s">
        <v>5511</v>
      </c>
      <c r="C633" t="s">
        <v>123</v>
      </c>
      <c r="D633">
        <v>18</v>
      </c>
      <c r="E633" t="s">
        <v>80</v>
      </c>
      <c r="F633" t="s">
        <v>53</v>
      </c>
      <c r="G633" s="1">
        <v>46150</v>
      </c>
      <c r="H633" s="1">
        <v>46130</v>
      </c>
      <c r="I633" t="s">
        <v>5510</v>
      </c>
      <c r="J633" t="s">
        <v>5509</v>
      </c>
      <c r="L633">
        <v>21531.79</v>
      </c>
      <c r="N633">
        <v>419</v>
      </c>
      <c r="O633" t="s">
        <v>71</v>
      </c>
    </row>
    <row r="634" spans="1:15" x14ac:dyDescent="0.3">
      <c r="A634" t="s">
        <v>5508</v>
      </c>
      <c r="B634" t="s">
        <v>5507</v>
      </c>
      <c r="D634">
        <v>66</v>
      </c>
      <c r="E634" t="s">
        <v>54</v>
      </c>
      <c r="F634" t="s">
        <v>85</v>
      </c>
      <c r="G634" s="1">
        <v>46061</v>
      </c>
      <c r="H634" s="1">
        <v>46049</v>
      </c>
      <c r="I634" t="s">
        <v>5506</v>
      </c>
      <c r="J634" t="s">
        <v>5505</v>
      </c>
      <c r="K634" t="s">
        <v>57</v>
      </c>
      <c r="L634">
        <v>5798.37</v>
      </c>
      <c r="N634">
        <v>409</v>
      </c>
      <c r="O634" t="s">
        <v>77</v>
      </c>
    </row>
    <row r="635" spans="1:15" x14ac:dyDescent="0.3">
      <c r="A635" t="s">
        <v>5504</v>
      </c>
      <c r="B635" t="s">
        <v>5503</v>
      </c>
      <c r="D635">
        <v>31</v>
      </c>
      <c r="E635" t="s">
        <v>132</v>
      </c>
      <c r="F635" t="s">
        <v>90</v>
      </c>
      <c r="G635" s="1">
        <v>46162</v>
      </c>
      <c r="H635" s="1">
        <v>46133</v>
      </c>
      <c r="I635" t="s">
        <v>5502</v>
      </c>
      <c r="J635" t="s">
        <v>5501</v>
      </c>
      <c r="K635" t="s">
        <v>57</v>
      </c>
      <c r="L635">
        <v>1029.8499999999999</v>
      </c>
      <c r="M635" t="s">
        <v>27</v>
      </c>
      <c r="N635">
        <v>390</v>
      </c>
      <c r="O635" t="s">
        <v>16</v>
      </c>
    </row>
    <row r="636" spans="1:15" x14ac:dyDescent="0.3">
      <c r="A636" t="s">
        <v>5500</v>
      </c>
      <c r="B636" t="s">
        <v>5499</v>
      </c>
      <c r="C636" t="s">
        <v>60</v>
      </c>
      <c r="D636">
        <v>15</v>
      </c>
      <c r="E636" t="s">
        <v>68</v>
      </c>
      <c r="F636" t="s">
        <v>20</v>
      </c>
      <c r="G636" s="1">
        <v>46029</v>
      </c>
      <c r="H636" s="1">
        <v>46025</v>
      </c>
      <c r="I636" t="s">
        <v>5498</v>
      </c>
      <c r="J636" t="s">
        <v>5497</v>
      </c>
      <c r="K636" t="s">
        <v>26</v>
      </c>
      <c r="L636">
        <v>11730.42</v>
      </c>
      <c r="M636" t="s">
        <v>64</v>
      </c>
      <c r="N636">
        <v>367</v>
      </c>
      <c r="O636" t="s">
        <v>34</v>
      </c>
    </row>
    <row r="637" spans="1:15" x14ac:dyDescent="0.3">
      <c r="A637" t="s">
        <v>5496</v>
      </c>
      <c r="B637" t="s">
        <v>5495</v>
      </c>
      <c r="C637" t="s">
        <v>74</v>
      </c>
      <c r="D637">
        <v>32</v>
      </c>
      <c r="E637" t="s">
        <v>68</v>
      </c>
      <c r="F637" t="s">
        <v>20</v>
      </c>
      <c r="G637" s="1">
        <v>46016</v>
      </c>
      <c r="H637" s="1">
        <v>45995</v>
      </c>
      <c r="I637" t="s">
        <v>5494</v>
      </c>
      <c r="J637" t="s">
        <v>5493</v>
      </c>
      <c r="K637" t="s">
        <v>26</v>
      </c>
      <c r="L637" t="s">
        <v>488</v>
      </c>
      <c r="M637" t="s">
        <v>17</v>
      </c>
      <c r="N637">
        <v>373</v>
      </c>
      <c r="O637" t="s">
        <v>50</v>
      </c>
    </row>
    <row r="638" spans="1:15" x14ac:dyDescent="0.3">
      <c r="A638" t="s">
        <v>5492</v>
      </c>
      <c r="B638" t="s">
        <v>5491</v>
      </c>
      <c r="C638" t="s">
        <v>40</v>
      </c>
      <c r="D638">
        <v>61</v>
      </c>
      <c r="E638" t="s">
        <v>68</v>
      </c>
      <c r="F638" t="s">
        <v>85</v>
      </c>
      <c r="G638" s="1">
        <v>46070</v>
      </c>
      <c r="H638" s="1">
        <v>46052</v>
      </c>
      <c r="I638" t="s">
        <v>5490</v>
      </c>
      <c r="J638" t="s">
        <v>5489</v>
      </c>
      <c r="K638" t="s">
        <v>57</v>
      </c>
      <c r="L638">
        <v>10641.2</v>
      </c>
      <c r="M638" t="s">
        <v>63</v>
      </c>
      <c r="N638">
        <v>248</v>
      </c>
      <c r="O638" t="s">
        <v>71</v>
      </c>
    </row>
    <row r="639" spans="1:15" x14ac:dyDescent="0.3">
      <c r="A639" t="s">
        <v>5488</v>
      </c>
      <c r="B639" t="s">
        <v>5487</v>
      </c>
      <c r="C639" t="s">
        <v>40</v>
      </c>
      <c r="D639">
        <v>89</v>
      </c>
      <c r="E639" t="s">
        <v>132</v>
      </c>
      <c r="F639" t="s">
        <v>30</v>
      </c>
      <c r="G639" s="1">
        <v>46016</v>
      </c>
      <c r="H639" s="1">
        <v>46015</v>
      </c>
      <c r="I639" t="s">
        <v>5486</v>
      </c>
      <c r="J639" t="s">
        <v>5485</v>
      </c>
      <c r="L639">
        <v>14537.9</v>
      </c>
      <c r="M639" t="s">
        <v>27</v>
      </c>
      <c r="N639">
        <v>436</v>
      </c>
      <c r="O639" t="s">
        <v>43</v>
      </c>
    </row>
    <row r="640" spans="1:15" x14ac:dyDescent="0.3">
      <c r="A640" t="s">
        <v>5484</v>
      </c>
      <c r="B640" t="s">
        <v>5483</v>
      </c>
      <c r="C640" t="s">
        <v>40</v>
      </c>
      <c r="D640">
        <v>37</v>
      </c>
      <c r="E640" t="s">
        <v>68</v>
      </c>
      <c r="F640" t="s">
        <v>20</v>
      </c>
      <c r="G640" s="1">
        <v>46092</v>
      </c>
      <c r="H640" s="1">
        <v>46088</v>
      </c>
      <c r="I640" t="s">
        <v>5482</v>
      </c>
      <c r="J640" t="s">
        <v>5481</v>
      </c>
      <c r="K640" t="s">
        <v>64</v>
      </c>
      <c r="L640">
        <v>21315.84</v>
      </c>
      <c r="M640" t="s">
        <v>63</v>
      </c>
      <c r="N640">
        <v>229</v>
      </c>
      <c r="O640" t="s">
        <v>71</v>
      </c>
    </row>
    <row r="641" spans="1:15" x14ac:dyDescent="0.3">
      <c r="A641" t="s">
        <v>5480</v>
      </c>
      <c r="B641" t="s">
        <v>5479</v>
      </c>
      <c r="C641" t="s">
        <v>22</v>
      </c>
      <c r="D641">
        <v>36</v>
      </c>
      <c r="E641" t="s">
        <v>132</v>
      </c>
      <c r="F641" t="s">
        <v>46</v>
      </c>
      <c r="G641" s="1">
        <v>46119</v>
      </c>
      <c r="H641" s="1">
        <v>46096</v>
      </c>
      <c r="I641" t="s">
        <v>5478</v>
      </c>
      <c r="J641" t="s">
        <v>5477</v>
      </c>
      <c r="K641" t="s">
        <v>64</v>
      </c>
      <c r="L641">
        <v>15174.77</v>
      </c>
      <c r="M641" t="s">
        <v>26</v>
      </c>
      <c r="N641">
        <v>437</v>
      </c>
      <c r="O641" t="s">
        <v>16</v>
      </c>
    </row>
    <row r="642" spans="1:15" x14ac:dyDescent="0.3">
      <c r="A642" t="s">
        <v>5476</v>
      </c>
      <c r="B642" t="s">
        <v>5475</v>
      </c>
      <c r="C642" t="s">
        <v>60</v>
      </c>
      <c r="D642">
        <v>23</v>
      </c>
      <c r="E642" t="s">
        <v>132</v>
      </c>
      <c r="F642" t="s">
        <v>38</v>
      </c>
      <c r="G642" s="1">
        <v>46082</v>
      </c>
      <c r="H642" s="1">
        <v>46067</v>
      </c>
      <c r="I642" t="s">
        <v>5474</v>
      </c>
      <c r="J642" t="s">
        <v>5473</v>
      </c>
      <c r="K642" t="s">
        <v>35</v>
      </c>
      <c r="L642">
        <v>20024.43</v>
      </c>
      <c r="M642" t="s">
        <v>27</v>
      </c>
      <c r="N642">
        <v>275</v>
      </c>
      <c r="O642" t="s">
        <v>77</v>
      </c>
    </row>
    <row r="643" spans="1:15" x14ac:dyDescent="0.3">
      <c r="A643" t="s">
        <v>5472</v>
      </c>
      <c r="B643" t="s">
        <v>5471</v>
      </c>
      <c r="C643" t="s">
        <v>0</v>
      </c>
      <c r="D643">
        <v>77</v>
      </c>
      <c r="E643" t="s">
        <v>39</v>
      </c>
      <c r="F643" t="s">
        <v>85</v>
      </c>
      <c r="G643" s="1">
        <v>46060</v>
      </c>
      <c r="H643" s="1">
        <v>46036</v>
      </c>
      <c r="I643" t="s">
        <v>5470</v>
      </c>
      <c r="J643" t="s">
        <v>5469</v>
      </c>
      <c r="L643">
        <v>19305.12</v>
      </c>
      <c r="M643" t="s">
        <v>57</v>
      </c>
      <c r="N643">
        <v>438</v>
      </c>
      <c r="O643" t="s">
        <v>16</v>
      </c>
    </row>
    <row r="644" spans="1:15" x14ac:dyDescent="0.3">
      <c r="A644" t="s">
        <v>5468</v>
      </c>
      <c r="B644" t="s">
        <v>5467</v>
      </c>
      <c r="C644" t="s">
        <v>0</v>
      </c>
      <c r="D644">
        <v>27</v>
      </c>
      <c r="E644" t="s">
        <v>31</v>
      </c>
      <c r="F644" t="s">
        <v>46</v>
      </c>
      <c r="G644" s="1">
        <v>46139</v>
      </c>
      <c r="H644" s="1">
        <v>46119</v>
      </c>
      <c r="I644" t="s">
        <v>5466</v>
      </c>
      <c r="J644" t="s">
        <v>5465</v>
      </c>
      <c r="K644" t="s">
        <v>26</v>
      </c>
      <c r="L644">
        <v>18936</v>
      </c>
      <c r="M644" t="s">
        <v>64</v>
      </c>
      <c r="N644">
        <v>126</v>
      </c>
      <c r="O644" t="s">
        <v>71</v>
      </c>
    </row>
    <row r="645" spans="1:15" x14ac:dyDescent="0.3">
      <c r="A645" t="s">
        <v>5464</v>
      </c>
      <c r="B645" t="s">
        <v>5463</v>
      </c>
      <c r="D645">
        <v>52</v>
      </c>
      <c r="E645" t="s">
        <v>68</v>
      </c>
      <c r="F645" t="s">
        <v>30</v>
      </c>
      <c r="G645" s="1">
        <v>46113</v>
      </c>
      <c r="H645" s="1">
        <v>46098</v>
      </c>
      <c r="I645" t="s">
        <v>5462</v>
      </c>
      <c r="J645" t="s">
        <v>5461</v>
      </c>
      <c r="K645" t="s">
        <v>17</v>
      </c>
      <c r="L645">
        <v>9619.06</v>
      </c>
      <c r="N645">
        <v>342</v>
      </c>
      <c r="O645" t="s">
        <v>43</v>
      </c>
    </row>
    <row r="646" spans="1:15" x14ac:dyDescent="0.3">
      <c r="A646" t="s">
        <v>5460</v>
      </c>
      <c r="B646" t="s">
        <v>5459</v>
      </c>
      <c r="C646" t="s">
        <v>0</v>
      </c>
      <c r="D646">
        <v>68</v>
      </c>
      <c r="E646" t="s">
        <v>54</v>
      </c>
      <c r="F646" t="s">
        <v>46</v>
      </c>
      <c r="G646" s="1">
        <v>46080</v>
      </c>
      <c r="H646" s="1">
        <v>46071</v>
      </c>
      <c r="I646" t="s">
        <v>5458</v>
      </c>
      <c r="J646" t="s">
        <v>5457</v>
      </c>
      <c r="L646">
        <v>9673.7000000000007</v>
      </c>
      <c r="M646" t="s">
        <v>17</v>
      </c>
      <c r="N646">
        <v>371</v>
      </c>
      <c r="O646" t="s">
        <v>25</v>
      </c>
    </row>
    <row r="647" spans="1:15" x14ac:dyDescent="0.3">
      <c r="A647" t="s">
        <v>5456</v>
      </c>
      <c r="B647" t="s">
        <v>5455</v>
      </c>
      <c r="C647" t="s">
        <v>40</v>
      </c>
      <c r="D647">
        <v>13</v>
      </c>
      <c r="E647" t="s">
        <v>31</v>
      </c>
      <c r="F647" t="s">
        <v>90</v>
      </c>
      <c r="G647" s="1">
        <v>46164</v>
      </c>
      <c r="H647" s="1">
        <v>46145</v>
      </c>
      <c r="I647" t="s">
        <v>5454</v>
      </c>
      <c r="K647" t="s">
        <v>26</v>
      </c>
      <c r="L647">
        <v>-500</v>
      </c>
      <c r="M647" t="s">
        <v>63</v>
      </c>
      <c r="N647">
        <v>510</v>
      </c>
      <c r="O647" t="s">
        <v>77</v>
      </c>
    </row>
    <row r="648" spans="1:15" x14ac:dyDescent="0.3">
      <c r="A648" t="s">
        <v>5453</v>
      </c>
      <c r="B648" t="s">
        <v>5452</v>
      </c>
      <c r="C648" t="s">
        <v>22</v>
      </c>
      <c r="D648">
        <v>84</v>
      </c>
      <c r="E648" t="s">
        <v>54</v>
      </c>
      <c r="F648" t="s">
        <v>85</v>
      </c>
      <c r="G648" s="1">
        <v>46106</v>
      </c>
      <c r="H648" s="1">
        <v>46082</v>
      </c>
      <c r="I648" t="s">
        <v>5451</v>
      </c>
      <c r="J648" t="s">
        <v>5450</v>
      </c>
      <c r="K648" t="s">
        <v>17</v>
      </c>
      <c r="L648">
        <v>18410.97</v>
      </c>
      <c r="M648" t="s">
        <v>57</v>
      </c>
      <c r="N648">
        <v>366</v>
      </c>
      <c r="O648" t="s">
        <v>43</v>
      </c>
    </row>
    <row r="649" spans="1:15" x14ac:dyDescent="0.3">
      <c r="A649" t="s">
        <v>5449</v>
      </c>
      <c r="B649" t="s">
        <v>5448</v>
      </c>
      <c r="C649" t="s">
        <v>0</v>
      </c>
      <c r="D649">
        <v>41</v>
      </c>
      <c r="E649" t="s">
        <v>47</v>
      </c>
      <c r="F649" t="s">
        <v>46</v>
      </c>
      <c r="G649" s="1">
        <v>46076</v>
      </c>
      <c r="H649" s="1">
        <v>46050</v>
      </c>
      <c r="I649" t="s">
        <v>5447</v>
      </c>
      <c r="J649" t="s">
        <v>5446</v>
      </c>
      <c r="K649" t="s">
        <v>64</v>
      </c>
      <c r="L649">
        <v>496.64</v>
      </c>
      <c r="M649" t="s">
        <v>64</v>
      </c>
      <c r="N649">
        <v>368</v>
      </c>
      <c r="O649" t="s">
        <v>77</v>
      </c>
    </row>
    <row r="650" spans="1:15" x14ac:dyDescent="0.3">
      <c r="A650" t="s">
        <v>5445</v>
      </c>
      <c r="B650" t="s">
        <v>5444</v>
      </c>
      <c r="D650">
        <v>45</v>
      </c>
      <c r="E650" t="s">
        <v>21</v>
      </c>
      <c r="F650" t="s">
        <v>30</v>
      </c>
      <c r="G650" s="1">
        <v>46005</v>
      </c>
      <c r="H650" s="1">
        <v>45997</v>
      </c>
      <c r="I650" t="s">
        <v>5443</v>
      </c>
      <c r="J650" t="s">
        <v>5442</v>
      </c>
      <c r="K650" t="s">
        <v>17</v>
      </c>
      <c r="L650">
        <v>1044.24</v>
      </c>
      <c r="M650" t="s">
        <v>64</v>
      </c>
      <c r="N650">
        <v>129</v>
      </c>
      <c r="O650" t="s">
        <v>34</v>
      </c>
    </row>
    <row r="651" spans="1:15" x14ac:dyDescent="0.3">
      <c r="A651" t="s">
        <v>5441</v>
      </c>
      <c r="B651" t="s">
        <v>5440</v>
      </c>
      <c r="C651" t="s">
        <v>1</v>
      </c>
      <c r="D651">
        <v>77</v>
      </c>
      <c r="E651" t="s">
        <v>80</v>
      </c>
      <c r="F651" t="s">
        <v>20</v>
      </c>
      <c r="G651" s="1">
        <v>46115</v>
      </c>
      <c r="H651" s="1">
        <v>46113</v>
      </c>
      <c r="I651" t="s">
        <v>5439</v>
      </c>
      <c r="J651" t="s">
        <v>5438</v>
      </c>
      <c r="K651" t="s">
        <v>35</v>
      </c>
      <c r="L651">
        <v>9523.77</v>
      </c>
      <c r="M651" t="s">
        <v>26</v>
      </c>
      <c r="N651">
        <v>156</v>
      </c>
      <c r="O651" t="s">
        <v>25</v>
      </c>
    </row>
    <row r="652" spans="1:15" x14ac:dyDescent="0.3">
      <c r="A652" t="s">
        <v>5437</v>
      </c>
      <c r="B652" t="s">
        <v>5436</v>
      </c>
      <c r="C652" t="s">
        <v>0</v>
      </c>
      <c r="D652">
        <v>33</v>
      </c>
      <c r="E652" t="s">
        <v>132</v>
      </c>
      <c r="F652" t="s">
        <v>85</v>
      </c>
      <c r="G652" s="1">
        <v>46093</v>
      </c>
      <c r="H652" s="1">
        <v>46072</v>
      </c>
      <c r="I652" t="s">
        <v>5435</v>
      </c>
      <c r="J652" t="s">
        <v>5434</v>
      </c>
      <c r="K652" t="s">
        <v>64</v>
      </c>
      <c r="L652">
        <v>16041.76</v>
      </c>
      <c r="M652" t="s">
        <v>63</v>
      </c>
      <c r="N652">
        <v>493</v>
      </c>
      <c r="O652" t="s">
        <v>16</v>
      </c>
    </row>
    <row r="653" spans="1:15" x14ac:dyDescent="0.3">
      <c r="A653" t="s">
        <v>5433</v>
      </c>
      <c r="B653" t="s">
        <v>5432</v>
      </c>
      <c r="C653" t="s">
        <v>60</v>
      </c>
      <c r="D653">
        <v>33</v>
      </c>
      <c r="E653" t="s">
        <v>39</v>
      </c>
      <c r="F653" t="s">
        <v>20</v>
      </c>
      <c r="G653" s="1">
        <v>45994</v>
      </c>
      <c r="H653" s="1">
        <v>45986</v>
      </c>
      <c r="I653" t="s">
        <v>5431</v>
      </c>
      <c r="J653" t="s">
        <v>5430</v>
      </c>
      <c r="K653" t="s">
        <v>27</v>
      </c>
      <c r="L653">
        <v>9693.42</v>
      </c>
      <c r="M653" t="s">
        <v>17</v>
      </c>
      <c r="N653">
        <v>130</v>
      </c>
      <c r="O653" t="s">
        <v>43</v>
      </c>
    </row>
    <row r="654" spans="1:15" x14ac:dyDescent="0.3">
      <c r="A654" t="s">
        <v>5429</v>
      </c>
      <c r="B654" t="s">
        <v>5428</v>
      </c>
      <c r="C654" t="s">
        <v>22</v>
      </c>
      <c r="D654">
        <v>23</v>
      </c>
      <c r="E654" t="s">
        <v>68</v>
      </c>
      <c r="F654" t="s">
        <v>20</v>
      </c>
      <c r="G654" s="1">
        <v>45992</v>
      </c>
      <c r="H654" s="1">
        <v>45977</v>
      </c>
      <c r="I654" t="s">
        <v>5427</v>
      </c>
      <c r="J654" t="s">
        <v>5426</v>
      </c>
      <c r="K654" t="s">
        <v>17</v>
      </c>
      <c r="L654">
        <v>15335.49</v>
      </c>
      <c r="M654" t="s">
        <v>26</v>
      </c>
      <c r="N654">
        <v>430</v>
      </c>
      <c r="O654" t="s">
        <v>16</v>
      </c>
    </row>
    <row r="655" spans="1:15" x14ac:dyDescent="0.3">
      <c r="A655" t="s">
        <v>5425</v>
      </c>
      <c r="B655" t="s">
        <v>5424</v>
      </c>
      <c r="C655" t="s">
        <v>74</v>
      </c>
      <c r="D655">
        <v>19</v>
      </c>
      <c r="E655" t="s">
        <v>54</v>
      </c>
      <c r="F655" t="s">
        <v>38</v>
      </c>
      <c r="G655" s="1">
        <v>46150</v>
      </c>
      <c r="H655" s="1">
        <v>46131</v>
      </c>
      <c r="I655" t="s">
        <v>5423</v>
      </c>
      <c r="J655" t="s">
        <v>5422</v>
      </c>
      <c r="K655" t="s">
        <v>64</v>
      </c>
      <c r="L655">
        <v>22832.71</v>
      </c>
      <c r="M655" t="s">
        <v>63</v>
      </c>
      <c r="N655">
        <v>152</v>
      </c>
      <c r="O655" t="s">
        <v>77</v>
      </c>
    </row>
    <row r="656" spans="1:15" x14ac:dyDescent="0.3">
      <c r="A656" t="s">
        <v>5421</v>
      </c>
      <c r="B656" t="s">
        <v>5420</v>
      </c>
      <c r="C656" t="s">
        <v>74</v>
      </c>
      <c r="D656">
        <v>10</v>
      </c>
      <c r="E656" t="s">
        <v>132</v>
      </c>
      <c r="F656" t="s">
        <v>85</v>
      </c>
      <c r="G656" s="1">
        <v>46087</v>
      </c>
      <c r="H656" s="1">
        <v>46087</v>
      </c>
      <c r="I656" t="s">
        <v>5419</v>
      </c>
      <c r="J656" t="s">
        <v>5418</v>
      </c>
      <c r="L656">
        <v>3891.59</v>
      </c>
      <c r="M656" t="s">
        <v>27</v>
      </c>
      <c r="N656">
        <v>119</v>
      </c>
      <c r="O656" t="s">
        <v>25</v>
      </c>
    </row>
    <row r="657" spans="1:15" x14ac:dyDescent="0.3">
      <c r="A657" t="s">
        <v>5417</v>
      </c>
      <c r="B657" t="s">
        <v>5416</v>
      </c>
      <c r="C657" t="s">
        <v>123</v>
      </c>
      <c r="D657">
        <v>35</v>
      </c>
      <c r="E657" t="s">
        <v>39</v>
      </c>
      <c r="F657" t="s">
        <v>67</v>
      </c>
      <c r="G657" s="1">
        <v>46133</v>
      </c>
      <c r="H657" s="1">
        <v>46138</v>
      </c>
      <c r="I657" t="s">
        <v>5415</v>
      </c>
      <c r="J657" t="s">
        <v>5414</v>
      </c>
      <c r="L657">
        <v>14451.08</v>
      </c>
      <c r="N657">
        <v>344</v>
      </c>
      <c r="O657" t="s">
        <v>16</v>
      </c>
    </row>
    <row r="658" spans="1:15" x14ac:dyDescent="0.3">
      <c r="A658" t="s">
        <v>5413</v>
      </c>
      <c r="B658" t="s">
        <v>5412</v>
      </c>
      <c r="C658" t="s">
        <v>123</v>
      </c>
      <c r="D658">
        <v>9</v>
      </c>
      <c r="E658" t="s">
        <v>21</v>
      </c>
      <c r="F658" t="s">
        <v>46</v>
      </c>
      <c r="G658" s="1">
        <v>46079</v>
      </c>
      <c r="H658" s="1">
        <v>46067</v>
      </c>
      <c r="I658" t="s">
        <v>5411</v>
      </c>
      <c r="J658" t="s">
        <v>5410</v>
      </c>
      <c r="L658">
        <v>3205.85</v>
      </c>
      <c r="M658" t="s">
        <v>17</v>
      </c>
      <c r="N658">
        <v>270</v>
      </c>
      <c r="O658" t="s">
        <v>25</v>
      </c>
    </row>
    <row r="659" spans="1:15" x14ac:dyDescent="0.3">
      <c r="A659" t="s">
        <v>5409</v>
      </c>
      <c r="B659" t="s">
        <v>5408</v>
      </c>
      <c r="C659" t="s">
        <v>22</v>
      </c>
      <c r="D659">
        <v>52</v>
      </c>
      <c r="E659" t="s">
        <v>47</v>
      </c>
      <c r="F659" t="s">
        <v>20</v>
      </c>
      <c r="G659" s="1">
        <v>46047</v>
      </c>
      <c r="H659" s="1">
        <v>46036</v>
      </c>
      <c r="I659" t="s">
        <v>5407</v>
      </c>
      <c r="J659" t="s">
        <v>5406</v>
      </c>
      <c r="K659" t="s">
        <v>57</v>
      </c>
      <c r="L659">
        <v>2195.33</v>
      </c>
      <c r="N659">
        <v>489</v>
      </c>
      <c r="O659" t="s">
        <v>50</v>
      </c>
    </row>
    <row r="660" spans="1:15" x14ac:dyDescent="0.3">
      <c r="A660" t="s">
        <v>5405</v>
      </c>
      <c r="B660" t="s">
        <v>5404</v>
      </c>
      <c r="C660" t="s">
        <v>22</v>
      </c>
      <c r="D660">
        <v>83</v>
      </c>
      <c r="E660" t="s">
        <v>21</v>
      </c>
      <c r="F660" t="s">
        <v>53</v>
      </c>
      <c r="G660" s="1">
        <v>46052</v>
      </c>
      <c r="H660" s="1">
        <v>46035</v>
      </c>
      <c r="I660" t="s">
        <v>5403</v>
      </c>
      <c r="J660" t="s">
        <v>5402</v>
      </c>
      <c r="K660" t="s">
        <v>27</v>
      </c>
      <c r="L660">
        <v>24194.32</v>
      </c>
      <c r="M660" t="s">
        <v>57</v>
      </c>
      <c r="N660">
        <v>253</v>
      </c>
      <c r="O660" t="s">
        <v>25</v>
      </c>
    </row>
    <row r="661" spans="1:15" x14ac:dyDescent="0.3">
      <c r="A661" t="s">
        <v>5401</v>
      </c>
      <c r="B661" t="s">
        <v>5400</v>
      </c>
      <c r="C661" t="s">
        <v>123</v>
      </c>
      <c r="D661">
        <v>14</v>
      </c>
      <c r="E661" t="s">
        <v>31</v>
      </c>
      <c r="F661" t="s">
        <v>85</v>
      </c>
      <c r="G661" s="1">
        <v>46076</v>
      </c>
      <c r="H661" s="1">
        <v>46074</v>
      </c>
      <c r="I661" t="s">
        <v>5399</v>
      </c>
      <c r="J661" t="s">
        <v>5398</v>
      </c>
      <c r="L661">
        <v>18436.04</v>
      </c>
      <c r="M661" t="s">
        <v>26</v>
      </c>
      <c r="N661">
        <v>118</v>
      </c>
      <c r="O661" t="s">
        <v>71</v>
      </c>
    </row>
    <row r="662" spans="1:15" x14ac:dyDescent="0.3">
      <c r="A662" t="s">
        <v>5397</v>
      </c>
      <c r="B662" t="s">
        <v>5396</v>
      </c>
      <c r="C662" t="s">
        <v>40</v>
      </c>
      <c r="D662">
        <v>76</v>
      </c>
      <c r="E662" t="s">
        <v>21</v>
      </c>
      <c r="F662" t="s">
        <v>85</v>
      </c>
      <c r="G662" s="1">
        <v>46141</v>
      </c>
      <c r="H662" s="1">
        <v>46129</v>
      </c>
      <c r="I662" t="s">
        <v>5395</v>
      </c>
      <c r="J662" t="s">
        <v>5394</v>
      </c>
      <c r="K662" t="s">
        <v>64</v>
      </c>
      <c r="L662">
        <v>19859.93</v>
      </c>
      <c r="M662" t="s">
        <v>63</v>
      </c>
      <c r="N662">
        <v>355</v>
      </c>
      <c r="O662" t="s">
        <v>34</v>
      </c>
    </row>
    <row r="663" spans="1:15" x14ac:dyDescent="0.3">
      <c r="A663" t="s">
        <v>5393</v>
      </c>
      <c r="B663" t="s">
        <v>5392</v>
      </c>
      <c r="D663">
        <v>3</v>
      </c>
      <c r="E663" t="s">
        <v>47</v>
      </c>
      <c r="F663" t="s">
        <v>67</v>
      </c>
      <c r="G663" s="1">
        <v>46073</v>
      </c>
      <c r="H663" s="1">
        <v>46072</v>
      </c>
      <c r="I663" t="s">
        <v>5391</v>
      </c>
      <c r="J663" t="s">
        <v>5390</v>
      </c>
      <c r="K663" t="s">
        <v>57</v>
      </c>
      <c r="L663">
        <v>19736.91</v>
      </c>
      <c r="M663" t="s">
        <v>27</v>
      </c>
      <c r="N663">
        <v>307</v>
      </c>
      <c r="O663" t="s">
        <v>77</v>
      </c>
    </row>
    <row r="664" spans="1:15" x14ac:dyDescent="0.3">
      <c r="A664" t="s">
        <v>5389</v>
      </c>
      <c r="B664" t="s">
        <v>5388</v>
      </c>
      <c r="C664" t="s">
        <v>1</v>
      </c>
      <c r="D664">
        <v>84</v>
      </c>
      <c r="E664" t="s">
        <v>68</v>
      </c>
      <c r="F664" t="s">
        <v>53</v>
      </c>
      <c r="G664" s="1">
        <v>46017</v>
      </c>
      <c r="H664" s="1">
        <v>45994</v>
      </c>
      <c r="I664" t="s">
        <v>5387</v>
      </c>
      <c r="J664" t="s">
        <v>5386</v>
      </c>
      <c r="K664" t="s">
        <v>17</v>
      </c>
      <c r="L664">
        <v>23135.43</v>
      </c>
      <c r="M664" t="s">
        <v>27</v>
      </c>
      <c r="N664">
        <v>476</v>
      </c>
      <c r="O664" t="s">
        <v>71</v>
      </c>
    </row>
    <row r="665" spans="1:15" x14ac:dyDescent="0.3">
      <c r="A665" t="s">
        <v>5385</v>
      </c>
      <c r="B665" t="s">
        <v>5384</v>
      </c>
      <c r="D665">
        <v>84</v>
      </c>
      <c r="E665" t="s">
        <v>47</v>
      </c>
      <c r="F665" t="s">
        <v>85</v>
      </c>
      <c r="G665" s="1">
        <v>46147</v>
      </c>
      <c r="H665" s="1">
        <v>46118</v>
      </c>
      <c r="I665" t="s">
        <v>5383</v>
      </c>
      <c r="J665" t="s">
        <v>5382</v>
      </c>
      <c r="K665" t="s">
        <v>27</v>
      </c>
      <c r="L665">
        <v>6218.53</v>
      </c>
      <c r="M665" t="s">
        <v>26</v>
      </c>
      <c r="N665">
        <v>107</v>
      </c>
      <c r="O665" t="s">
        <v>71</v>
      </c>
    </row>
    <row r="666" spans="1:15" x14ac:dyDescent="0.3">
      <c r="A666" t="s">
        <v>5381</v>
      </c>
      <c r="B666" t="s">
        <v>5380</v>
      </c>
      <c r="C666" t="s">
        <v>40</v>
      </c>
      <c r="D666">
        <v>40</v>
      </c>
      <c r="E666" t="s">
        <v>80</v>
      </c>
      <c r="F666" t="s">
        <v>85</v>
      </c>
      <c r="G666" s="1">
        <v>46091</v>
      </c>
      <c r="H666" s="1">
        <v>46072</v>
      </c>
      <c r="I666" t="s">
        <v>5379</v>
      </c>
      <c r="J666" t="s">
        <v>5378</v>
      </c>
      <c r="K666" t="s">
        <v>35</v>
      </c>
      <c r="L666">
        <v>20916.73</v>
      </c>
      <c r="M666" t="s">
        <v>64</v>
      </c>
      <c r="N666">
        <v>518</v>
      </c>
      <c r="O666" t="s">
        <v>50</v>
      </c>
    </row>
    <row r="667" spans="1:15" x14ac:dyDescent="0.3">
      <c r="A667" t="s">
        <v>5377</v>
      </c>
      <c r="B667" t="s">
        <v>5376</v>
      </c>
      <c r="C667" t="s">
        <v>74</v>
      </c>
      <c r="D667">
        <v>15</v>
      </c>
      <c r="E667" t="s">
        <v>68</v>
      </c>
      <c r="F667" t="s">
        <v>38</v>
      </c>
      <c r="G667" s="1">
        <v>46050</v>
      </c>
      <c r="H667" s="1">
        <v>46048</v>
      </c>
      <c r="I667" t="s">
        <v>5375</v>
      </c>
      <c r="J667" t="s">
        <v>5374</v>
      </c>
      <c r="K667" t="s">
        <v>17</v>
      </c>
      <c r="L667">
        <v>10770.04</v>
      </c>
      <c r="N667">
        <v>266</v>
      </c>
      <c r="O667" t="s">
        <v>77</v>
      </c>
    </row>
    <row r="668" spans="1:15" x14ac:dyDescent="0.3">
      <c r="A668" t="s">
        <v>5373</v>
      </c>
      <c r="B668" t="s">
        <v>5372</v>
      </c>
      <c r="C668" t="s">
        <v>0</v>
      </c>
      <c r="D668">
        <v>42</v>
      </c>
      <c r="E668" t="s">
        <v>21</v>
      </c>
      <c r="F668" t="s">
        <v>46</v>
      </c>
      <c r="G668" s="1">
        <v>46103</v>
      </c>
      <c r="H668" s="1">
        <v>46085</v>
      </c>
      <c r="I668" t="s">
        <v>5371</v>
      </c>
      <c r="J668" t="s">
        <v>5370</v>
      </c>
      <c r="K668" t="s">
        <v>35</v>
      </c>
      <c r="L668">
        <v>8520.49</v>
      </c>
      <c r="M668" t="s">
        <v>64</v>
      </c>
      <c r="N668">
        <v>240</v>
      </c>
      <c r="O668" t="s">
        <v>71</v>
      </c>
    </row>
    <row r="669" spans="1:15" x14ac:dyDescent="0.3">
      <c r="A669" t="s">
        <v>5369</v>
      </c>
      <c r="B669" t="s">
        <v>5368</v>
      </c>
      <c r="C669" t="s">
        <v>123</v>
      </c>
      <c r="D669">
        <v>22</v>
      </c>
      <c r="E669" t="s">
        <v>31</v>
      </c>
      <c r="F669" t="s">
        <v>53</v>
      </c>
      <c r="G669" s="1">
        <v>46153</v>
      </c>
      <c r="H669" s="1">
        <v>46139</v>
      </c>
      <c r="I669" t="s">
        <v>5367</v>
      </c>
      <c r="J669" t="s">
        <v>5366</v>
      </c>
      <c r="K669" t="s">
        <v>17</v>
      </c>
      <c r="L669">
        <v>23156.75</v>
      </c>
      <c r="M669" t="s">
        <v>27</v>
      </c>
      <c r="N669">
        <v>168</v>
      </c>
      <c r="O669" t="s">
        <v>77</v>
      </c>
    </row>
    <row r="670" spans="1:15" x14ac:dyDescent="0.3">
      <c r="A670" t="s">
        <v>5365</v>
      </c>
      <c r="B670" t="s">
        <v>5364</v>
      </c>
      <c r="C670" t="s">
        <v>123</v>
      </c>
      <c r="D670">
        <v>21</v>
      </c>
      <c r="E670" t="s">
        <v>47</v>
      </c>
      <c r="F670" t="s">
        <v>85</v>
      </c>
      <c r="G670" s="1">
        <v>45994</v>
      </c>
      <c r="H670" s="1">
        <v>45992</v>
      </c>
      <c r="I670" t="s">
        <v>5363</v>
      </c>
      <c r="J670" t="s">
        <v>5362</v>
      </c>
      <c r="K670" t="s">
        <v>27</v>
      </c>
      <c r="L670">
        <v>379.16</v>
      </c>
      <c r="M670" t="s">
        <v>64</v>
      </c>
      <c r="N670">
        <v>461</v>
      </c>
      <c r="O670" t="s">
        <v>25</v>
      </c>
    </row>
    <row r="671" spans="1:15" x14ac:dyDescent="0.3">
      <c r="A671" t="s">
        <v>5361</v>
      </c>
      <c r="B671" t="s">
        <v>5360</v>
      </c>
      <c r="C671" t="s">
        <v>22</v>
      </c>
      <c r="D671">
        <v>54</v>
      </c>
      <c r="E671" t="s">
        <v>68</v>
      </c>
      <c r="F671" t="s">
        <v>53</v>
      </c>
      <c r="G671" s="1">
        <v>46086</v>
      </c>
      <c r="H671" s="1">
        <v>46080</v>
      </c>
      <c r="I671" t="s">
        <v>5359</v>
      </c>
      <c r="J671" t="s">
        <v>5358</v>
      </c>
      <c r="K671" t="s">
        <v>35</v>
      </c>
      <c r="L671">
        <v>16067.68</v>
      </c>
      <c r="N671">
        <v>310</v>
      </c>
      <c r="O671" t="s">
        <v>71</v>
      </c>
    </row>
    <row r="672" spans="1:15" x14ac:dyDescent="0.3">
      <c r="A672" t="s">
        <v>5357</v>
      </c>
      <c r="B672" t="s">
        <v>5356</v>
      </c>
      <c r="C672" t="s">
        <v>0</v>
      </c>
      <c r="D672">
        <v>79</v>
      </c>
      <c r="E672" t="s">
        <v>47</v>
      </c>
      <c r="F672" t="s">
        <v>53</v>
      </c>
      <c r="G672" s="1">
        <v>46086</v>
      </c>
      <c r="H672" s="1">
        <v>46064</v>
      </c>
      <c r="I672" t="s">
        <v>5355</v>
      </c>
      <c r="J672" t="s">
        <v>5354</v>
      </c>
      <c r="L672">
        <v>15378.84</v>
      </c>
      <c r="M672" t="s">
        <v>64</v>
      </c>
      <c r="N672">
        <v>421</v>
      </c>
      <c r="O672" t="s">
        <v>50</v>
      </c>
    </row>
    <row r="673" spans="1:15" x14ac:dyDescent="0.3">
      <c r="A673" t="s">
        <v>5353</v>
      </c>
      <c r="B673" t="s">
        <v>5352</v>
      </c>
      <c r="C673" t="s">
        <v>22</v>
      </c>
      <c r="D673">
        <v>45</v>
      </c>
      <c r="E673" t="s">
        <v>54</v>
      </c>
      <c r="F673" t="s">
        <v>46</v>
      </c>
      <c r="G673" s="1">
        <v>46158</v>
      </c>
      <c r="H673" s="1">
        <v>46141</v>
      </c>
      <c r="I673" t="s">
        <v>5351</v>
      </c>
      <c r="J673" t="s">
        <v>5350</v>
      </c>
      <c r="K673" t="s">
        <v>17</v>
      </c>
      <c r="L673">
        <v>4959.1899999999996</v>
      </c>
      <c r="M673" t="s">
        <v>64</v>
      </c>
      <c r="N673">
        <v>416</v>
      </c>
      <c r="O673" t="s">
        <v>43</v>
      </c>
    </row>
    <row r="674" spans="1:15" x14ac:dyDescent="0.3">
      <c r="A674" t="s">
        <v>5349</v>
      </c>
      <c r="B674" t="s">
        <v>5348</v>
      </c>
      <c r="C674" t="s">
        <v>1</v>
      </c>
      <c r="D674">
        <v>60</v>
      </c>
      <c r="E674" t="s">
        <v>21</v>
      </c>
      <c r="F674" t="s">
        <v>30</v>
      </c>
      <c r="G674" s="1">
        <v>46022</v>
      </c>
      <c r="H674" s="1">
        <v>46021</v>
      </c>
      <c r="I674" t="s">
        <v>5347</v>
      </c>
      <c r="J674" t="s">
        <v>5346</v>
      </c>
      <c r="K674" t="s">
        <v>17</v>
      </c>
      <c r="L674">
        <v>2994.44</v>
      </c>
      <c r="M674" t="s">
        <v>26</v>
      </c>
      <c r="N674">
        <v>450</v>
      </c>
      <c r="O674" t="s">
        <v>50</v>
      </c>
    </row>
    <row r="675" spans="1:15" x14ac:dyDescent="0.3">
      <c r="A675" t="s">
        <v>5345</v>
      </c>
      <c r="B675" t="s">
        <v>5344</v>
      </c>
      <c r="D675">
        <v>64</v>
      </c>
      <c r="E675" t="s">
        <v>39</v>
      </c>
      <c r="F675" t="s">
        <v>53</v>
      </c>
      <c r="G675" s="1">
        <v>46060</v>
      </c>
      <c r="H675" s="1">
        <v>46039</v>
      </c>
      <c r="I675" t="s">
        <v>5343</v>
      </c>
      <c r="J675" t="s">
        <v>5342</v>
      </c>
      <c r="K675" t="s">
        <v>27</v>
      </c>
      <c r="L675">
        <v>1539.88</v>
      </c>
      <c r="M675" t="s">
        <v>17</v>
      </c>
      <c r="N675">
        <v>245</v>
      </c>
      <c r="O675" t="s">
        <v>71</v>
      </c>
    </row>
    <row r="676" spans="1:15" x14ac:dyDescent="0.3">
      <c r="A676" t="s">
        <v>5341</v>
      </c>
      <c r="B676" t="s">
        <v>5340</v>
      </c>
      <c r="C676" t="s">
        <v>123</v>
      </c>
      <c r="D676">
        <v>33</v>
      </c>
      <c r="E676" t="s">
        <v>31</v>
      </c>
      <c r="F676" t="s">
        <v>85</v>
      </c>
      <c r="G676" s="1">
        <v>46119</v>
      </c>
      <c r="H676" s="1">
        <v>46118</v>
      </c>
      <c r="I676" t="s">
        <v>5339</v>
      </c>
      <c r="J676" t="s">
        <v>5338</v>
      </c>
      <c r="K676" t="s">
        <v>64</v>
      </c>
      <c r="L676">
        <v>18562.34</v>
      </c>
      <c r="M676" t="s">
        <v>26</v>
      </c>
      <c r="N676">
        <v>180</v>
      </c>
      <c r="O676" t="s">
        <v>50</v>
      </c>
    </row>
    <row r="677" spans="1:15" x14ac:dyDescent="0.3">
      <c r="A677" t="s">
        <v>5337</v>
      </c>
      <c r="B677" t="s">
        <v>5336</v>
      </c>
      <c r="C677" t="s">
        <v>40</v>
      </c>
      <c r="D677">
        <v>63</v>
      </c>
      <c r="E677" t="s">
        <v>80</v>
      </c>
      <c r="F677" t="s">
        <v>20</v>
      </c>
      <c r="G677" s="1">
        <v>46041</v>
      </c>
      <c r="H677" s="1">
        <v>46013</v>
      </c>
      <c r="I677" t="s">
        <v>5335</v>
      </c>
      <c r="J677" t="s">
        <v>5334</v>
      </c>
      <c r="K677" t="s">
        <v>17</v>
      </c>
      <c r="L677">
        <v>18090.8</v>
      </c>
      <c r="M677" t="s">
        <v>17</v>
      </c>
      <c r="N677">
        <v>314</v>
      </c>
      <c r="O677" t="s">
        <v>71</v>
      </c>
    </row>
    <row r="678" spans="1:15" x14ac:dyDescent="0.3">
      <c r="A678" t="s">
        <v>5333</v>
      </c>
      <c r="B678" t="s">
        <v>5332</v>
      </c>
      <c r="C678" t="s">
        <v>60</v>
      </c>
      <c r="D678">
        <v>30</v>
      </c>
      <c r="E678" t="s">
        <v>80</v>
      </c>
      <c r="F678" t="s">
        <v>67</v>
      </c>
      <c r="G678" s="1">
        <v>46076</v>
      </c>
      <c r="H678" s="1">
        <v>46069</v>
      </c>
      <c r="I678" t="s">
        <v>5331</v>
      </c>
      <c r="J678" t="s">
        <v>5330</v>
      </c>
      <c r="K678" t="s">
        <v>64</v>
      </c>
      <c r="L678">
        <v>6080.54</v>
      </c>
      <c r="N678">
        <v>545</v>
      </c>
      <c r="O678" t="s">
        <v>71</v>
      </c>
    </row>
    <row r="679" spans="1:15" x14ac:dyDescent="0.3">
      <c r="A679" t="s">
        <v>5329</v>
      </c>
      <c r="B679" t="s">
        <v>5328</v>
      </c>
      <c r="C679" t="s">
        <v>123</v>
      </c>
      <c r="D679">
        <v>29</v>
      </c>
      <c r="E679" t="s">
        <v>80</v>
      </c>
      <c r="F679" t="s">
        <v>85</v>
      </c>
      <c r="G679" s="1">
        <v>46039</v>
      </c>
      <c r="H679" s="1">
        <v>46021</v>
      </c>
      <c r="I679" t="s">
        <v>5327</v>
      </c>
      <c r="J679" t="s">
        <v>5326</v>
      </c>
      <c r="L679">
        <v>1547.62</v>
      </c>
      <c r="N679">
        <v>174</v>
      </c>
      <c r="O679" t="s">
        <v>71</v>
      </c>
    </row>
    <row r="680" spans="1:15" x14ac:dyDescent="0.3">
      <c r="A680" t="s">
        <v>5325</v>
      </c>
      <c r="B680" t="s">
        <v>5324</v>
      </c>
      <c r="D680">
        <v>23</v>
      </c>
      <c r="E680" t="s">
        <v>54</v>
      </c>
      <c r="F680" t="s">
        <v>67</v>
      </c>
      <c r="G680" s="1">
        <v>45980</v>
      </c>
      <c r="H680" s="1">
        <v>45976</v>
      </c>
      <c r="I680" t="s">
        <v>5323</v>
      </c>
      <c r="J680" t="s">
        <v>5322</v>
      </c>
      <c r="L680">
        <v>18051.57</v>
      </c>
      <c r="M680" t="s">
        <v>17</v>
      </c>
      <c r="N680">
        <v>238</v>
      </c>
      <c r="O680" t="s">
        <v>71</v>
      </c>
    </row>
    <row r="681" spans="1:15" x14ac:dyDescent="0.3">
      <c r="A681" t="s">
        <v>5321</v>
      </c>
      <c r="B681" t="s">
        <v>5320</v>
      </c>
      <c r="C681" t="s">
        <v>60</v>
      </c>
      <c r="D681">
        <v>17</v>
      </c>
      <c r="E681" t="s">
        <v>47</v>
      </c>
      <c r="F681" t="s">
        <v>46</v>
      </c>
      <c r="G681" s="1">
        <v>46128</v>
      </c>
      <c r="H681" s="1">
        <v>46120</v>
      </c>
      <c r="I681" t="s">
        <v>5319</v>
      </c>
      <c r="J681" t="s">
        <v>5318</v>
      </c>
      <c r="K681" t="s">
        <v>35</v>
      </c>
      <c r="L681">
        <v>2955.51</v>
      </c>
      <c r="N681">
        <v>334</v>
      </c>
      <c r="O681" t="s">
        <v>16</v>
      </c>
    </row>
    <row r="682" spans="1:15" x14ac:dyDescent="0.3">
      <c r="A682" t="s">
        <v>5317</v>
      </c>
      <c r="B682" t="s">
        <v>5316</v>
      </c>
      <c r="C682" t="s">
        <v>0</v>
      </c>
      <c r="D682">
        <v>44</v>
      </c>
      <c r="E682" t="s">
        <v>21</v>
      </c>
      <c r="F682" t="s">
        <v>30</v>
      </c>
      <c r="G682" s="1">
        <v>45995</v>
      </c>
      <c r="H682" s="1">
        <v>45976</v>
      </c>
      <c r="I682" t="s">
        <v>5315</v>
      </c>
      <c r="J682" t="s">
        <v>5314</v>
      </c>
      <c r="K682" t="s">
        <v>35</v>
      </c>
      <c r="L682">
        <v>19780.759999999998</v>
      </c>
      <c r="M682" t="s">
        <v>26</v>
      </c>
      <c r="N682">
        <v>395</v>
      </c>
      <c r="O682" t="s">
        <v>34</v>
      </c>
    </row>
    <row r="683" spans="1:15" x14ac:dyDescent="0.3">
      <c r="A683" t="s">
        <v>5313</v>
      </c>
      <c r="B683" t="s">
        <v>5312</v>
      </c>
      <c r="C683" t="s">
        <v>1</v>
      </c>
      <c r="D683">
        <v>12</v>
      </c>
      <c r="E683" t="s">
        <v>54</v>
      </c>
      <c r="F683" t="s">
        <v>85</v>
      </c>
      <c r="G683" s="1">
        <v>46153</v>
      </c>
      <c r="H683" s="1">
        <v>46126</v>
      </c>
      <c r="I683" t="s">
        <v>5311</v>
      </c>
      <c r="J683" t="s">
        <v>5310</v>
      </c>
      <c r="K683" t="s">
        <v>17</v>
      </c>
      <c r="L683">
        <v>14871.21</v>
      </c>
      <c r="N683">
        <v>242</v>
      </c>
      <c r="O683" t="s">
        <v>77</v>
      </c>
    </row>
    <row r="684" spans="1:15" x14ac:dyDescent="0.3">
      <c r="A684" t="s">
        <v>5309</v>
      </c>
      <c r="B684" t="s">
        <v>5308</v>
      </c>
      <c r="C684" t="s">
        <v>123</v>
      </c>
      <c r="D684">
        <v>32</v>
      </c>
      <c r="E684" t="s">
        <v>21</v>
      </c>
      <c r="F684" t="s">
        <v>67</v>
      </c>
      <c r="G684" s="1">
        <v>46088</v>
      </c>
      <c r="H684" s="1">
        <v>46075</v>
      </c>
      <c r="I684" t="s">
        <v>5307</v>
      </c>
      <c r="J684" t="s">
        <v>5306</v>
      </c>
      <c r="K684" t="s">
        <v>17</v>
      </c>
      <c r="L684">
        <v>22317.200000000001</v>
      </c>
      <c r="M684" t="s">
        <v>26</v>
      </c>
      <c r="N684">
        <v>393</v>
      </c>
      <c r="O684" t="s">
        <v>77</v>
      </c>
    </row>
    <row r="685" spans="1:15" x14ac:dyDescent="0.3">
      <c r="A685" t="s">
        <v>5305</v>
      </c>
      <c r="B685" t="s">
        <v>5304</v>
      </c>
      <c r="C685" t="s">
        <v>123</v>
      </c>
      <c r="D685">
        <v>6</v>
      </c>
      <c r="E685" t="s">
        <v>47</v>
      </c>
      <c r="F685" t="s">
        <v>85</v>
      </c>
      <c r="G685" s="1">
        <v>46118</v>
      </c>
      <c r="H685" s="1">
        <v>46095</v>
      </c>
      <c r="I685" t="s">
        <v>5303</v>
      </c>
      <c r="J685" t="s">
        <v>5302</v>
      </c>
      <c r="K685" t="s">
        <v>27</v>
      </c>
      <c r="L685">
        <v>10757.3</v>
      </c>
      <c r="N685">
        <v>345</v>
      </c>
      <c r="O685" t="s">
        <v>50</v>
      </c>
    </row>
    <row r="686" spans="1:15" x14ac:dyDescent="0.3">
      <c r="A686" t="s">
        <v>5301</v>
      </c>
      <c r="B686" t="s">
        <v>5300</v>
      </c>
      <c r="C686" t="s">
        <v>74</v>
      </c>
      <c r="D686">
        <v>58</v>
      </c>
      <c r="E686" t="s">
        <v>68</v>
      </c>
      <c r="F686" t="s">
        <v>38</v>
      </c>
      <c r="G686" s="1">
        <v>46059</v>
      </c>
      <c r="H686" s="1">
        <v>46057</v>
      </c>
      <c r="I686" t="s">
        <v>5299</v>
      </c>
      <c r="J686" t="s">
        <v>5298</v>
      </c>
      <c r="K686" t="s">
        <v>27</v>
      </c>
      <c r="L686">
        <v>17390.36</v>
      </c>
      <c r="N686">
        <v>211</v>
      </c>
      <c r="O686" t="s">
        <v>71</v>
      </c>
    </row>
    <row r="687" spans="1:15" x14ac:dyDescent="0.3">
      <c r="A687" t="s">
        <v>572</v>
      </c>
      <c r="B687" t="s">
        <v>5297</v>
      </c>
      <c r="C687" t="s">
        <v>60</v>
      </c>
      <c r="D687">
        <v>38</v>
      </c>
      <c r="E687" t="s">
        <v>21</v>
      </c>
      <c r="F687" t="s">
        <v>20</v>
      </c>
      <c r="G687" s="1">
        <v>45996</v>
      </c>
      <c r="H687" s="1">
        <v>45996</v>
      </c>
      <c r="I687" t="s">
        <v>5296</v>
      </c>
      <c r="J687" t="s">
        <v>5295</v>
      </c>
      <c r="L687">
        <v>16792.080000000002</v>
      </c>
      <c r="M687" t="s">
        <v>26</v>
      </c>
      <c r="N687">
        <v>460</v>
      </c>
      <c r="O687" t="s">
        <v>16</v>
      </c>
    </row>
    <row r="688" spans="1:15" x14ac:dyDescent="0.3">
      <c r="A688" t="s">
        <v>5294</v>
      </c>
      <c r="B688" t="s">
        <v>5293</v>
      </c>
      <c r="C688" t="s">
        <v>40</v>
      </c>
      <c r="D688">
        <v>59</v>
      </c>
      <c r="E688" t="s">
        <v>68</v>
      </c>
      <c r="F688" t="s">
        <v>53</v>
      </c>
      <c r="G688" s="1">
        <v>46077</v>
      </c>
      <c r="H688" s="1">
        <v>46050</v>
      </c>
      <c r="I688" t="s">
        <v>5292</v>
      </c>
      <c r="J688" t="s">
        <v>5291</v>
      </c>
      <c r="L688">
        <v>4786.6499999999996</v>
      </c>
      <c r="M688" t="s">
        <v>17</v>
      </c>
      <c r="N688">
        <v>420</v>
      </c>
      <c r="O688" t="s">
        <v>16</v>
      </c>
    </row>
    <row r="689" spans="1:15" x14ac:dyDescent="0.3">
      <c r="A689" t="s">
        <v>5290</v>
      </c>
      <c r="B689" t="s">
        <v>5289</v>
      </c>
      <c r="C689" t="s">
        <v>40</v>
      </c>
      <c r="D689">
        <v>81</v>
      </c>
      <c r="E689" t="s">
        <v>80</v>
      </c>
      <c r="F689" t="s">
        <v>90</v>
      </c>
      <c r="G689" s="1">
        <v>46075</v>
      </c>
      <c r="H689" s="1">
        <v>46047</v>
      </c>
      <c r="I689" t="s">
        <v>5288</v>
      </c>
      <c r="J689" t="s">
        <v>5287</v>
      </c>
      <c r="K689" t="s">
        <v>57</v>
      </c>
      <c r="L689">
        <v>13366.82</v>
      </c>
      <c r="M689" t="s">
        <v>63</v>
      </c>
      <c r="N689">
        <v>318</v>
      </c>
      <c r="O689" t="s">
        <v>50</v>
      </c>
    </row>
    <row r="690" spans="1:15" x14ac:dyDescent="0.3">
      <c r="A690" t="s">
        <v>5286</v>
      </c>
      <c r="B690" t="s">
        <v>5285</v>
      </c>
      <c r="C690" t="s">
        <v>22</v>
      </c>
      <c r="D690">
        <v>90</v>
      </c>
      <c r="E690" t="s">
        <v>21</v>
      </c>
      <c r="F690" t="s">
        <v>20</v>
      </c>
      <c r="G690" s="1">
        <v>46008</v>
      </c>
      <c r="H690" s="1">
        <v>45989</v>
      </c>
      <c r="I690" t="s">
        <v>5284</v>
      </c>
      <c r="J690" t="s">
        <v>5283</v>
      </c>
      <c r="K690" t="s">
        <v>57</v>
      </c>
      <c r="L690">
        <v>18446.87</v>
      </c>
      <c r="M690" t="s">
        <v>27</v>
      </c>
      <c r="N690">
        <v>363</v>
      </c>
      <c r="O690" t="s">
        <v>25</v>
      </c>
    </row>
    <row r="691" spans="1:15" x14ac:dyDescent="0.3">
      <c r="A691" t="s">
        <v>5282</v>
      </c>
      <c r="B691" t="s">
        <v>5281</v>
      </c>
      <c r="C691" t="s">
        <v>60</v>
      </c>
      <c r="D691">
        <v>7</v>
      </c>
      <c r="E691" t="s">
        <v>80</v>
      </c>
      <c r="F691" t="s">
        <v>90</v>
      </c>
      <c r="G691" s="1">
        <v>46097</v>
      </c>
      <c r="H691" s="1">
        <v>46086</v>
      </c>
      <c r="I691" t="s">
        <v>5280</v>
      </c>
      <c r="J691" t="s">
        <v>5279</v>
      </c>
      <c r="L691">
        <v>15554.51</v>
      </c>
      <c r="M691" t="s">
        <v>17</v>
      </c>
      <c r="N691">
        <v>287</v>
      </c>
      <c r="O691" t="s">
        <v>71</v>
      </c>
    </row>
    <row r="692" spans="1:15" x14ac:dyDescent="0.3">
      <c r="A692" t="s">
        <v>5278</v>
      </c>
      <c r="B692" t="s">
        <v>5277</v>
      </c>
      <c r="C692" t="s">
        <v>74</v>
      </c>
      <c r="D692">
        <v>72</v>
      </c>
      <c r="E692" t="s">
        <v>21</v>
      </c>
      <c r="F692" t="s">
        <v>53</v>
      </c>
      <c r="G692" s="1">
        <v>46150</v>
      </c>
      <c r="H692" s="1">
        <v>46140</v>
      </c>
      <c r="I692" t="s">
        <v>5276</v>
      </c>
      <c r="J692" t="s">
        <v>5275</v>
      </c>
      <c r="K692" t="s">
        <v>17</v>
      </c>
      <c r="L692">
        <v>13582.92</v>
      </c>
      <c r="N692">
        <v>477</v>
      </c>
      <c r="O692" t="s">
        <v>50</v>
      </c>
    </row>
    <row r="693" spans="1:15" x14ac:dyDescent="0.3">
      <c r="A693" t="s">
        <v>5274</v>
      </c>
      <c r="B693" t="s">
        <v>5273</v>
      </c>
      <c r="C693" t="s">
        <v>1</v>
      </c>
      <c r="D693">
        <v>29</v>
      </c>
      <c r="E693" t="s">
        <v>31</v>
      </c>
      <c r="F693" t="s">
        <v>67</v>
      </c>
      <c r="G693" s="1">
        <v>46099</v>
      </c>
      <c r="H693" s="1">
        <v>46071</v>
      </c>
      <c r="I693" t="s">
        <v>5272</v>
      </c>
      <c r="J693" t="s">
        <v>5271</v>
      </c>
      <c r="K693" t="s">
        <v>26</v>
      </c>
      <c r="L693">
        <v>12688.44</v>
      </c>
      <c r="N693">
        <v>241</v>
      </c>
      <c r="O693" t="s">
        <v>77</v>
      </c>
    </row>
    <row r="694" spans="1:15" x14ac:dyDescent="0.3">
      <c r="A694" t="s">
        <v>5270</v>
      </c>
      <c r="B694" t="s">
        <v>5269</v>
      </c>
      <c r="C694" t="s">
        <v>74</v>
      </c>
      <c r="D694">
        <v>48</v>
      </c>
      <c r="E694" t="s">
        <v>31</v>
      </c>
      <c r="F694" t="s">
        <v>85</v>
      </c>
      <c r="G694" s="1">
        <v>45992</v>
      </c>
      <c r="H694" s="1">
        <v>45977</v>
      </c>
      <c r="I694" t="s">
        <v>5268</v>
      </c>
      <c r="J694" t="s">
        <v>5267</v>
      </c>
      <c r="K694" t="s">
        <v>64</v>
      </c>
      <c r="L694">
        <v>11860.06</v>
      </c>
      <c r="M694" t="s">
        <v>63</v>
      </c>
      <c r="N694">
        <v>331</v>
      </c>
      <c r="O694" t="s">
        <v>34</v>
      </c>
    </row>
    <row r="695" spans="1:15" x14ac:dyDescent="0.3">
      <c r="A695" t="s">
        <v>5266</v>
      </c>
      <c r="B695" t="s">
        <v>5265</v>
      </c>
      <c r="C695" t="s">
        <v>60</v>
      </c>
      <c r="D695">
        <v>87</v>
      </c>
      <c r="E695" t="s">
        <v>80</v>
      </c>
      <c r="F695" t="s">
        <v>38</v>
      </c>
      <c r="G695" s="1">
        <v>46048</v>
      </c>
      <c r="H695" s="1">
        <v>46020</v>
      </c>
      <c r="I695" t="s">
        <v>5264</v>
      </c>
      <c r="J695" t="s">
        <v>5263</v>
      </c>
      <c r="L695">
        <v>2365.2600000000002</v>
      </c>
      <c r="N695">
        <v>191</v>
      </c>
      <c r="O695" t="s">
        <v>43</v>
      </c>
    </row>
    <row r="696" spans="1:15" x14ac:dyDescent="0.3">
      <c r="A696" t="s">
        <v>5262</v>
      </c>
      <c r="B696" t="s">
        <v>5261</v>
      </c>
      <c r="C696" t="s">
        <v>74</v>
      </c>
      <c r="D696">
        <v>14</v>
      </c>
      <c r="E696" t="s">
        <v>39</v>
      </c>
      <c r="F696" t="s">
        <v>30</v>
      </c>
      <c r="G696" s="1">
        <v>46151</v>
      </c>
      <c r="H696" s="1">
        <v>46148</v>
      </c>
      <c r="I696" t="s">
        <v>5260</v>
      </c>
      <c r="J696" t="s">
        <v>5259</v>
      </c>
      <c r="K696" t="s">
        <v>35</v>
      </c>
      <c r="L696">
        <v>12508.95</v>
      </c>
      <c r="M696" t="s">
        <v>57</v>
      </c>
      <c r="N696">
        <v>366</v>
      </c>
      <c r="O696" t="s">
        <v>25</v>
      </c>
    </row>
    <row r="697" spans="1:15" x14ac:dyDescent="0.3">
      <c r="A697" t="s">
        <v>5258</v>
      </c>
      <c r="B697" t="s">
        <v>5257</v>
      </c>
      <c r="C697" t="s">
        <v>40</v>
      </c>
      <c r="D697">
        <v>38</v>
      </c>
      <c r="E697" t="s">
        <v>54</v>
      </c>
      <c r="F697" t="s">
        <v>53</v>
      </c>
      <c r="G697" s="1">
        <v>46009</v>
      </c>
      <c r="H697" s="1">
        <v>45994</v>
      </c>
      <c r="I697" t="s">
        <v>5256</v>
      </c>
      <c r="J697" t="s">
        <v>5255</v>
      </c>
      <c r="K697" t="s">
        <v>57</v>
      </c>
      <c r="L697">
        <v>10619.22</v>
      </c>
      <c r="M697" t="s">
        <v>27</v>
      </c>
      <c r="N697">
        <v>249</v>
      </c>
      <c r="O697" t="s">
        <v>71</v>
      </c>
    </row>
    <row r="698" spans="1:15" x14ac:dyDescent="0.3">
      <c r="A698" t="s">
        <v>5254</v>
      </c>
      <c r="B698" t="s">
        <v>5253</v>
      </c>
      <c r="C698" t="s">
        <v>74</v>
      </c>
      <c r="D698">
        <v>3</v>
      </c>
      <c r="E698" t="s">
        <v>21</v>
      </c>
      <c r="F698" t="s">
        <v>67</v>
      </c>
      <c r="G698" s="1">
        <v>46132</v>
      </c>
      <c r="H698" s="1">
        <v>46119</v>
      </c>
      <c r="I698" t="s">
        <v>5252</v>
      </c>
      <c r="J698" t="s">
        <v>5251</v>
      </c>
      <c r="K698" t="s">
        <v>57</v>
      </c>
      <c r="L698">
        <v>16462.86</v>
      </c>
      <c r="M698" t="s">
        <v>17</v>
      </c>
      <c r="N698">
        <v>348</v>
      </c>
      <c r="O698" t="s">
        <v>34</v>
      </c>
    </row>
    <row r="699" spans="1:15" x14ac:dyDescent="0.3">
      <c r="A699" t="s">
        <v>5250</v>
      </c>
      <c r="B699" t="s">
        <v>5249</v>
      </c>
      <c r="D699">
        <v>59</v>
      </c>
      <c r="E699" t="s">
        <v>132</v>
      </c>
      <c r="F699" t="s">
        <v>53</v>
      </c>
      <c r="G699" s="1">
        <v>46166</v>
      </c>
      <c r="H699" s="1">
        <v>46138</v>
      </c>
      <c r="I699" t="s">
        <v>5248</v>
      </c>
      <c r="J699" t="s">
        <v>5247</v>
      </c>
      <c r="K699" t="s">
        <v>26</v>
      </c>
      <c r="L699">
        <v>4459.08</v>
      </c>
      <c r="M699" t="s">
        <v>63</v>
      </c>
      <c r="N699">
        <v>216</v>
      </c>
      <c r="O699" t="s">
        <v>16</v>
      </c>
    </row>
    <row r="700" spans="1:15" x14ac:dyDescent="0.3">
      <c r="A700" t="s">
        <v>5246</v>
      </c>
      <c r="B700" t="s">
        <v>5245</v>
      </c>
      <c r="C700" t="s">
        <v>60</v>
      </c>
      <c r="D700">
        <v>37</v>
      </c>
      <c r="E700" t="s">
        <v>47</v>
      </c>
      <c r="F700" t="s">
        <v>53</v>
      </c>
      <c r="G700" s="1">
        <v>46076</v>
      </c>
      <c r="H700" s="1">
        <v>46065</v>
      </c>
      <c r="I700" t="s">
        <v>5244</v>
      </c>
      <c r="J700" t="s">
        <v>5243</v>
      </c>
      <c r="K700" t="s">
        <v>26</v>
      </c>
      <c r="L700">
        <v>11506.98</v>
      </c>
      <c r="M700" t="s">
        <v>26</v>
      </c>
      <c r="N700">
        <v>416</v>
      </c>
      <c r="O700" t="s">
        <v>71</v>
      </c>
    </row>
    <row r="701" spans="1:15" x14ac:dyDescent="0.3">
      <c r="A701" t="s">
        <v>5242</v>
      </c>
      <c r="B701" t="s">
        <v>5241</v>
      </c>
      <c r="C701" t="s">
        <v>22</v>
      </c>
      <c r="D701">
        <v>24</v>
      </c>
      <c r="E701" t="s">
        <v>39</v>
      </c>
      <c r="F701" t="s">
        <v>53</v>
      </c>
      <c r="G701" s="1">
        <v>46137</v>
      </c>
      <c r="H701" s="1">
        <v>46132</v>
      </c>
      <c r="I701" t="s">
        <v>5240</v>
      </c>
      <c r="J701" t="s">
        <v>5239</v>
      </c>
      <c r="K701" t="s">
        <v>17</v>
      </c>
      <c r="L701">
        <v>3099.55</v>
      </c>
      <c r="M701" t="s">
        <v>17</v>
      </c>
      <c r="N701">
        <v>394</v>
      </c>
      <c r="O701" t="s">
        <v>71</v>
      </c>
    </row>
    <row r="702" spans="1:15" x14ac:dyDescent="0.3">
      <c r="A702" t="s">
        <v>5238</v>
      </c>
      <c r="B702" t="s">
        <v>5237</v>
      </c>
      <c r="D702">
        <v>34</v>
      </c>
      <c r="E702" t="s">
        <v>31</v>
      </c>
      <c r="F702" t="s">
        <v>53</v>
      </c>
      <c r="G702" s="1">
        <v>46142</v>
      </c>
      <c r="H702" s="1">
        <v>46136</v>
      </c>
      <c r="I702" t="s">
        <v>5236</v>
      </c>
      <c r="J702" t="s">
        <v>5235</v>
      </c>
      <c r="K702" t="s">
        <v>27</v>
      </c>
      <c r="L702">
        <v>16705.72</v>
      </c>
      <c r="M702" t="s">
        <v>17</v>
      </c>
      <c r="N702">
        <v>175</v>
      </c>
      <c r="O702" t="s">
        <v>43</v>
      </c>
    </row>
    <row r="703" spans="1:15" x14ac:dyDescent="0.3">
      <c r="A703" t="s">
        <v>5234</v>
      </c>
      <c r="B703" t="s">
        <v>4344</v>
      </c>
      <c r="D703">
        <v>70</v>
      </c>
      <c r="E703" t="s">
        <v>39</v>
      </c>
      <c r="F703" t="s">
        <v>30</v>
      </c>
      <c r="G703" s="1">
        <v>46102</v>
      </c>
      <c r="H703" s="1">
        <v>46099</v>
      </c>
      <c r="I703" t="s">
        <v>5233</v>
      </c>
      <c r="J703" t="s">
        <v>5232</v>
      </c>
      <c r="K703" t="s">
        <v>27</v>
      </c>
      <c r="L703">
        <v>10233.15</v>
      </c>
      <c r="N703">
        <v>493</v>
      </c>
      <c r="O703" t="s">
        <v>71</v>
      </c>
    </row>
    <row r="704" spans="1:15" x14ac:dyDescent="0.3">
      <c r="A704" t="s">
        <v>5231</v>
      </c>
      <c r="B704" t="s">
        <v>5230</v>
      </c>
      <c r="D704">
        <v>41</v>
      </c>
      <c r="E704" t="s">
        <v>39</v>
      </c>
      <c r="F704" t="s">
        <v>46</v>
      </c>
      <c r="G704" s="1">
        <v>46068</v>
      </c>
      <c r="H704" s="1">
        <v>46045</v>
      </c>
      <c r="I704" t="s">
        <v>5229</v>
      </c>
      <c r="J704" t="s">
        <v>5228</v>
      </c>
      <c r="K704" t="s">
        <v>57</v>
      </c>
      <c r="L704">
        <v>16251.65</v>
      </c>
      <c r="M704" t="s">
        <v>63</v>
      </c>
      <c r="N704">
        <v>342</v>
      </c>
      <c r="O704" t="s">
        <v>43</v>
      </c>
    </row>
    <row r="705" spans="1:15" x14ac:dyDescent="0.3">
      <c r="A705" t="s">
        <v>5227</v>
      </c>
      <c r="B705" t="s">
        <v>5226</v>
      </c>
      <c r="C705" t="s">
        <v>0</v>
      </c>
      <c r="D705">
        <v>73</v>
      </c>
      <c r="E705" t="s">
        <v>68</v>
      </c>
      <c r="F705" t="s">
        <v>67</v>
      </c>
      <c r="G705" s="1">
        <v>46161</v>
      </c>
      <c r="H705" s="1">
        <v>46139</v>
      </c>
      <c r="I705" t="s">
        <v>5225</v>
      </c>
      <c r="J705" t="s">
        <v>5224</v>
      </c>
      <c r="K705" t="s">
        <v>64</v>
      </c>
      <c r="L705">
        <v>18344.68</v>
      </c>
      <c r="M705" t="s">
        <v>27</v>
      </c>
      <c r="N705">
        <v>171</v>
      </c>
      <c r="O705" t="s">
        <v>25</v>
      </c>
    </row>
    <row r="706" spans="1:15" x14ac:dyDescent="0.3">
      <c r="A706" t="s">
        <v>5223</v>
      </c>
      <c r="B706" t="s">
        <v>5222</v>
      </c>
      <c r="C706" t="s">
        <v>74</v>
      </c>
      <c r="D706">
        <v>40</v>
      </c>
      <c r="E706" t="s">
        <v>47</v>
      </c>
      <c r="F706" t="s">
        <v>90</v>
      </c>
      <c r="G706" s="1">
        <v>46040</v>
      </c>
      <c r="H706" s="1">
        <v>46021</v>
      </c>
      <c r="I706" t="s">
        <v>5221</v>
      </c>
      <c r="J706" t="s">
        <v>5220</v>
      </c>
      <c r="K706" t="s">
        <v>17</v>
      </c>
      <c r="L706">
        <v>11260.12</v>
      </c>
      <c r="M706" t="s">
        <v>64</v>
      </c>
      <c r="N706">
        <v>267</v>
      </c>
      <c r="O706" t="s">
        <v>77</v>
      </c>
    </row>
    <row r="707" spans="1:15" x14ac:dyDescent="0.3">
      <c r="A707" t="s">
        <v>5219</v>
      </c>
      <c r="B707" t="s">
        <v>5218</v>
      </c>
      <c r="C707" t="s">
        <v>1</v>
      </c>
      <c r="D707">
        <v>-5</v>
      </c>
      <c r="E707" t="s">
        <v>21</v>
      </c>
      <c r="F707" t="s">
        <v>30</v>
      </c>
      <c r="G707" s="1">
        <v>46062</v>
      </c>
      <c r="H707" s="1">
        <v>46056</v>
      </c>
      <c r="I707" t="s">
        <v>5217</v>
      </c>
      <c r="J707" t="s">
        <v>5216</v>
      </c>
      <c r="K707" t="s">
        <v>27</v>
      </c>
      <c r="L707">
        <v>2273.02</v>
      </c>
      <c r="N707" t="s">
        <v>347</v>
      </c>
      <c r="O707" t="s">
        <v>25</v>
      </c>
    </row>
    <row r="708" spans="1:15" x14ac:dyDescent="0.3">
      <c r="A708" t="s">
        <v>5215</v>
      </c>
      <c r="B708" t="s">
        <v>5214</v>
      </c>
      <c r="C708" t="s">
        <v>74</v>
      </c>
      <c r="D708">
        <v>66</v>
      </c>
      <c r="E708" t="s">
        <v>54</v>
      </c>
      <c r="F708" t="s">
        <v>38</v>
      </c>
      <c r="G708" s="1">
        <v>46096</v>
      </c>
      <c r="H708" s="1">
        <v>46081</v>
      </c>
      <c r="I708" t="s">
        <v>5213</v>
      </c>
      <c r="J708" t="s">
        <v>5212</v>
      </c>
      <c r="K708" t="s">
        <v>57</v>
      </c>
      <c r="L708">
        <v>15158.66</v>
      </c>
      <c r="M708" t="s">
        <v>27</v>
      </c>
      <c r="N708">
        <v>441</v>
      </c>
      <c r="O708" t="s">
        <v>43</v>
      </c>
    </row>
    <row r="709" spans="1:15" x14ac:dyDescent="0.3">
      <c r="A709" t="s">
        <v>5211</v>
      </c>
      <c r="B709" t="s">
        <v>5210</v>
      </c>
      <c r="C709" t="s">
        <v>123</v>
      </c>
      <c r="D709">
        <v>19</v>
      </c>
      <c r="E709" t="s">
        <v>54</v>
      </c>
      <c r="F709" t="s">
        <v>67</v>
      </c>
      <c r="G709" s="1">
        <v>46121</v>
      </c>
      <c r="H709" s="1">
        <v>46109</v>
      </c>
      <c r="I709" t="s">
        <v>5209</v>
      </c>
      <c r="J709" t="s">
        <v>5208</v>
      </c>
      <c r="K709" t="s">
        <v>57</v>
      </c>
      <c r="L709">
        <v>502.33</v>
      </c>
      <c r="M709" t="s">
        <v>17</v>
      </c>
      <c r="N709">
        <v>279</v>
      </c>
      <c r="O709" t="s">
        <v>43</v>
      </c>
    </row>
    <row r="710" spans="1:15" x14ac:dyDescent="0.3">
      <c r="A710" t="s">
        <v>5207</v>
      </c>
      <c r="B710" t="s">
        <v>5206</v>
      </c>
      <c r="D710">
        <v>72</v>
      </c>
      <c r="E710" t="s">
        <v>80</v>
      </c>
      <c r="F710" t="s">
        <v>38</v>
      </c>
      <c r="G710" s="1">
        <v>46149</v>
      </c>
      <c r="H710" s="1">
        <v>46126</v>
      </c>
      <c r="I710" t="s">
        <v>5205</v>
      </c>
      <c r="J710" t="s">
        <v>5204</v>
      </c>
      <c r="L710">
        <v>18589.89</v>
      </c>
      <c r="N710">
        <v>511</v>
      </c>
      <c r="O710" t="s">
        <v>16</v>
      </c>
    </row>
    <row r="711" spans="1:15" x14ac:dyDescent="0.3">
      <c r="A711" t="s">
        <v>5203</v>
      </c>
      <c r="B711" t="s">
        <v>5202</v>
      </c>
      <c r="C711" t="s">
        <v>22</v>
      </c>
      <c r="D711">
        <v>21</v>
      </c>
      <c r="E711" t="s">
        <v>54</v>
      </c>
      <c r="F711" t="s">
        <v>90</v>
      </c>
      <c r="G711" s="1">
        <v>46080</v>
      </c>
      <c r="H711" s="1">
        <v>46076</v>
      </c>
      <c r="I711" t="s">
        <v>5201</v>
      </c>
      <c r="J711" t="s">
        <v>5200</v>
      </c>
      <c r="K711" t="s">
        <v>64</v>
      </c>
      <c r="L711">
        <v>3762.25</v>
      </c>
      <c r="M711" t="s">
        <v>63</v>
      </c>
      <c r="N711">
        <v>343</v>
      </c>
      <c r="O711" t="s">
        <v>50</v>
      </c>
    </row>
    <row r="712" spans="1:15" x14ac:dyDescent="0.3">
      <c r="A712" t="s">
        <v>5199</v>
      </c>
      <c r="B712" t="s">
        <v>5198</v>
      </c>
      <c r="C712" t="s">
        <v>60</v>
      </c>
      <c r="D712">
        <v>9</v>
      </c>
      <c r="E712" t="s">
        <v>54</v>
      </c>
      <c r="F712" t="s">
        <v>20</v>
      </c>
      <c r="G712" s="1">
        <v>46093</v>
      </c>
      <c r="H712" s="1">
        <v>46093</v>
      </c>
      <c r="I712" t="s">
        <v>5197</v>
      </c>
      <c r="J712" t="s">
        <v>5196</v>
      </c>
      <c r="L712">
        <v>16042.39</v>
      </c>
      <c r="M712" t="s">
        <v>63</v>
      </c>
      <c r="N712">
        <v>312</v>
      </c>
      <c r="O712" t="s">
        <v>71</v>
      </c>
    </row>
    <row r="713" spans="1:15" x14ac:dyDescent="0.3">
      <c r="A713" t="s">
        <v>5195</v>
      </c>
      <c r="B713" t="s">
        <v>5194</v>
      </c>
      <c r="D713">
        <v>73</v>
      </c>
      <c r="E713" t="s">
        <v>39</v>
      </c>
      <c r="F713" t="s">
        <v>38</v>
      </c>
      <c r="G713" s="1">
        <v>46078</v>
      </c>
      <c r="H713" s="1">
        <v>46073</v>
      </c>
      <c r="I713" t="s">
        <v>5193</v>
      </c>
      <c r="J713" t="s">
        <v>5192</v>
      </c>
      <c r="L713">
        <v>7378.69</v>
      </c>
      <c r="N713">
        <v>121</v>
      </c>
      <c r="O713" t="s">
        <v>50</v>
      </c>
    </row>
    <row r="714" spans="1:15" x14ac:dyDescent="0.3">
      <c r="A714" t="s">
        <v>5191</v>
      </c>
      <c r="B714" t="s">
        <v>5190</v>
      </c>
      <c r="C714" t="s">
        <v>22</v>
      </c>
      <c r="D714">
        <v>75</v>
      </c>
      <c r="E714" t="s">
        <v>132</v>
      </c>
      <c r="F714" t="s">
        <v>85</v>
      </c>
      <c r="G714" s="1">
        <v>46086</v>
      </c>
      <c r="H714" s="1">
        <v>46069</v>
      </c>
      <c r="I714" t="s">
        <v>5189</v>
      </c>
      <c r="J714" t="s">
        <v>5188</v>
      </c>
      <c r="L714">
        <v>5768.1</v>
      </c>
      <c r="M714" t="s">
        <v>27</v>
      </c>
      <c r="N714">
        <v>178</v>
      </c>
      <c r="O714" t="s">
        <v>43</v>
      </c>
    </row>
    <row r="715" spans="1:15" x14ac:dyDescent="0.3">
      <c r="A715" t="s">
        <v>5187</v>
      </c>
      <c r="B715" t="s">
        <v>5186</v>
      </c>
      <c r="C715" t="s">
        <v>22</v>
      </c>
      <c r="D715">
        <v>82</v>
      </c>
      <c r="E715" t="s">
        <v>68</v>
      </c>
      <c r="F715" t="s">
        <v>20</v>
      </c>
      <c r="G715" s="1">
        <v>46030</v>
      </c>
      <c r="H715" s="1">
        <v>46010</v>
      </c>
      <c r="I715" t="s">
        <v>5185</v>
      </c>
      <c r="J715" t="s">
        <v>5184</v>
      </c>
      <c r="K715" t="s">
        <v>26</v>
      </c>
      <c r="L715">
        <v>10545.49</v>
      </c>
      <c r="N715">
        <v>452</v>
      </c>
      <c r="O715" t="s">
        <v>25</v>
      </c>
    </row>
    <row r="716" spans="1:15" x14ac:dyDescent="0.3">
      <c r="A716" t="s">
        <v>5183</v>
      </c>
      <c r="B716" t="s">
        <v>5182</v>
      </c>
      <c r="C716" t="s">
        <v>1</v>
      </c>
      <c r="D716">
        <v>4</v>
      </c>
      <c r="E716" t="s">
        <v>80</v>
      </c>
      <c r="F716" t="s">
        <v>30</v>
      </c>
      <c r="G716" s="1">
        <v>46029</v>
      </c>
      <c r="H716" s="1">
        <v>46014</v>
      </c>
      <c r="I716" t="s">
        <v>5181</v>
      </c>
      <c r="J716" t="s">
        <v>5180</v>
      </c>
      <c r="K716" t="s">
        <v>64</v>
      </c>
      <c r="L716">
        <v>15052.5</v>
      </c>
      <c r="M716" t="s">
        <v>17</v>
      </c>
      <c r="N716">
        <v>397</v>
      </c>
      <c r="O716" t="s">
        <v>16</v>
      </c>
    </row>
    <row r="717" spans="1:15" x14ac:dyDescent="0.3">
      <c r="A717" t="s">
        <v>5179</v>
      </c>
      <c r="B717" t="s">
        <v>5178</v>
      </c>
      <c r="C717" t="s">
        <v>123</v>
      </c>
      <c r="D717">
        <v>34</v>
      </c>
      <c r="E717" t="s">
        <v>68</v>
      </c>
      <c r="F717" t="s">
        <v>20</v>
      </c>
      <c r="G717" s="1">
        <v>46089</v>
      </c>
      <c r="H717" s="1">
        <v>46078</v>
      </c>
      <c r="I717" t="s">
        <v>5177</v>
      </c>
      <c r="J717" t="s">
        <v>5176</v>
      </c>
      <c r="K717" t="s">
        <v>27</v>
      </c>
      <c r="L717">
        <v>21162.95</v>
      </c>
      <c r="M717" t="s">
        <v>26</v>
      </c>
      <c r="N717">
        <v>397</v>
      </c>
      <c r="O717" t="s">
        <v>77</v>
      </c>
    </row>
    <row r="718" spans="1:15" x14ac:dyDescent="0.3">
      <c r="A718" t="s">
        <v>5175</v>
      </c>
      <c r="B718" t="s">
        <v>5174</v>
      </c>
      <c r="C718" t="s">
        <v>0</v>
      </c>
      <c r="D718">
        <v>41</v>
      </c>
      <c r="E718" t="s">
        <v>68</v>
      </c>
      <c r="F718" t="s">
        <v>53</v>
      </c>
      <c r="G718" s="1">
        <v>46053</v>
      </c>
      <c r="H718" s="1">
        <v>46042</v>
      </c>
      <c r="I718" t="s">
        <v>5173</v>
      </c>
      <c r="J718" t="s">
        <v>5172</v>
      </c>
      <c r="K718" t="s">
        <v>35</v>
      </c>
      <c r="L718">
        <v>1511.63</v>
      </c>
      <c r="M718" t="s">
        <v>17</v>
      </c>
      <c r="N718">
        <v>314</v>
      </c>
      <c r="O718" t="s">
        <v>25</v>
      </c>
    </row>
    <row r="719" spans="1:15" x14ac:dyDescent="0.3">
      <c r="A719" t="s">
        <v>5171</v>
      </c>
      <c r="B719" t="s">
        <v>5170</v>
      </c>
      <c r="C719" t="s">
        <v>60</v>
      </c>
      <c r="D719">
        <v>7</v>
      </c>
      <c r="E719" t="s">
        <v>132</v>
      </c>
      <c r="F719" t="s">
        <v>30</v>
      </c>
      <c r="G719" s="1">
        <v>46027</v>
      </c>
      <c r="H719" s="1">
        <v>46011</v>
      </c>
      <c r="I719" t="s">
        <v>5169</v>
      </c>
      <c r="J719" t="s">
        <v>5168</v>
      </c>
      <c r="K719" t="s">
        <v>64</v>
      </c>
      <c r="L719">
        <v>12943.89</v>
      </c>
      <c r="M719" t="s">
        <v>26</v>
      </c>
      <c r="N719">
        <v>491</v>
      </c>
      <c r="O719" t="s">
        <v>77</v>
      </c>
    </row>
    <row r="720" spans="1:15" x14ac:dyDescent="0.3">
      <c r="A720" t="s">
        <v>5167</v>
      </c>
      <c r="B720" t="s">
        <v>5166</v>
      </c>
      <c r="C720" t="s">
        <v>0</v>
      </c>
      <c r="D720">
        <v>70</v>
      </c>
      <c r="E720" t="s">
        <v>31</v>
      </c>
      <c r="F720" t="s">
        <v>67</v>
      </c>
      <c r="G720" s="1">
        <v>46116</v>
      </c>
      <c r="H720" s="1">
        <v>46090</v>
      </c>
      <c r="I720" t="s">
        <v>5165</v>
      </c>
      <c r="J720" t="s">
        <v>5164</v>
      </c>
      <c r="K720" t="s">
        <v>26</v>
      </c>
      <c r="L720">
        <v>6932.18</v>
      </c>
      <c r="M720" t="s">
        <v>17</v>
      </c>
      <c r="N720">
        <v>149</v>
      </c>
      <c r="O720" t="s">
        <v>34</v>
      </c>
    </row>
    <row r="721" spans="1:15" x14ac:dyDescent="0.3">
      <c r="A721" t="s">
        <v>5163</v>
      </c>
      <c r="B721" t="s">
        <v>5162</v>
      </c>
      <c r="C721" t="s">
        <v>60</v>
      </c>
      <c r="D721">
        <v>19</v>
      </c>
      <c r="E721" t="s">
        <v>47</v>
      </c>
      <c r="F721" t="s">
        <v>53</v>
      </c>
      <c r="G721" s="1">
        <v>46130</v>
      </c>
      <c r="H721" s="1">
        <v>46114</v>
      </c>
      <c r="I721" t="s">
        <v>5161</v>
      </c>
      <c r="J721" t="s">
        <v>5160</v>
      </c>
      <c r="K721" t="s">
        <v>26</v>
      </c>
      <c r="L721">
        <v>9450.75</v>
      </c>
      <c r="N721">
        <v>310</v>
      </c>
      <c r="O721" t="s">
        <v>43</v>
      </c>
    </row>
    <row r="722" spans="1:15" x14ac:dyDescent="0.3">
      <c r="A722" t="s">
        <v>5159</v>
      </c>
      <c r="B722" t="s">
        <v>5158</v>
      </c>
      <c r="C722" t="s">
        <v>0</v>
      </c>
      <c r="D722">
        <v>14</v>
      </c>
      <c r="E722" t="s">
        <v>21</v>
      </c>
      <c r="F722" t="s">
        <v>53</v>
      </c>
      <c r="G722" s="1">
        <v>46016</v>
      </c>
      <c r="H722" s="1">
        <v>46000</v>
      </c>
      <c r="I722" t="s">
        <v>5157</v>
      </c>
      <c r="J722" t="s">
        <v>5156</v>
      </c>
      <c r="K722" t="s">
        <v>17</v>
      </c>
      <c r="L722">
        <v>20823.02</v>
      </c>
      <c r="M722" t="s">
        <v>64</v>
      </c>
      <c r="N722">
        <v>313</v>
      </c>
      <c r="O722" t="s">
        <v>16</v>
      </c>
    </row>
    <row r="723" spans="1:15" x14ac:dyDescent="0.3">
      <c r="A723" t="s">
        <v>5155</v>
      </c>
      <c r="B723" t="s">
        <v>5154</v>
      </c>
      <c r="C723" t="s">
        <v>74</v>
      </c>
      <c r="D723">
        <v>15</v>
      </c>
      <c r="E723" t="s">
        <v>39</v>
      </c>
      <c r="F723" t="s">
        <v>46</v>
      </c>
      <c r="G723" s="1">
        <v>46014</v>
      </c>
      <c r="H723" s="1">
        <v>45999</v>
      </c>
      <c r="I723" t="s">
        <v>5153</v>
      </c>
      <c r="J723" t="s">
        <v>5152</v>
      </c>
      <c r="K723" t="s">
        <v>57</v>
      </c>
      <c r="L723">
        <v>7927.02</v>
      </c>
      <c r="M723" t="s">
        <v>17</v>
      </c>
      <c r="N723">
        <v>171</v>
      </c>
      <c r="O723" t="s">
        <v>50</v>
      </c>
    </row>
    <row r="724" spans="1:15" x14ac:dyDescent="0.3">
      <c r="A724" t="s">
        <v>5151</v>
      </c>
      <c r="B724" t="s">
        <v>5150</v>
      </c>
      <c r="D724">
        <v>77</v>
      </c>
      <c r="E724" t="s">
        <v>31</v>
      </c>
      <c r="F724" t="s">
        <v>53</v>
      </c>
      <c r="G724" s="1">
        <v>46107</v>
      </c>
      <c r="H724" s="1">
        <v>46085</v>
      </c>
      <c r="I724" t="s">
        <v>5149</v>
      </c>
      <c r="J724" t="s">
        <v>5148</v>
      </c>
      <c r="K724" t="s">
        <v>26</v>
      </c>
      <c r="L724">
        <v>913.24</v>
      </c>
      <c r="M724" t="s">
        <v>64</v>
      </c>
      <c r="N724">
        <v>213</v>
      </c>
      <c r="O724" t="s">
        <v>71</v>
      </c>
    </row>
    <row r="725" spans="1:15" x14ac:dyDescent="0.3">
      <c r="A725" t="s">
        <v>5147</v>
      </c>
      <c r="B725" t="s">
        <v>5146</v>
      </c>
      <c r="C725" t="s">
        <v>0</v>
      </c>
      <c r="D725">
        <v>89</v>
      </c>
      <c r="E725" t="s">
        <v>21</v>
      </c>
      <c r="F725" t="s">
        <v>30</v>
      </c>
      <c r="G725" s="1">
        <v>46069</v>
      </c>
      <c r="H725" s="1">
        <v>46065</v>
      </c>
      <c r="I725" t="s">
        <v>5145</v>
      </c>
      <c r="J725" t="s">
        <v>5144</v>
      </c>
      <c r="K725" t="s">
        <v>17</v>
      </c>
      <c r="L725">
        <v>3429.41</v>
      </c>
      <c r="M725" t="s">
        <v>64</v>
      </c>
      <c r="N725">
        <v>317</v>
      </c>
      <c r="O725" t="s">
        <v>25</v>
      </c>
    </row>
    <row r="726" spans="1:15" x14ac:dyDescent="0.3">
      <c r="A726" t="s">
        <v>5143</v>
      </c>
      <c r="B726" t="s">
        <v>5142</v>
      </c>
      <c r="C726" t="s">
        <v>74</v>
      </c>
      <c r="D726">
        <v>10</v>
      </c>
      <c r="E726" t="s">
        <v>47</v>
      </c>
      <c r="F726" t="s">
        <v>85</v>
      </c>
      <c r="G726" s="1">
        <v>46084</v>
      </c>
      <c r="H726" s="1">
        <v>46060</v>
      </c>
      <c r="I726" t="s">
        <v>5141</v>
      </c>
      <c r="J726" t="s">
        <v>5140</v>
      </c>
      <c r="L726">
        <v>1254.42</v>
      </c>
      <c r="M726" t="s">
        <v>64</v>
      </c>
      <c r="N726">
        <v>116</v>
      </c>
      <c r="O726" t="s">
        <v>50</v>
      </c>
    </row>
    <row r="727" spans="1:15" x14ac:dyDescent="0.3">
      <c r="A727" t="s">
        <v>5139</v>
      </c>
      <c r="B727" t="s">
        <v>5138</v>
      </c>
      <c r="C727" t="s">
        <v>40</v>
      </c>
      <c r="D727">
        <v>61</v>
      </c>
      <c r="E727" t="s">
        <v>5137</v>
      </c>
      <c r="F727" t="s">
        <v>30</v>
      </c>
      <c r="G727" s="1">
        <v>46076</v>
      </c>
      <c r="H727" s="1">
        <v>46075</v>
      </c>
      <c r="I727" t="s">
        <v>5136</v>
      </c>
      <c r="K727" t="s">
        <v>64</v>
      </c>
      <c r="L727">
        <v>7680.82</v>
      </c>
      <c r="M727" t="s">
        <v>27</v>
      </c>
      <c r="N727">
        <v>486</v>
      </c>
      <c r="O727" t="s">
        <v>77</v>
      </c>
    </row>
    <row r="728" spans="1:15" x14ac:dyDescent="0.3">
      <c r="A728" t="s">
        <v>5135</v>
      </c>
      <c r="B728" t="s">
        <v>5134</v>
      </c>
      <c r="C728" t="s">
        <v>74</v>
      </c>
      <c r="D728">
        <v>78</v>
      </c>
      <c r="E728" t="s">
        <v>21</v>
      </c>
      <c r="F728" t="s">
        <v>38</v>
      </c>
      <c r="G728" s="1">
        <v>46038</v>
      </c>
      <c r="H728" s="1">
        <v>46033</v>
      </c>
      <c r="I728" t="s">
        <v>5133</v>
      </c>
      <c r="J728" t="s">
        <v>5132</v>
      </c>
      <c r="K728" t="s">
        <v>57</v>
      </c>
      <c r="L728">
        <v>925.63</v>
      </c>
      <c r="M728" t="s">
        <v>26</v>
      </c>
      <c r="N728">
        <v>533</v>
      </c>
      <c r="O728" t="s">
        <v>25</v>
      </c>
    </row>
    <row r="729" spans="1:15" x14ac:dyDescent="0.3">
      <c r="A729" t="s">
        <v>5131</v>
      </c>
      <c r="B729" t="s">
        <v>5130</v>
      </c>
      <c r="C729" t="s">
        <v>22</v>
      </c>
      <c r="D729">
        <v>75</v>
      </c>
      <c r="E729" t="s">
        <v>31</v>
      </c>
      <c r="F729" t="s">
        <v>67</v>
      </c>
      <c r="G729" s="1">
        <v>46118</v>
      </c>
      <c r="H729" s="1">
        <v>46113</v>
      </c>
      <c r="I729" t="s">
        <v>5129</v>
      </c>
      <c r="J729" t="s">
        <v>5128</v>
      </c>
      <c r="K729" t="s">
        <v>17</v>
      </c>
      <c r="L729">
        <v>12721.75</v>
      </c>
      <c r="M729" t="s">
        <v>64</v>
      </c>
      <c r="N729">
        <v>150</v>
      </c>
      <c r="O729" t="s">
        <v>50</v>
      </c>
    </row>
    <row r="730" spans="1:15" x14ac:dyDescent="0.3">
      <c r="A730" t="s">
        <v>5127</v>
      </c>
      <c r="B730" t="s">
        <v>5126</v>
      </c>
      <c r="C730" t="s">
        <v>40</v>
      </c>
      <c r="D730">
        <v>68</v>
      </c>
      <c r="E730" t="s">
        <v>21</v>
      </c>
      <c r="F730" t="s">
        <v>38</v>
      </c>
      <c r="G730" s="1">
        <v>46022</v>
      </c>
      <c r="H730" s="1">
        <v>45992</v>
      </c>
      <c r="I730" t="s">
        <v>5125</v>
      </c>
      <c r="J730" t="s">
        <v>5124</v>
      </c>
      <c r="K730" t="s">
        <v>26</v>
      </c>
      <c r="L730">
        <v>4459.9799999999996</v>
      </c>
      <c r="M730" t="s">
        <v>27</v>
      </c>
      <c r="N730">
        <v>471</v>
      </c>
      <c r="O730" t="s">
        <v>77</v>
      </c>
    </row>
    <row r="731" spans="1:15" x14ac:dyDescent="0.3">
      <c r="A731" t="s">
        <v>5123</v>
      </c>
      <c r="B731" t="s">
        <v>5122</v>
      </c>
      <c r="C731" t="s">
        <v>1</v>
      </c>
      <c r="D731">
        <v>65</v>
      </c>
      <c r="E731" t="s">
        <v>68</v>
      </c>
      <c r="F731" t="s">
        <v>67</v>
      </c>
      <c r="G731" s="1">
        <v>46026</v>
      </c>
      <c r="H731" s="1">
        <v>46004</v>
      </c>
      <c r="I731" t="s">
        <v>5121</v>
      </c>
      <c r="J731" t="s">
        <v>5120</v>
      </c>
      <c r="K731" t="s">
        <v>35</v>
      </c>
      <c r="L731">
        <v>11103.71</v>
      </c>
      <c r="M731" t="s">
        <v>64</v>
      </c>
      <c r="N731">
        <v>192</v>
      </c>
      <c r="O731" t="s">
        <v>50</v>
      </c>
    </row>
    <row r="732" spans="1:15" x14ac:dyDescent="0.3">
      <c r="A732" t="s">
        <v>5119</v>
      </c>
      <c r="B732" t="s">
        <v>5118</v>
      </c>
      <c r="C732" t="s">
        <v>60</v>
      </c>
      <c r="D732">
        <v>49</v>
      </c>
      <c r="E732" t="s">
        <v>54</v>
      </c>
      <c r="F732" t="s">
        <v>38</v>
      </c>
      <c r="G732" s="1">
        <v>45998</v>
      </c>
      <c r="H732" s="1">
        <v>45982</v>
      </c>
      <c r="I732" t="s">
        <v>510</v>
      </c>
      <c r="J732" t="s">
        <v>5117</v>
      </c>
      <c r="K732" t="s">
        <v>17</v>
      </c>
      <c r="L732">
        <v>10307.93</v>
      </c>
      <c r="M732" t="s">
        <v>17</v>
      </c>
      <c r="N732">
        <v>163</v>
      </c>
      <c r="O732" t="s">
        <v>16</v>
      </c>
    </row>
    <row r="733" spans="1:15" x14ac:dyDescent="0.3">
      <c r="A733" t="s">
        <v>5116</v>
      </c>
      <c r="B733" t="s">
        <v>5115</v>
      </c>
      <c r="C733" t="s">
        <v>74</v>
      </c>
      <c r="D733">
        <v>67</v>
      </c>
      <c r="E733" t="s">
        <v>39</v>
      </c>
      <c r="F733" t="s">
        <v>85</v>
      </c>
      <c r="G733" s="1">
        <v>46099</v>
      </c>
      <c r="H733" s="1">
        <v>46075</v>
      </c>
      <c r="I733" t="s">
        <v>5114</v>
      </c>
      <c r="J733" t="s">
        <v>5113</v>
      </c>
      <c r="K733" t="s">
        <v>57</v>
      </c>
      <c r="L733">
        <v>17677.330000000002</v>
      </c>
      <c r="M733" t="s">
        <v>27</v>
      </c>
      <c r="N733">
        <v>142</v>
      </c>
      <c r="O733" t="s">
        <v>43</v>
      </c>
    </row>
    <row r="734" spans="1:15" x14ac:dyDescent="0.3">
      <c r="A734" t="s">
        <v>5112</v>
      </c>
      <c r="B734" t="s">
        <v>5111</v>
      </c>
      <c r="D734">
        <v>15</v>
      </c>
      <c r="E734" t="s">
        <v>54</v>
      </c>
      <c r="F734" t="s">
        <v>30</v>
      </c>
      <c r="G734" s="1">
        <v>46134</v>
      </c>
      <c r="H734" s="1">
        <v>46120</v>
      </c>
      <c r="I734" t="s">
        <v>5110</v>
      </c>
      <c r="J734" t="s">
        <v>5109</v>
      </c>
      <c r="K734" t="s">
        <v>26</v>
      </c>
      <c r="L734">
        <v>17238.75</v>
      </c>
      <c r="N734">
        <v>215</v>
      </c>
      <c r="O734" t="s">
        <v>34</v>
      </c>
    </row>
    <row r="735" spans="1:15" x14ac:dyDescent="0.3">
      <c r="A735" t="s">
        <v>5108</v>
      </c>
      <c r="B735" t="s">
        <v>5107</v>
      </c>
      <c r="C735" t="s">
        <v>123</v>
      </c>
      <c r="D735">
        <v>38</v>
      </c>
      <c r="E735" t="s">
        <v>54</v>
      </c>
      <c r="F735" t="s">
        <v>38</v>
      </c>
      <c r="G735" s="1">
        <v>46016</v>
      </c>
      <c r="H735" s="1">
        <v>45989</v>
      </c>
      <c r="I735" t="s">
        <v>5106</v>
      </c>
      <c r="J735" t="s">
        <v>5105</v>
      </c>
      <c r="K735" t="s">
        <v>64</v>
      </c>
      <c r="L735">
        <v>22389.919999999998</v>
      </c>
      <c r="N735">
        <v>447</v>
      </c>
      <c r="O735" t="s">
        <v>43</v>
      </c>
    </row>
    <row r="736" spans="1:15" x14ac:dyDescent="0.3">
      <c r="A736" t="s">
        <v>5104</v>
      </c>
      <c r="B736" t="s">
        <v>5103</v>
      </c>
      <c r="C736" t="s">
        <v>0</v>
      </c>
      <c r="D736">
        <v>2</v>
      </c>
      <c r="E736" t="s">
        <v>68</v>
      </c>
      <c r="F736" t="s">
        <v>20</v>
      </c>
      <c r="G736" s="1">
        <v>46152</v>
      </c>
      <c r="H736" s="1">
        <v>46140</v>
      </c>
      <c r="I736" t="s">
        <v>5102</v>
      </c>
      <c r="J736" t="s">
        <v>5101</v>
      </c>
      <c r="L736">
        <v>13162.03</v>
      </c>
      <c r="M736" t="s">
        <v>64</v>
      </c>
      <c r="N736">
        <v>161</v>
      </c>
      <c r="O736" t="s">
        <v>71</v>
      </c>
    </row>
    <row r="737" spans="1:15" x14ac:dyDescent="0.3">
      <c r="A737" t="s">
        <v>5100</v>
      </c>
      <c r="B737" t="s">
        <v>5099</v>
      </c>
      <c r="C737" t="s">
        <v>123</v>
      </c>
      <c r="D737">
        <v>52</v>
      </c>
      <c r="E737" t="s">
        <v>80</v>
      </c>
      <c r="F737" t="s">
        <v>53</v>
      </c>
      <c r="G737" s="1">
        <v>46016</v>
      </c>
      <c r="H737" s="1">
        <v>46014</v>
      </c>
      <c r="I737" t="s">
        <v>5098</v>
      </c>
      <c r="J737" t="s">
        <v>5097</v>
      </c>
      <c r="K737" t="s">
        <v>57</v>
      </c>
      <c r="L737">
        <v>24385.15</v>
      </c>
      <c r="M737" t="s">
        <v>17</v>
      </c>
      <c r="N737">
        <v>202</v>
      </c>
      <c r="O737" t="s">
        <v>34</v>
      </c>
    </row>
    <row r="738" spans="1:15" x14ac:dyDescent="0.3">
      <c r="A738" t="s">
        <v>5096</v>
      </c>
      <c r="B738" t="s">
        <v>5095</v>
      </c>
      <c r="C738" t="s">
        <v>123</v>
      </c>
      <c r="D738">
        <v>16</v>
      </c>
      <c r="E738" t="s">
        <v>21</v>
      </c>
      <c r="F738" t="s">
        <v>90</v>
      </c>
      <c r="G738" s="1">
        <v>46118</v>
      </c>
      <c r="H738" s="1">
        <v>46095</v>
      </c>
      <c r="I738" t="s">
        <v>5094</v>
      </c>
      <c r="J738" t="s">
        <v>5093</v>
      </c>
      <c r="L738">
        <v>7107.25</v>
      </c>
      <c r="M738" t="s">
        <v>63</v>
      </c>
      <c r="N738">
        <v>487</v>
      </c>
      <c r="O738" t="s">
        <v>50</v>
      </c>
    </row>
    <row r="739" spans="1:15" x14ac:dyDescent="0.3">
      <c r="A739" t="s">
        <v>5092</v>
      </c>
      <c r="B739" t="s">
        <v>5091</v>
      </c>
      <c r="C739" t="s">
        <v>123</v>
      </c>
      <c r="D739">
        <v>46</v>
      </c>
      <c r="E739" t="s">
        <v>68</v>
      </c>
      <c r="F739" t="s">
        <v>90</v>
      </c>
      <c r="G739" s="1">
        <v>46084</v>
      </c>
      <c r="H739" s="1">
        <v>46069</v>
      </c>
      <c r="I739" t="s">
        <v>5090</v>
      </c>
      <c r="J739" t="s">
        <v>5089</v>
      </c>
      <c r="K739" t="s">
        <v>26</v>
      </c>
      <c r="L739">
        <v>3854.88</v>
      </c>
      <c r="N739">
        <v>155</v>
      </c>
      <c r="O739" t="s">
        <v>77</v>
      </c>
    </row>
    <row r="740" spans="1:15" x14ac:dyDescent="0.3">
      <c r="A740" t="s">
        <v>5088</v>
      </c>
      <c r="B740" t="s">
        <v>5087</v>
      </c>
      <c r="C740" t="s">
        <v>22</v>
      </c>
      <c r="D740">
        <v>63</v>
      </c>
      <c r="E740" t="s">
        <v>68</v>
      </c>
      <c r="F740" t="s">
        <v>38</v>
      </c>
      <c r="G740" s="1">
        <v>46161</v>
      </c>
      <c r="H740" s="1">
        <v>46141</v>
      </c>
      <c r="I740" t="s">
        <v>5086</v>
      </c>
      <c r="J740" t="s">
        <v>5085</v>
      </c>
      <c r="K740" t="s">
        <v>35</v>
      </c>
      <c r="L740">
        <v>937.14</v>
      </c>
      <c r="M740" t="s">
        <v>27</v>
      </c>
      <c r="N740">
        <v>525</v>
      </c>
      <c r="O740" t="s">
        <v>77</v>
      </c>
    </row>
    <row r="741" spans="1:15" x14ac:dyDescent="0.3">
      <c r="A741" t="s">
        <v>5084</v>
      </c>
      <c r="B741" t="s">
        <v>5083</v>
      </c>
      <c r="D741">
        <v>87</v>
      </c>
      <c r="E741" t="s">
        <v>47</v>
      </c>
      <c r="F741" t="s">
        <v>53</v>
      </c>
      <c r="G741" s="1">
        <v>46104</v>
      </c>
      <c r="H741" s="1">
        <v>46092</v>
      </c>
      <c r="I741" t="s">
        <v>5082</v>
      </c>
      <c r="J741" t="s">
        <v>5081</v>
      </c>
      <c r="K741" t="s">
        <v>57</v>
      </c>
      <c r="L741">
        <v>3987.87</v>
      </c>
      <c r="M741" t="s">
        <v>64</v>
      </c>
      <c r="N741">
        <v>489</v>
      </c>
      <c r="O741" t="s">
        <v>77</v>
      </c>
    </row>
    <row r="742" spans="1:15" x14ac:dyDescent="0.3">
      <c r="A742" t="s">
        <v>5080</v>
      </c>
      <c r="B742" t="s">
        <v>5079</v>
      </c>
      <c r="D742">
        <v>60</v>
      </c>
      <c r="E742" t="s">
        <v>21</v>
      </c>
      <c r="F742" t="s">
        <v>30</v>
      </c>
      <c r="G742" s="1">
        <v>46116</v>
      </c>
      <c r="H742" s="1">
        <v>46095</v>
      </c>
      <c r="I742" t="s">
        <v>5078</v>
      </c>
      <c r="J742" t="s">
        <v>5077</v>
      </c>
      <c r="L742">
        <v>12358.21</v>
      </c>
      <c r="M742" t="s">
        <v>63</v>
      </c>
      <c r="N742">
        <v>377</v>
      </c>
      <c r="O742" t="s">
        <v>43</v>
      </c>
    </row>
    <row r="743" spans="1:15" x14ac:dyDescent="0.3">
      <c r="A743" t="s">
        <v>5076</v>
      </c>
      <c r="B743" t="s">
        <v>5075</v>
      </c>
      <c r="C743" t="s">
        <v>40</v>
      </c>
      <c r="D743">
        <v>5</v>
      </c>
      <c r="E743" t="s">
        <v>54</v>
      </c>
      <c r="F743" t="s">
        <v>20</v>
      </c>
      <c r="G743" s="1">
        <v>46152</v>
      </c>
      <c r="H743" s="1">
        <v>46140</v>
      </c>
      <c r="I743" t="s">
        <v>5074</v>
      </c>
      <c r="J743" t="s">
        <v>5073</v>
      </c>
      <c r="L743">
        <v>8001.07</v>
      </c>
      <c r="N743">
        <v>326</v>
      </c>
      <c r="O743" t="s">
        <v>16</v>
      </c>
    </row>
    <row r="744" spans="1:15" x14ac:dyDescent="0.3">
      <c r="A744" t="s">
        <v>5072</v>
      </c>
      <c r="B744" t="s">
        <v>5071</v>
      </c>
      <c r="C744" t="s">
        <v>40</v>
      </c>
      <c r="D744">
        <v>5</v>
      </c>
      <c r="E744" t="s">
        <v>39</v>
      </c>
      <c r="F744" t="s">
        <v>30</v>
      </c>
      <c r="G744" s="1">
        <v>46019</v>
      </c>
      <c r="H744" s="1">
        <v>45991</v>
      </c>
      <c r="I744" t="s">
        <v>5070</v>
      </c>
      <c r="J744" t="s">
        <v>5069</v>
      </c>
      <c r="K744" t="s">
        <v>35</v>
      </c>
      <c r="L744">
        <v>12388.69</v>
      </c>
      <c r="M744" t="s">
        <v>26</v>
      </c>
      <c r="N744">
        <v>259</v>
      </c>
      <c r="O744" t="s">
        <v>25</v>
      </c>
    </row>
    <row r="745" spans="1:15" x14ac:dyDescent="0.3">
      <c r="A745" t="s">
        <v>5068</v>
      </c>
      <c r="B745" t="s">
        <v>5067</v>
      </c>
      <c r="C745" t="s">
        <v>123</v>
      </c>
      <c r="D745">
        <v>63</v>
      </c>
      <c r="E745" t="s">
        <v>80</v>
      </c>
      <c r="F745" t="s">
        <v>85</v>
      </c>
      <c r="G745" s="1">
        <v>45997</v>
      </c>
      <c r="H745" s="1">
        <v>45976</v>
      </c>
      <c r="I745" t="s">
        <v>5066</v>
      </c>
      <c r="J745" t="s">
        <v>5065</v>
      </c>
      <c r="L745">
        <v>12002.59</v>
      </c>
      <c r="M745" t="s">
        <v>26</v>
      </c>
      <c r="N745">
        <v>359</v>
      </c>
      <c r="O745" t="s">
        <v>77</v>
      </c>
    </row>
    <row r="746" spans="1:15" x14ac:dyDescent="0.3">
      <c r="A746" t="s">
        <v>5064</v>
      </c>
      <c r="B746" t="s">
        <v>5063</v>
      </c>
      <c r="C746" t="s">
        <v>123</v>
      </c>
      <c r="D746">
        <v>34</v>
      </c>
      <c r="E746" t="s">
        <v>68</v>
      </c>
      <c r="F746" t="s">
        <v>90</v>
      </c>
      <c r="G746" s="1">
        <v>46042</v>
      </c>
      <c r="H746" s="1">
        <v>46023</v>
      </c>
      <c r="I746" t="s">
        <v>5062</v>
      </c>
      <c r="J746" t="s">
        <v>5061</v>
      </c>
      <c r="K746" t="s">
        <v>57</v>
      </c>
      <c r="L746">
        <v>19208.48</v>
      </c>
      <c r="M746" t="s">
        <v>63</v>
      </c>
      <c r="N746">
        <v>264</v>
      </c>
      <c r="O746" t="s">
        <v>77</v>
      </c>
    </row>
    <row r="747" spans="1:15" x14ac:dyDescent="0.3">
      <c r="A747" t="s">
        <v>5060</v>
      </c>
      <c r="B747" t="s">
        <v>5059</v>
      </c>
      <c r="C747" t="s">
        <v>40</v>
      </c>
      <c r="D747">
        <v>76</v>
      </c>
      <c r="E747" t="s">
        <v>47</v>
      </c>
      <c r="F747" t="s">
        <v>53</v>
      </c>
      <c r="G747" s="1">
        <v>46105</v>
      </c>
      <c r="H747" s="1">
        <v>46079</v>
      </c>
      <c r="I747" t="s">
        <v>5058</v>
      </c>
      <c r="J747" t="s">
        <v>5057</v>
      </c>
      <c r="K747" t="s">
        <v>57</v>
      </c>
      <c r="L747">
        <v>8852.14</v>
      </c>
      <c r="M747" t="s">
        <v>27</v>
      </c>
      <c r="N747">
        <v>491</v>
      </c>
      <c r="O747" t="s">
        <v>25</v>
      </c>
    </row>
    <row r="748" spans="1:15" x14ac:dyDescent="0.3">
      <c r="A748" t="s">
        <v>5056</v>
      </c>
      <c r="B748" t="s">
        <v>5055</v>
      </c>
      <c r="C748" t="s">
        <v>60</v>
      </c>
      <c r="D748">
        <v>49</v>
      </c>
      <c r="E748" t="s">
        <v>80</v>
      </c>
      <c r="F748" t="s">
        <v>90</v>
      </c>
      <c r="G748" s="1">
        <v>46016</v>
      </c>
      <c r="H748" s="1">
        <v>46005</v>
      </c>
      <c r="I748" t="s">
        <v>5054</v>
      </c>
      <c r="J748" t="s">
        <v>5053</v>
      </c>
      <c r="K748" t="s">
        <v>57</v>
      </c>
      <c r="L748">
        <v>10415.85</v>
      </c>
      <c r="M748" t="s">
        <v>27</v>
      </c>
      <c r="N748">
        <v>438</v>
      </c>
      <c r="O748" t="s">
        <v>71</v>
      </c>
    </row>
    <row r="749" spans="1:15" x14ac:dyDescent="0.3">
      <c r="A749" t="s">
        <v>5052</v>
      </c>
      <c r="B749" t="s">
        <v>5051</v>
      </c>
      <c r="C749" t="s">
        <v>1</v>
      </c>
      <c r="D749">
        <v>31</v>
      </c>
      <c r="E749" t="s">
        <v>132</v>
      </c>
      <c r="F749" t="s">
        <v>20</v>
      </c>
      <c r="G749" s="1">
        <v>46027</v>
      </c>
      <c r="H749" s="1">
        <v>45998</v>
      </c>
      <c r="I749" t="s">
        <v>5050</v>
      </c>
      <c r="J749" t="s">
        <v>5049</v>
      </c>
      <c r="K749" t="s">
        <v>64</v>
      </c>
      <c r="L749">
        <v>21749.71</v>
      </c>
      <c r="M749" t="s">
        <v>64</v>
      </c>
      <c r="N749">
        <v>272</v>
      </c>
      <c r="O749" t="s">
        <v>71</v>
      </c>
    </row>
    <row r="750" spans="1:15" x14ac:dyDescent="0.3">
      <c r="A750" t="s">
        <v>5048</v>
      </c>
      <c r="B750" t="s">
        <v>5047</v>
      </c>
      <c r="C750" t="s">
        <v>40</v>
      </c>
      <c r="D750">
        <v>69</v>
      </c>
      <c r="E750" t="s">
        <v>31</v>
      </c>
      <c r="F750" t="s">
        <v>46</v>
      </c>
      <c r="G750" s="1">
        <v>46133</v>
      </c>
      <c r="H750" s="1">
        <v>46119</v>
      </c>
      <c r="I750" t="s">
        <v>5046</v>
      </c>
      <c r="J750" t="s">
        <v>5045</v>
      </c>
      <c r="L750">
        <v>14287.63</v>
      </c>
      <c r="N750">
        <v>236</v>
      </c>
      <c r="O750" t="s">
        <v>77</v>
      </c>
    </row>
    <row r="751" spans="1:15" x14ac:dyDescent="0.3">
      <c r="A751" t="s">
        <v>5044</v>
      </c>
      <c r="B751" t="s">
        <v>5043</v>
      </c>
      <c r="D751">
        <v>76</v>
      </c>
      <c r="E751" t="s">
        <v>47</v>
      </c>
      <c r="F751" t="s">
        <v>67</v>
      </c>
      <c r="G751" s="1">
        <v>45990</v>
      </c>
      <c r="H751" s="1">
        <v>45978</v>
      </c>
      <c r="I751" t="s">
        <v>5042</v>
      </c>
      <c r="J751" t="s">
        <v>5041</v>
      </c>
      <c r="L751">
        <v>8196.0499999999993</v>
      </c>
      <c r="M751" t="s">
        <v>64</v>
      </c>
      <c r="N751">
        <v>513</v>
      </c>
      <c r="O751" t="s">
        <v>16</v>
      </c>
    </row>
    <row r="752" spans="1:15" x14ac:dyDescent="0.3">
      <c r="A752" t="s">
        <v>5040</v>
      </c>
      <c r="B752" t="s">
        <v>5039</v>
      </c>
      <c r="C752" t="s">
        <v>74</v>
      </c>
      <c r="D752">
        <v>89</v>
      </c>
      <c r="E752" t="s">
        <v>21</v>
      </c>
      <c r="F752" t="s">
        <v>67</v>
      </c>
      <c r="G752" s="1">
        <v>46073</v>
      </c>
      <c r="H752" s="1">
        <v>46058</v>
      </c>
      <c r="I752" t="s">
        <v>5038</v>
      </c>
      <c r="J752" t="s">
        <v>5037</v>
      </c>
      <c r="K752" t="s">
        <v>57</v>
      </c>
      <c r="L752">
        <v>4332.3599999999997</v>
      </c>
      <c r="M752" t="s">
        <v>63</v>
      </c>
      <c r="N752">
        <v>286</v>
      </c>
      <c r="O752" t="s">
        <v>16</v>
      </c>
    </row>
    <row r="753" spans="1:15" x14ac:dyDescent="0.3">
      <c r="A753" t="s">
        <v>5036</v>
      </c>
      <c r="B753" t="s">
        <v>5035</v>
      </c>
      <c r="C753" t="s">
        <v>1</v>
      </c>
      <c r="D753">
        <v>64</v>
      </c>
      <c r="E753" t="s">
        <v>80</v>
      </c>
      <c r="F753" t="s">
        <v>38</v>
      </c>
      <c r="G753" s="1">
        <v>46003</v>
      </c>
      <c r="H753" s="1">
        <v>45994</v>
      </c>
      <c r="I753" t="s">
        <v>5034</v>
      </c>
      <c r="J753" t="s">
        <v>5033</v>
      </c>
      <c r="K753" t="s">
        <v>26</v>
      </c>
      <c r="L753">
        <v>1378.78</v>
      </c>
      <c r="N753">
        <v>511</v>
      </c>
      <c r="O753" t="s">
        <v>71</v>
      </c>
    </row>
    <row r="754" spans="1:15" x14ac:dyDescent="0.3">
      <c r="A754" t="s">
        <v>5032</v>
      </c>
      <c r="B754" t="s">
        <v>5031</v>
      </c>
      <c r="C754" t="s">
        <v>74</v>
      </c>
      <c r="D754">
        <v>75</v>
      </c>
      <c r="E754" t="s">
        <v>80</v>
      </c>
      <c r="F754" t="s">
        <v>67</v>
      </c>
      <c r="G754" s="1">
        <v>46024</v>
      </c>
      <c r="H754" s="1">
        <v>46016</v>
      </c>
      <c r="I754" t="s">
        <v>5030</v>
      </c>
      <c r="J754" t="s">
        <v>5029</v>
      </c>
      <c r="K754" t="s">
        <v>64</v>
      </c>
      <c r="L754">
        <v>14247.42</v>
      </c>
      <c r="N754">
        <v>318</v>
      </c>
      <c r="O754" t="s">
        <v>71</v>
      </c>
    </row>
    <row r="755" spans="1:15" x14ac:dyDescent="0.3">
      <c r="A755" t="s">
        <v>5028</v>
      </c>
      <c r="B755" t="s">
        <v>5027</v>
      </c>
      <c r="C755" t="s">
        <v>60</v>
      </c>
      <c r="D755">
        <v>10</v>
      </c>
      <c r="E755" t="s">
        <v>132</v>
      </c>
      <c r="F755" t="s">
        <v>30</v>
      </c>
      <c r="G755" s="1">
        <v>46007</v>
      </c>
      <c r="H755" s="1">
        <v>45994</v>
      </c>
      <c r="I755" t="s">
        <v>5026</v>
      </c>
      <c r="J755" t="s">
        <v>5025</v>
      </c>
      <c r="K755" t="s">
        <v>57</v>
      </c>
      <c r="L755">
        <v>5161.91</v>
      </c>
      <c r="N755">
        <v>228</v>
      </c>
      <c r="O755" t="s">
        <v>34</v>
      </c>
    </row>
    <row r="756" spans="1:15" x14ac:dyDescent="0.3">
      <c r="A756" t="s">
        <v>5024</v>
      </c>
      <c r="B756" t="s">
        <v>5023</v>
      </c>
      <c r="D756">
        <v>86</v>
      </c>
      <c r="E756" t="s">
        <v>39</v>
      </c>
      <c r="F756" t="s">
        <v>46</v>
      </c>
      <c r="G756" s="1">
        <v>46035</v>
      </c>
      <c r="H756" s="1">
        <v>46015</v>
      </c>
      <c r="I756" t="s">
        <v>5022</v>
      </c>
      <c r="J756" t="s">
        <v>5021</v>
      </c>
      <c r="K756" t="s">
        <v>35</v>
      </c>
      <c r="L756">
        <v>14505.71</v>
      </c>
      <c r="M756" t="s">
        <v>57</v>
      </c>
      <c r="N756">
        <v>438</v>
      </c>
      <c r="O756" t="s">
        <v>50</v>
      </c>
    </row>
    <row r="757" spans="1:15" x14ac:dyDescent="0.3">
      <c r="A757" t="s">
        <v>5020</v>
      </c>
      <c r="B757" t="s">
        <v>5019</v>
      </c>
      <c r="D757">
        <v>35</v>
      </c>
      <c r="E757" t="s">
        <v>54</v>
      </c>
      <c r="F757" t="s">
        <v>46</v>
      </c>
      <c r="G757" s="1">
        <v>46134</v>
      </c>
      <c r="H757" s="1">
        <v>46118</v>
      </c>
      <c r="I757" t="s">
        <v>5018</v>
      </c>
      <c r="J757" t="s">
        <v>5017</v>
      </c>
      <c r="K757" t="s">
        <v>17</v>
      </c>
      <c r="L757">
        <v>9234.01</v>
      </c>
      <c r="M757" t="s">
        <v>26</v>
      </c>
      <c r="N757">
        <v>223</v>
      </c>
      <c r="O757" t="s">
        <v>71</v>
      </c>
    </row>
    <row r="759" spans="1:15" x14ac:dyDescent="0.3">
      <c r="A759" t="s">
        <v>5016</v>
      </c>
      <c r="B759" t="s">
        <v>5015</v>
      </c>
      <c r="C759" t="s">
        <v>22</v>
      </c>
      <c r="D759">
        <v>56</v>
      </c>
      <c r="E759" t="s">
        <v>54</v>
      </c>
      <c r="F759" t="s">
        <v>67</v>
      </c>
      <c r="G759" s="1">
        <v>46080</v>
      </c>
      <c r="H759" s="1">
        <v>46053</v>
      </c>
      <c r="I759" t="s">
        <v>5014</v>
      </c>
      <c r="J759" t="s">
        <v>5013</v>
      </c>
      <c r="K759" t="s">
        <v>64</v>
      </c>
      <c r="L759">
        <v>15921.4</v>
      </c>
      <c r="N759">
        <v>236</v>
      </c>
      <c r="O759" t="s">
        <v>50</v>
      </c>
    </row>
    <row r="760" spans="1:15" x14ac:dyDescent="0.3">
      <c r="A760" t="s">
        <v>5012</v>
      </c>
      <c r="B760" t="s">
        <v>5011</v>
      </c>
      <c r="C760" t="s">
        <v>22</v>
      </c>
      <c r="D760">
        <v>83</v>
      </c>
      <c r="E760" t="s">
        <v>39</v>
      </c>
      <c r="F760" t="s">
        <v>30</v>
      </c>
      <c r="G760" s="1">
        <v>45998</v>
      </c>
      <c r="H760" s="1">
        <v>45977</v>
      </c>
      <c r="I760" t="s">
        <v>5010</v>
      </c>
      <c r="J760" t="s">
        <v>5009</v>
      </c>
      <c r="K760" t="s">
        <v>17</v>
      </c>
      <c r="L760">
        <v>10265.48</v>
      </c>
      <c r="M760" t="s">
        <v>64</v>
      </c>
      <c r="N760">
        <v>176</v>
      </c>
      <c r="O760" t="s">
        <v>71</v>
      </c>
    </row>
    <row r="761" spans="1:15" x14ac:dyDescent="0.3">
      <c r="A761" t="s">
        <v>5008</v>
      </c>
      <c r="B761" t="s">
        <v>5007</v>
      </c>
      <c r="C761" t="s">
        <v>40</v>
      </c>
      <c r="D761">
        <v>32</v>
      </c>
      <c r="E761" t="s">
        <v>132</v>
      </c>
      <c r="F761" t="s">
        <v>85</v>
      </c>
      <c r="G761" s="1">
        <v>46129</v>
      </c>
      <c r="H761" s="1">
        <v>46114</v>
      </c>
      <c r="I761" t="s">
        <v>5006</v>
      </c>
      <c r="J761" t="s">
        <v>5005</v>
      </c>
      <c r="L761">
        <v>10666.07</v>
      </c>
      <c r="M761" t="s">
        <v>27</v>
      </c>
      <c r="N761">
        <v>203</v>
      </c>
      <c r="O761" t="s">
        <v>71</v>
      </c>
    </row>
    <row r="762" spans="1:15" x14ac:dyDescent="0.3">
      <c r="A762" t="s">
        <v>5004</v>
      </c>
      <c r="B762" t="s">
        <v>5003</v>
      </c>
      <c r="C762" t="s">
        <v>22</v>
      </c>
      <c r="D762">
        <v>18</v>
      </c>
      <c r="E762" t="s">
        <v>47</v>
      </c>
      <c r="F762" t="s">
        <v>30</v>
      </c>
      <c r="G762" s="1">
        <v>46009</v>
      </c>
      <c r="H762" s="1">
        <v>45984</v>
      </c>
      <c r="I762" t="s">
        <v>5002</v>
      </c>
      <c r="J762" t="s">
        <v>5001</v>
      </c>
      <c r="K762" t="s">
        <v>26</v>
      </c>
      <c r="L762">
        <v>16535.03</v>
      </c>
      <c r="M762" t="s">
        <v>26</v>
      </c>
      <c r="N762">
        <v>429</v>
      </c>
      <c r="O762" t="s">
        <v>50</v>
      </c>
    </row>
    <row r="763" spans="1:15" x14ac:dyDescent="0.3">
      <c r="A763" t="s">
        <v>5000</v>
      </c>
      <c r="B763" t="s">
        <v>4999</v>
      </c>
      <c r="C763" t="s">
        <v>40</v>
      </c>
      <c r="D763">
        <v>63</v>
      </c>
      <c r="E763" t="s">
        <v>47</v>
      </c>
      <c r="F763" t="s">
        <v>46</v>
      </c>
      <c r="G763" s="1">
        <v>46173</v>
      </c>
      <c r="H763" s="1">
        <v>46146</v>
      </c>
      <c r="I763" t="s">
        <v>4998</v>
      </c>
      <c r="J763" t="s">
        <v>4997</v>
      </c>
      <c r="K763" t="s">
        <v>64</v>
      </c>
      <c r="L763">
        <v>7984.84</v>
      </c>
      <c r="M763" t="s">
        <v>63</v>
      </c>
      <c r="N763">
        <v>543</v>
      </c>
      <c r="O763" t="s">
        <v>77</v>
      </c>
    </row>
    <row r="764" spans="1:15" x14ac:dyDescent="0.3">
      <c r="A764" t="s">
        <v>4996</v>
      </c>
      <c r="B764" t="s">
        <v>4995</v>
      </c>
      <c r="C764" t="s">
        <v>123</v>
      </c>
      <c r="D764">
        <v>47</v>
      </c>
      <c r="E764" t="s">
        <v>80</v>
      </c>
      <c r="F764" t="s">
        <v>90</v>
      </c>
      <c r="G764" s="1">
        <v>46012</v>
      </c>
      <c r="H764" s="1">
        <v>45982</v>
      </c>
      <c r="I764" t="s">
        <v>4994</v>
      </c>
      <c r="J764" t="s">
        <v>4993</v>
      </c>
      <c r="K764" t="s">
        <v>35</v>
      </c>
      <c r="L764">
        <v>6053.82</v>
      </c>
      <c r="M764" t="s">
        <v>64</v>
      </c>
      <c r="N764">
        <v>367</v>
      </c>
      <c r="O764" t="s">
        <v>25</v>
      </c>
    </row>
    <row r="765" spans="1:15" x14ac:dyDescent="0.3">
      <c r="A765" t="s">
        <v>4992</v>
      </c>
      <c r="B765" t="s">
        <v>4991</v>
      </c>
      <c r="C765" t="s">
        <v>22</v>
      </c>
      <c r="D765">
        <v>64</v>
      </c>
      <c r="E765" t="s">
        <v>80</v>
      </c>
      <c r="F765" t="s">
        <v>38</v>
      </c>
      <c r="G765" s="1">
        <v>46033</v>
      </c>
      <c r="H765" s="1">
        <v>46014</v>
      </c>
      <c r="I765" t="s">
        <v>4990</v>
      </c>
      <c r="J765" t="s">
        <v>4989</v>
      </c>
      <c r="K765" t="s">
        <v>64</v>
      </c>
      <c r="L765">
        <v>19375.13</v>
      </c>
      <c r="M765" t="s">
        <v>17</v>
      </c>
      <c r="N765">
        <v>268</v>
      </c>
      <c r="O765" t="s">
        <v>50</v>
      </c>
    </row>
    <row r="766" spans="1:15" x14ac:dyDescent="0.3">
      <c r="A766" t="s">
        <v>4988</v>
      </c>
      <c r="B766" t="s">
        <v>4987</v>
      </c>
      <c r="C766" t="s">
        <v>123</v>
      </c>
      <c r="D766">
        <v>31</v>
      </c>
      <c r="E766" t="s">
        <v>54</v>
      </c>
      <c r="F766" t="s">
        <v>38</v>
      </c>
      <c r="G766" s="1">
        <v>46016</v>
      </c>
      <c r="H766" s="1">
        <v>46012</v>
      </c>
      <c r="I766" t="s">
        <v>4986</v>
      </c>
      <c r="J766" t="s">
        <v>4985</v>
      </c>
      <c r="K766" t="s">
        <v>64</v>
      </c>
      <c r="L766">
        <v>4543.83</v>
      </c>
      <c r="M766" t="s">
        <v>63</v>
      </c>
      <c r="N766">
        <v>325</v>
      </c>
      <c r="O766" t="s">
        <v>16</v>
      </c>
    </row>
    <row r="767" spans="1:15" x14ac:dyDescent="0.3">
      <c r="A767" t="s">
        <v>4984</v>
      </c>
      <c r="B767" t="s">
        <v>4983</v>
      </c>
      <c r="C767" t="s">
        <v>22</v>
      </c>
      <c r="D767">
        <v>76</v>
      </c>
      <c r="E767" t="s">
        <v>47</v>
      </c>
      <c r="F767" t="s">
        <v>85</v>
      </c>
      <c r="G767" s="1">
        <v>46070</v>
      </c>
      <c r="H767" s="1">
        <v>46053</v>
      </c>
      <c r="I767" t="s">
        <v>4982</v>
      </c>
      <c r="J767" t="s">
        <v>4981</v>
      </c>
      <c r="K767" t="s">
        <v>57</v>
      </c>
      <c r="L767">
        <v>17550.52</v>
      </c>
      <c r="M767" t="s">
        <v>64</v>
      </c>
      <c r="N767">
        <v>262</v>
      </c>
      <c r="O767" t="s">
        <v>34</v>
      </c>
    </row>
    <row r="768" spans="1:15" x14ac:dyDescent="0.3">
      <c r="A768" t="s">
        <v>4980</v>
      </c>
      <c r="B768" t="s">
        <v>4979</v>
      </c>
      <c r="C768" t="s">
        <v>123</v>
      </c>
      <c r="D768">
        <v>61</v>
      </c>
      <c r="E768" t="s">
        <v>21</v>
      </c>
      <c r="F768" t="s">
        <v>30</v>
      </c>
      <c r="G768" s="1">
        <v>46087</v>
      </c>
      <c r="H768" s="1">
        <v>46059</v>
      </c>
      <c r="I768" t="s">
        <v>4978</v>
      </c>
      <c r="J768" t="s">
        <v>4977</v>
      </c>
      <c r="K768" t="s">
        <v>35</v>
      </c>
      <c r="L768">
        <v>9202.35</v>
      </c>
      <c r="M768" t="s">
        <v>17</v>
      </c>
      <c r="N768">
        <v>520</v>
      </c>
      <c r="O768" t="s">
        <v>43</v>
      </c>
    </row>
    <row r="769" spans="1:15" x14ac:dyDescent="0.3">
      <c r="A769" t="s">
        <v>4976</v>
      </c>
      <c r="B769" t="s">
        <v>4975</v>
      </c>
      <c r="C769" t="s">
        <v>40</v>
      </c>
      <c r="D769">
        <v>83</v>
      </c>
      <c r="E769" t="s">
        <v>47</v>
      </c>
      <c r="F769" t="s">
        <v>46</v>
      </c>
      <c r="G769" s="1">
        <v>46079</v>
      </c>
      <c r="H769" s="1">
        <v>46057</v>
      </c>
      <c r="I769" t="s">
        <v>4974</v>
      </c>
      <c r="J769" t="s">
        <v>4973</v>
      </c>
      <c r="K769" t="s">
        <v>17</v>
      </c>
      <c r="L769">
        <v>6473.98</v>
      </c>
      <c r="N769">
        <v>258</v>
      </c>
      <c r="O769" t="s">
        <v>25</v>
      </c>
    </row>
    <row r="770" spans="1:15" x14ac:dyDescent="0.3">
      <c r="A770" t="s">
        <v>4972</v>
      </c>
      <c r="B770" t="s">
        <v>4971</v>
      </c>
      <c r="C770" t="s">
        <v>60</v>
      </c>
      <c r="D770">
        <v>88</v>
      </c>
      <c r="E770" t="s">
        <v>80</v>
      </c>
      <c r="F770" t="s">
        <v>38</v>
      </c>
      <c r="G770" s="1">
        <v>46009</v>
      </c>
      <c r="H770" s="1">
        <v>45982</v>
      </c>
      <c r="I770" t="s">
        <v>4970</v>
      </c>
      <c r="J770" t="s">
        <v>4969</v>
      </c>
      <c r="L770">
        <v>9834.08</v>
      </c>
      <c r="N770">
        <v>230</v>
      </c>
      <c r="O770" t="s">
        <v>43</v>
      </c>
    </row>
    <row r="771" spans="1:15" x14ac:dyDescent="0.3">
      <c r="A771" t="s">
        <v>4968</v>
      </c>
      <c r="B771" t="s">
        <v>4967</v>
      </c>
      <c r="C771" t="s">
        <v>74</v>
      </c>
      <c r="D771">
        <v>31</v>
      </c>
      <c r="E771" t="s">
        <v>132</v>
      </c>
      <c r="F771" t="s">
        <v>38</v>
      </c>
      <c r="G771" s="1">
        <v>46021</v>
      </c>
      <c r="H771" s="1">
        <v>45994</v>
      </c>
      <c r="I771" t="s">
        <v>4966</v>
      </c>
      <c r="J771" t="s">
        <v>4965</v>
      </c>
      <c r="K771" t="s">
        <v>35</v>
      </c>
      <c r="L771">
        <v>22914.09</v>
      </c>
      <c r="M771" t="s">
        <v>17</v>
      </c>
      <c r="N771">
        <v>550</v>
      </c>
      <c r="O771" t="s">
        <v>50</v>
      </c>
    </row>
    <row r="772" spans="1:15" x14ac:dyDescent="0.3">
      <c r="A772" t="s">
        <v>4964</v>
      </c>
      <c r="B772" t="s">
        <v>4963</v>
      </c>
      <c r="C772" t="s">
        <v>123</v>
      </c>
      <c r="D772">
        <v>5</v>
      </c>
      <c r="E772" t="s">
        <v>132</v>
      </c>
      <c r="F772" t="s">
        <v>20</v>
      </c>
      <c r="G772" s="1">
        <v>46037</v>
      </c>
      <c r="H772" s="1">
        <v>46011</v>
      </c>
      <c r="I772" t="s">
        <v>4962</v>
      </c>
      <c r="J772" t="s">
        <v>4961</v>
      </c>
      <c r="L772">
        <v>11883.06</v>
      </c>
      <c r="N772">
        <v>530</v>
      </c>
      <c r="O772" t="s">
        <v>43</v>
      </c>
    </row>
    <row r="773" spans="1:15" x14ac:dyDescent="0.3">
      <c r="A773" t="s">
        <v>4960</v>
      </c>
      <c r="B773" t="s">
        <v>4959</v>
      </c>
      <c r="C773" t="s">
        <v>123</v>
      </c>
      <c r="D773">
        <v>13</v>
      </c>
      <c r="E773" t="s">
        <v>39</v>
      </c>
      <c r="F773" t="s">
        <v>30</v>
      </c>
      <c r="G773" s="1">
        <v>46077</v>
      </c>
      <c r="H773" s="1">
        <v>46061</v>
      </c>
      <c r="I773" t="s">
        <v>4958</v>
      </c>
      <c r="J773" t="s">
        <v>4957</v>
      </c>
      <c r="K773" t="s">
        <v>64</v>
      </c>
      <c r="L773">
        <v>8926.0400000000009</v>
      </c>
      <c r="M773" t="s">
        <v>17</v>
      </c>
      <c r="N773">
        <v>332</v>
      </c>
      <c r="O773" t="s">
        <v>25</v>
      </c>
    </row>
    <row r="774" spans="1:15" x14ac:dyDescent="0.3">
      <c r="A774" t="s">
        <v>4956</v>
      </c>
      <c r="B774" t="s">
        <v>4955</v>
      </c>
      <c r="C774" t="s">
        <v>40</v>
      </c>
      <c r="D774">
        <v>7</v>
      </c>
      <c r="E774" t="s">
        <v>39</v>
      </c>
      <c r="F774" t="s">
        <v>85</v>
      </c>
      <c r="G774" s="1">
        <v>46084</v>
      </c>
      <c r="H774" s="1">
        <v>46059</v>
      </c>
      <c r="I774" t="s">
        <v>4954</v>
      </c>
      <c r="J774" t="s">
        <v>4953</v>
      </c>
      <c r="K774" t="s">
        <v>35</v>
      </c>
      <c r="L774">
        <v>276.27999999999997</v>
      </c>
      <c r="M774" t="s">
        <v>57</v>
      </c>
      <c r="N774">
        <v>421</v>
      </c>
      <c r="O774" t="s">
        <v>43</v>
      </c>
    </row>
    <row r="775" spans="1:15" x14ac:dyDescent="0.3">
      <c r="A775" t="s">
        <v>4952</v>
      </c>
      <c r="B775" t="s">
        <v>4951</v>
      </c>
      <c r="C775" t="s">
        <v>60</v>
      </c>
      <c r="D775">
        <v>74</v>
      </c>
      <c r="E775" t="s">
        <v>80</v>
      </c>
      <c r="F775" t="s">
        <v>20</v>
      </c>
      <c r="G775" s="1">
        <v>46130</v>
      </c>
      <c r="H775" s="1">
        <v>46125</v>
      </c>
      <c r="I775" t="s">
        <v>4950</v>
      </c>
      <c r="J775" t="s">
        <v>4949</v>
      </c>
      <c r="K775" t="s">
        <v>17</v>
      </c>
      <c r="L775">
        <v>13005.87</v>
      </c>
      <c r="M775" t="s">
        <v>26</v>
      </c>
      <c r="N775">
        <v>533</v>
      </c>
      <c r="O775" t="s">
        <v>34</v>
      </c>
    </row>
    <row r="776" spans="1:15" x14ac:dyDescent="0.3">
      <c r="A776" t="s">
        <v>4948</v>
      </c>
      <c r="B776" t="s">
        <v>4947</v>
      </c>
      <c r="C776" t="s">
        <v>123</v>
      </c>
      <c r="D776">
        <v>41</v>
      </c>
      <c r="E776" t="s">
        <v>68</v>
      </c>
      <c r="F776" t="s">
        <v>85</v>
      </c>
      <c r="G776" s="1">
        <v>46078</v>
      </c>
      <c r="H776" s="1">
        <v>46051</v>
      </c>
      <c r="I776" t="s">
        <v>4946</v>
      </c>
      <c r="J776" t="s">
        <v>4945</v>
      </c>
      <c r="K776" t="s">
        <v>35</v>
      </c>
      <c r="L776">
        <v>6664.86</v>
      </c>
      <c r="M776" t="s">
        <v>17</v>
      </c>
      <c r="N776">
        <v>509</v>
      </c>
      <c r="O776" t="s">
        <v>43</v>
      </c>
    </row>
    <row r="777" spans="1:15" x14ac:dyDescent="0.3">
      <c r="A777" t="s">
        <v>4944</v>
      </c>
      <c r="B777" t="s">
        <v>4943</v>
      </c>
      <c r="C777" t="s">
        <v>1</v>
      </c>
      <c r="D777">
        <v>11</v>
      </c>
      <c r="E777" t="s">
        <v>54</v>
      </c>
      <c r="F777" t="s">
        <v>67</v>
      </c>
      <c r="G777" s="1">
        <v>46125</v>
      </c>
      <c r="H777" s="1">
        <v>46120</v>
      </c>
      <c r="I777" t="s">
        <v>4942</v>
      </c>
      <c r="J777" t="s">
        <v>4941</v>
      </c>
      <c r="L777">
        <v>21934.47</v>
      </c>
      <c r="M777" t="s">
        <v>57</v>
      </c>
      <c r="N777">
        <v>110</v>
      </c>
      <c r="O777" t="s">
        <v>77</v>
      </c>
    </row>
    <row r="778" spans="1:15" x14ac:dyDescent="0.3">
      <c r="A778" t="s">
        <v>4940</v>
      </c>
      <c r="B778" t="s">
        <v>4939</v>
      </c>
      <c r="C778" t="s">
        <v>1</v>
      </c>
      <c r="D778">
        <v>12</v>
      </c>
      <c r="E778" t="s">
        <v>68</v>
      </c>
      <c r="F778" t="s">
        <v>38</v>
      </c>
      <c r="G778" s="1">
        <v>46117</v>
      </c>
      <c r="H778" s="1">
        <v>46109</v>
      </c>
      <c r="I778" t="s">
        <v>4938</v>
      </c>
      <c r="J778" t="s">
        <v>4937</v>
      </c>
      <c r="K778" t="s">
        <v>35</v>
      </c>
      <c r="L778">
        <v>1434.62</v>
      </c>
      <c r="N778">
        <v>407</v>
      </c>
      <c r="O778" t="s">
        <v>43</v>
      </c>
    </row>
    <row r="779" spans="1:15" x14ac:dyDescent="0.3">
      <c r="A779" t="s">
        <v>4936</v>
      </c>
      <c r="B779" t="s">
        <v>4935</v>
      </c>
      <c r="C779" t="s">
        <v>0</v>
      </c>
      <c r="D779">
        <v>12</v>
      </c>
      <c r="E779" t="s">
        <v>31</v>
      </c>
      <c r="F779" t="s">
        <v>53</v>
      </c>
      <c r="G779" s="1">
        <v>46112</v>
      </c>
      <c r="H779" s="1">
        <v>46082</v>
      </c>
      <c r="I779" t="s">
        <v>4934</v>
      </c>
      <c r="J779" t="s">
        <v>4933</v>
      </c>
      <c r="K779" t="s">
        <v>64</v>
      </c>
      <c r="L779">
        <v>550.04999999999995</v>
      </c>
      <c r="N779">
        <v>495</v>
      </c>
      <c r="O779" t="s">
        <v>16</v>
      </c>
    </row>
    <row r="780" spans="1:15" x14ac:dyDescent="0.3">
      <c r="A780" t="s">
        <v>4932</v>
      </c>
      <c r="B780" t="s">
        <v>4931</v>
      </c>
      <c r="D780">
        <v>16</v>
      </c>
      <c r="E780" t="s">
        <v>21</v>
      </c>
      <c r="F780" t="s">
        <v>38</v>
      </c>
      <c r="G780" s="1">
        <v>45983</v>
      </c>
      <c r="H780" s="1">
        <v>45977</v>
      </c>
      <c r="I780" t="s">
        <v>4930</v>
      </c>
      <c r="J780" t="s">
        <v>4929</v>
      </c>
      <c r="K780" t="s">
        <v>26</v>
      </c>
      <c r="L780">
        <v>7341.46</v>
      </c>
      <c r="N780">
        <v>295</v>
      </c>
      <c r="O780" t="s">
        <v>71</v>
      </c>
    </row>
    <row r="781" spans="1:15" x14ac:dyDescent="0.3">
      <c r="A781" t="s">
        <v>4928</v>
      </c>
      <c r="B781" t="s">
        <v>4927</v>
      </c>
      <c r="C781" t="s">
        <v>123</v>
      </c>
      <c r="D781">
        <v>27</v>
      </c>
      <c r="E781" t="s">
        <v>21</v>
      </c>
      <c r="F781" t="s">
        <v>30</v>
      </c>
      <c r="G781" s="1">
        <v>46080</v>
      </c>
      <c r="H781" s="1">
        <v>46057</v>
      </c>
      <c r="I781" t="s">
        <v>4926</v>
      </c>
      <c r="J781" t="s">
        <v>4925</v>
      </c>
      <c r="K781" t="s">
        <v>17</v>
      </c>
      <c r="L781">
        <v>10574.61</v>
      </c>
      <c r="N781">
        <v>505</v>
      </c>
      <c r="O781" t="s">
        <v>71</v>
      </c>
    </row>
    <row r="782" spans="1:15" x14ac:dyDescent="0.3">
      <c r="A782" t="s">
        <v>4924</v>
      </c>
      <c r="B782" t="s">
        <v>4923</v>
      </c>
      <c r="C782" t="s">
        <v>40</v>
      </c>
      <c r="D782">
        <v>38</v>
      </c>
      <c r="E782" t="s">
        <v>132</v>
      </c>
      <c r="F782" t="s">
        <v>38</v>
      </c>
      <c r="G782" s="1">
        <v>46000</v>
      </c>
      <c r="H782" s="1">
        <v>45981</v>
      </c>
      <c r="I782" t="s">
        <v>4922</v>
      </c>
      <c r="J782" t="s">
        <v>4921</v>
      </c>
      <c r="L782">
        <v>22701.74</v>
      </c>
      <c r="M782" t="s">
        <v>17</v>
      </c>
      <c r="N782">
        <v>398</v>
      </c>
      <c r="O782" t="s">
        <v>25</v>
      </c>
    </row>
    <row r="783" spans="1:15" x14ac:dyDescent="0.3">
      <c r="A783" t="s">
        <v>4920</v>
      </c>
      <c r="B783" t="s">
        <v>4919</v>
      </c>
      <c r="D783">
        <v>220</v>
      </c>
      <c r="E783" t="s">
        <v>47</v>
      </c>
      <c r="F783" t="s">
        <v>85</v>
      </c>
      <c r="G783" s="1">
        <v>46056</v>
      </c>
      <c r="H783" s="1">
        <v>46052</v>
      </c>
      <c r="I783" t="s">
        <v>4918</v>
      </c>
      <c r="J783" t="s">
        <v>4917</v>
      </c>
      <c r="K783" t="s">
        <v>57</v>
      </c>
      <c r="L783">
        <v>24365.1</v>
      </c>
      <c r="N783">
        <v>451</v>
      </c>
      <c r="O783" t="s">
        <v>71</v>
      </c>
    </row>
    <row r="784" spans="1:15" x14ac:dyDescent="0.3">
      <c r="A784" t="s">
        <v>4916</v>
      </c>
      <c r="B784" t="s">
        <v>4915</v>
      </c>
      <c r="C784" t="s">
        <v>123</v>
      </c>
      <c r="D784">
        <v>55</v>
      </c>
      <c r="E784" t="s">
        <v>132</v>
      </c>
      <c r="F784" t="s">
        <v>20</v>
      </c>
      <c r="G784" s="1">
        <v>46030</v>
      </c>
      <c r="H784" s="1">
        <v>46027</v>
      </c>
      <c r="I784" t="s">
        <v>4914</v>
      </c>
      <c r="J784" t="s">
        <v>4913</v>
      </c>
      <c r="K784" t="s">
        <v>27</v>
      </c>
      <c r="L784">
        <v>1492.39</v>
      </c>
      <c r="M784" t="s">
        <v>57</v>
      </c>
      <c r="N784">
        <v>341</v>
      </c>
      <c r="O784" t="s">
        <v>43</v>
      </c>
    </row>
    <row r="785" spans="1:15" x14ac:dyDescent="0.3">
      <c r="A785" t="s">
        <v>4912</v>
      </c>
      <c r="B785" t="s">
        <v>4911</v>
      </c>
      <c r="C785" t="s">
        <v>40</v>
      </c>
      <c r="D785">
        <v>1</v>
      </c>
      <c r="E785" t="s">
        <v>132</v>
      </c>
      <c r="F785" t="s">
        <v>90</v>
      </c>
      <c r="G785" s="1">
        <v>46080</v>
      </c>
      <c r="H785" s="1">
        <v>46071</v>
      </c>
      <c r="I785" t="s">
        <v>4910</v>
      </c>
      <c r="J785" t="s">
        <v>4909</v>
      </c>
      <c r="L785">
        <v>16847.3</v>
      </c>
      <c r="M785" t="s">
        <v>26</v>
      </c>
      <c r="N785">
        <v>386</v>
      </c>
      <c r="O785" t="s">
        <v>77</v>
      </c>
    </row>
    <row r="786" spans="1:15" x14ac:dyDescent="0.3">
      <c r="A786" t="s">
        <v>4908</v>
      </c>
      <c r="B786" t="s">
        <v>1836</v>
      </c>
      <c r="C786" t="s">
        <v>0</v>
      </c>
      <c r="D786">
        <v>34</v>
      </c>
      <c r="E786" t="s">
        <v>39</v>
      </c>
      <c r="F786" t="s">
        <v>85</v>
      </c>
      <c r="G786" s="1">
        <v>46116</v>
      </c>
      <c r="H786" s="1">
        <v>46087</v>
      </c>
      <c r="I786" t="s">
        <v>4907</v>
      </c>
      <c r="J786" t="s">
        <v>4906</v>
      </c>
      <c r="K786" t="s">
        <v>57</v>
      </c>
      <c r="L786">
        <v>21971.84</v>
      </c>
      <c r="M786" t="s">
        <v>26</v>
      </c>
      <c r="N786">
        <v>145</v>
      </c>
      <c r="O786" t="s">
        <v>43</v>
      </c>
    </row>
    <row r="787" spans="1:15" x14ac:dyDescent="0.3">
      <c r="A787" t="s">
        <v>4905</v>
      </c>
      <c r="B787" t="s">
        <v>4904</v>
      </c>
      <c r="C787" t="s">
        <v>123</v>
      </c>
      <c r="D787">
        <v>19</v>
      </c>
      <c r="E787" t="s">
        <v>132</v>
      </c>
      <c r="F787" t="s">
        <v>20</v>
      </c>
      <c r="G787" s="1">
        <v>46008</v>
      </c>
      <c r="H787" s="1">
        <v>45998</v>
      </c>
      <c r="I787" t="s">
        <v>4903</v>
      </c>
      <c r="J787" t="s">
        <v>4902</v>
      </c>
      <c r="K787" t="s">
        <v>27</v>
      </c>
      <c r="L787">
        <v>24467.21</v>
      </c>
      <c r="N787">
        <v>546</v>
      </c>
      <c r="O787" t="s">
        <v>50</v>
      </c>
    </row>
    <row r="788" spans="1:15" x14ac:dyDescent="0.3">
      <c r="A788" t="s">
        <v>4901</v>
      </c>
      <c r="B788" t="s">
        <v>4900</v>
      </c>
      <c r="C788" t="s">
        <v>22</v>
      </c>
      <c r="D788">
        <v>47</v>
      </c>
      <c r="E788" t="s">
        <v>54</v>
      </c>
      <c r="F788" t="s">
        <v>30</v>
      </c>
      <c r="G788" s="1">
        <v>46017</v>
      </c>
      <c r="H788" s="1">
        <v>46022</v>
      </c>
      <c r="I788" t="s">
        <v>4899</v>
      </c>
      <c r="J788" t="s">
        <v>4898</v>
      </c>
      <c r="K788" t="s">
        <v>26</v>
      </c>
      <c r="L788">
        <v>15400.7</v>
      </c>
      <c r="M788" t="s">
        <v>63</v>
      </c>
      <c r="N788">
        <v>364</v>
      </c>
      <c r="O788" t="s">
        <v>43</v>
      </c>
    </row>
    <row r="789" spans="1:15" x14ac:dyDescent="0.3">
      <c r="A789" t="s">
        <v>4897</v>
      </c>
      <c r="B789" t="s">
        <v>4896</v>
      </c>
      <c r="C789" t="s">
        <v>123</v>
      </c>
      <c r="D789">
        <v>22</v>
      </c>
      <c r="E789" t="s">
        <v>31</v>
      </c>
      <c r="F789" t="s">
        <v>85</v>
      </c>
      <c r="G789" s="1">
        <v>46120</v>
      </c>
      <c r="H789" s="1">
        <v>46096</v>
      </c>
      <c r="I789" t="s">
        <v>4895</v>
      </c>
      <c r="J789" t="s">
        <v>4894</v>
      </c>
      <c r="K789" t="s">
        <v>35</v>
      </c>
      <c r="L789">
        <v>13980.73</v>
      </c>
      <c r="N789">
        <v>127</v>
      </c>
      <c r="O789" t="s">
        <v>71</v>
      </c>
    </row>
    <row r="790" spans="1:15" x14ac:dyDescent="0.3">
      <c r="A790" t="s">
        <v>4893</v>
      </c>
      <c r="B790" t="s">
        <v>4892</v>
      </c>
      <c r="C790" t="s">
        <v>0</v>
      </c>
      <c r="D790">
        <v>7</v>
      </c>
      <c r="E790" t="s">
        <v>21</v>
      </c>
      <c r="F790" t="s">
        <v>53</v>
      </c>
      <c r="G790" s="1">
        <v>46106</v>
      </c>
      <c r="H790" s="1">
        <v>46105</v>
      </c>
      <c r="I790" t="s">
        <v>4891</v>
      </c>
      <c r="J790" t="s">
        <v>4890</v>
      </c>
      <c r="L790">
        <v>6653.55</v>
      </c>
      <c r="N790">
        <v>323</v>
      </c>
      <c r="O790" t="s">
        <v>77</v>
      </c>
    </row>
    <row r="791" spans="1:15" x14ac:dyDescent="0.3">
      <c r="A791" t="s">
        <v>4889</v>
      </c>
      <c r="B791" t="s">
        <v>4888</v>
      </c>
      <c r="D791">
        <v>6</v>
      </c>
      <c r="E791" t="s">
        <v>68</v>
      </c>
      <c r="F791" t="s">
        <v>67</v>
      </c>
      <c r="G791" s="1">
        <v>46028</v>
      </c>
      <c r="H791" s="1">
        <v>46006</v>
      </c>
      <c r="I791" t="s">
        <v>4887</v>
      </c>
      <c r="J791" t="s">
        <v>4886</v>
      </c>
      <c r="L791">
        <v>11552.44</v>
      </c>
      <c r="M791" t="s">
        <v>64</v>
      </c>
      <c r="N791">
        <v>533</v>
      </c>
      <c r="O791" t="s">
        <v>25</v>
      </c>
    </row>
    <row r="792" spans="1:15" x14ac:dyDescent="0.3">
      <c r="A792" t="s">
        <v>4885</v>
      </c>
      <c r="B792" t="s">
        <v>4884</v>
      </c>
      <c r="C792" t="s">
        <v>0</v>
      </c>
      <c r="D792">
        <v>16</v>
      </c>
      <c r="E792" t="s">
        <v>31</v>
      </c>
      <c r="F792" t="s">
        <v>20</v>
      </c>
      <c r="G792" s="1">
        <v>46106</v>
      </c>
      <c r="H792" s="1">
        <v>46100</v>
      </c>
      <c r="I792" t="s">
        <v>4883</v>
      </c>
      <c r="J792" t="s">
        <v>4882</v>
      </c>
      <c r="K792" t="s">
        <v>26</v>
      </c>
      <c r="L792">
        <v>4680.24</v>
      </c>
      <c r="M792" t="s">
        <v>26</v>
      </c>
      <c r="N792">
        <v>483</v>
      </c>
      <c r="O792" t="s">
        <v>34</v>
      </c>
    </row>
    <row r="793" spans="1:15" x14ac:dyDescent="0.3">
      <c r="A793" t="s">
        <v>4881</v>
      </c>
      <c r="B793" t="s">
        <v>4880</v>
      </c>
      <c r="C793" t="s">
        <v>22</v>
      </c>
      <c r="D793">
        <v>73</v>
      </c>
      <c r="E793" t="s">
        <v>21</v>
      </c>
      <c r="F793" t="s">
        <v>46</v>
      </c>
      <c r="G793" s="1">
        <v>46090</v>
      </c>
      <c r="H793" s="1">
        <v>46074</v>
      </c>
      <c r="I793" t="s">
        <v>4879</v>
      </c>
      <c r="J793" t="s">
        <v>4878</v>
      </c>
      <c r="K793" t="s">
        <v>35</v>
      </c>
      <c r="L793">
        <v>10527.19</v>
      </c>
      <c r="M793" t="s">
        <v>64</v>
      </c>
      <c r="N793">
        <v>226</v>
      </c>
      <c r="O793" t="s">
        <v>50</v>
      </c>
    </row>
    <row r="794" spans="1:15" x14ac:dyDescent="0.3">
      <c r="A794" t="s">
        <v>4877</v>
      </c>
      <c r="B794" t="s">
        <v>4876</v>
      </c>
      <c r="D794">
        <v>87</v>
      </c>
      <c r="E794" t="s">
        <v>80</v>
      </c>
      <c r="F794" t="s">
        <v>67</v>
      </c>
      <c r="G794" s="1">
        <v>46026</v>
      </c>
      <c r="H794" s="1">
        <v>46026</v>
      </c>
      <c r="I794" t="s">
        <v>4875</v>
      </c>
      <c r="J794" t="s">
        <v>4874</v>
      </c>
      <c r="K794" t="s">
        <v>26</v>
      </c>
      <c r="L794">
        <v>17096.55</v>
      </c>
      <c r="M794" t="s">
        <v>64</v>
      </c>
      <c r="N794">
        <v>301</v>
      </c>
      <c r="O794" t="s">
        <v>43</v>
      </c>
    </row>
    <row r="795" spans="1:15" x14ac:dyDescent="0.3">
      <c r="A795" t="s">
        <v>4873</v>
      </c>
      <c r="B795" t="s">
        <v>4872</v>
      </c>
      <c r="C795" t="s">
        <v>74</v>
      </c>
      <c r="D795">
        <v>42</v>
      </c>
      <c r="E795" t="s">
        <v>39</v>
      </c>
      <c r="F795" t="s">
        <v>46</v>
      </c>
      <c r="G795" s="1">
        <v>45978</v>
      </c>
      <c r="H795" s="1">
        <v>45976</v>
      </c>
      <c r="I795" t="s">
        <v>4871</v>
      </c>
      <c r="J795" t="s">
        <v>4870</v>
      </c>
      <c r="L795">
        <v>20801.34</v>
      </c>
      <c r="N795">
        <v>332</v>
      </c>
      <c r="O795" t="s">
        <v>25</v>
      </c>
    </row>
    <row r="796" spans="1:15" x14ac:dyDescent="0.3">
      <c r="A796" t="s">
        <v>4869</v>
      </c>
      <c r="B796" t="s">
        <v>4868</v>
      </c>
      <c r="C796" t="s">
        <v>22</v>
      </c>
      <c r="D796">
        <v>77</v>
      </c>
      <c r="E796" t="s">
        <v>47</v>
      </c>
      <c r="F796" t="s">
        <v>67</v>
      </c>
      <c r="G796" s="1">
        <v>46085</v>
      </c>
      <c r="H796" s="1">
        <v>46084</v>
      </c>
      <c r="I796" t="s">
        <v>4867</v>
      </c>
      <c r="J796" t="s">
        <v>4866</v>
      </c>
      <c r="L796">
        <v>8257.9</v>
      </c>
      <c r="M796" t="s">
        <v>26</v>
      </c>
      <c r="N796">
        <v>208</v>
      </c>
      <c r="O796" t="s">
        <v>50</v>
      </c>
    </row>
    <row r="797" spans="1:15" x14ac:dyDescent="0.3">
      <c r="A797" t="s">
        <v>4865</v>
      </c>
      <c r="B797" t="s">
        <v>4864</v>
      </c>
      <c r="C797" t="s">
        <v>40</v>
      </c>
      <c r="D797">
        <v>83</v>
      </c>
      <c r="E797" t="s">
        <v>132</v>
      </c>
      <c r="F797" t="s">
        <v>67</v>
      </c>
      <c r="G797" s="1">
        <v>46009</v>
      </c>
      <c r="H797" s="1">
        <v>45984</v>
      </c>
      <c r="I797" t="s">
        <v>4863</v>
      </c>
      <c r="J797" t="s">
        <v>4862</v>
      </c>
      <c r="K797" t="s">
        <v>27</v>
      </c>
      <c r="L797">
        <v>18646.240000000002</v>
      </c>
      <c r="N797">
        <v>147</v>
      </c>
      <c r="O797" t="s">
        <v>16</v>
      </c>
    </row>
    <row r="798" spans="1:15" x14ac:dyDescent="0.3">
      <c r="A798" t="s">
        <v>4861</v>
      </c>
      <c r="B798" t="s">
        <v>4860</v>
      </c>
      <c r="C798" t="s">
        <v>22</v>
      </c>
      <c r="D798">
        <v>23</v>
      </c>
      <c r="E798" t="s">
        <v>21</v>
      </c>
      <c r="F798" t="s">
        <v>90</v>
      </c>
      <c r="G798" s="1">
        <v>46144</v>
      </c>
      <c r="H798" s="1">
        <v>46142</v>
      </c>
      <c r="I798" t="s">
        <v>4859</v>
      </c>
      <c r="J798" t="s">
        <v>4858</v>
      </c>
      <c r="K798" t="s">
        <v>27</v>
      </c>
      <c r="L798">
        <v>21338.18</v>
      </c>
      <c r="M798" t="s">
        <v>26</v>
      </c>
      <c r="N798">
        <v>298</v>
      </c>
      <c r="O798" t="s">
        <v>50</v>
      </c>
    </row>
    <row r="799" spans="1:15" x14ac:dyDescent="0.3">
      <c r="A799" t="s">
        <v>4857</v>
      </c>
      <c r="B799" t="s">
        <v>4856</v>
      </c>
      <c r="C799" t="s">
        <v>123</v>
      </c>
      <c r="D799">
        <v>37</v>
      </c>
      <c r="E799" t="s">
        <v>39</v>
      </c>
      <c r="F799" t="s">
        <v>20</v>
      </c>
      <c r="G799" s="1">
        <v>46134</v>
      </c>
      <c r="H799" s="1">
        <v>46125</v>
      </c>
      <c r="I799" t="s">
        <v>4855</v>
      </c>
      <c r="J799" t="s">
        <v>4854</v>
      </c>
      <c r="L799">
        <v>20067.29</v>
      </c>
      <c r="M799" t="s">
        <v>63</v>
      </c>
      <c r="N799">
        <v>450</v>
      </c>
      <c r="O799" t="s">
        <v>34</v>
      </c>
    </row>
    <row r="800" spans="1:15" x14ac:dyDescent="0.3">
      <c r="A800" t="s">
        <v>4853</v>
      </c>
      <c r="B800" t="s">
        <v>4852</v>
      </c>
      <c r="C800" t="s">
        <v>0</v>
      </c>
      <c r="D800">
        <v>46</v>
      </c>
      <c r="E800" t="s">
        <v>80</v>
      </c>
      <c r="F800" t="s">
        <v>67</v>
      </c>
      <c r="G800" s="1">
        <v>46022</v>
      </c>
      <c r="H800" s="1">
        <v>46006</v>
      </c>
      <c r="I800" t="s">
        <v>4851</v>
      </c>
      <c r="J800" t="s">
        <v>4850</v>
      </c>
      <c r="K800" t="s">
        <v>17</v>
      </c>
      <c r="L800">
        <v>12342.65</v>
      </c>
      <c r="N800">
        <v>343</v>
      </c>
      <c r="O800" t="s">
        <v>43</v>
      </c>
    </row>
    <row r="801" spans="1:15" x14ac:dyDescent="0.3">
      <c r="A801" t="s">
        <v>4849</v>
      </c>
      <c r="B801" t="s">
        <v>4848</v>
      </c>
      <c r="C801" t="s">
        <v>123</v>
      </c>
      <c r="D801">
        <v>12</v>
      </c>
      <c r="E801" t="s">
        <v>54</v>
      </c>
      <c r="F801" t="s">
        <v>67</v>
      </c>
      <c r="G801" s="1">
        <v>46017</v>
      </c>
      <c r="H801" s="1">
        <v>45998</v>
      </c>
      <c r="I801" t="s">
        <v>4847</v>
      </c>
      <c r="J801" t="s">
        <v>4846</v>
      </c>
      <c r="K801" t="s">
        <v>35</v>
      </c>
      <c r="L801">
        <v>10965.83</v>
      </c>
      <c r="N801">
        <v>147</v>
      </c>
      <c r="O801" t="s">
        <v>77</v>
      </c>
    </row>
    <row r="802" spans="1:15" x14ac:dyDescent="0.3">
      <c r="A802" t="s">
        <v>4845</v>
      </c>
      <c r="B802" t="s">
        <v>4844</v>
      </c>
      <c r="C802" t="s">
        <v>60</v>
      </c>
      <c r="D802">
        <v>60</v>
      </c>
      <c r="E802" t="s">
        <v>21</v>
      </c>
      <c r="F802" t="s">
        <v>53</v>
      </c>
      <c r="G802" s="1">
        <v>46153</v>
      </c>
      <c r="H802" s="1">
        <v>46124</v>
      </c>
      <c r="I802" t="s">
        <v>4843</v>
      </c>
      <c r="J802" t="s">
        <v>4842</v>
      </c>
      <c r="L802">
        <v>13276.51</v>
      </c>
      <c r="M802" t="s">
        <v>64</v>
      </c>
      <c r="N802">
        <v>248</v>
      </c>
      <c r="O802" t="s">
        <v>16</v>
      </c>
    </row>
    <row r="803" spans="1:15" x14ac:dyDescent="0.3">
      <c r="A803" t="s">
        <v>4841</v>
      </c>
      <c r="B803" t="s">
        <v>4840</v>
      </c>
      <c r="C803" t="s">
        <v>123</v>
      </c>
      <c r="D803">
        <v>11</v>
      </c>
      <c r="E803" t="s">
        <v>68</v>
      </c>
      <c r="F803" t="s">
        <v>30</v>
      </c>
      <c r="G803" s="1">
        <v>46125</v>
      </c>
      <c r="H803" s="1">
        <v>46121</v>
      </c>
      <c r="I803" t="s">
        <v>4839</v>
      </c>
      <c r="J803" t="s">
        <v>4838</v>
      </c>
      <c r="K803" t="s">
        <v>35</v>
      </c>
      <c r="L803">
        <v>17170.990000000002</v>
      </c>
      <c r="M803" t="s">
        <v>63</v>
      </c>
      <c r="N803">
        <v>530</v>
      </c>
      <c r="O803" t="s">
        <v>71</v>
      </c>
    </row>
    <row r="804" spans="1:15" x14ac:dyDescent="0.3">
      <c r="A804" t="s">
        <v>4837</v>
      </c>
      <c r="B804" t="s">
        <v>4836</v>
      </c>
      <c r="C804" t="s">
        <v>123</v>
      </c>
      <c r="D804">
        <v>38</v>
      </c>
      <c r="E804" t="s">
        <v>47</v>
      </c>
      <c r="F804" t="s">
        <v>20</v>
      </c>
      <c r="G804" s="1">
        <v>46061</v>
      </c>
      <c r="H804" s="1">
        <v>46032</v>
      </c>
      <c r="I804" t="s">
        <v>4835</v>
      </c>
      <c r="J804" t="s">
        <v>4834</v>
      </c>
      <c r="K804" t="s">
        <v>27</v>
      </c>
      <c r="L804">
        <v>12932.68</v>
      </c>
      <c r="N804">
        <v>311</v>
      </c>
      <c r="O804" t="s">
        <v>77</v>
      </c>
    </row>
    <row r="805" spans="1:15" x14ac:dyDescent="0.3">
      <c r="A805" t="s">
        <v>4833</v>
      </c>
      <c r="B805" t="s">
        <v>4832</v>
      </c>
      <c r="D805">
        <v>85</v>
      </c>
      <c r="E805" t="s">
        <v>132</v>
      </c>
      <c r="F805" t="s">
        <v>67</v>
      </c>
      <c r="G805" s="1">
        <v>46040</v>
      </c>
      <c r="H805" s="1">
        <v>46032</v>
      </c>
      <c r="I805" t="s">
        <v>4831</v>
      </c>
      <c r="J805" t="s">
        <v>4830</v>
      </c>
      <c r="K805" t="s">
        <v>64</v>
      </c>
      <c r="L805">
        <v>19262.439999999999</v>
      </c>
      <c r="M805" t="s">
        <v>27</v>
      </c>
      <c r="N805">
        <v>158</v>
      </c>
      <c r="O805" t="s">
        <v>25</v>
      </c>
    </row>
    <row r="806" spans="1:15" x14ac:dyDescent="0.3">
      <c r="A806" t="s">
        <v>4829</v>
      </c>
      <c r="B806" t="s">
        <v>4828</v>
      </c>
      <c r="D806">
        <v>23</v>
      </c>
      <c r="E806" t="s">
        <v>39</v>
      </c>
      <c r="F806" t="s">
        <v>90</v>
      </c>
      <c r="G806" s="1">
        <v>46044</v>
      </c>
      <c r="H806" s="1">
        <v>46043</v>
      </c>
      <c r="I806" t="s">
        <v>4827</v>
      </c>
      <c r="J806" t="s">
        <v>4826</v>
      </c>
      <c r="K806" t="s">
        <v>64</v>
      </c>
      <c r="L806">
        <v>10523.04</v>
      </c>
      <c r="M806" t="s">
        <v>63</v>
      </c>
      <c r="N806">
        <v>260</v>
      </c>
      <c r="O806" t="s">
        <v>34</v>
      </c>
    </row>
    <row r="807" spans="1:15" x14ac:dyDescent="0.3">
      <c r="A807" t="s">
        <v>4825</v>
      </c>
      <c r="B807" t="s">
        <v>4824</v>
      </c>
      <c r="D807">
        <v>86</v>
      </c>
      <c r="E807" t="s">
        <v>68</v>
      </c>
      <c r="F807" t="s">
        <v>30</v>
      </c>
      <c r="G807" s="1">
        <v>46103</v>
      </c>
      <c r="H807" s="1">
        <v>46093</v>
      </c>
      <c r="I807" t="s">
        <v>4823</v>
      </c>
      <c r="J807" t="s">
        <v>4822</v>
      </c>
      <c r="K807" t="s">
        <v>35</v>
      </c>
      <c r="L807">
        <v>5434.5</v>
      </c>
      <c r="M807" t="s">
        <v>64</v>
      </c>
      <c r="N807">
        <v>482</v>
      </c>
      <c r="O807" t="s">
        <v>34</v>
      </c>
    </row>
    <row r="808" spans="1:15" x14ac:dyDescent="0.3">
      <c r="A808" t="s">
        <v>4821</v>
      </c>
      <c r="B808" t="s">
        <v>4820</v>
      </c>
      <c r="C808" t="s">
        <v>22</v>
      </c>
      <c r="D808">
        <v>87</v>
      </c>
      <c r="E808" t="s">
        <v>80</v>
      </c>
      <c r="F808" t="s">
        <v>90</v>
      </c>
      <c r="G808" s="1">
        <v>46076</v>
      </c>
      <c r="H808" s="1">
        <v>46059</v>
      </c>
      <c r="I808" t="s">
        <v>4819</v>
      </c>
      <c r="K808" t="s">
        <v>27</v>
      </c>
      <c r="L808">
        <v>-500</v>
      </c>
      <c r="M808" t="s">
        <v>64</v>
      </c>
      <c r="N808">
        <v>106</v>
      </c>
      <c r="O808" t="s">
        <v>71</v>
      </c>
    </row>
    <row r="809" spans="1:15" x14ac:dyDescent="0.3">
      <c r="A809" t="s">
        <v>4818</v>
      </c>
      <c r="B809" t="s">
        <v>4817</v>
      </c>
      <c r="D809">
        <v>59</v>
      </c>
      <c r="E809" t="s">
        <v>54</v>
      </c>
      <c r="F809" t="s">
        <v>85</v>
      </c>
      <c r="G809" s="1">
        <v>45998</v>
      </c>
      <c r="H809" s="1">
        <v>45989</v>
      </c>
      <c r="I809" t="s">
        <v>4816</v>
      </c>
      <c r="J809" t="s">
        <v>4815</v>
      </c>
      <c r="K809" t="s">
        <v>57</v>
      </c>
      <c r="L809">
        <v>17328.419999999998</v>
      </c>
      <c r="N809">
        <v>511</v>
      </c>
      <c r="O809" t="s">
        <v>43</v>
      </c>
    </row>
    <row r="810" spans="1:15" x14ac:dyDescent="0.3">
      <c r="A810" t="s">
        <v>4814</v>
      </c>
      <c r="B810" t="s">
        <v>4813</v>
      </c>
      <c r="C810" t="s">
        <v>74</v>
      </c>
      <c r="D810">
        <v>17</v>
      </c>
      <c r="E810" t="s">
        <v>39</v>
      </c>
      <c r="F810" t="s">
        <v>46</v>
      </c>
      <c r="G810" s="1">
        <v>46072</v>
      </c>
      <c r="H810" s="1">
        <v>46066</v>
      </c>
      <c r="I810" t="s">
        <v>4812</v>
      </c>
      <c r="J810" t="s">
        <v>4811</v>
      </c>
      <c r="K810" t="s">
        <v>64</v>
      </c>
      <c r="L810">
        <v>20436.009999999998</v>
      </c>
      <c r="M810" t="s">
        <v>57</v>
      </c>
      <c r="N810">
        <v>539</v>
      </c>
      <c r="O810" t="s">
        <v>77</v>
      </c>
    </row>
    <row r="811" spans="1:15" x14ac:dyDescent="0.3">
      <c r="A811" t="s">
        <v>4810</v>
      </c>
      <c r="B811" t="s">
        <v>4809</v>
      </c>
      <c r="C811" t="s">
        <v>1</v>
      </c>
      <c r="D811">
        <v>62</v>
      </c>
      <c r="E811" t="s">
        <v>39</v>
      </c>
      <c r="F811" t="s">
        <v>38</v>
      </c>
      <c r="G811" s="1">
        <v>45994</v>
      </c>
      <c r="H811" s="1">
        <v>45981</v>
      </c>
      <c r="I811" t="s">
        <v>4808</v>
      </c>
      <c r="J811" t="s">
        <v>4807</v>
      </c>
      <c r="K811" t="s">
        <v>17</v>
      </c>
      <c r="L811">
        <v>2335.12</v>
      </c>
      <c r="N811">
        <v>175</v>
      </c>
      <c r="O811" t="s">
        <v>16</v>
      </c>
    </row>
    <row r="812" spans="1:15" x14ac:dyDescent="0.3">
      <c r="A812" t="s">
        <v>4806</v>
      </c>
      <c r="B812" t="s">
        <v>4805</v>
      </c>
      <c r="C812" t="s">
        <v>123</v>
      </c>
      <c r="D812">
        <v>3</v>
      </c>
      <c r="E812" t="s">
        <v>80</v>
      </c>
      <c r="F812" t="s">
        <v>53</v>
      </c>
      <c r="G812" s="1">
        <v>46159</v>
      </c>
      <c r="H812" s="1">
        <v>46131</v>
      </c>
      <c r="I812" t="s">
        <v>4804</v>
      </c>
      <c r="J812" t="s">
        <v>4803</v>
      </c>
      <c r="K812" t="s">
        <v>35</v>
      </c>
      <c r="L812">
        <v>18521.77</v>
      </c>
      <c r="N812">
        <v>348</v>
      </c>
      <c r="O812" t="s">
        <v>16</v>
      </c>
    </row>
    <row r="813" spans="1:15" x14ac:dyDescent="0.3">
      <c r="A813" t="s">
        <v>4802</v>
      </c>
      <c r="B813" t="s">
        <v>4801</v>
      </c>
      <c r="C813" t="s">
        <v>40</v>
      </c>
      <c r="D813">
        <v>58</v>
      </c>
      <c r="E813" t="s">
        <v>21</v>
      </c>
      <c r="F813" t="s">
        <v>38</v>
      </c>
      <c r="G813" s="1">
        <v>46030</v>
      </c>
      <c r="H813" s="1">
        <v>46021</v>
      </c>
      <c r="I813" t="s">
        <v>4800</v>
      </c>
      <c r="J813" t="s">
        <v>4799</v>
      </c>
      <c r="L813">
        <v>1462.87</v>
      </c>
      <c r="M813" t="s">
        <v>27</v>
      </c>
      <c r="N813">
        <v>152</v>
      </c>
      <c r="O813" t="s">
        <v>25</v>
      </c>
    </row>
    <row r="814" spans="1:15" x14ac:dyDescent="0.3">
      <c r="A814" t="s">
        <v>4798</v>
      </c>
      <c r="B814" t="s">
        <v>4797</v>
      </c>
      <c r="C814" t="s">
        <v>123</v>
      </c>
      <c r="D814">
        <v>54</v>
      </c>
      <c r="E814" t="s">
        <v>68</v>
      </c>
      <c r="F814" t="s">
        <v>30</v>
      </c>
      <c r="G814" s="1">
        <v>46036</v>
      </c>
      <c r="H814" s="1">
        <v>46035</v>
      </c>
      <c r="I814" t="s">
        <v>4796</v>
      </c>
      <c r="J814" t="s">
        <v>4795</v>
      </c>
      <c r="L814">
        <v>10112.07</v>
      </c>
      <c r="N814">
        <v>218</v>
      </c>
      <c r="O814" t="s">
        <v>25</v>
      </c>
    </row>
    <row r="815" spans="1:15" x14ac:dyDescent="0.3">
      <c r="A815" t="s">
        <v>4794</v>
      </c>
      <c r="B815" t="s">
        <v>4793</v>
      </c>
      <c r="C815" t="s">
        <v>40</v>
      </c>
      <c r="D815">
        <v>68</v>
      </c>
      <c r="E815" t="s">
        <v>47</v>
      </c>
      <c r="F815" t="s">
        <v>90</v>
      </c>
      <c r="G815" s="1">
        <v>46160</v>
      </c>
      <c r="H815" s="1">
        <v>46142</v>
      </c>
      <c r="I815" t="s">
        <v>4792</v>
      </c>
      <c r="J815" t="s">
        <v>4791</v>
      </c>
      <c r="K815" t="s">
        <v>57</v>
      </c>
      <c r="L815">
        <v>13920.74</v>
      </c>
      <c r="M815" t="s">
        <v>63</v>
      </c>
      <c r="N815">
        <v>431</v>
      </c>
      <c r="O815" t="s">
        <v>16</v>
      </c>
    </row>
    <row r="816" spans="1:15" x14ac:dyDescent="0.3">
      <c r="A816" t="s">
        <v>4790</v>
      </c>
      <c r="B816" t="s">
        <v>4789</v>
      </c>
      <c r="D816">
        <v>15</v>
      </c>
      <c r="E816" t="s">
        <v>68</v>
      </c>
      <c r="F816" t="s">
        <v>67</v>
      </c>
      <c r="G816" s="1">
        <v>45990</v>
      </c>
      <c r="H816" s="1">
        <v>45976</v>
      </c>
      <c r="I816" t="s">
        <v>4788</v>
      </c>
      <c r="J816" t="s">
        <v>4787</v>
      </c>
      <c r="L816">
        <v>716.01</v>
      </c>
      <c r="M816" t="s">
        <v>63</v>
      </c>
      <c r="N816">
        <v>471</v>
      </c>
      <c r="O816" t="s">
        <v>71</v>
      </c>
    </row>
    <row r="817" spans="1:15" x14ac:dyDescent="0.3">
      <c r="A817" t="s">
        <v>4786</v>
      </c>
      <c r="B817" t="s">
        <v>4785</v>
      </c>
      <c r="D817">
        <v>45</v>
      </c>
      <c r="E817" t="s">
        <v>68</v>
      </c>
      <c r="F817" t="s">
        <v>38</v>
      </c>
      <c r="G817" s="1">
        <v>46052</v>
      </c>
      <c r="H817" s="1">
        <v>46036</v>
      </c>
      <c r="I817" t="s">
        <v>4784</v>
      </c>
      <c r="J817" t="s">
        <v>4783</v>
      </c>
      <c r="K817" t="s">
        <v>17</v>
      </c>
      <c r="L817">
        <v>14773.94</v>
      </c>
      <c r="M817" t="s">
        <v>17</v>
      </c>
      <c r="N817">
        <v>408</v>
      </c>
      <c r="O817" t="s">
        <v>50</v>
      </c>
    </row>
    <row r="818" spans="1:15" x14ac:dyDescent="0.3">
      <c r="A818" t="s">
        <v>4782</v>
      </c>
      <c r="B818" t="s">
        <v>4781</v>
      </c>
      <c r="D818">
        <v>17</v>
      </c>
      <c r="E818" t="s">
        <v>132</v>
      </c>
      <c r="F818" t="s">
        <v>90</v>
      </c>
      <c r="G818" s="1">
        <v>46006</v>
      </c>
      <c r="H818" s="1">
        <v>45976</v>
      </c>
      <c r="I818" t="s">
        <v>4780</v>
      </c>
      <c r="J818" t="s">
        <v>4779</v>
      </c>
      <c r="L818">
        <v>20860.400000000001</v>
      </c>
      <c r="M818" t="s">
        <v>17</v>
      </c>
      <c r="N818">
        <v>507</v>
      </c>
      <c r="O818" t="s">
        <v>16</v>
      </c>
    </row>
    <row r="819" spans="1:15" x14ac:dyDescent="0.3">
      <c r="A819" t="s">
        <v>4778</v>
      </c>
      <c r="B819" t="s">
        <v>4777</v>
      </c>
      <c r="C819" t="s">
        <v>0</v>
      </c>
      <c r="D819">
        <v>80</v>
      </c>
      <c r="E819" t="s">
        <v>21</v>
      </c>
      <c r="F819" t="s">
        <v>30</v>
      </c>
      <c r="G819" s="1">
        <v>46160</v>
      </c>
      <c r="H819" s="1">
        <v>46138</v>
      </c>
      <c r="I819" t="s">
        <v>4776</v>
      </c>
      <c r="J819" t="s">
        <v>4775</v>
      </c>
      <c r="K819" t="s">
        <v>64</v>
      </c>
      <c r="L819">
        <v>16743</v>
      </c>
      <c r="M819" t="s">
        <v>26</v>
      </c>
      <c r="N819">
        <v>188</v>
      </c>
      <c r="O819" t="s">
        <v>71</v>
      </c>
    </row>
    <row r="820" spans="1:15" x14ac:dyDescent="0.3">
      <c r="A820" t="s">
        <v>4774</v>
      </c>
      <c r="B820" t="s">
        <v>4773</v>
      </c>
      <c r="C820" t="s">
        <v>0</v>
      </c>
      <c r="D820">
        <v>78</v>
      </c>
      <c r="E820" t="s">
        <v>68</v>
      </c>
      <c r="F820" t="s">
        <v>20</v>
      </c>
      <c r="G820" s="1">
        <v>46051</v>
      </c>
      <c r="H820" s="1">
        <v>46026</v>
      </c>
      <c r="I820" t="s">
        <v>4772</v>
      </c>
      <c r="J820" t="s">
        <v>4771</v>
      </c>
      <c r="L820">
        <v>23587.759999999998</v>
      </c>
      <c r="N820">
        <v>255</v>
      </c>
      <c r="O820" t="s">
        <v>71</v>
      </c>
    </row>
    <row r="821" spans="1:15" x14ac:dyDescent="0.3">
      <c r="A821" t="s">
        <v>4770</v>
      </c>
      <c r="B821" t="s">
        <v>4769</v>
      </c>
      <c r="C821" t="s">
        <v>1</v>
      </c>
      <c r="D821">
        <v>72</v>
      </c>
      <c r="E821" t="s">
        <v>47</v>
      </c>
      <c r="F821" t="s">
        <v>46</v>
      </c>
      <c r="G821" s="1">
        <v>46092</v>
      </c>
      <c r="H821" s="1">
        <v>46081</v>
      </c>
      <c r="I821" t="s">
        <v>4768</v>
      </c>
      <c r="J821" t="s">
        <v>4767</v>
      </c>
      <c r="K821" t="s">
        <v>26</v>
      </c>
      <c r="L821">
        <v>9054.69</v>
      </c>
      <c r="M821" t="s">
        <v>26</v>
      </c>
      <c r="N821">
        <v>189</v>
      </c>
      <c r="O821" t="s">
        <v>50</v>
      </c>
    </row>
    <row r="822" spans="1:15" x14ac:dyDescent="0.3">
      <c r="A822" t="s">
        <v>4766</v>
      </c>
      <c r="B822" t="s">
        <v>4765</v>
      </c>
      <c r="C822" t="s">
        <v>40</v>
      </c>
      <c r="D822">
        <v>9</v>
      </c>
      <c r="E822" t="s">
        <v>31</v>
      </c>
      <c r="F822" t="s">
        <v>90</v>
      </c>
      <c r="G822" s="1">
        <v>46138</v>
      </c>
      <c r="H822" s="1">
        <v>46135</v>
      </c>
      <c r="I822" t="s">
        <v>4764</v>
      </c>
      <c r="J822" t="s">
        <v>4763</v>
      </c>
      <c r="K822" t="s">
        <v>17</v>
      </c>
      <c r="L822">
        <v>3193.06</v>
      </c>
      <c r="M822" t="s">
        <v>57</v>
      </c>
      <c r="N822">
        <v>349</v>
      </c>
      <c r="O822" t="s">
        <v>43</v>
      </c>
    </row>
    <row r="823" spans="1:15" x14ac:dyDescent="0.3">
      <c r="A823" t="s">
        <v>4762</v>
      </c>
      <c r="B823" t="s">
        <v>4761</v>
      </c>
      <c r="C823" t="s">
        <v>60</v>
      </c>
      <c r="D823">
        <v>46</v>
      </c>
      <c r="E823" t="s">
        <v>47</v>
      </c>
      <c r="F823" t="s">
        <v>30</v>
      </c>
      <c r="G823" s="1">
        <v>46087</v>
      </c>
      <c r="H823" s="1">
        <v>46059</v>
      </c>
      <c r="I823" t="s">
        <v>4760</v>
      </c>
      <c r="J823" t="s">
        <v>4759</v>
      </c>
      <c r="K823" t="s">
        <v>35</v>
      </c>
      <c r="L823">
        <v>21364.52</v>
      </c>
      <c r="M823" t="s">
        <v>64</v>
      </c>
      <c r="N823">
        <v>461</v>
      </c>
      <c r="O823" t="s">
        <v>77</v>
      </c>
    </row>
    <row r="824" spans="1:15" x14ac:dyDescent="0.3">
      <c r="A824" t="s">
        <v>4758</v>
      </c>
      <c r="B824" t="s">
        <v>4757</v>
      </c>
      <c r="D824">
        <v>59</v>
      </c>
      <c r="E824" t="s">
        <v>80</v>
      </c>
      <c r="F824" t="s">
        <v>20</v>
      </c>
      <c r="G824" s="1">
        <v>46168</v>
      </c>
      <c r="H824" s="1">
        <v>46143</v>
      </c>
      <c r="I824" t="s">
        <v>4756</v>
      </c>
      <c r="J824" t="s">
        <v>4755</v>
      </c>
      <c r="K824" t="s">
        <v>64</v>
      </c>
      <c r="L824">
        <v>20625.53</v>
      </c>
      <c r="M824" t="s">
        <v>27</v>
      </c>
      <c r="N824">
        <v>359</v>
      </c>
      <c r="O824" t="s">
        <v>77</v>
      </c>
    </row>
    <row r="825" spans="1:15" x14ac:dyDescent="0.3">
      <c r="A825" t="s">
        <v>4754</v>
      </c>
      <c r="B825" t="s">
        <v>4753</v>
      </c>
      <c r="C825" t="s">
        <v>0</v>
      </c>
      <c r="D825">
        <v>81</v>
      </c>
      <c r="E825" t="s">
        <v>80</v>
      </c>
      <c r="F825" t="s">
        <v>38</v>
      </c>
      <c r="G825" s="1">
        <v>46031</v>
      </c>
      <c r="H825" s="1">
        <v>46002</v>
      </c>
      <c r="I825" t="s">
        <v>4752</v>
      </c>
      <c r="J825" t="s">
        <v>4751</v>
      </c>
      <c r="K825" t="s">
        <v>57</v>
      </c>
      <c r="L825">
        <v>4094.41</v>
      </c>
      <c r="M825" t="s">
        <v>63</v>
      </c>
      <c r="N825">
        <v>462</v>
      </c>
      <c r="O825" t="s">
        <v>16</v>
      </c>
    </row>
    <row r="826" spans="1:15" x14ac:dyDescent="0.3">
      <c r="A826" t="s">
        <v>4750</v>
      </c>
      <c r="B826" t="s">
        <v>4749</v>
      </c>
      <c r="D826">
        <v>13</v>
      </c>
      <c r="E826" t="s">
        <v>39</v>
      </c>
      <c r="F826" t="s">
        <v>67</v>
      </c>
      <c r="G826" s="1">
        <v>46099</v>
      </c>
      <c r="H826" s="1">
        <v>46089</v>
      </c>
      <c r="I826" t="s">
        <v>4748</v>
      </c>
      <c r="J826" t="s">
        <v>4747</v>
      </c>
      <c r="K826" t="s">
        <v>35</v>
      </c>
      <c r="L826">
        <v>3249.99</v>
      </c>
      <c r="M826" t="s">
        <v>57</v>
      </c>
      <c r="N826">
        <v>324</v>
      </c>
      <c r="O826" t="s">
        <v>16</v>
      </c>
    </row>
    <row r="827" spans="1:15" x14ac:dyDescent="0.3">
      <c r="A827" t="s">
        <v>4746</v>
      </c>
      <c r="B827" t="s">
        <v>4745</v>
      </c>
      <c r="C827" t="s">
        <v>40</v>
      </c>
      <c r="D827">
        <v>32</v>
      </c>
      <c r="E827" t="s">
        <v>68</v>
      </c>
      <c r="F827" t="s">
        <v>67</v>
      </c>
      <c r="G827" s="1">
        <v>46089</v>
      </c>
      <c r="H827" s="1">
        <v>46080</v>
      </c>
      <c r="I827" t="s">
        <v>4744</v>
      </c>
      <c r="J827" t="s">
        <v>4743</v>
      </c>
      <c r="K827" t="s">
        <v>35</v>
      </c>
      <c r="L827">
        <v>2313.8000000000002</v>
      </c>
      <c r="M827" t="s">
        <v>17</v>
      </c>
      <c r="N827">
        <v>466</v>
      </c>
      <c r="O827" t="s">
        <v>50</v>
      </c>
    </row>
    <row r="828" spans="1:15" x14ac:dyDescent="0.3">
      <c r="A828" t="s">
        <v>4742</v>
      </c>
      <c r="B828" t="s">
        <v>4741</v>
      </c>
      <c r="C828" t="s">
        <v>123</v>
      </c>
      <c r="D828">
        <v>47</v>
      </c>
      <c r="E828" t="s">
        <v>21</v>
      </c>
      <c r="F828" t="s">
        <v>53</v>
      </c>
      <c r="G828" s="1">
        <v>46124</v>
      </c>
      <c r="H828" s="1">
        <v>46100</v>
      </c>
      <c r="I828" t="s">
        <v>4740</v>
      </c>
      <c r="J828" t="s">
        <v>4739</v>
      </c>
      <c r="L828">
        <v>19722.95</v>
      </c>
      <c r="M828" t="s">
        <v>26</v>
      </c>
      <c r="N828">
        <v>510</v>
      </c>
      <c r="O828" t="s">
        <v>16</v>
      </c>
    </row>
    <row r="829" spans="1:15" x14ac:dyDescent="0.3">
      <c r="A829" t="s">
        <v>4738</v>
      </c>
      <c r="B829" t="s">
        <v>4737</v>
      </c>
      <c r="C829" t="s">
        <v>123</v>
      </c>
      <c r="D829">
        <v>53</v>
      </c>
      <c r="E829" t="s">
        <v>68</v>
      </c>
      <c r="F829" t="s">
        <v>67</v>
      </c>
      <c r="G829" s="1">
        <v>46017</v>
      </c>
      <c r="H829" s="1">
        <v>45987</v>
      </c>
      <c r="I829" t="s">
        <v>4736</v>
      </c>
      <c r="J829" t="s">
        <v>4735</v>
      </c>
      <c r="K829" t="s">
        <v>27</v>
      </c>
      <c r="L829">
        <v>11175.95</v>
      </c>
      <c r="M829" t="s">
        <v>27</v>
      </c>
      <c r="N829">
        <v>467</v>
      </c>
      <c r="O829" t="s">
        <v>50</v>
      </c>
    </row>
    <row r="830" spans="1:15" x14ac:dyDescent="0.3">
      <c r="A830" t="s">
        <v>4734</v>
      </c>
      <c r="B830" t="s">
        <v>4733</v>
      </c>
      <c r="C830" t="s">
        <v>74</v>
      </c>
      <c r="D830">
        <v>11</v>
      </c>
      <c r="E830" t="s">
        <v>31</v>
      </c>
      <c r="F830" t="s">
        <v>67</v>
      </c>
      <c r="G830" s="1">
        <v>46075</v>
      </c>
      <c r="H830" s="1">
        <v>46063</v>
      </c>
      <c r="I830" t="s">
        <v>4732</v>
      </c>
      <c r="J830" t="s">
        <v>4731</v>
      </c>
      <c r="K830" t="s">
        <v>35</v>
      </c>
      <c r="L830">
        <v>10964.99</v>
      </c>
      <c r="N830">
        <v>488</v>
      </c>
      <c r="O830" t="s">
        <v>77</v>
      </c>
    </row>
    <row r="831" spans="1:15" x14ac:dyDescent="0.3">
      <c r="A831" t="s">
        <v>4730</v>
      </c>
      <c r="B831" t="s">
        <v>4729</v>
      </c>
      <c r="C831" t="s">
        <v>0</v>
      </c>
      <c r="D831">
        <v>74</v>
      </c>
      <c r="E831" t="s">
        <v>47</v>
      </c>
      <c r="F831" t="s">
        <v>30</v>
      </c>
      <c r="G831" s="1">
        <v>46105</v>
      </c>
      <c r="H831" s="1">
        <v>46092</v>
      </c>
      <c r="I831" t="s">
        <v>4728</v>
      </c>
      <c r="J831" t="s">
        <v>4727</v>
      </c>
      <c r="L831">
        <v>22167.41</v>
      </c>
      <c r="M831" t="s">
        <v>63</v>
      </c>
      <c r="N831">
        <v>469</v>
      </c>
      <c r="O831" t="s">
        <v>25</v>
      </c>
    </row>
    <row r="832" spans="1:15" x14ac:dyDescent="0.3">
      <c r="A832" t="s">
        <v>4726</v>
      </c>
      <c r="B832" t="s">
        <v>4725</v>
      </c>
      <c r="C832" t="s">
        <v>60</v>
      </c>
      <c r="D832">
        <v>45</v>
      </c>
      <c r="E832" t="s">
        <v>47</v>
      </c>
      <c r="F832" t="s">
        <v>30</v>
      </c>
      <c r="G832" s="1">
        <v>46162</v>
      </c>
      <c r="H832" s="1">
        <v>46134</v>
      </c>
      <c r="I832" t="s">
        <v>4724</v>
      </c>
      <c r="J832" t="s">
        <v>4723</v>
      </c>
      <c r="K832" t="s">
        <v>35</v>
      </c>
      <c r="L832">
        <v>17567.32</v>
      </c>
      <c r="N832">
        <v>429</v>
      </c>
      <c r="O832" t="s">
        <v>71</v>
      </c>
    </row>
    <row r="833" spans="1:15" x14ac:dyDescent="0.3">
      <c r="A833" t="s">
        <v>4722</v>
      </c>
      <c r="B833" t="s">
        <v>4721</v>
      </c>
      <c r="D833">
        <v>90</v>
      </c>
      <c r="E833" t="s">
        <v>31</v>
      </c>
      <c r="F833" t="s">
        <v>90</v>
      </c>
      <c r="G833" s="1">
        <v>46095</v>
      </c>
      <c r="H833" s="1">
        <v>46071</v>
      </c>
      <c r="I833" t="s">
        <v>4720</v>
      </c>
      <c r="J833" t="s">
        <v>4719</v>
      </c>
      <c r="K833" t="s">
        <v>17</v>
      </c>
      <c r="L833">
        <v>22048.17</v>
      </c>
      <c r="M833" t="s">
        <v>64</v>
      </c>
      <c r="N833">
        <v>118</v>
      </c>
      <c r="O833" t="s">
        <v>34</v>
      </c>
    </row>
    <row r="834" spans="1:15" x14ac:dyDescent="0.3">
      <c r="A834" t="s">
        <v>4718</v>
      </c>
      <c r="B834" t="s">
        <v>4717</v>
      </c>
      <c r="C834" t="s">
        <v>60</v>
      </c>
      <c r="D834">
        <v>50</v>
      </c>
      <c r="E834" t="s">
        <v>39</v>
      </c>
      <c r="F834" t="s">
        <v>30</v>
      </c>
      <c r="G834" s="1">
        <v>46077</v>
      </c>
      <c r="H834" s="1">
        <v>46071</v>
      </c>
      <c r="I834" t="s">
        <v>4716</v>
      </c>
      <c r="J834" t="s">
        <v>4715</v>
      </c>
      <c r="K834" t="s">
        <v>64</v>
      </c>
      <c r="L834">
        <v>12889.46</v>
      </c>
      <c r="M834" t="s">
        <v>63</v>
      </c>
      <c r="N834">
        <v>366</v>
      </c>
      <c r="O834" t="s">
        <v>43</v>
      </c>
    </row>
    <row r="835" spans="1:15" x14ac:dyDescent="0.3">
      <c r="A835" t="s">
        <v>4714</v>
      </c>
      <c r="B835" t="s">
        <v>4713</v>
      </c>
      <c r="C835" t="s">
        <v>0</v>
      </c>
      <c r="D835">
        <v>3</v>
      </c>
      <c r="E835" t="s">
        <v>47</v>
      </c>
      <c r="F835" t="s">
        <v>30</v>
      </c>
      <c r="G835" s="1">
        <v>46149</v>
      </c>
      <c r="H835" s="1">
        <v>46142</v>
      </c>
      <c r="I835" t="s">
        <v>4712</v>
      </c>
      <c r="J835" t="s">
        <v>4711</v>
      </c>
      <c r="K835" t="s">
        <v>26</v>
      </c>
      <c r="L835">
        <v>18217.43</v>
      </c>
      <c r="M835" t="s">
        <v>64</v>
      </c>
      <c r="N835">
        <v>474</v>
      </c>
      <c r="O835" t="s">
        <v>77</v>
      </c>
    </row>
    <row r="836" spans="1:15" x14ac:dyDescent="0.3">
      <c r="A836" t="s">
        <v>4710</v>
      </c>
      <c r="B836" t="s">
        <v>4709</v>
      </c>
      <c r="C836" t="s">
        <v>60</v>
      </c>
      <c r="D836">
        <v>34</v>
      </c>
      <c r="E836" t="s">
        <v>31</v>
      </c>
      <c r="F836" t="s">
        <v>20</v>
      </c>
      <c r="G836" s="1">
        <v>45984</v>
      </c>
      <c r="H836" s="1">
        <v>45983</v>
      </c>
      <c r="I836" t="s">
        <v>4708</v>
      </c>
      <c r="J836" t="s">
        <v>4707</v>
      </c>
      <c r="K836" t="s">
        <v>64</v>
      </c>
      <c r="L836">
        <v>11328.67</v>
      </c>
      <c r="M836" t="s">
        <v>27</v>
      </c>
      <c r="N836">
        <v>332</v>
      </c>
      <c r="O836" t="s">
        <v>43</v>
      </c>
    </row>
    <row r="837" spans="1:15" x14ac:dyDescent="0.3">
      <c r="A837" t="s">
        <v>4706</v>
      </c>
      <c r="B837" t="s">
        <v>4705</v>
      </c>
      <c r="C837" t="s">
        <v>1</v>
      </c>
      <c r="D837">
        <v>75</v>
      </c>
      <c r="E837" t="s">
        <v>21</v>
      </c>
      <c r="F837" t="s">
        <v>67</v>
      </c>
      <c r="G837" s="1">
        <v>46087</v>
      </c>
      <c r="H837" s="1">
        <v>46078</v>
      </c>
      <c r="I837" t="s">
        <v>4704</v>
      </c>
      <c r="J837" t="s">
        <v>4703</v>
      </c>
      <c r="K837" t="s">
        <v>26</v>
      </c>
      <c r="L837">
        <v>16739.669999999998</v>
      </c>
      <c r="M837" t="s">
        <v>26</v>
      </c>
      <c r="N837">
        <v>465</v>
      </c>
      <c r="O837" t="s">
        <v>16</v>
      </c>
    </row>
    <row r="838" spans="1:15" x14ac:dyDescent="0.3">
      <c r="A838" t="s">
        <v>4702</v>
      </c>
      <c r="B838" t="s">
        <v>4701</v>
      </c>
      <c r="C838" t="s">
        <v>1</v>
      </c>
      <c r="D838">
        <v>14</v>
      </c>
      <c r="E838" t="s">
        <v>31</v>
      </c>
      <c r="F838" t="s">
        <v>38</v>
      </c>
      <c r="G838" s="1">
        <v>46119</v>
      </c>
      <c r="H838" s="1">
        <v>46093</v>
      </c>
      <c r="I838" t="s">
        <v>4700</v>
      </c>
      <c r="J838" t="s">
        <v>4699</v>
      </c>
      <c r="K838" t="s">
        <v>57</v>
      </c>
      <c r="L838">
        <v>11466.88</v>
      </c>
      <c r="M838" t="s">
        <v>26</v>
      </c>
      <c r="N838">
        <v>464</v>
      </c>
      <c r="O838" t="s">
        <v>16</v>
      </c>
    </row>
    <row r="839" spans="1:15" x14ac:dyDescent="0.3">
      <c r="A839" t="s">
        <v>4698</v>
      </c>
      <c r="B839" t="s">
        <v>4697</v>
      </c>
      <c r="C839" t="s">
        <v>123</v>
      </c>
      <c r="D839">
        <v>11</v>
      </c>
      <c r="E839" t="s">
        <v>80</v>
      </c>
      <c r="F839" t="s">
        <v>46</v>
      </c>
      <c r="G839" s="1">
        <v>46029</v>
      </c>
      <c r="H839" s="1">
        <v>46016</v>
      </c>
      <c r="I839" t="s">
        <v>4696</v>
      </c>
      <c r="J839" t="s">
        <v>4695</v>
      </c>
      <c r="K839" t="s">
        <v>35</v>
      </c>
      <c r="L839">
        <v>12011.08</v>
      </c>
      <c r="N839">
        <v>139</v>
      </c>
      <c r="O839" t="s">
        <v>43</v>
      </c>
    </row>
    <row r="840" spans="1:15" x14ac:dyDescent="0.3">
      <c r="A840" t="s">
        <v>4694</v>
      </c>
      <c r="B840" t="s">
        <v>4693</v>
      </c>
      <c r="C840" t="s">
        <v>123</v>
      </c>
      <c r="D840">
        <v>76</v>
      </c>
      <c r="E840" t="s">
        <v>54</v>
      </c>
      <c r="F840" t="s">
        <v>30</v>
      </c>
      <c r="G840" s="1">
        <v>46064</v>
      </c>
      <c r="H840" s="1">
        <v>46046</v>
      </c>
      <c r="I840" t="s">
        <v>4692</v>
      </c>
      <c r="J840" t="s">
        <v>4691</v>
      </c>
      <c r="L840">
        <v>15984.24</v>
      </c>
      <c r="N840">
        <v>452</v>
      </c>
      <c r="O840" t="s">
        <v>16</v>
      </c>
    </row>
    <row r="841" spans="1:15" x14ac:dyDescent="0.3">
      <c r="A841" t="s">
        <v>4690</v>
      </c>
      <c r="B841" t="s">
        <v>4689</v>
      </c>
      <c r="C841" t="s">
        <v>123</v>
      </c>
      <c r="D841">
        <v>21</v>
      </c>
      <c r="E841" t="s">
        <v>39</v>
      </c>
      <c r="F841" t="s">
        <v>53</v>
      </c>
      <c r="G841" s="1">
        <v>46136</v>
      </c>
      <c r="H841" s="1">
        <v>46121</v>
      </c>
      <c r="I841" t="s">
        <v>4688</v>
      </c>
      <c r="J841" t="s">
        <v>4687</v>
      </c>
      <c r="L841">
        <v>3408.75</v>
      </c>
      <c r="M841" t="s">
        <v>64</v>
      </c>
      <c r="N841">
        <v>455</v>
      </c>
      <c r="O841" t="s">
        <v>71</v>
      </c>
    </row>
    <row r="842" spans="1:15" x14ac:dyDescent="0.3">
      <c r="A842" t="s">
        <v>4686</v>
      </c>
      <c r="B842" t="s">
        <v>4685</v>
      </c>
      <c r="D842">
        <v>61</v>
      </c>
      <c r="E842" t="s">
        <v>47</v>
      </c>
      <c r="F842" t="s">
        <v>53</v>
      </c>
      <c r="G842" s="1">
        <v>46080</v>
      </c>
      <c r="H842" s="1">
        <v>46050</v>
      </c>
      <c r="I842" t="s">
        <v>4684</v>
      </c>
      <c r="J842" t="s">
        <v>4683</v>
      </c>
      <c r="K842" t="s">
        <v>57</v>
      </c>
      <c r="L842">
        <v>23058.09</v>
      </c>
      <c r="M842" t="s">
        <v>64</v>
      </c>
      <c r="N842">
        <v>408</v>
      </c>
      <c r="O842" t="s">
        <v>50</v>
      </c>
    </row>
    <row r="843" spans="1:15" x14ac:dyDescent="0.3">
      <c r="A843" t="s">
        <v>4682</v>
      </c>
      <c r="B843" t="s">
        <v>4681</v>
      </c>
      <c r="C843" t="s">
        <v>123</v>
      </c>
      <c r="D843">
        <v>15</v>
      </c>
      <c r="E843" t="s">
        <v>80</v>
      </c>
      <c r="F843" t="s">
        <v>67</v>
      </c>
      <c r="G843" s="1">
        <v>46067</v>
      </c>
      <c r="H843" s="1">
        <v>46049</v>
      </c>
      <c r="I843" t="s">
        <v>4680</v>
      </c>
      <c r="J843" t="s">
        <v>4679</v>
      </c>
      <c r="K843" t="s">
        <v>26</v>
      </c>
      <c r="L843">
        <v>1199</v>
      </c>
      <c r="M843" t="s">
        <v>26</v>
      </c>
      <c r="N843">
        <v>160</v>
      </c>
      <c r="O843" t="s">
        <v>43</v>
      </c>
    </row>
    <row r="844" spans="1:15" x14ac:dyDescent="0.3">
      <c r="A844" t="s">
        <v>4678</v>
      </c>
      <c r="B844" t="s">
        <v>4677</v>
      </c>
      <c r="C844" t="s">
        <v>22</v>
      </c>
      <c r="D844">
        <v>48</v>
      </c>
      <c r="E844" t="s">
        <v>132</v>
      </c>
      <c r="F844" t="s">
        <v>30</v>
      </c>
      <c r="G844" s="1">
        <v>46153</v>
      </c>
      <c r="H844" s="1">
        <v>46138</v>
      </c>
      <c r="I844" t="s">
        <v>4676</v>
      </c>
      <c r="J844" t="s">
        <v>4675</v>
      </c>
      <c r="K844" t="s">
        <v>27</v>
      </c>
      <c r="L844">
        <v>19821.849999999999</v>
      </c>
      <c r="M844" t="s">
        <v>26</v>
      </c>
      <c r="N844">
        <v>501</v>
      </c>
      <c r="O844" t="s">
        <v>34</v>
      </c>
    </row>
    <row r="845" spans="1:15" x14ac:dyDescent="0.3">
      <c r="A845" t="s">
        <v>4674</v>
      </c>
      <c r="B845" t="s">
        <v>4673</v>
      </c>
      <c r="C845" t="s">
        <v>123</v>
      </c>
      <c r="D845">
        <v>7</v>
      </c>
      <c r="E845" t="s">
        <v>132</v>
      </c>
      <c r="F845" t="s">
        <v>30</v>
      </c>
      <c r="G845" s="1">
        <v>46050</v>
      </c>
      <c r="H845" s="1">
        <v>46044</v>
      </c>
      <c r="I845" t="s">
        <v>4672</v>
      </c>
      <c r="J845" t="s">
        <v>4671</v>
      </c>
      <c r="K845" t="s">
        <v>35</v>
      </c>
      <c r="L845">
        <v>20514.3</v>
      </c>
      <c r="N845">
        <v>101</v>
      </c>
      <c r="O845" t="s">
        <v>77</v>
      </c>
    </row>
    <row r="846" spans="1:15" x14ac:dyDescent="0.3">
      <c r="A846" t="s">
        <v>4670</v>
      </c>
      <c r="B846" t="s">
        <v>4669</v>
      </c>
      <c r="C846" t="s">
        <v>60</v>
      </c>
      <c r="D846">
        <v>9</v>
      </c>
      <c r="E846" t="s">
        <v>47</v>
      </c>
      <c r="F846" t="s">
        <v>90</v>
      </c>
      <c r="G846" s="1">
        <v>46125</v>
      </c>
      <c r="H846" s="1">
        <v>46110</v>
      </c>
      <c r="I846" t="s">
        <v>4668</v>
      </c>
      <c r="J846" t="s">
        <v>4667</v>
      </c>
      <c r="K846" t="s">
        <v>26</v>
      </c>
      <c r="L846">
        <v>14230.95</v>
      </c>
      <c r="M846" t="s">
        <v>17</v>
      </c>
      <c r="N846">
        <v>500</v>
      </c>
      <c r="O846" t="s">
        <v>16</v>
      </c>
    </row>
    <row r="847" spans="1:15" x14ac:dyDescent="0.3">
      <c r="A847" t="s">
        <v>4666</v>
      </c>
      <c r="B847" t="s">
        <v>4665</v>
      </c>
      <c r="D847">
        <v>78</v>
      </c>
      <c r="E847" t="s">
        <v>39</v>
      </c>
      <c r="F847" t="s">
        <v>53</v>
      </c>
      <c r="G847" s="1">
        <v>46157</v>
      </c>
      <c r="H847" s="1">
        <v>46141</v>
      </c>
      <c r="I847" t="s">
        <v>4664</v>
      </c>
      <c r="J847" t="s">
        <v>4663</v>
      </c>
      <c r="L847">
        <v>19089.63</v>
      </c>
      <c r="N847">
        <v>176</v>
      </c>
      <c r="O847" t="s">
        <v>50</v>
      </c>
    </row>
    <row r="848" spans="1:15" x14ac:dyDescent="0.3">
      <c r="A848" t="s">
        <v>4662</v>
      </c>
      <c r="B848" t="s">
        <v>4661</v>
      </c>
      <c r="C848" t="s">
        <v>60</v>
      </c>
      <c r="D848">
        <v>-5</v>
      </c>
      <c r="E848" t="s">
        <v>369</v>
      </c>
      <c r="F848" t="s">
        <v>90</v>
      </c>
      <c r="G848" s="1">
        <v>46150</v>
      </c>
      <c r="H848" s="1">
        <v>46143</v>
      </c>
      <c r="I848" t="s">
        <v>4660</v>
      </c>
      <c r="J848" t="s">
        <v>4659</v>
      </c>
      <c r="L848" t="s">
        <v>488</v>
      </c>
      <c r="M848" t="s">
        <v>27</v>
      </c>
      <c r="N848">
        <v>443</v>
      </c>
      <c r="O848" t="s">
        <v>16</v>
      </c>
    </row>
    <row r="849" spans="1:15" x14ac:dyDescent="0.3">
      <c r="A849" t="s">
        <v>4658</v>
      </c>
      <c r="B849" t="s">
        <v>4657</v>
      </c>
      <c r="C849" t="s">
        <v>22</v>
      </c>
      <c r="D849">
        <v>83</v>
      </c>
      <c r="E849" t="s">
        <v>80</v>
      </c>
      <c r="F849" t="s">
        <v>53</v>
      </c>
      <c r="G849" s="1">
        <v>46040</v>
      </c>
      <c r="H849" s="1">
        <v>46018</v>
      </c>
      <c r="I849" t="s">
        <v>4656</v>
      </c>
      <c r="J849" t="s">
        <v>4655</v>
      </c>
      <c r="K849" t="s">
        <v>27</v>
      </c>
      <c r="L849">
        <v>14385.47</v>
      </c>
      <c r="M849" t="s">
        <v>63</v>
      </c>
      <c r="N849">
        <v>387</v>
      </c>
      <c r="O849" t="s">
        <v>25</v>
      </c>
    </row>
    <row r="850" spans="1:15" x14ac:dyDescent="0.3">
      <c r="A850" t="s">
        <v>4654</v>
      </c>
      <c r="B850" t="s">
        <v>4653</v>
      </c>
      <c r="C850" t="s">
        <v>74</v>
      </c>
      <c r="D850">
        <v>83</v>
      </c>
      <c r="E850" t="s">
        <v>80</v>
      </c>
      <c r="F850" t="s">
        <v>38</v>
      </c>
      <c r="G850" s="1">
        <v>46131</v>
      </c>
      <c r="H850" s="1">
        <v>46101</v>
      </c>
      <c r="I850" t="s">
        <v>4652</v>
      </c>
      <c r="J850" t="s">
        <v>4651</v>
      </c>
      <c r="K850" t="s">
        <v>27</v>
      </c>
      <c r="L850">
        <v>23940.86</v>
      </c>
      <c r="M850" t="s">
        <v>57</v>
      </c>
      <c r="N850">
        <v>484</v>
      </c>
      <c r="O850" t="s">
        <v>16</v>
      </c>
    </row>
    <row r="851" spans="1:15" x14ac:dyDescent="0.3">
      <c r="A851" t="s">
        <v>4650</v>
      </c>
      <c r="B851" t="s">
        <v>4649</v>
      </c>
      <c r="C851" t="s">
        <v>40</v>
      </c>
      <c r="D851">
        <v>16</v>
      </c>
      <c r="E851" t="s">
        <v>39</v>
      </c>
      <c r="F851" t="s">
        <v>46</v>
      </c>
      <c r="G851" s="1">
        <v>46106</v>
      </c>
      <c r="H851" s="1">
        <v>46098</v>
      </c>
      <c r="I851" t="s">
        <v>4648</v>
      </c>
      <c r="J851" t="s">
        <v>4647</v>
      </c>
      <c r="K851" t="s">
        <v>17</v>
      </c>
      <c r="L851">
        <v>6283.11</v>
      </c>
      <c r="N851">
        <v>143</v>
      </c>
      <c r="O851" t="s">
        <v>50</v>
      </c>
    </row>
    <row r="852" spans="1:15" x14ac:dyDescent="0.3">
      <c r="A852" t="s">
        <v>4646</v>
      </c>
      <c r="B852" t="s">
        <v>4645</v>
      </c>
      <c r="C852" t="s">
        <v>60</v>
      </c>
      <c r="D852">
        <v>52</v>
      </c>
      <c r="E852" t="s">
        <v>47</v>
      </c>
      <c r="F852" t="s">
        <v>85</v>
      </c>
      <c r="G852" s="1">
        <v>46105</v>
      </c>
      <c r="H852" s="1">
        <v>46078</v>
      </c>
      <c r="I852" t="s">
        <v>4644</v>
      </c>
      <c r="J852" t="s">
        <v>4643</v>
      </c>
      <c r="K852" t="s">
        <v>27</v>
      </c>
      <c r="L852">
        <v>8630.92</v>
      </c>
      <c r="M852" t="s">
        <v>26</v>
      </c>
      <c r="N852">
        <v>312</v>
      </c>
      <c r="O852" t="s">
        <v>77</v>
      </c>
    </row>
    <row r="853" spans="1:15" x14ac:dyDescent="0.3">
      <c r="A853" t="s">
        <v>4642</v>
      </c>
      <c r="B853" t="s">
        <v>4641</v>
      </c>
      <c r="C853" t="s">
        <v>60</v>
      </c>
      <c r="D853">
        <v>49</v>
      </c>
      <c r="E853" t="s">
        <v>132</v>
      </c>
      <c r="F853" t="s">
        <v>20</v>
      </c>
      <c r="G853" s="1">
        <v>46021</v>
      </c>
      <c r="H853" s="1">
        <v>46018</v>
      </c>
      <c r="I853" t="s">
        <v>4640</v>
      </c>
      <c r="J853" t="s">
        <v>4639</v>
      </c>
      <c r="K853" t="s">
        <v>64</v>
      </c>
      <c r="L853">
        <v>13636.13</v>
      </c>
      <c r="M853" t="s">
        <v>63</v>
      </c>
      <c r="N853">
        <v>173</v>
      </c>
      <c r="O853" t="s">
        <v>71</v>
      </c>
    </row>
    <row r="854" spans="1:15" x14ac:dyDescent="0.3">
      <c r="A854" t="s">
        <v>4638</v>
      </c>
      <c r="B854" t="s">
        <v>4637</v>
      </c>
      <c r="C854" t="s">
        <v>22</v>
      </c>
      <c r="D854">
        <v>12</v>
      </c>
      <c r="E854" t="s">
        <v>39</v>
      </c>
      <c r="F854" t="s">
        <v>30</v>
      </c>
      <c r="G854" s="1">
        <v>46034</v>
      </c>
      <c r="H854" s="1">
        <v>46004</v>
      </c>
      <c r="I854" t="s">
        <v>4636</v>
      </c>
      <c r="J854" t="s">
        <v>4635</v>
      </c>
      <c r="L854">
        <v>17029.490000000002</v>
      </c>
      <c r="M854" t="s">
        <v>27</v>
      </c>
      <c r="N854">
        <v>414</v>
      </c>
      <c r="O854" t="s">
        <v>43</v>
      </c>
    </row>
    <row r="855" spans="1:15" x14ac:dyDescent="0.3">
      <c r="A855" t="s">
        <v>4634</v>
      </c>
      <c r="B855" t="s">
        <v>4633</v>
      </c>
      <c r="C855" t="s">
        <v>0</v>
      </c>
      <c r="D855">
        <v>4</v>
      </c>
      <c r="E855" t="s">
        <v>47</v>
      </c>
      <c r="F855" t="s">
        <v>30</v>
      </c>
      <c r="G855" s="1">
        <v>46031</v>
      </c>
      <c r="H855" s="1">
        <v>46019</v>
      </c>
      <c r="I855" t="s">
        <v>4632</v>
      </c>
      <c r="J855" t="s">
        <v>4631</v>
      </c>
      <c r="K855" t="s">
        <v>64</v>
      </c>
      <c r="L855">
        <v>8137.03</v>
      </c>
      <c r="N855">
        <v>265</v>
      </c>
      <c r="O855" t="s">
        <v>43</v>
      </c>
    </row>
    <row r="856" spans="1:15" x14ac:dyDescent="0.3">
      <c r="A856" t="s">
        <v>4630</v>
      </c>
      <c r="B856" t="s">
        <v>4629</v>
      </c>
      <c r="C856" t="s">
        <v>123</v>
      </c>
      <c r="D856">
        <v>16</v>
      </c>
      <c r="E856" t="s">
        <v>47</v>
      </c>
      <c r="F856" t="s">
        <v>38</v>
      </c>
      <c r="G856" s="1">
        <v>46154</v>
      </c>
      <c r="H856" s="1">
        <v>46147</v>
      </c>
      <c r="I856" t="s">
        <v>4628</v>
      </c>
      <c r="J856" t="s">
        <v>4627</v>
      </c>
      <c r="K856" t="s">
        <v>17</v>
      </c>
      <c r="L856">
        <v>12425.89</v>
      </c>
      <c r="N856">
        <v>158</v>
      </c>
      <c r="O856" t="s">
        <v>43</v>
      </c>
    </row>
    <row r="857" spans="1:15" x14ac:dyDescent="0.3">
      <c r="A857" t="s">
        <v>4626</v>
      </c>
      <c r="B857" t="s">
        <v>4625</v>
      </c>
      <c r="C857" t="s">
        <v>40</v>
      </c>
      <c r="D857">
        <v>41</v>
      </c>
      <c r="E857" t="s">
        <v>68</v>
      </c>
      <c r="F857" t="s">
        <v>90</v>
      </c>
      <c r="G857" s="1">
        <v>46067</v>
      </c>
      <c r="H857" s="1">
        <v>46065</v>
      </c>
      <c r="I857" t="s">
        <v>4624</v>
      </c>
      <c r="J857" t="s">
        <v>4623</v>
      </c>
      <c r="L857">
        <v>916.88</v>
      </c>
      <c r="M857" t="s">
        <v>57</v>
      </c>
      <c r="N857">
        <v>109</v>
      </c>
      <c r="O857" t="s">
        <v>43</v>
      </c>
    </row>
    <row r="858" spans="1:15" x14ac:dyDescent="0.3">
      <c r="A858" t="s">
        <v>572</v>
      </c>
      <c r="B858" t="s">
        <v>4622</v>
      </c>
      <c r="C858" t="s">
        <v>74</v>
      </c>
      <c r="D858">
        <v>32</v>
      </c>
      <c r="E858" t="s">
        <v>39</v>
      </c>
      <c r="F858" t="s">
        <v>30</v>
      </c>
      <c r="G858" s="1">
        <v>46061</v>
      </c>
      <c r="H858" s="1">
        <v>46043</v>
      </c>
      <c r="I858" t="s">
        <v>4621</v>
      </c>
      <c r="J858" t="s">
        <v>4620</v>
      </c>
      <c r="L858">
        <v>11260.36</v>
      </c>
      <c r="M858" t="s">
        <v>57</v>
      </c>
      <c r="N858">
        <v>500</v>
      </c>
      <c r="O858" t="s">
        <v>71</v>
      </c>
    </row>
    <row r="859" spans="1:15" x14ac:dyDescent="0.3">
      <c r="A859" t="s">
        <v>4619</v>
      </c>
      <c r="B859" t="s">
        <v>4618</v>
      </c>
      <c r="C859" t="s">
        <v>60</v>
      </c>
      <c r="D859">
        <v>70</v>
      </c>
      <c r="E859" t="s">
        <v>39</v>
      </c>
      <c r="F859" t="s">
        <v>38</v>
      </c>
      <c r="G859" s="1">
        <v>46049</v>
      </c>
      <c r="H859" s="1">
        <v>46032</v>
      </c>
      <c r="I859" t="s">
        <v>4617</v>
      </c>
      <c r="J859" t="s">
        <v>4616</v>
      </c>
      <c r="L859">
        <v>24041.53</v>
      </c>
      <c r="N859">
        <v>121</v>
      </c>
      <c r="O859" t="s">
        <v>77</v>
      </c>
    </row>
    <row r="860" spans="1:15" x14ac:dyDescent="0.3">
      <c r="A860" t="s">
        <v>4615</v>
      </c>
      <c r="B860" t="s">
        <v>4614</v>
      </c>
      <c r="D860">
        <v>80</v>
      </c>
      <c r="E860" t="s">
        <v>132</v>
      </c>
      <c r="F860" t="s">
        <v>53</v>
      </c>
      <c r="G860" s="1">
        <v>46142</v>
      </c>
      <c r="H860" s="1">
        <v>46142</v>
      </c>
      <c r="I860" t="s">
        <v>4613</v>
      </c>
      <c r="J860" t="s">
        <v>4612</v>
      </c>
      <c r="K860" t="s">
        <v>27</v>
      </c>
      <c r="L860">
        <v>23350.97</v>
      </c>
      <c r="N860">
        <v>239</v>
      </c>
      <c r="O860" t="s">
        <v>34</v>
      </c>
    </row>
    <row r="861" spans="1:15" x14ac:dyDescent="0.3">
      <c r="A861" t="s">
        <v>4611</v>
      </c>
      <c r="B861" t="s">
        <v>4610</v>
      </c>
      <c r="C861" t="s">
        <v>22</v>
      </c>
      <c r="D861">
        <v>88</v>
      </c>
      <c r="E861" t="s">
        <v>54</v>
      </c>
      <c r="F861" t="s">
        <v>67</v>
      </c>
      <c r="G861" s="1">
        <v>46051</v>
      </c>
      <c r="H861" s="1">
        <v>46025</v>
      </c>
      <c r="I861" t="s">
        <v>4609</v>
      </c>
      <c r="J861" t="s">
        <v>4608</v>
      </c>
      <c r="K861" t="s">
        <v>17</v>
      </c>
      <c r="L861">
        <v>14711.95</v>
      </c>
      <c r="M861" t="s">
        <v>63</v>
      </c>
      <c r="N861">
        <v>123</v>
      </c>
      <c r="O861" t="s">
        <v>71</v>
      </c>
    </row>
    <row r="862" spans="1:15" x14ac:dyDescent="0.3">
      <c r="A862" t="s">
        <v>4607</v>
      </c>
      <c r="B862" t="s">
        <v>4606</v>
      </c>
      <c r="C862" t="s">
        <v>74</v>
      </c>
      <c r="D862">
        <v>39</v>
      </c>
      <c r="E862" t="s">
        <v>80</v>
      </c>
      <c r="F862" t="s">
        <v>90</v>
      </c>
      <c r="G862" s="1">
        <v>46003</v>
      </c>
      <c r="H862" s="1">
        <v>45981</v>
      </c>
      <c r="I862" t="s">
        <v>4605</v>
      </c>
      <c r="J862" t="s">
        <v>4604</v>
      </c>
      <c r="K862" t="s">
        <v>64</v>
      </c>
      <c r="L862">
        <v>20796.349999999999</v>
      </c>
      <c r="M862" t="s">
        <v>63</v>
      </c>
      <c r="N862">
        <v>549</v>
      </c>
      <c r="O862" t="s">
        <v>16</v>
      </c>
    </row>
    <row r="863" spans="1:15" x14ac:dyDescent="0.3">
      <c r="A863" t="s">
        <v>4603</v>
      </c>
      <c r="B863" t="s">
        <v>4602</v>
      </c>
      <c r="C863" t="s">
        <v>1</v>
      </c>
      <c r="D863">
        <v>79</v>
      </c>
      <c r="E863" t="s">
        <v>31</v>
      </c>
      <c r="F863" t="s">
        <v>67</v>
      </c>
      <c r="G863" s="1">
        <v>46018</v>
      </c>
      <c r="H863" s="1">
        <v>45998</v>
      </c>
      <c r="I863" t="s">
        <v>4601</v>
      </c>
      <c r="J863" t="s">
        <v>4600</v>
      </c>
      <c r="K863" t="s">
        <v>26</v>
      </c>
      <c r="L863">
        <v>24495.08</v>
      </c>
      <c r="N863">
        <v>239</v>
      </c>
      <c r="O863" t="s">
        <v>71</v>
      </c>
    </row>
    <row r="864" spans="1:15" x14ac:dyDescent="0.3">
      <c r="A864" t="s">
        <v>4599</v>
      </c>
      <c r="B864" t="s">
        <v>4598</v>
      </c>
      <c r="C864" t="s">
        <v>60</v>
      </c>
      <c r="D864">
        <v>44</v>
      </c>
      <c r="E864" t="s">
        <v>21</v>
      </c>
      <c r="F864" t="s">
        <v>85</v>
      </c>
      <c r="G864" s="1">
        <v>46159</v>
      </c>
      <c r="H864" s="1">
        <v>46129</v>
      </c>
      <c r="I864" t="s">
        <v>4597</v>
      </c>
      <c r="J864" t="s">
        <v>4596</v>
      </c>
      <c r="K864" t="s">
        <v>57</v>
      </c>
      <c r="L864">
        <v>593.69000000000005</v>
      </c>
      <c r="M864" t="s">
        <v>26</v>
      </c>
      <c r="N864">
        <v>430</v>
      </c>
      <c r="O864" t="s">
        <v>77</v>
      </c>
    </row>
    <row r="865" spans="1:15" x14ac:dyDescent="0.3">
      <c r="A865" t="s">
        <v>4595</v>
      </c>
      <c r="B865" t="s">
        <v>4594</v>
      </c>
      <c r="D865">
        <v>1</v>
      </c>
      <c r="E865" t="s">
        <v>47</v>
      </c>
      <c r="F865" t="s">
        <v>53</v>
      </c>
      <c r="G865" s="1">
        <v>46019</v>
      </c>
      <c r="H865" s="1">
        <v>46006</v>
      </c>
      <c r="I865" t="s">
        <v>4593</v>
      </c>
      <c r="J865" t="s">
        <v>4592</v>
      </c>
      <c r="L865">
        <v>19109.14</v>
      </c>
      <c r="M865" t="s">
        <v>64</v>
      </c>
      <c r="N865">
        <v>503</v>
      </c>
      <c r="O865" t="s">
        <v>25</v>
      </c>
    </row>
    <row r="866" spans="1:15" x14ac:dyDescent="0.3">
      <c r="A866" t="s">
        <v>4591</v>
      </c>
      <c r="B866" t="s">
        <v>4590</v>
      </c>
      <c r="C866" t="s">
        <v>74</v>
      </c>
      <c r="D866">
        <v>69</v>
      </c>
      <c r="E866" t="s">
        <v>47</v>
      </c>
      <c r="F866" t="s">
        <v>85</v>
      </c>
      <c r="G866" s="1">
        <v>46151</v>
      </c>
      <c r="H866" s="1">
        <v>46130</v>
      </c>
      <c r="I866" t="s">
        <v>4589</v>
      </c>
      <c r="J866" t="s">
        <v>4588</v>
      </c>
      <c r="K866" t="s">
        <v>64</v>
      </c>
      <c r="L866">
        <v>8954.27</v>
      </c>
      <c r="N866">
        <v>523</v>
      </c>
      <c r="O866" t="s">
        <v>34</v>
      </c>
    </row>
    <row r="867" spans="1:15" x14ac:dyDescent="0.3">
      <c r="A867" t="s">
        <v>4587</v>
      </c>
      <c r="B867" t="s">
        <v>4586</v>
      </c>
      <c r="C867" t="s">
        <v>60</v>
      </c>
      <c r="D867">
        <v>50</v>
      </c>
      <c r="E867" t="s">
        <v>39</v>
      </c>
      <c r="F867" t="s">
        <v>46</v>
      </c>
      <c r="G867" s="1">
        <v>46050</v>
      </c>
      <c r="H867" s="1">
        <v>46047</v>
      </c>
      <c r="I867" t="s">
        <v>4585</v>
      </c>
      <c r="J867" t="s">
        <v>4584</v>
      </c>
      <c r="L867">
        <v>9387.92</v>
      </c>
      <c r="M867" t="s">
        <v>57</v>
      </c>
      <c r="N867">
        <v>327</v>
      </c>
      <c r="O867" t="s">
        <v>77</v>
      </c>
    </row>
    <row r="868" spans="1:15" x14ac:dyDescent="0.3">
      <c r="A868" t="s">
        <v>4583</v>
      </c>
      <c r="B868" t="s">
        <v>4582</v>
      </c>
      <c r="C868" t="s">
        <v>1</v>
      </c>
      <c r="D868">
        <v>3</v>
      </c>
      <c r="E868" t="s">
        <v>132</v>
      </c>
      <c r="F868" t="s">
        <v>67</v>
      </c>
      <c r="G868" s="1">
        <v>46010</v>
      </c>
      <c r="H868" s="1">
        <v>46004</v>
      </c>
      <c r="I868" t="s">
        <v>4581</v>
      </c>
      <c r="J868" t="s">
        <v>4580</v>
      </c>
      <c r="K868" t="s">
        <v>64</v>
      </c>
      <c r="L868">
        <v>20443.759999999998</v>
      </c>
      <c r="M868" t="s">
        <v>63</v>
      </c>
      <c r="N868">
        <v>513</v>
      </c>
      <c r="O868" t="s">
        <v>25</v>
      </c>
    </row>
    <row r="869" spans="1:15" x14ac:dyDescent="0.3">
      <c r="A869" t="s">
        <v>4579</v>
      </c>
      <c r="B869" t="s">
        <v>4578</v>
      </c>
      <c r="C869" t="s">
        <v>1</v>
      </c>
      <c r="D869">
        <v>30</v>
      </c>
      <c r="E869" t="s">
        <v>68</v>
      </c>
      <c r="F869" t="s">
        <v>67</v>
      </c>
      <c r="G869" s="1">
        <v>46128</v>
      </c>
      <c r="H869" s="1">
        <v>46127</v>
      </c>
      <c r="I869" t="s">
        <v>4577</v>
      </c>
      <c r="J869" t="s">
        <v>4576</v>
      </c>
      <c r="K869" t="s">
        <v>26</v>
      </c>
      <c r="L869">
        <v>12422.38</v>
      </c>
      <c r="M869" t="s">
        <v>57</v>
      </c>
      <c r="N869">
        <v>103</v>
      </c>
      <c r="O869" t="s">
        <v>71</v>
      </c>
    </row>
    <row r="870" spans="1:15" x14ac:dyDescent="0.3">
      <c r="A870" t="s">
        <v>4575</v>
      </c>
      <c r="B870" t="s">
        <v>4574</v>
      </c>
      <c r="C870" t="s">
        <v>123</v>
      </c>
      <c r="D870">
        <v>15</v>
      </c>
      <c r="E870" t="s">
        <v>132</v>
      </c>
      <c r="F870" t="s">
        <v>85</v>
      </c>
      <c r="G870" s="1">
        <v>46075</v>
      </c>
      <c r="H870" s="1">
        <v>46070</v>
      </c>
      <c r="I870" t="s">
        <v>4573</v>
      </c>
      <c r="J870" t="s">
        <v>4572</v>
      </c>
      <c r="K870" t="s">
        <v>17</v>
      </c>
      <c r="L870">
        <v>16563.990000000002</v>
      </c>
      <c r="M870" t="s">
        <v>26</v>
      </c>
      <c r="N870">
        <v>133</v>
      </c>
      <c r="O870" t="s">
        <v>34</v>
      </c>
    </row>
    <row r="871" spans="1:15" x14ac:dyDescent="0.3">
      <c r="A871" t="s">
        <v>4571</v>
      </c>
      <c r="B871" t="s">
        <v>4570</v>
      </c>
      <c r="C871" t="s">
        <v>0</v>
      </c>
      <c r="D871">
        <v>9</v>
      </c>
      <c r="E871" t="s">
        <v>39</v>
      </c>
      <c r="F871" t="s">
        <v>30</v>
      </c>
      <c r="G871" s="1">
        <v>46174</v>
      </c>
      <c r="H871" s="1">
        <v>46145</v>
      </c>
      <c r="I871" t="s">
        <v>4569</v>
      </c>
      <c r="J871" t="s">
        <v>4568</v>
      </c>
      <c r="K871" t="s">
        <v>17</v>
      </c>
      <c r="L871">
        <v>22048.880000000001</v>
      </c>
      <c r="M871" t="s">
        <v>63</v>
      </c>
      <c r="N871">
        <v>198</v>
      </c>
      <c r="O871" t="s">
        <v>50</v>
      </c>
    </row>
    <row r="872" spans="1:15" x14ac:dyDescent="0.3">
      <c r="A872" t="s">
        <v>4567</v>
      </c>
      <c r="B872" t="s">
        <v>4566</v>
      </c>
      <c r="C872" t="s">
        <v>40</v>
      </c>
      <c r="D872">
        <v>89</v>
      </c>
      <c r="E872" t="s">
        <v>132</v>
      </c>
      <c r="F872" t="s">
        <v>85</v>
      </c>
      <c r="G872" s="1">
        <v>46007</v>
      </c>
      <c r="H872" s="1">
        <v>46007</v>
      </c>
      <c r="I872" t="s">
        <v>4565</v>
      </c>
      <c r="J872" t="s">
        <v>4564</v>
      </c>
      <c r="L872">
        <v>16095.96</v>
      </c>
      <c r="M872" t="s">
        <v>27</v>
      </c>
      <c r="N872">
        <v>537</v>
      </c>
      <c r="O872" t="s">
        <v>43</v>
      </c>
    </row>
    <row r="873" spans="1:15" x14ac:dyDescent="0.3">
      <c r="A873" t="s">
        <v>4563</v>
      </c>
      <c r="B873" t="s">
        <v>4562</v>
      </c>
      <c r="C873" t="s">
        <v>123</v>
      </c>
      <c r="D873">
        <v>53</v>
      </c>
      <c r="E873" t="s">
        <v>132</v>
      </c>
      <c r="F873" t="s">
        <v>20</v>
      </c>
      <c r="G873" s="1">
        <v>46000</v>
      </c>
      <c r="H873" s="1">
        <v>45979</v>
      </c>
      <c r="I873" t="s">
        <v>4561</v>
      </c>
      <c r="J873" t="s">
        <v>4560</v>
      </c>
      <c r="L873">
        <v>12490.25</v>
      </c>
      <c r="M873" t="s">
        <v>27</v>
      </c>
      <c r="N873">
        <v>469</v>
      </c>
      <c r="O873" t="s">
        <v>71</v>
      </c>
    </row>
    <row r="874" spans="1:15" x14ac:dyDescent="0.3">
      <c r="A874" t="s">
        <v>4559</v>
      </c>
      <c r="B874" t="s">
        <v>4558</v>
      </c>
      <c r="C874" t="s">
        <v>40</v>
      </c>
      <c r="D874">
        <v>36</v>
      </c>
      <c r="E874" t="s">
        <v>54</v>
      </c>
      <c r="F874" t="s">
        <v>85</v>
      </c>
      <c r="G874" s="1">
        <v>46084</v>
      </c>
      <c r="H874" s="1">
        <v>46074</v>
      </c>
      <c r="I874" t="s">
        <v>4557</v>
      </c>
      <c r="J874" t="s">
        <v>4556</v>
      </c>
      <c r="K874" t="s">
        <v>27</v>
      </c>
      <c r="L874">
        <v>9918.1</v>
      </c>
      <c r="M874" t="s">
        <v>17</v>
      </c>
      <c r="N874">
        <v>141</v>
      </c>
      <c r="O874" t="s">
        <v>34</v>
      </c>
    </row>
    <row r="875" spans="1:15" x14ac:dyDescent="0.3">
      <c r="A875" t="s">
        <v>4555</v>
      </c>
      <c r="B875" t="s">
        <v>4554</v>
      </c>
      <c r="C875" t="s">
        <v>40</v>
      </c>
      <c r="D875">
        <v>29</v>
      </c>
      <c r="E875" t="s">
        <v>54</v>
      </c>
      <c r="F875" t="s">
        <v>20</v>
      </c>
      <c r="G875" s="1">
        <v>46112</v>
      </c>
      <c r="H875" s="1">
        <v>46083</v>
      </c>
      <c r="I875" t="s">
        <v>4553</v>
      </c>
      <c r="J875" t="s">
        <v>4552</v>
      </c>
      <c r="K875" t="s">
        <v>17</v>
      </c>
      <c r="L875">
        <v>5082.55</v>
      </c>
      <c r="M875" t="s">
        <v>17</v>
      </c>
      <c r="N875">
        <v>259</v>
      </c>
      <c r="O875" t="s">
        <v>77</v>
      </c>
    </row>
    <row r="876" spans="1:15" x14ac:dyDescent="0.3">
      <c r="A876" t="s">
        <v>4551</v>
      </c>
      <c r="B876" t="s">
        <v>4550</v>
      </c>
      <c r="C876" t="s">
        <v>74</v>
      </c>
      <c r="D876">
        <v>4</v>
      </c>
      <c r="E876" t="s">
        <v>68</v>
      </c>
      <c r="F876" t="s">
        <v>90</v>
      </c>
      <c r="G876" s="1">
        <v>46137</v>
      </c>
      <c r="H876" s="1">
        <v>46112</v>
      </c>
      <c r="I876" t="s">
        <v>4549</v>
      </c>
      <c r="J876" t="s">
        <v>4548</v>
      </c>
      <c r="K876" t="s">
        <v>27</v>
      </c>
      <c r="L876">
        <v>14894.76</v>
      </c>
      <c r="M876" t="s">
        <v>17</v>
      </c>
      <c r="N876">
        <v>530</v>
      </c>
      <c r="O876" t="s">
        <v>43</v>
      </c>
    </row>
    <row r="877" spans="1:15" x14ac:dyDescent="0.3">
      <c r="A877" t="s">
        <v>4547</v>
      </c>
      <c r="B877" t="s">
        <v>4546</v>
      </c>
      <c r="C877" t="s">
        <v>1</v>
      </c>
      <c r="D877">
        <v>14</v>
      </c>
      <c r="E877" t="s">
        <v>68</v>
      </c>
      <c r="F877" t="s">
        <v>38</v>
      </c>
      <c r="G877" s="1">
        <v>46079</v>
      </c>
      <c r="H877" s="1">
        <v>46049</v>
      </c>
      <c r="I877" t="s">
        <v>4545</v>
      </c>
      <c r="J877" t="s">
        <v>4544</v>
      </c>
      <c r="K877" t="s">
        <v>57</v>
      </c>
      <c r="L877">
        <v>20846.43</v>
      </c>
      <c r="M877" t="s">
        <v>17</v>
      </c>
      <c r="N877">
        <v>366</v>
      </c>
      <c r="O877" t="s">
        <v>50</v>
      </c>
    </row>
    <row r="878" spans="1:15" x14ac:dyDescent="0.3">
      <c r="A878" t="s">
        <v>4543</v>
      </c>
      <c r="B878" t="s">
        <v>4542</v>
      </c>
      <c r="C878" t="s">
        <v>1</v>
      </c>
      <c r="D878">
        <v>10</v>
      </c>
      <c r="E878" t="s">
        <v>68</v>
      </c>
      <c r="F878" t="s">
        <v>20</v>
      </c>
      <c r="G878" s="1">
        <v>46097</v>
      </c>
      <c r="H878" s="1">
        <v>46077</v>
      </c>
      <c r="I878" t="s">
        <v>510</v>
      </c>
      <c r="J878" t="s">
        <v>4541</v>
      </c>
      <c r="L878">
        <v>14557.57</v>
      </c>
      <c r="M878" t="s">
        <v>64</v>
      </c>
      <c r="N878">
        <v>131</v>
      </c>
      <c r="O878" t="s">
        <v>77</v>
      </c>
    </row>
    <row r="879" spans="1:15" x14ac:dyDescent="0.3">
      <c r="A879" t="s">
        <v>4540</v>
      </c>
      <c r="B879" t="s">
        <v>4539</v>
      </c>
      <c r="C879" t="s">
        <v>123</v>
      </c>
      <c r="D879">
        <v>41</v>
      </c>
      <c r="E879" t="s">
        <v>80</v>
      </c>
      <c r="F879" t="s">
        <v>53</v>
      </c>
      <c r="G879" s="1">
        <v>46124</v>
      </c>
      <c r="H879" s="1">
        <v>46123</v>
      </c>
      <c r="I879" t="s">
        <v>4538</v>
      </c>
      <c r="J879" t="s">
        <v>4537</v>
      </c>
      <c r="L879">
        <v>1558.76</v>
      </c>
      <c r="N879">
        <v>133</v>
      </c>
      <c r="O879" t="s">
        <v>77</v>
      </c>
    </row>
    <row r="880" spans="1:15" x14ac:dyDescent="0.3">
      <c r="A880" t="s">
        <v>4536</v>
      </c>
      <c r="B880" t="s">
        <v>4535</v>
      </c>
      <c r="C880" t="s">
        <v>40</v>
      </c>
      <c r="D880">
        <v>72</v>
      </c>
      <c r="E880" t="s">
        <v>47</v>
      </c>
      <c r="F880" t="s">
        <v>30</v>
      </c>
      <c r="G880" s="1">
        <v>46073</v>
      </c>
      <c r="H880" s="1">
        <v>46046</v>
      </c>
      <c r="I880" t="s">
        <v>4534</v>
      </c>
      <c r="J880" t="s">
        <v>4533</v>
      </c>
      <c r="L880">
        <v>10161.74</v>
      </c>
      <c r="N880">
        <v>219</v>
      </c>
      <c r="O880" t="s">
        <v>50</v>
      </c>
    </row>
    <row r="881" spans="1:15" x14ac:dyDescent="0.3">
      <c r="A881" t="s">
        <v>4532</v>
      </c>
      <c r="B881" t="s">
        <v>4531</v>
      </c>
      <c r="C881" t="s">
        <v>40</v>
      </c>
      <c r="D881">
        <v>59</v>
      </c>
      <c r="E881" t="s">
        <v>54</v>
      </c>
      <c r="F881" t="s">
        <v>85</v>
      </c>
      <c r="G881" s="1">
        <v>46156</v>
      </c>
      <c r="H881" s="1">
        <v>46131</v>
      </c>
      <c r="I881" t="s">
        <v>4530</v>
      </c>
      <c r="J881" t="s">
        <v>4529</v>
      </c>
      <c r="L881">
        <v>22022.47</v>
      </c>
      <c r="M881" t="s">
        <v>64</v>
      </c>
      <c r="N881">
        <v>273</v>
      </c>
      <c r="O881" t="s">
        <v>25</v>
      </c>
    </row>
    <row r="882" spans="1:15" x14ac:dyDescent="0.3">
      <c r="A882" t="s">
        <v>4528</v>
      </c>
      <c r="B882" t="s">
        <v>4527</v>
      </c>
      <c r="C882" t="s">
        <v>40</v>
      </c>
      <c r="D882">
        <v>59</v>
      </c>
      <c r="E882" t="s">
        <v>31</v>
      </c>
      <c r="F882" t="s">
        <v>38</v>
      </c>
      <c r="G882" s="1">
        <v>45984</v>
      </c>
      <c r="H882" s="1">
        <v>45981</v>
      </c>
      <c r="I882" t="s">
        <v>4526</v>
      </c>
      <c r="J882" t="s">
        <v>4525</v>
      </c>
      <c r="K882" t="s">
        <v>64</v>
      </c>
      <c r="L882">
        <v>504.76</v>
      </c>
      <c r="M882" t="s">
        <v>64</v>
      </c>
      <c r="N882">
        <v>403</v>
      </c>
      <c r="O882" t="s">
        <v>50</v>
      </c>
    </row>
    <row r="883" spans="1:15" x14ac:dyDescent="0.3">
      <c r="A883" t="s">
        <v>4524</v>
      </c>
      <c r="B883" t="s">
        <v>4523</v>
      </c>
      <c r="C883" t="s">
        <v>1</v>
      </c>
      <c r="D883">
        <v>74</v>
      </c>
      <c r="E883" t="s">
        <v>39</v>
      </c>
      <c r="F883" t="s">
        <v>30</v>
      </c>
      <c r="G883" s="1">
        <v>46002</v>
      </c>
      <c r="H883" s="1">
        <v>45991</v>
      </c>
      <c r="I883" t="s">
        <v>4522</v>
      </c>
      <c r="J883" t="s">
        <v>4521</v>
      </c>
      <c r="L883">
        <v>12138.7</v>
      </c>
      <c r="N883" t="s">
        <v>347</v>
      </c>
      <c r="O883" t="s">
        <v>71</v>
      </c>
    </row>
    <row r="884" spans="1:15" x14ac:dyDescent="0.3">
      <c r="A884" t="s">
        <v>4520</v>
      </c>
      <c r="B884" t="s">
        <v>4519</v>
      </c>
      <c r="C884" t="s">
        <v>0</v>
      </c>
      <c r="D884">
        <v>6</v>
      </c>
      <c r="E884" t="s">
        <v>47</v>
      </c>
      <c r="F884" t="s">
        <v>53</v>
      </c>
      <c r="G884" s="1">
        <v>46094</v>
      </c>
      <c r="H884" s="1">
        <v>46085</v>
      </c>
      <c r="I884" t="s">
        <v>4518</v>
      </c>
      <c r="J884" t="s">
        <v>4517</v>
      </c>
      <c r="L884">
        <v>12925.52</v>
      </c>
      <c r="M884" t="s">
        <v>17</v>
      </c>
      <c r="N884">
        <v>259</v>
      </c>
      <c r="O884" t="s">
        <v>34</v>
      </c>
    </row>
    <row r="885" spans="1:15" x14ac:dyDescent="0.3">
      <c r="A885" t="s">
        <v>4516</v>
      </c>
      <c r="B885" t="s">
        <v>4515</v>
      </c>
      <c r="C885" t="s">
        <v>0</v>
      </c>
      <c r="D885">
        <v>19</v>
      </c>
      <c r="E885" t="s">
        <v>68</v>
      </c>
      <c r="F885" t="s">
        <v>30</v>
      </c>
      <c r="G885" s="1">
        <v>46019</v>
      </c>
      <c r="H885" s="1">
        <v>46000</v>
      </c>
      <c r="I885" t="s">
        <v>4514</v>
      </c>
      <c r="J885" t="s">
        <v>4513</v>
      </c>
      <c r="K885" t="s">
        <v>57</v>
      </c>
      <c r="L885">
        <v>7418.39</v>
      </c>
      <c r="M885" t="s">
        <v>27</v>
      </c>
      <c r="N885">
        <v>365</v>
      </c>
      <c r="O885" t="s">
        <v>34</v>
      </c>
    </row>
    <row r="886" spans="1:15" x14ac:dyDescent="0.3">
      <c r="A886" t="s">
        <v>4512</v>
      </c>
      <c r="B886" t="s">
        <v>4511</v>
      </c>
      <c r="C886" t="s">
        <v>0</v>
      </c>
      <c r="D886">
        <v>8</v>
      </c>
      <c r="E886" t="s">
        <v>21</v>
      </c>
      <c r="F886" t="s">
        <v>46</v>
      </c>
      <c r="G886" s="1">
        <v>46050</v>
      </c>
      <c r="H886" s="1">
        <v>46037</v>
      </c>
      <c r="I886" t="s">
        <v>4510</v>
      </c>
      <c r="J886" t="s">
        <v>4509</v>
      </c>
      <c r="K886" t="s">
        <v>57</v>
      </c>
      <c r="L886">
        <v>5046.1000000000004</v>
      </c>
      <c r="M886" t="s">
        <v>57</v>
      </c>
      <c r="N886">
        <v>427</v>
      </c>
      <c r="O886" t="s">
        <v>71</v>
      </c>
    </row>
    <row r="887" spans="1:15" x14ac:dyDescent="0.3">
      <c r="A887" t="s">
        <v>4508</v>
      </c>
      <c r="B887" t="s">
        <v>4507</v>
      </c>
      <c r="C887" t="s">
        <v>74</v>
      </c>
      <c r="D887">
        <v>44</v>
      </c>
      <c r="E887" t="s">
        <v>21</v>
      </c>
      <c r="F887" t="s">
        <v>85</v>
      </c>
      <c r="G887" s="1">
        <v>46120</v>
      </c>
      <c r="H887" s="1">
        <v>46098</v>
      </c>
      <c r="I887" t="s">
        <v>4506</v>
      </c>
      <c r="J887" t="s">
        <v>4505</v>
      </c>
      <c r="L887">
        <v>15074.11</v>
      </c>
      <c r="M887" t="s">
        <v>17</v>
      </c>
      <c r="N887">
        <v>536</v>
      </c>
      <c r="O887" t="s">
        <v>34</v>
      </c>
    </row>
    <row r="888" spans="1:15" x14ac:dyDescent="0.3">
      <c r="A888" t="s">
        <v>4504</v>
      </c>
      <c r="B888" t="s">
        <v>4503</v>
      </c>
      <c r="C888" t="s">
        <v>60</v>
      </c>
      <c r="D888">
        <v>79</v>
      </c>
      <c r="E888" t="s">
        <v>132</v>
      </c>
      <c r="F888" t="s">
        <v>90</v>
      </c>
      <c r="G888" s="1">
        <v>46081</v>
      </c>
      <c r="H888" s="1">
        <v>46071</v>
      </c>
      <c r="I888" t="s">
        <v>4502</v>
      </c>
      <c r="K888" t="s">
        <v>35</v>
      </c>
      <c r="L888">
        <v>2800.23</v>
      </c>
      <c r="M888" t="s">
        <v>27</v>
      </c>
      <c r="N888">
        <v>353</v>
      </c>
      <c r="O888" t="s">
        <v>71</v>
      </c>
    </row>
    <row r="889" spans="1:15" x14ac:dyDescent="0.3">
      <c r="A889" t="s">
        <v>4501</v>
      </c>
      <c r="B889" t="s">
        <v>4500</v>
      </c>
      <c r="C889" t="s">
        <v>40</v>
      </c>
      <c r="D889">
        <v>82</v>
      </c>
      <c r="E889" t="s">
        <v>21</v>
      </c>
      <c r="F889" t="s">
        <v>38</v>
      </c>
      <c r="G889" s="1">
        <v>45996</v>
      </c>
      <c r="H889" s="1">
        <v>45982</v>
      </c>
      <c r="I889" t="s">
        <v>4499</v>
      </c>
      <c r="J889" t="s">
        <v>4498</v>
      </c>
      <c r="K889" t="s">
        <v>17</v>
      </c>
      <c r="L889">
        <v>6127.67</v>
      </c>
      <c r="M889" t="s">
        <v>17</v>
      </c>
      <c r="N889">
        <v>513</v>
      </c>
      <c r="O889" t="s">
        <v>25</v>
      </c>
    </row>
    <row r="890" spans="1:15" x14ac:dyDescent="0.3">
      <c r="A890" t="s">
        <v>4497</v>
      </c>
      <c r="B890" t="s">
        <v>4496</v>
      </c>
      <c r="C890" t="s">
        <v>123</v>
      </c>
      <c r="D890">
        <v>27</v>
      </c>
      <c r="E890" t="s">
        <v>54</v>
      </c>
      <c r="F890" t="s">
        <v>53</v>
      </c>
      <c r="G890" s="1">
        <v>46149</v>
      </c>
      <c r="H890" s="1">
        <v>46123</v>
      </c>
      <c r="I890" t="s">
        <v>4495</v>
      </c>
      <c r="J890" t="s">
        <v>4494</v>
      </c>
      <c r="K890" t="s">
        <v>27</v>
      </c>
      <c r="L890">
        <v>9197.8700000000008</v>
      </c>
      <c r="M890" t="s">
        <v>64</v>
      </c>
      <c r="N890">
        <v>283</v>
      </c>
      <c r="O890" t="s">
        <v>77</v>
      </c>
    </row>
    <row r="891" spans="1:15" x14ac:dyDescent="0.3">
      <c r="A891" t="s">
        <v>4493</v>
      </c>
      <c r="B891" t="s">
        <v>4492</v>
      </c>
      <c r="C891" t="s">
        <v>74</v>
      </c>
      <c r="D891">
        <v>19</v>
      </c>
      <c r="E891" t="s">
        <v>132</v>
      </c>
      <c r="F891" t="s">
        <v>85</v>
      </c>
      <c r="G891" s="1">
        <v>45987</v>
      </c>
      <c r="H891" s="1">
        <v>45981</v>
      </c>
      <c r="I891" t="s">
        <v>4491</v>
      </c>
      <c r="J891" t="s">
        <v>4490</v>
      </c>
      <c r="K891" t="s">
        <v>57</v>
      </c>
      <c r="L891">
        <v>1288.8399999999999</v>
      </c>
      <c r="M891" t="s">
        <v>27</v>
      </c>
      <c r="N891">
        <v>201</v>
      </c>
      <c r="O891" t="s">
        <v>71</v>
      </c>
    </row>
    <row r="892" spans="1:15" x14ac:dyDescent="0.3">
      <c r="A892" t="s">
        <v>4489</v>
      </c>
      <c r="B892" t="s">
        <v>4488</v>
      </c>
      <c r="C892" t="s">
        <v>22</v>
      </c>
      <c r="D892">
        <v>23</v>
      </c>
      <c r="E892" t="s">
        <v>21</v>
      </c>
      <c r="F892" t="s">
        <v>30</v>
      </c>
      <c r="G892" s="1">
        <v>46112</v>
      </c>
      <c r="H892" s="1">
        <v>46089</v>
      </c>
      <c r="I892" t="s">
        <v>4487</v>
      </c>
      <c r="J892" t="s">
        <v>4486</v>
      </c>
      <c r="K892" t="s">
        <v>35</v>
      </c>
      <c r="L892">
        <v>8627.4699999999993</v>
      </c>
      <c r="M892" t="s">
        <v>57</v>
      </c>
      <c r="N892">
        <v>191</v>
      </c>
      <c r="O892" t="s">
        <v>71</v>
      </c>
    </row>
    <row r="893" spans="1:15" x14ac:dyDescent="0.3">
      <c r="A893" t="s">
        <v>4485</v>
      </c>
      <c r="B893" t="s">
        <v>4484</v>
      </c>
      <c r="C893" t="s">
        <v>40</v>
      </c>
      <c r="D893">
        <v>23</v>
      </c>
      <c r="E893" t="s">
        <v>132</v>
      </c>
      <c r="F893" t="s">
        <v>20</v>
      </c>
      <c r="G893" s="1">
        <v>46020</v>
      </c>
      <c r="H893" s="1">
        <v>46020</v>
      </c>
      <c r="I893" t="s">
        <v>4483</v>
      </c>
      <c r="J893" t="s">
        <v>4482</v>
      </c>
      <c r="K893" t="s">
        <v>35</v>
      </c>
      <c r="L893">
        <v>9597.2800000000007</v>
      </c>
      <c r="M893" t="s">
        <v>64</v>
      </c>
      <c r="N893">
        <v>273</v>
      </c>
      <c r="O893" t="s">
        <v>71</v>
      </c>
    </row>
    <row r="894" spans="1:15" x14ac:dyDescent="0.3">
      <c r="A894" t="s">
        <v>4481</v>
      </c>
      <c r="B894" t="s">
        <v>4480</v>
      </c>
      <c r="C894" t="s">
        <v>22</v>
      </c>
      <c r="D894">
        <v>59</v>
      </c>
      <c r="E894" t="s">
        <v>21</v>
      </c>
      <c r="F894" t="s">
        <v>67</v>
      </c>
      <c r="G894" s="1">
        <v>46041</v>
      </c>
      <c r="H894" s="1">
        <v>46016</v>
      </c>
      <c r="I894" t="s">
        <v>4479</v>
      </c>
      <c r="J894" t="s">
        <v>4478</v>
      </c>
      <c r="K894" t="s">
        <v>57</v>
      </c>
      <c r="L894">
        <v>16590.54</v>
      </c>
      <c r="N894">
        <v>549</v>
      </c>
      <c r="O894" t="s">
        <v>25</v>
      </c>
    </row>
    <row r="895" spans="1:15" x14ac:dyDescent="0.3">
      <c r="A895" t="s">
        <v>4477</v>
      </c>
      <c r="B895" t="s">
        <v>4476</v>
      </c>
      <c r="C895" t="s">
        <v>74</v>
      </c>
      <c r="D895">
        <v>16</v>
      </c>
      <c r="E895" t="s">
        <v>39</v>
      </c>
      <c r="F895" t="s">
        <v>53</v>
      </c>
      <c r="G895" s="1">
        <v>46148</v>
      </c>
      <c r="H895" s="1">
        <v>46123</v>
      </c>
      <c r="I895" t="s">
        <v>4475</v>
      </c>
      <c r="J895" t="s">
        <v>4474</v>
      </c>
      <c r="K895" t="s">
        <v>17</v>
      </c>
      <c r="L895">
        <v>4953.7</v>
      </c>
      <c r="N895">
        <v>455</v>
      </c>
      <c r="O895" t="s">
        <v>43</v>
      </c>
    </row>
    <row r="896" spans="1:15" x14ac:dyDescent="0.3">
      <c r="A896" t="s">
        <v>4473</v>
      </c>
      <c r="B896" t="s">
        <v>4472</v>
      </c>
      <c r="C896" t="s">
        <v>60</v>
      </c>
      <c r="D896">
        <v>77</v>
      </c>
      <c r="E896" t="s">
        <v>54</v>
      </c>
      <c r="F896" t="s">
        <v>38</v>
      </c>
      <c r="G896" s="1">
        <v>46172</v>
      </c>
      <c r="H896" s="1">
        <v>46143</v>
      </c>
      <c r="I896" t="s">
        <v>4471</v>
      </c>
      <c r="J896" t="s">
        <v>4470</v>
      </c>
      <c r="K896" t="s">
        <v>27</v>
      </c>
      <c r="L896">
        <v>19124.439999999999</v>
      </c>
      <c r="M896" t="s">
        <v>57</v>
      </c>
      <c r="N896">
        <v>537</v>
      </c>
      <c r="O896" t="s">
        <v>34</v>
      </c>
    </row>
    <row r="897" spans="1:15" x14ac:dyDescent="0.3">
      <c r="A897" t="s">
        <v>4469</v>
      </c>
      <c r="B897" t="s">
        <v>4468</v>
      </c>
      <c r="C897" t="s">
        <v>22</v>
      </c>
      <c r="D897">
        <v>20</v>
      </c>
      <c r="E897" t="s">
        <v>31</v>
      </c>
      <c r="F897" t="s">
        <v>38</v>
      </c>
      <c r="G897" s="1">
        <v>46001</v>
      </c>
      <c r="H897" s="1">
        <v>46000</v>
      </c>
      <c r="I897" t="s">
        <v>4467</v>
      </c>
      <c r="J897" t="s">
        <v>4466</v>
      </c>
      <c r="K897" t="s">
        <v>26</v>
      </c>
      <c r="L897">
        <v>21846.720000000001</v>
      </c>
      <c r="N897">
        <v>207</v>
      </c>
      <c r="O897" t="s">
        <v>25</v>
      </c>
    </row>
    <row r="898" spans="1:15" x14ac:dyDescent="0.3">
      <c r="A898" t="s">
        <v>4465</v>
      </c>
      <c r="B898" t="s">
        <v>4464</v>
      </c>
      <c r="C898" t="s">
        <v>74</v>
      </c>
      <c r="D898">
        <v>61</v>
      </c>
      <c r="E898" t="s">
        <v>80</v>
      </c>
      <c r="F898" t="s">
        <v>53</v>
      </c>
      <c r="G898" s="1">
        <v>46039</v>
      </c>
      <c r="H898" s="1">
        <v>46023</v>
      </c>
      <c r="I898" t="s">
        <v>4463</v>
      </c>
      <c r="J898" t="s">
        <v>4462</v>
      </c>
      <c r="L898">
        <v>18832.439999999999</v>
      </c>
      <c r="M898" t="s">
        <v>17</v>
      </c>
      <c r="N898">
        <v>355</v>
      </c>
      <c r="O898" t="s">
        <v>34</v>
      </c>
    </row>
    <row r="899" spans="1:15" x14ac:dyDescent="0.3">
      <c r="A899" t="s">
        <v>4461</v>
      </c>
      <c r="B899" t="s">
        <v>4460</v>
      </c>
      <c r="D899">
        <v>23</v>
      </c>
      <c r="E899" t="s">
        <v>31</v>
      </c>
      <c r="F899" t="s">
        <v>67</v>
      </c>
      <c r="G899" s="1">
        <v>45998</v>
      </c>
      <c r="H899" s="1">
        <v>45982</v>
      </c>
      <c r="I899" t="s">
        <v>4459</v>
      </c>
      <c r="J899" t="s">
        <v>4458</v>
      </c>
      <c r="L899">
        <v>17948.12</v>
      </c>
      <c r="N899">
        <v>342</v>
      </c>
      <c r="O899" t="s">
        <v>43</v>
      </c>
    </row>
    <row r="900" spans="1:15" x14ac:dyDescent="0.3">
      <c r="A900" t="s">
        <v>4457</v>
      </c>
      <c r="B900" t="s">
        <v>4456</v>
      </c>
      <c r="C900" t="s">
        <v>123</v>
      </c>
      <c r="D900">
        <v>82</v>
      </c>
      <c r="E900" t="s">
        <v>47</v>
      </c>
      <c r="F900" t="s">
        <v>38</v>
      </c>
      <c r="G900" s="1">
        <v>46024</v>
      </c>
      <c r="H900" s="1">
        <v>46017</v>
      </c>
      <c r="I900" t="s">
        <v>4455</v>
      </c>
      <c r="J900" t="s">
        <v>4454</v>
      </c>
      <c r="K900" t="s">
        <v>17</v>
      </c>
      <c r="L900">
        <v>11411.59</v>
      </c>
      <c r="M900" t="s">
        <v>57</v>
      </c>
      <c r="N900">
        <v>302</v>
      </c>
      <c r="O900" t="s">
        <v>71</v>
      </c>
    </row>
    <row r="901" spans="1:15" x14ac:dyDescent="0.3">
      <c r="A901" t="s">
        <v>4453</v>
      </c>
      <c r="B901" t="s">
        <v>4452</v>
      </c>
      <c r="C901" t="s">
        <v>22</v>
      </c>
      <c r="D901">
        <v>55</v>
      </c>
      <c r="E901" t="s">
        <v>54</v>
      </c>
      <c r="F901" t="s">
        <v>53</v>
      </c>
      <c r="G901" s="1">
        <v>46068</v>
      </c>
      <c r="H901" s="1">
        <v>46039</v>
      </c>
      <c r="I901" t="s">
        <v>4451</v>
      </c>
      <c r="J901" t="s">
        <v>4450</v>
      </c>
      <c r="K901" t="s">
        <v>57</v>
      </c>
      <c r="L901">
        <v>6512.33</v>
      </c>
      <c r="M901" t="s">
        <v>64</v>
      </c>
      <c r="N901">
        <v>168</v>
      </c>
      <c r="O901" t="s">
        <v>50</v>
      </c>
    </row>
    <row r="902" spans="1:15" x14ac:dyDescent="0.3">
      <c r="A902" t="s">
        <v>4449</v>
      </c>
      <c r="B902" t="s">
        <v>4448</v>
      </c>
      <c r="C902" t="s">
        <v>74</v>
      </c>
      <c r="D902">
        <v>38</v>
      </c>
      <c r="E902" t="s">
        <v>68</v>
      </c>
      <c r="F902" t="s">
        <v>67</v>
      </c>
      <c r="G902" s="1">
        <v>46144</v>
      </c>
      <c r="H902" s="1">
        <v>46137</v>
      </c>
      <c r="I902" t="s">
        <v>4447</v>
      </c>
      <c r="J902" t="s">
        <v>4446</v>
      </c>
      <c r="K902" t="s">
        <v>27</v>
      </c>
      <c r="L902">
        <v>11738.28</v>
      </c>
      <c r="M902" t="s">
        <v>17</v>
      </c>
      <c r="N902">
        <v>318</v>
      </c>
      <c r="O902" t="s">
        <v>16</v>
      </c>
    </row>
    <row r="903" spans="1:15" x14ac:dyDescent="0.3">
      <c r="A903" t="s">
        <v>4445</v>
      </c>
      <c r="B903" t="s">
        <v>4444</v>
      </c>
      <c r="D903">
        <v>56</v>
      </c>
      <c r="E903" t="s">
        <v>54</v>
      </c>
      <c r="F903" t="s">
        <v>67</v>
      </c>
      <c r="G903" s="1">
        <v>46152</v>
      </c>
      <c r="H903" s="1">
        <v>46127</v>
      </c>
      <c r="I903" t="s">
        <v>4443</v>
      </c>
      <c r="J903" t="s">
        <v>4442</v>
      </c>
      <c r="L903">
        <v>8062.11</v>
      </c>
      <c r="N903">
        <v>112</v>
      </c>
      <c r="O903" t="s">
        <v>71</v>
      </c>
    </row>
    <row r="904" spans="1:15" x14ac:dyDescent="0.3">
      <c r="A904" t="s">
        <v>4441</v>
      </c>
      <c r="B904" t="s">
        <v>4440</v>
      </c>
      <c r="D904">
        <v>30</v>
      </c>
      <c r="E904" t="s">
        <v>132</v>
      </c>
      <c r="F904" t="s">
        <v>20</v>
      </c>
      <c r="G904" s="1">
        <v>46009</v>
      </c>
      <c r="H904" s="1">
        <v>45998</v>
      </c>
      <c r="I904" t="s">
        <v>4439</v>
      </c>
      <c r="J904" t="s">
        <v>4438</v>
      </c>
      <c r="K904" t="s">
        <v>64</v>
      </c>
      <c r="L904">
        <v>7504.04</v>
      </c>
      <c r="M904" t="s">
        <v>64</v>
      </c>
      <c r="N904">
        <v>502</v>
      </c>
      <c r="O904" t="s">
        <v>43</v>
      </c>
    </row>
    <row r="905" spans="1:15" x14ac:dyDescent="0.3">
      <c r="A905" t="s">
        <v>4437</v>
      </c>
      <c r="B905" t="s">
        <v>4436</v>
      </c>
      <c r="C905" t="s">
        <v>1</v>
      </c>
      <c r="D905">
        <v>13</v>
      </c>
      <c r="E905" t="s">
        <v>80</v>
      </c>
      <c r="F905" t="s">
        <v>20</v>
      </c>
      <c r="G905" s="1">
        <v>46007</v>
      </c>
      <c r="H905" s="1">
        <v>45996</v>
      </c>
      <c r="I905" t="s">
        <v>4435</v>
      </c>
      <c r="J905" t="s">
        <v>4434</v>
      </c>
      <c r="K905" t="s">
        <v>27</v>
      </c>
      <c r="L905">
        <v>13741.45</v>
      </c>
      <c r="M905" t="s">
        <v>17</v>
      </c>
      <c r="N905">
        <v>200</v>
      </c>
      <c r="O905" t="s">
        <v>25</v>
      </c>
    </row>
    <row r="906" spans="1:15" x14ac:dyDescent="0.3">
      <c r="A906" t="s">
        <v>4433</v>
      </c>
      <c r="B906" t="s">
        <v>4432</v>
      </c>
      <c r="C906" t="s">
        <v>60</v>
      </c>
      <c r="D906">
        <v>33</v>
      </c>
      <c r="E906" t="s">
        <v>132</v>
      </c>
      <c r="F906" t="s">
        <v>30</v>
      </c>
      <c r="G906" s="1">
        <v>46086</v>
      </c>
      <c r="H906" s="1">
        <v>46080</v>
      </c>
      <c r="I906" t="s">
        <v>4431</v>
      </c>
      <c r="J906" t="s">
        <v>4430</v>
      </c>
      <c r="K906" t="s">
        <v>35</v>
      </c>
      <c r="L906">
        <v>24960.45</v>
      </c>
      <c r="M906" t="s">
        <v>63</v>
      </c>
      <c r="N906">
        <v>104</v>
      </c>
      <c r="O906" t="s">
        <v>50</v>
      </c>
    </row>
    <row r="907" spans="1:15" x14ac:dyDescent="0.3">
      <c r="A907" t="s">
        <v>4429</v>
      </c>
      <c r="B907" t="s">
        <v>4428</v>
      </c>
      <c r="C907" t="s">
        <v>22</v>
      </c>
      <c r="D907">
        <v>37</v>
      </c>
      <c r="E907" t="s">
        <v>31</v>
      </c>
      <c r="F907" t="s">
        <v>90</v>
      </c>
      <c r="G907" s="1">
        <v>46110</v>
      </c>
      <c r="H907" s="1">
        <v>46080</v>
      </c>
      <c r="I907" t="s">
        <v>4427</v>
      </c>
      <c r="J907" t="s">
        <v>4426</v>
      </c>
      <c r="L907">
        <v>20582.16</v>
      </c>
      <c r="M907" t="s">
        <v>27</v>
      </c>
      <c r="N907">
        <v>341</v>
      </c>
      <c r="O907" t="s">
        <v>25</v>
      </c>
    </row>
    <row r="908" spans="1:15" x14ac:dyDescent="0.3">
      <c r="A908" t="s">
        <v>4425</v>
      </c>
      <c r="B908" t="s">
        <v>4424</v>
      </c>
      <c r="C908" t="s">
        <v>0</v>
      </c>
      <c r="D908">
        <v>51</v>
      </c>
      <c r="E908" t="s">
        <v>21</v>
      </c>
      <c r="F908" t="s">
        <v>38</v>
      </c>
      <c r="G908" s="1">
        <v>46042</v>
      </c>
      <c r="H908" s="1">
        <v>46019</v>
      </c>
      <c r="I908" t="s">
        <v>4423</v>
      </c>
      <c r="J908" t="s">
        <v>4422</v>
      </c>
      <c r="K908" t="s">
        <v>17</v>
      </c>
      <c r="L908">
        <v>11966.07</v>
      </c>
      <c r="N908">
        <v>469</v>
      </c>
      <c r="O908" t="s">
        <v>50</v>
      </c>
    </row>
    <row r="909" spans="1:15" x14ac:dyDescent="0.3">
      <c r="A909" t="s">
        <v>4421</v>
      </c>
      <c r="B909" t="s">
        <v>4420</v>
      </c>
      <c r="D909">
        <v>44</v>
      </c>
      <c r="E909" t="s">
        <v>80</v>
      </c>
      <c r="F909" t="s">
        <v>67</v>
      </c>
      <c r="G909" s="1">
        <v>46065</v>
      </c>
      <c r="H909" s="1">
        <v>46038</v>
      </c>
      <c r="I909" t="s">
        <v>4419</v>
      </c>
      <c r="J909" t="s">
        <v>4418</v>
      </c>
      <c r="K909" t="s">
        <v>17</v>
      </c>
      <c r="L909">
        <v>10834.07</v>
      </c>
      <c r="N909">
        <v>207</v>
      </c>
      <c r="O909" t="s">
        <v>16</v>
      </c>
    </row>
    <row r="910" spans="1:15" x14ac:dyDescent="0.3">
      <c r="A910" t="s">
        <v>4417</v>
      </c>
      <c r="B910" t="s">
        <v>4416</v>
      </c>
      <c r="D910">
        <v>72</v>
      </c>
      <c r="E910" t="s">
        <v>47</v>
      </c>
      <c r="F910" t="s">
        <v>67</v>
      </c>
      <c r="G910" s="1">
        <v>46019</v>
      </c>
      <c r="H910" s="1">
        <v>46015</v>
      </c>
      <c r="I910" t="s">
        <v>4415</v>
      </c>
      <c r="J910" t="s">
        <v>4414</v>
      </c>
      <c r="K910" t="s">
        <v>35</v>
      </c>
      <c r="L910">
        <v>7778.18</v>
      </c>
      <c r="M910" t="s">
        <v>27</v>
      </c>
      <c r="N910">
        <v>355</v>
      </c>
      <c r="O910" t="s">
        <v>50</v>
      </c>
    </row>
    <row r="911" spans="1:15" x14ac:dyDescent="0.3">
      <c r="A911" t="s">
        <v>4413</v>
      </c>
      <c r="B911" t="s">
        <v>4412</v>
      </c>
      <c r="C911" t="s">
        <v>60</v>
      </c>
      <c r="D911">
        <v>44</v>
      </c>
      <c r="E911" t="s">
        <v>21</v>
      </c>
      <c r="F911" t="s">
        <v>90</v>
      </c>
      <c r="G911" s="1">
        <v>46085</v>
      </c>
      <c r="H911" s="1">
        <v>46072</v>
      </c>
      <c r="I911" t="s">
        <v>4411</v>
      </c>
      <c r="J911" t="s">
        <v>4410</v>
      </c>
      <c r="L911">
        <v>19118.47</v>
      </c>
      <c r="M911" t="s">
        <v>63</v>
      </c>
      <c r="N911">
        <v>266</v>
      </c>
      <c r="O911" t="s">
        <v>34</v>
      </c>
    </row>
    <row r="912" spans="1:15" x14ac:dyDescent="0.3">
      <c r="A912" t="s">
        <v>4409</v>
      </c>
      <c r="B912" t="s">
        <v>4408</v>
      </c>
      <c r="C912" t="s">
        <v>40</v>
      </c>
      <c r="D912">
        <v>73</v>
      </c>
      <c r="E912" t="s">
        <v>47</v>
      </c>
      <c r="F912" t="s">
        <v>53</v>
      </c>
      <c r="G912" s="1">
        <v>46122</v>
      </c>
      <c r="H912" s="1">
        <v>46118</v>
      </c>
      <c r="I912" t="s">
        <v>4407</v>
      </c>
      <c r="J912" t="s">
        <v>4406</v>
      </c>
      <c r="K912" t="s">
        <v>57</v>
      </c>
      <c r="L912">
        <v>14291.13</v>
      </c>
      <c r="N912">
        <v>295</v>
      </c>
      <c r="O912" t="s">
        <v>71</v>
      </c>
    </row>
    <row r="913" spans="1:15" x14ac:dyDescent="0.3">
      <c r="A913" t="s">
        <v>4405</v>
      </c>
      <c r="B913" t="s">
        <v>4404</v>
      </c>
      <c r="C913" t="s">
        <v>123</v>
      </c>
      <c r="D913">
        <v>9</v>
      </c>
      <c r="E913" t="s">
        <v>54</v>
      </c>
      <c r="F913" t="s">
        <v>38</v>
      </c>
      <c r="G913" s="1">
        <v>46139</v>
      </c>
      <c r="H913" s="1">
        <v>46124</v>
      </c>
      <c r="I913" t="s">
        <v>4403</v>
      </c>
      <c r="J913" t="s">
        <v>4402</v>
      </c>
      <c r="K913" t="s">
        <v>64</v>
      </c>
      <c r="L913">
        <v>8355.27</v>
      </c>
      <c r="N913">
        <v>427</v>
      </c>
      <c r="O913" t="s">
        <v>43</v>
      </c>
    </row>
    <row r="914" spans="1:15" x14ac:dyDescent="0.3">
      <c r="A914" t="s">
        <v>4401</v>
      </c>
      <c r="B914" t="s">
        <v>4400</v>
      </c>
      <c r="C914" t="s">
        <v>74</v>
      </c>
      <c r="D914">
        <v>22</v>
      </c>
      <c r="E914" t="s">
        <v>80</v>
      </c>
      <c r="F914" t="s">
        <v>53</v>
      </c>
      <c r="G914" s="1">
        <v>45980</v>
      </c>
      <c r="H914" s="1">
        <v>45979</v>
      </c>
      <c r="I914" t="s">
        <v>4399</v>
      </c>
      <c r="J914" t="s">
        <v>4398</v>
      </c>
      <c r="L914">
        <v>865.59</v>
      </c>
      <c r="M914" t="s">
        <v>57</v>
      </c>
      <c r="N914">
        <v>135</v>
      </c>
      <c r="O914" t="s">
        <v>16</v>
      </c>
    </row>
    <row r="915" spans="1:15" x14ac:dyDescent="0.3">
      <c r="A915" t="s">
        <v>4397</v>
      </c>
      <c r="B915" t="s">
        <v>4396</v>
      </c>
      <c r="C915" t="s">
        <v>22</v>
      </c>
      <c r="D915">
        <v>27</v>
      </c>
      <c r="E915" t="s">
        <v>21</v>
      </c>
      <c r="F915" t="s">
        <v>30</v>
      </c>
      <c r="G915" s="1">
        <v>46023</v>
      </c>
      <c r="H915" s="1">
        <v>46002</v>
      </c>
      <c r="I915" t="s">
        <v>4395</v>
      </c>
      <c r="J915" t="s">
        <v>4394</v>
      </c>
      <c r="K915" t="s">
        <v>64</v>
      </c>
      <c r="L915">
        <v>11475.66</v>
      </c>
      <c r="M915" t="s">
        <v>17</v>
      </c>
      <c r="N915">
        <v>365</v>
      </c>
      <c r="O915" t="s">
        <v>77</v>
      </c>
    </row>
    <row r="916" spans="1:15" x14ac:dyDescent="0.3">
      <c r="A916" t="s">
        <v>4393</v>
      </c>
      <c r="B916" t="s">
        <v>4392</v>
      </c>
      <c r="C916" t="s">
        <v>0</v>
      </c>
      <c r="D916">
        <v>42</v>
      </c>
      <c r="E916" t="s">
        <v>54</v>
      </c>
      <c r="F916" t="s">
        <v>90</v>
      </c>
      <c r="G916" s="1">
        <v>46071</v>
      </c>
      <c r="H916" s="1">
        <v>46066</v>
      </c>
      <c r="I916" t="s">
        <v>4391</v>
      </c>
      <c r="J916" t="s">
        <v>4390</v>
      </c>
      <c r="K916" t="s">
        <v>64</v>
      </c>
      <c r="L916">
        <v>3402.61</v>
      </c>
      <c r="N916">
        <v>344</v>
      </c>
      <c r="O916" t="s">
        <v>25</v>
      </c>
    </row>
    <row r="917" spans="1:15" x14ac:dyDescent="0.3">
      <c r="A917" t="s">
        <v>4389</v>
      </c>
      <c r="B917" t="s">
        <v>4388</v>
      </c>
      <c r="C917" t="s">
        <v>74</v>
      </c>
      <c r="D917">
        <v>50</v>
      </c>
      <c r="E917" t="s">
        <v>21</v>
      </c>
      <c r="F917" t="s">
        <v>53</v>
      </c>
      <c r="G917" s="1">
        <v>46104</v>
      </c>
      <c r="H917" s="1">
        <v>46077</v>
      </c>
      <c r="I917" t="s">
        <v>4387</v>
      </c>
      <c r="J917" t="s">
        <v>4386</v>
      </c>
      <c r="K917" t="s">
        <v>17</v>
      </c>
      <c r="L917">
        <v>7881.98</v>
      </c>
      <c r="N917">
        <v>181</v>
      </c>
      <c r="O917" t="s">
        <v>34</v>
      </c>
    </row>
    <row r="918" spans="1:15" x14ac:dyDescent="0.3">
      <c r="A918" t="s">
        <v>4385</v>
      </c>
      <c r="B918" t="s">
        <v>4384</v>
      </c>
      <c r="C918" t="s">
        <v>22</v>
      </c>
      <c r="D918">
        <v>76</v>
      </c>
      <c r="E918" t="s">
        <v>21</v>
      </c>
      <c r="F918" t="s">
        <v>85</v>
      </c>
      <c r="G918" s="1">
        <v>46028</v>
      </c>
      <c r="H918" s="1">
        <v>46033</v>
      </c>
      <c r="I918" t="s">
        <v>4383</v>
      </c>
      <c r="J918" t="s">
        <v>4382</v>
      </c>
      <c r="K918" t="s">
        <v>17</v>
      </c>
      <c r="L918">
        <v>384.59</v>
      </c>
      <c r="M918" t="s">
        <v>26</v>
      </c>
      <c r="N918">
        <v>328</v>
      </c>
      <c r="O918" t="s">
        <v>77</v>
      </c>
    </row>
    <row r="919" spans="1:15" x14ac:dyDescent="0.3">
      <c r="A919" t="s">
        <v>4381</v>
      </c>
      <c r="B919" t="s">
        <v>4380</v>
      </c>
      <c r="C919" t="s">
        <v>123</v>
      </c>
      <c r="D919">
        <v>78</v>
      </c>
      <c r="E919" t="s">
        <v>21</v>
      </c>
      <c r="F919" t="s">
        <v>67</v>
      </c>
      <c r="G919" s="1">
        <v>46074</v>
      </c>
      <c r="H919" s="1">
        <v>46045</v>
      </c>
      <c r="I919" t="s">
        <v>4379</v>
      </c>
      <c r="J919" t="s">
        <v>4378</v>
      </c>
      <c r="L919">
        <v>11613.07</v>
      </c>
      <c r="M919" t="s">
        <v>27</v>
      </c>
      <c r="N919">
        <v>477</v>
      </c>
      <c r="O919" t="s">
        <v>77</v>
      </c>
    </row>
    <row r="920" spans="1:15" x14ac:dyDescent="0.3">
      <c r="A920" t="s">
        <v>4377</v>
      </c>
      <c r="B920" t="s">
        <v>4376</v>
      </c>
      <c r="C920" t="s">
        <v>22</v>
      </c>
      <c r="D920">
        <v>83</v>
      </c>
      <c r="E920" t="s">
        <v>68</v>
      </c>
      <c r="F920" t="s">
        <v>67</v>
      </c>
      <c r="G920" s="1">
        <v>46160</v>
      </c>
      <c r="H920" s="1">
        <v>46138</v>
      </c>
      <c r="I920" t="s">
        <v>4375</v>
      </c>
      <c r="J920" t="s">
        <v>4374</v>
      </c>
      <c r="K920" t="s">
        <v>26</v>
      </c>
      <c r="L920">
        <v>9899.0400000000009</v>
      </c>
      <c r="M920" t="s">
        <v>26</v>
      </c>
      <c r="N920">
        <v>312</v>
      </c>
      <c r="O920" t="s">
        <v>71</v>
      </c>
    </row>
    <row r="921" spans="1:15" x14ac:dyDescent="0.3">
      <c r="A921" t="s">
        <v>4373</v>
      </c>
      <c r="B921" t="s">
        <v>4372</v>
      </c>
      <c r="C921" t="s">
        <v>0</v>
      </c>
      <c r="D921">
        <v>80</v>
      </c>
      <c r="E921" t="s">
        <v>54</v>
      </c>
      <c r="F921" t="s">
        <v>85</v>
      </c>
      <c r="G921" s="1">
        <v>46122</v>
      </c>
      <c r="H921" s="1">
        <v>46110</v>
      </c>
      <c r="I921" t="s">
        <v>4371</v>
      </c>
      <c r="J921" t="s">
        <v>4370</v>
      </c>
      <c r="K921" t="s">
        <v>35</v>
      </c>
      <c r="L921">
        <v>17523.349999999999</v>
      </c>
      <c r="M921" t="s">
        <v>64</v>
      </c>
      <c r="N921">
        <v>301</v>
      </c>
      <c r="O921" t="s">
        <v>25</v>
      </c>
    </row>
    <row r="922" spans="1:15" x14ac:dyDescent="0.3">
      <c r="A922" t="s">
        <v>4369</v>
      </c>
      <c r="B922" t="s">
        <v>4368</v>
      </c>
      <c r="C922" t="s">
        <v>40</v>
      </c>
      <c r="D922">
        <v>31</v>
      </c>
      <c r="E922" t="s">
        <v>39</v>
      </c>
      <c r="F922" t="s">
        <v>30</v>
      </c>
      <c r="G922" s="1">
        <v>46052</v>
      </c>
      <c r="H922" s="1">
        <v>46024</v>
      </c>
      <c r="I922" t="s">
        <v>4367</v>
      </c>
      <c r="J922" t="s">
        <v>4366</v>
      </c>
      <c r="K922" t="s">
        <v>26</v>
      </c>
      <c r="L922">
        <v>16733.09</v>
      </c>
      <c r="M922" t="s">
        <v>64</v>
      </c>
      <c r="N922">
        <v>457</v>
      </c>
      <c r="O922" t="s">
        <v>25</v>
      </c>
    </row>
    <row r="923" spans="1:15" x14ac:dyDescent="0.3">
      <c r="A923" t="s">
        <v>4365</v>
      </c>
      <c r="B923" t="s">
        <v>4364</v>
      </c>
      <c r="C923" t="s">
        <v>1</v>
      </c>
      <c r="D923">
        <v>64</v>
      </c>
      <c r="E923" t="s">
        <v>54</v>
      </c>
      <c r="F923" t="s">
        <v>20</v>
      </c>
      <c r="G923" s="1">
        <v>46096</v>
      </c>
      <c r="H923" s="1">
        <v>46085</v>
      </c>
      <c r="I923" t="s">
        <v>4363</v>
      </c>
      <c r="J923" t="s">
        <v>4362</v>
      </c>
      <c r="K923" t="s">
        <v>64</v>
      </c>
      <c r="L923">
        <v>18933.84</v>
      </c>
      <c r="M923" t="s">
        <v>17</v>
      </c>
      <c r="N923">
        <v>309</v>
      </c>
      <c r="O923" t="s">
        <v>16</v>
      </c>
    </row>
    <row r="924" spans="1:15" x14ac:dyDescent="0.3">
      <c r="A924" t="s">
        <v>4361</v>
      </c>
      <c r="B924" t="s">
        <v>4360</v>
      </c>
      <c r="C924" t="s">
        <v>0</v>
      </c>
      <c r="D924">
        <v>33</v>
      </c>
      <c r="E924" t="s">
        <v>21</v>
      </c>
      <c r="F924" t="s">
        <v>46</v>
      </c>
      <c r="G924" s="1">
        <v>46088</v>
      </c>
      <c r="H924" s="1">
        <v>46074</v>
      </c>
      <c r="I924" t="s">
        <v>4359</v>
      </c>
      <c r="J924" t="s">
        <v>4358</v>
      </c>
      <c r="K924" t="s">
        <v>27</v>
      </c>
      <c r="L924">
        <v>2015.25</v>
      </c>
      <c r="N924">
        <v>295</v>
      </c>
      <c r="O924" t="s">
        <v>43</v>
      </c>
    </row>
    <row r="925" spans="1:15" x14ac:dyDescent="0.3">
      <c r="A925" t="s">
        <v>4357</v>
      </c>
      <c r="B925" t="s">
        <v>4356</v>
      </c>
      <c r="C925" t="s">
        <v>123</v>
      </c>
      <c r="D925">
        <v>25</v>
      </c>
      <c r="E925" t="s">
        <v>54</v>
      </c>
      <c r="F925" t="s">
        <v>46</v>
      </c>
      <c r="G925" s="1">
        <v>46027</v>
      </c>
      <c r="H925" s="1">
        <v>46027</v>
      </c>
      <c r="I925" t="s">
        <v>4355</v>
      </c>
      <c r="J925" t="s">
        <v>4354</v>
      </c>
      <c r="K925" t="s">
        <v>26</v>
      </c>
      <c r="L925">
        <v>3044.13</v>
      </c>
      <c r="M925" t="s">
        <v>26</v>
      </c>
      <c r="N925">
        <v>267</v>
      </c>
      <c r="O925" t="s">
        <v>25</v>
      </c>
    </row>
    <row r="926" spans="1:15" x14ac:dyDescent="0.3">
      <c r="A926" t="s">
        <v>4353</v>
      </c>
      <c r="B926" t="s">
        <v>4352</v>
      </c>
      <c r="D926">
        <v>63</v>
      </c>
      <c r="E926" t="s">
        <v>68</v>
      </c>
      <c r="F926" t="s">
        <v>20</v>
      </c>
      <c r="G926" s="1">
        <v>46147</v>
      </c>
      <c r="H926" s="1">
        <v>46145</v>
      </c>
      <c r="I926" t="s">
        <v>4351</v>
      </c>
      <c r="J926" t="s">
        <v>4350</v>
      </c>
      <c r="K926" t="s">
        <v>17</v>
      </c>
      <c r="L926">
        <v>17896.82</v>
      </c>
      <c r="N926">
        <v>171</v>
      </c>
      <c r="O926" t="s">
        <v>16</v>
      </c>
    </row>
    <row r="927" spans="1:15" x14ac:dyDescent="0.3">
      <c r="A927" t="s">
        <v>4349</v>
      </c>
      <c r="B927" t="s">
        <v>4348</v>
      </c>
      <c r="C927" t="s">
        <v>22</v>
      </c>
      <c r="D927">
        <v>21</v>
      </c>
      <c r="E927" t="s">
        <v>39</v>
      </c>
      <c r="F927" t="s">
        <v>46</v>
      </c>
      <c r="G927" s="1">
        <v>46034</v>
      </c>
      <c r="H927" s="1">
        <v>46015</v>
      </c>
      <c r="I927" t="s">
        <v>4347</v>
      </c>
      <c r="J927" t="s">
        <v>4346</v>
      </c>
      <c r="K927" t="s">
        <v>64</v>
      </c>
      <c r="L927">
        <v>4595.47</v>
      </c>
      <c r="M927" t="s">
        <v>64</v>
      </c>
      <c r="N927">
        <v>373</v>
      </c>
      <c r="O927" t="s">
        <v>25</v>
      </c>
    </row>
    <row r="928" spans="1:15" x14ac:dyDescent="0.3">
      <c r="A928" t="s">
        <v>4345</v>
      </c>
      <c r="B928" t="s">
        <v>4344</v>
      </c>
      <c r="C928" t="s">
        <v>123</v>
      </c>
      <c r="D928">
        <v>22</v>
      </c>
      <c r="E928" t="s">
        <v>80</v>
      </c>
      <c r="F928" t="s">
        <v>46</v>
      </c>
      <c r="G928" s="1">
        <v>45997</v>
      </c>
      <c r="H928" s="1">
        <v>45976</v>
      </c>
      <c r="I928" t="s">
        <v>4343</v>
      </c>
      <c r="J928" t="s">
        <v>4342</v>
      </c>
      <c r="K928" t="s">
        <v>26</v>
      </c>
      <c r="L928">
        <v>4006.71</v>
      </c>
      <c r="M928" t="s">
        <v>17</v>
      </c>
      <c r="N928">
        <v>191</v>
      </c>
      <c r="O928" t="s">
        <v>71</v>
      </c>
    </row>
    <row r="929" spans="1:15" x14ac:dyDescent="0.3">
      <c r="A929" t="s">
        <v>4341</v>
      </c>
      <c r="B929" t="s">
        <v>4340</v>
      </c>
      <c r="C929" t="s">
        <v>40</v>
      </c>
      <c r="D929">
        <v>87</v>
      </c>
      <c r="E929" t="s">
        <v>21</v>
      </c>
      <c r="F929" t="s">
        <v>85</v>
      </c>
      <c r="G929" s="1">
        <v>46077</v>
      </c>
      <c r="H929" s="1">
        <v>46055</v>
      </c>
      <c r="I929" t="s">
        <v>4339</v>
      </c>
      <c r="J929" t="s">
        <v>4338</v>
      </c>
      <c r="K929" t="s">
        <v>27</v>
      </c>
      <c r="L929">
        <v>20945.23</v>
      </c>
      <c r="M929" t="s">
        <v>64</v>
      </c>
      <c r="N929">
        <v>299</v>
      </c>
      <c r="O929" t="s">
        <v>25</v>
      </c>
    </row>
    <row r="930" spans="1:15" x14ac:dyDescent="0.3">
      <c r="A930" t="s">
        <v>4337</v>
      </c>
      <c r="B930" t="s">
        <v>4336</v>
      </c>
      <c r="C930" t="s">
        <v>22</v>
      </c>
      <c r="D930">
        <v>57</v>
      </c>
      <c r="E930" t="s">
        <v>47</v>
      </c>
      <c r="F930" t="s">
        <v>46</v>
      </c>
      <c r="G930" s="1">
        <v>46029</v>
      </c>
      <c r="H930" s="1">
        <v>46028</v>
      </c>
      <c r="I930" t="s">
        <v>4335</v>
      </c>
      <c r="J930" t="s">
        <v>4334</v>
      </c>
      <c r="L930">
        <v>19224.43</v>
      </c>
      <c r="M930" t="s">
        <v>57</v>
      </c>
      <c r="N930">
        <v>291</v>
      </c>
      <c r="O930" t="s">
        <v>71</v>
      </c>
    </row>
    <row r="931" spans="1:15" x14ac:dyDescent="0.3">
      <c r="A931" t="s">
        <v>4333</v>
      </c>
      <c r="B931" t="s">
        <v>4332</v>
      </c>
      <c r="C931" t="s">
        <v>1</v>
      </c>
      <c r="D931">
        <v>12</v>
      </c>
      <c r="E931" t="s">
        <v>47</v>
      </c>
      <c r="F931" t="s">
        <v>90</v>
      </c>
      <c r="G931" s="1">
        <v>45993</v>
      </c>
      <c r="H931" s="1">
        <v>45993</v>
      </c>
      <c r="I931" t="s">
        <v>4331</v>
      </c>
      <c r="J931" t="s">
        <v>4330</v>
      </c>
      <c r="K931" t="s">
        <v>27</v>
      </c>
      <c r="L931">
        <v>8560.49</v>
      </c>
      <c r="M931" t="s">
        <v>57</v>
      </c>
      <c r="N931">
        <v>448</v>
      </c>
      <c r="O931" t="s">
        <v>25</v>
      </c>
    </row>
    <row r="932" spans="1:15" x14ac:dyDescent="0.3">
      <c r="A932" t="s">
        <v>4329</v>
      </c>
      <c r="B932" t="s">
        <v>4328</v>
      </c>
      <c r="C932" t="s">
        <v>74</v>
      </c>
      <c r="D932">
        <v>29</v>
      </c>
      <c r="E932" t="s">
        <v>80</v>
      </c>
      <c r="F932" t="s">
        <v>53</v>
      </c>
      <c r="G932" s="1">
        <v>46166</v>
      </c>
      <c r="H932" s="1">
        <v>46143</v>
      </c>
      <c r="I932" t="s">
        <v>4327</v>
      </c>
      <c r="J932" t="s">
        <v>4326</v>
      </c>
      <c r="K932" t="s">
        <v>35</v>
      </c>
      <c r="L932">
        <v>1291.51</v>
      </c>
      <c r="M932" t="s">
        <v>64</v>
      </c>
      <c r="N932">
        <v>517</v>
      </c>
      <c r="O932" t="s">
        <v>43</v>
      </c>
    </row>
    <row r="933" spans="1:15" x14ac:dyDescent="0.3">
      <c r="A933" t="s">
        <v>4325</v>
      </c>
      <c r="B933" t="s">
        <v>4324</v>
      </c>
      <c r="C933" t="s">
        <v>60</v>
      </c>
      <c r="D933">
        <v>72</v>
      </c>
      <c r="E933" t="s">
        <v>21</v>
      </c>
      <c r="F933" t="s">
        <v>38</v>
      </c>
      <c r="G933" s="1">
        <v>46160</v>
      </c>
      <c r="H933" s="1">
        <v>46131</v>
      </c>
      <c r="I933" t="s">
        <v>4323</v>
      </c>
      <c r="J933" t="s">
        <v>4322</v>
      </c>
      <c r="L933">
        <v>23485.3</v>
      </c>
      <c r="M933" t="s">
        <v>64</v>
      </c>
      <c r="N933">
        <v>218</v>
      </c>
      <c r="O933" t="s">
        <v>71</v>
      </c>
    </row>
    <row r="934" spans="1:15" x14ac:dyDescent="0.3">
      <c r="A934" t="s">
        <v>4321</v>
      </c>
      <c r="B934" t="s">
        <v>4320</v>
      </c>
      <c r="C934" t="s">
        <v>74</v>
      </c>
      <c r="D934">
        <v>46</v>
      </c>
      <c r="E934" t="s">
        <v>31</v>
      </c>
      <c r="F934" t="s">
        <v>53</v>
      </c>
      <c r="G934" s="1">
        <v>46047</v>
      </c>
      <c r="H934" s="1">
        <v>46047</v>
      </c>
      <c r="I934" t="s">
        <v>4319</v>
      </c>
      <c r="J934" t="s">
        <v>4318</v>
      </c>
      <c r="L934">
        <v>16419.02</v>
      </c>
      <c r="M934" t="s">
        <v>27</v>
      </c>
      <c r="N934">
        <v>299</v>
      </c>
      <c r="O934" t="s">
        <v>71</v>
      </c>
    </row>
    <row r="935" spans="1:15" x14ac:dyDescent="0.3">
      <c r="A935" t="s">
        <v>4317</v>
      </c>
      <c r="B935" t="s">
        <v>4316</v>
      </c>
      <c r="D935">
        <v>29</v>
      </c>
      <c r="E935" t="s">
        <v>80</v>
      </c>
      <c r="F935" t="s">
        <v>30</v>
      </c>
      <c r="G935" s="1">
        <v>46108</v>
      </c>
      <c r="H935" s="1">
        <v>46088</v>
      </c>
      <c r="I935" t="s">
        <v>4315</v>
      </c>
      <c r="J935" t="s">
        <v>4314</v>
      </c>
      <c r="K935" t="s">
        <v>57</v>
      </c>
      <c r="L935">
        <v>1289.69</v>
      </c>
      <c r="M935" t="s">
        <v>57</v>
      </c>
      <c r="N935">
        <v>310</v>
      </c>
      <c r="O935" t="s">
        <v>43</v>
      </c>
    </row>
    <row r="936" spans="1:15" x14ac:dyDescent="0.3">
      <c r="A936" t="s">
        <v>4313</v>
      </c>
      <c r="B936" t="s">
        <v>4312</v>
      </c>
      <c r="D936">
        <v>14</v>
      </c>
      <c r="E936" t="s">
        <v>39</v>
      </c>
      <c r="F936" t="s">
        <v>30</v>
      </c>
      <c r="G936" s="1">
        <v>46115</v>
      </c>
      <c r="H936" s="1">
        <v>46085</v>
      </c>
      <c r="I936" t="s">
        <v>4311</v>
      </c>
      <c r="J936" t="s">
        <v>4310</v>
      </c>
      <c r="K936" t="s">
        <v>64</v>
      </c>
      <c r="L936">
        <v>15076.71</v>
      </c>
      <c r="N936">
        <v>447</v>
      </c>
      <c r="O936" t="s">
        <v>50</v>
      </c>
    </row>
    <row r="937" spans="1:15" x14ac:dyDescent="0.3">
      <c r="A937" t="s">
        <v>4309</v>
      </c>
      <c r="B937" t="s">
        <v>4308</v>
      </c>
      <c r="C937" t="s">
        <v>0</v>
      </c>
      <c r="D937">
        <v>43</v>
      </c>
      <c r="E937" t="s">
        <v>39</v>
      </c>
      <c r="F937" t="s">
        <v>67</v>
      </c>
      <c r="G937" s="1">
        <v>46095</v>
      </c>
      <c r="H937" s="1">
        <v>46068</v>
      </c>
      <c r="I937" t="s">
        <v>4307</v>
      </c>
      <c r="J937" t="s">
        <v>4306</v>
      </c>
      <c r="L937">
        <v>1874.33</v>
      </c>
      <c r="M937" t="s">
        <v>27</v>
      </c>
      <c r="N937">
        <v>411</v>
      </c>
      <c r="O937" t="s">
        <v>34</v>
      </c>
    </row>
    <row r="938" spans="1:15" x14ac:dyDescent="0.3">
      <c r="A938" t="s">
        <v>4305</v>
      </c>
      <c r="B938" t="s">
        <v>4304</v>
      </c>
      <c r="D938">
        <v>220</v>
      </c>
      <c r="E938" t="s">
        <v>21</v>
      </c>
      <c r="F938" t="s">
        <v>46</v>
      </c>
      <c r="G938" s="1">
        <v>46001</v>
      </c>
      <c r="H938" s="1">
        <v>45994</v>
      </c>
      <c r="I938" t="s">
        <v>4303</v>
      </c>
      <c r="J938" t="s">
        <v>4302</v>
      </c>
      <c r="K938" t="s">
        <v>27</v>
      </c>
      <c r="L938">
        <v>15485.45</v>
      </c>
      <c r="M938" t="s">
        <v>64</v>
      </c>
      <c r="N938">
        <v>258</v>
      </c>
      <c r="O938" t="s">
        <v>71</v>
      </c>
    </row>
    <row r="939" spans="1:15" x14ac:dyDescent="0.3">
      <c r="A939" t="s">
        <v>4301</v>
      </c>
      <c r="B939" t="s">
        <v>4300</v>
      </c>
      <c r="C939" t="s">
        <v>123</v>
      </c>
      <c r="D939">
        <v>32</v>
      </c>
      <c r="E939" t="s">
        <v>80</v>
      </c>
      <c r="F939" t="s">
        <v>46</v>
      </c>
      <c r="G939" s="1">
        <v>46054</v>
      </c>
      <c r="H939" s="1">
        <v>46050</v>
      </c>
      <c r="I939" t="s">
        <v>4299</v>
      </c>
      <c r="J939" t="s">
        <v>4298</v>
      </c>
      <c r="K939" t="s">
        <v>57</v>
      </c>
      <c r="L939">
        <v>12568.42</v>
      </c>
      <c r="M939" t="s">
        <v>57</v>
      </c>
      <c r="N939">
        <v>177</v>
      </c>
      <c r="O939" t="s">
        <v>16</v>
      </c>
    </row>
    <row r="940" spans="1:15" x14ac:dyDescent="0.3">
      <c r="A940" t="s">
        <v>4297</v>
      </c>
      <c r="B940" t="s">
        <v>4296</v>
      </c>
      <c r="C940" t="s">
        <v>1</v>
      </c>
      <c r="D940">
        <v>83</v>
      </c>
      <c r="E940" t="s">
        <v>47</v>
      </c>
      <c r="F940" t="s">
        <v>38</v>
      </c>
      <c r="G940" s="1">
        <v>46025</v>
      </c>
      <c r="H940" s="1">
        <v>45996</v>
      </c>
      <c r="I940" t="s">
        <v>4295</v>
      </c>
      <c r="J940" t="s">
        <v>4294</v>
      </c>
      <c r="L940">
        <v>18533.54</v>
      </c>
      <c r="M940" t="s">
        <v>17</v>
      </c>
      <c r="N940">
        <v>168</v>
      </c>
      <c r="O940" t="s">
        <v>43</v>
      </c>
    </row>
    <row r="941" spans="1:15" x14ac:dyDescent="0.3">
      <c r="A941" t="s">
        <v>4293</v>
      </c>
      <c r="B941" t="s">
        <v>4292</v>
      </c>
      <c r="C941" t="s">
        <v>60</v>
      </c>
      <c r="D941">
        <v>83</v>
      </c>
      <c r="E941" t="s">
        <v>47</v>
      </c>
      <c r="F941" t="s">
        <v>90</v>
      </c>
      <c r="G941" s="1">
        <v>46144</v>
      </c>
      <c r="H941" s="1">
        <v>46124</v>
      </c>
      <c r="I941" t="s">
        <v>4291</v>
      </c>
      <c r="J941" t="s">
        <v>4290</v>
      </c>
      <c r="K941" t="s">
        <v>26</v>
      </c>
      <c r="L941">
        <v>18813.66</v>
      </c>
      <c r="M941" t="s">
        <v>57</v>
      </c>
      <c r="N941">
        <v>533</v>
      </c>
      <c r="O941" t="s">
        <v>25</v>
      </c>
    </row>
    <row r="942" spans="1:15" x14ac:dyDescent="0.3">
      <c r="A942" t="s">
        <v>4289</v>
      </c>
      <c r="B942" t="s">
        <v>4288</v>
      </c>
      <c r="C942" t="s">
        <v>60</v>
      </c>
      <c r="D942">
        <v>44</v>
      </c>
      <c r="E942" t="s">
        <v>21</v>
      </c>
      <c r="F942" t="s">
        <v>38</v>
      </c>
      <c r="G942" s="1">
        <v>46049</v>
      </c>
      <c r="H942" s="1">
        <v>46032</v>
      </c>
      <c r="I942" t="s">
        <v>4287</v>
      </c>
      <c r="J942" t="s">
        <v>4286</v>
      </c>
      <c r="K942" t="s">
        <v>27</v>
      </c>
      <c r="L942">
        <v>22684.48</v>
      </c>
      <c r="M942" t="s">
        <v>57</v>
      </c>
      <c r="N942">
        <v>510</v>
      </c>
      <c r="O942" t="s">
        <v>25</v>
      </c>
    </row>
    <row r="943" spans="1:15" x14ac:dyDescent="0.3">
      <c r="A943" t="s">
        <v>4285</v>
      </c>
      <c r="B943" t="s">
        <v>4284</v>
      </c>
      <c r="C943" t="s">
        <v>1</v>
      </c>
      <c r="D943">
        <v>78</v>
      </c>
      <c r="E943" t="s">
        <v>54</v>
      </c>
      <c r="F943" t="s">
        <v>67</v>
      </c>
      <c r="G943" s="1">
        <v>46026</v>
      </c>
      <c r="H943" s="1">
        <v>46021</v>
      </c>
      <c r="I943" t="s">
        <v>4283</v>
      </c>
      <c r="J943" t="s">
        <v>4282</v>
      </c>
      <c r="L943">
        <v>15818.61</v>
      </c>
      <c r="M943" t="s">
        <v>64</v>
      </c>
      <c r="N943">
        <v>545</v>
      </c>
      <c r="O943" t="s">
        <v>16</v>
      </c>
    </row>
    <row r="944" spans="1:15" x14ac:dyDescent="0.3">
      <c r="A944" t="s">
        <v>4281</v>
      </c>
      <c r="B944" t="s">
        <v>4280</v>
      </c>
      <c r="C944" t="s">
        <v>74</v>
      </c>
      <c r="D944">
        <v>25</v>
      </c>
      <c r="E944" t="s">
        <v>47</v>
      </c>
      <c r="F944" t="s">
        <v>53</v>
      </c>
      <c r="G944" s="1">
        <v>46151</v>
      </c>
      <c r="H944" s="1">
        <v>46121</v>
      </c>
      <c r="I944" t="s">
        <v>4279</v>
      </c>
      <c r="J944" t="s">
        <v>4278</v>
      </c>
      <c r="K944" t="s">
        <v>17</v>
      </c>
      <c r="L944">
        <v>3313.91</v>
      </c>
      <c r="M944" t="s">
        <v>26</v>
      </c>
      <c r="N944">
        <v>403</v>
      </c>
      <c r="O944" t="s">
        <v>34</v>
      </c>
    </row>
    <row r="945" spans="1:15" x14ac:dyDescent="0.3">
      <c r="A945" t="s">
        <v>4277</v>
      </c>
      <c r="B945" t="s">
        <v>4276</v>
      </c>
      <c r="C945" t="s">
        <v>1</v>
      </c>
      <c r="D945">
        <v>31</v>
      </c>
      <c r="E945" t="s">
        <v>80</v>
      </c>
      <c r="F945" t="s">
        <v>90</v>
      </c>
      <c r="G945" s="1">
        <v>46158</v>
      </c>
      <c r="H945" s="1">
        <v>46135</v>
      </c>
      <c r="I945" t="s">
        <v>4275</v>
      </c>
      <c r="J945" t="s">
        <v>4274</v>
      </c>
      <c r="L945">
        <v>7924.28</v>
      </c>
      <c r="M945" t="s">
        <v>57</v>
      </c>
      <c r="N945">
        <v>225</v>
      </c>
      <c r="O945" t="s">
        <v>16</v>
      </c>
    </row>
    <row r="946" spans="1:15" x14ac:dyDescent="0.3">
      <c r="A946" t="s">
        <v>4273</v>
      </c>
      <c r="B946" t="s">
        <v>4272</v>
      </c>
      <c r="C946" t="s">
        <v>0</v>
      </c>
      <c r="D946">
        <v>78</v>
      </c>
      <c r="E946" t="s">
        <v>21</v>
      </c>
      <c r="F946" t="s">
        <v>30</v>
      </c>
      <c r="G946" s="1">
        <v>45999</v>
      </c>
      <c r="H946" s="1">
        <v>45990</v>
      </c>
      <c r="I946" t="s">
        <v>4271</v>
      </c>
      <c r="J946" t="s">
        <v>4270</v>
      </c>
      <c r="L946">
        <v>24199.599999999999</v>
      </c>
      <c r="M946" t="s">
        <v>57</v>
      </c>
      <c r="N946">
        <v>239</v>
      </c>
      <c r="O946" t="s">
        <v>50</v>
      </c>
    </row>
    <row r="947" spans="1:15" x14ac:dyDescent="0.3">
      <c r="A947" t="s">
        <v>4269</v>
      </c>
      <c r="B947" t="s">
        <v>4268</v>
      </c>
      <c r="D947">
        <v>11</v>
      </c>
      <c r="E947" t="s">
        <v>31</v>
      </c>
      <c r="F947" t="s">
        <v>90</v>
      </c>
      <c r="G947" s="1">
        <v>46031</v>
      </c>
      <c r="H947" s="1">
        <v>46019</v>
      </c>
      <c r="I947" t="s">
        <v>4267</v>
      </c>
      <c r="J947" t="s">
        <v>4266</v>
      </c>
      <c r="K947" t="s">
        <v>35</v>
      </c>
      <c r="L947">
        <v>11873.69</v>
      </c>
      <c r="N947">
        <v>358</v>
      </c>
      <c r="O947" t="s">
        <v>34</v>
      </c>
    </row>
    <row r="948" spans="1:15" x14ac:dyDescent="0.3">
      <c r="A948" t="s">
        <v>4265</v>
      </c>
      <c r="B948" t="s">
        <v>4264</v>
      </c>
      <c r="C948" t="s">
        <v>123</v>
      </c>
      <c r="D948">
        <v>20</v>
      </c>
      <c r="E948" t="s">
        <v>68</v>
      </c>
      <c r="F948" t="s">
        <v>46</v>
      </c>
      <c r="G948" s="1">
        <v>46133</v>
      </c>
      <c r="H948" s="1">
        <v>46109</v>
      </c>
      <c r="I948" t="s">
        <v>4263</v>
      </c>
      <c r="J948" t="s">
        <v>4262</v>
      </c>
      <c r="L948">
        <v>10799.45</v>
      </c>
      <c r="M948" t="s">
        <v>64</v>
      </c>
      <c r="N948">
        <v>488</v>
      </c>
      <c r="O948" t="s">
        <v>43</v>
      </c>
    </row>
    <row r="949" spans="1:15" x14ac:dyDescent="0.3">
      <c r="A949" t="s">
        <v>4261</v>
      </c>
      <c r="B949" t="s">
        <v>4260</v>
      </c>
      <c r="C949" t="s">
        <v>0</v>
      </c>
      <c r="D949">
        <v>71</v>
      </c>
      <c r="E949" t="s">
        <v>39</v>
      </c>
      <c r="F949" t="s">
        <v>30</v>
      </c>
      <c r="G949" s="1">
        <v>46015</v>
      </c>
      <c r="H949" s="1">
        <v>46003</v>
      </c>
      <c r="I949" t="s">
        <v>4259</v>
      </c>
      <c r="J949" t="s">
        <v>4258</v>
      </c>
      <c r="L949">
        <v>7785.01</v>
      </c>
      <c r="M949" t="s">
        <v>63</v>
      </c>
      <c r="N949">
        <v>292</v>
      </c>
      <c r="O949" t="s">
        <v>34</v>
      </c>
    </row>
    <row r="950" spans="1:15" x14ac:dyDescent="0.3">
      <c r="A950" t="s">
        <v>4257</v>
      </c>
      <c r="B950" t="s">
        <v>4256</v>
      </c>
      <c r="D950">
        <v>10</v>
      </c>
      <c r="E950" t="s">
        <v>31</v>
      </c>
      <c r="F950" t="s">
        <v>53</v>
      </c>
      <c r="G950" s="1">
        <v>46098</v>
      </c>
      <c r="H950" s="1">
        <v>46076</v>
      </c>
      <c r="I950" t="s">
        <v>4255</v>
      </c>
      <c r="J950" t="s">
        <v>4254</v>
      </c>
      <c r="L950">
        <v>5053.75</v>
      </c>
      <c r="M950" t="s">
        <v>57</v>
      </c>
      <c r="N950">
        <v>102</v>
      </c>
      <c r="O950" t="s">
        <v>77</v>
      </c>
    </row>
    <row r="951" spans="1:15" x14ac:dyDescent="0.3">
      <c r="A951" t="s">
        <v>4253</v>
      </c>
      <c r="B951" t="s">
        <v>4252</v>
      </c>
      <c r="C951" t="s">
        <v>60</v>
      </c>
      <c r="D951">
        <v>63</v>
      </c>
      <c r="E951" t="s">
        <v>54</v>
      </c>
      <c r="F951" t="s">
        <v>90</v>
      </c>
      <c r="G951" s="1">
        <v>46109</v>
      </c>
      <c r="H951" s="1">
        <v>46079</v>
      </c>
      <c r="I951" t="s">
        <v>4251</v>
      </c>
      <c r="J951" t="s">
        <v>4250</v>
      </c>
      <c r="L951">
        <v>24268.22</v>
      </c>
      <c r="M951" t="s">
        <v>17</v>
      </c>
      <c r="N951">
        <v>296</v>
      </c>
      <c r="O951" t="s">
        <v>16</v>
      </c>
    </row>
    <row r="952" spans="1:15" x14ac:dyDescent="0.3">
      <c r="A952" t="s">
        <v>4249</v>
      </c>
      <c r="B952" t="s">
        <v>4248</v>
      </c>
      <c r="C952" t="s">
        <v>22</v>
      </c>
      <c r="D952">
        <v>83</v>
      </c>
      <c r="E952" t="s">
        <v>80</v>
      </c>
      <c r="F952" t="s">
        <v>90</v>
      </c>
      <c r="G952" s="1">
        <v>46122</v>
      </c>
      <c r="H952" s="1">
        <v>46094</v>
      </c>
      <c r="I952" t="s">
        <v>4247</v>
      </c>
      <c r="J952" t="s">
        <v>4246</v>
      </c>
      <c r="K952" t="s">
        <v>27</v>
      </c>
      <c r="L952">
        <v>24813.32</v>
      </c>
      <c r="M952" t="s">
        <v>64</v>
      </c>
      <c r="N952">
        <v>297</v>
      </c>
      <c r="O952" t="s">
        <v>34</v>
      </c>
    </row>
    <row r="953" spans="1:15" x14ac:dyDescent="0.3">
      <c r="A953" t="s">
        <v>4245</v>
      </c>
      <c r="B953" t="s">
        <v>4244</v>
      </c>
      <c r="C953" t="s">
        <v>0</v>
      </c>
      <c r="D953">
        <v>25</v>
      </c>
      <c r="E953" t="s">
        <v>54</v>
      </c>
      <c r="F953" t="s">
        <v>30</v>
      </c>
      <c r="G953" s="1">
        <v>46006</v>
      </c>
      <c r="H953" s="1">
        <v>45982</v>
      </c>
      <c r="I953" t="s">
        <v>4243</v>
      </c>
      <c r="J953" t="s">
        <v>4242</v>
      </c>
      <c r="K953" t="s">
        <v>57</v>
      </c>
      <c r="L953">
        <v>12838.29</v>
      </c>
      <c r="N953">
        <v>425</v>
      </c>
      <c r="O953" t="s">
        <v>25</v>
      </c>
    </row>
    <row r="954" spans="1:15" x14ac:dyDescent="0.3">
      <c r="A954" t="s">
        <v>4241</v>
      </c>
      <c r="B954" t="s">
        <v>4240</v>
      </c>
      <c r="C954" t="s">
        <v>60</v>
      </c>
      <c r="D954">
        <v>90</v>
      </c>
      <c r="E954" t="s">
        <v>47</v>
      </c>
      <c r="F954" t="s">
        <v>90</v>
      </c>
      <c r="G954" s="1">
        <v>46060</v>
      </c>
      <c r="H954" s="1">
        <v>46031</v>
      </c>
      <c r="I954" t="s">
        <v>4239</v>
      </c>
      <c r="J954" t="s">
        <v>4238</v>
      </c>
      <c r="L954">
        <v>18444.47</v>
      </c>
      <c r="M954" t="s">
        <v>57</v>
      </c>
      <c r="N954">
        <v>344</v>
      </c>
      <c r="O954" t="s">
        <v>77</v>
      </c>
    </row>
    <row r="955" spans="1:15" x14ac:dyDescent="0.3">
      <c r="A955" t="s">
        <v>4237</v>
      </c>
      <c r="B955" t="s">
        <v>4236</v>
      </c>
      <c r="C955" t="s">
        <v>60</v>
      </c>
      <c r="D955">
        <v>81</v>
      </c>
      <c r="E955" t="s">
        <v>47</v>
      </c>
      <c r="F955" t="s">
        <v>53</v>
      </c>
      <c r="G955" s="1">
        <v>46066</v>
      </c>
      <c r="H955" s="1">
        <v>46058</v>
      </c>
      <c r="I955" t="s">
        <v>4235</v>
      </c>
      <c r="J955" t="s">
        <v>4234</v>
      </c>
      <c r="L955">
        <v>23617.78</v>
      </c>
      <c r="M955" t="s">
        <v>26</v>
      </c>
      <c r="N955">
        <v>230</v>
      </c>
      <c r="O955" t="s">
        <v>71</v>
      </c>
    </row>
    <row r="956" spans="1:15" x14ac:dyDescent="0.3">
      <c r="A956" t="s">
        <v>4233</v>
      </c>
      <c r="B956" t="s">
        <v>4232</v>
      </c>
      <c r="C956" t="s">
        <v>0</v>
      </c>
      <c r="D956">
        <v>2</v>
      </c>
      <c r="E956" t="s">
        <v>80</v>
      </c>
      <c r="F956" t="s">
        <v>20</v>
      </c>
      <c r="G956" s="1">
        <v>46159</v>
      </c>
      <c r="H956" s="1">
        <v>46139</v>
      </c>
      <c r="I956" t="s">
        <v>4231</v>
      </c>
      <c r="J956" t="s">
        <v>4230</v>
      </c>
      <c r="L956">
        <v>10062.14</v>
      </c>
      <c r="M956" t="s">
        <v>64</v>
      </c>
      <c r="N956">
        <v>365</v>
      </c>
      <c r="O956" t="s">
        <v>71</v>
      </c>
    </row>
    <row r="957" spans="1:15" x14ac:dyDescent="0.3">
      <c r="A957" t="s">
        <v>4229</v>
      </c>
      <c r="B957" t="s">
        <v>4228</v>
      </c>
      <c r="C957" t="s">
        <v>123</v>
      </c>
      <c r="D957">
        <v>22</v>
      </c>
      <c r="E957" t="s">
        <v>54</v>
      </c>
      <c r="F957" t="s">
        <v>30</v>
      </c>
      <c r="G957" s="1">
        <v>46027</v>
      </c>
      <c r="H957" s="1">
        <v>46005</v>
      </c>
      <c r="I957" t="s">
        <v>4227</v>
      </c>
      <c r="J957" t="s">
        <v>4226</v>
      </c>
      <c r="K957" t="s">
        <v>26</v>
      </c>
      <c r="L957">
        <v>12616.04</v>
      </c>
      <c r="N957">
        <v>400</v>
      </c>
      <c r="O957" t="s">
        <v>43</v>
      </c>
    </row>
    <row r="958" spans="1:15" x14ac:dyDescent="0.3">
      <c r="A958" t="s">
        <v>4225</v>
      </c>
      <c r="B958" t="s">
        <v>4224</v>
      </c>
      <c r="C958" t="s">
        <v>123</v>
      </c>
      <c r="D958">
        <v>12</v>
      </c>
      <c r="E958" t="s">
        <v>80</v>
      </c>
      <c r="F958" t="s">
        <v>67</v>
      </c>
      <c r="G958" s="1">
        <v>46148</v>
      </c>
      <c r="H958" s="1">
        <v>46122</v>
      </c>
      <c r="I958" t="s">
        <v>4223</v>
      </c>
      <c r="J958" t="s">
        <v>4222</v>
      </c>
      <c r="K958" t="s">
        <v>35</v>
      </c>
      <c r="L958">
        <v>6871.73</v>
      </c>
      <c r="M958" t="s">
        <v>57</v>
      </c>
      <c r="N958">
        <v>483</v>
      </c>
      <c r="O958" t="s">
        <v>16</v>
      </c>
    </row>
    <row r="959" spans="1:15" x14ac:dyDescent="0.3">
      <c r="A959" t="s">
        <v>4221</v>
      </c>
      <c r="B959" t="s">
        <v>4220</v>
      </c>
      <c r="C959" t="s">
        <v>22</v>
      </c>
      <c r="D959">
        <v>1</v>
      </c>
      <c r="E959" t="s">
        <v>39</v>
      </c>
      <c r="F959" t="s">
        <v>85</v>
      </c>
      <c r="G959" s="1">
        <v>46128</v>
      </c>
      <c r="H959" s="1">
        <v>46128</v>
      </c>
      <c r="I959" t="s">
        <v>4219</v>
      </c>
      <c r="J959" t="s">
        <v>4218</v>
      </c>
      <c r="K959" t="s">
        <v>64</v>
      </c>
      <c r="L959">
        <v>1932.07</v>
      </c>
      <c r="N959">
        <v>368</v>
      </c>
      <c r="O959" t="s">
        <v>16</v>
      </c>
    </row>
    <row r="960" spans="1:15" x14ac:dyDescent="0.3">
      <c r="A960" t="s">
        <v>4217</v>
      </c>
      <c r="B960" t="s">
        <v>4216</v>
      </c>
      <c r="C960" t="s">
        <v>22</v>
      </c>
      <c r="D960">
        <v>56</v>
      </c>
      <c r="E960" t="s">
        <v>39</v>
      </c>
      <c r="F960" t="s">
        <v>53</v>
      </c>
      <c r="G960" s="1">
        <v>46124</v>
      </c>
      <c r="H960" s="1">
        <v>46113</v>
      </c>
      <c r="I960" t="s">
        <v>4215</v>
      </c>
      <c r="J960" t="s">
        <v>4214</v>
      </c>
      <c r="K960" t="s">
        <v>35</v>
      </c>
      <c r="L960">
        <v>17660.37</v>
      </c>
      <c r="M960" t="s">
        <v>57</v>
      </c>
      <c r="N960">
        <v>349</v>
      </c>
      <c r="O960" t="s">
        <v>71</v>
      </c>
    </row>
    <row r="961" spans="1:15" x14ac:dyDescent="0.3">
      <c r="A961" t="s">
        <v>4213</v>
      </c>
      <c r="B961" t="s">
        <v>4212</v>
      </c>
      <c r="C961" t="s">
        <v>74</v>
      </c>
      <c r="D961">
        <v>58</v>
      </c>
      <c r="E961" t="s">
        <v>21</v>
      </c>
      <c r="F961" t="s">
        <v>53</v>
      </c>
      <c r="G961" s="1">
        <v>45981</v>
      </c>
      <c r="H961" s="1">
        <v>45975</v>
      </c>
      <c r="I961" t="s">
        <v>4211</v>
      </c>
      <c r="J961" t="s">
        <v>4210</v>
      </c>
      <c r="K961" t="s">
        <v>27</v>
      </c>
      <c r="L961">
        <v>18797.91</v>
      </c>
      <c r="M961" t="s">
        <v>57</v>
      </c>
      <c r="N961">
        <v>232</v>
      </c>
      <c r="O961" t="s">
        <v>50</v>
      </c>
    </row>
    <row r="962" spans="1:15" x14ac:dyDescent="0.3">
      <c r="A962" t="s">
        <v>4209</v>
      </c>
      <c r="B962" t="s">
        <v>4208</v>
      </c>
      <c r="C962" t="s">
        <v>123</v>
      </c>
      <c r="D962">
        <v>57</v>
      </c>
      <c r="E962" t="s">
        <v>80</v>
      </c>
      <c r="F962" t="s">
        <v>53</v>
      </c>
      <c r="G962" s="1">
        <v>46091</v>
      </c>
      <c r="H962" s="1">
        <v>46089</v>
      </c>
      <c r="I962" t="s">
        <v>4207</v>
      </c>
      <c r="J962" t="s">
        <v>4206</v>
      </c>
      <c r="K962" t="s">
        <v>26</v>
      </c>
      <c r="L962">
        <v>2325.54</v>
      </c>
      <c r="M962" t="s">
        <v>64</v>
      </c>
      <c r="N962">
        <v>241</v>
      </c>
      <c r="O962" t="s">
        <v>77</v>
      </c>
    </row>
    <row r="963" spans="1:15" x14ac:dyDescent="0.3">
      <c r="A963" t="s">
        <v>4205</v>
      </c>
      <c r="B963" t="s">
        <v>4204</v>
      </c>
      <c r="C963" t="s">
        <v>60</v>
      </c>
      <c r="D963">
        <v>4</v>
      </c>
      <c r="E963" t="s">
        <v>21</v>
      </c>
      <c r="F963" t="s">
        <v>85</v>
      </c>
      <c r="G963" s="1">
        <v>45996</v>
      </c>
      <c r="H963" s="1">
        <v>45981</v>
      </c>
      <c r="I963" t="s">
        <v>4203</v>
      </c>
      <c r="J963" t="s">
        <v>4202</v>
      </c>
      <c r="K963" t="s">
        <v>64</v>
      </c>
      <c r="L963">
        <v>435.76</v>
      </c>
      <c r="M963" t="s">
        <v>63</v>
      </c>
      <c r="N963">
        <v>484</v>
      </c>
      <c r="O963" t="s">
        <v>77</v>
      </c>
    </row>
    <row r="964" spans="1:15" x14ac:dyDescent="0.3">
      <c r="A964" t="s">
        <v>4201</v>
      </c>
      <c r="B964" t="s">
        <v>4200</v>
      </c>
      <c r="C964" t="s">
        <v>40</v>
      </c>
      <c r="D964">
        <v>13</v>
      </c>
      <c r="E964" t="s">
        <v>21</v>
      </c>
      <c r="F964" t="s">
        <v>46</v>
      </c>
      <c r="G964" s="1">
        <v>46057</v>
      </c>
      <c r="H964" s="1">
        <v>46045</v>
      </c>
      <c r="I964" t="s">
        <v>4199</v>
      </c>
      <c r="J964" t="s">
        <v>4198</v>
      </c>
      <c r="K964" t="s">
        <v>26</v>
      </c>
      <c r="L964">
        <v>23316.78</v>
      </c>
      <c r="N964">
        <v>487</v>
      </c>
      <c r="O964" t="s">
        <v>43</v>
      </c>
    </row>
    <row r="965" spans="1:15" x14ac:dyDescent="0.3">
      <c r="A965" t="s">
        <v>4197</v>
      </c>
      <c r="B965" t="s">
        <v>4196</v>
      </c>
      <c r="C965" t="s">
        <v>123</v>
      </c>
      <c r="D965">
        <v>44</v>
      </c>
      <c r="E965" t="s">
        <v>31</v>
      </c>
      <c r="F965" t="s">
        <v>67</v>
      </c>
      <c r="G965" s="1">
        <v>46056</v>
      </c>
      <c r="H965" s="1">
        <v>46046</v>
      </c>
      <c r="I965" t="s">
        <v>4195</v>
      </c>
      <c r="J965" t="s">
        <v>4194</v>
      </c>
      <c r="K965" t="s">
        <v>17</v>
      </c>
      <c r="L965">
        <v>23536.58</v>
      </c>
      <c r="N965">
        <v>293</v>
      </c>
      <c r="O965" t="s">
        <v>34</v>
      </c>
    </row>
    <row r="966" spans="1:15" x14ac:dyDescent="0.3">
      <c r="A966" t="s">
        <v>4193</v>
      </c>
      <c r="B966" t="s">
        <v>4192</v>
      </c>
      <c r="C966" t="s">
        <v>40</v>
      </c>
      <c r="D966">
        <v>46</v>
      </c>
      <c r="E966" t="s">
        <v>31</v>
      </c>
      <c r="F966" t="s">
        <v>20</v>
      </c>
      <c r="G966" s="1">
        <v>46109</v>
      </c>
      <c r="H966" s="1">
        <v>46109</v>
      </c>
      <c r="I966" t="s">
        <v>4191</v>
      </c>
      <c r="J966" t="s">
        <v>4190</v>
      </c>
      <c r="L966">
        <v>21789.43</v>
      </c>
      <c r="N966">
        <v>471</v>
      </c>
      <c r="O966" t="s">
        <v>50</v>
      </c>
    </row>
    <row r="967" spans="1:15" x14ac:dyDescent="0.3">
      <c r="A967" t="s">
        <v>4189</v>
      </c>
      <c r="B967" t="s">
        <v>4188</v>
      </c>
      <c r="C967" t="s">
        <v>0</v>
      </c>
      <c r="D967">
        <v>4</v>
      </c>
      <c r="E967" t="s">
        <v>80</v>
      </c>
      <c r="F967" t="s">
        <v>30</v>
      </c>
      <c r="G967" s="1">
        <v>46133</v>
      </c>
      <c r="H967" s="1">
        <v>46103</v>
      </c>
      <c r="I967" t="s">
        <v>4187</v>
      </c>
      <c r="J967" t="s">
        <v>4186</v>
      </c>
      <c r="K967" t="s">
        <v>17</v>
      </c>
      <c r="L967">
        <v>9337.06</v>
      </c>
      <c r="N967">
        <v>363</v>
      </c>
      <c r="O967" t="s">
        <v>16</v>
      </c>
    </row>
    <row r="968" spans="1:15" x14ac:dyDescent="0.3">
      <c r="A968" t="s">
        <v>4185</v>
      </c>
      <c r="B968" t="s">
        <v>4184</v>
      </c>
      <c r="C968" t="s">
        <v>1</v>
      </c>
      <c r="D968">
        <v>1</v>
      </c>
      <c r="E968" t="s">
        <v>2278</v>
      </c>
      <c r="F968" t="s">
        <v>46</v>
      </c>
      <c r="G968" s="1">
        <v>46084</v>
      </c>
      <c r="H968" s="1">
        <v>46064</v>
      </c>
      <c r="I968" t="s">
        <v>4183</v>
      </c>
      <c r="K968" t="s">
        <v>57</v>
      </c>
      <c r="L968">
        <v>-500</v>
      </c>
      <c r="M968" t="s">
        <v>17</v>
      </c>
      <c r="N968">
        <v>447</v>
      </c>
      <c r="O968" t="s">
        <v>16</v>
      </c>
    </row>
    <row r="969" spans="1:15" x14ac:dyDescent="0.3">
      <c r="A969" t="s">
        <v>4182</v>
      </c>
      <c r="B969" t="s">
        <v>4181</v>
      </c>
      <c r="C969" t="s">
        <v>1</v>
      </c>
      <c r="D969">
        <v>78</v>
      </c>
      <c r="E969" t="s">
        <v>68</v>
      </c>
      <c r="F969" t="s">
        <v>90</v>
      </c>
      <c r="G969" s="1">
        <v>46017</v>
      </c>
      <c r="H969" s="1">
        <v>45994</v>
      </c>
      <c r="I969" t="s">
        <v>4180</v>
      </c>
      <c r="J969" t="s">
        <v>4179</v>
      </c>
      <c r="K969" t="s">
        <v>64</v>
      </c>
      <c r="L969">
        <v>8838.68</v>
      </c>
      <c r="N969">
        <v>437</v>
      </c>
      <c r="O969" t="s">
        <v>50</v>
      </c>
    </row>
    <row r="970" spans="1:15" x14ac:dyDescent="0.3">
      <c r="A970" t="s">
        <v>4178</v>
      </c>
      <c r="B970" t="s">
        <v>4177</v>
      </c>
      <c r="C970" t="s">
        <v>74</v>
      </c>
      <c r="D970">
        <v>50</v>
      </c>
      <c r="E970" t="s">
        <v>132</v>
      </c>
      <c r="F970" t="s">
        <v>38</v>
      </c>
      <c r="G970" s="1">
        <v>46018</v>
      </c>
      <c r="H970" s="1">
        <v>45996</v>
      </c>
      <c r="I970" t="s">
        <v>4176</v>
      </c>
      <c r="J970" t="s">
        <v>4175</v>
      </c>
      <c r="K970" t="s">
        <v>35</v>
      </c>
      <c r="L970">
        <v>21772.5</v>
      </c>
      <c r="M970" t="s">
        <v>27</v>
      </c>
      <c r="N970">
        <v>165</v>
      </c>
      <c r="O970" t="s">
        <v>16</v>
      </c>
    </row>
    <row r="971" spans="1:15" x14ac:dyDescent="0.3">
      <c r="A971" t="s">
        <v>4174</v>
      </c>
      <c r="B971" t="s">
        <v>4173</v>
      </c>
      <c r="C971" t="s">
        <v>74</v>
      </c>
      <c r="D971">
        <v>39</v>
      </c>
      <c r="E971" t="s">
        <v>68</v>
      </c>
      <c r="F971" t="s">
        <v>53</v>
      </c>
      <c r="G971" s="1">
        <v>46067</v>
      </c>
      <c r="H971" s="1">
        <v>46039</v>
      </c>
      <c r="I971" t="s">
        <v>4172</v>
      </c>
      <c r="J971" t="s">
        <v>4171</v>
      </c>
      <c r="L971">
        <v>23885.27</v>
      </c>
      <c r="N971">
        <v>439</v>
      </c>
      <c r="O971" t="s">
        <v>34</v>
      </c>
    </row>
    <row r="972" spans="1:15" x14ac:dyDescent="0.3">
      <c r="A972" t="s">
        <v>4170</v>
      </c>
      <c r="B972" t="s">
        <v>4169</v>
      </c>
      <c r="C972" t="s">
        <v>1</v>
      </c>
      <c r="D972">
        <v>32</v>
      </c>
      <c r="E972" t="s">
        <v>21</v>
      </c>
      <c r="F972" t="s">
        <v>53</v>
      </c>
      <c r="G972" s="1">
        <v>46169</v>
      </c>
      <c r="H972" s="1">
        <v>46145</v>
      </c>
      <c r="I972" t="s">
        <v>4168</v>
      </c>
      <c r="J972" t="s">
        <v>4167</v>
      </c>
      <c r="K972" t="s">
        <v>64</v>
      </c>
      <c r="L972">
        <v>2815.65</v>
      </c>
      <c r="M972" t="s">
        <v>27</v>
      </c>
      <c r="N972">
        <v>182</v>
      </c>
      <c r="O972" t="s">
        <v>43</v>
      </c>
    </row>
    <row r="973" spans="1:15" x14ac:dyDescent="0.3">
      <c r="A973" t="s">
        <v>4166</v>
      </c>
      <c r="B973" t="s">
        <v>4165</v>
      </c>
      <c r="C973" t="s">
        <v>123</v>
      </c>
      <c r="D973">
        <v>36</v>
      </c>
      <c r="E973" t="s">
        <v>21</v>
      </c>
      <c r="F973" t="s">
        <v>30</v>
      </c>
      <c r="G973" s="1">
        <v>46120</v>
      </c>
      <c r="H973" s="1">
        <v>46099</v>
      </c>
      <c r="I973" t="s">
        <v>4164</v>
      </c>
      <c r="J973" t="s">
        <v>4163</v>
      </c>
      <c r="L973">
        <v>23797.3</v>
      </c>
      <c r="M973" t="s">
        <v>64</v>
      </c>
      <c r="N973">
        <v>440</v>
      </c>
      <c r="O973" t="s">
        <v>71</v>
      </c>
    </row>
    <row r="974" spans="1:15" x14ac:dyDescent="0.3">
      <c r="A974" t="s">
        <v>4162</v>
      </c>
      <c r="B974" t="s">
        <v>4161</v>
      </c>
      <c r="D974">
        <v>12</v>
      </c>
      <c r="E974" t="s">
        <v>31</v>
      </c>
      <c r="F974" t="s">
        <v>38</v>
      </c>
      <c r="G974" s="1">
        <v>46102</v>
      </c>
      <c r="H974" s="1">
        <v>46073</v>
      </c>
      <c r="I974" t="s">
        <v>4160</v>
      </c>
      <c r="J974" t="s">
        <v>4159</v>
      </c>
      <c r="K974" t="s">
        <v>64</v>
      </c>
      <c r="L974">
        <v>16170.87</v>
      </c>
      <c r="N974">
        <v>467</v>
      </c>
      <c r="O974" t="s">
        <v>25</v>
      </c>
    </row>
    <row r="975" spans="1:15" x14ac:dyDescent="0.3">
      <c r="A975" t="s">
        <v>4158</v>
      </c>
      <c r="B975" t="s">
        <v>4157</v>
      </c>
      <c r="C975" t="s">
        <v>123</v>
      </c>
      <c r="D975">
        <v>84</v>
      </c>
      <c r="E975" t="s">
        <v>54</v>
      </c>
      <c r="F975" t="s">
        <v>38</v>
      </c>
      <c r="G975" s="1">
        <v>46022</v>
      </c>
      <c r="H975" s="1">
        <v>46015</v>
      </c>
      <c r="I975" t="s">
        <v>4156</v>
      </c>
      <c r="J975" t="s">
        <v>4155</v>
      </c>
      <c r="K975" t="s">
        <v>26</v>
      </c>
      <c r="L975">
        <v>3069.11</v>
      </c>
      <c r="M975" t="s">
        <v>64</v>
      </c>
      <c r="N975">
        <v>157</v>
      </c>
      <c r="O975" t="s">
        <v>77</v>
      </c>
    </row>
    <row r="976" spans="1:15" x14ac:dyDescent="0.3">
      <c r="A976" t="s">
        <v>4154</v>
      </c>
      <c r="B976" t="s">
        <v>4153</v>
      </c>
      <c r="C976" t="s">
        <v>60</v>
      </c>
      <c r="D976">
        <v>76</v>
      </c>
      <c r="E976" t="s">
        <v>21</v>
      </c>
      <c r="F976" t="s">
        <v>20</v>
      </c>
      <c r="G976" s="1">
        <v>46007</v>
      </c>
      <c r="H976" s="1">
        <v>45989</v>
      </c>
      <c r="I976" t="s">
        <v>4152</v>
      </c>
      <c r="J976" t="s">
        <v>4151</v>
      </c>
      <c r="K976" t="s">
        <v>57</v>
      </c>
      <c r="L976">
        <v>3359.95</v>
      </c>
      <c r="M976" t="s">
        <v>17</v>
      </c>
      <c r="N976">
        <v>294</v>
      </c>
      <c r="O976" t="s">
        <v>34</v>
      </c>
    </row>
    <row r="977" spans="1:15" x14ac:dyDescent="0.3">
      <c r="A977" t="s">
        <v>4150</v>
      </c>
      <c r="B977" t="s">
        <v>4149</v>
      </c>
      <c r="C977" t="s">
        <v>40</v>
      </c>
      <c r="D977">
        <v>40</v>
      </c>
      <c r="E977" t="s">
        <v>47</v>
      </c>
      <c r="F977" t="s">
        <v>38</v>
      </c>
      <c r="G977" s="1">
        <v>46103</v>
      </c>
      <c r="H977" s="1">
        <v>46076</v>
      </c>
      <c r="I977" t="s">
        <v>4148</v>
      </c>
      <c r="J977" t="s">
        <v>4147</v>
      </c>
      <c r="L977">
        <v>24500.27</v>
      </c>
      <c r="M977" t="s">
        <v>17</v>
      </c>
      <c r="N977">
        <v>494</v>
      </c>
      <c r="O977" t="s">
        <v>43</v>
      </c>
    </row>
    <row r="978" spans="1:15" x14ac:dyDescent="0.3">
      <c r="A978" t="s">
        <v>4146</v>
      </c>
      <c r="B978" t="s">
        <v>4145</v>
      </c>
      <c r="C978" t="s">
        <v>0</v>
      </c>
      <c r="D978">
        <v>67</v>
      </c>
      <c r="E978" t="s">
        <v>21</v>
      </c>
      <c r="F978" t="s">
        <v>20</v>
      </c>
      <c r="G978" s="1">
        <v>46086</v>
      </c>
      <c r="H978" s="1">
        <v>46074</v>
      </c>
      <c r="I978" t="s">
        <v>4144</v>
      </c>
      <c r="J978" t="s">
        <v>4143</v>
      </c>
      <c r="K978" t="s">
        <v>27</v>
      </c>
      <c r="L978">
        <v>13549.66</v>
      </c>
      <c r="N978">
        <v>261</v>
      </c>
      <c r="O978" t="s">
        <v>71</v>
      </c>
    </row>
    <row r="979" spans="1:15" x14ac:dyDescent="0.3">
      <c r="A979" t="s">
        <v>4142</v>
      </c>
      <c r="B979" t="s">
        <v>4141</v>
      </c>
      <c r="C979" t="s">
        <v>22</v>
      </c>
      <c r="D979">
        <v>29</v>
      </c>
      <c r="E979" t="s">
        <v>68</v>
      </c>
      <c r="F979" t="s">
        <v>85</v>
      </c>
      <c r="G979" s="1">
        <v>46042</v>
      </c>
      <c r="H979" s="1">
        <v>46038</v>
      </c>
      <c r="I979" t="s">
        <v>4140</v>
      </c>
      <c r="J979" t="s">
        <v>4139</v>
      </c>
      <c r="K979" t="s">
        <v>26</v>
      </c>
      <c r="L979">
        <v>3817.59</v>
      </c>
      <c r="M979" t="s">
        <v>27</v>
      </c>
      <c r="N979">
        <v>406</v>
      </c>
      <c r="O979" t="s">
        <v>43</v>
      </c>
    </row>
    <row r="980" spans="1:15" x14ac:dyDescent="0.3">
      <c r="A980" t="s">
        <v>4138</v>
      </c>
      <c r="B980" t="s">
        <v>4137</v>
      </c>
      <c r="C980" t="s">
        <v>22</v>
      </c>
      <c r="D980">
        <v>65</v>
      </c>
      <c r="E980" t="s">
        <v>80</v>
      </c>
      <c r="F980" t="s">
        <v>30</v>
      </c>
      <c r="G980" s="1">
        <v>46131</v>
      </c>
      <c r="H980" s="1">
        <v>46104</v>
      </c>
      <c r="I980" t="s">
        <v>4136</v>
      </c>
      <c r="J980" t="s">
        <v>4135</v>
      </c>
      <c r="L980">
        <v>15850.71</v>
      </c>
      <c r="M980" t="s">
        <v>57</v>
      </c>
      <c r="N980">
        <v>353</v>
      </c>
      <c r="O980" t="s">
        <v>43</v>
      </c>
    </row>
    <row r="981" spans="1:15" x14ac:dyDescent="0.3">
      <c r="A981" t="s">
        <v>4134</v>
      </c>
      <c r="B981" t="s">
        <v>4133</v>
      </c>
      <c r="C981" t="s">
        <v>123</v>
      </c>
      <c r="D981">
        <v>8</v>
      </c>
      <c r="E981" t="s">
        <v>31</v>
      </c>
      <c r="F981" t="s">
        <v>53</v>
      </c>
      <c r="G981" s="1">
        <v>46137</v>
      </c>
      <c r="H981" s="1">
        <v>46111</v>
      </c>
      <c r="I981" t="s">
        <v>4132</v>
      </c>
      <c r="J981" t="s">
        <v>4131</v>
      </c>
      <c r="K981" t="s">
        <v>17</v>
      </c>
      <c r="L981">
        <v>21232.13</v>
      </c>
      <c r="M981" t="s">
        <v>57</v>
      </c>
      <c r="N981">
        <v>458</v>
      </c>
      <c r="O981" t="s">
        <v>25</v>
      </c>
    </row>
    <row r="982" spans="1:15" x14ac:dyDescent="0.3">
      <c r="A982" t="s">
        <v>4130</v>
      </c>
      <c r="B982" t="s">
        <v>4129</v>
      </c>
      <c r="C982" t="s">
        <v>40</v>
      </c>
      <c r="D982">
        <v>23</v>
      </c>
      <c r="E982" t="s">
        <v>68</v>
      </c>
      <c r="F982" t="s">
        <v>90</v>
      </c>
      <c r="G982" s="1">
        <v>46015</v>
      </c>
      <c r="H982" s="1">
        <v>46006</v>
      </c>
      <c r="I982" t="s">
        <v>4128</v>
      </c>
      <c r="J982" t="s">
        <v>4127</v>
      </c>
      <c r="K982" t="s">
        <v>35</v>
      </c>
      <c r="L982">
        <v>24778.37</v>
      </c>
      <c r="N982">
        <v>272</v>
      </c>
      <c r="O982" t="s">
        <v>16</v>
      </c>
    </row>
    <row r="983" spans="1:15" x14ac:dyDescent="0.3">
      <c r="A983" t="s">
        <v>4126</v>
      </c>
      <c r="B983" t="s">
        <v>4125</v>
      </c>
      <c r="D983">
        <v>45</v>
      </c>
      <c r="E983" t="s">
        <v>54</v>
      </c>
      <c r="F983" t="s">
        <v>90</v>
      </c>
      <c r="G983" s="1">
        <v>45996</v>
      </c>
      <c r="H983" s="1">
        <v>45994</v>
      </c>
      <c r="I983" t="s">
        <v>4124</v>
      </c>
      <c r="J983" t="s">
        <v>4123</v>
      </c>
      <c r="K983" t="s">
        <v>26</v>
      </c>
      <c r="L983">
        <v>7202.63</v>
      </c>
      <c r="M983" t="s">
        <v>57</v>
      </c>
      <c r="N983">
        <v>458</v>
      </c>
      <c r="O983" t="s">
        <v>50</v>
      </c>
    </row>
    <row r="984" spans="1:15" x14ac:dyDescent="0.3">
      <c r="A984" t="s">
        <v>4122</v>
      </c>
      <c r="B984" t="s">
        <v>4121</v>
      </c>
      <c r="C984" t="s">
        <v>123</v>
      </c>
      <c r="D984">
        <v>13</v>
      </c>
      <c r="E984" t="s">
        <v>39</v>
      </c>
      <c r="F984" t="s">
        <v>67</v>
      </c>
      <c r="G984" s="1">
        <v>46122</v>
      </c>
      <c r="H984" s="1">
        <v>46098</v>
      </c>
      <c r="I984" t="s">
        <v>4120</v>
      </c>
      <c r="J984" t="s">
        <v>4119</v>
      </c>
      <c r="K984" t="s">
        <v>27</v>
      </c>
      <c r="L984">
        <v>21275.279999999999</v>
      </c>
      <c r="M984" t="s">
        <v>63</v>
      </c>
      <c r="N984">
        <v>334</v>
      </c>
      <c r="O984" t="s">
        <v>25</v>
      </c>
    </row>
    <row r="985" spans="1:15" x14ac:dyDescent="0.3">
      <c r="A985" t="s">
        <v>4118</v>
      </c>
      <c r="B985" t="s">
        <v>4117</v>
      </c>
      <c r="C985" t="s">
        <v>0</v>
      </c>
      <c r="D985">
        <v>74</v>
      </c>
      <c r="E985" t="s">
        <v>39</v>
      </c>
      <c r="F985" t="s">
        <v>85</v>
      </c>
      <c r="G985" s="1">
        <v>46126</v>
      </c>
      <c r="H985" s="1">
        <v>46104</v>
      </c>
      <c r="I985" t="s">
        <v>4116</v>
      </c>
      <c r="J985" t="s">
        <v>4115</v>
      </c>
      <c r="L985">
        <v>7418.82</v>
      </c>
      <c r="M985" t="s">
        <v>26</v>
      </c>
      <c r="N985">
        <v>207</v>
      </c>
      <c r="O985" t="s">
        <v>71</v>
      </c>
    </row>
    <row r="986" spans="1:15" x14ac:dyDescent="0.3">
      <c r="A986" t="s">
        <v>4114</v>
      </c>
      <c r="B986" t="s">
        <v>4113</v>
      </c>
      <c r="C986" t="s">
        <v>1</v>
      </c>
      <c r="D986">
        <v>84</v>
      </c>
      <c r="E986" t="s">
        <v>47</v>
      </c>
      <c r="F986" t="s">
        <v>67</v>
      </c>
      <c r="G986" s="1">
        <v>46140</v>
      </c>
      <c r="H986" s="1">
        <v>46117</v>
      </c>
      <c r="I986" t="s">
        <v>4112</v>
      </c>
      <c r="J986" t="s">
        <v>4111</v>
      </c>
      <c r="K986" t="s">
        <v>64</v>
      </c>
      <c r="L986">
        <v>17022.28</v>
      </c>
      <c r="M986" t="s">
        <v>26</v>
      </c>
      <c r="N986">
        <v>292</v>
      </c>
      <c r="O986" t="s">
        <v>16</v>
      </c>
    </row>
    <row r="987" spans="1:15" x14ac:dyDescent="0.3">
      <c r="A987" t="s">
        <v>4110</v>
      </c>
      <c r="B987" t="s">
        <v>4109</v>
      </c>
      <c r="C987" t="s">
        <v>0</v>
      </c>
      <c r="D987">
        <v>8</v>
      </c>
      <c r="E987" t="s">
        <v>80</v>
      </c>
      <c r="F987" t="s">
        <v>67</v>
      </c>
      <c r="G987" s="1">
        <v>46007</v>
      </c>
      <c r="H987" s="1">
        <v>45992</v>
      </c>
      <c r="I987" t="s">
        <v>4108</v>
      </c>
      <c r="J987" t="s">
        <v>4107</v>
      </c>
      <c r="K987" t="s">
        <v>35</v>
      </c>
      <c r="L987">
        <v>23637.57</v>
      </c>
      <c r="M987" t="s">
        <v>64</v>
      </c>
      <c r="N987">
        <v>363</v>
      </c>
      <c r="O987" t="s">
        <v>25</v>
      </c>
    </row>
    <row r="988" spans="1:15" x14ac:dyDescent="0.3">
      <c r="A988" t="s">
        <v>4106</v>
      </c>
      <c r="B988" t="s">
        <v>4105</v>
      </c>
      <c r="C988" t="s">
        <v>60</v>
      </c>
      <c r="D988">
        <v>-5</v>
      </c>
      <c r="E988" t="s">
        <v>54</v>
      </c>
      <c r="F988" t="s">
        <v>53</v>
      </c>
      <c r="G988" s="1">
        <v>46094</v>
      </c>
      <c r="H988" s="1">
        <v>46074</v>
      </c>
      <c r="I988" t="s">
        <v>4104</v>
      </c>
      <c r="J988" t="s">
        <v>4103</v>
      </c>
      <c r="L988">
        <v>6276.02</v>
      </c>
      <c r="M988" t="s">
        <v>64</v>
      </c>
      <c r="N988">
        <v>223</v>
      </c>
      <c r="O988" t="s">
        <v>16</v>
      </c>
    </row>
    <row r="989" spans="1:15" x14ac:dyDescent="0.3">
      <c r="A989" t="s">
        <v>4102</v>
      </c>
      <c r="B989" t="s">
        <v>4101</v>
      </c>
      <c r="D989">
        <v>39</v>
      </c>
      <c r="E989" t="s">
        <v>39</v>
      </c>
      <c r="F989" t="s">
        <v>90</v>
      </c>
      <c r="G989" s="1">
        <v>46099</v>
      </c>
      <c r="H989" s="1">
        <v>46075</v>
      </c>
      <c r="I989" t="s">
        <v>4100</v>
      </c>
      <c r="J989" t="s">
        <v>4099</v>
      </c>
      <c r="K989" t="s">
        <v>64</v>
      </c>
      <c r="L989">
        <v>19487.72</v>
      </c>
      <c r="N989">
        <v>240</v>
      </c>
      <c r="O989" t="s">
        <v>25</v>
      </c>
    </row>
    <row r="990" spans="1:15" x14ac:dyDescent="0.3">
      <c r="A990" t="s">
        <v>4098</v>
      </c>
      <c r="B990" t="s">
        <v>4097</v>
      </c>
      <c r="D990">
        <v>48</v>
      </c>
      <c r="E990" t="s">
        <v>47</v>
      </c>
      <c r="F990" t="s">
        <v>20</v>
      </c>
      <c r="G990" s="1">
        <v>45982</v>
      </c>
      <c r="H990" s="1">
        <v>45979</v>
      </c>
      <c r="I990" t="s">
        <v>4096</v>
      </c>
      <c r="J990" t="s">
        <v>4095</v>
      </c>
      <c r="K990" t="s">
        <v>64</v>
      </c>
      <c r="L990">
        <v>3226.88</v>
      </c>
      <c r="M990" t="s">
        <v>57</v>
      </c>
      <c r="N990">
        <v>111</v>
      </c>
      <c r="O990" t="s">
        <v>34</v>
      </c>
    </row>
    <row r="991" spans="1:15" x14ac:dyDescent="0.3">
      <c r="A991" t="s">
        <v>4094</v>
      </c>
      <c r="B991" t="s">
        <v>4093</v>
      </c>
      <c r="D991">
        <v>36</v>
      </c>
      <c r="E991" t="s">
        <v>80</v>
      </c>
      <c r="F991" t="s">
        <v>53</v>
      </c>
      <c r="G991" s="1">
        <v>46112</v>
      </c>
      <c r="H991" s="1">
        <v>46100</v>
      </c>
      <c r="I991" t="s">
        <v>4092</v>
      </c>
      <c r="J991" t="s">
        <v>4091</v>
      </c>
      <c r="L991">
        <v>24998.86</v>
      </c>
      <c r="N991">
        <v>252</v>
      </c>
      <c r="O991" t="s">
        <v>34</v>
      </c>
    </row>
    <row r="992" spans="1:15" x14ac:dyDescent="0.3">
      <c r="A992" t="s">
        <v>4090</v>
      </c>
      <c r="B992" t="s">
        <v>4089</v>
      </c>
      <c r="C992" t="s">
        <v>0</v>
      </c>
      <c r="D992">
        <v>13</v>
      </c>
      <c r="E992" t="s">
        <v>31</v>
      </c>
      <c r="F992" t="s">
        <v>20</v>
      </c>
      <c r="G992" s="1">
        <v>46119</v>
      </c>
      <c r="H992" s="1">
        <v>46097</v>
      </c>
      <c r="I992" t="s">
        <v>4088</v>
      </c>
      <c r="J992" t="s">
        <v>4087</v>
      </c>
      <c r="K992" t="s">
        <v>35</v>
      </c>
      <c r="L992">
        <v>10252.200000000001</v>
      </c>
      <c r="M992" t="s">
        <v>27</v>
      </c>
      <c r="N992">
        <v>301</v>
      </c>
      <c r="O992" t="s">
        <v>34</v>
      </c>
    </row>
    <row r="993" spans="1:15" x14ac:dyDescent="0.3">
      <c r="A993" t="s">
        <v>4086</v>
      </c>
      <c r="B993" t="s">
        <v>4085</v>
      </c>
      <c r="D993">
        <v>9</v>
      </c>
      <c r="E993" t="s">
        <v>80</v>
      </c>
      <c r="F993" t="s">
        <v>38</v>
      </c>
      <c r="G993" s="1">
        <v>46155</v>
      </c>
      <c r="H993" s="1">
        <v>46125</v>
      </c>
      <c r="I993" t="s">
        <v>4084</v>
      </c>
      <c r="J993" t="s">
        <v>4083</v>
      </c>
      <c r="K993" t="s">
        <v>64</v>
      </c>
      <c r="L993">
        <v>4680.47</v>
      </c>
      <c r="M993" t="s">
        <v>26</v>
      </c>
      <c r="N993">
        <v>102</v>
      </c>
      <c r="O993" t="s">
        <v>34</v>
      </c>
    </row>
    <row r="994" spans="1:15" x14ac:dyDescent="0.3">
      <c r="A994" t="s">
        <v>4082</v>
      </c>
      <c r="B994" t="s">
        <v>4081</v>
      </c>
      <c r="D994">
        <v>41</v>
      </c>
      <c r="E994" t="s">
        <v>80</v>
      </c>
      <c r="F994" t="s">
        <v>46</v>
      </c>
      <c r="G994" s="1">
        <v>46032</v>
      </c>
      <c r="H994" s="1">
        <v>46028</v>
      </c>
      <c r="I994" t="s">
        <v>4080</v>
      </c>
      <c r="J994" t="s">
        <v>4079</v>
      </c>
      <c r="K994" t="s">
        <v>17</v>
      </c>
      <c r="L994">
        <v>16385.48</v>
      </c>
      <c r="M994" t="s">
        <v>64</v>
      </c>
      <c r="N994">
        <v>387</v>
      </c>
      <c r="O994" t="s">
        <v>43</v>
      </c>
    </row>
    <row r="995" spans="1:15" x14ac:dyDescent="0.3">
      <c r="A995" t="s">
        <v>4078</v>
      </c>
      <c r="B995" t="s">
        <v>4077</v>
      </c>
      <c r="C995" t="s">
        <v>40</v>
      </c>
      <c r="D995">
        <v>11</v>
      </c>
      <c r="E995" t="s">
        <v>80</v>
      </c>
      <c r="F995" t="s">
        <v>30</v>
      </c>
      <c r="G995" s="1">
        <v>46052</v>
      </c>
      <c r="H995" s="1">
        <v>46041</v>
      </c>
      <c r="I995" t="s">
        <v>4076</v>
      </c>
      <c r="J995" t="s">
        <v>4075</v>
      </c>
      <c r="K995" t="s">
        <v>35</v>
      </c>
      <c r="L995">
        <v>10691.67</v>
      </c>
      <c r="M995" t="s">
        <v>27</v>
      </c>
      <c r="N995">
        <v>227</v>
      </c>
      <c r="O995" t="s">
        <v>43</v>
      </c>
    </row>
    <row r="996" spans="1:15" x14ac:dyDescent="0.3">
      <c r="A996" t="s">
        <v>4074</v>
      </c>
      <c r="B996" t="s">
        <v>4073</v>
      </c>
      <c r="C996" t="s">
        <v>40</v>
      </c>
      <c r="D996">
        <v>67</v>
      </c>
      <c r="E996" t="s">
        <v>132</v>
      </c>
      <c r="F996" t="s">
        <v>85</v>
      </c>
      <c r="G996" s="1">
        <v>46138</v>
      </c>
      <c r="H996" s="1">
        <v>46134</v>
      </c>
      <c r="I996" t="s">
        <v>4072</v>
      </c>
      <c r="J996" t="s">
        <v>4071</v>
      </c>
      <c r="L996">
        <v>17438.52</v>
      </c>
      <c r="M996" t="s">
        <v>17</v>
      </c>
      <c r="N996">
        <v>410</v>
      </c>
      <c r="O996" t="s">
        <v>34</v>
      </c>
    </row>
    <row r="997" spans="1:15" x14ac:dyDescent="0.3">
      <c r="A997" t="s">
        <v>4070</v>
      </c>
      <c r="B997" t="s">
        <v>4069</v>
      </c>
      <c r="C997" t="s">
        <v>1</v>
      </c>
      <c r="D997">
        <v>89</v>
      </c>
      <c r="E997" t="s">
        <v>80</v>
      </c>
      <c r="F997" t="s">
        <v>46</v>
      </c>
      <c r="G997" s="1">
        <v>46062</v>
      </c>
      <c r="H997" s="1">
        <v>46055</v>
      </c>
      <c r="I997" t="s">
        <v>4068</v>
      </c>
      <c r="J997" t="s">
        <v>4067</v>
      </c>
      <c r="K997" t="s">
        <v>27</v>
      </c>
      <c r="L997">
        <v>4864.2299999999996</v>
      </c>
      <c r="M997" t="s">
        <v>63</v>
      </c>
      <c r="N997">
        <v>538</v>
      </c>
      <c r="O997" t="s">
        <v>50</v>
      </c>
    </row>
    <row r="998" spans="1:15" x14ac:dyDescent="0.3">
      <c r="A998" t="s">
        <v>4066</v>
      </c>
      <c r="B998" t="s">
        <v>4065</v>
      </c>
      <c r="C998" t="s">
        <v>1</v>
      </c>
      <c r="D998">
        <v>18</v>
      </c>
      <c r="E998" t="s">
        <v>21</v>
      </c>
      <c r="F998" t="s">
        <v>67</v>
      </c>
      <c r="G998" s="1">
        <v>46113</v>
      </c>
      <c r="H998" s="1">
        <v>46105</v>
      </c>
      <c r="I998" t="s">
        <v>4064</v>
      </c>
      <c r="J998" t="s">
        <v>4063</v>
      </c>
      <c r="K998" t="s">
        <v>35</v>
      </c>
      <c r="L998">
        <v>18281.79</v>
      </c>
      <c r="N998">
        <v>138</v>
      </c>
      <c r="O998" t="s">
        <v>34</v>
      </c>
    </row>
    <row r="999" spans="1:15" x14ac:dyDescent="0.3">
      <c r="A999" t="s">
        <v>4062</v>
      </c>
      <c r="B999" t="s">
        <v>4061</v>
      </c>
      <c r="C999" t="s">
        <v>22</v>
      </c>
      <c r="D999">
        <v>34</v>
      </c>
      <c r="E999" t="s">
        <v>54</v>
      </c>
      <c r="F999" t="s">
        <v>53</v>
      </c>
      <c r="G999" s="1">
        <v>46079</v>
      </c>
      <c r="H999" s="1">
        <v>46067</v>
      </c>
      <c r="I999" t="s">
        <v>4060</v>
      </c>
      <c r="J999" t="s">
        <v>4059</v>
      </c>
      <c r="L999">
        <v>2264.6999999999998</v>
      </c>
      <c r="M999" t="s">
        <v>63</v>
      </c>
      <c r="N999">
        <v>446</v>
      </c>
      <c r="O999" t="s">
        <v>16</v>
      </c>
    </row>
    <row r="1000" spans="1:15" x14ac:dyDescent="0.3">
      <c r="A1000" t="s">
        <v>4058</v>
      </c>
      <c r="B1000" t="s">
        <v>4057</v>
      </c>
      <c r="C1000" t="s">
        <v>0</v>
      </c>
      <c r="D1000">
        <v>69</v>
      </c>
      <c r="E1000" t="s">
        <v>21</v>
      </c>
      <c r="F1000" t="s">
        <v>20</v>
      </c>
      <c r="G1000" s="1">
        <v>46050</v>
      </c>
      <c r="H1000" s="1">
        <v>46030</v>
      </c>
      <c r="I1000" t="s">
        <v>4056</v>
      </c>
      <c r="J1000" t="s">
        <v>4055</v>
      </c>
      <c r="K1000" t="s">
        <v>26</v>
      </c>
      <c r="L1000">
        <v>24884.91</v>
      </c>
      <c r="M1000" t="s">
        <v>57</v>
      </c>
      <c r="N1000">
        <v>465</v>
      </c>
      <c r="O1000" t="s">
        <v>43</v>
      </c>
    </row>
    <row r="1001" spans="1:15" x14ac:dyDescent="0.3">
      <c r="A1001" t="s">
        <v>4054</v>
      </c>
      <c r="B1001" t="s">
        <v>4053</v>
      </c>
      <c r="C1001" t="s">
        <v>0</v>
      </c>
      <c r="D1001">
        <v>54</v>
      </c>
      <c r="E1001" t="s">
        <v>39</v>
      </c>
      <c r="F1001" t="s">
        <v>67</v>
      </c>
      <c r="G1001" s="1">
        <v>46144</v>
      </c>
      <c r="H1001" s="1">
        <v>46119</v>
      </c>
      <c r="I1001" t="s">
        <v>4052</v>
      </c>
      <c r="J1001" t="s">
        <v>4051</v>
      </c>
      <c r="L1001">
        <v>9597.76</v>
      </c>
      <c r="M1001" t="s">
        <v>57</v>
      </c>
      <c r="N1001">
        <v>139</v>
      </c>
      <c r="O1001" t="s">
        <v>43</v>
      </c>
    </row>
    <row r="1002" spans="1:15" x14ac:dyDescent="0.3">
      <c r="A1002" t="s">
        <v>4050</v>
      </c>
      <c r="B1002" t="s">
        <v>4049</v>
      </c>
      <c r="C1002" t="s">
        <v>74</v>
      </c>
      <c r="D1002">
        <v>69</v>
      </c>
      <c r="E1002" t="s">
        <v>80</v>
      </c>
      <c r="F1002" t="s">
        <v>90</v>
      </c>
      <c r="G1002" s="1">
        <v>46069</v>
      </c>
      <c r="H1002" s="1">
        <v>46067</v>
      </c>
      <c r="I1002" t="s">
        <v>4048</v>
      </c>
      <c r="J1002" t="s">
        <v>4047</v>
      </c>
      <c r="K1002" t="s">
        <v>57</v>
      </c>
      <c r="L1002">
        <v>16076.4</v>
      </c>
      <c r="M1002" t="s">
        <v>17</v>
      </c>
      <c r="N1002">
        <v>270</v>
      </c>
      <c r="O1002" t="s">
        <v>50</v>
      </c>
    </row>
    <row r="1003" spans="1:15" x14ac:dyDescent="0.3">
      <c r="A1003" t="s">
        <v>4046</v>
      </c>
      <c r="B1003" t="s">
        <v>4045</v>
      </c>
      <c r="C1003" t="s">
        <v>22</v>
      </c>
      <c r="D1003">
        <v>19</v>
      </c>
      <c r="E1003" t="s">
        <v>21</v>
      </c>
      <c r="F1003" t="s">
        <v>30</v>
      </c>
      <c r="G1003" s="1">
        <v>46145</v>
      </c>
      <c r="H1003" s="1">
        <v>46145</v>
      </c>
      <c r="I1003" t="s">
        <v>4044</v>
      </c>
      <c r="J1003" t="s">
        <v>4043</v>
      </c>
      <c r="K1003" t="s">
        <v>64</v>
      </c>
      <c r="L1003">
        <v>9553.4699999999993</v>
      </c>
      <c r="M1003" t="s">
        <v>57</v>
      </c>
      <c r="N1003">
        <v>293</v>
      </c>
      <c r="O1003" t="s">
        <v>77</v>
      </c>
    </row>
    <row r="1004" spans="1:15" x14ac:dyDescent="0.3">
      <c r="A1004" t="s">
        <v>4042</v>
      </c>
      <c r="B1004" t="s">
        <v>4041</v>
      </c>
      <c r="C1004" t="s">
        <v>74</v>
      </c>
      <c r="D1004">
        <v>23</v>
      </c>
      <c r="E1004" t="s">
        <v>132</v>
      </c>
      <c r="F1004" t="s">
        <v>85</v>
      </c>
      <c r="G1004" s="1">
        <v>46127</v>
      </c>
      <c r="H1004" s="1">
        <v>46124</v>
      </c>
      <c r="I1004" t="s">
        <v>4040</v>
      </c>
      <c r="J1004" t="s">
        <v>4039</v>
      </c>
      <c r="K1004" t="s">
        <v>57</v>
      </c>
      <c r="L1004">
        <v>17571.3</v>
      </c>
      <c r="M1004" t="s">
        <v>63</v>
      </c>
      <c r="N1004">
        <v>382</v>
      </c>
      <c r="O1004" t="s">
        <v>43</v>
      </c>
    </row>
    <row r="1005" spans="1:15" x14ac:dyDescent="0.3">
      <c r="A1005" t="s">
        <v>4038</v>
      </c>
      <c r="B1005" t="s">
        <v>4037</v>
      </c>
      <c r="C1005" t="s">
        <v>74</v>
      </c>
      <c r="D1005">
        <v>7</v>
      </c>
      <c r="E1005" t="s">
        <v>39</v>
      </c>
      <c r="F1005" t="s">
        <v>67</v>
      </c>
      <c r="G1005" s="1">
        <v>46170</v>
      </c>
      <c r="H1005" s="1">
        <v>46140</v>
      </c>
      <c r="I1005" t="s">
        <v>4036</v>
      </c>
      <c r="J1005" t="s">
        <v>4035</v>
      </c>
      <c r="L1005">
        <v>4680.68</v>
      </c>
      <c r="N1005">
        <v>344</v>
      </c>
      <c r="O1005" t="s">
        <v>34</v>
      </c>
    </row>
    <row r="1006" spans="1:15" x14ac:dyDescent="0.3">
      <c r="A1006" t="s">
        <v>4034</v>
      </c>
      <c r="B1006" t="s">
        <v>4033</v>
      </c>
      <c r="C1006" t="s">
        <v>0</v>
      </c>
      <c r="D1006">
        <v>34</v>
      </c>
      <c r="E1006" t="s">
        <v>47</v>
      </c>
      <c r="F1006" t="s">
        <v>53</v>
      </c>
      <c r="G1006" s="1">
        <v>46133</v>
      </c>
      <c r="H1006" s="1">
        <v>46112</v>
      </c>
      <c r="I1006" t="s">
        <v>4032</v>
      </c>
      <c r="J1006" t="s">
        <v>4031</v>
      </c>
      <c r="K1006" t="s">
        <v>35</v>
      </c>
      <c r="L1006">
        <v>3738.22</v>
      </c>
      <c r="M1006" t="s">
        <v>63</v>
      </c>
      <c r="N1006">
        <v>127</v>
      </c>
      <c r="O1006" t="s">
        <v>25</v>
      </c>
    </row>
    <row r="1007" spans="1:15" x14ac:dyDescent="0.3">
      <c r="A1007" t="s">
        <v>4030</v>
      </c>
      <c r="B1007" t="s">
        <v>4029</v>
      </c>
      <c r="C1007" t="s">
        <v>60</v>
      </c>
      <c r="D1007">
        <v>32</v>
      </c>
      <c r="E1007" t="s">
        <v>54</v>
      </c>
      <c r="F1007" t="s">
        <v>85</v>
      </c>
      <c r="G1007" s="1">
        <v>46132</v>
      </c>
      <c r="H1007" s="1">
        <v>46127</v>
      </c>
      <c r="I1007" t="s">
        <v>4028</v>
      </c>
      <c r="J1007" t="s">
        <v>4027</v>
      </c>
      <c r="L1007">
        <v>24658.91</v>
      </c>
      <c r="N1007">
        <v>357</v>
      </c>
      <c r="O1007" t="s">
        <v>43</v>
      </c>
    </row>
    <row r="1008" spans="1:15" x14ac:dyDescent="0.3">
      <c r="A1008" t="s">
        <v>4026</v>
      </c>
      <c r="B1008" t="s">
        <v>4025</v>
      </c>
      <c r="C1008" t="s">
        <v>22</v>
      </c>
      <c r="D1008">
        <v>55</v>
      </c>
      <c r="E1008" t="s">
        <v>21</v>
      </c>
      <c r="F1008" t="s">
        <v>30</v>
      </c>
      <c r="G1008" s="1">
        <v>46154</v>
      </c>
      <c r="H1008" s="1">
        <v>46134</v>
      </c>
      <c r="I1008" t="s">
        <v>4024</v>
      </c>
      <c r="J1008" t="s">
        <v>4023</v>
      </c>
      <c r="K1008" t="s">
        <v>64</v>
      </c>
      <c r="L1008">
        <v>23696.880000000001</v>
      </c>
      <c r="N1008">
        <v>494</v>
      </c>
      <c r="O1008" t="s">
        <v>43</v>
      </c>
    </row>
    <row r="1010" spans="1:15" x14ac:dyDescent="0.3">
      <c r="A1010" t="s">
        <v>4022</v>
      </c>
      <c r="B1010" t="s">
        <v>4021</v>
      </c>
      <c r="C1010" t="s">
        <v>74</v>
      </c>
      <c r="D1010">
        <v>82</v>
      </c>
      <c r="E1010" t="s">
        <v>80</v>
      </c>
      <c r="F1010" t="s">
        <v>20</v>
      </c>
      <c r="G1010" s="1">
        <v>46153</v>
      </c>
      <c r="H1010" s="1">
        <v>46130</v>
      </c>
      <c r="I1010" t="s">
        <v>4020</v>
      </c>
      <c r="J1010" t="s">
        <v>4019</v>
      </c>
      <c r="K1010" t="s">
        <v>17</v>
      </c>
      <c r="L1010">
        <v>23632.7</v>
      </c>
      <c r="M1010" t="s">
        <v>26</v>
      </c>
      <c r="N1010">
        <v>394</v>
      </c>
      <c r="O1010" t="s">
        <v>77</v>
      </c>
    </row>
    <row r="1011" spans="1:15" x14ac:dyDescent="0.3">
      <c r="A1011" t="s">
        <v>4018</v>
      </c>
      <c r="B1011" t="s">
        <v>4017</v>
      </c>
      <c r="C1011" t="s">
        <v>74</v>
      </c>
      <c r="D1011">
        <v>37</v>
      </c>
      <c r="E1011" t="s">
        <v>68</v>
      </c>
      <c r="F1011" t="s">
        <v>46</v>
      </c>
      <c r="G1011" s="1">
        <v>46035</v>
      </c>
      <c r="H1011" s="1">
        <v>46005</v>
      </c>
      <c r="I1011" t="s">
        <v>4016</v>
      </c>
      <c r="J1011" t="s">
        <v>4015</v>
      </c>
      <c r="L1011">
        <v>16990.419999999998</v>
      </c>
      <c r="M1011" t="s">
        <v>26</v>
      </c>
      <c r="N1011">
        <v>345</v>
      </c>
      <c r="O1011" t="s">
        <v>16</v>
      </c>
    </row>
    <row r="1012" spans="1:15" x14ac:dyDescent="0.3">
      <c r="A1012" t="s">
        <v>4014</v>
      </c>
      <c r="B1012" t="s">
        <v>4013</v>
      </c>
      <c r="C1012" t="s">
        <v>74</v>
      </c>
      <c r="D1012">
        <v>52</v>
      </c>
      <c r="E1012" t="s">
        <v>47</v>
      </c>
      <c r="F1012" t="s">
        <v>38</v>
      </c>
      <c r="G1012" s="1">
        <v>46148</v>
      </c>
      <c r="H1012" s="1">
        <v>46119</v>
      </c>
      <c r="I1012" t="s">
        <v>4012</v>
      </c>
      <c r="J1012" t="s">
        <v>4011</v>
      </c>
      <c r="K1012" t="s">
        <v>27</v>
      </c>
      <c r="L1012">
        <v>17911.169999999998</v>
      </c>
      <c r="M1012" t="s">
        <v>17</v>
      </c>
      <c r="N1012">
        <v>225</v>
      </c>
      <c r="O1012" t="s">
        <v>25</v>
      </c>
    </row>
    <row r="1013" spans="1:15" x14ac:dyDescent="0.3">
      <c r="A1013" t="s">
        <v>4010</v>
      </c>
      <c r="B1013" t="s">
        <v>4009</v>
      </c>
      <c r="C1013" t="s">
        <v>40</v>
      </c>
      <c r="D1013">
        <v>78</v>
      </c>
      <c r="E1013" t="s">
        <v>68</v>
      </c>
      <c r="F1013" t="s">
        <v>53</v>
      </c>
      <c r="G1013" s="1">
        <v>46097</v>
      </c>
      <c r="H1013" s="1">
        <v>46076</v>
      </c>
      <c r="I1013" t="s">
        <v>4008</v>
      </c>
      <c r="J1013" t="s">
        <v>4007</v>
      </c>
      <c r="K1013" t="s">
        <v>17</v>
      </c>
      <c r="L1013">
        <v>4535.3900000000003</v>
      </c>
      <c r="M1013" t="s">
        <v>17</v>
      </c>
      <c r="N1013">
        <v>529</v>
      </c>
      <c r="O1013" t="s">
        <v>71</v>
      </c>
    </row>
    <row r="1014" spans="1:15" x14ac:dyDescent="0.3">
      <c r="A1014" t="s">
        <v>4006</v>
      </c>
      <c r="B1014" t="s">
        <v>4005</v>
      </c>
      <c r="C1014" t="s">
        <v>60</v>
      </c>
      <c r="D1014">
        <v>7</v>
      </c>
      <c r="E1014" t="s">
        <v>54</v>
      </c>
      <c r="F1014" t="s">
        <v>85</v>
      </c>
      <c r="G1014" s="1">
        <v>46010</v>
      </c>
      <c r="H1014" s="1">
        <v>45998</v>
      </c>
      <c r="I1014" t="s">
        <v>4004</v>
      </c>
      <c r="J1014" t="s">
        <v>4003</v>
      </c>
      <c r="K1014" t="s">
        <v>35</v>
      </c>
      <c r="L1014">
        <v>9457.44</v>
      </c>
      <c r="M1014" t="s">
        <v>64</v>
      </c>
      <c r="N1014">
        <v>273</v>
      </c>
      <c r="O1014" t="s">
        <v>25</v>
      </c>
    </row>
    <row r="1015" spans="1:15" x14ac:dyDescent="0.3">
      <c r="A1015" t="s">
        <v>4002</v>
      </c>
      <c r="B1015" t="s">
        <v>4001</v>
      </c>
      <c r="C1015" t="s">
        <v>1</v>
      </c>
      <c r="D1015">
        <v>70</v>
      </c>
      <c r="E1015" t="s">
        <v>80</v>
      </c>
      <c r="F1015" t="s">
        <v>30</v>
      </c>
      <c r="G1015" s="1">
        <v>46072</v>
      </c>
      <c r="H1015" s="1">
        <v>46063</v>
      </c>
      <c r="I1015" t="s">
        <v>4000</v>
      </c>
      <c r="J1015" t="s">
        <v>3999</v>
      </c>
      <c r="L1015">
        <v>7479.92</v>
      </c>
      <c r="M1015" t="s">
        <v>57</v>
      </c>
      <c r="N1015">
        <v>101</v>
      </c>
      <c r="O1015" t="s">
        <v>25</v>
      </c>
    </row>
    <row r="1016" spans="1:15" x14ac:dyDescent="0.3">
      <c r="A1016" t="s">
        <v>3998</v>
      </c>
      <c r="B1016" t="s">
        <v>3997</v>
      </c>
      <c r="C1016" t="s">
        <v>123</v>
      </c>
      <c r="D1016">
        <v>28</v>
      </c>
      <c r="E1016" t="s">
        <v>132</v>
      </c>
      <c r="F1016" t="s">
        <v>46</v>
      </c>
      <c r="G1016" s="1">
        <v>46123</v>
      </c>
      <c r="H1016" s="1">
        <v>46094</v>
      </c>
      <c r="I1016" t="s">
        <v>3996</v>
      </c>
      <c r="J1016" t="s">
        <v>3995</v>
      </c>
      <c r="L1016">
        <v>22333.85</v>
      </c>
      <c r="N1016">
        <v>129</v>
      </c>
      <c r="O1016" t="s">
        <v>43</v>
      </c>
    </row>
    <row r="1017" spans="1:15" x14ac:dyDescent="0.3">
      <c r="A1017" t="s">
        <v>3994</v>
      </c>
      <c r="B1017" t="s">
        <v>3993</v>
      </c>
      <c r="C1017" t="s">
        <v>40</v>
      </c>
      <c r="D1017">
        <v>79</v>
      </c>
      <c r="E1017" t="s">
        <v>68</v>
      </c>
      <c r="F1017" t="s">
        <v>67</v>
      </c>
      <c r="G1017" s="1">
        <v>46051</v>
      </c>
      <c r="H1017" s="1">
        <v>46042</v>
      </c>
      <c r="I1017" t="s">
        <v>3992</v>
      </c>
      <c r="J1017" t="s">
        <v>3991</v>
      </c>
      <c r="K1017" t="s">
        <v>57</v>
      </c>
      <c r="L1017">
        <v>2857.67</v>
      </c>
      <c r="M1017" t="s">
        <v>17</v>
      </c>
      <c r="N1017">
        <v>469</v>
      </c>
      <c r="O1017" t="s">
        <v>71</v>
      </c>
    </row>
    <row r="1018" spans="1:15" x14ac:dyDescent="0.3">
      <c r="A1018" t="s">
        <v>3990</v>
      </c>
      <c r="B1018" t="s">
        <v>3989</v>
      </c>
      <c r="C1018" t="s">
        <v>123</v>
      </c>
      <c r="D1018">
        <v>46</v>
      </c>
      <c r="E1018" t="s">
        <v>47</v>
      </c>
      <c r="F1018" t="s">
        <v>20</v>
      </c>
      <c r="G1018" s="1">
        <v>46104</v>
      </c>
      <c r="H1018" s="1">
        <v>46091</v>
      </c>
      <c r="I1018" t="s">
        <v>3988</v>
      </c>
      <c r="J1018" t="s">
        <v>3987</v>
      </c>
      <c r="L1018">
        <v>5099.1000000000004</v>
      </c>
      <c r="M1018" t="s">
        <v>26</v>
      </c>
      <c r="N1018">
        <v>310</v>
      </c>
      <c r="O1018" t="s">
        <v>77</v>
      </c>
    </row>
    <row r="1019" spans="1:15" x14ac:dyDescent="0.3">
      <c r="A1019" t="s">
        <v>3986</v>
      </c>
      <c r="B1019" t="s">
        <v>3985</v>
      </c>
      <c r="D1019">
        <v>1</v>
      </c>
      <c r="E1019" t="s">
        <v>39</v>
      </c>
      <c r="F1019" t="s">
        <v>30</v>
      </c>
      <c r="G1019" s="1">
        <v>46119</v>
      </c>
      <c r="H1019" s="1">
        <v>46112</v>
      </c>
      <c r="I1019" t="s">
        <v>3984</v>
      </c>
      <c r="J1019" t="s">
        <v>3983</v>
      </c>
      <c r="L1019">
        <v>10004.9</v>
      </c>
      <c r="M1019" t="s">
        <v>63</v>
      </c>
      <c r="N1019">
        <v>286</v>
      </c>
      <c r="O1019" t="s">
        <v>16</v>
      </c>
    </row>
    <row r="1020" spans="1:15" x14ac:dyDescent="0.3">
      <c r="A1020" t="s">
        <v>3982</v>
      </c>
      <c r="B1020" t="s">
        <v>3981</v>
      </c>
      <c r="C1020" t="s">
        <v>0</v>
      </c>
      <c r="D1020">
        <v>69</v>
      </c>
      <c r="E1020" t="s">
        <v>132</v>
      </c>
      <c r="F1020" t="s">
        <v>20</v>
      </c>
      <c r="G1020" s="1">
        <v>46037</v>
      </c>
      <c r="H1020" s="1">
        <v>46023</v>
      </c>
      <c r="I1020" t="s">
        <v>3980</v>
      </c>
      <c r="J1020" t="s">
        <v>3979</v>
      </c>
      <c r="L1020">
        <v>4213.49</v>
      </c>
      <c r="M1020" t="s">
        <v>17</v>
      </c>
      <c r="N1020">
        <v>482</v>
      </c>
      <c r="O1020" t="s">
        <v>16</v>
      </c>
    </row>
    <row r="1021" spans="1:15" x14ac:dyDescent="0.3">
      <c r="A1021" t="s">
        <v>3978</v>
      </c>
      <c r="B1021" t="s">
        <v>3977</v>
      </c>
      <c r="C1021" t="s">
        <v>40</v>
      </c>
      <c r="D1021">
        <v>46</v>
      </c>
      <c r="E1021" t="s">
        <v>21</v>
      </c>
      <c r="F1021" t="s">
        <v>20</v>
      </c>
      <c r="G1021" s="1">
        <v>46038</v>
      </c>
      <c r="H1021" s="1">
        <v>46032</v>
      </c>
      <c r="I1021" t="s">
        <v>3976</v>
      </c>
      <c r="J1021" t="s">
        <v>3975</v>
      </c>
      <c r="K1021" t="s">
        <v>26</v>
      </c>
      <c r="L1021">
        <v>1198.3599999999999</v>
      </c>
      <c r="N1021">
        <v>315</v>
      </c>
      <c r="O1021" t="s">
        <v>25</v>
      </c>
    </row>
    <row r="1022" spans="1:15" x14ac:dyDescent="0.3">
      <c r="A1022" t="s">
        <v>3974</v>
      </c>
      <c r="B1022" t="s">
        <v>3973</v>
      </c>
      <c r="C1022" t="s">
        <v>60</v>
      </c>
      <c r="D1022">
        <v>5</v>
      </c>
      <c r="E1022" t="s">
        <v>39</v>
      </c>
      <c r="F1022" t="s">
        <v>38</v>
      </c>
      <c r="G1022" s="1">
        <v>46051</v>
      </c>
      <c r="H1022" s="1">
        <v>46021</v>
      </c>
      <c r="I1022" t="s">
        <v>3972</v>
      </c>
      <c r="J1022" t="s">
        <v>3971</v>
      </c>
      <c r="L1022">
        <v>24000.53</v>
      </c>
      <c r="M1022" t="s">
        <v>63</v>
      </c>
      <c r="N1022">
        <v>160</v>
      </c>
      <c r="O1022" t="s">
        <v>16</v>
      </c>
    </row>
    <row r="1023" spans="1:15" x14ac:dyDescent="0.3">
      <c r="A1023" t="s">
        <v>3970</v>
      </c>
      <c r="B1023" t="s">
        <v>3969</v>
      </c>
      <c r="D1023">
        <v>71</v>
      </c>
      <c r="E1023" t="s">
        <v>68</v>
      </c>
      <c r="F1023" t="s">
        <v>53</v>
      </c>
      <c r="G1023" s="1">
        <v>46002</v>
      </c>
      <c r="H1023" s="1">
        <v>45992</v>
      </c>
      <c r="I1023" t="s">
        <v>3968</v>
      </c>
      <c r="J1023" t="s">
        <v>3967</v>
      </c>
      <c r="L1023">
        <v>12646.09</v>
      </c>
      <c r="N1023">
        <v>167</v>
      </c>
      <c r="O1023" t="s">
        <v>77</v>
      </c>
    </row>
    <row r="1024" spans="1:15" x14ac:dyDescent="0.3">
      <c r="A1024" t="s">
        <v>3966</v>
      </c>
      <c r="B1024" t="s">
        <v>3965</v>
      </c>
      <c r="C1024" t="s">
        <v>74</v>
      </c>
      <c r="D1024">
        <v>3</v>
      </c>
      <c r="E1024" t="s">
        <v>39</v>
      </c>
      <c r="F1024" t="s">
        <v>53</v>
      </c>
      <c r="G1024" s="1">
        <v>46037</v>
      </c>
      <c r="H1024" s="1">
        <v>46026</v>
      </c>
      <c r="I1024" t="s">
        <v>510</v>
      </c>
      <c r="J1024" t="s">
        <v>3964</v>
      </c>
      <c r="K1024" t="s">
        <v>27</v>
      </c>
      <c r="L1024">
        <v>19231.150000000001</v>
      </c>
      <c r="M1024" t="s">
        <v>57</v>
      </c>
      <c r="N1024">
        <v>126</v>
      </c>
      <c r="O1024" t="s">
        <v>25</v>
      </c>
    </row>
    <row r="1025" spans="1:15" x14ac:dyDescent="0.3">
      <c r="A1025" t="s">
        <v>3963</v>
      </c>
      <c r="B1025" t="s">
        <v>3962</v>
      </c>
      <c r="C1025" t="s">
        <v>60</v>
      </c>
      <c r="D1025">
        <v>55</v>
      </c>
      <c r="E1025" t="s">
        <v>47</v>
      </c>
      <c r="F1025" t="s">
        <v>90</v>
      </c>
      <c r="G1025" s="1">
        <v>46115</v>
      </c>
      <c r="H1025" s="1">
        <v>46100</v>
      </c>
      <c r="I1025" t="s">
        <v>3961</v>
      </c>
      <c r="J1025" t="s">
        <v>3960</v>
      </c>
      <c r="K1025" t="s">
        <v>26</v>
      </c>
      <c r="L1025">
        <v>7199.14</v>
      </c>
      <c r="M1025" t="s">
        <v>64</v>
      </c>
      <c r="N1025">
        <v>489</v>
      </c>
      <c r="O1025" t="s">
        <v>16</v>
      </c>
    </row>
    <row r="1026" spans="1:15" x14ac:dyDescent="0.3">
      <c r="A1026" t="s">
        <v>3959</v>
      </c>
      <c r="B1026" t="s">
        <v>3958</v>
      </c>
      <c r="C1026" t="s">
        <v>1</v>
      </c>
      <c r="D1026">
        <v>80</v>
      </c>
      <c r="E1026" t="s">
        <v>39</v>
      </c>
      <c r="F1026" t="s">
        <v>53</v>
      </c>
      <c r="G1026" s="1">
        <v>46002</v>
      </c>
      <c r="H1026" s="1">
        <v>45995</v>
      </c>
      <c r="I1026" t="s">
        <v>3957</v>
      </c>
      <c r="J1026" t="s">
        <v>3956</v>
      </c>
      <c r="K1026" t="s">
        <v>26</v>
      </c>
      <c r="L1026">
        <v>19214.84</v>
      </c>
      <c r="M1026" t="s">
        <v>63</v>
      </c>
      <c r="N1026">
        <v>458</v>
      </c>
      <c r="O1026" t="s">
        <v>71</v>
      </c>
    </row>
    <row r="1027" spans="1:15" x14ac:dyDescent="0.3">
      <c r="A1027" t="s">
        <v>3955</v>
      </c>
      <c r="B1027" t="s">
        <v>3954</v>
      </c>
      <c r="C1027" t="s">
        <v>123</v>
      </c>
      <c r="D1027">
        <v>26</v>
      </c>
      <c r="E1027" t="s">
        <v>68</v>
      </c>
      <c r="F1027" t="s">
        <v>20</v>
      </c>
      <c r="G1027" s="1">
        <v>46139</v>
      </c>
      <c r="H1027" s="1">
        <v>46117</v>
      </c>
      <c r="I1027" t="s">
        <v>3953</v>
      </c>
      <c r="J1027" t="s">
        <v>3952</v>
      </c>
      <c r="K1027" t="s">
        <v>35</v>
      </c>
      <c r="L1027">
        <v>4878.99</v>
      </c>
      <c r="M1027" t="s">
        <v>26</v>
      </c>
      <c r="N1027">
        <v>217</v>
      </c>
      <c r="O1027" t="s">
        <v>77</v>
      </c>
    </row>
    <row r="1028" spans="1:15" x14ac:dyDescent="0.3">
      <c r="A1028" t="s">
        <v>3951</v>
      </c>
      <c r="B1028" t="s">
        <v>3950</v>
      </c>
      <c r="C1028" t="s">
        <v>0</v>
      </c>
      <c r="D1028">
        <v>52</v>
      </c>
      <c r="E1028" t="s">
        <v>47</v>
      </c>
      <c r="F1028" t="s">
        <v>30</v>
      </c>
      <c r="G1028" s="1">
        <v>46068</v>
      </c>
      <c r="H1028" s="1">
        <v>46062</v>
      </c>
      <c r="I1028" t="s">
        <v>3949</v>
      </c>
      <c r="J1028" t="s">
        <v>3948</v>
      </c>
      <c r="K1028" t="s">
        <v>35</v>
      </c>
      <c r="L1028">
        <v>10772.31</v>
      </c>
      <c r="M1028" t="s">
        <v>57</v>
      </c>
      <c r="N1028">
        <v>146</v>
      </c>
      <c r="O1028" t="s">
        <v>50</v>
      </c>
    </row>
    <row r="1029" spans="1:15" x14ac:dyDescent="0.3">
      <c r="A1029" t="s">
        <v>572</v>
      </c>
      <c r="B1029" t="s">
        <v>3947</v>
      </c>
      <c r="C1029" t="s">
        <v>40</v>
      </c>
      <c r="D1029">
        <v>49</v>
      </c>
      <c r="E1029" t="s">
        <v>54</v>
      </c>
      <c r="F1029" t="s">
        <v>30</v>
      </c>
      <c r="G1029" s="1">
        <v>46160</v>
      </c>
      <c r="H1029" s="1">
        <v>46138</v>
      </c>
      <c r="I1029" t="s">
        <v>3946</v>
      </c>
      <c r="J1029" t="s">
        <v>3945</v>
      </c>
      <c r="K1029" t="s">
        <v>17</v>
      </c>
      <c r="L1029">
        <v>5700.03</v>
      </c>
      <c r="N1029">
        <v>345</v>
      </c>
      <c r="O1029" t="s">
        <v>77</v>
      </c>
    </row>
    <row r="1030" spans="1:15" x14ac:dyDescent="0.3">
      <c r="A1030" t="s">
        <v>3944</v>
      </c>
      <c r="B1030" t="s">
        <v>3943</v>
      </c>
      <c r="C1030" t="s">
        <v>123</v>
      </c>
      <c r="D1030">
        <v>83</v>
      </c>
      <c r="E1030" t="s">
        <v>47</v>
      </c>
      <c r="F1030" t="s">
        <v>30</v>
      </c>
      <c r="G1030" s="1">
        <v>46051</v>
      </c>
      <c r="H1030" s="1">
        <v>46048</v>
      </c>
      <c r="I1030" t="s">
        <v>3942</v>
      </c>
      <c r="J1030" t="s">
        <v>3941</v>
      </c>
      <c r="K1030" t="s">
        <v>26</v>
      </c>
      <c r="L1030">
        <v>9216.69</v>
      </c>
      <c r="M1030" t="s">
        <v>17</v>
      </c>
      <c r="N1030">
        <v>464</v>
      </c>
      <c r="O1030" t="s">
        <v>16</v>
      </c>
    </row>
    <row r="1031" spans="1:15" x14ac:dyDescent="0.3">
      <c r="A1031" t="s">
        <v>3940</v>
      </c>
      <c r="B1031" t="s">
        <v>3939</v>
      </c>
      <c r="C1031" t="s">
        <v>1</v>
      </c>
      <c r="D1031">
        <v>41</v>
      </c>
      <c r="E1031" t="s">
        <v>47</v>
      </c>
      <c r="F1031" t="s">
        <v>53</v>
      </c>
      <c r="G1031" s="1">
        <v>46048</v>
      </c>
      <c r="H1031" s="1">
        <v>46047</v>
      </c>
      <c r="I1031" t="s">
        <v>3938</v>
      </c>
      <c r="J1031" t="s">
        <v>3937</v>
      </c>
      <c r="K1031" t="s">
        <v>27</v>
      </c>
      <c r="L1031">
        <v>1492.84</v>
      </c>
      <c r="M1031" t="s">
        <v>17</v>
      </c>
      <c r="N1031">
        <v>208</v>
      </c>
      <c r="O1031" t="s">
        <v>43</v>
      </c>
    </row>
    <row r="1032" spans="1:15" x14ac:dyDescent="0.3">
      <c r="A1032" t="s">
        <v>3936</v>
      </c>
      <c r="B1032" t="s">
        <v>3935</v>
      </c>
      <c r="D1032">
        <v>36</v>
      </c>
      <c r="E1032" t="s">
        <v>80</v>
      </c>
      <c r="F1032" t="s">
        <v>90</v>
      </c>
      <c r="G1032" s="1">
        <v>46059</v>
      </c>
      <c r="H1032" s="1">
        <v>46054</v>
      </c>
      <c r="I1032" t="s">
        <v>3934</v>
      </c>
      <c r="J1032" t="s">
        <v>3933</v>
      </c>
      <c r="K1032" t="s">
        <v>26</v>
      </c>
      <c r="L1032">
        <v>23718.54</v>
      </c>
      <c r="M1032" t="s">
        <v>17</v>
      </c>
      <c r="N1032">
        <v>271</v>
      </c>
      <c r="O1032" t="s">
        <v>43</v>
      </c>
    </row>
    <row r="1033" spans="1:15" x14ac:dyDescent="0.3">
      <c r="A1033" t="s">
        <v>3932</v>
      </c>
      <c r="B1033" t="s">
        <v>3931</v>
      </c>
      <c r="C1033" t="s">
        <v>74</v>
      </c>
      <c r="D1033">
        <v>13</v>
      </c>
      <c r="E1033" t="s">
        <v>47</v>
      </c>
      <c r="F1033" t="s">
        <v>53</v>
      </c>
      <c r="G1033" s="1">
        <v>46021</v>
      </c>
      <c r="H1033" s="1">
        <v>46011</v>
      </c>
      <c r="I1033" t="s">
        <v>3930</v>
      </c>
      <c r="J1033" t="s">
        <v>3929</v>
      </c>
      <c r="K1033" t="s">
        <v>57</v>
      </c>
      <c r="L1033">
        <v>18584.04</v>
      </c>
      <c r="M1033" t="s">
        <v>17</v>
      </c>
      <c r="N1033">
        <v>480</v>
      </c>
      <c r="O1033" t="s">
        <v>50</v>
      </c>
    </row>
    <row r="1034" spans="1:15" x14ac:dyDescent="0.3">
      <c r="A1034" t="s">
        <v>3928</v>
      </c>
      <c r="B1034" t="s">
        <v>3927</v>
      </c>
      <c r="C1034" t="s">
        <v>60</v>
      </c>
      <c r="D1034">
        <v>31</v>
      </c>
      <c r="E1034" t="s">
        <v>132</v>
      </c>
      <c r="F1034" t="s">
        <v>38</v>
      </c>
      <c r="G1034" s="1">
        <v>46164</v>
      </c>
      <c r="H1034" s="1">
        <v>46146</v>
      </c>
      <c r="I1034" t="s">
        <v>3926</v>
      </c>
      <c r="J1034" t="s">
        <v>3925</v>
      </c>
      <c r="L1034">
        <v>2363.33</v>
      </c>
      <c r="M1034" t="s">
        <v>64</v>
      </c>
      <c r="N1034">
        <v>166</v>
      </c>
      <c r="O1034" t="s">
        <v>25</v>
      </c>
    </row>
    <row r="1035" spans="1:15" x14ac:dyDescent="0.3">
      <c r="A1035" t="s">
        <v>3924</v>
      </c>
      <c r="B1035" t="s">
        <v>3923</v>
      </c>
      <c r="C1035" t="s">
        <v>74</v>
      </c>
      <c r="D1035">
        <v>6</v>
      </c>
      <c r="E1035" t="s">
        <v>21</v>
      </c>
      <c r="F1035" t="s">
        <v>38</v>
      </c>
      <c r="G1035" s="1">
        <v>46074</v>
      </c>
      <c r="H1035" s="1">
        <v>46052</v>
      </c>
      <c r="I1035" t="s">
        <v>3922</v>
      </c>
      <c r="J1035" t="s">
        <v>3921</v>
      </c>
      <c r="L1035">
        <v>23152.42</v>
      </c>
      <c r="M1035" t="s">
        <v>64</v>
      </c>
      <c r="N1035">
        <v>379</v>
      </c>
      <c r="O1035" t="s">
        <v>34</v>
      </c>
    </row>
    <row r="1036" spans="1:15" x14ac:dyDescent="0.3">
      <c r="A1036" t="s">
        <v>3920</v>
      </c>
      <c r="B1036" t="s">
        <v>3919</v>
      </c>
      <c r="C1036" t="s">
        <v>60</v>
      </c>
      <c r="D1036">
        <v>39</v>
      </c>
      <c r="E1036" t="s">
        <v>68</v>
      </c>
      <c r="F1036" t="s">
        <v>38</v>
      </c>
      <c r="G1036" s="1">
        <v>46114</v>
      </c>
      <c r="H1036" s="1">
        <v>46097</v>
      </c>
      <c r="I1036" t="s">
        <v>3918</v>
      </c>
      <c r="J1036" t="s">
        <v>3917</v>
      </c>
      <c r="K1036" t="s">
        <v>35</v>
      </c>
      <c r="L1036">
        <v>1286.52</v>
      </c>
      <c r="M1036" t="s">
        <v>57</v>
      </c>
      <c r="N1036">
        <v>314</v>
      </c>
      <c r="O1036" t="s">
        <v>34</v>
      </c>
    </row>
    <row r="1037" spans="1:15" x14ac:dyDescent="0.3">
      <c r="A1037" t="s">
        <v>3916</v>
      </c>
      <c r="B1037" t="s">
        <v>3915</v>
      </c>
      <c r="C1037" t="s">
        <v>22</v>
      </c>
      <c r="D1037">
        <v>72</v>
      </c>
      <c r="E1037" t="s">
        <v>31</v>
      </c>
      <c r="F1037" t="s">
        <v>67</v>
      </c>
      <c r="G1037" s="1">
        <v>46025</v>
      </c>
      <c r="H1037" s="1">
        <v>46011</v>
      </c>
      <c r="I1037" t="s">
        <v>3914</v>
      </c>
      <c r="J1037" t="s">
        <v>3913</v>
      </c>
      <c r="K1037" t="s">
        <v>64</v>
      </c>
      <c r="L1037">
        <v>22789.06</v>
      </c>
      <c r="M1037" t="s">
        <v>64</v>
      </c>
      <c r="N1037">
        <v>347</v>
      </c>
      <c r="O1037" t="s">
        <v>16</v>
      </c>
    </row>
    <row r="1038" spans="1:15" x14ac:dyDescent="0.3">
      <c r="A1038" t="s">
        <v>3912</v>
      </c>
      <c r="B1038" t="s">
        <v>3911</v>
      </c>
      <c r="C1038" t="s">
        <v>40</v>
      </c>
      <c r="D1038">
        <v>22</v>
      </c>
      <c r="E1038" t="s">
        <v>132</v>
      </c>
      <c r="F1038" t="s">
        <v>53</v>
      </c>
      <c r="G1038" s="1">
        <v>45992</v>
      </c>
      <c r="H1038" s="1">
        <v>45983</v>
      </c>
      <c r="I1038" t="s">
        <v>3910</v>
      </c>
      <c r="J1038" t="s">
        <v>3909</v>
      </c>
      <c r="K1038" t="s">
        <v>27</v>
      </c>
      <c r="L1038">
        <v>23903.91</v>
      </c>
      <c r="M1038" t="s">
        <v>27</v>
      </c>
      <c r="N1038">
        <v>506</v>
      </c>
      <c r="O1038" t="s">
        <v>25</v>
      </c>
    </row>
    <row r="1039" spans="1:15" x14ac:dyDescent="0.3">
      <c r="A1039" t="s">
        <v>3908</v>
      </c>
      <c r="B1039" t="s">
        <v>3907</v>
      </c>
      <c r="C1039" t="s">
        <v>1</v>
      </c>
      <c r="D1039">
        <v>51</v>
      </c>
      <c r="E1039" t="s">
        <v>68</v>
      </c>
      <c r="F1039" t="s">
        <v>20</v>
      </c>
      <c r="G1039" s="1">
        <v>46062</v>
      </c>
      <c r="H1039" s="1">
        <v>46057</v>
      </c>
      <c r="I1039" t="s">
        <v>3906</v>
      </c>
      <c r="J1039" t="s">
        <v>3905</v>
      </c>
      <c r="L1039">
        <v>18818.05</v>
      </c>
      <c r="N1039">
        <v>387</v>
      </c>
      <c r="O1039" t="s">
        <v>50</v>
      </c>
    </row>
    <row r="1040" spans="1:15" x14ac:dyDescent="0.3">
      <c r="A1040" t="s">
        <v>3904</v>
      </c>
      <c r="B1040" t="s">
        <v>3903</v>
      </c>
      <c r="C1040" t="s">
        <v>123</v>
      </c>
      <c r="D1040">
        <v>52</v>
      </c>
      <c r="E1040" t="s">
        <v>132</v>
      </c>
      <c r="F1040" t="s">
        <v>38</v>
      </c>
      <c r="G1040" s="1">
        <v>46136</v>
      </c>
      <c r="H1040" s="1">
        <v>46131</v>
      </c>
      <c r="I1040" t="s">
        <v>3902</v>
      </c>
      <c r="J1040" t="s">
        <v>3901</v>
      </c>
      <c r="K1040" t="s">
        <v>27</v>
      </c>
      <c r="L1040">
        <v>4168.08</v>
      </c>
      <c r="M1040" t="s">
        <v>57</v>
      </c>
      <c r="N1040">
        <v>403</v>
      </c>
      <c r="O1040" t="s">
        <v>25</v>
      </c>
    </row>
    <row r="1041" spans="1:15" x14ac:dyDescent="0.3">
      <c r="A1041" t="s">
        <v>3900</v>
      </c>
      <c r="B1041" t="s">
        <v>3899</v>
      </c>
      <c r="C1041" t="s">
        <v>40</v>
      </c>
      <c r="D1041">
        <v>66</v>
      </c>
      <c r="E1041" t="s">
        <v>68</v>
      </c>
      <c r="F1041" t="s">
        <v>30</v>
      </c>
      <c r="G1041" s="1">
        <v>46102</v>
      </c>
      <c r="H1041" s="1">
        <v>46093</v>
      </c>
      <c r="I1041" t="s">
        <v>3898</v>
      </c>
      <c r="J1041" t="s">
        <v>3897</v>
      </c>
      <c r="K1041" t="s">
        <v>17</v>
      </c>
      <c r="L1041">
        <v>7549.82</v>
      </c>
      <c r="M1041" t="s">
        <v>63</v>
      </c>
      <c r="N1041">
        <v>382</v>
      </c>
      <c r="O1041" t="s">
        <v>77</v>
      </c>
    </row>
    <row r="1042" spans="1:15" x14ac:dyDescent="0.3">
      <c r="A1042" t="s">
        <v>3896</v>
      </c>
      <c r="B1042" t="s">
        <v>3895</v>
      </c>
      <c r="C1042" t="s">
        <v>0</v>
      </c>
      <c r="D1042">
        <v>29</v>
      </c>
      <c r="E1042" t="s">
        <v>47</v>
      </c>
      <c r="F1042" t="s">
        <v>38</v>
      </c>
      <c r="G1042" s="1">
        <v>46071</v>
      </c>
      <c r="H1042" s="1">
        <v>46062</v>
      </c>
      <c r="I1042" t="s">
        <v>3894</v>
      </c>
      <c r="J1042" t="s">
        <v>3893</v>
      </c>
      <c r="K1042" t="s">
        <v>27</v>
      </c>
      <c r="L1042">
        <v>16062.46</v>
      </c>
      <c r="M1042" t="s">
        <v>63</v>
      </c>
      <c r="N1042">
        <v>168</v>
      </c>
      <c r="O1042" t="s">
        <v>43</v>
      </c>
    </row>
    <row r="1043" spans="1:15" x14ac:dyDescent="0.3">
      <c r="A1043" t="s">
        <v>3892</v>
      </c>
      <c r="B1043" t="s">
        <v>3891</v>
      </c>
      <c r="C1043" t="s">
        <v>40</v>
      </c>
      <c r="D1043">
        <v>83</v>
      </c>
      <c r="E1043" t="s">
        <v>21</v>
      </c>
      <c r="F1043" t="s">
        <v>38</v>
      </c>
      <c r="G1043" s="1">
        <v>46069</v>
      </c>
      <c r="H1043" s="1">
        <v>46052</v>
      </c>
      <c r="I1043" t="s">
        <v>3890</v>
      </c>
      <c r="J1043" t="s">
        <v>3889</v>
      </c>
      <c r="K1043" t="s">
        <v>64</v>
      </c>
      <c r="L1043">
        <v>234.72</v>
      </c>
      <c r="M1043" t="s">
        <v>17</v>
      </c>
      <c r="N1043">
        <v>423</v>
      </c>
      <c r="O1043" t="s">
        <v>34</v>
      </c>
    </row>
    <row r="1044" spans="1:15" x14ac:dyDescent="0.3">
      <c r="A1044" t="s">
        <v>3888</v>
      </c>
      <c r="B1044" t="s">
        <v>3887</v>
      </c>
      <c r="C1044" t="s">
        <v>60</v>
      </c>
      <c r="D1044">
        <v>42</v>
      </c>
      <c r="E1044" t="s">
        <v>80</v>
      </c>
      <c r="F1044" t="s">
        <v>30</v>
      </c>
      <c r="G1044" s="1">
        <v>46088</v>
      </c>
      <c r="H1044" s="1">
        <v>46065</v>
      </c>
      <c r="I1044" t="s">
        <v>3886</v>
      </c>
      <c r="J1044" t="s">
        <v>3885</v>
      </c>
      <c r="K1044" t="s">
        <v>35</v>
      </c>
      <c r="L1044">
        <v>10326.9</v>
      </c>
      <c r="M1044" t="s">
        <v>63</v>
      </c>
      <c r="N1044">
        <v>266</v>
      </c>
      <c r="O1044" t="s">
        <v>77</v>
      </c>
    </row>
    <row r="1045" spans="1:15" x14ac:dyDescent="0.3">
      <c r="A1045" t="s">
        <v>3884</v>
      </c>
      <c r="B1045" t="s">
        <v>3883</v>
      </c>
      <c r="C1045" t="s">
        <v>40</v>
      </c>
      <c r="D1045">
        <v>46</v>
      </c>
      <c r="E1045" t="s">
        <v>21</v>
      </c>
      <c r="F1045" t="s">
        <v>30</v>
      </c>
      <c r="G1045" s="1">
        <v>46132</v>
      </c>
      <c r="H1045" s="1">
        <v>46127</v>
      </c>
      <c r="I1045" t="s">
        <v>3882</v>
      </c>
      <c r="J1045" t="s">
        <v>3881</v>
      </c>
      <c r="K1045" t="s">
        <v>26</v>
      </c>
      <c r="L1045">
        <v>24295.8</v>
      </c>
      <c r="M1045" t="s">
        <v>64</v>
      </c>
      <c r="N1045">
        <v>469</v>
      </c>
      <c r="O1045" t="s">
        <v>25</v>
      </c>
    </row>
    <row r="1046" spans="1:15" x14ac:dyDescent="0.3">
      <c r="A1046" t="s">
        <v>3880</v>
      </c>
      <c r="B1046" t="s">
        <v>3879</v>
      </c>
      <c r="C1046" t="s">
        <v>123</v>
      </c>
      <c r="D1046">
        <v>84</v>
      </c>
      <c r="E1046" t="s">
        <v>132</v>
      </c>
      <c r="F1046" t="s">
        <v>38</v>
      </c>
      <c r="G1046" s="1">
        <v>46140</v>
      </c>
      <c r="H1046" s="1">
        <v>46114</v>
      </c>
      <c r="I1046" t="s">
        <v>3878</v>
      </c>
      <c r="J1046" t="s">
        <v>3877</v>
      </c>
      <c r="L1046">
        <v>5671.85</v>
      </c>
      <c r="M1046" t="s">
        <v>63</v>
      </c>
      <c r="N1046">
        <v>204</v>
      </c>
      <c r="O1046" t="s">
        <v>34</v>
      </c>
    </row>
    <row r="1047" spans="1:15" x14ac:dyDescent="0.3">
      <c r="A1047" t="s">
        <v>3876</v>
      </c>
      <c r="B1047" t="s">
        <v>3875</v>
      </c>
      <c r="C1047" t="s">
        <v>123</v>
      </c>
      <c r="D1047">
        <v>20</v>
      </c>
      <c r="E1047" t="s">
        <v>68</v>
      </c>
      <c r="F1047" t="s">
        <v>38</v>
      </c>
      <c r="G1047" s="1">
        <v>46081</v>
      </c>
      <c r="H1047" s="1">
        <v>46058</v>
      </c>
      <c r="I1047" t="s">
        <v>3874</v>
      </c>
      <c r="J1047" t="s">
        <v>3873</v>
      </c>
      <c r="L1047">
        <v>9342.27</v>
      </c>
      <c r="N1047">
        <v>147</v>
      </c>
      <c r="O1047" t="s">
        <v>16</v>
      </c>
    </row>
    <row r="1048" spans="1:15" x14ac:dyDescent="0.3">
      <c r="A1048" t="s">
        <v>3872</v>
      </c>
      <c r="B1048" t="s">
        <v>1638</v>
      </c>
      <c r="C1048" t="s">
        <v>0</v>
      </c>
      <c r="D1048">
        <v>59</v>
      </c>
      <c r="E1048" t="s">
        <v>39</v>
      </c>
      <c r="F1048" t="s">
        <v>53</v>
      </c>
      <c r="G1048" s="1">
        <v>46004</v>
      </c>
      <c r="H1048" s="1">
        <v>45998</v>
      </c>
      <c r="I1048" t="s">
        <v>3871</v>
      </c>
      <c r="J1048" t="s">
        <v>3870</v>
      </c>
      <c r="L1048">
        <v>23595.21</v>
      </c>
      <c r="M1048" t="s">
        <v>26</v>
      </c>
      <c r="N1048">
        <v>431</v>
      </c>
      <c r="O1048" t="s">
        <v>43</v>
      </c>
    </row>
    <row r="1049" spans="1:15" x14ac:dyDescent="0.3">
      <c r="A1049" t="s">
        <v>3869</v>
      </c>
      <c r="B1049" t="s">
        <v>3868</v>
      </c>
      <c r="C1049" t="s">
        <v>40</v>
      </c>
      <c r="D1049">
        <v>40</v>
      </c>
      <c r="E1049" t="s">
        <v>39</v>
      </c>
      <c r="F1049" t="s">
        <v>53</v>
      </c>
      <c r="G1049" s="1">
        <v>46135</v>
      </c>
      <c r="H1049" s="1">
        <v>46140</v>
      </c>
      <c r="I1049" t="s">
        <v>3867</v>
      </c>
      <c r="L1049">
        <v>17246.7</v>
      </c>
      <c r="M1049" t="s">
        <v>57</v>
      </c>
      <c r="N1049">
        <v>135</v>
      </c>
      <c r="O1049" t="s">
        <v>71</v>
      </c>
    </row>
    <row r="1050" spans="1:15" x14ac:dyDescent="0.3">
      <c r="A1050" t="s">
        <v>3866</v>
      </c>
      <c r="B1050" t="s">
        <v>3865</v>
      </c>
      <c r="C1050" t="s">
        <v>74</v>
      </c>
      <c r="D1050">
        <v>55</v>
      </c>
      <c r="E1050" t="s">
        <v>21</v>
      </c>
      <c r="F1050" t="s">
        <v>85</v>
      </c>
      <c r="G1050" s="1">
        <v>46096</v>
      </c>
      <c r="H1050" s="1">
        <v>46067</v>
      </c>
      <c r="I1050" t="s">
        <v>3864</v>
      </c>
      <c r="J1050" t="s">
        <v>3863</v>
      </c>
      <c r="L1050">
        <v>2685.8</v>
      </c>
      <c r="M1050" t="s">
        <v>26</v>
      </c>
      <c r="N1050">
        <v>472</v>
      </c>
      <c r="O1050" t="s">
        <v>50</v>
      </c>
    </row>
    <row r="1051" spans="1:15" x14ac:dyDescent="0.3">
      <c r="A1051" t="s">
        <v>3862</v>
      </c>
      <c r="B1051" t="s">
        <v>3861</v>
      </c>
      <c r="C1051" t="s">
        <v>40</v>
      </c>
      <c r="D1051">
        <v>78</v>
      </c>
      <c r="E1051" t="s">
        <v>80</v>
      </c>
      <c r="F1051" t="s">
        <v>90</v>
      </c>
      <c r="G1051" s="1">
        <v>46069</v>
      </c>
      <c r="H1051" s="1">
        <v>46057</v>
      </c>
      <c r="I1051" t="s">
        <v>3860</v>
      </c>
      <c r="J1051" t="s">
        <v>3859</v>
      </c>
      <c r="K1051" t="s">
        <v>27</v>
      </c>
      <c r="L1051">
        <v>2928.88</v>
      </c>
      <c r="M1051" t="s">
        <v>27</v>
      </c>
      <c r="N1051">
        <v>490</v>
      </c>
      <c r="O1051" t="s">
        <v>50</v>
      </c>
    </row>
    <row r="1052" spans="1:15" x14ac:dyDescent="0.3">
      <c r="A1052" t="s">
        <v>3858</v>
      </c>
      <c r="B1052" t="s">
        <v>3857</v>
      </c>
      <c r="C1052" t="s">
        <v>40</v>
      </c>
      <c r="D1052">
        <v>17</v>
      </c>
      <c r="E1052" t="s">
        <v>21</v>
      </c>
      <c r="F1052" t="s">
        <v>20</v>
      </c>
      <c r="G1052" s="1">
        <v>46025</v>
      </c>
      <c r="H1052" s="1">
        <v>46017</v>
      </c>
      <c r="I1052" t="s">
        <v>3856</v>
      </c>
      <c r="J1052" t="s">
        <v>3855</v>
      </c>
      <c r="K1052" t="s">
        <v>35</v>
      </c>
      <c r="L1052">
        <v>23477.24</v>
      </c>
      <c r="M1052" t="s">
        <v>27</v>
      </c>
      <c r="N1052">
        <v>505</v>
      </c>
      <c r="O1052" t="s">
        <v>77</v>
      </c>
    </row>
    <row r="1053" spans="1:15" x14ac:dyDescent="0.3">
      <c r="A1053" t="s">
        <v>3854</v>
      </c>
      <c r="B1053" t="s">
        <v>3853</v>
      </c>
      <c r="C1053" t="s">
        <v>74</v>
      </c>
      <c r="D1053">
        <v>70</v>
      </c>
      <c r="E1053" t="s">
        <v>31</v>
      </c>
      <c r="F1053" t="s">
        <v>20</v>
      </c>
      <c r="G1053" s="1">
        <v>46063</v>
      </c>
      <c r="H1053" s="1">
        <v>46057</v>
      </c>
      <c r="I1053" t="s">
        <v>3852</v>
      </c>
      <c r="J1053" t="s">
        <v>3851</v>
      </c>
      <c r="K1053" t="s">
        <v>35</v>
      </c>
      <c r="L1053">
        <v>12114.55</v>
      </c>
      <c r="N1053">
        <v>517</v>
      </c>
      <c r="O1053" t="s">
        <v>71</v>
      </c>
    </row>
    <row r="1054" spans="1:15" x14ac:dyDescent="0.3">
      <c r="A1054" t="s">
        <v>3850</v>
      </c>
      <c r="B1054" t="s">
        <v>3849</v>
      </c>
      <c r="C1054" t="s">
        <v>22</v>
      </c>
      <c r="D1054">
        <v>43</v>
      </c>
      <c r="E1054" t="s">
        <v>68</v>
      </c>
      <c r="F1054" t="s">
        <v>53</v>
      </c>
      <c r="G1054" s="1">
        <v>46038</v>
      </c>
      <c r="H1054" s="1">
        <v>46031</v>
      </c>
      <c r="I1054" t="s">
        <v>3848</v>
      </c>
      <c r="J1054" t="s">
        <v>3847</v>
      </c>
      <c r="K1054" t="s">
        <v>27</v>
      </c>
      <c r="L1054">
        <v>13679.46</v>
      </c>
      <c r="M1054" t="s">
        <v>63</v>
      </c>
      <c r="N1054">
        <v>421</v>
      </c>
      <c r="O1054" t="s">
        <v>34</v>
      </c>
    </row>
    <row r="1055" spans="1:15" x14ac:dyDescent="0.3">
      <c r="A1055" t="s">
        <v>3846</v>
      </c>
      <c r="B1055" t="s">
        <v>3845</v>
      </c>
      <c r="C1055" t="s">
        <v>74</v>
      </c>
      <c r="D1055">
        <v>3</v>
      </c>
      <c r="E1055" t="s">
        <v>47</v>
      </c>
      <c r="F1055" t="s">
        <v>20</v>
      </c>
      <c r="G1055" s="1">
        <v>46014</v>
      </c>
      <c r="H1055" s="1">
        <v>45997</v>
      </c>
      <c r="I1055" t="s">
        <v>3844</v>
      </c>
      <c r="J1055" t="s">
        <v>3843</v>
      </c>
      <c r="K1055" t="s">
        <v>26</v>
      </c>
      <c r="L1055">
        <v>2743.64</v>
      </c>
      <c r="N1055">
        <v>172</v>
      </c>
      <c r="O1055" t="s">
        <v>77</v>
      </c>
    </row>
    <row r="1056" spans="1:15" x14ac:dyDescent="0.3">
      <c r="A1056" t="s">
        <v>3842</v>
      </c>
      <c r="B1056" t="s">
        <v>3841</v>
      </c>
      <c r="C1056" t="s">
        <v>1</v>
      </c>
      <c r="D1056">
        <v>4</v>
      </c>
      <c r="E1056" t="s">
        <v>21</v>
      </c>
      <c r="F1056" t="s">
        <v>90</v>
      </c>
      <c r="G1056" s="1">
        <v>46073</v>
      </c>
      <c r="H1056" s="1">
        <v>46061</v>
      </c>
      <c r="I1056" t="s">
        <v>3840</v>
      </c>
      <c r="J1056" t="s">
        <v>3839</v>
      </c>
      <c r="K1056" t="s">
        <v>35</v>
      </c>
      <c r="L1056">
        <v>8962.09</v>
      </c>
      <c r="M1056" t="s">
        <v>63</v>
      </c>
      <c r="N1056">
        <v>215</v>
      </c>
      <c r="O1056" t="s">
        <v>25</v>
      </c>
    </row>
    <row r="1057" spans="1:15" x14ac:dyDescent="0.3">
      <c r="A1057" t="s">
        <v>3838</v>
      </c>
      <c r="B1057" t="s">
        <v>3837</v>
      </c>
      <c r="C1057" t="s">
        <v>123</v>
      </c>
      <c r="D1057">
        <v>88</v>
      </c>
      <c r="E1057" t="s">
        <v>80</v>
      </c>
      <c r="F1057" t="s">
        <v>85</v>
      </c>
      <c r="G1057" s="1">
        <v>46033</v>
      </c>
      <c r="H1057" s="1">
        <v>46028</v>
      </c>
      <c r="I1057" t="s">
        <v>3836</v>
      </c>
      <c r="J1057" t="s">
        <v>3835</v>
      </c>
      <c r="K1057" t="s">
        <v>64</v>
      </c>
      <c r="L1057">
        <v>5768.16</v>
      </c>
      <c r="M1057" t="s">
        <v>63</v>
      </c>
      <c r="N1057">
        <v>282</v>
      </c>
      <c r="O1057" t="s">
        <v>77</v>
      </c>
    </row>
    <row r="1058" spans="1:15" x14ac:dyDescent="0.3">
      <c r="A1058" t="s">
        <v>3834</v>
      </c>
      <c r="B1058" t="s">
        <v>3833</v>
      </c>
      <c r="C1058" t="s">
        <v>60</v>
      </c>
      <c r="D1058">
        <v>16</v>
      </c>
      <c r="E1058" t="s">
        <v>31</v>
      </c>
      <c r="F1058" t="s">
        <v>20</v>
      </c>
      <c r="G1058" s="1">
        <v>46151</v>
      </c>
      <c r="H1058" s="1">
        <v>46123</v>
      </c>
      <c r="I1058" t="s">
        <v>3832</v>
      </c>
      <c r="J1058" t="s">
        <v>3831</v>
      </c>
      <c r="K1058" t="s">
        <v>27</v>
      </c>
      <c r="L1058">
        <v>15191.76</v>
      </c>
      <c r="M1058" t="s">
        <v>26</v>
      </c>
      <c r="N1058">
        <v>319</v>
      </c>
      <c r="O1058" t="s">
        <v>34</v>
      </c>
    </row>
    <row r="1059" spans="1:15" x14ac:dyDescent="0.3">
      <c r="A1059" t="s">
        <v>3830</v>
      </c>
      <c r="B1059" t="s">
        <v>3829</v>
      </c>
      <c r="C1059" t="s">
        <v>60</v>
      </c>
      <c r="D1059">
        <v>77</v>
      </c>
      <c r="E1059" t="s">
        <v>39</v>
      </c>
      <c r="F1059" t="s">
        <v>90</v>
      </c>
      <c r="G1059" s="1">
        <v>45980</v>
      </c>
      <c r="H1059" s="1">
        <v>45976</v>
      </c>
      <c r="I1059" t="s">
        <v>3828</v>
      </c>
      <c r="J1059" t="s">
        <v>3827</v>
      </c>
      <c r="K1059" t="s">
        <v>26</v>
      </c>
      <c r="L1059" t="s">
        <v>488</v>
      </c>
      <c r="M1059" t="s">
        <v>63</v>
      </c>
      <c r="N1059" t="s">
        <v>347</v>
      </c>
      <c r="O1059" t="s">
        <v>77</v>
      </c>
    </row>
    <row r="1060" spans="1:15" x14ac:dyDescent="0.3">
      <c r="A1060" t="s">
        <v>3826</v>
      </c>
      <c r="B1060" t="s">
        <v>3825</v>
      </c>
      <c r="C1060" t="s">
        <v>22</v>
      </c>
      <c r="D1060">
        <v>64</v>
      </c>
      <c r="E1060" t="s">
        <v>31</v>
      </c>
      <c r="F1060" t="s">
        <v>30</v>
      </c>
      <c r="G1060" s="1">
        <v>46099</v>
      </c>
      <c r="H1060" s="1">
        <v>46074</v>
      </c>
      <c r="I1060" t="s">
        <v>3824</v>
      </c>
      <c r="J1060" t="s">
        <v>3823</v>
      </c>
      <c r="K1060" t="s">
        <v>64</v>
      </c>
      <c r="L1060">
        <v>19763.63</v>
      </c>
      <c r="M1060" t="s">
        <v>26</v>
      </c>
      <c r="N1060">
        <v>498</v>
      </c>
      <c r="O1060" t="s">
        <v>25</v>
      </c>
    </row>
    <row r="1061" spans="1:15" x14ac:dyDescent="0.3">
      <c r="A1061" t="s">
        <v>3822</v>
      </c>
      <c r="B1061" t="s">
        <v>3821</v>
      </c>
      <c r="C1061" t="s">
        <v>0</v>
      </c>
      <c r="D1061">
        <v>41</v>
      </c>
      <c r="E1061" t="s">
        <v>39</v>
      </c>
      <c r="F1061" t="s">
        <v>90</v>
      </c>
      <c r="G1061" s="1">
        <v>46071</v>
      </c>
      <c r="H1061" s="1">
        <v>46057</v>
      </c>
      <c r="I1061" t="s">
        <v>3820</v>
      </c>
      <c r="J1061" t="s">
        <v>3819</v>
      </c>
      <c r="L1061">
        <v>20403.310000000001</v>
      </c>
      <c r="M1061" t="s">
        <v>64</v>
      </c>
      <c r="N1061">
        <v>395</v>
      </c>
      <c r="O1061" t="s">
        <v>16</v>
      </c>
    </row>
    <row r="1062" spans="1:15" x14ac:dyDescent="0.3">
      <c r="A1062" t="s">
        <v>3818</v>
      </c>
      <c r="B1062" t="s">
        <v>3817</v>
      </c>
      <c r="C1062" t="s">
        <v>22</v>
      </c>
      <c r="D1062">
        <v>19</v>
      </c>
      <c r="E1062" t="s">
        <v>80</v>
      </c>
      <c r="F1062" t="s">
        <v>67</v>
      </c>
      <c r="G1062" s="1">
        <v>46008</v>
      </c>
      <c r="H1062" s="1">
        <v>46004</v>
      </c>
      <c r="I1062" t="s">
        <v>3816</v>
      </c>
      <c r="J1062" t="s">
        <v>3815</v>
      </c>
      <c r="K1062" t="s">
        <v>35</v>
      </c>
      <c r="L1062">
        <v>19234.88</v>
      </c>
      <c r="M1062" t="s">
        <v>17</v>
      </c>
      <c r="N1062">
        <v>263</v>
      </c>
      <c r="O1062" t="s">
        <v>16</v>
      </c>
    </row>
    <row r="1063" spans="1:15" x14ac:dyDescent="0.3">
      <c r="A1063" t="s">
        <v>3814</v>
      </c>
      <c r="B1063" t="s">
        <v>3813</v>
      </c>
      <c r="C1063" t="s">
        <v>123</v>
      </c>
      <c r="D1063">
        <v>62</v>
      </c>
      <c r="E1063" t="s">
        <v>54</v>
      </c>
      <c r="F1063" t="s">
        <v>67</v>
      </c>
      <c r="G1063" s="1">
        <v>46006</v>
      </c>
      <c r="H1063" s="1">
        <v>46002</v>
      </c>
      <c r="I1063" t="s">
        <v>3812</v>
      </c>
      <c r="J1063" t="s">
        <v>3811</v>
      </c>
      <c r="K1063" t="s">
        <v>17</v>
      </c>
      <c r="L1063">
        <v>9702.99</v>
      </c>
      <c r="N1063">
        <v>375</v>
      </c>
      <c r="O1063" t="s">
        <v>34</v>
      </c>
    </row>
    <row r="1064" spans="1:15" x14ac:dyDescent="0.3">
      <c r="A1064" t="s">
        <v>3810</v>
      </c>
      <c r="B1064" t="s">
        <v>3809</v>
      </c>
      <c r="D1064">
        <v>69</v>
      </c>
      <c r="E1064" t="s">
        <v>21</v>
      </c>
      <c r="F1064" t="s">
        <v>90</v>
      </c>
      <c r="G1064" s="1">
        <v>46029</v>
      </c>
      <c r="H1064" s="1">
        <v>46027</v>
      </c>
      <c r="I1064" t="s">
        <v>3808</v>
      </c>
      <c r="J1064" t="s">
        <v>3807</v>
      </c>
      <c r="L1064">
        <v>13268.26</v>
      </c>
      <c r="M1064" t="s">
        <v>57</v>
      </c>
      <c r="N1064">
        <v>459</v>
      </c>
      <c r="O1064" t="s">
        <v>77</v>
      </c>
    </row>
    <row r="1065" spans="1:15" x14ac:dyDescent="0.3">
      <c r="A1065" t="s">
        <v>3806</v>
      </c>
      <c r="B1065" t="s">
        <v>3805</v>
      </c>
      <c r="C1065" t="s">
        <v>1</v>
      </c>
      <c r="D1065">
        <v>47</v>
      </c>
      <c r="E1065" t="s">
        <v>47</v>
      </c>
      <c r="F1065" t="s">
        <v>38</v>
      </c>
      <c r="G1065" s="1">
        <v>46007</v>
      </c>
      <c r="H1065" s="1">
        <v>45980</v>
      </c>
      <c r="I1065" t="s">
        <v>3804</v>
      </c>
      <c r="J1065" t="s">
        <v>3803</v>
      </c>
      <c r="K1065" t="s">
        <v>27</v>
      </c>
      <c r="L1065">
        <v>9187.48</v>
      </c>
      <c r="N1065">
        <v>168</v>
      </c>
      <c r="O1065" t="s">
        <v>77</v>
      </c>
    </row>
    <row r="1066" spans="1:15" x14ac:dyDescent="0.3">
      <c r="A1066" t="s">
        <v>3802</v>
      </c>
      <c r="B1066" t="s">
        <v>3801</v>
      </c>
      <c r="C1066" t="s">
        <v>40</v>
      </c>
      <c r="D1066">
        <v>45</v>
      </c>
      <c r="E1066" t="s">
        <v>31</v>
      </c>
      <c r="F1066" t="s">
        <v>53</v>
      </c>
      <c r="G1066" s="1">
        <v>46033</v>
      </c>
      <c r="H1066" s="1">
        <v>46024</v>
      </c>
      <c r="I1066" t="s">
        <v>3800</v>
      </c>
      <c r="J1066" t="s">
        <v>3799</v>
      </c>
      <c r="L1066">
        <v>3774.68</v>
      </c>
      <c r="N1066">
        <v>224</v>
      </c>
      <c r="O1066" t="s">
        <v>71</v>
      </c>
    </row>
    <row r="1067" spans="1:15" x14ac:dyDescent="0.3">
      <c r="A1067" t="s">
        <v>3798</v>
      </c>
      <c r="B1067" t="s">
        <v>3797</v>
      </c>
      <c r="C1067" t="s">
        <v>1</v>
      </c>
      <c r="D1067">
        <v>8</v>
      </c>
      <c r="E1067" t="s">
        <v>39</v>
      </c>
      <c r="F1067" t="s">
        <v>20</v>
      </c>
      <c r="G1067" s="1">
        <v>46062</v>
      </c>
      <c r="H1067" s="1">
        <v>46032</v>
      </c>
      <c r="I1067" t="s">
        <v>3796</v>
      </c>
      <c r="J1067" t="s">
        <v>3795</v>
      </c>
      <c r="K1067" t="s">
        <v>35</v>
      </c>
      <c r="L1067">
        <v>9561.0300000000007</v>
      </c>
      <c r="M1067" t="s">
        <v>27</v>
      </c>
      <c r="N1067">
        <v>456</v>
      </c>
      <c r="O1067" t="s">
        <v>16</v>
      </c>
    </row>
    <row r="1068" spans="1:15" x14ac:dyDescent="0.3">
      <c r="A1068" t="s">
        <v>3794</v>
      </c>
      <c r="B1068" t="s">
        <v>3793</v>
      </c>
      <c r="C1068" t="s">
        <v>60</v>
      </c>
      <c r="D1068">
        <v>7</v>
      </c>
      <c r="E1068" t="s">
        <v>80</v>
      </c>
      <c r="F1068" t="s">
        <v>20</v>
      </c>
      <c r="G1068" s="1">
        <v>46114</v>
      </c>
      <c r="H1068" s="1">
        <v>46099</v>
      </c>
      <c r="I1068" t="s">
        <v>3792</v>
      </c>
      <c r="J1068" t="s">
        <v>3791</v>
      </c>
      <c r="K1068" t="s">
        <v>35</v>
      </c>
      <c r="L1068">
        <v>948.61</v>
      </c>
      <c r="M1068" t="s">
        <v>17</v>
      </c>
      <c r="N1068">
        <v>172</v>
      </c>
      <c r="O1068" t="s">
        <v>77</v>
      </c>
    </row>
    <row r="1069" spans="1:15" x14ac:dyDescent="0.3">
      <c r="A1069" t="s">
        <v>3790</v>
      </c>
      <c r="B1069" t="s">
        <v>3789</v>
      </c>
      <c r="C1069" t="s">
        <v>1</v>
      </c>
      <c r="D1069">
        <v>10</v>
      </c>
      <c r="E1069" t="s">
        <v>47</v>
      </c>
      <c r="F1069" t="s">
        <v>90</v>
      </c>
      <c r="G1069" s="1">
        <v>46119</v>
      </c>
      <c r="H1069" s="1">
        <v>46115</v>
      </c>
      <c r="I1069" t="s">
        <v>3788</v>
      </c>
      <c r="J1069" t="s">
        <v>3787</v>
      </c>
      <c r="K1069" t="s">
        <v>35</v>
      </c>
      <c r="L1069">
        <v>11850.17</v>
      </c>
      <c r="M1069" t="s">
        <v>26</v>
      </c>
      <c r="N1069">
        <v>483</v>
      </c>
      <c r="O1069" t="s">
        <v>34</v>
      </c>
    </row>
    <row r="1070" spans="1:15" x14ac:dyDescent="0.3">
      <c r="A1070" t="s">
        <v>3786</v>
      </c>
      <c r="B1070" t="s">
        <v>3785</v>
      </c>
      <c r="C1070" t="s">
        <v>22</v>
      </c>
      <c r="D1070">
        <v>61</v>
      </c>
      <c r="E1070" t="s">
        <v>54</v>
      </c>
      <c r="F1070" t="s">
        <v>67</v>
      </c>
      <c r="G1070" s="1">
        <v>46126</v>
      </c>
      <c r="H1070" s="1">
        <v>46112</v>
      </c>
      <c r="I1070" t="s">
        <v>3784</v>
      </c>
      <c r="J1070" t="s">
        <v>3783</v>
      </c>
      <c r="K1070" t="s">
        <v>27</v>
      </c>
      <c r="L1070">
        <v>7311.87</v>
      </c>
      <c r="M1070" t="s">
        <v>26</v>
      </c>
      <c r="N1070">
        <v>130</v>
      </c>
      <c r="O1070" t="s">
        <v>25</v>
      </c>
    </row>
    <row r="1071" spans="1:15" x14ac:dyDescent="0.3">
      <c r="A1071" t="s">
        <v>3782</v>
      </c>
      <c r="B1071" t="s">
        <v>3781</v>
      </c>
      <c r="C1071" t="s">
        <v>40</v>
      </c>
      <c r="D1071">
        <v>78</v>
      </c>
      <c r="E1071" t="s">
        <v>39</v>
      </c>
      <c r="F1071" t="s">
        <v>53</v>
      </c>
      <c r="G1071" s="1">
        <v>46133</v>
      </c>
      <c r="H1071" s="1">
        <v>46133</v>
      </c>
      <c r="I1071" t="s">
        <v>3780</v>
      </c>
      <c r="J1071" t="s">
        <v>3779</v>
      </c>
      <c r="L1071">
        <v>20850.47</v>
      </c>
      <c r="N1071">
        <v>383</v>
      </c>
      <c r="O1071" t="s">
        <v>25</v>
      </c>
    </row>
    <row r="1072" spans="1:15" x14ac:dyDescent="0.3">
      <c r="A1072" t="s">
        <v>3778</v>
      </c>
      <c r="B1072" t="s">
        <v>3777</v>
      </c>
      <c r="C1072" t="s">
        <v>22</v>
      </c>
      <c r="D1072">
        <v>74</v>
      </c>
      <c r="E1072" t="s">
        <v>132</v>
      </c>
      <c r="F1072" t="s">
        <v>38</v>
      </c>
      <c r="G1072" s="1">
        <v>46142</v>
      </c>
      <c r="H1072" s="1">
        <v>46129</v>
      </c>
      <c r="I1072" t="s">
        <v>3776</v>
      </c>
      <c r="J1072" t="s">
        <v>3775</v>
      </c>
      <c r="K1072" t="s">
        <v>35</v>
      </c>
      <c r="L1072">
        <v>6941.32</v>
      </c>
      <c r="M1072" t="s">
        <v>64</v>
      </c>
      <c r="N1072">
        <v>367</v>
      </c>
      <c r="O1072" t="s">
        <v>16</v>
      </c>
    </row>
    <row r="1073" spans="1:15" x14ac:dyDescent="0.3">
      <c r="A1073" t="s">
        <v>3774</v>
      </c>
      <c r="B1073" t="s">
        <v>3773</v>
      </c>
      <c r="C1073" t="s">
        <v>0</v>
      </c>
      <c r="D1073">
        <v>28</v>
      </c>
      <c r="E1073" t="s">
        <v>54</v>
      </c>
      <c r="F1073" t="s">
        <v>46</v>
      </c>
      <c r="G1073" s="1">
        <v>45993</v>
      </c>
      <c r="H1073" s="1">
        <v>45986</v>
      </c>
      <c r="I1073" t="s">
        <v>3772</v>
      </c>
      <c r="J1073" t="s">
        <v>3771</v>
      </c>
      <c r="L1073">
        <v>4755.6099999999997</v>
      </c>
      <c r="M1073" t="s">
        <v>64</v>
      </c>
      <c r="N1073">
        <v>518</v>
      </c>
      <c r="O1073" t="s">
        <v>25</v>
      </c>
    </row>
    <row r="1074" spans="1:15" x14ac:dyDescent="0.3">
      <c r="A1074" t="s">
        <v>3770</v>
      </c>
      <c r="B1074" t="s">
        <v>3769</v>
      </c>
      <c r="D1074">
        <v>62</v>
      </c>
      <c r="E1074" t="s">
        <v>31</v>
      </c>
      <c r="F1074" t="s">
        <v>90</v>
      </c>
      <c r="G1074" s="1">
        <v>46106</v>
      </c>
      <c r="H1074" s="1">
        <v>46080</v>
      </c>
      <c r="I1074" t="s">
        <v>3768</v>
      </c>
      <c r="J1074" t="s">
        <v>3767</v>
      </c>
      <c r="L1074">
        <v>4287.6400000000003</v>
      </c>
      <c r="M1074" t="s">
        <v>17</v>
      </c>
      <c r="N1074">
        <v>431</v>
      </c>
      <c r="O1074" t="s">
        <v>16</v>
      </c>
    </row>
    <row r="1075" spans="1:15" x14ac:dyDescent="0.3">
      <c r="A1075" t="s">
        <v>3766</v>
      </c>
      <c r="B1075" t="s">
        <v>3765</v>
      </c>
      <c r="C1075" t="s">
        <v>1</v>
      </c>
      <c r="D1075">
        <v>35</v>
      </c>
      <c r="E1075" t="s">
        <v>80</v>
      </c>
      <c r="F1075" t="s">
        <v>20</v>
      </c>
      <c r="G1075" s="1">
        <v>46020</v>
      </c>
      <c r="H1075" s="1">
        <v>46018</v>
      </c>
      <c r="I1075" t="s">
        <v>3764</v>
      </c>
      <c r="J1075" t="s">
        <v>3763</v>
      </c>
      <c r="K1075" t="s">
        <v>57</v>
      </c>
      <c r="L1075">
        <v>15159.12</v>
      </c>
      <c r="M1075" t="s">
        <v>17</v>
      </c>
      <c r="N1075">
        <v>114</v>
      </c>
      <c r="O1075" t="s">
        <v>71</v>
      </c>
    </row>
    <row r="1076" spans="1:15" x14ac:dyDescent="0.3">
      <c r="A1076" t="s">
        <v>3762</v>
      </c>
      <c r="B1076" t="s">
        <v>3761</v>
      </c>
      <c r="C1076" t="s">
        <v>22</v>
      </c>
      <c r="D1076">
        <v>21</v>
      </c>
      <c r="E1076" t="s">
        <v>80</v>
      </c>
      <c r="F1076" t="s">
        <v>20</v>
      </c>
      <c r="G1076" s="1">
        <v>46001</v>
      </c>
      <c r="H1076" s="1">
        <v>45995</v>
      </c>
      <c r="I1076" t="s">
        <v>3760</v>
      </c>
      <c r="J1076" t="s">
        <v>3759</v>
      </c>
      <c r="K1076" t="s">
        <v>27</v>
      </c>
      <c r="L1076">
        <v>18961.73</v>
      </c>
      <c r="M1076" t="s">
        <v>63</v>
      </c>
      <c r="N1076">
        <v>196</v>
      </c>
      <c r="O1076" t="s">
        <v>34</v>
      </c>
    </row>
    <row r="1077" spans="1:15" x14ac:dyDescent="0.3">
      <c r="A1077" t="s">
        <v>3758</v>
      </c>
      <c r="B1077" t="s">
        <v>3757</v>
      </c>
      <c r="C1077" t="s">
        <v>1</v>
      </c>
      <c r="D1077">
        <v>82</v>
      </c>
      <c r="E1077" t="s">
        <v>47</v>
      </c>
      <c r="F1077" t="s">
        <v>38</v>
      </c>
      <c r="G1077" s="1">
        <v>46069</v>
      </c>
      <c r="H1077" s="1">
        <v>46061</v>
      </c>
      <c r="I1077" t="s">
        <v>3756</v>
      </c>
      <c r="J1077" t="s">
        <v>3755</v>
      </c>
      <c r="K1077" t="s">
        <v>64</v>
      </c>
      <c r="L1077">
        <v>24421.25</v>
      </c>
      <c r="M1077" t="s">
        <v>27</v>
      </c>
      <c r="N1077">
        <v>388</v>
      </c>
      <c r="O1077" t="s">
        <v>50</v>
      </c>
    </row>
    <row r="1078" spans="1:15" x14ac:dyDescent="0.3">
      <c r="A1078" t="s">
        <v>3754</v>
      </c>
      <c r="B1078" t="s">
        <v>3753</v>
      </c>
      <c r="D1078">
        <v>6</v>
      </c>
      <c r="E1078" t="s">
        <v>47</v>
      </c>
      <c r="F1078" t="s">
        <v>67</v>
      </c>
      <c r="G1078" s="1">
        <v>46135</v>
      </c>
      <c r="H1078" s="1">
        <v>46133</v>
      </c>
      <c r="I1078" t="s">
        <v>3752</v>
      </c>
      <c r="J1078" t="s">
        <v>3751</v>
      </c>
      <c r="K1078" t="s">
        <v>26</v>
      </c>
      <c r="L1078">
        <v>410.27</v>
      </c>
      <c r="M1078" t="s">
        <v>17</v>
      </c>
      <c r="N1078">
        <v>484</v>
      </c>
      <c r="O1078" t="s">
        <v>43</v>
      </c>
    </row>
    <row r="1079" spans="1:15" x14ac:dyDescent="0.3">
      <c r="A1079" t="s">
        <v>3750</v>
      </c>
      <c r="B1079" t="s">
        <v>3749</v>
      </c>
      <c r="C1079" t="s">
        <v>123</v>
      </c>
      <c r="D1079">
        <v>65</v>
      </c>
      <c r="E1079" t="s">
        <v>21</v>
      </c>
      <c r="F1079" t="s">
        <v>67</v>
      </c>
      <c r="G1079" s="1">
        <v>46168</v>
      </c>
      <c r="H1079" s="1">
        <v>46144</v>
      </c>
      <c r="I1079" t="s">
        <v>3748</v>
      </c>
      <c r="J1079" t="s">
        <v>3747</v>
      </c>
      <c r="L1079">
        <v>18197.07</v>
      </c>
      <c r="M1079" t="s">
        <v>26</v>
      </c>
      <c r="N1079">
        <v>459</v>
      </c>
      <c r="O1079" t="s">
        <v>25</v>
      </c>
    </row>
    <row r="1080" spans="1:15" x14ac:dyDescent="0.3">
      <c r="A1080" t="s">
        <v>3746</v>
      </c>
      <c r="B1080" t="s">
        <v>3745</v>
      </c>
      <c r="C1080" t="s">
        <v>74</v>
      </c>
      <c r="D1080">
        <v>43</v>
      </c>
      <c r="E1080" t="s">
        <v>54</v>
      </c>
      <c r="F1080" t="s">
        <v>20</v>
      </c>
      <c r="G1080" s="1">
        <v>46108</v>
      </c>
      <c r="H1080" s="1">
        <v>46092</v>
      </c>
      <c r="I1080" t="s">
        <v>3744</v>
      </c>
      <c r="J1080" t="s">
        <v>3743</v>
      </c>
      <c r="K1080" t="s">
        <v>35</v>
      </c>
      <c r="L1080">
        <v>787.4</v>
      </c>
      <c r="N1080">
        <v>344</v>
      </c>
      <c r="O1080" t="s">
        <v>34</v>
      </c>
    </row>
    <row r="1081" spans="1:15" x14ac:dyDescent="0.3">
      <c r="A1081" t="s">
        <v>3742</v>
      </c>
      <c r="B1081" t="s">
        <v>3741</v>
      </c>
      <c r="C1081" t="s">
        <v>40</v>
      </c>
      <c r="D1081">
        <v>38</v>
      </c>
      <c r="E1081" t="s">
        <v>39</v>
      </c>
      <c r="F1081" t="s">
        <v>53</v>
      </c>
      <c r="G1081" s="1">
        <v>46082</v>
      </c>
      <c r="H1081" s="1">
        <v>46061</v>
      </c>
      <c r="I1081" t="s">
        <v>3740</v>
      </c>
      <c r="J1081" t="s">
        <v>3739</v>
      </c>
      <c r="L1081">
        <v>2153.0700000000002</v>
      </c>
      <c r="M1081" t="s">
        <v>64</v>
      </c>
      <c r="N1081">
        <v>467</v>
      </c>
      <c r="O1081" t="s">
        <v>71</v>
      </c>
    </row>
    <row r="1082" spans="1:15" x14ac:dyDescent="0.3">
      <c r="A1082" t="s">
        <v>3738</v>
      </c>
      <c r="B1082" t="s">
        <v>3737</v>
      </c>
      <c r="C1082" t="s">
        <v>1</v>
      </c>
      <c r="D1082">
        <v>88</v>
      </c>
      <c r="E1082" t="s">
        <v>39</v>
      </c>
      <c r="F1082" t="s">
        <v>53</v>
      </c>
      <c r="G1082" s="1">
        <v>46169</v>
      </c>
      <c r="H1082" s="1">
        <v>46139</v>
      </c>
      <c r="I1082" t="s">
        <v>3736</v>
      </c>
      <c r="J1082" t="s">
        <v>3735</v>
      </c>
      <c r="K1082" t="s">
        <v>57</v>
      </c>
      <c r="L1082">
        <v>11297.51</v>
      </c>
      <c r="M1082" t="s">
        <v>26</v>
      </c>
      <c r="N1082">
        <v>273</v>
      </c>
      <c r="O1082" t="s">
        <v>43</v>
      </c>
    </row>
    <row r="1083" spans="1:15" x14ac:dyDescent="0.3">
      <c r="A1083" t="s">
        <v>3734</v>
      </c>
      <c r="B1083" t="s">
        <v>3733</v>
      </c>
      <c r="C1083" t="s">
        <v>60</v>
      </c>
      <c r="D1083">
        <v>80</v>
      </c>
      <c r="E1083" t="s">
        <v>54</v>
      </c>
      <c r="F1083" t="s">
        <v>46</v>
      </c>
      <c r="G1083" s="1">
        <v>46046</v>
      </c>
      <c r="H1083" s="1">
        <v>46018</v>
      </c>
      <c r="I1083" t="s">
        <v>3732</v>
      </c>
      <c r="J1083" t="s">
        <v>3731</v>
      </c>
      <c r="L1083">
        <v>6129.94</v>
      </c>
      <c r="M1083" t="s">
        <v>64</v>
      </c>
      <c r="N1083">
        <v>178</v>
      </c>
      <c r="O1083" t="s">
        <v>34</v>
      </c>
    </row>
    <row r="1084" spans="1:15" x14ac:dyDescent="0.3">
      <c r="A1084" t="s">
        <v>3730</v>
      </c>
      <c r="B1084" t="s">
        <v>3729</v>
      </c>
      <c r="D1084">
        <v>13</v>
      </c>
      <c r="E1084" t="s">
        <v>47</v>
      </c>
      <c r="F1084" t="s">
        <v>53</v>
      </c>
      <c r="G1084" s="1">
        <v>46006</v>
      </c>
      <c r="H1084" s="1">
        <v>45982</v>
      </c>
      <c r="I1084" t="s">
        <v>3728</v>
      </c>
      <c r="J1084" t="s">
        <v>3727</v>
      </c>
      <c r="K1084" t="s">
        <v>26</v>
      </c>
      <c r="L1084">
        <v>13768.97</v>
      </c>
      <c r="M1084" t="s">
        <v>64</v>
      </c>
      <c r="N1084">
        <v>355</v>
      </c>
      <c r="O1084" t="s">
        <v>77</v>
      </c>
    </row>
    <row r="1085" spans="1:15" x14ac:dyDescent="0.3">
      <c r="A1085" t="s">
        <v>3726</v>
      </c>
      <c r="B1085" t="s">
        <v>3725</v>
      </c>
      <c r="D1085">
        <v>41</v>
      </c>
      <c r="E1085" t="s">
        <v>39</v>
      </c>
      <c r="F1085" t="s">
        <v>30</v>
      </c>
      <c r="G1085" s="1">
        <v>46023</v>
      </c>
      <c r="H1085" s="1">
        <v>46018</v>
      </c>
      <c r="I1085" t="s">
        <v>3724</v>
      </c>
      <c r="J1085" t="s">
        <v>3723</v>
      </c>
      <c r="K1085" t="s">
        <v>64</v>
      </c>
      <c r="L1085">
        <v>7146.91</v>
      </c>
      <c r="M1085" t="s">
        <v>17</v>
      </c>
      <c r="N1085">
        <v>280</v>
      </c>
      <c r="O1085" t="s">
        <v>77</v>
      </c>
    </row>
    <row r="1086" spans="1:15" x14ac:dyDescent="0.3">
      <c r="A1086" t="s">
        <v>3722</v>
      </c>
      <c r="B1086" t="s">
        <v>3721</v>
      </c>
      <c r="C1086" t="s">
        <v>74</v>
      </c>
      <c r="D1086">
        <v>23</v>
      </c>
      <c r="E1086" t="s">
        <v>68</v>
      </c>
      <c r="F1086" t="s">
        <v>30</v>
      </c>
      <c r="G1086" s="1">
        <v>46070</v>
      </c>
      <c r="H1086" s="1">
        <v>46055</v>
      </c>
      <c r="I1086" t="s">
        <v>3720</v>
      </c>
      <c r="J1086" t="s">
        <v>3719</v>
      </c>
      <c r="K1086" t="s">
        <v>26</v>
      </c>
      <c r="L1086">
        <v>19126.03</v>
      </c>
      <c r="N1086">
        <v>432</v>
      </c>
      <c r="O1086" t="s">
        <v>71</v>
      </c>
    </row>
    <row r="1087" spans="1:15" x14ac:dyDescent="0.3">
      <c r="A1087" t="s">
        <v>3718</v>
      </c>
      <c r="B1087" t="s">
        <v>3717</v>
      </c>
      <c r="C1087" t="s">
        <v>74</v>
      </c>
      <c r="D1087">
        <v>73</v>
      </c>
      <c r="E1087" t="s">
        <v>68</v>
      </c>
      <c r="F1087" t="s">
        <v>46</v>
      </c>
      <c r="G1087" s="1">
        <v>46096</v>
      </c>
      <c r="H1087" s="1">
        <v>46085</v>
      </c>
      <c r="I1087" t="s">
        <v>3716</v>
      </c>
      <c r="J1087" t="s">
        <v>3715</v>
      </c>
      <c r="K1087" t="s">
        <v>26</v>
      </c>
      <c r="L1087">
        <v>10143.290000000001</v>
      </c>
      <c r="M1087" t="s">
        <v>26</v>
      </c>
      <c r="N1087">
        <v>325</v>
      </c>
      <c r="O1087" t="s">
        <v>43</v>
      </c>
    </row>
    <row r="1088" spans="1:15" x14ac:dyDescent="0.3">
      <c r="A1088" t="s">
        <v>3714</v>
      </c>
      <c r="B1088" t="s">
        <v>3713</v>
      </c>
      <c r="C1088" t="s">
        <v>60</v>
      </c>
      <c r="D1088">
        <v>48</v>
      </c>
      <c r="E1088" t="s">
        <v>80</v>
      </c>
      <c r="F1088" t="s">
        <v>90</v>
      </c>
      <c r="G1088" s="1">
        <v>46059</v>
      </c>
      <c r="H1088" s="1">
        <v>46043</v>
      </c>
      <c r="I1088" t="s">
        <v>3712</v>
      </c>
      <c r="J1088" t="s">
        <v>3711</v>
      </c>
      <c r="L1088">
        <v>6718.12</v>
      </c>
      <c r="M1088" t="s">
        <v>27</v>
      </c>
      <c r="N1088">
        <v>417</v>
      </c>
      <c r="O1088" t="s">
        <v>25</v>
      </c>
    </row>
    <row r="1089" spans="1:15" x14ac:dyDescent="0.3">
      <c r="A1089" t="s">
        <v>3710</v>
      </c>
      <c r="B1089" t="s">
        <v>3709</v>
      </c>
      <c r="C1089" t="s">
        <v>40</v>
      </c>
      <c r="D1089">
        <v>32</v>
      </c>
      <c r="E1089" t="s">
        <v>3708</v>
      </c>
      <c r="F1089" t="s">
        <v>53</v>
      </c>
      <c r="G1089" s="1">
        <v>46173</v>
      </c>
      <c r="H1089" s="1">
        <v>46146</v>
      </c>
      <c r="I1089" t="s">
        <v>3707</v>
      </c>
      <c r="J1089" t="s">
        <v>3706</v>
      </c>
      <c r="K1089" t="s">
        <v>64</v>
      </c>
      <c r="L1089">
        <v>7408.38</v>
      </c>
      <c r="M1089" t="s">
        <v>26</v>
      </c>
      <c r="N1089">
        <v>391</v>
      </c>
      <c r="O1089" t="s">
        <v>16</v>
      </c>
    </row>
    <row r="1090" spans="1:15" x14ac:dyDescent="0.3">
      <c r="A1090" t="s">
        <v>3705</v>
      </c>
      <c r="B1090" t="s">
        <v>3704</v>
      </c>
      <c r="C1090" t="s">
        <v>74</v>
      </c>
      <c r="D1090">
        <v>29</v>
      </c>
      <c r="E1090" t="s">
        <v>54</v>
      </c>
      <c r="F1090" t="s">
        <v>85</v>
      </c>
      <c r="G1090" s="1">
        <v>46080</v>
      </c>
      <c r="H1090" s="1">
        <v>46059</v>
      </c>
      <c r="I1090" t="s">
        <v>3703</v>
      </c>
      <c r="J1090" t="s">
        <v>3702</v>
      </c>
      <c r="K1090" t="s">
        <v>64</v>
      </c>
      <c r="L1090">
        <v>8853.66</v>
      </c>
      <c r="N1090">
        <v>428</v>
      </c>
      <c r="O1090" t="s">
        <v>34</v>
      </c>
    </row>
    <row r="1091" spans="1:15" x14ac:dyDescent="0.3">
      <c r="A1091" t="s">
        <v>3701</v>
      </c>
      <c r="B1091" t="s">
        <v>3700</v>
      </c>
      <c r="D1091">
        <v>14</v>
      </c>
      <c r="E1091" t="s">
        <v>80</v>
      </c>
      <c r="F1091" t="s">
        <v>53</v>
      </c>
      <c r="G1091" s="1">
        <v>46030</v>
      </c>
      <c r="H1091" s="1">
        <v>46007</v>
      </c>
      <c r="I1091" t="s">
        <v>3699</v>
      </c>
      <c r="J1091" t="s">
        <v>3698</v>
      </c>
      <c r="K1091" t="s">
        <v>64</v>
      </c>
      <c r="L1091">
        <v>22953.02</v>
      </c>
      <c r="N1091">
        <v>493</v>
      </c>
      <c r="O1091" t="s">
        <v>16</v>
      </c>
    </row>
    <row r="1092" spans="1:15" x14ac:dyDescent="0.3">
      <c r="A1092" t="s">
        <v>3697</v>
      </c>
      <c r="B1092" t="s">
        <v>3696</v>
      </c>
      <c r="C1092" t="s">
        <v>1</v>
      </c>
      <c r="D1092">
        <v>52</v>
      </c>
      <c r="E1092" t="s">
        <v>31</v>
      </c>
      <c r="F1092" t="s">
        <v>20</v>
      </c>
      <c r="G1092" s="1">
        <v>46000</v>
      </c>
      <c r="H1092" s="1">
        <v>45990</v>
      </c>
      <c r="I1092" t="s">
        <v>3695</v>
      </c>
      <c r="J1092" t="s">
        <v>3694</v>
      </c>
      <c r="K1092" t="s">
        <v>57</v>
      </c>
      <c r="L1092">
        <v>24911.67</v>
      </c>
      <c r="N1092">
        <v>208</v>
      </c>
      <c r="O1092" t="s">
        <v>25</v>
      </c>
    </row>
    <row r="1093" spans="1:15" x14ac:dyDescent="0.3">
      <c r="A1093" t="s">
        <v>3693</v>
      </c>
      <c r="B1093" t="s">
        <v>3692</v>
      </c>
      <c r="D1093">
        <v>15</v>
      </c>
      <c r="E1093" t="s">
        <v>132</v>
      </c>
      <c r="F1093" t="s">
        <v>85</v>
      </c>
      <c r="G1093" s="1">
        <v>46137</v>
      </c>
      <c r="H1093" s="1">
        <v>46136</v>
      </c>
      <c r="I1093" t="s">
        <v>3691</v>
      </c>
      <c r="J1093" t="s">
        <v>3690</v>
      </c>
      <c r="K1093" t="s">
        <v>35</v>
      </c>
      <c r="L1093">
        <v>23723.64</v>
      </c>
      <c r="M1093" t="s">
        <v>26</v>
      </c>
      <c r="N1093">
        <v>427</v>
      </c>
      <c r="O1093" t="s">
        <v>71</v>
      </c>
    </row>
    <row r="1094" spans="1:15" x14ac:dyDescent="0.3">
      <c r="A1094" t="s">
        <v>3689</v>
      </c>
      <c r="B1094" t="s">
        <v>3688</v>
      </c>
      <c r="C1094" t="s">
        <v>60</v>
      </c>
      <c r="D1094">
        <v>220</v>
      </c>
      <c r="E1094" t="s">
        <v>47</v>
      </c>
      <c r="F1094" t="s">
        <v>90</v>
      </c>
      <c r="G1094" s="1">
        <v>46077</v>
      </c>
      <c r="H1094" s="1">
        <v>46076</v>
      </c>
      <c r="I1094" t="s">
        <v>3687</v>
      </c>
      <c r="J1094" t="s">
        <v>3686</v>
      </c>
      <c r="K1094" t="s">
        <v>57</v>
      </c>
      <c r="L1094">
        <v>19781.07</v>
      </c>
      <c r="N1094">
        <v>209</v>
      </c>
      <c r="O1094" t="s">
        <v>77</v>
      </c>
    </row>
    <row r="1095" spans="1:15" x14ac:dyDescent="0.3">
      <c r="A1095" t="s">
        <v>3685</v>
      </c>
      <c r="B1095" t="s">
        <v>3684</v>
      </c>
      <c r="C1095" t="s">
        <v>1</v>
      </c>
      <c r="D1095">
        <v>3</v>
      </c>
      <c r="E1095" t="s">
        <v>54</v>
      </c>
      <c r="F1095" t="s">
        <v>30</v>
      </c>
      <c r="G1095" s="1">
        <v>46008</v>
      </c>
      <c r="H1095" s="1">
        <v>46000</v>
      </c>
      <c r="I1095" t="s">
        <v>3683</v>
      </c>
      <c r="J1095" t="s">
        <v>3682</v>
      </c>
      <c r="K1095" t="s">
        <v>35</v>
      </c>
      <c r="L1095">
        <v>2273.06</v>
      </c>
      <c r="M1095" t="s">
        <v>64</v>
      </c>
      <c r="N1095">
        <v>240</v>
      </c>
      <c r="O1095" t="s">
        <v>16</v>
      </c>
    </row>
    <row r="1096" spans="1:15" x14ac:dyDescent="0.3">
      <c r="A1096" t="s">
        <v>3681</v>
      </c>
      <c r="B1096" t="s">
        <v>3680</v>
      </c>
      <c r="C1096" t="s">
        <v>74</v>
      </c>
      <c r="D1096">
        <v>39</v>
      </c>
      <c r="E1096" t="s">
        <v>68</v>
      </c>
      <c r="F1096" t="s">
        <v>90</v>
      </c>
      <c r="G1096" s="1">
        <v>46088</v>
      </c>
      <c r="H1096" s="1">
        <v>46072</v>
      </c>
      <c r="I1096" t="s">
        <v>3679</v>
      </c>
      <c r="J1096" t="s">
        <v>3678</v>
      </c>
      <c r="K1096" t="s">
        <v>17</v>
      </c>
      <c r="L1096">
        <v>16807.18</v>
      </c>
      <c r="M1096" t="s">
        <v>63</v>
      </c>
      <c r="N1096">
        <v>194</v>
      </c>
      <c r="O1096" t="s">
        <v>50</v>
      </c>
    </row>
    <row r="1097" spans="1:15" x14ac:dyDescent="0.3">
      <c r="A1097" t="s">
        <v>3677</v>
      </c>
      <c r="B1097" t="s">
        <v>3676</v>
      </c>
      <c r="C1097" t="s">
        <v>40</v>
      </c>
      <c r="D1097">
        <v>12</v>
      </c>
      <c r="E1097" t="s">
        <v>54</v>
      </c>
      <c r="F1097" t="s">
        <v>67</v>
      </c>
      <c r="G1097" s="1">
        <v>46081</v>
      </c>
      <c r="H1097" s="1">
        <v>46051</v>
      </c>
      <c r="I1097" t="s">
        <v>3675</v>
      </c>
      <c r="J1097" t="s">
        <v>3674</v>
      </c>
      <c r="K1097" t="s">
        <v>26</v>
      </c>
      <c r="L1097">
        <v>4280.43</v>
      </c>
      <c r="M1097" t="s">
        <v>17</v>
      </c>
      <c r="N1097">
        <v>314</v>
      </c>
      <c r="O1097" t="s">
        <v>16</v>
      </c>
    </row>
    <row r="1098" spans="1:15" x14ac:dyDescent="0.3">
      <c r="A1098" t="s">
        <v>3673</v>
      </c>
      <c r="B1098" t="s">
        <v>3672</v>
      </c>
      <c r="D1098">
        <v>69</v>
      </c>
      <c r="E1098" t="s">
        <v>39</v>
      </c>
      <c r="F1098" t="s">
        <v>90</v>
      </c>
      <c r="G1098" s="1">
        <v>46065</v>
      </c>
      <c r="H1098" s="1">
        <v>46054</v>
      </c>
      <c r="I1098" t="s">
        <v>3671</v>
      </c>
      <c r="J1098" t="s">
        <v>3670</v>
      </c>
      <c r="L1098">
        <v>20610.79</v>
      </c>
      <c r="M1098" t="s">
        <v>57</v>
      </c>
      <c r="N1098">
        <v>139</v>
      </c>
      <c r="O1098" t="s">
        <v>25</v>
      </c>
    </row>
    <row r="1099" spans="1:15" x14ac:dyDescent="0.3">
      <c r="A1099" t="s">
        <v>3669</v>
      </c>
      <c r="B1099" t="s">
        <v>3668</v>
      </c>
      <c r="C1099" t="s">
        <v>0</v>
      </c>
      <c r="D1099">
        <v>42</v>
      </c>
      <c r="E1099" t="s">
        <v>31</v>
      </c>
      <c r="F1099" t="s">
        <v>46</v>
      </c>
      <c r="G1099" s="1">
        <v>46133</v>
      </c>
      <c r="H1099" s="1">
        <v>46129</v>
      </c>
      <c r="I1099" t="s">
        <v>3667</v>
      </c>
      <c r="J1099" t="s">
        <v>3666</v>
      </c>
      <c r="L1099">
        <v>23358.720000000001</v>
      </c>
      <c r="N1099">
        <v>542</v>
      </c>
      <c r="O1099" t="s">
        <v>43</v>
      </c>
    </row>
    <row r="1100" spans="1:15" x14ac:dyDescent="0.3">
      <c r="A1100" t="s">
        <v>3665</v>
      </c>
      <c r="B1100" t="s">
        <v>3664</v>
      </c>
      <c r="C1100" t="s">
        <v>74</v>
      </c>
      <c r="D1100">
        <v>87</v>
      </c>
      <c r="E1100" t="s">
        <v>54</v>
      </c>
      <c r="F1100" t="s">
        <v>30</v>
      </c>
      <c r="G1100" s="1">
        <v>46008</v>
      </c>
      <c r="H1100" s="1">
        <v>45992</v>
      </c>
      <c r="I1100" t="s">
        <v>3663</v>
      </c>
      <c r="J1100" t="s">
        <v>3662</v>
      </c>
      <c r="K1100" t="s">
        <v>27</v>
      </c>
      <c r="L1100">
        <v>24708.32</v>
      </c>
      <c r="M1100" t="s">
        <v>26</v>
      </c>
      <c r="N1100">
        <v>424</v>
      </c>
      <c r="O1100" t="s">
        <v>16</v>
      </c>
    </row>
    <row r="1101" spans="1:15" x14ac:dyDescent="0.3">
      <c r="A1101" t="s">
        <v>3661</v>
      </c>
      <c r="B1101" t="s">
        <v>3660</v>
      </c>
      <c r="C1101" t="s">
        <v>74</v>
      </c>
      <c r="D1101">
        <v>5</v>
      </c>
      <c r="E1101" t="s">
        <v>21</v>
      </c>
      <c r="F1101" t="s">
        <v>38</v>
      </c>
      <c r="G1101" s="1">
        <v>46157</v>
      </c>
      <c r="H1101" s="1">
        <v>46144</v>
      </c>
      <c r="I1101" t="s">
        <v>3659</v>
      </c>
      <c r="J1101" t="s">
        <v>3658</v>
      </c>
      <c r="K1101" t="s">
        <v>35</v>
      </c>
      <c r="L1101">
        <v>15103.4</v>
      </c>
      <c r="M1101" t="s">
        <v>57</v>
      </c>
      <c r="N1101">
        <v>278</v>
      </c>
      <c r="O1101" t="s">
        <v>71</v>
      </c>
    </row>
    <row r="1102" spans="1:15" x14ac:dyDescent="0.3">
      <c r="A1102" t="s">
        <v>3657</v>
      </c>
      <c r="B1102" t="s">
        <v>3656</v>
      </c>
      <c r="C1102" t="s">
        <v>1</v>
      </c>
      <c r="D1102">
        <v>87</v>
      </c>
      <c r="E1102" t="s">
        <v>47</v>
      </c>
      <c r="F1102" t="s">
        <v>67</v>
      </c>
      <c r="G1102" s="1">
        <v>46018</v>
      </c>
      <c r="H1102" s="1">
        <v>45992</v>
      </c>
      <c r="I1102" t="s">
        <v>3655</v>
      </c>
      <c r="J1102" t="s">
        <v>3654</v>
      </c>
      <c r="K1102" t="s">
        <v>57</v>
      </c>
      <c r="L1102">
        <v>601.54</v>
      </c>
      <c r="M1102" t="s">
        <v>63</v>
      </c>
      <c r="N1102">
        <v>357</v>
      </c>
      <c r="O1102" t="s">
        <v>50</v>
      </c>
    </row>
    <row r="1103" spans="1:15" x14ac:dyDescent="0.3">
      <c r="A1103" t="s">
        <v>3653</v>
      </c>
      <c r="B1103" t="s">
        <v>3652</v>
      </c>
      <c r="C1103" t="s">
        <v>74</v>
      </c>
      <c r="D1103">
        <v>90</v>
      </c>
      <c r="E1103" t="s">
        <v>68</v>
      </c>
      <c r="F1103" t="s">
        <v>85</v>
      </c>
      <c r="G1103" s="1">
        <v>46059</v>
      </c>
      <c r="H1103" s="1">
        <v>46046</v>
      </c>
      <c r="I1103" t="s">
        <v>3651</v>
      </c>
      <c r="J1103" t="s">
        <v>3650</v>
      </c>
      <c r="L1103">
        <v>8922.8799999999992</v>
      </c>
      <c r="N1103">
        <v>367</v>
      </c>
      <c r="O1103" t="s">
        <v>50</v>
      </c>
    </row>
    <row r="1104" spans="1:15" x14ac:dyDescent="0.3">
      <c r="A1104" t="s">
        <v>3649</v>
      </c>
      <c r="B1104" t="s">
        <v>3648</v>
      </c>
      <c r="C1104" t="s">
        <v>60</v>
      </c>
      <c r="D1104">
        <v>15</v>
      </c>
      <c r="E1104" t="s">
        <v>39</v>
      </c>
      <c r="F1104" t="s">
        <v>85</v>
      </c>
      <c r="G1104" s="1">
        <v>46029</v>
      </c>
      <c r="H1104" s="1">
        <v>46016</v>
      </c>
      <c r="I1104" t="s">
        <v>3647</v>
      </c>
      <c r="J1104" t="s">
        <v>3646</v>
      </c>
      <c r="K1104" t="s">
        <v>57</v>
      </c>
      <c r="L1104">
        <v>4587</v>
      </c>
      <c r="M1104" t="s">
        <v>26</v>
      </c>
      <c r="N1104">
        <v>377</v>
      </c>
      <c r="O1104" t="s">
        <v>16</v>
      </c>
    </row>
    <row r="1105" spans="1:15" x14ac:dyDescent="0.3">
      <c r="A1105" t="s">
        <v>3645</v>
      </c>
      <c r="B1105" t="s">
        <v>3644</v>
      </c>
      <c r="C1105" t="s">
        <v>123</v>
      </c>
      <c r="D1105">
        <v>37</v>
      </c>
      <c r="E1105" t="s">
        <v>54</v>
      </c>
      <c r="F1105" t="s">
        <v>30</v>
      </c>
      <c r="G1105" s="1">
        <v>46076</v>
      </c>
      <c r="H1105" s="1">
        <v>46054</v>
      </c>
      <c r="I1105" t="s">
        <v>3643</v>
      </c>
      <c r="J1105" t="s">
        <v>3642</v>
      </c>
      <c r="K1105" t="s">
        <v>64</v>
      </c>
      <c r="L1105">
        <v>24885.01</v>
      </c>
      <c r="M1105" t="s">
        <v>64</v>
      </c>
      <c r="N1105">
        <v>145</v>
      </c>
      <c r="O1105" t="s">
        <v>25</v>
      </c>
    </row>
    <row r="1106" spans="1:15" x14ac:dyDescent="0.3">
      <c r="A1106" t="s">
        <v>3641</v>
      </c>
      <c r="B1106" t="s">
        <v>3640</v>
      </c>
      <c r="C1106" t="s">
        <v>40</v>
      </c>
      <c r="D1106">
        <v>79</v>
      </c>
      <c r="E1106" t="s">
        <v>54</v>
      </c>
      <c r="F1106" t="s">
        <v>20</v>
      </c>
      <c r="G1106" s="1">
        <v>46114</v>
      </c>
      <c r="H1106" s="1">
        <v>46099</v>
      </c>
      <c r="I1106" t="s">
        <v>3639</v>
      </c>
      <c r="J1106" t="s">
        <v>3638</v>
      </c>
      <c r="K1106" t="s">
        <v>64</v>
      </c>
      <c r="L1106">
        <v>15911.42</v>
      </c>
      <c r="M1106" t="s">
        <v>27</v>
      </c>
      <c r="N1106">
        <v>441</v>
      </c>
      <c r="O1106" t="s">
        <v>43</v>
      </c>
    </row>
    <row r="1107" spans="1:15" x14ac:dyDescent="0.3">
      <c r="A1107" t="s">
        <v>3637</v>
      </c>
      <c r="B1107" t="s">
        <v>3636</v>
      </c>
      <c r="C1107" t="s">
        <v>123</v>
      </c>
      <c r="D1107">
        <v>28</v>
      </c>
      <c r="E1107" t="s">
        <v>21</v>
      </c>
      <c r="F1107" t="s">
        <v>85</v>
      </c>
      <c r="G1107" s="1">
        <v>46159</v>
      </c>
      <c r="H1107" s="1">
        <v>46142</v>
      </c>
      <c r="I1107" t="s">
        <v>3635</v>
      </c>
      <c r="J1107" t="s">
        <v>3634</v>
      </c>
      <c r="L1107">
        <v>3039.63</v>
      </c>
      <c r="N1107">
        <v>163</v>
      </c>
      <c r="O1107" t="s">
        <v>43</v>
      </c>
    </row>
    <row r="1108" spans="1:15" x14ac:dyDescent="0.3">
      <c r="A1108" t="s">
        <v>3633</v>
      </c>
      <c r="B1108" t="s">
        <v>3632</v>
      </c>
      <c r="D1108">
        <v>53</v>
      </c>
      <c r="E1108" t="s">
        <v>54</v>
      </c>
      <c r="F1108" t="s">
        <v>46</v>
      </c>
      <c r="G1108" s="1">
        <v>46155</v>
      </c>
      <c r="H1108" s="1">
        <v>46125</v>
      </c>
      <c r="I1108" t="s">
        <v>3631</v>
      </c>
      <c r="J1108" t="s">
        <v>3630</v>
      </c>
      <c r="K1108" t="s">
        <v>57</v>
      </c>
      <c r="L1108">
        <v>19598.46</v>
      </c>
      <c r="M1108" t="s">
        <v>63</v>
      </c>
      <c r="N1108">
        <v>237</v>
      </c>
      <c r="O1108" t="s">
        <v>25</v>
      </c>
    </row>
    <row r="1109" spans="1:15" x14ac:dyDescent="0.3">
      <c r="A1109" t="s">
        <v>3629</v>
      </c>
      <c r="B1109" t="s">
        <v>3628</v>
      </c>
      <c r="C1109" t="s">
        <v>22</v>
      </c>
      <c r="D1109">
        <v>40</v>
      </c>
      <c r="E1109" t="s">
        <v>54</v>
      </c>
      <c r="F1109" t="s">
        <v>38</v>
      </c>
      <c r="G1109" s="1">
        <v>46038</v>
      </c>
      <c r="H1109" s="1">
        <v>46038</v>
      </c>
      <c r="I1109" t="s">
        <v>3627</v>
      </c>
      <c r="J1109" t="s">
        <v>3626</v>
      </c>
      <c r="L1109">
        <v>1010.33</v>
      </c>
      <c r="M1109" t="s">
        <v>27</v>
      </c>
      <c r="N1109">
        <v>178</v>
      </c>
      <c r="O1109" t="s">
        <v>50</v>
      </c>
    </row>
    <row r="1110" spans="1:15" x14ac:dyDescent="0.3">
      <c r="A1110" t="s">
        <v>3625</v>
      </c>
      <c r="B1110" t="s">
        <v>3624</v>
      </c>
      <c r="C1110" t="s">
        <v>60</v>
      </c>
      <c r="D1110">
        <v>67</v>
      </c>
      <c r="E1110" t="s">
        <v>31</v>
      </c>
      <c r="F1110" t="s">
        <v>67</v>
      </c>
      <c r="G1110" s="1">
        <v>45988</v>
      </c>
      <c r="H1110" s="1">
        <v>45983</v>
      </c>
      <c r="I1110" t="s">
        <v>3623</v>
      </c>
      <c r="J1110" t="s">
        <v>3622</v>
      </c>
      <c r="L1110">
        <v>6197.41</v>
      </c>
      <c r="N1110">
        <v>198</v>
      </c>
      <c r="O1110" t="s">
        <v>34</v>
      </c>
    </row>
    <row r="1111" spans="1:15" x14ac:dyDescent="0.3">
      <c r="A1111" t="s">
        <v>3621</v>
      </c>
      <c r="B1111" t="s">
        <v>3620</v>
      </c>
      <c r="C1111" t="s">
        <v>123</v>
      </c>
      <c r="D1111">
        <v>7</v>
      </c>
      <c r="E1111" t="s">
        <v>54</v>
      </c>
      <c r="F1111" t="s">
        <v>53</v>
      </c>
      <c r="G1111" s="1">
        <v>46154</v>
      </c>
      <c r="H1111" s="1">
        <v>46124</v>
      </c>
      <c r="I1111" t="s">
        <v>3619</v>
      </c>
      <c r="J1111" t="s">
        <v>3618</v>
      </c>
      <c r="L1111">
        <v>24438.42</v>
      </c>
      <c r="M1111" t="s">
        <v>26</v>
      </c>
      <c r="N1111">
        <v>306</v>
      </c>
      <c r="O1111" t="s">
        <v>43</v>
      </c>
    </row>
    <row r="1112" spans="1:15" x14ac:dyDescent="0.3">
      <c r="A1112" t="s">
        <v>3617</v>
      </c>
      <c r="B1112" t="s">
        <v>3616</v>
      </c>
      <c r="C1112" t="s">
        <v>0</v>
      </c>
      <c r="D1112">
        <v>56</v>
      </c>
      <c r="E1112" t="s">
        <v>21</v>
      </c>
      <c r="F1112" t="s">
        <v>20</v>
      </c>
      <c r="G1112" s="1">
        <v>46010</v>
      </c>
      <c r="H1112" s="1">
        <v>45988</v>
      </c>
      <c r="I1112" t="s">
        <v>3615</v>
      </c>
      <c r="J1112" t="s">
        <v>3614</v>
      </c>
      <c r="K1112" t="s">
        <v>35</v>
      </c>
      <c r="L1112">
        <v>12705.57</v>
      </c>
      <c r="N1112">
        <v>531</v>
      </c>
      <c r="O1112" t="s">
        <v>50</v>
      </c>
    </row>
    <row r="1113" spans="1:15" x14ac:dyDescent="0.3">
      <c r="A1113" t="s">
        <v>3613</v>
      </c>
      <c r="B1113" t="s">
        <v>3612</v>
      </c>
      <c r="C1113" t="s">
        <v>22</v>
      </c>
      <c r="D1113">
        <v>71</v>
      </c>
      <c r="E1113" t="s">
        <v>39</v>
      </c>
      <c r="F1113" t="s">
        <v>67</v>
      </c>
      <c r="G1113" s="1">
        <v>46113</v>
      </c>
      <c r="H1113" s="1">
        <v>46107</v>
      </c>
      <c r="I1113" t="s">
        <v>3611</v>
      </c>
      <c r="J1113" t="s">
        <v>3610</v>
      </c>
      <c r="K1113" t="s">
        <v>64</v>
      </c>
      <c r="L1113">
        <v>2512.98</v>
      </c>
      <c r="N1113">
        <v>105</v>
      </c>
      <c r="O1113" t="s">
        <v>25</v>
      </c>
    </row>
    <row r="1114" spans="1:15" x14ac:dyDescent="0.3">
      <c r="A1114" t="s">
        <v>3609</v>
      </c>
      <c r="B1114" t="s">
        <v>3608</v>
      </c>
      <c r="C1114" t="s">
        <v>0</v>
      </c>
      <c r="D1114">
        <v>4</v>
      </c>
      <c r="E1114" t="s">
        <v>80</v>
      </c>
      <c r="F1114" t="s">
        <v>90</v>
      </c>
      <c r="G1114" s="1">
        <v>46110</v>
      </c>
      <c r="H1114" s="1">
        <v>46110</v>
      </c>
      <c r="I1114" t="s">
        <v>3607</v>
      </c>
      <c r="J1114" t="s">
        <v>3606</v>
      </c>
      <c r="K1114" t="s">
        <v>35</v>
      </c>
      <c r="L1114">
        <v>24588.67</v>
      </c>
      <c r="M1114" t="s">
        <v>17</v>
      </c>
      <c r="N1114">
        <v>195</v>
      </c>
      <c r="O1114" t="s">
        <v>71</v>
      </c>
    </row>
    <row r="1115" spans="1:15" x14ac:dyDescent="0.3">
      <c r="A1115" t="s">
        <v>3605</v>
      </c>
      <c r="B1115" t="s">
        <v>3604</v>
      </c>
      <c r="C1115" t="s">
        <v>1</v>
      </c>
      <c r="D1115">
        <v>39</v>
      </c>
      <c r="E1115" t="s">
        <v>21</v>
      </c>
      <c r="F1115" t="s">
        <v>38</v>
      </c>
      <c r="G1115" s="1">
        <v>46064</v>
      </c>
      <c r="H1115" s="1">
        <v>46041</v>
      </c>
      <c r="I1115" t="s">
        <v>3603</v>
      </c>
      <c r="J1115" t="s">
        <v>3602</v>
      </c>
      <c r="L1115">
        <v>19305.71</v>
      </c>
      <c r="M1115" t="s">
        <v>27</v>
      </c>
      <c r="N1115">
        <v>240</v>
      </c>
      <c r="O1115" t="s">
        <v>77</v>
      </c>
    </row>
    <row r="1116" spans="1:15" x14ac:dyDescent="0.3">
      <c r="A1116" t="s">
        <v>3601</v>
      </c>
      <c r="B1116" t="s">
        <v>3600</v>
      </c>
      <c r="C1116" t="s">
        <v>0</v>
      </c>
      <c r="D1116">
        <v>81</v>
      </c>
      <c r="E1116" t="s">
        <v>47</v>
      </c>
      <c r="F1116" t="s">
        <v>20</v>
      </c>
      <c r="G1116" s="1">
        <v>46073</v>
      </c>
      <c r="H1116" s="1">
        <v>46070</v>
      </c>
      <c r="I1116" t="s">
        <v>3599</v>
      </c>
      <c r="J1116" t="s">
        <v>3598</v>
      </c>
      <c r="L1116">
        <v>23194.54</v>
      </c>
      <c r="M1116" t="s">
        <v>64</v>
      </c>
      <c r="N1116">
        <v>154</v>
      </c>
      <c r="O1116" t="s">
        <v>71</v>
      </c>
    </row>
    <row r="1117" spans="1:15" x14ac:dyDescent="0.3">
      <c r="A1117" t="s">
        <v>3597</v>
      </c>
      <c r="B1117" t="s">
        <v>3596</v>
      </c>
      <c r="C1117" t="s">
        <v>22</v>
      </c>
      <c r="D1117">
        <v>34</v>
      </c>
      <c r="E1117" t="s">
        <v>39</v>
      </c>
      <c r="F1117" t="s">
        <v>20</v>
      </c>
      <c r="G1117" s="1">
        <v>46019</v>
      </c>
      <c r="H1117" s="1">
        <v>46017</v>
      </c>
      <c r="I1117" t="s">
        <v>3595</v>
      </c>
      <c r="J1117" t="s">
        <v>3594</v>
      </c>
      <c r="L1117">
        <v>21146.67</v>
      </c>
      <c r="M1117" t="s">
        <v>57</v>
      </c>
      <c r="N1117">
        <v>300</v>
      </c>
      <c r="O1117" t="s">
        <v>77</v>
      </c>
    </row>
    <row r="1118" spans="1:15" x14ac:dyDescent="0.3">
      <c r="A1118" t="s">
        <v>3593</v>
      </c>
      <c r="B1118" t="s">
        <v>3592</v>
      </c>
      <c r="D1118">
        <v>3</v>
      </c>
      <c r="E1118" t="s">
        <v>54</v>
      </c>
      <c r="F1118" t="s">
        <v>20</v>
      </c>
      <c r="G1118" s="1">
        <v>46121</v>
      </c>
      <c r="H1118" s="1">
        <v>46106</v>
      </c>
      <c r="I1118" t="s">
        <v>3591</v>
      </c>
      <c r="J1118" t="s">
        <v>3590</v>
      </c>
      <c r="K1118" t="s">
        <v>64</v>
      </c>
      <c r="L1118">
        <v>5415.34</v>
      </c>
      <c r="N1118">
        <v>292</v>
      </c>
      <c r="O1118" t="s">
        <v>43</v>
      </c>
    </row>
    <row r="1119" spans="1:15" x14ac:dyDescent="0.3">
      <c r="A1119" t="s">
        <v>3589</v>
      </c>
      <c r="B1119" t="s">
        <v>3588</v>
      </c>
      <c r="D1119">
        <v>21</v>
      </c>
      <c r="E1119" t="s">
        <v>39</v>
      </c>
      <c r="F1119" t="s">
        <v>30</v>
      </c>
      <c r="G1119" s="1">
        <v>46016</v>
      </c>
      <c r="H1119" s="1">
        <v>46016</v>
      </c>
      <c r="I1119" t="s">
        <v>3587</v>
      </c>
      <c r="J1119" t="s">
        <v>3586</v>
      </c>
      <c r="K1119" t="s">
        <v>35</v>
      </c>
      <c r="L1119">
        <v>16559.73</v>
      </c>
      <c r="M1119" t="s">
        <v>27</v>
      </c>
      <c r="N1119">
        <v>160</v>
      </c>
      <c r="O1119" t="s">
        <v>43</v>
      </c>
    </row>
    <row r="1120" spans="1:15" x14ac:dyDescent="0.3">
      <c r="A1120" t="s">
        <v>3585</v>
      </c>
      <c r="B1120" t="s">
        <v>3584</v>
      </c>
      <c r="C1120" t="s">
        <v>60</v>
      </c>
      <c r="D1120">
        <v>62</v>
      </c>
      <c r="E1120" t="s">
        <v>47</v>
      </c>
      <c r="F1120" t="s">
        <v>53</v>
      </c>
      <c r="G1120" s="1">
        <v>45993</v>
      </c>
      <c r="H1120" s="1">
        <v>45977</v>
      </c>
      <c r="I1120" t="s">
        <v>3583</v>
      </c>
      <c r="J1120" t="s">
        <v>3582</v>
      </c>
      <c r="K1120" t="s">
        <v>26</v>
      </c>
      <c r="L1120">
        <v>23179.26</v>
      </c>
      <c r="M1120" t="s">
        <v>57</v>
      </c>
      <c r="N1120">
        <v>410</v>
      </c>
      <c r="O1120" t="s">
        <v>77</v>
      </c>
    </row>
    <row r="1121" spans="1:15" x14ac:dyDescent="0.3">
      <c r="A1121" t="s">
        <v>3581</v>
      </c>
      <c r="B1121" t="s">
        <v>3580</v>
      </c>
      <c r="C1121" t="s">
        <v>40</v>
      </c>
      <c r="D1121">
        <v>67</v>
      </c>
      <c r="E1121" t="s">
        <v>39</v>
      </c>
      <c r="F1121" t="s">
        <v>38</v>
      </c>
      <c r="G1121" s="1">
        <v>46108</v>
      </c>
      <c r="H1121" s="1">
        <v>46081</v>
      </c>
      <c r="I1121" t="s">
        <v>3579</v>
      </c>
      <c r="J1121" t="s">
        <v>3578</v>
      </c>
      <c r="K1121" t="s">
        <v>57</v>
      </c>
      <c r="L1121">
        <v>3046.75</v>
      </c>
      <c r="M1121" t="s">
        <v>57</v>
      </c>
      <c r="N1121">
        <v>115</v>
      </c>
      <c r="O1121" t="s">
        <v>43</v>
      </c>
    </row>
    <row r="1122" spans="1:15" x14ac:dyDescent="0.3">
      <c r="A1122" t="s">
        <v>3577</v>
      </c>
      <c r="B1122" t="s">
        <v>3576</v>
      </c>
      <c r="C1122" t="s">
        <v>0</v>
      </c>
      <c r="D1122">
        <v>29</v>
      </c>
      <c r="E1122" t="s">
        <v>80</v>
      </c>
      <c r="F1122" t="s">
        <v>53</v>
      </c>
      <c r="G1122" s="1">
        <v>46043</v>
      </c>
      <c r="H1122" s="1">
        <v>46035</v>
      </c>
      <c r="I1122" t="s">
        <v>3575</v>
      </c>
      <c r="J1122" t="s">
        <v>3574</v>
      </c>
      <c r="K1122" t="s">
        <v>26</v>
      </c>
      <c r="L1122">
        <v>12143.06</v>
      </c>
      <c r="M1122" t="s">
        <v>64</v>
      </c>
      <c r="N1122">
        <v>278</v>
      </c>
      <c r="O1122" t="s">
        <v>25</v>
      </c>
    </row>
    <row r="1123" spans="1:15" x14ac:dyDescent="0.3">
      <c r="A1123" t="s">
        <v>3573</v>
      </c>
      <c r="B1123" t="s">
        <v>3572</v>
      </c>
      <c r="C1123" t="s">
        <v>22</v>
      </c>
      <c r="D1123">
        <v>60</v>
      </c>
      <c r="E1123" t="s">
        <v>68</v>
      </c>
      <c r="F1123" t="s">
        <v>90</v>
      </c>
      <c r="G1123" s="1">
        <v>46066</v>
      </c>
      <c r="H1123" s="1">
        <v>46050</v>
      </c>
      <c r="I1123" t="s">
        <v>3571</v>
      </c>
      <c r="J1123" t="s">
        <v>3570</v>
      </c>
      <c r="L1123">
        <v>23074.23</v>
      </c>
      <c r="M1123" t="s">
        <v>63</v>
      </c>
      <c r="N1123">
        <v>188</v>
      </c>
      <c r="O1123" t="s">
        <v>71</v>
      </c>
    </row>
    <row r="1124" spans="1:15" x14ac:dyDescent="0.3">
      <c r="A1124" t="s">
        <v>3569</v>
      </c>
      <c r="B1124" t="s">
        <v>3568</v>
      </c>
      <c r="C1124" t="s">
        <v>22</v>
      </c>
      <c r="D1124">
        <v>51</v>
      </c>
      <c r="E1124" t="s">
        <v>80</v>
      </c>
      <c r="F1124" t="s">
        <v>30</v>
      </c>
      <c r="G1124" s="1">
        <v>45985</v>
      </c>
      <c r="H1124" s="1">
        <v>45980</v>
      </c>
      <c r="I1124" t="s">
        <v>3567</v>
      </c>
      <c r="J1124" t="s">
        <v>3566</v>
      </c>
      <c r="K1124" t="s">
        <v>17</v>
      </c>
      <c r="L1124">
        <v>23853.3</v>
      </c>
      <c r="N1124">
        <v>321</v>
      </c>
      <c r="O1124" t="s">
        <v>16</v>
      </c>
    </row>
    <row r="1125" spans="1:15" x14ac:dyDescent="0.3">
      <c r="A1125" t="s">
        <v>3565</v>
      </c>
      <c r="B1125" t="s">
        <v>3564</v>
      </c>
      <c r="C1125" t="s">
        <v>123</v>
      </c>
      <c r="D1125">
        <v>77</v>
      </c>
      <c r="E1125" t="s">
        <v>132</v>
      </c>
      <c r="F1125" t="s">
        <v>67</v>
      </c>
      <c r="G1125" s="1">
        <v>46062</v>
      </c>
      <c r="H1125" s="1">
        <v>46043</v>
      </c>
      <c r="I1125" t="s">
        <v>3563</v>
      </c>
      <c r="J1125" t="s">
        <v>3562</v>
      </c>
      <c r="K1125" t="s">
        <v>64</v>
      </c>
      <c r="L1125">
        <v>15260.93</v>
      </c>
      <c r="N1125">
        <v>202</v>
      </c>
      <c r="O1125" t="s">
        <v>34</v>
      </c>
    </row>
    <row r="1126" spans="1:15" x14ac:dyDescent="0.3">
      <c r="A1126" t="s">
        <v>3561</v>
      </c>
      <c r="B1126" t="s">
        <v>3560</v>
      </c>
      <c r="C1126" t="s">
        <v>60</v>
      </c>
      <c r="D1126">
        <v>48</v>
      </c>
      <c r="E1126" t="s">
        <v>80</v>
      </c>
      <c r="F1126" t="s">
        <v>85</v>
      </c>
      <c r="G1126" s="1">
        <v>46094</v>
      </c>
      <c r="H1126" s="1">
        <v>46089</v>
      </c>
      <c r="I1126" t="s">
        <v>3559</v>
      </c>
      <c r="J1126" t="s">
        <v>3558</v>
      </c>
      <c r="K1126" t="s">
        <v>27</v>
      </c>
      <c r="L1126">
        <v>23960.82</v>
      </c>
      <c r="M1126" t="s">
        <v>63</v>
      </c>
      <c r="N1126">
        <v>400</v>
      </c>
      <c r="O1126" t="s">
        <v>16</v>
      </c>
    </row>
    <row r="1127" spans="1:15" x14ac:dyDescent="0.3">
      <c r="A1127" t="s">
        <v>3557</v>
      </c>
      <c r="B1127" t="s">
        <v>3556</v>
      </c>
      <c r="C1127" t="s">
        <v>22</v>
      </c>
      <c r="D1127">
        <v>78</v>
      </c>
      <c r="E1127" t="s">
        <v>31</v>
      </c>
      <c r="F1127" t="s">
        <v>90</v>
      </c>
      <c r="G1127" s="1">
        <v>46024</v>
      </c>
      <c r="H1127" s="1">
        <v>46024</v>
      </c>
      <c r="I1127" t="s">
        <v>3555</v>
      </c>
      <c r="J1127" t="s">
        <v>3554</v>
      </c>
      <c r="K1127" t="s">
        <v>64</v>
      </c>
      <c r="L1127">
        <v>4661.63</v>
      </c>
      <c r="M1127" t="s">
        <v>17</v>
      </c>
      <c r="N1127">
        <v>319</v>
      </c>
      <c r="O1127" t="s">
        <v>50</v>
      </c>
    </row>
    <row r="1128" spans="1:15" x14ac:dyDescent="0.3">
      <c r="A1128" t="s">
        <v>3553</v>
      </c>
      <c r="B1128" t="s">
        <v>3552</v>
      </c>
      <c r="C1128" t="s">
        <v>0</v>
      </c>
      <c r="D1128">
        <v>46</v>
      </c>
      <c r="E1128" t="s">
        <v>21</v>
      </c>
      <c r="F1128" t="s">
        <v>20</v>
      </c>
      <c r="G1128" s="1">
        <v>46005</v>
      </c>
      <c r="H1128" s="1">
        <v>45999</v>
      </c>
      <c r="I1128" t="s">
        <v>3551</v>
      </c>
      <c r="J1128" t="s">
        <v>3550</v>
      </c>
      <c r="K1128" t="s">
        <v>57</v>
      </c>
      <c r="L1128">
        <v>9424.7099999999991</v>
      </c>
      <c r="M1128" t="s">
        <v>17</v>
      </c>
      <c r="N1128">
        <v>162</v>
      </c>
      <c r="O1128" t="s">
        <v>77</v>
      </c>
    </row>
    <row r="1129" spans="1:15" x14ac:dyDescent="0.3">
      <c r="A1129" t="s">
        <v>3549</v>
      </c>
      <c r="B1129" t="s">
        <v>3548</v>
      </c>
      <c r="C1129" t="s">
        <v>60</v>
      </c>
      <c r="D1129">
        <v>-5</v>
      </c>
      <c r="E1129" t="s">
        <v>47</v>
      </c>
      <c r="F1129" t="s">
        <v>67</v>
      </c>
      <c r="G1129" s="1">
        <v>46034</v>
      </c>
      <c r="H1129" s="1">
        <v>46028</v>
      </c>
      <c r="I1129" t="s">
        <v>3547</v>
      </c>
      <c r="L1129">
        <v>-500</v>
      </c>
      <c r="M1129" t="s">
        <v>17</v>
      </c>
      <c r="N1129">
        <v>219</v>
      </c>
      <c r="O1129" t="s">
        <v>34</v>
      </c>
    </row>
    <row r="1130" spans="1:15" x14ac:dyDescent="0.3">
      <c r="A1130" t="s">
        <v>3546</v>
      </c>
      <c r="B1130" t="s">
        <v>3545</v>
      </c>
      <c r="C1130" t="s">
        <v>74</v>
      </c>
      <c r="D1130">
        <v>50</v>
      </c>
      <c r="E1130" t="s">
        <v>132</v>
      </c>
      <c r="F1130" t="s">
        <v>38</v>
      </c>
      <c r="G1130" s="1">
        <v>46033</v>
      </c>
      <c r="H1130" s="1">
        <v>46017</v>
      </c>
      <c r="I1130" t="s">
        <v>3544</v>
      </c>
      <c r="J1130" t="s">
        <v>3543</v>
      </c>
      <c r="K1130" t="s">
        <v>17</v>
      </c>
      <c r="L1130">
        <v>2752.42</v>
      </c>
      <c r="M1130" t="s">
        <v>63</v>
      </c>
      <c r="N1130">
        <v>466</v>
      </c>
      <c r="O1130" t="s">
        <v>34</v>
      </c>
    </row>
    <row r="1131" spans="1:15" x14ac:dyDescent="0.3">
      <c r="A1131" t="s">
        <v>3542</v>
      </c>
      <c r="B1131" t="s">
        <v>3541</v>
      </c>
      <c r="C1131" t="s">
        <v>74</v>
      </c>
      <c r="D1131">
        <v>74</v>
      </c>
      <c r="E1131" t="s">
        <v>54</v>
      </c>
      <c r="F1131" t="s">
        <v>90</v>
      </c>
      <c r="G1131" s="1">
        <v>46147</v>
      </c>
      <c r="H1131" s="1">
        <v>46137</v>
      </c>
      <c r="I1131" t="s">
        <v>3540</v>
      </c>
      <c r="J1131" t="s">
        <v>3539</v>
      </c>
      <c r="K1131" t="s">
        <v>57</v>
      </c>
      <c r="L1131">
        <v>5114.13</v>
      </c>
      <c r="M1131" t="s">
        <v>27</v>
      </c>
      <c r="N1131">
        <v>510</v>
      </c>
      <c r="O1131" t="s">
        <v>16</v>
      </c>
    </row>
    <row r="1132" spans="1:15" x14ac:dyDescent="0.3">
      <c r="A1132" t="s">
        <v>3538</v>
      </c>
      <c r="B1132" t="s">
        <v>3537</v>
      </c>
      <c r="D1132">
        <v>6</v>
      </c>
      <c r="E1132" t="s">
        <v>132</v>
      </c>
      <c r="F1132" t="s">
        <v>90</v>
      </c>
      <c r="G1132" s="1">
        <v>46095</v>
      </c>
      <c r="H1132" s="1">
        <v>46092</v>
      </c>
      <c r="I1132" t="s">
        <v>3536</v>
      </c>
      <c r="J1132" t="s">
        <v>3535</v>
      </c>
      <c r="K1132" t="s">
        <v>64</v>
      </c>
      <c r="L1132">
        <v>11429.07</v>
      </c>
      <c r="M1132" t="s">
        <v>17</v>
      </c>
      <c r="N1132">
        <v>402</v>
      </c>
      <c r="O1132" t="s">
        <v>16</v>
      </c>
    </row>
    <row r="1133" spans="1:15" x14ac:dyDescent="0.3">
      <c r="A1133" t="s">
        <v>3534</v>
      </c>
      <c r="B1133" t="s">
        <v>3533</v>
      </c>
      <c r="C1133" t="s">
        <v>1</v>
      </c>
      <c r="D1133">
        <v>74</v>
      </c>
      <c r="E1133" t="s">
        <v>47</v>
      </c>
      <c r="F1133" t="s">
        <v>30</v>
      </c>
      <c r="G1133" s="1">
        <v>46033</v>
      </c>
      <c r="H1133" s="1">
        <v>46033</v>
      </c>
      <c r="I1133" t="s">
        <v>3532</v>
      </c>
      <c r="J1133" t="s">
        <v>3531</v>
      </c>
      <c r="K1133" t="s">
        <v>27</v>
      </c>
      <c r="L1133">
        <v>22808.75</v>
      </c>
      <c r="M1133" t="s">
        <v>63</v>
      </c>
      <c r="N1133">
        <v>167</v>
      </c>
      <c r="O1133" t="s">
        <v>50</v>
      </c>
    </row>
    <row r="1134" spans="1:15" x14ac:dyDescent="0.3">
      <c r="A1134" t="s">
        <v>3530</v>
      </c>
      <c r="B1134" t="s">
        <v>3529</v>
      </c>
      <c r="C1134" t="s">
        <v>123</v>
      </c>
      <c r="D1134">
        <v>5</v>
      </c>
      <c r="E1134" t="s">
        <v>47</v>
      </c>
      <c r="F1134" t="s">
        <v>67</v>
      </c>
      <c r="G1134" s="1">
        <v>46012</v>
      </c>
      <c r="H1134" s="1">
        <v>45992</v>
      </c>
      <c r="I1134" t="s">
        <v>3528</v>
      </c>
      <c r="J1134" t="s">
        <v>3527</v>
      </c>
      <c r="K1134" t="s">
        <v>27</v>
      </c>
      <c r="L1134">
        <v>1922.46</v>
      </c>
      <c r="M1134" t="s">
        <v>64</v>
      </c>
      <c r="N1134">
        <v>524</v>
      </c>
      <c r="O1134" t="s">
        <v>50</v>
      </c>
    </row>
    <row r="1135" spans="1:15" x14ac:dyDescent="0.3">
      <c r="A1135" t="s">
        <v>3526</v>
      </c>
      <c r="B1135" t="s">
        <v>3525</v>
      </c>
      <c r="C1135" t="s">
        <v>123</v>
      </c>
      <c r="D1135">
        <v>39</v>
      </c>
      <c r="E1135" t="s">
        <v>132</v>
      </c>
      <c r="F1135" t="s">
        <v>67</v>
      </c>
      <c r="G1135" s="1">
        <v>46096</v>
      </c>
      <c r="H1135" s="1">
        <v>46072</v>
      </c>
      <c r="I1135" t="s">
        <v>3524</v>
      </c>
      <c r="J1135" t="s">
        <v>3523</v>
      </c>
      <c r="K1135" t="s">
        <v>57</v>
      </c>
      <c r="L1135">
        <v>10128.540000000001</v>
      </c>
      <c r="M1135" t="s">
        <v>17</v>
      </c>
      <c r="N1135">
        <v>352</v>
      </c>
      <c r="O1135" t="s">
        <v>34</v>
      </c>
    </row>
    <row r="1136" spans="1:15" x14ac:dyDescent="0.3">
      <c r="A1136" t="s">
        <v>3522</v>
      </c>
      <c r="B1136" t="s">
        <v>3521</v>
      </c>
      <c r="C1136" t="s">
        <v>40</v>
      </c>
      <c r="D1136">
        <v>51</v>
      </c>
      <c r="E1136" t="s">
        <v>132</v>
      </c>
      <c r="F1136" t="s">
        <v>85</v>
      </c>
      <c r="G1136" s="1">
        <v>46074</v>
      </c>
      <c r="H1136" s="1">
        <v>46059</v>
      </c>
      <c r="I1136" t="s">
        <v>3520</v>
      </c>
      <c r="J1136" t="s">
        <v>3519</v>
      </c>
      <c r="K1136" t="s">
        <v>64</v>
      </c>
      <c r="L1136">
        <v>21108.28</v>
      </c>
      <c r="M1136" t="s">
        <v>64</v>
      </c>
      <c r="N1136">
        <v>114</v>
      </c>
      <c r="O1136" t="s">
        <v>71</v>
      </c>
    </row>
    <row r="1137" spans="1:15" x14ac:dyDescent="0.3">
      <c r="A1137" t="s">
        <v>3518</v>
      </c>
      <c r="B1137" t="s">
        <v>3517</v>
      </c>
      <c r="C1137" t="s">
        <v>40</v>
      </c>
      <c r="D1137">
        <v>2</v>
      </c>
      <c r="E1137" t="s">
        <v>39</v>
      </c>
      <c r="F1137" t="s">
        <v>20</v>
      </c>
      <c r="G1137" s="1">
        <v>46035</v>
      </c>
      <c r="H1137" s="1">
        <v>46025</v>
      </c>
      <c r="I1137" t="s">
        <v>3516</v>
      </c>
      <c r="J1137" t="s">
        <v>3515</v>
      </c>
      <c r="L1137">
        <v>5813.26</v>
      </c>
      <c r="M1137" t="s">
        <v>64</v>
      </c>
      <c r="N1137">
        <v>197</v>
      </c>
      <c r="O1137" t="s">
        <v>25</v>
      </c>
    </row>
    <row r="1138" spans="1:15" x14ac:dyDescent="0.3">
      <c r="A1138" t="s">
        <v>3514</v>
      </c>
      <c r="B1138" t="s">
        <v>3513</v>
      </c>
      <c r="C1138" t="s">
        <v>60</v>
      </c>
      <c r="D1138">
        <v>69</v>
      </c>
      <c r="E1138" t="s">
        <v>47</v>
      </c>
      <c r="F1138" t="s">
        <v>46</v>
      </c>
      <c r="G1138" s="1">
        <v>46147</v>
      </c>
      <c r="H1138" s="1">
        <v>46139</v>
      </c>
      <c r="I1138" t="s">
        <v>3512</v>
      </c>
      <c r="J1138" t="s">
        <v>3511</v>
      </c>
      <c r="K1138" t="s">
        <v>27</v>
      </c>
      <c r="L1138">
        <v>2947.93</v>
      </c>
      <c r="M1138" t="s">
        <v>63</v>
      </c>
      <c r="N1138">
        <v>138</v>
      </c>
      <c r="O1138" t="s">
        <v>43</v>
      </c>
    </row>
    <row r="1139" spans="1:15" x14ac:dyDescent="0.3">
      <c r="A1139" t="s">
        <v>3510</v>
      </c>
      <c r="B1139" t="s">
        <v>3509</v>
      </c>
      <c r="C1139" t="s">
        <v>60</v>
      </c>
      <c r="D1139">
        <v>89</v>
      </c>
      <c r="E1139" t="s">
        <v>54</v>
      </c>
      <c r="F1139" t="s">
        <v>30</v>
      </c>
      <c r="G1139" s="1">
        <v>46103</v>
      </c>
      <c r="H1139" s="1">
        <v>46081</v>
      </c>
      <c r="I1139" t="s">
        <v>3508</v>
      </c>
      <c r="J1139" t="s">
        <v>3507</v>
      </c>
      <c r="K1139" t="s">
        <v>35</v>
      </c>
      <c r="L1139">
        <v>23136.49</v>
      </c>
      <c r="N1139">
        <v>161</v>
      </c>
      <c r="O1139" t="s">
        <v>71</v>
      </c>
    </row>
    <row r="1140" spans="1:15" x14ac:dyDescent="0.3">
      <c r="A1140" t="s">
        <v>3506</v>
      </c>
      <c r="B1140" t="s">
        <v>3505</v>
      </c>
      <c r="C1140" t="s">
        <v>60</v>
      </c>
      <c r="D1140">
        <v>19</v>
      </c>
      <c r="E1140" t="s">
        <v>54</v>
      </c>
      <c r="F1140" t="s">
        <v>85</v>
      </c>
      <c r="G1140" s="1">
        <v>46014</v>
      </c>
      <c r="H1140" s="1">
        <v>45993</v>
      </c>
      <c r="I1140" t="s">
        <v>3504</v>
      </c>
      <c r="J1140" t="s">
        <v>3503</v>
      </c>
      <c r="K1140" t="s">
        <v>64</v>
      </c>
      <c r="L1140">
        <v>13139.74</v>
      </c>
      <c r="M1140" t="s">
        <v>57</v>
      </c>
      <c r="N1140">
        <v>395</v>
      </c>
      <c r="O1140" t="s">
        <v>16</v>
      </c>
    </row>
    <row r="1141" spans="1:15" x14ac:dyDescent="0.3">
      <c r="A1141" t="s">
        <v>3502</v>
      </c>
      <c r="B1141" t="s">
        <v>3501</v>
      </c>
      <c r="D1141">
        <v>36</v>
      </c>
      <c r="E1141" t="s">
        <v>31</v>
      </c>
      <c r="F1141" t="s">
        <v>85</v>
      </c>
      <c r="G1141" s="1">
        <v>46030</v>
      </c>
      <c r="H1141" s="1">
        <v>46023</v>
      </c>
      <c r="I1141" t="s">
        <v>3500</v>
      </c>
      <c r="J1141" t="s">
        <v>3499</v>
      </c>
      <c r="K1141" t="s">
        <v>64</v>
      </c>
      <c r="L1141">
        <v>6742.54</v>
      </c>
      <c r="M1141" t="s">
        <v>63</v>
      </c>
      <c r="N1141">
        <v>464</v>
      </c>
      <c r="O1141" t="s">
        <v>77</v>
      </c>
    </row>
    <row r="1142" spans="1:15" x14ac:dyDescent="0.3">
      <c r="A1142" t="s">
        <v>3498</v>
      </c>
      <c r="B1142" t="s">
        <v>3497</v>
      </c>
      <c r="C1142" t="s">
        <v>60</v>
      </c>
      <c r="D1142">
        <v>72</v>
      </c>
      <c r="E1142" t="s">
        <v>21</v>
      </c>
      <c r="F1142" t="s">
        <v>38</v>
      </c>
      <c r="G1142" s="1">
        <v>46006</v>
      </c>
      <c r="H1142" s="1">
        <v>45984</v>
      </c>
      <c r="I1142" t="s">
        <v>3496</v>
      </c>
      <c r="J1142" t="s">
        <v>3495</v>
      </c>
      <c r="K1142" t="s">
        <v>64</v>
      </c>
      <c r="L1142">
        <v>2063.58</v>
      </c>
      <c r="N1142">
        <v>130</v>
      </c>
      <c r="O1142" t="s">
        <v>71</v>
      </c>
    </row>
    <row r="1143" spans="1:15" x14ac:dyDescent="0.3">
      <c r="A1143" t="s">
        <v>3494</v>
      </c>
      <c r="B1143" t="s">
        <v>3493</v>
      </c>
      <c r="C1143" t="s">
        <v>40</v>
      </c>
      <c r="D1143">
        <v>86</v>
      </c>
      <c r="E1143" t="s">
        <v>21</v>
      </c>
      <c r="F1143" t="s">
        <v>85</v>
      </c>
      <c r="G1143" s="1">
        <v>46150</v>
      </c>
      <c r="H1143" s="1">
        <v>46124</v>
      </c>
      <c r="I1143" t="s">
        <v>3492</v>
      </c>
      <c r="J1143" t="s">
        <v>3491</v>
      </c>
      <c r="L1143">
        <v>4860.3500000000004</v>
      </c>
      <c r="M1143" t="s">
        <v>64</v>
      </c>
      <c r="N1143">
        <v>274</v>
      </c>
      <c r="O1143" t="s">
        <v>71</v>
      </c>
    </row>
    <row r="1144" spans="1:15" x14ac:dyDescent="0.3">
      <c r="A1144" t="s">
        <v>3490</v>
      </c>
      <c r="B1144" t="s">
        <v>3489</v>
      </c>
      <c r="C1144" t="s">
        <v>60</v>
      </c>
      <c r="D1144">
        <v>40</v>
      </c>
      <c r="E1144" t="s">
        <v>68</v>
      </c>
      <c r="F1144" t="s">
        <v>53</v>
      </c>
      <c r="G1144" s="1">
        <v>46176</v>
      </c>
      <c r="H1144" s="1">
        <v>46149</v>
      </c>
      <c r="I1144" t="s">
        <v>3488</v>
      </c>
      <c r="J1144" t="s">
        <v>3487</v>
      </c>
      <c r="K1144" t="s">
        <v>64</v>
      </c>
      <c r="L1144">
        <v>22870.31</v>
      </c>
      <c r="M1144" t="s">
        <v>57</v>
      </c>
      <c r="N1144">
        <v>286</v>
      </c>
      <c r="O1144" t="s">
        <v>16</v>
      </c>
    </row>
    <row r="1145" spans="1:15" x14ac:dyDescent="0.3">
      <c r="A1145" t="s">
        <v>3486</v>
      </c>
      <c r="B1145" t="s">
        <v>3485</v>
      </c>
      <c r="D1145">
        <v>80</v>
      </c>
      <c r="E1145" t="s">
        <v>21</v>
      </c>
      <c r="F1145" t="s">
        <v>90</v>
      </c>
      <c r="G1145" s="1">
        <v>46018</v>
      </c>
      <c r="H1145" s="1">
        <v>46012</v>
      </c>
      <c r="I1145" t="s">
        <v>3484</v>
      </c>
      <c r="J1145" t="s">
        <v>3483</v>
      </c>
      <c r="K1145" t="s">
        <v>64</v>
      </c>
      <c r="L1145">
        <v>7090.39</v>
      </c>
      <c r="M1145" t="s">
        <v>26</v>
      </c>
      <c r="N1145">
        <v>451</v>
      </c>
      <c r="O1145" t="s">
        <v>43</v>
      </c>
    </row>
    <row r="1146" spans="1:15" x14ac:dyDescent="0.3">
      <c r="A1146" t="s">
        <v>3482</v>
      </c>
      <c r="B1146" t="s">
        <v>3481</v>
      </c>
      <c r="C1146" t="s">
        <v>74</v>
      </c>
      <c r="D1146">
        <v>19</v>
      </c>
      <c r="E1146" t="s">
        <v>68</v>
      </c>
      <c r="F1146" t="s">
        <v>20</v>
      </c>
      <c r="G1146" s="1">
        <v>46005</v>
      </c>
      <c r="H1146" s="1">
        <v>45982</v>
      </c>
      <c r="I1146" t="s">
        <v>3480</v>
      </c>
      <c r="J1146" t="s">
        <v>3479</v>
      </c>
      <c r="K1146" t="s">
        <v>64</v>
      </c>
      <c r="L1146">
        <v>6165.95</v>
      </c>
      <c r="N1146">
        <v>195</v>
      </c>
      <c r="O1146" t="s">
        <v>43</v>
      </c>
    </row>
    <row r="1147" spans="1:15" x14ac:dyDescent="0.3">
      <c r="A1147" t="s">
        <v>3478</v>
      </c>
      <c r="B1147" t="s">
        <v>3477</v>
      </c>
      <c r="C1147" t="s">
        <v>40</v>
      </c>
      <c r="D1147">
        <v>61</v>
      </c>
      <c r="E1147" t="s">
        <v>68</v>
      </c>
      <c r="F1147" t="s">
        <v>67</v>
      </c>
      <c r="G1147" s="1">
        <v>46084</v>
      </c>
      <c r="H1147" s="1">
        <v>46076</v>
      </c>
      <c r="I1147" t="s">
        <v>3476</v>
      </c>
      <c r="J1147" t="s">
        <v>3475</v>
      </c>
      <c r="K1147" t="s">
        <v>64</v>
      </c>
      <c r="L1147">
        <v>23187.81</v>
      </c>
      <c r="M1147" t="s">
        <v>64</v>
      </c>
      <c r="N1147">
        <v>281</v>
      </c>
      <c r="O1147" t="s">
        <v>16</v>
      </c>
    </row>
    <row r="1148" spans="1:15" x14ac:dyDescent="0.3">
      <c r="A1148" t="s">
        <v>3474</v>
      </c>
      <c r="B1148" t="s">
        <v>3473</v>
      </c>
      <c r="C1148" t="s">
        <v>1</v>
      </c>
      <c r="D1148">
        <v>20</v>
      </c>
      <c r="E1148" t="s">
        <v>54</v>
      </c>
      <c r="F1148" t="s">
        <v>90</v>
      </c>
      <c r="G1148" s="1">
        <v>46031</v>
      </c>
      <c r="H1148" s="1">
        <v>46015</v>
      </c>
      <c r="I1148" t="s">
        <v>3472</v>
      </c>
      <c r="J1148" t="s">
        <v>3471</v>
      </c>
      <c r="K1148" t="s">
        <v>57</v>
      </c>
      <c r="L1148">
        <v>1518.3</v>
      </c>
      <c r="M1148" t="s">
        <v>63</v>
      </c>
      <c r="N1148">
        <v>289</v>
      </c>
      <c r="O1148" t="s">
        <v>77</v>
      </c>
    </row>
    <row r="1149" spans="1:15" x14ac:dyDescent="0.3">
      <c r="A1149" t="s">
        <v>3470</v>
      </c>
      <c r="B1149" t="s">
        <v>3469</v>
      </c>
      <c r="C1149" t="s">
        <v>40</v>
      </c>
      <c r="D1149">
        <v>84</v>
      </c>
      <c r="E1149" t="s">
        <v>54</v>
      </c>
      <c r="F1149" t="s">
        <v>90</v>
      </c>
      <c r="G1149" s="1">
        <v>46035</v>
      </c>
      <c r="H1149" s="1">
        <v>46029</v>
      </c>
      <c r="I1149" t="s">
        <v>3468</v>
      </c>
      <c r="J1149" t="s">
        <v>3467</v>
      </c>
      <c r="K1149" t="s">
        <v>26</v>
      </c>
      <c r="L1149">
        <v>4898.3500000000004</v>
      </c>
      <c r="M1149" t="s">
        <v>26</v>
      </c>
      <c r="N1149">
        <v>404</v>
      </c>
      <c r="O1149" t="s">
        <v>43</v>
      </c>
    </row>
    <row r="1150" spans="1:15" x14ac:dyDescent="0.3">
      <c r="A1150" t="s">
        <v>3466</v>
      </c>
      <c r="B1150" t="s">
        <v>3465</v>
      </c>
      <c r="D1150">
        <v>67</v>
      </c>
      <c r="E1150" t="s">
        <v>54</v>
      </c>
      <c r="F1150" t="s">
        <v>20</v>
      </c>
      <c r="G1150" s="1">
        <v>46050</v>
      </c>
      <c r="H1150" s="1">
        <v>46029</v>
      </c>
      <c r="I1150" t="s">
        <v>3464</v>
      </c>
      <c r="J1150" t="s">
        <v>3463</v>
      </c>
      <c r="K1150" t="s">
        <v>27</v>
      </c>
      <c r="L1150">
        <v>16229.35</v>
      </c>
      <c r="M1150" t="s">
        <v>64</v>
      </c>
      <c r="N1150">
        <v>212</v>
      </c>
      <c r="O1150" t="s">
        <v>77</v>
      </c>
    </row>
    <row r="1151" spans="1:15" x14ac:dyDescent="0.3">
      <c r="A1151" t="s">
        <v>3462</v>
      </c>
      <c r="B1151" t="s">
        <v>3461</v>
      </c>
      <c r="C1151" t="s">
        <v>40</v>
      </c>
      <c r="D1151">
        <v>5</v>
      </c>
      <c r="E1151" t="s">
        <v>132</v>
      </c>
      <c r="F1151" t="s">
        <v>38</v>
      </c>
      <c r="G1151" s="1">
        <v>46140</v>
      </c>
      <c r="H1151" s="1">
        <v>46138</v>
      </c>
      <c r="I1151" t="s">
        <v>3460</v>
      </c>
      <c r="J1151" t="s">
        <v>3459</v>
      </c>
      <c r="K1151" t="s">
        <v>64</v>
      </c>
      <c r="L1151">
        <v>7031.4</v>
      </c>
      <c r="N1151">
        <v>300</v>
      </c>
      <c r="O1151" t="s">
        <v>16</v>
      </c>
    </row>
    <row r="1152" spans="1:15" x14ac:dyDescent="0.3">
      <c r="A1152" t="s">
        <v>3458</v>
      </c>
      <c r="B1152" t="s">
        <v>3457</v>
      </c>
      <c r="C1152" t="s">
        <v>74</v>
      </c>
      <c r="D1152">
        <v>29</v>
      </c>
      <c r="E1152" t="s">
        <v>132</v>
      </c>
      <c r="F1152" t="s">
        <v>85</v>
      </c>
      <c r="G1152" s="1">
        <v>46094</v>
      </c>
      <c r="H1152" s="1">
        <v>46088</v>
      </c>
      <c r="I1152" t="s">
        <v>3456</v>
      </c>
      <c r="J1152" t="s">
        <v>3455</v>
      </c>
      <c r="K1152" t="s">
        <v>35</v>
      </c>
      <c r="L1152">
        <v>19686.05</v>
      </c>
      <c r="M1152" t="s">
        <v>17</v>
      </c>
      <c r="N1152">
        <v>426</v>
      </c>
      <c r="O1152" t="s">
        <v>43</v>
      </c>
    </row>
    <row r="1153" spans="1:15" x14ac:dyDescent="0.3">
      <c r="A1153" t="s">
        <v>3454</v>
      </c>
      <c r="B1153" t="s">
        <v>3453</v>
      </c>
      <c r="C1153" t="s">
        <v>22</v>
      </c>
      <c r="D1153">
        <v>1</v>
      </c>
      <c r="E1153" t="s">
        <v>80</v>
      </c>
      <c r="F1153" t="s">
        <v>53</v>
      </c>
      <c r="G1153" s="1">
        <v>46123</v>
      </c>
      <c r="H1153" s="1">
        <v>46107</v>
      </c>
      <c r="I1153" t="s">
        <v>3452</v>
      </c>
      <c r="J1153" t="s">
        <v>3451</v>
      </c>
      <c r="L1153">
        <v>18529.45</v>
      </c>
      <c r="M1153" t="s">
        <v>57</v>
      </c>
      <c r="N1153">
        <v>187</v>
      </c>
      <c r="O1153" t="s">
        <v>43</v>
      </c>
    </row>
    <row r="1154" spans="1:15" x14ac:dyDescent="0.3">
      <c r="A1154" t="s">
        <v>3450</v>
      </c>
      <c r="B1154" t="s">
        <v>3449</v>
      </c>
      <c r="C1154" t="s">
        <v>74</v>
      </c>
      <c r="D1154">
        <v>22</v>
      </c>
      <c r="E1154" t="s">
        <v>39</v>
      </c>
      <c r="F1154" t="s">
        <v>67</v>
      </c>
      <c r="G1154" s="1">
        <v>46096</v>
      </c>
      <c r="H1154" s="1">
        <v>46068</v>
      </c>
      <c r="I1154" t="s">
        <v>3448</v>
      </c>
      <c r="J1154" t="s">
        <v>3447</v>
      </c>
      <c r="L1154">
        <v>3717.47</v>
      </c>
      <c r="M1154" t="s">
        <v>27</v>
      </c>
      <c r="N1154">
        <v>441</v>
      </c>
      <c r="O1154" t="s">
        <v>16</v>
      </c>
    </row>
    <row r="1155" spans="1:15" x14ac:dyDescent="0.3">
      <c r="A1155" t="s">
        <v>3446</v>
      </c>
      <c r="B1155" t="s">
        <v>3445</v>
      </c>
      <c r="C1155" t="s">
        <v>123</v>
      </c>
      <c r="D1155">
        <v>43</v>
      </c>
      <c r="E1155" t="s">
        <v>47</v>
      </c>
      <c r="F1155" t="s">
        <v>53</v>
      </c>
      <c r="G1155" s="1">
        <v>46098</v>
      </c>
      <c r="H1155" s="1">
        <v>46090</v>
      </c>
      <c r="I1155" t="s">
        <v>3444</v>
      </c>
      <c r="J1155" t="s">
        <v>3443</v>
      </c>
      <c r="K1155" t="s">
        <v>64</v>
      </c>
      <c r="L1155">
        <v>4433.9799999999996</v>
      </c>
      <c r="M1155" t="s">
        <v>27</v>
      </c>
      <c r="N1155">
        <v>404</v>
      </c>
      <c r="O1155" t="s">
        <v>43</v>
      </c>
    </row>
    <row r="1156" spans="1:15" x14ac:dyDescent="0.3">
      <c r="A1156" t="s">
        <v>3442</v>
      </c>
      <c r="B1156" t="s">
        <v>3441</v>
      </c>
      <c r="D1156">
        <v>75</v>
      </c>
      <c r="E1156" t="s">
        <v>47</v>
      </c>
      <c r="F1156" t="s">
        <v>85</v>
      </c>
      <c r="G1156" s="1">
        <v>46119</v>
      </c>
      <c r="H1156" s="1">
        <v>46092</v>
      </c>
      <c r="I1156" t="s">
        <v>3440</v>
      </c>
      <c r="J1156" t="s">
        <v>3439</v>
      </c>
      <c r="K1156" t="s">
        <v>17</v>
      </c>
      <c r="L1156">
        <v>11919.69</v>
      </c>
      <c r="M1156" t="s">
        <v>27</v>
      </c>
      <c r="N1156">
        <v>519</v>
      </c>
      <c r="O1156" t="s">
        <v>77</v>
      </c>
    </row>
    <row r="1157" spans="1:15" x14ac:dyDescent="0.3">
      <c r="A1157" t="s">
        <v>3438</v>
      </c>
      <c r="B1157" t="s">
        <v>3437</v>
      </c>
      <c r="C1157" t="s">
        <v>22</v>
      </c>
      <c r="D1157">
        <v>30</v>
      </c>
      <c r="E1157" t="s">
        <v>39</v>
      </c>
      <c r="F1157" t="s">
        <v>53</v>
      </c>
      <c r="G1157" s="1">
        <v>46069</v>
      </c>
      <c r="H1157" s="1">
        <v>46045</v>
      </c>
      <c r="I1157" t="s">
        <v>3436</v>
      </c>
      <c r="J1157" t="s">
        <v>3435</v>
      </c>
      <c r="K1157" t="s">
        <v>64</v>
      </c>
      <c r="L1157">
        <v>2679.81</v>
      </c>
      <c r="M1157" t="s">
        <v>17</v>
      </c>
      <c r="N1157">
        <v>331</v>
      </c>
      <c r="O1157" t="s">
        <v>16</v>
      </c>
    </row>
    <row r="1158" spans="1:15" x14ac:dyDescent="0.3">
      <c r="A1158" t="s">
        <v>3434</v>
      </c>
      <c r="B1158" t="s">
        <v>3433</v>
      </c>
      <c r="C1158" t="s">
        <v>60</v>
      </c>
      <c r="D1158">
        <v>70</v>
      </c>
      <c r="E1158" t="s">
        <v>132</v>
      </c>
      <c r="F1158" t="s">
        <v>85</v>
      </c>
      <c r="G1158" s="1">
        <v>45994</v>
      </c>
      <c r="H1158" s="1">
        <v>45986</v>
      </c>
      <c r="I1158" t="s">
        <v>3432</v>
      </c>
      <c r="J1158" t="s">
        <v>3431</v>
      </c>
      <c r="K1158" t="s">
        <v>57</v>
      </c>
      <c r="L1158">
        <v>11577.02</v>
      </c>
      <c r="M1158" t="s">
        <v>17</v>
      </c>
      <c r="N1158">
        <v>254</v>
      </c>
      <c r="O1158" t="s">
        <v>25</v>
      </c>
    </row>
    <row r="1159" spans="1:15" x14ac:dyDescent="0.3">
      <c r="A1159" t="s">
        <v>3430</v>
      </c>
      <c r="B1159" t="s">
        <v>3429</v>
      </c>
      <c r="C1159" t="s">
        <v>60</v>
      </c>
      <c r="D1159">
        <v>67</v>
      </c>
      <c r="E1159" t="s">
        <v>68</v>
      </c>
      <c r="F1159" t="s">
        <v>20</v>
      </c>
      <c r="G1159" s="1">
        <v>46052</v>
      </c>
      <c r="H1159" s="1">
        <v>46044</v>
      </c>
      <c r="I1159" t="s">
        <v>3428</v>
      </c>
      <c r="J1159" t="s">
        <v>3427</v>
      </c>
      <c r="K1159" t="s">
        <v>27</v>
      </c>
      <c r="L1159">
        <v>3867.93</v>
      </c>
      <c r="N1159">
        <v>538</v>
      </c>
      <c r="O1159" t="s">
        <v>71</v>
      </c>
    </row>
    <row r="1160" spans="1:15" x14ac:dyDescent="0.3">
      <c r="A1160" t="s">
        <v>3426</v>
      </c>
      <c r="B1160" t="s">
        <v>3425</v>
      </c>
      <c r="C1160" t="s">
        <v>0</v>
      </c>
      <c r="D1160">
        <v>46</v>
      </c>
      <c r="E1160" t="s">
        <v>68</v>
      </c>
      <c r="F1160" t="s">
        <v>46</v>
      </c>
      <c r="G1160" s="1">
        <v>46022</v>
      </c>
      <c r="H1160" s="1">
        <v>46015</v>
      </c>
      <c r="I1160" t="s">
        <v>3424</v>
      </c>
      <c r="J1160" t="s">
        <v>3423</v>
      </c>
      <c r="L1160">
        <v>9113.61</v>
      </c>
      <c r="M1160" t="s">
        <v>64</v>
      </c>
      <c r="N1160">
        <v>199</v>
      </c>
      <c r="O1160" t="s">
        <v>16</v>
      </c>
    </row>
    <row r="1161" spans="1:15" x14ac:dyDescent="0.3">
      <c r="A1161" t="s">
        <v>3422</v>
      </c>
      <c r="B1161" t="s">
        <v>3421</v>
      </c>
      <c r="C1161" t="s">
        <v>74</v>
      </c>
      <c r="D1161">
        <v>36</v>
      </c>
      <c r="E1161" t="s">
        <v>68</v>
      </c>
      <c r="F1161" t="s">
        <v>53</v>
      </c>
      <c r="G1161" s="1">
        <v>46155</v>
      </c>
      <c r="H1161" s="1">
        <v>46147</v>
      </c>
      <c r="I1161" t="s">
        <v>3420</v>
      </c>
      <c r="J1161" t="s">
        <v>3419</v>
      </c>
      <c r="K1161" t="s">
        <v>57</v>
      </c>
      <c r="L1161">
        <v>22222.27</v>
      </c>
      <c r="N1161">
        <v>401</v>
      </c>
      <c r="O1161" t="s">
        <v>16</v>
      </c>
    </row>
    <row r="1162" spans="1:15" x14ac:dyDescent="0.3">
      <c r="A1162" t="s">
        <v>3418</v>
      </c>
      <c r="B1162" t="s">
        <v>3417</v>
      </c>
      <c r="C1162" t="s">
        <v>22</v>
      </c>
      <c r="D1162">
        <v>40</v>
      </c>
      <c r="E1162" t="s">
        <v>21</v>
      </c>
      <c r="F1162" t="s">
        <v>46</v>
      </c>
      <c r="G1162" s="1">
        <v>46033</v>
      </c>
      <c r="H1162" s="1">
        <v>46015</v>
      </c>
      <c r="I1162" t="s">
        <v>3416</v>
      </c>
      <c r="J1162" t="s">
        <v>3415</v>
      </c>
      <c r="K1162" t="s">
        <v>57</v>
      </c>
      <c r="L1162">
        <v>20887.45</v>
      </c>
      <c r="M1162" t="s">
        <v>64</v>
      </c>
      <c r="N1162">
        <v>321</v>
      </c>
      <c r="O1162" t="s">
        <v>50</v>
      </c>
    </row>
    <row r="1163" spans="1:15" x14ac:dyDescent="0.3">
      <c r="A1163" t="s">
        <v>3414</v>
      </c>
      <c r="B1163" t="s">
        <v>3413</v>
      </c>
      <c r="D1163">
        <v>73</v>
      </c>
      <c r="E1163" t="s">
        <v>31</v>
      </c>
      <c r="F1163" t="s">
        <v>30</v>
      </c>
      <c r="G1163" s="1">
        <v>46029</v>
      </c>
      <c r="H1163" s="1">
        <v>46026</v>
      </c>
      <c r="I1163" t="s">
        <v>3412</v>
      </c>
      <c r="J1163" t="s">
        <v>3411</v>
      </c>
      <c r="K1163" t="s">
        <v>27</v>
      </c>
      <c r="L1163">
        <v>12573.39</v>
      </c>
      <c r="M1163" t="s">
        <v>26</v>
      </c>
      <c r="N1163">
        <v>338</v>
      </c>
      <c r="O1163" t="s">
        <v>25</v>
      </c>
    </row>
    <row r="1164" spans="1:15" x14ac:dyDescent="0.3">
      <c r="A1164" t="s">
        <v>3410</v>
      </c>
      <c r="B1164" t="s">
        <v>3409</v>
      </c>
      <c r="C1164" t="s">
        <v>0</v>
      </c>
      <c r="D1164">
        <v>67</v>
      </c>
      <c r="E1164" t="s">
        <v>132</v>
      </c>
      <c r="F1164" t="s">
        <v>53</v>
      </c>
      <c r="G1164" s="1">
        <v>46151</v>
      </c>
      <c r="H1164" s="1">
        <v>46142</v>
      </c>
      <c r="I1164" t="s">
        <v>3408</v>
      </c>
      <c r="J1164" t="s">
        <v>3407</v>
      </c>
      <c r="L1164">
        <v>7348.85</v>
      </c>
      <c r="M1164" t="s">
        <v>63</v>
      </c>
      <c r="N1164">
        <v>107</v>
      </c>
      <c r="O1164" t="s">
        <v>16</v>
      </c>
    </row>
    <row r="1165" spans="1:15" x14ac:dyDescent="0.3">
      <c r="A1165" t="s">
        <v>3406</v>
      </c>
      <c r="B1165" t="s">
        <v>3405</v>
      </c>
      <c r="C1165" t="s">
        <v>40</v>
      </c>
      <c r="D1165">
        <v>28</v>
      </c>
      <c r="E1165" t="s">
        <v>132</v>
      </c>
      <c r="F1165" t="s">
        <v>20</v>
      </c>
      <c r="G1165" s="1">
        <v>46012</v>
      </c>
      <c r="H1165" s="1">
        <v>46011</v>
      </c>
      <c r="I1165" t="s">
        <v>3404</v>
      </c>
      <c r="J1165" t="s">
        <v>3403</v>
      </c>
      <c r="L1165">
        <v>7784.37</v>
      </c>
      <c r="N1165">
        <v>280</v>
      </c>
      <c r="O1165" t="s">
        <v>25</v>
      </c>
    </row>
    <row r="1166" spans="1:15" x14ac:dyDescent="0.3">
      <c r="A1166" t="s">
        <v>3402</v>
      </c>
      <c r="B1166" t="s">
        <v>3401</v>
      </c>
      <c r="C1166" t="s">
        <v>40</v>
      </c>
      <c r="D1166">
        <v>7</v>
      </c>
      <c r="E1166" t="s">
        <v>132</v>
      </c>
      <c r="F1166" t="s">
        <v>53</v>
      </c>
      <c r="G1166" s="1">
        <v>46038</v>
      </c>
      <c r="H1166" s="1">
        <v>46027</v>
      </c>
      <c r="I1166" t="s">
        <v>3400</v>
      </c>
      <c r="J1166" t="s">
        <v>3399</v>
      </c>
      <c r="K1166" t="s">
        <v>26</v>
      </c>
      <c r="L1166">
        <v>19674.53</v>
      </c>
      <c r="M1166" t="s">
        <v>26</v>
      </c>
      <c r="N1166">
        <v>144</v>
      </c>
      <c r="O1166" t="s">
        <v>25</v>
      </c>
    </row>
    <row r="1167" spans="1:15" x14ac:dyDescent="0.3">
      <c r="A1167" t="s">
        <v>3398</v>
      </c>
      <c r="B1167" t="s">
        <v>3397</v>
      </c>
      <c r="C1167" t="s">
        <v>22</v>
      </c>
      <c r="D1167">
        <v>19</v>
      </c>
      <c r="E1167" t="s">
        <v>21</v>
      </c>
      <c r="F1167" t="s">
        <v>90</v>
      </c>
      <c r="G1167" s="1">
        <v>46155</v>
      </c>
      <c r="H1167" s="1">
        <v>46137</v>
      </c>
      <c r="I1167" t="s">
        <v>3396</v>
      </c>
      <c r="J1167" t="s">
        <v>3395</v>
      </c>
      <c r="K1167" t="s">
        <v>64</v>
      </c>
      <c r="L1167">
        <v>7411.89</v>
      </c>
      <c r="M1167" t="s">
        <v>27</v>
      </c>
      <c r="N1167">
        <v>342</v>
      </c>
      <c r="O1167" t="s">
        <v>43</v>
      </c>
    </row>
    <row r="1168" spans="1:15" x14ac:dyDescent="0.3">
      <c r="A1168" t="s">
        <v>3394</v>
      </c>
      <c r="B1168" t="s">
        <v>3393</v>
      </c>
      <c r="C1168" t="s">
        <v>1</v>
      </c>
      <c r="D1168">
        <v>87</v>
      </c>
      <c r="E1168" t="s">
        <v>54</v>
      </c>
      <c r="F1168" t="s">
        <v>90</v>
      </c>
      <c r="G1168" s="1">
        <v>46084</v>
      </c>
      <c r="H1168" s="1">
        <v>46072</v>
      </c>
      <c r="I1168" t="s">
        <v>3392</v>
      </c>
      <c r="J1168" t="s">
        <v>3391</v>
      </c>
      <c r="K1168" t="s">
        <v>64</v>
      </c>
      <c r="L1168">
        <v>22347.23</v>
      </c>
      <c r="M1168" t="s">
        <v>63</v>
      </c>
      <c r="N1168">
        <v>405</v>
      </c>
      <c r="O1168" t="s">
        <v>43</v>
      </c>
    </row>
    <row r="1169" spans="1:15" x14ac:dyDescent="0.3">
      <c r="A1169" t="s">
        <v>3390</v>
      </c>
      <c r="B1169" t="s">
        <v>3389</v>
      </c>
      <c r="C1169" t="s">
        <v>0</v>
      </c>
      <c r="D1169">
        <v>73</v>
      </c>
      <c r="E1169" t="s">
        <v>54</v>
      </c>
      <c r="F1169" t="s">
        <v>67</v>
      </c>
      <c r="G1169" s="1">
        <v>46114</v>
      </c>
      <c r="H1169" s="1">
        <v>46089</v>
      </c>
      <c r="I1169" t="s">
        <v>510</v>
      </c>
      <c r="J1169" t="s">
        <v>3388</v>
      </c>
      <c r="K1169" t="s">
        <v>35</v>
      </c>
      <c r="L1169">
        <v>17146.37</v>
      </c>
      <c r="M1169" t="s">
        <v>57</v>
      </c>
      <c r="N1169">
        <v>228</v>
      </c>
      <c r="O1169" t="s">
        <v>71</v>
      </c>
    </row>
    <row r="1170" spans="1:15" x14ac:dyDescent="0.3">
      <c r="A1170" t="s">
        <v>3387</v>
      </c>
      <c r="B1170" t="s">
        <v>3386</v>
      </c>
      <c r="C1170" t="s">
        <v>123</v>
      </c>
      <c r="D1170">
        <v>71</v>
      </c>
      <c r="E1170" t="s">
        <v>21</v>
      </c>
      <c r="F1170" t="s">
        <v>30</v>
      </c>
      <c r="G1170" s="1">
        <v>46118</v>
      </c>
      <c r="H1170" s="1">
        <v>46109</v>
      </c>
      <c r="I1170" t="s">
        <v>3385</v>
      </c>
      <c r="J1170" t="s">
        <v>3384</v>
      </c>
      <c r="K1170" t="s">
        <v>64</v>
      </c>
      <c r="L1170">
        <v>7573.89</v>
      </c>
      <c r="N1170">
        <v>379</v>
      </c>
      <c r="O1170" t="s">
        <v>71</v>
      </c>
    </row>
    <row r="1171" spans="1:15" x14ac:dyDescent="0.3">
      <c r="A1171" t="s">
        <v>3383</v>
      </c>
      <c r="B1171" t="s">
        <v>3382</v>
      </c>
      <c r="C1171" t="s">
        <v>123</v>
      </c>
      <c r="D1171">
        <v>56</v>
      </c>
      <c r="E1171" t="s">
        <v>80</v>
      </c>
      <c r="F1171" t="s">
        <v>53</v>
      </c>
      <c r="G1171" s="1">
        <v>46132</v>
      </c>
      <c r="H1171" s="1">
        <v>46116</v>
      </c>
      <c r="I1171" t="s">
        <v>3381</v>
      </c>
      <c r="J1171" t="s">
        <v>3380</v>
      </c>
      <c r="L1171">
        <v>17414.509999999998</v>
      </c>
      <c r="M1171" t="s">
        <v>17</v>
      </c>
      <c r="N1171">
        <v>339</v>
      </c>
      <c r="O1171" t="s">
        <v>43</v>
      </c>
    </row>
    <row r="1172" spans="1:15" x14ac:dyDescent="0.3">
      <c r="A1172" t="s">
        <v>3379</v>
      </c>
      <c r="B1172" t="s">
        <v>3378</v>
      </c>
      <c r="C1172" t="s">
        <v>123</v>
      </c>
      <c r="D1172">
        <v>60</v>
      </c>
      <c r="E1172" t="s">
        <v>54</v>
      </c>
      <c r="F1172" t="s">
        <v>90</v>
      </c>
      <c r="G1172" s="1">
        <v>46114</v>
      </c>
      <c r="H1172" s="1">
        <v>46100</v>
      </c>
      <c r="I1172" t="s">
        <v>3377</v>
      </c>
      <c r="J1172" t="s">
        <v>3376</v>
      </c>
      <c r="K1172" t="s">
        <v>27</v>
      </c>
      <c r="L1172">
        <v>22831.45</v>
      </c>
      <c r="M1172" t="s">
        <v>27</v>
      </c>
      <c r="N1172">
        <v>492</v>
      </c>
      <c r="O1172" t="s">
        <v>16</v>
      </c>
    </row>
    <row r="1173" spans="1:15" x14ac:dyDescent="0.3">
      <c r="A1173" t="s">
        <v>3375</v>
      </c>
      <c r="B1173" t="s">
        <v>3374</v>
      </c>
      <c r="C1173" t="s">
        <v>74</v>
      </c>
      <c r="D1173">
        <v>18</v>
      </c>
      <c r="E1173" t="s">
        <v>132</v>
      </c>
      <c r="F1173" t="s">
        <v>38</v>
      </c>
      <c r="G1173" s="1">
        <v>46130</v>
      </c>
      <c r="H1173" s="1">
        <v>46112</v>
      </c>
      <c r="I1173" t="s">
        <v>3373</v>
      </c>
      <c r="J1173" t="s">
        <v>3372</v>
      </c>
      <c r="K1173" t="s">
        <v>57</v>
      </c>
      <c r="L1173">
        <v>3356.42</v>
      </c>
      <c r="M1173" t="s">
        <v>63</v>
      </c>
      <c r="N1173">
        <v>127</v>
      </c>
      <c r="O1173" t="s">
        <v>50</v>
      </c>
    </row>
    <row r="1174" spans="1:15" x14ac:dyDescent="0.3">
      <c r="A1174" t="s">
        <v>3371</v>
      </c>
      <c r="B1174" t="s">
        <v>3370</v>
      </c>
      <c r="C1174" t="s">
        <v>123</v>
      </c>
      <c r="D1174">
        <v>17</v>
      </c>
      <c r="E1174" t="s">
        <v>54</v>
      </c>
      <c r="F1174" t="s">
        <v>46</v>
      </c>
      <c r="G1174" s="1">
        <v>46082</v>
      </c>
      <c r="H1174" s="1">
        <v>46068</v>
      </c>
      <c r="I1174" t="s">
        <v>3369</v>
      </c>
      <c r="J1174" t="s">
        <v>3368</v>
      </c>
      <c r="L1174">
        <v>21012.11</v>
      </c>
      <c r="M1174" t="s">
        <v>64</v>
      </c>
      <c r="N1174">
        <v>128</v>
      </c>
      <c r="O1174" t="s">
        <v>43</v>
      </c>
    </row>
    <row r="1175" spans="1:15" x14ac:dyDescent="0.3">
      <c r="A1175" t="s">
        <v>3367</v>
      </c>
      <c r="B1175" t="s">
        <v>3366</v>
      </c>
      <c r="C1175" t="s">
        <v>74</v>
      </c>
      <c r="D1175">
        <v>43</v>
      </c>
      <c r="E1175" t="s">
        <v>80</v>
      </c>
      <c r="F1175" t="s">
        <v>30</v>
      </c>
      <c r="G1175" s="1">
        <v>46004</v>
      </c>
      <c r="H1175" s="1">
        <v>45986</v>
      </c>
      <c r="I1175" t="s">
        <v>3365</v>
      </c>
      <c r="J1175" t="s">
        <v>3364</v>
      </c>
      <c r="L1175">
        <v>17326.7</v>
      </c>
      <c r="M1175" t="s">
        <v>27</v>
      </c>
      <c r="N1175">
        <v>162</v>
      </c>
      <c r="O1175" t="s">
        <v>25</v>
      </c>
    </row>
    <row r="1176" spans="1:15" x14ac:dyDescent="0.3">
      <c r="A1176" t="s">
        <v>3363</v>
      </c>
      <c r="B1176" t="s">
        <v>3362</v>
      </c>
      <c r="C1176" t="s">
        <v>40</v>
      </c>
      <c r="D1176">
        <v>90</v>
      </c>
      <c r="E1176" t="s">
        <v>21</v>
      </c>
      <c r="F1176" t="s">
        <v>53</v>
      </c>
      <c r="G1176" s="1">
        <v>46047</v>
      </c>
      <c r="H1176" s="1">
        <v>46030</v>
      </c>
      <c r="I1176" t="s">
        <v>3361</v>
      </c>
      <c r="J1176" t="s">
        <v>3360</v>
      </c>
      <c r="L1176">
        <v>3582.79</v>
      </c>
      <c r="M1176" t="s">
        <v>26</v>
      </c>
      <c r="N1176">
        <v>254</v>
      </c>
      <c r="O1176" t="s">
        <v>25</v>
      </c>
    </row>
    <row r="1177" spans="1:15" x14ac:dyDescent="0.3">
      <c r="A1177" t="s">
        <v>3359</v>
      </c>
      <c r="B1177" t="s">
        <v>3358</v>
      </c>
      <c r="C1177" t="s">
        <v>22</v>
      </c>
      <c r="D1177">
        <v>1</v>
      </c>
      <c r="E1177" t="s">
        <v>68</v>
      </c>
      <c r="F1177" t="s">
        <v>38</v>
      </c>
      <c r="G1177" s="1">
        <v>46077</v>
      </c>
      <c r="H1177" s="1">
        <v>46074</v>
      </c>
      <c r="I1177" t="s">
        <v>3357</v>
      </c>
      <c r="J1177" t="s">
        <v>3356</v>
      </c>
      <c r="K1177" t="s">
        <v>64</v>
      </c>
      <c r="L1177">
        <v>200.89</v>
      </c>
      <c r="M1177" t="s">
        <v>64</v>
      </c>
      <c r="N1177">
        <v>366</v>
      </c>
      <c r="O1177" t="s">
        <v>77</v>
      </c>
    </row>
    <row r="1178" spans="1:15" x14ac:dyDescent="0.3">
      <c r="A1178" t="s">
        <v>3355</v>
      </c>
      <c r="B1178" t="s">
        <v>3354</v>
      </c>
      <c r="C1178" t="s">
        <v>1</v>
      </c>
      <c r="D1178">
        <v>27</v>
      </c>
      <c r="E1178" t="s">
        <v>80</v>
      </c>
      <c r="F1178" t="s">
        <v>85</v>
      </c>
      <c r="G1178" s="1">
        <v>46085</v>
      </c>
      <c r="H1178" s="1">
        <v>46085</v>
      </c>
      <c r="I1178" t="s">
        <v>3353</v>
      </c>
      <c r="J1178" t="s">
        <v>3352</v>
      </c>
      <c r="L1178">
        <v>9889.7000000000007</v>
      </c>
      <c r="M1178" t="s">
        <v>64</v>
      </c>
      <c r="N1178">
        <v>253</v>
      </c>
      <c r="O1178" t="s">
        <v>16</v>
      </c>
    </row>
    <row r="1179" spans="1:15" x14ac:dyDescent="0.3">
      <c r="A1179" t="s">
        <v>3351</v>
      </c>
      <c r="B1179" t="s">
        <v>3350</v>
      </c>
      <c r="D1179">
        <v>24</v>
      </c>
      <c r="E1179" t="s">
        <v>21</v>
      </c>
      <c r="F1179" t="s">
        <v>30</v>
      </c>
      <c r="G1179" s="1">
        <v>46070</v>
      </c>
      <c r="H1179" s="1">
        <v>46075</v>
      </c>
      <c r="I1179" t="s">
        <v>3349</v>
      </c>
      <c r="J1179" t="s">
        <v>3348</v>
      </c>
      <c r="L1179">
        <v>21510.98</v>
      </c>
      <c r="M1179" t="s">
        <v>64</v>
      </c>
      <c r="N1179">
        <v>321</v>
      </c>
      <c r="O1179" t="s">
        <v>71</v>
      </c>
    </row>
    <row r="1180" spans="1:15" x14ac:dyDescent="0.3">
      <c r="A1180" t="s">
        <v>3347</v>
      </c>
      <c r="B1180" t="s">
        <v>3346</v>
      </c>
      <c r="C1180" t="s">
        <v>40</v>
      </c>
      <c r="D1180">
        <v>24</v>
      </c>
      <c r="E1180" t="s">
        <v>39</v>
      </c>
      <c r="F1180" t="s">
        <v>38</v>
      </c>
      <c r="G1180" s="1">
        <v>46080</v>
      </c>
      <c r="H1180" s="1">
        <v>46075</v>
      </c>
      <c r="I1180" t="s">
        <v>3345</v>
      </c>
      <c r="J1180" t="s">
        <v>3344</v>
      </c>
      <c r="K1180" t="s">
        <v>17</v>
      </c>
      <c r="L1180">
        <v>12008.73</v>
      </c>
      <c r="M1180" t="s">
        <v>63</v>
      </c>
      <c r="N1180">
        <v>248</v>
      </c>
      <c r="O1180" t="s">
        <v>25</v>
      </c>
    </row>
    <row r="1181" spans="1:15" x14ac:dyDescent="0.3">
      <c r="A1181" t="s">
        <v>3343</v>
      </c>
      <c r="B1181" t="s">
        <v>3342</v>
      </c>
      <c r="C1181" t="s">
        <v>74</v>
      </c>
      <c r="D1181">
        <v>76</v>
      </c>
      <c r="E1181" t="s">
        <v>68</v>
      </c>
      <c r="F1181" t="s">
        <v>67</v>
      </c>
      <c r="G1181" s="1">
        <v>46016</v>
      </c>
      <c r="H1181" s="1">
        <v>45995</v>
      </c>
      <c r="I1181" t="s">
        <v>3341</v>
      </c>
      <c r="J1181" t="s">
        <v>3340</v>
      </c>
      <c r="K1181" t="s">
        <v>26</v>
      </c>
      <c r="L1181">
        <v>9901.49</v>
      </c>
      <c r="M1181" t="s">
        <v>64</v>
      </c>
      <c r="N1181">
        <v>337</v>
      </c>
      <c r="O1181" t="s">
        <v>16</v>
      </c>
    </row>
    <row r="1182" spans="1:15" x14ac:dyDescent="0.3">
      <c r="A1182" t="s">
        <v>3339</v>
      </c>
      <c r="B1182" t="s">
        <v>3338</v>
      </c>
      <c r="C1182" t="s">
        <v>123</v>
      </c>
      <c r="D1182">
        <v>19</v>
      </c>
      <c r="E1182" t="s">
        <v>47</v>
      </c>
      <c r="F1182" t="s">
        <v>30</v>
      </c>
      <c r="G1182" s="1">
        <v>46115</v>
      </c>
      <c r="H1182" s="1">
        <v>46101</v>
      </c>
      <c r="I1182" t="s">
        <v>3337</v>
      </c>
      <c r="J1182" t="s">
        <v>3336</v>
      </c>
      <c r="K1182" t="s">
        <v>64</v>
      </c>
      <c r="L1182">
        <v>14192.39</v>
      </c>
      <c r="M1182" t="s">
        <v>27</v>
      </c>
      <c r="N1182">
        <v>397</v>
      </c>
      <c r="O1182" t="s">
        <v>43</v>
      </c>
    </row>
    <row r="1183" spans="1:15" x14ac:dyDescent="0.3">
      <c r="A1183" t="s">
        <v>3335</v>
      </c>
      <c r="B1183" t="s">
        <v>3334</v>
      </c>
      <c r="C1183" t="s">
        <v>40</v>
      </c>
      <c r="D1183">
        <v>83</v>
      </c>
      <c r="E1183" t="s">
        <v>68</v>
      </c>
      <c r="F1183" t="s">
        <v>46</v>
      </c>
      <c r="G1183" s="1">
        <v>46143</v>
      </c>
      <c r="H1183" s="1">
        <v>46114</v>
      </c>
      <c r="I1183" t="s">
        <v>3333</v>
      </c>
      <c r="J1183" t="s">
        <v>3332</v>
      </c>
      <c r="K1183" t="s">
        <v>57</v>
      </c>
      <c r="L1183">
        <v>24077.35</v>
      </c>
      <c r="N1183">
        <v>470</v>
      </c>
      <c r="O1183" t="s">
        <v>16</v>
      </c>
    </row>
    <row r="1184" spans="1:15" x14ac:dyDescent="0.3">
      <c r="A1184" t="s">
        <v>3331</v>
      </c>
      <c r="B1184" t="s">
        <v>3330</v>
      </c>
      <c r="C1184" t="s">
        <v>22</v>
      </c>
      <c r="D1184">
        <v>2</v>
      </c>
      <c r="E1184" t="s">
        <v>39</v>
      </c>
      <c r="F1184" t="s">
        <v>67</v>
      </c>
      <c r="G1184" s="1">
        <v>46088</v>
      </c>
      <c r="H1184" s="1">
        <v>46072</v>
      </c>
      <c r="I1184" t="s">
        <v>3329</v>
      </c>
      <c r="J1184" t="s">
        <v>3328</v>
      </c>
      <c r="K1184" t="s">
        <v>17</v>
      </c>
      <c r="L1184">
        <v>8851.09</v>
      </c>
      <c r="N1184">
        <v>362</v>
      </c>
      <c r="O1184" t="s">
        <v>77</v>
      </c>
    </row>
    <row r="1185" spans="1:15" x14ac:dyDescent="0.3">
      <c r="A1185" t="s">
        <v>3327</v>
      </c>
      <c r="B1185" t="s">
        <v>3326</v>
      </c>
      <c r="C1185" t="s">
        <v>0</v>
      </c>
      <c r="D1185">
        <v>84</v>
      </c>
      <c r="E1185" t="s">
        <v>39</v>
      </c>
      <c r="F1185" t="s">
        <v>67</v>
      </c>
      <c r="G1185" s="1">
        <v>46026</v>
      </c>
      <c r="H1185" s="1">
        <v>46006</v>
      </c>
      <c r="I1185" t="s">
        <v>3325</v>
      </c>
      <c r="J1185" t="s">
        <v>3324</v>
      </c>
      <c r="K1185" t="s">
        <v>57</v>
      </c>
      <c r="L1185">
        <v>11595.15</v>
      </c>
      <c r="M1185" t="s">
        <v>26</v>
      </c>
      <c r="N1185">
        <v>242</v>
      </c>
      <c r="O1185" t="s">
        <v>50</v>
      </c>
    </row>
    <row r="1186" spans="1:15" x14ac:dyDescent="0.3">
      <c r="A1186" t="s">
        <v>3323</v>
      </c>
      <c r="B1186" t="s">
        <v>3322</v>
      </c>
      <c r="C1186" t="s">
        <v>22</v>
      </c>
      <c r="D1186">
        <v>51</v>
      </c>
      <c r="E1186" t="s">
        <v>80</v>
      </c>
      <c r="F1186" t="s">
        <v>85</v>
      </c>
      <c r="G1186" s="1">
        <v>45999</v>
      </c>
      <c r="H1186" s="1">
        <v>45987</v>
      </c>
      <c r="I1186" t="s">
        <v>3321</v>
      </c>
      <c r="J1186" t="s">
        <v>3320</v>
      </c>
      <c r="L1186">
        <v>15224.88</v>
      </c>
      <c r="M1186" t="s">
        <v>26</v>
      </c>
      <c r="N1186">
        <v>394</v>
      </c>
      <c r="O1186" t="s">
        <v>25</v>
      </c>
    </row>
    <row r="1187" spans="1:15" x14ac:dyDescent="0.3">
      <c r="A1187" t="s">
        <v>3319</v>
      </c>
      <c r="B1187" t="s">
        <v>3318</v>
      </c>
      <c r="C1187" t="s">
        <v>22</v>
      </c>
      <c r="D1187">
        <v>17</v>
      </c>
      <c r="E1187" t="s">
        <v>31</v>
      </c>
      <c r="F1187" t="s">
        <v>67</v>
      </c>
      <c r="G1187" s="1">
        <v>46106</v>
      </c>
      <c r="H1187" s="1">
        <v>46088</v>
      </c>
      <c r="I1187" t="s">
        <v>3317</v>
      </c>
      <c r="J1187" t="s">
        <v>3316</v>
      </c>
      <c r="L1187">
        <v>1875.74</v>
      </c>
      <c r="M1187" t="s">
        <v>27</v>
      </c>
      <c r="N1187">
        <v>536</v>
      </c>
      <c r="O1187" t="s">
        <v>25</v>
      </c>
    </row>
    <row r="1188" spans="1:15" x14ac:dyDescent="0.3">
      <c r="A1188" t="s">
        <v>3315</v>
      </c>
      <c r="B1188" t="s">
        <v>3314</v>
      </c>
      <c r="C1188" t="s">
        <v>0</v>
      </c>
      <c r="D1188">
        <v>30</v>
      </c>
      <c r="E1188" t="s">
        <v>80</v>
      </c>
      <c r="F1188" t="s">
        <v>20</v>
      </c>
      <c r="G1188" s="1">
        <v>46056</v>
      </c>
      <c r="H1188" s="1">
        <v>46041</v>
      </c>
      <c r="I1188" t="s">
        <v>3313</v>
      </c>
      <c r="J1188" t="s">
        <v>3312</v>
      </c>
      <c r="L1188">
        <v>8226.75</v>
      </c>
      <c r="M1188" t="s">
        <v>57</v>
      </c>
      <c r="N1188">
        <v>495</v>
      </c>
      <c r="O1188" t="s">
        <v>50</v>
      </c>
    </row>
    <row r="1189" spans="1:15" x14ac:dyDescent="0.3">
      <c r="A1189" t="s">
        <v>3311</v>
      </c>
      <c r="B1189" t="s">
        <v>3310</v>
      </c>
      <c r="C1189" t="s">
        <v>1</v>
      </c>
      <c r="D1189">
        <v>14</v>
      </c>
      <c r="E1189" t="s">
        <v>39</v>
      </c>
      <c r="F1189" t="s">
        <v>90</v>
      </c>
      <c r="G1189" s="1">
        <v>46021</v>
      </c>
      <c r="H1189" s="1">
        <v>45997</v>
      </c>
      <c r="I1189" t="s">
        <v>3309</v>
      </c>
      <c r="J1189" t="s">
        <v>3308</v>
      </c>
      <c r="L1189">
        <v>23074.92</v>
      </c>
      <c r="M1189" t="s">
        <v>27</v>
      </c>
      <c r="N1189">
        <v>413</v>
      </c>
      <c r="O1189" t="s">
        <v>43</v>
      </c>
    </row>
    <row r="1190" spans="1:15" x14ac:dyDescent="0.3">
      <c r="A1190" t="s">
        <v>3307</v>
      </c>
      <c r="B1190" t="s">
        <v>3306</v>
      </c>
      <c r="C1190" t="s">
        <v>74</v>
      </c>
      <c r="D1190">
        <v>5</v>
      </c>
      <c r="E1190" t="s">
        <v>80</v>
      </c>
      <c r="F1190" t="s">
        <v>85</v>
      </c>
      <c r="G1190" s="1">
        <v>46111</v>
      </c>
      <c r="H1190" s="1">
        <v>46087</v>
      </c>
      <c r="I1190" t="s">
        <v>3305</v>
      </c>
      <c r="J1190" t="s">
        <v>3304</v>
      </c>
      <c r="K1190" t="s">
        <v>57</v>
      </c>
      <c r="L1190">
        <v>15242.03</v>
      </c>
      <c r="M1190" t="s">
        <v>27</v>
      </c>
      <c r="N1190">
        <v>189</v>
      </c>
      <c r="O1190" t="s">
        <v>43</v>
      </c>
    </row>
    <row r="1191" spans="1:15" x14ac:dyDescent="0.3">
      <c r="A1191" t="s">
        <v>3303</v>
      </c>
      <c r="B1191" t="s">
        <v>3302</v>
      </c>
      <c r="C1191" t="s">
        <v>74</v>
      </c>
      <c r="D1191">
        <v>90</v>
      </c>
      <c r="E1191" t="s">
        <v>68</v>
      </c>
      <c r="F1191" t="s">
        <v>90</v>
      </c>
      <c r="G1191" s="1">
        <v>45985</v>
      </c>
      <c r="H1191" s="1">
        <v>45981</v>
      </c>
      <c r="I1191" t="s">
        <v>3301</v>
      </c>
      <c r="J1191" t="s">
        <v>3300</v>
      </c>
      <c r="K1191" t="s">
        <v>17</v>
      </c>
      <c r="L1191">
        <v>5053.8100000000004</v>
      </c>
      <c r="N1191">
        <v>324</v>
      </c>
      <c r="O1191" t="s">
        <v>25</v>
      </c>
    </row>
    <row r="1192" spans="1:15" x14ac:dyDescent="0.3">
      <c r="A1192" t="s">
        <v>3299</v>
      </c>
      <c r="B1192" t="s">
        <v>3298</v>
      </c>
      <c r="C1192" t="s">
        <v>22</v>
      </c>
      <c r="D1192">
        <v>29</v>
      </c>
      <c r="E1192" t="s">
        <v>21</v>
      </c>
      <c r="F1192" t="s">
        <v>53</v>
      </c>
      <c r="G1192" s="1">
        <v>46028</v>
      </c>
      <c r="H1192" s="1">
        <v>46015</v>
      </c>
      <c r="I1192" t="s">
        <v>3297</v>
      </c>
      <c r="J1192" t="s">
        <v>3296</v>
      </c>
      <c r="K1192" t="s">
        <v>17</v>
      </c>
      <c r="L1192">
        <v>2333.25</v>
      </c>
      <c r="M1192" t="s">
        <v>27</v>
      </c>
      <c r="N1192">
        <v>422</v>
      </c>
      <c r="O1192" t="s">
        <v>25</v>
      </c>
    </row>
    <row r="1193" spans="1:15" x14ac:dyDescent="0.3">
      <c r="A1193" t="s">
        <v>3295</v>
      </c>
      <c r="B1193" t="s">
        <v>3294</v>
      </c>
      <c r="C1193" t="s">
        <v>74</v>
      </c>
      <c r="D1193">
        <v>27</v>
      </c>
      <c r="E1193" t="s">
        <v>47</v>
      </c>
      <c r="F1193" t="s">
        <v>53</v>
      </c>
      <c r="G1193" s="1">
        <v>46052</v>
      </c>
      <c r="H1193" s="1">
        <v>46024</v>
      </c>
      <c r="I1193" t="s">
        <v>3293</v>
      </c>
      <c r="J1193" t="s">
        <v>3292</v>
      </c>
      <c r="K1193" t="s">
        <v>27</v>
      </c>
      <c r="L1193">
        <v>9117.11</v>
      </c>
      <c r="N1193">
        <v>390</v>
      </c>
      <c r="O1193" t="s">
        <v>34</v>
      </c>
    </row>
    <row r="1194" spans="1:15" x14ac:dyDescent="0.3">
      <c r="A1194" t="s">
        <v>3291</v>
      </c>
      <c r="B1194" t="s">
        <v>3290</v>
      </c>
      <c r="C1194" t="s">
        <v>74</v>
      </c>
      <c r="D1194">
        <v>44</v>
      </c>
      <c r="E1194" t="s">
        <v>39</v>
      </c>
      <c r="F1194" t="s">
        <v>85</v>
      </c>
      <c r="G1194" s="1">
        <v>46008</v>
      </c>
      <c r="H1194" s="1">
        <v>46002</v>
      </c>
      <c r="I1194" t="s">
        <v>3289</v>
      </c>
      <c r="J1194" t="s">
        <v>3288</v>
      </c>
      <c r="K1194" t="s">
        <v>17</v>
      </c>
      <c r="L1194">
        <v>14345.18</v>
      </c>
      <c r="N1194">
        <v>356</v>
      </c>
      <c r="O1194" t="s">
        <v>43</v>
      </c>
    </row>
    <row r="1195" spans="1:15" x14ac:dyDescent="0.3">
      <c r="A1195" t="s">
        <v>3287</v>
      </c>
      <c r="B1195" t="s">
        <v>3286</v>
      </c>
      <c r="C1195" t="s">
        <v>60</v>
      </c>
      <c r="D1195">
        <v>80</v>
      </c>
      <c r="E1195" t="s">
        <v>39</v>
      </c>
      <c r="F1195" t="s">
        <v>20</v>
      </c>
      <c r="G1195" s="1">
        <v>46036</v>
      </c>
      <c r="H1195" s="1">
        <v>46022</v>
      </c>
      <c r="I1195" t="s">
        <v>3285</v>
      </c>
      <c r="J1195" t="s">
        <v>3284</v>
      </c>
      <c r="L1195">
        <v>15711.67</v>
      </c>
      <c r="M1195" t="s">
        <v>64</v>
      </c>
      <c r="N1195">
        <v>391</v>
      </c>
      <c r="O1195" t="s">
        <v>77</v>
      </c>
    </row>
    <row r="1196" spans="1:15" x14ac:dyDescent="0.3">
      <c r="A1196" t="s">
        <v>3283</v>
      </c>
      <c r="B1196" t="s">
        <v>3282</v>
      </c>
      <c r="C1196" t="s">
        <v>0</v>
      </c>
      <c r="D1196">
        <v>67</v>
      </c>
      <c r="E1196" t="s">
        <v>132</v>
      </c>
      <c r="F1196" t="s">
        <v>20</v>
      </c>
      <c r="G1196" s="1">
        <v>45992</v>
      </c>
      <c r="H1196" s="1">
        <v>45989</v>
      </c>
      <c r="I1196" t="s">
        <v>3281</v>
      </c>
      <c r="J1196" t="s">
        <v>3280</v>
      </c>
      <c r="L1196">
        <v>5918.22</v>
      </c>
      <c r="M1196" t="s">
        <v>17</v>
      </c>
      <c r="N1196">
        <v>111</v>
      </c>
      <c r="O1196" t="s">
        <v>71</v>
      </c>
    </row>
    <row r="1197" spans="1:15" x14ac:dyDescent="0.3">
      <c r="A1197" t="s">
        <v>3279</v>
      </c>
      <c r="B1197" t="s">
        <v>3278</v>
      </c>
      <c r="C1197" t="s">
        <v>22</v>
      </c>
      <c r="D1197">
        <v>33</v>
      </c>
      <c r="E1197" t="s">
        <v>54</v>
      </c>
      <c r="F1197" t="s">
        <v>67</v>
      </c>
      <c r="G1197" s="1">
        <v>46123</v>
      </c>
      <c r="H1197" s="1">
        <v>46121</v>
      </c>
      <c r="I1197" t="s">
        <v>3277</v>
      </c>
      <c r="J1197" t="s">
        <v>3276</v>
      </c>
      <c r="K1197" t="s">
        <v>35</v>
      </c>
      <c r="L1197">
        <v>24209.25</v>
      </c>
      <c r="M1197" t="s">
        <v>64</v>
      </c>
      <c r="N1197">
        <v>373</v>
      </c>
      <c r="O1197" t="s">
        <v>34</v>
      </c>
    </row>
    <row r="1198" spans="1:15" x14ac:dyDescent="0.3">
      <c r="A1198" t="s">
        <v>3275</v>
      </c>
      <c r="B1198" t="s">
        <v>3274</v>
      </c>
      <c r="C1198" t="s">
        <v>1</v>
      </c>
      <c r="D1198">
        <v>67</v>
      </c>
      <c r="E1198" t="s">
        <v>132</v>
      </c>
      <c r="F1198" t="s">
        <v>90</v>
      </c>
      <c r="G1198" s="1">
        <v>46022</v>
      </c>
      <c r="H1198" s="1">
        <v>46003</v>
      </c>
      <c r="I1198" t="s">
        <v>3273</v>
      </c>
      <c r="J1198" t="s">
        <v>3272</v>
      </c>
      <c r="K1198" t="s">
        <v>27</v>
      </c>
      <c r="L1198">
        <v>13739.35</v>
      </c>
      <c r="M1198" t="s">
        <v>64</v>
      </c>
      <c r="N1198">
        <v>398</v>
      </c>
      <c r="O1198" t="s">
        <v>16</v>
      </c>
    </row>
    <row r="1199" spans="1:15" x14ac:dyDescent="0.3">
      <c r="A1199" t="s">
        <v>572</v>
      </c>
      <c r="B1199" t="s">
        <v>3271</v>
      </c>
      <c r="C1199" t="s">
        <v>22</v>
      </c>
      <c r="D1199">
        <v>84</v>
      </c>
      <c r="E1199" t="s">
        <v>47</v>
      </c>
      <c r="F1199" t="s">
        <v>46</v>
      </c>
      <c r="G1199" s="1">
        <v>46036</v>
      </c>
      <c r="H1199" s="1">
        <v>46026</v>
      </c>
      <c r="I1199" t="s">
        <v>3270</v>
      </c>
      <c r="J1199" t="s">
        <v>3269</v>
      </c>
      <c r="L1199">
        <v>6669.85</v>
      </c>
      <c r="M1199" t="s">
        <v>17</v>
      </c>
      <c r="N1199">
        <v>491</v>
      </c>
      <c r="O1199" t="s">
        <v>77</v>
      </c>
    </row>
    <row r="1200" spans="1:15" x14ac:dyDescent="0.3">
      <c r="A1200" t="s">
        <v>3268</v>
      </c>
      <c r="B1200" t="s">
        <v>3267</v>
      </c>
      <c r="C1200" t="s">
        <v>0</v>
      </c>
      <c r="D1200">
        <v>27</v>
      </c>
      <c r="E1200" t="s">
        <v>31</v>
      </c>
      <c r="F1200" t="s">
        <v>46</v>
      </c>
      <c r="G1200" s="1">
        <v>46048</v>
      </c>
      <c r="H1200" s="1">
        <v>46041</v>
      </c>
      <c r="I1200" t="s">
        <v>3266</v>
      </c>
      <c r="J1200" t="s">
        <v>3265</v>
      </c>
      <c r="L1200">
        <v>2008.22</v>
      </c>
      <c r="M1200" t="s">
        <v>27</v>
      </c>
      <c r="N1200">
        <v>277</v>
      </c>
      <c r="O1200" t="s">
        <v>77</v>
      </c>
    </row>
    <row r="1201" spans="1:15" x14ac:dyDescent="0.3">
      <c r="A1201" t="s">
        <v>3264</v>
      </c>
      <c r="B1201" t="s">
        <v>3263</v>
      </c>
      <c r="C1201" t="s">
        <v>123</v>
      </c>
      <c r="D1201">
        <v>77</v>
      </c>
      <c r="E1201" t="s">
        <v>80</v>
      </c>
      <c r="F1201" t="s">
        <v>85</v>
      </c>
      <c r="G1201" s="1">
        <v>46037</v>
      </c>
      <c r="H1201" s="1">
        <v>46007</v>
      </c>
      <c r="I1201" t="s">
        <v>3262</v>
      </c>
      <c r="J1201" t="s">
        <v>3261</v>
      </c>
      <c r="K1201" t="s">
        <v>35</v>
      </c>
      <c r="L1201">
        <v>6908.61</v>
      </c>
      <c r="M1201" t="s">
        <v>27</v>
      </c>
      <c r="N1201">
        <v>153</v>
      </c>
      <c r="O1201" t="s">
        <v>77</v>
      </c>
    </row>
    <row r="1202" spans="1:15" x14ac:dyDescent="0.3">
      <c r="A1202" t="s">
        <v>3260</v>
      </c>
      <c r="B1202" t="s">
        <v>3259</v>
      </c>
      <c r="D1202">
        <v>65</v>
      </c>
      <c r="E1202" t="s">
        <v>21</v>
      </c>
      <c r="F1202" t="s">
        <v>67</v>
      </c>
      <c r="G1202" s="1">
        <v>46116</v>
      </c>
      <c r="H1202" s="1">
        <v>46103</v>
      </c>
      <c r="I1202" t="s">
        <v>3258</v>
      </c>
      <c r="J1202" t="s">
        <v>3257</v>
      </c>
      <c r="L1202">
        <v>7724.78</v>
      </c>
      <c r="M1202" t="s">
        <v>57</v>
      </c>
      <c r="N1202">
        <v>110</v>
      </c>
      <c r="O1202" t="s">
        <v>77</v>
      </c>
    </row>
    <row r="1203" spans="1:15" x14ac:dyDescent="0.3">
      <c r="A1203" t="s">
        <v>3256</v>
      </c>
      <c r="B1203" t="s">
        <v>3255</v>
      </c>
      <c r="C1203" t="s">
        <v>40</v>
      </c>
      <c r="D1203">
        <v>26</v>
      </c>
      <c r="E1203" t="s">
        <v>54</v>
      </c>
      <c r="F1203" t="s">
        <v>46</v>
      </c>
      <c r="G1203" s="1">
        <v>46129</v>
      </c>
      <c r="H1203" s="1">
        <v>46112</v>
      </c>
      <c r="I1203" t="s">
        <v>3254</v>
      </c>
      <c r="J1203" t="s">
        <v>3253</v>
      </c>
      <c r="L1203">
        <v>1493.08</v>
      </c>
      <c r="N1203">
        <v>456</v>
      </c>
      <c r="O1203" t="s">
        <v>71</v>
      </c>
    </row>
    <row r="1204" spans="1:15" x14ac:dyDescent="0.3">
      <c r="A1204" t="s">
        <v>3252</v>
      </c>
      <c r="B1204" t="s">
        <v>3251</v>
      </c>
      <c r="C1204" t="s">
        <v>123</v>
      </c>
      <c r="D1204">
        <v>90</v>
      </c>
      <c r="E1204" t="s">
        <v>54</v>
      </c>
      <c r="F1204" t="s">
        <v>53</v>
      </c>
      <c r="G1204" s="1">
        <v>46129</v>
      </c>
      <c r="H1204" s="1">
        <v>46126</v>
      </c>
      <c r="I1204" t="s">
        <v>3250</v>
      </c>
      <c r="J1204" t="s">
        <v>3249</v>
      </c>
      <c r="L1204">
        <v>3126.22</v>
      </c>
      <c r="M1204" t="s">
        <v>17</v>
      </c>
      <c r="N1204">
        <v>280</v>
      </c>
      <c r="O1204" t="s">
        <v>71</v>
      </c>
    </row>
    <row r="1205" spans="1:15" x14ac:dyDescent="0.3">
      <c r="A1205" t="s">
        <v>3248</v>
      </c>
      <c r="B1205" t="s">
        <v>3247</v>
      </c>
      <c r="C1205" t="s">
        <v>60</v>
      </c>
      <c r="D1205">
        <v>56</v>
      </c>
      <c r="E1205" t="s">
        <v>47</v>
      </c>
      <c r="F1205" t="s">
        <v>38</v>
      </c>
      <c r="G1205" s="1">
        <v>46025</v>
      </c>
      <c r="H1205" s="1">
        <v>46018</v>
      </c>
      <c r="I1205" t="s">
        <v>3246</v>
      </c>
      <c r="J1205" t="s">
        <v>3245</v>
      </c>
      <c r="K1205" t="s">
        <v>64</v>
      </c>
      <c r="L1205">
        <v>14797.71</v>
      </c>
      <c r="M1205" t="s">
        <v>57</v>
      </c>
      <c r="N1205">
        <v>311</v>
      </c>
      <c r="O1205" t="s">
        <v>25</v>
      </c>
    </row>
    <row r="1206" spans="1:15" x14ac:dyDescent="0.3">
      <c r="A1206" t="s">
        <v>3244</v>
      </c>
      <c r="B1206" t="s">
        <v>3243</v>
      </c>
      <c r="C1206" t="s">
        <v>40</v>
      </c>
      <c r="D1206">
        <v>2</v>
      </c>
      <c r="E1206" t="s">
        <v>21</v>
      </c>
      <c r="F1206" t="s">
        <v>46</v>
      </c>
      <c r="G1206" s="1">
        <v>46012</v>
      </c>
      <c r="H1206" s="1">
        <v>46010</v>
      </c>
      <c r="I1206" t="s">
        <v>3242</v>
      </c>
      <c r="J1206" t="s">
        <v>3241</v>
      </c>
      <c r="K1206" t="s">
        <v>27</v>
      </c>
      <c r="L1206">
        <v>3342.55</v>
      </c>
      <c r="M1206" t="s">
        <v>26</v>
      </c>
      <c r="N1206">
        <v>244</v>
      </c>
      <c r="O1206" t="s">
        <v>77</v>
      </c>
    </row>
    <row r="1207" spans="1:15" x14ac:dyDescent="0.3">
      <c r="A1207" t="s">
        <v>3240</v>
      </c>
      <c r="B1207" t="s">
        <v>3239</v>
      </c>
      <c r="C1207" t="s">
        <v>60</v>
      </c>
      <c r="D1207">
        <v>45</v>
      </c>
      <c r="E1207" t="s">
        <v>21</v>
      </c>
      <c r="F1207" t="s">
        <v>30</v>
      </c>
      <c r="G1207" s="1">
        <v>45981</v>
      </c>
      <c r="H1207" s="1">
        <v>45977</v>
      </c>
      <c r="I1207" t="s">
        <v>3238</v>
      </c>
      <c r="J1207" t="s">
        <v>3237</v>
      </c>
      <c r="L1207">
        <v>12071.79</v>
      </c>
      <c r="M1207" t="s">
        <v>64</v>
      </c>
      <c r="N1207">
        <v>436</v>
      </c>
      <c r="O1207" t="s">
        <v>77</v>
      </c>
    </row>
    <row r="1208" spans="1:15" x14ac:dyDescent="0.3">
      <c r="A1208" t="s">
        <v>3236</v>
      </c>
      <c r="B1208" t="s">
        <v>3235</v>
      </c>
      <c r="C1208" t="s">
        <v>74</v>
      </c>
      <c r="D1208">
        <v>33</v>
      </c>
      <c r="E1208" t="s">
        <v>21</v>
      </c>
      <c r="F1208" t="s">
        <v>85</v>
      </c>
      <c r="G1208" s="1">
        <v>46003</v>
      </c>
      <c r="H1208" s="1">
        <v>45981</v>
      </c>
      <c r="I1208" t="s">
        <v>3234</v>
      </c>
      <c r="J1208" t="s">
        <v>3233</v>
      </c>
      <c r="K1208" t="s">
        <v>57</v>
      </c>
      <c r="L1208">
        <v>22461.48</v>
      </c>
      <c r="M1208" t="s">
        <v>57</v>
      </c>
      <c r="N1208">
        <v>327</v>
      </c>
      <c r="O1208" t="s">
        <v>25</v>
      </c>
    </row>
    <row r="1209" spans="1:15" x14ac:dyDescent="0.3">
      <c r="A1209" t="s">
        <v>3232</v>
      </c>
      <c r="B1209" t="s">
        <v>3231</v>
      </c>
      <c r="C1209" t="s">
        <v>22</v>
      </c>
      <c r="D1209">
        <v>47</v>
      </c>
      <c r="E1209" t="s">
        <v>850</v>
      </c>
      <c r="F1209" t="s">
        <v>38</v>
      </c>
      <c r="G1209" s="1">
        <v>46008</v>
      </c>
      <c r="H1209" s="1">
        <v>45992</v>
      </c>
      <c r="I1209" t="s">
        <v>3230</v>
      </c>
      <c r="K1209" t="s">
        <v>26</v>
      </c>
      <c r="L1209">
        <v>8107.7</v>
      </c>
      <c r="M1209" t="s">
        <v>64</v>
      </c>
      <c r="N1209">
        <v>127</v>
      </c>
      <c r="O1209" t="s">
        <v>43</v>
      </c>
    </row>
    <row r="1210" spans="1:15" x14ac:dyDescent="0.3">
      <c r="A1210" t="s">
        <v>3229</v>
      </c>
      <c r="B1210" t="s">
        <v>3228</v>
      </c>
      <c r="C1210" t="s">
        <v>123</v>
      </c>
      <c r="D1210">
        <v>80</v>
      </c>
      <c r="E1210" t="s">
        <v>68</v>
      </c>
      <c r="F1210" t="s">
        <v>30</v>
      </c>
      <c r="G1210" s="1">
        <v>46086</v>
      </c>
      <c r="H1210" s="1">
        <v>46084</v>
      </c>
      <c r="I1210" t="s">
        <v>3227</v>
      </c>
      <c r="J1210" t="s">
        <v>3226</v>
      </c>
      <c r="K1210" t="s">
        <v>17</v>
      </c>
      <c r="L1210">
        <v>22818.82</v>
      </c>
      <c r="M1210" t="s">
        <v>57</v>
      </c>
      <c r="N1210">
        <v>256</v>
      </c>
      <c r="O1210" t="s">
        <v>25</v>
      </c>
    </row>
    <row r="1211" spans="1:15" x14ac:dyDescent="0.3">
      <c r="A1211" t="s">
        <v>3225</v>
      </c>
      <c r="B1211" t="s">
        <v>3224</v>
      </c>
      <c r="C1211" t="s">
        <v>1</v>
      </c>
      <c r="D1211">
        <v>16</v>
      </c>
      <c r="E1211" t="s">
        <v>31</v>
      </c>
      <c r="F1211" t="s">
        <v>53</v>
      </c>
      <c r="G1211" s="1">
        <v>46037</v>
      </c>
      <c r="H1211" s="1">
        <v>46036</v>
      </c>
      <c r="I1211" t="s">
        <v>3223</v>
      </c>
      <c r="J1211" t="s">
        <v>3222</v>
      </c>
      <c r="K1211" t="s">
        <v>17</v>
      </c>
      <c r="L1211">
        <v>17518.88</v>
      </c>
      <c r="N1211">
        <v>158</v>
      </c>
      <c r="O1211" t="s">
        <v>77</v>
      </c>
    </row>
    <row r="1212" spans="1:15" x14ac:dyDescent="0.3">
      <c r="A1212" t="s">
        <v>3221</v>
      </c>
      <c r="B1212" t="s">
        <v>3220</v>
      </c>
      <c r="D1212">
        <v>5</v>
      </c>
      <c r="E1212" t="s">
        <v>132</v>
      </c>
      <c r="F1212" t="s">
        <v>30</v>
      </c>
      <c r="G1212" s="1">
        <v>46106</v>
      </c>
      <c r="H1212" s="1">
        <v>46088</v>
      </c>
      <c r="I1212" t="s">
        <v>3219</v>
      </c>
      <c r="J1212" t="s">
        <v>3218</v>
      </c>
      <c r="L1212">
        <v>7650.24</v>
      </c>
      <c r="M1212" t="s">
        <v>64</v>
      </c>
      <c r="N1212">
        <v>130</v>
      </c>
      <c r="O1212" t="s">
        <v>43</v>
      </c>
    </row>
    <row r="1213" spans="1:15" x14ac:dyDescent="0.3">
      <c r="A1213" t="s">
        <v>3217</v>
      </c>
      <c r="B1213" t="s">
        <v>3216</v>
      </c>
      <c r="C1213" t="s">
        <v>123</v>
      </c>
      <c r="D1213">
        <v>64</v>
      </c>
      <c r="E1213" t="s">
        <v>47</v>
      </c>
      <c r="F1213" t="s">
        <v>90</v>
      </c>
      <c r="G1213" s="1">
        <v>46068</v>
      </c>
      <c r="H1213" s="1">
        <v>46056</v>
      </c>
      <c r="I1213" t="s">
        <v>3215</v>
      </c>
      <c r="J1213" t="s">
        <v>3214</v>
      </c>
      <c r="L1213">
        <v>1301.51</v>
      </c>
      <c r="M1213" t="s">
        <v>57</v>
      </c>
      <c r="N1213">
        <v>294</v>
      </c>
      <c r="O1213" t="s">
        <v>71</v>
      </c>
    </row>
    <row r="1214" spans="1:15" x14ac:dyDescent="0.3">
      <c r="A1214" t="s">
        <v>3213</v>
      </c>
      <c r="B1214" t="s">
        <v>3212</v>
      </c>
      <c r="C1214" t="s">
        <v>123</v>
      </c>
      <c r="D1214">
        <v>69</v>
      </c>
      <c r="E1214" t="s">
        <v>47</v>
      </c>
      <c r="F1214" t="s">
        <v>30</v>
      </c>
      <c r="G1214" s="1">
        <v>46043</v>
      </c>
      <c r="H1214" s="1">
        <v>46042</v>
      </c>
      <c r="I1214" t="s">
        <v>3211</v>
      </c>
      <c r="J1214" t="s">
        <v>3210</v>
      </c>
      <c r="K1214" t="s">
        <v>57</v>
      </c>
      <c r="L1214">
        <v>23443.15</v>
      </c>
      <c r="M1214" t="s">
        <v>17</v>
      </c>
      <c r="N1214">
        <v>524</v>
      </c>
      <c r="O1214" t="s">
        <v>43</v>
      </c>
    </row>
    <row r="1215" spans="1:15" x14ac:dyDescent="0.3">
      <c r="A1215" t="s">
        <v>3209</v>
      </c>
      <c r="B1215" t="s">
        <v>3208</v>
      </c>
      <c r="C1215" t="s">
        <v>1</v>
      </c>
      <c r="D1215">
        <v>4</v>
      </c>
      <c r="E1215" t="s">
        <v>31</v>
      </c>
      <c r="F1215" t="s">
        <v>90</v>
      </c>
      <c r="G1215" s="1">
        <v>46017</v>
      </c>
      <c r="H1215" s="1">
        <v>45990</v>
      </c>
      <c r="I1215" t="s">
        <v>3207</v>
      </c>
      <c r="J1215" t="s">
        <v>3206</v>
      </c>
      <c r="L1215">
        <v>19608.79</v>
      </c>
      <c r="M1215" t="s">
        <v>27</v>
      </c>
      <c r="N1215">
        <v>513</v>
      </c>
      <c r="O1215" t="s">
        <v>77</v>
      </c>
    </row>
    <row r="1216" spans="1:15" x14ac:dyDescent="0.3">
      <c r="A1216" t="s">
        <v>3205</v>
      </c>
      <c r="B1216" t="s">
        <v>3204</v>
      </c>
      <c r="C1216" t="s">
        <v>123</v>
      </c>
      <c r="D1216">
        <v>87</v>
      </c>
      <c r="E1216" t="s">
        <v>132</v>
      </c>
      <c r="F1216" t="s">
        <v>85</v>
      </c>
      <c r="G1216" s="1">
        <v>46149</v>
      </c>
      <c r="H1216" s="1">
        <v>46136</v>
      </c>
      <c r="I1216" t="s">
        <v>3203</v>
      </c>
      <c r="J1216" t="s">
        <v>3202</v>
      </c>
      <c r="K1216" t="s">
        <v>26</v>
      </c>
      <c r="L1216">
        <v>4231.21</v>
      </c>
      <c r="N1216">
        <v>339</v>
      </c>
      <c r="O1216" t="s">
        <v>25</v>
      </c>
    </row>
    <row r="1217" spans="1:15" x14ac:dyDescent="0.3">
      <c r="A1217" t="s">
        <v>3201</v>
      </c>
      <c r="B1217" t="s">
        <v>3200</v>
      </c>
      <c r="C1217" t="s">
        <v>1</v>
      </c>
      <c r="D1217">
        <v>17</v>
      </c>
      <c r="E1217" t="s">
        <v>47</v>
      </c>
      <c r="F1217" t="s">
        <v>30</v>
      </c>
      <c r="G1217" s="1">
        <v>46130</v>
      </c>
      <c r="H1217" s="1">
        <v>46105</v>
      </c>
      <c r="I1217" t="s">
        <v>3199</v>
      </c>
      <c r="J1217" t="s">
        <v>3198</v>
      </c>
      <c r="K1217" t="s">
        <v>26</v>
      </c>
      <c r="L1217">
        <v>2321.31</v>
      </c>
      <c r="M1217" t="s">
        <v>57</v>
      </c>
      <c r="N1217">
        <v>494</v>
      </c>
      <c r="O1217" t="s">
        <v>34</v>
      </c>
    </row>
    <row r="1218" spans="1:15" x14ac:dyDescent="0.3">
      <c r="A1218" t="s">
        <v>3197</v>
      </c>
      <c r="B1218" t="s">
        <v>3196</v>
      </c>
      <c r="C1218" t="s">
        <v>22</v>
      </c>
      <c r="D1218">
        <v>44</v>
      </c>
      <c r="E1218" t="s">
        <v>54</v>
      </c>
      <c r="F1218" t="s">
        <v>46</v>
      </c>
      <c r="G1218" s="1">
        <v>46003</v>
      </c>
      <c r="H1218" s="1">
        <v>45984</v>
      </c>
      <c r="I1218" t="s">
        <v>3195</v>
      </c>
      <c r="J1218" t="s">
        <v>3194</v>
      </c>
      <c r="K1218" t="s">
        <v>26</v>
      </c>
      <c r="L1218">
        <v>9170.0300000000007</v>
      </c>
      <c r="M1218" t="s">
        <v>63</v>
      </c>
      <c r="N1218">
        <v>500</v>
      </c>
      <c r="O1218" t="s">
        <v>25</v>
      </c>
    </row>
    <row r="1219" spans="1:15" x14ac:dyDescent="0.3">
      <c r="A1219" t="s">
        <v>3193</v>
      </c>
      <c r="B1219" t="s">
        <v>3192</v>
      </c>
      <c r="C1219" t="s">
        <v>40</v>
      </c>
      <c r="D1219">
        <v>16</v>
      </c>
      <c r="E1219" t="s">
        <v>132</v>
      </c>
      <c r="F1219" t="s">
        <v>67</v>
      </c>
      <c r="G1219" s="1">
        <v>46106</v>
      </c>
      <c r="H1219" s="1">
        <v>46080</v>
      </c>
      <c r="I1219" t="s">
        <v>3191</v>
      </c>
      <c r="J1219" t="s">
        <v>3190</v>
      </c>
      <c r="K1219" t="s">
        <v>26</v>
      </c>
      <c r="L1219">
        <v>21220.3</v>
      </c>
      <c r="N1219">
        <v>336</v>
      </c>
      <c r="O1219" t="s">
        <v>77</v>
      </c>
    </row>
    <row r="1220" spans="1:15" x14ac:dyDescent="0.3">
      <c r="A1220" t="s">
        <v>3189</v>
      </c>
      <c r="B1220" t="s">
        <v>3188</v>
      </c>
      <c r="D1220">
        <v>2</v>
      </c>
      <c r="E1220" t="s">
        <v>68</v>
      </c>
      <c r="F1220" t="s">
        <v>46</v>
      </c>
      <c r="G1220" s="1">
        <v>46119</v>
      </c>
      <c r="H1220" s="1">
        <v>46089</v>
      </c>
      <c r="I1220" t="s">
        <v>3187</v>
      </c>
      <c r="J1220" t="s">
        <v>3186</v>
      </c>
      <c r="K1220" t="s">
        <v>57</v>
      </c>
      <c r="L1220">
        <v>12109.16</v>
      </c>
      <c r="M1220" t="s">
        <v>57</v>
      </c>
      <c r="N1220">
        <v>309</v>
      </c>
      <c r="O1220" t="s">
        <v>77</v>
      </c>
    </row>
    <row r="1221" spans="1:15" x14ac:dyDescent="0.3">
      <c r="A1221" t="s">
        <v>3185</v>
      </c>
      <c r="B1221" t="s">
        <v>3184</v>
      </c>
      <c r="C1221" t="s">
        <v>74</v>
      </c>
      <c r="D1221">
        <v>36</v>
      </c>
      <c r="E1221" t="s">
        <v>31</v>
      </c>
      <c r="F1221" t="s">
        <v>20</v>
      </c>
      <c r="G1221" s="1">
        <v>46110</v>
      </c>
      <c r="H1221" s="1">
        <v>46096</v>
      </c>
      <c r="I1221" t="s">
        <v>3183</v>
      </c>
      <c r="J1221" t="s">
        <v>3182</v>
      </c>
      <c r="K1221" t="s">
        <v>35</v>
      </c>
      <c r="L1221">
        <v>6598.57</v>
      </c>
      <c r="M1221" t="s">
        <v>63</v>
      </c>
      <c r="N1221">
        <v>232</v>
      </c>
      <c r="O1221" t="s">
        <v>50</v>
      </c>
    </row>
    <row r="1222" spans="1:15" x14ac:dyDescent="0.3">
      <c r="A1222" t="s">
        <v>3181</v>
      </c>
      <c r="B1222" t="s">
        <v>3180</v>
      </c>
      <c r="D1222">
        <v>17</v>
      </c>
      <c r="E1222" t="s">
        <v>21</v>
      </c>
      <c r="F1222" t="s">
        <v>53</v>
      </c>
      <c r="G1222" s="1">
        <v>45983</v>
      </c>
      <c r="H1222" s="1">
        <v>45979</v>
      </c>
      <c r="I1222" t="s">
        <v>3179</v>
      </c>
      <c r="J1222" t="s">
        <v>3178</v>
      </c>
      <c r="K1222" t="s">
        <v>27</v>
      </c>
      <c r="L1222">
        <v>5970.28</v>
      </c>
      <c r="M1222" t="s">
        <v>27</v>
      </c>
      <c r="N1222">
        <v>194</v>
      </c>
      <c r="O1222" t="s">
        <v>25</v>
      </c>
    </row>
    <row r="1223" spans="1:15" x14ac:dyDescent="0.3">
      <c r="A1223" t="s">
        <v>3177</v>
      </c>
      <c r="B1223" t="s">
        <v>3176</v>
      </c>
      <c r="D1223">
        <v>75</v>
      </c>
      <c r="E1223" t="s">
        <v>31</v>
      </c>
      <c r="F1223" t="s">
        <v>46</v>
      </c>
      <c r="G1223" s="1">
        <v>46081</v>
      </c>
      <c r="H1223" s="1">
        <v>46064</v>
      </c>
      <c r="I1223" t="s">
        <v>3175</v>
      </c>
      <c r="J1223" t="s">
        <v>3174</v>
      </c>
      <c r="K1223" t="s">
        <v>17</v>
      </c>
      <c r="L1223">
        <v>1708.16</v>
      </c>
      <c r="M1223" t="s">
        <v>63</v>
      </c>
      <c r="N1223">
        <v>231</v>
      </c>
      <c r="O1223" t="s">
        <v>77</v>
      </c>
    </row>
    <row r="1224" spans="1:15" x14ac:dyDescent="0.3">
      <c r="A1224" t="s">
        <v>3173</v>
      </c>
      <c r="B1224" t="s">
        <v>3172</v>
      </c>
      <c r="C1224" t="s">
        <v>60</v>
      </c>
      <c r="D1224">
        <v>70</v>
      </c>
      <c r="E1224" t="s">
        <v>47</v>
      </c>
      <c r="F1224" t="s">
        <v>38</v>
      </c>
      <c r="G1224" s="1">
        <v>46095</v>
      </c>
      <c r="H1224" s="1">
        <v>46084</v>
      </c>
      <c r="I1224" t="s">
        <v>3171</v>
      </c>
      <c r="J1224" t="s">
        <v>3170</v>
      </c>
      <c r="K1224" t="s">
        <v>64</v>
      </c>
      <c r="L1224">
        <v>2121.48</v>
      </c>
      <c r="N1224">
        <v>157</v>
      </c>
      <c r="O1224" t="s">
        <v>34</v>
      </c>
    </row>
    <row r="1225" spans="1:15" x14ac:dyDescent="0.3">
      <c r="A1225" t="s">
        <v>3169</v>
      </c>
      <c r="B1225" t="s">
        <v>3168</v>
      </c>
      <c r="C1225" t="s">
        <v>74</v>
      </c>
      <c r="D1225">
        <v>31</v>
      </c>
      <c r="E1225" t="s">
        <v>21</v>
      </c>
      <c r="F1225" t="s">
        <v>67</v>
      </c>
      <c r="G1225" s="1">
        <v>46069</v>
      </c>
      <c r="H1225" s="1">
        <v>46051</v>
      </c>
      <c r="I1225" t="s">
        <v>3167</v>
      </c>
      <c r="J1225" t="s">
        <v>3166</v>
      </c>
      <c r="K1225" t="s">
        <v>57</v>
      </c>
      <c r="L1225">
        <v>20762.62</v>
      </c>
      <c r="N1225">
        <v>136</v>
      </c>
      <c r="O1225" t="s">
        <v>25</v>
      </c>
    </row>
    <row r="1226" spans="1:15" x14ac:dyDescent="0.3">
      <c r="A1226" t="s">
        <v>3165</v>
      </c>
      <c r="B1226" t="s">
        <v>3164</v>
      </c>
      <c r="C1226" t="s">
        <v>123</v>
      </c>
      <c r="D1226">
        <v>37</v>
      </c>
      <c r="E1226" t="s">
        <v>39</v>
      </c>
      <c r="F1226" t="s">
        <v>46</v>
      </c>
      <c r="G1226" s="1">
        <v>46131</v>
      </c>
      <c r="H1226" s="1">
        <v>46121</v>
      </c>
      <c r="I1226" t="s">
        <v>3163</v>
      </c>
      <c r="J1226" t="s">
        <v>3162</v>
      </c>
      <c r="K1226" t="s">
        <v>57</v>
      </c>
      <c r="L1226">
        <v>8507.65</v>
      </c>
      <c r="N1226">
        <v>433</v>
      </c>
      <c r="O1226" t="s">
        <v>43</v>
      </c>
    </row>
    <row r="1227" spans="1:15" x14ac:dyDescent="0.3">
      <c r="A1227" t="s">
        <v>3161</v>
      </c>
      <c r="B1227" t="s">
        <v>3160</v>
      </c>
      <c r="D1227">
        <v>38</v>
      </c>
      <c r="E1227" t="s">
        <v>47</v>
      </c>
      <c r="F1227" t="s">
        <v>53</v>
      </c>
      <c r="G1227" s="1">
        <v>46063</v>
      </c>
      <c r="H1227" s="1">
        <v>46052</v>
      </c>
      <c r="I1227" t="s">
        <v>3159</v>
      </c>
      <c r="J1227" t="s">
        <v>3158</v>
      </c>
      <c r="K1227" t="s">
        <v>27</v>
      </c>
      <c r="L1227">
        <v>7413.64</v>
      </c>
      <c r="M1227" t="s">
        <v>26</v>
      </c>
      <c r="N1227">
        <v>402</v>
      </c>
      <c r="O1227" t="s">
        <v>77</v>
      </c>
    </row>
    <row r="1228" spans="1:15" x14ac:dyDescent="0.3">
      <c r="A1228" t="s">
        <v>3157</v>
      </c>
      <c r="B1228" t="s">
        <v>3156</v>
      </c>
      <c r="C1228" t="s">
        <v>74</v>
      </c>
      <c r="D1228">
        <v>78</v>
      </c>
      <c r="E1228" t="s">
        <v>21</v>
      </c>
      <c r="F1228" t="s">
        <v>67</v>
      </c>
      <c r="G1228" s="1">
        <v>46046</v>
      </c>
      <c r="H1228" s="1">
        <v>46030</v>
      </c>
      <c r="I1228" t="s">
        <v>3155</v>
      </c>
      <c r="J1228" t="s">
        <v>3154</v>
      </c>
      <c r="K1228" t="s">
        <v>57</v>
      </c>
      <c r="L1228">
        <v>23510.51</v>
      </c>
      <c r="N1228">
        <v>525</v>
      </c>
      <c r="O1228" t="s">
        <v>34</v>
      </c>
    </row>
    <row r="1229" spans="1:15" x14ac:dyDescent="0.3">
      <c r="A1229" t="s">
        <v>3153</v>
      </c>
      <c r="B1229" t="s">
        <v>3152</v>
      </c>
      <c r="C1229" t="s">
        <v>40</v>
      </c>
      <c r="D1229">
        <v>85</v>
      </c>
      <c r="E1229" t="s">
        <v>39</v>
      </c>
      <c r="F1229" t="s">
        <v>90</v>
      </c>
      <c r="G1229" s="1">
        <v>46016</v>
      </c>
      <c r="H1229" s="1">
        <v>45992</v>
      </c>
      <c r="I1229" t="s">
        <v>3151</v>
      </c>
      <c r="J1229" t="s">
        <v>3150</v>
      </c>
      <c r="K1229" t="s">
        <v>64</v>
      </c>
      <c r="L1229">
        <v>23888.45</v>
      </c>
      <c r="M1229" t="s">
        <v>57</v>
      </c>
      <c r="N1229">
        <v>389</v>
      </c>
      <c r="O1229" t="s">
        <v>34</v>
      </c>
    </row>
    <row r="1230" spans="1:15" x14ac:dyDescent="0.3">
      <c r="A1230" t="s">
        <v>3149</v>
      </c>
      <c r="B1230" t="s">
        <v>3148</v>
      </c>
      <c r="C1230" t="s">
        <v>123</v>
      </c>
      <c r="D1230">
        <v>69</v>
      </c>
      <c r="E1230" t="s">
        <v>80</v>
      </c>
      <c r="F1230" t="s">
        <v>46</v>
      </c>
      <c r="G1230" s="1">
        <v>46077</v>
      </c>
      <c r="H1230" s="1">
        <v>46058</v>
      </c>
      <c r="I1230" t="s">
        <v>3147</v>
      </c>
      <c r="J1230" t="s">
        <v>3146</v>
      </c>
      <c r="L1230">
        <v>16548.099999999999</v>
      </c>
      <c r="N1230">
        <v>262</v>
      </c>
      <c r="O1230" t="s">
        <v>43</v>
      </c>
    </row>
    <row r="1231" spans="1:15" x14ac:dyDescent="0.3">
      <c r="A1231" t="s">
        <v>3145</v>
      </c>
      <c r="B1231" t="s">
        <v>3144</v>
      </c>
      <c r="C1231" t="s">
        <v>1</v>
      </c>
      <c r="D1231">
        <v>74</v>
      </c>
      <c r="E1231" t="s">
        <v>132</v>
      </c>
      <c r="F1231" t="s">
        <v>38</v>
      </c>
      <c r="G1231" s="1">
        <v>45986</v>
      </c>
      <c r="H1231" s="1">
        <v>45976</v>
      </c>
      <c r="I1231" t="s">
        <v>3143</v>
      </c>
      <c r="J1231" t="s">
        <v>3142</v>
      </c>
      <c r="K1231" t="s">
        <v>17</v>
      </c>
      <c r="L1231">
        <v>20015.349999999999</v>
      </c>
      <c r="M1231" t="s">
        <v>17</v>
      </c>
      <c r="N1231">
        <v>218</v>
      </c>
      <c r="O1231" t="s">
        <v>16</v>
      </c>
    </row>
    <row r="1232" spans="1:15" x14ac:dyDescent="0.3">
      <c r="A1232" t="s">
        <v>3141</v>
      </c>
      <c r="B1232" t="s">
        <v>3140</v>
      </c>
      <c r="C1232" t="s">
        <v>60</v>
      </c>
      <c r="D1232">
        <v>15</v>
      </c>
      <c r="E1232" t="s">
        <v>21</v>
      </c>
      <c r="F1232" t="s">
        <v>85</v>
      </c>
      <c r="G1232" s="1">
        <v>46046</v>
      </c>
      <c r="H1232" s="1">
        <v>46023</v>
      </c>
      <c r="I1232" t="s">
        <v>3139</v>
      </c>
      <c r="J1232" t="s">
        <v>3138</v>
      </c>
      <c r="L1232">
        <v>9174.65</v>
      </c>
      <c r="M1232" t="s">
        <v>17</v>
      </c>
      <c r="N1232">
        <v>386</v>
      </c>
      <c r="O1232" t="s">
        <v>34</v>
      </c>
    </row>
    <row r="1233" spans="1:15" x14ac:dyDescent="0.3">
      <c r="A1233" t="s">
        <v>3137</v>
      </c>
      <c r="B1233" t="s">
        <v>3136</v>
      </c>
      <c r="C1233" t="s">
        <v>74</v>
      </c>
      <c r="D1233">
        <v>47</v>
      </c>
      <c r="E1233" t="s">
        <v>68</v>
      </c>
      <c r="F1233" t="s">
        <v>38</v>
      </c>
      <c r="G1233" s="1">
        <v>46150</v>
      </c>
      <c r="H1233" s="1">
        <v>46136</v>
      </c>
      <c r="I1233" t="s">
        <v>3135</v>
      </c>
      <c r="J1233" t="s">
        <v>3134</v>
      </c>
      <c r="L1233">
        <v>5898.13</v>
      </c>
      <c r="M1233" t="s">
        <v>26</v>
      </c>
      <c r="N1233">
        <v>375</v>
      </c>
      <c r="O1233" t="s">
        <v>71</v>
      </c>
    </row>
    <row r="1234" spans="1:15" x14ac:dyDescent="0.3">
      <c r="A1234" t="s">
        <v>3133</v>
      </c>
      <c r="B1234" t="s">
        <v>3132</v>
      </c>
      <c r="C1234" t="s">
        <v>123</v>
      </c>
      <c r="D1234">
        <v>87</v>
      </c>
      <c r="E1234" t="s">
        <v>39</v>
      </c>
      <c r="F1234" t="s">
        <v>30</v>
      </c>
      <c r="G1234" s="1">
        <v>46096</v>
      </c>
      <c r="H1234" s="1">
        <v>46071</v>
      </c>
      <c r="I1234" t="s">
        <v>3131</v>
      </c>
      <c r="J1234" t="s">
        <v>3130</v>
      </c>
      <c r="K1234" t="s">
        <v>26</v>
      </c>
      <c r="L1234">
        <v>8670.98</v>
      </c>
      <c r="M1234" t="s">
        <v>64</v>
      </c>
      <c r="N1234" t="s">
        <v>347</v>
      </c>
      <c r="O1234" t="s">
        <v>16</v>
      </c>
    </row>
    <row r="1235" spans="1:15" x14ac:dyDescent="0.3">
      <c r="A1235" t="s">
        <v>3129</v>
      </c>
      <c r="B1235" t="s">
        <v>3128</v>
      </c>
      <c r="C1235" t="s">
        <v>123</v>
      </c>
      <c r="D1235">
        <v>65</v>
      </c>
      <c r="E1235" t="s">
        <v>39</v>
      </c>
      <c r="F1235" t="s">
        <v>85</v>
      </c>
      <c r="G1235" s="1">
        <v>46105</v>
      </c>
      <c r="H1235" s="1">
        <v>46085</v>
      </c>
      <c r="I1235" t="s">
        <v>3127</v>
      </c>
      <c r="J1235" t="s">
        <v>3126</v>
      </c>
      <c r="K1235" t="s">
        <v>17</v>
      </c>
      <c r="L1235">
        <v>22516.84</v>
      </c>
      <c r="N1235">
        <v>107</v>
      </c>
      <c r="O1235" t="s">
        <v>71</v>
      </c>
    </row>
    <row r="1236" spans="1:15" x14ac:dyDescent="0.3">
      <c r="A1236" t="s">
        <v>3125</v>
      </c>
      <c r="B1236" t="s">
        <v>3124</v>
      </c>
      <c r="C1236" t="s">
        <v>74</v>
      </c>
      <c r="D1236">
        <v>54</v>
      </c>
      <c r="E1236" t="s">
        <v>132</v>
      </c>
      <c r="F1236" t="s">
        <v>85</v>
      </c>
      <c r="G1236" s="1">
        <v>46013</v>
      </c>
      <c r="H1236" s="1">
        <v>45990</v>
      </c>
      <c r="I1236" t="s">
        <v>3123</v>
      </c>
      <c r="J1236" t="s">
        <v>3122</v>
      </c>
      <c r="K1236" t="s">
        <v>64</v>
      </c>
      <c r="L1236">
        <v>3334.67</v>
      </c>
      <c r="M1236" t="s">
        <v>27</v>
      </c>
      <c r="N1236">
        <v>526</v>
      </c>
      <c r="O1236" t="s">
        <v>16</v>
      </c>
    </row>
    <row r="1237" spans="1:15" x14ac:dyDescent="0.3">
      <c r="A1237" t="s">
        <v>3121</v>
      </c>
      <c r="B1237" t="s">
        <v>3120</v>
      </c>
      <c r="C1237" t="s">
        <v>40</v>
      </c>
      <c r="D1237">
        <v>89</v>
      </c>
      <c r="E1237" t="s">
        <v>39</v>
      </c>
      <c r="F1237" t="s">
        <v>20</v>
      </c>
      <c r="G1237" s="1">
        <v>46059</v>
      </c>
      <c r="H1237" s="1">
        <v>46055</v>
      </c>
      <c r="I1237" t="s">
        <v>3119</v>
      </c>
      <c r="J1237" t="s">
        <v>3118</v>
      </c>
      <c r="L1237">
        <v>22625.66</v>
      </c>
      <c r="M1237" t="s">
        <v>17</v>
      </c>
      <c r="N1237">
        <v>165</v>
      </c>
      <c r="O1237" t="s">
        <v>16</v>
      </c>
    </row>
    <row r="1238" spans="1:15" x14ac:dyDescent="0.3">
      <c r="A1238" t="s">
        <v>3117</v>
      </c>
      <c r="B1238" t="s">
        <v>3116</v>
      </c>
      <c r="C1238" t="s">
        <v>1</v>
      </c>
      <c r="D1238">
        <v>38</v>
      </c>
      <c r="E1238" t="s">
        <v>80</v>
      </c>
      <c r="F1238" t="s">
        <v>67</v>
      </c>
      <c r="G1238" s="1">
        <v>46128</v>
      </c>
      <c r="H1238" s="1">
        <v>46100</v>
      </c>
      <c r="I1238" t="s">
        <v>3115</v>
      </c>
      <c r="J1238" t="s">
        <v>3114</v>
      </c>
      <c r="K1238" t="s">
        <v>57</v>
      </c>
      <c r="L1238">
        <v>14868.65</v>
      </c>
      <c r="M1238" t="s">
        <v>64</v>
      </c>
      <c r="N1238">
        <v>469</v>
      </c>
      <c r="O1238" t="s">
        <v>77</v>
      </c>
    </row>
    <row r="1239" spans="1:15" x14ac:dyDescent="0.3">
      <c r="A1239" t="s">
        <v>3113</v>
      </c>
      <c r="B1239" t="s">
        <v>3112</v>
      </c>
      <c r="C1239" t="s">
        <v>74</v>
      </c>
      <c r="D1239">
        <v>46</v>
      </c>
      <c r="E1239" t="s">
        <v>68</v>
      </c>
      <c r="F1239" t="s">
        <v>90</v>
      </c>
      <c r="G1239" s="1">
        <v>46113</v>
      </c>
      <c r="H1239" s="1">
        <v>46093</v>
      </c>
      <c r="I1239" t="s">
        <v>3111</v>
      </c>
      <c r="J1239" t="s">
        <v>3110</v>
      </c>
      <c r="L1239">
        <v>18569.3</v>
      </c>
      <c r="N1239">
        <v>248</v>
      </c>
      <c r="O1239" t="s">
        <v>50</v>
      </c>
    </row>
    <row r="1240" spans="1:15" x14ac:dyDescent="0.3">
      <c r="A1240" t="s">
        <v>3109</v>
      </c>
      <c r="B1240" t="s">
        <v>3108</v>
      </c>
      <c r="D1240">
        <v>90</v>
      </c>
      <c r="E1240" t="s">
        <v>39</v>
      </c>
      <c r="F1240" t="s">
        <v>53</v>
      </c>
      <c r="G1240" s="1">
        <v>46139</v>
      </c>
      <c r="H1240" s="1">
        <v>46116</v>
      </c>
      <c r="I1240" t="s">
        <v>3107</v>
      </c>
      <c r="J1240" t="s">
        <v>3106</v>
      </c>
      <c r="K1240" t="s">
        <v>64</v>
      </c>
      <c r="L1240">
        <v>3975.96</v>
      </c>
      <c r="M1240" t="s">
        <v>27</v>
      </c>
      <c r="N1240">
        <v>403</v>
      </c>
      <c r="O1240" t="s">
        <v>34</v>
      </c>
    </row>
    <row r="1241" spans="1:15" x14ac:dyDescent="0.3">
      <c r="A1241" t="s">
        <v>3105</v>
      </c>
      <c r="B1241" t="s">
        <v>3104</v>
      </c>
      <c r="C1241" t="s">
        <v>60</v>
      </c>
      <c r="D1241">
        <v>87</v>
      </c>
      <c r="E1241" t="s">
        <v>68</v>
      </c>
      <c r="F1241" t="s">
        <v>90</v>
      </c>
      <c r="G1241" s="1">
        <v>46082</v>
      </c>
      <c r="H1241" s="1">
        <v>46072</v>
      </c>
      <c r="I1241" t="s">
        <v>3103</v>
      </c>
      <c r="J1241" t="s">
        <v>3102</v>
      </c>
      <c r="L1241">
        <v>4582.71</v>
      </c>
      <c r="M1241" t="s">
        <v>63</v>
      </c>
      <c r="N1241">
        <v>495</v>
      </c>
      <c r="O1241" t="s">
        <v>77</v>
      </c>
    </row>
    <row r="1242" spans="1:15" x14ac:dyDescent="0.3">
      <c r="A1242" t="s">
        <v>3101</v>
      </c>
      <c r="B1242" t="s">
        <v>3100</v>
      </c>
      <c r="C1242" t="s">
        <v>1</v>
      </c>
      <c r="D1242">
        <v>39</v>
      </c>
      <c r="E1242" t="s">
        <v>68</v>
      </c>
      <c r="F1242" t="s">
        <v>67</v>
      </c>
      <c r="G1242" s="1">
        <v>46035</v>
      </c>
      <c r="H1242" s="1">
        <v>46034</v>
      </c>
      <c r="I1242" t="s">
        <v>3099</v>
      </c>
      <c r="J1242" t="s">
        <v>3098</v>
      </c>
      <c r="L1242">
        <v>7274.38</v>
      </c>
      <c r="N1242">
        <v>263</v>
      </c>
      <c r="O1242" t="s">
        <v>50</v>
      </c>
    </row>
    <row r="1243" spans="1:15" x14ac:dyDescent="0.3">
      <c r="A1243" t="s">
        <v>3097</v>
      </c>
      <c r="B1243" t="s">
        <v>3096</v>
      </c>
      <c r="C1243" t="s">
        <v>0</v>
      </c>
      <c r="D1243">
        <v>19</v>
      </c>
      <c r="E1243" t="s">
        <v>47</v>
      </c>
      <c r="F1243" t="s">
        <v>38</v>
      </c>
      <c r="G1243" s="1">
        <v>46040</v>
      </c>
      <c r="H1243" s="1">
        <v>46027</v>
      </c>
      <c r="I1243" t="s">
        <v>3095</v>
      </c>
      <c r="J1243" t="s">
        <v>3094</v>
      </c>
      <c r="K1243" t="s">
        <v>26</v>
      </c>
      <c r="L1243">
        <v>14463.42</v>
      </c>
      <c r="M1243" t="s">
        <v>17</v>
      </c>
      <c r="N1243">
        <v>150</v>
      </c>
      <c r="O1243" t="s">
        <v>43</v>
      </c>
    </row>
    <row r="1244" spans="1:15" x14ac:dyDescent="0.3">
      <c r="A1244" t="s">
        <v>3093</v>
      </c>
      <c r="B1244" t="s">
        <v>3092</v>
      </c>
      <c r="C1244" t="s">
        <v>22</v>
      </c>
      <c r="D1244">
        <v>22</v>
      </c>
      <c r="E1244" t="s">
        <v>80</v>
      </c>
      <c r="F1244" t="s">
        <v>30</v>
      </c>
      <c r="G1244" s="1">
        <v>46083</v>
      </c>
      <c r="H1244" s="1">
        <v>46075</v>
      </c>
      <c r="I1244" t="s">
        <v>3091</v>
      </c>
      <c r="J1244" t="s">
        <v>3090</v>
      </c>
      <c r="L1244">
        <v>11085.14</v>
      </c>
      <c r="M1244" t="s">
        <v>26</v>
      </c>
      <c r="N1244">
        <v>247</v>
      </c>
      <c r="O1244" t="s">
        <v>43</v>
      </c>
    </row>
    <row r="1245" spans="1:15" x14ac:dyDescent="0.3">
      <c r="A1245" t="s">
        <v>3089</v>
      </c>
      <c r="B1245" t="s">
        <v>3088</v>
      </c>
      <c r="C1245" t="s">
        <v>74</v>
      </c>
      <c r="D1245">
        <v>30</v>
      </c>
      <c r="E1245" t="s">
        <v>132</v>
      </c>
      <c r="F1245" t="s">
        <v>53</v>
      </c>
      <c r="G1245" s="1">
        <v>45982</v>
      </c>
      <c r="H1245" s="1">
        <v>45979</v>
      </c>
      <c r="I1245" t="s">
        <v>3087</v>
      </c>
      <c r="J1245" t="s">
        <v>3086</v>
      </c>
      <c r="K1245" t="s">
        <v>17</v>
      </c>
      <c r="L1245">
        <v>13893.65</v>
      </c>
      <c r="M1245" t="s">
        <v>26</v>
      </c>
      <c r="N1245">
        <v>114</v>
      </c>
      <c r="O1245" t="s">
        <v>34</v>
      </c>
    </row>
    <row r="1246" spans="1:15" x14ac:dyDescent="0.3">
      <c r="A1246" t="s">
        <v>3085</v>
      </c>
      <c r="B1246" t="s">
        <v>3084</v>
      </c>
      <c r="C1246" t="s">
        <v>40</v>
      </c>
      <c r="D1246">
        <v>70</v>
      </c>
      <c r="E1246" t="s">
        <v>21</v>
      </c>
      <c r="F1246" t="s">
        <v>46</v>
      </c>
      <c r="G1246" s="1">
        <v>46098</v>
      </c>
      <c r="H1246" s="1">
        <v>46083</v>
      </c>
      <c r="I1246" t="s">
        <v>3083</v>
      </c>
      <c r="J1246" t="s">
        <v>3082</v>
      </c>
      <c r="K1246" t="s">
        <v>27</v>
      </c>
      <c r="L1246">
        <v>9364.61</v>
      </c>
      <c r="M1246" t="s">
        <v>63</v>
      </c>
      <c r="N1246">
        <v>392</v>
      </c>
      <c r="O1246" t="s">
        <v>16</v>
      </c>
    </row>
    <row r="1247" spans="1:15" x14ac:dyDescent="0.3">
      <c r="A1247" t="s">
        <v>3081</v>
      </c>
      <c r="B1247" t="s">
        <v>3080</v>
      </c>
      <c r="D1247">
        <v>67</v>
      </c>
      <c r="E1247" t="s">
        <v>39</v>
      </c>
      <c r="F1247" t="s">
        <v>85</v>
      </c>
      <c r="G1247" s="1">
        <v>46070</v>
      </c>
      <c r="H1247" s="1">
        <v>46061</v>
      </c>
      <c r="I1247" t="s">
        <v>3079</v>
      </c>
      <c r="J1247" t="s">
        <v>3078</v>
      </c>
      <c r="K1247" t="s">
        <v>64</v>
      </c>
      <c r="L1247">
        <v>17963.02</v>
      </c>
      <c r="M1247" t="s">
        <v>64</v>
      </c>
      <c r="N1247">
        <v>327</v>
      </c>
      <c r="O1247" t="s">
        <v>16</v>
      </c>
    </row>
    <row r="1248" spans="1:15" x14ac:dyDescent="0.3">
      <c r="A1248" t="s">
        <v>3077</v>
      </c>
      <c r="B1248" t="s">
        <v>3076</v>
      </c>
      <c r="D1248">
        <v>34</v>
      </c>
      <c r="E1248" t="s">
        <v>80</v>
      </c>
      <c r="F1248" t="s">
        <v>53</v>
      </c>
      <c r="G1248" s="1">
        <v>46052</v>
      </c>
      <c r="H1248" s="1">
        <v>46044</v>
      </c>
      <c r="I1248" t="s">
        <v>3075</v>
      </c>
      <c r="J1248" t="s">
        <v>3074</v>
      </c>
      <c r="K1248" t="s">
        <v>64</v>
      </c>
      <c r="L1248">
        <v>24217.3</v>
      </c>
      <c r="M1248" t="s">
        <v>64</v>
      </c>
      <c r="N1248">
        <v>481</v>
      </c>
      <c r="O1248" t="s">
        <v>50</v>
      </c>
    </row>
    <row r="1249" spans="1:15" x14ac:dyDescent="0.3">
      <c r="A1249" t="s">
        <v>3073</v>
      </c>
      <c r="B1249" t="s">
        <v>3072</v>
      </c>
      <c r="C1249" t="s">
        <v>1</v>
      </c>
      <c r="D1249">
        <v>220</v>
      </c>
      <c r="E1249" t="s">
        <v>31</v>
      </c>
      <c r="F1249" t="s">
        <v>53</v>
      </c>
      <c r="G1249" s="1">
        <v>46060</v>
      </c>
      <c r="H1249" s="1">
        <v>46044</v>
      </c>
      <c r="I1249" t="s">
        <v>3071</v>
      </c>
      <c r="J1249" t="s">
        <v>3070</v>
      </c>
      <c r="K1249" t="s">
        <v>57</v>
      </c>
      <c r="L1249">
        <v>7047.48</v>
      </c>
      <c r="M1249" t="s">
        <v>64</v>
      </c>
      <c r="N1249">
        <v>461</v>
      </c>
      <c r="O1249" t="s">
        <v>25</v>
      </c>
    </row>
    <row r="1250" spans="1:15" x14ac:dyDescent="0.3">
      <c r="A1250" t="s">
        <v>3069</v>
      </c>
      <c r="B1250" t="s">
        <v>3068</v>
      </c>
      <c r="C1250" t="s">
        <v>60</v>
      </c>
      <c r="D1250">
        <v>5</v>
      </c>
      <c r="E1250" t="s">
        <v>54</v>
      </c>
      <c r="F1250" t="s">
        <v>20</v>
      </c>
      <c r="G1250" s="1">
        <v>46143</v>
      </c>
      <c r="H1250" s="1">
        <v>46114</v>
      </c>
      <c r="I1250" t="s">
        <v>3067</v>
      </c>
      <c r="J1250" t="s">
        <v>3066</v>
      </c>
      <c r="K1250" t="s">
        <v>57</v>
      </c>
      <c r="L1250">
        <v>4921.8900000000003</v>
      </c>
      <c r="M1250" t="s">
        <v>27</v>
      </c>
      <c r="N1250">
        <v>424</v>
      </c>
      <c r="O1250" t="s">
        <v>25</v>
      </c>
    </row>
    <row r="1251" spans="1:15" x14ac:dyDescent="0.3">
      <c r="A1251" t="s">
        <v>3065</v>
      </c>
      <c r="B1251" t="s">
        <v>3064</v>
      </c>
      <c r="C1251" t="s">
        <v>40</v>
      </c>
      <c r="D1251">
        <v>32</v>
      </c>
      <c r="E1251" t="s">
        <v>39</v>
      </c>
      <c r="F1251" t="s">
        <v>90</v>
      </c>
      <c r="G1251" s="1">
        <v>46009</v>
      </c>
      <c r="H1251" s="1">
        <v>45982</v>
      </c>
      <c r="I1251" t="s">
        <v>3063</v>
      </c>
      <c r="J1251" t="s">
        <v>3062</v>
      </c>
      <c r="K1251" t="s">
        <v>17</v>
      </c>
      <c r="L1251">
        <v>16899.02</v>
      </c>
      <c r="M1251" t="s">
        <v>63</v>
      </c>
      <c r="N1251">
        <v>340</v>
      </c>
      <c r="O1251" t="s">
        <v>71</v>
      </c>
    </row>
    <row r="1252" spans="1:15" x14ac:dyDescent="0.3">
      <c r="A1252" t="s">
        <v>3061</v>
      </c>
      <c r="B1252" t="s">
        <v>2172</v>
      </c>
      <c r="D1252">
        <v>24</v>
      </c>
      <c r="E1252" t="s">
        <v>68</v>
      </c>
      <c r="F1252" t="s">
        <v>30</v>
      </c>
      <c r="G1252" s="1">
        <v>46013</v>
      </c>
      <c r="H1252" s="1">
        <v>46009</v>
      </c>
      <c r="I1252" t="s">
        <v>3060</v>
      </c>
      <c r="J1252" t="s">
        <v>3059</v>
      </c>
      <c r="K1252" t="s">
        <v>17</v>
      </c>
      <c r="L1252">
        <v>15942.36</v>
      </c>
      <c r="M1252" t="s">
        <v>64</v>
      </c>
      <c r="N1252">
        <v>364</v>
      </c>
      <c r="O1252" t="s">
        <v>50</v>
      </c>
    </row>
    <row r="1253" spans="1:15" x14ac:dyDescent="0.3">
      <c r="A1253" t="s">
        <v>3058</v>
      </c>
      <c r="B1253" t="s">
        <v>3057</v>
      </c>
      <c r="C1253" t="s">
        <v>1</v>
      </c>
      <c r="D1253">
        <v>1</v>
      </c>
      <c r="E1253" t="s">
        <v>54</v>
      </c>
      <c r="F1253" t="s">
        <v>20</v>
      </c>
      <c r="G1253" s="1">
        <v>46063</v>
      </c>
      <c r="H1253" s="1">
        <v>46048</v>
      </c>
      <c r="I1253" t="s">
        <v>3056</v>
      </c>
      <c r="J1253" t="s">
        <v>3055</v>
      </c>
      <c r="K1253" t="s">
        <v>17</v>
      </c>
      <c r="L1253">
        <v>17807.759999999998</v>
      </c>
      <c r="M1253" t="s">
        <v>27</v>
      </c>
      <c r="N1253">
        <v>314</v>
      </c>
      <c r="O1253" t="s">
        <v>25</v>
      </c>
    </row>
    <row r="1254" spans="1:15" x14ac:dyDescent="0.3">
      <c r="A1254" t="s">
        <v>3054</v>
      </c>
      <c r="B1254" t="s">
        <v>3053</v>
      </c>
      <c r="C1254" t="s">
        <v>22</v>
      </c>
      <c r="D1254">
        <v>79</v>
      </c>
      <c r="E1254" t="s">
        <v>54</v>
      </c>
      <c r="F1254" t="s">
        <v>38</v>
      </c>
      <c r="G1254" s="1">
        <v>46082</v>
      </c>
      <c r="H1254" s="1">
        <v>46062</v>
      </c>
      <c r="I1254" t="s">
        <v>3052</v>
      </c>
      <c r="J1254" t="s">
        <v>3051</v>
      </c>
      <c r="K1254" t="s">
        <v>57</v>
      </c>
      <c r="L1254">
        <v>12208.98</v>
      </c>
      <c r="M1254" t="s">
        <v>26</v>
      </c>
      <c r="N1254">
        <v>549</v>
      </c>
      <c r="O1254" t="s">
        <v>43</v>
      </c>
    </row>
    <row r="1255" spans="1:15" x14ac:dyDescent="0.3">
      <c r="A1255" t="s">
        <v>3050</v>
      </c>
      <c r="B1255" t="s">
        <v>3049</v>
      </c>
      <c r="C1255" t="s">
        <v>1</v>
      </c>
      <c r="D1255">
        <v>38</v>
      </c>
      <c r="E1255" t="s">
        <v>68</v>
      </c>
      <c r="F1255" t="s">
        <v>85</v>
      </c>
      <c r="G1255" s="1">
        <v>46051</v>
      </c>
      <c r="H1255" s="1">
        <v>46026</v>
      </c>
      <c r="I1255" t="s">
        <v>3048</v>
      </c>
      <c r="J1255" t="s">
        <v>3047</v>
      </c>
      <c r="L1255">
        <v>15026.48</v>
      </c>
      <c r="N1255">
        <v>251</v>
      </c>
      <c r="O1255" t="s">
        <v>77</v>
      </c>
    </row>
    <row r="1256" spans="1:15" x14ac:dyDescent="0.3">
      <c r="A1256" t="s">
        <v>3046</v>
      </c>
      <c r="B1256" t="s">
        <v>3045</v>
      </c>
      <c r="C1256" t="s">
        <v>1</v>
      </c>
      <c r="D1256">
        <v>15</v>
      </c>
      <c r="E1256" t="s">
        <v>132</v>
      </c>
      <c r="F1256" t="s">
        <v>90</v>
      </c>
      <c r="G1256" s="1">
        <v>46056</v>
      </c>
      <c r="H1256" s="1">
        <v>46042</v>
      </c>
      <c r="I1256" t="s">
        <v>3044</v>
      </c>
      <c r="J1256" t="s">
        <v>3043</v>
      </c>
      <c r="K1256" t="s">
        <v>57</v>
      </c>
      <c r="L1256">
        <v>6335.43</v>
      </c>
      <c r="N1256">
        <v>159</v>
      </c>
      <c r="O1256" t="s">
        <v>71</v>
      </c>
    </row>
    <row r="1257" spans="1:15" x14ac:dyDescent="0.3">
      <c r="A1257" t="s">
        <v>3042</v>
      </c>
      <c r="B1257" t="s">
        <v>3041</v>
      </c>
      <c r="D1257">
        <v>41</v>
      </c>
      <c r="E1257" t="s">
        <v>80</v>
      </c>
      <c r="F1257" t="s">
        <v>67</v>
      </c>
      <c r="G1257" s="1">
        <v>46150</v>
      </c>
      <c r="H1257" s="1">
        <v>46128</v>
      </c>
      <c r="I1257" t="s">
        <v>3040</v>
      </c>
      <c r="J1257" t="s">
        <v>3039</v>
      </c>
      <c r="L1257">
        <v>17679.509999999998</v>
      </c>
      <c r="N1257">
        <v>530</v>
      </c>
      <c r="O1257" t="s">
        <v>50</v>
      </c>
    </row>
    <row r="1258" spans="1:15" x14ac:dyDescent="0.3">
      <c r="A1258" t="s">
        <v>3038</v>
      </c>
      <c r="B1258" t="s">
        <v>3037</v>
      </c>
      <c r="D1258">
        <v>77</v>
      </c>
      <c r="E1258" t="s">
        <v>54</v>
      </c>
      <c r="F1258" t="s">
        <v>38</v>
      </c>
      <c r="G1258" s="1">
        <v>45984</v>
      </c>
      <c r="H1258" s="1">
        <v>45984</v>
      </c>
      <c r="I1258" t="s">
        <v>3036</v>
      </c>
      <c r="J1258" t="s">
        <v>3035</v>
      </c>
      <c r="K1258" t="s">
        <v>26</v>
      </c>
      <c r="L1258">
        <v>6844.51</v>
      </c>
      <c r="M1258" t="s">
        <v>57</v>
      </c>
      <c r="N1258">
        <v>535</v>
      </c>
      <c r="O1258" t="s">
        <v>50</v>
      </c>
    </row>
    <row r="1259" spans="1:15" x14ac:dyDescent="0.3">
      <c r="A1259" t="s">
        <v>3034</v>
      </c>
      <c r="B1259" t="s">
        <v>3033</v>
      </c>
      <c r="C1259" t="s">
        <v>123</v>
      </c>
      <c r="D1259">
        <v>8</v>
      </c>
      <c r="E1259" t="s">
        <v>31</v>
      </c>
      <c r="F1259" t="s">
        <v>30</v>
      </c>
      <c r="G1259" s="1">
        <v>46009</v>
      </c>
      <c r="H1259" s="1">
        <v>45988</v>
      </c>
      <c r="I1259" t="s">
        <v>3032</v>
      </c>
      <c r="J1259" t="s">
        <v>3031</v>
      </c>
      <c r="K1259" t="s">
        <v>57</v>
      </c>
      <c r="L1259">
        <v>10398.48</v>
      </c>
      <c r="N1259">
        <v>317</v>
      </c>
      <c r="O1259" t="s">
        <v>16</v>
      </c>
    </row>
    <row r="1261" spans="1:15" x14ac:dyDescent="0.3">
      <c r="A1261" t="s">
        <v>3030</v>
      </c>
      <c r="B1261" t="s">
        <v>3029</v>
      </c>
      <c r="C1261" t="s">
        <v>22</v>
      </c>
      <c r="D1261">
        <v>7</v>
      </c>
      <c r="E1261" t="s">
        <v>132</v>
      </c>
      <c r="F1261" t="s">
        <v>85</v>
      </c>
      <c r="G1261" s="1">
        <v>46172</v>
      </c>
      <c r="H1261" s="1">
        <v>46149</v>
      </c>
      <c r="I1261" t="s">
        <v>3028</v>
      </c>
      <c r="J1261" t="s">
        <v>3027</v>
      </c>
      <c r="K1261" t="s">
        <v>17</v>
      </c>
      <c r="L1261">
        <v>8628.07</v>
      </c>
      <c r="M1261" t="s">
        <v>27</v>
      </c>
      <c r="N1261">
        <v>257</v>
      </c>
      <c r="O1261" t="s">
        <v>16</v>
      </c>
    </row>
    <row r="1262" spans="1:15" x14ac:dyDescent="0.3">
      <c r="A1262" t="s">
        <v>3026</v>
      </c>
      <c r="B1262" t="s">
        <v>3025</v>
      </c>
      <c r="C1262" t="s">
        <v>123</v>
      </c>
      <c r="D1262">
        <v>29</v>
      </c>
      <c r="E1262" t="s">
        <v>39</v>
      </c>
      <c r="F1262" t="s">
        <v>38</v>
      </c>
      <c r="G1262" s="1">
        <v>46111</v>
      </c>
      <c r="H1262" s="1">
        <v>46087</v>
      </c>
      <c r="I1262" t="s">
        <v>3024</v>
      </c>
      <c r="J1262" t="s">
        <v>3023</v>
      </c>
      <c r="K1262" t="s">
        <v>64</v>
      </c>
      <c r="L1262">
        <v>23707.37</v>
      </c>
      <c r="M1262" t="s">
        <v>17</v>
      </c>
      <c r="N1262">
        <v>166</v>
      </c>
      <c r="O1262" t="s">
        <v>34</v>
      </c>
    </row>
    <row r="1263" spans="1:15" x14ac:dyDescent="0.3">
      <c r="A1263" t="s">
        <v>3022</v>
      </c>
      <c r="B1263" t="s">
        <v>3021</v>
      </c>
      <c r="C1263" t="s">
        <v>40</v>
      </c>
      <c r="D1263">
        <v>3</v>
      </c>
      <c r="E1263" t="s">
        <v>54</v>
      </c>
      <c r="F1263" t="s">
        <v>20</v>
      </c>
      <c r="G1263" s="1">
        <v>46088</v>
      </c>
      <c r="H1263" s="1">
        <v>46064</v>
      </c>
      <c r="I1263" t="s">
        <v>3020</v>
      </c>
      <c r="J1263" t="s">
        <v>3019</v>
      </c>
      <c r="K1263" t="s">
        <v>57</v>
      </c>
      <c r="L1263">
        <v>22823.27</v>
      </c>
      <c r="M1263" t="s">
        <v>64</v>
      </c>
      <c r="N1263">
        <v>435</v>
      </c>
      <c r="O1263" t="s">
        <v>77</v>
      </c>
    </row>
    <row r="1264" spans="1:15" x14ac:dyDescent="0.3">
      <c r="A1264" t="s">
        <v>3018</v>
      </c>
      <c r="B1264" t="s">
        <v>3017</v>
      </c>
      <c r="C1264" t="s">
        <v>1</v>
      </c>
      <c r="D1264">
        <v>47</v>
      </c>
      <c r="E1264" t="s">
        <v>21</v>
      </c>
      <c r="F1264" t="s">
        <v>53</v>
      </c>
      <c r="G1264" s="1">
        <v>46061</v>
      </c>
      <c r="H1264" s="1">
        <v>46035</v>
      </c>
      <c r="I1264" t="s">
        <v>3016</v>
      </c>
      <c r="J1264" t="s">
        <v>3015</v>
      </c>
      <c r="L1264">
        <v>21521.13</v>
      </c>
      <c r="M1264" t="s">
        <v>57</v>
      </c>
      <c r="N1264">
        <v>248</v>
      </c>
      <c r="O1264" t="s">
        <v>50</v>
      </c>
    </row>
    <row r="1265" spans="1:15" x14ac:dyDescent="0.3">
      <c r="A1265" t="s">
        <v>3014</v>
      </c>
      <c r="B1265" t="s">
        <v>3013</v>
      </c>
      <c r="C1265" t="s">
        <v>0</v>
      </c>
      <c r="D1265">
        <v>48</v>
      </c>
      <c r="E1265" t="s">
        <v>31</v>
      </c>
      <c r="F1265" t="s">
        <v>90</v>
      </c>
      <c r="G1265" s="1">
        <v>46048</v>
      </c>
      <c r="H1265" s="1">
        <v>46042</v>
      </c>
      <c r="I1265" t="s">
        <v>3012</v>
      </c>
      <c r="J1265" t="s">
        <v>3011</v>
      </c>
      <c r="K1265" t="s">
        <v>17</v>
      </c>
      <c r="L1265">
        <v>23512.34</v>
      </c>
      <c r="M1265" t="s">
        <v>27</v>
      </c>
      <c r="N1265">
        <v>532</v>
      </c>
      <c r="O1265" t="s">
        <v>77</v>
      </c>
    </row>
    <row r="1266" spans="1:15" x14ac:dyDescent="0.3">
      <c r="A1266" t="s">
        <v>3010</v>
      </c>
      <c r="B1266" t="s">
        <v>3009</v>
      </c>
      <c r="C1266" t="s">
        <v>74</v>
      </c>
      <c r="D1266">
        <v>65</v>
      </c>
      <c r="E1266" t="s">
        <v>54</v>
      </c>
      <c r="F1266" t="s">
        <v>85</v>
      </c>
      <c r="G1266" s="1">
        <v>46089</v>
      </c>
      <c r="H1266" s="1">
        <v>46088</v>
      </c>
      <c r="I1266" t="s">
        <v>3008</v>
      </c>
      <c r="J1266" t="s">
        <v>3007</v>
      </c>
      <c r="K1266" t="s">
        <v>35</v>
      </c>
      <c r="L1266">
        <v>7220.63</v>
      </c>
      <c r="M1266" t="s">
        <v>27</v>
      </c>
      <c r="N1266">
        <v>217</v>
      </c>
      <c r="O1266" t="s">
        <v>25</v>
      </c>
    </row>
    <row r="1267" spans="1:15" x14ac:dyDescent="0.3">
      <c r="A1267" t="s">
        <v>3006</v>
      </c>
      <c r="B1267" t="s">
        <v>2427</v>
      </c>
      <c r="C1267" t="s">
        <v>1</v>
      </c>
      <c r="D1267">
        <v>5</v>
      </c>
      <c r="E1267" t="s">
        <v>132</v>
      </c>
      <c r="F1267" t="s">
        <v>20</v>
      </c>
      <c r="G1267" s="1">
        <v>46154</v>
      </c>
      <c r="H1267" s="1">
        <v>46128</v>
      </c>
      <c r="I1267" t="s">
        <v>3005</v>
      </c>
      <c r="J1267" t="s">
        <v>3004</v>
      </c>
      <c r="L1267">
        <v>16450.84</v>
      </c>
      <c r="M1267" t="s">
        <v>26</v>
      </c>
      <c r="N1267">
        <v>518</v>
      </c>
      <c r="O1267" t="s">
        <v>25</v>
      </c>
    </row>
    <row r="1268" spans="1:15" x14ac:dyDescent="0.3">
      <c r="A1268" t="s">
        <v>3003</v>
      </c>
      <c r="B1268" t="s">
        <v>3002</v>
      </c>
      <c r="C1268" t="s">
        <v>22</v>
      </c>
      <c r="D1268">
        <v>11</v>
      </c>
      <c r="E1268" t="s">
        <v>80</v>
      </c>
      <c r="F1268" t="s">
        <v>20</v>
      </c>
      <c r="G1268" s="1">
        <v>46023</v>
      </c>
      <c r="H1268" s="1">
        <v>46007</v>
      </c>
      <c r="I1268" t="s">
        <v>3001</v>
      </c>
      <c r="J1268" t="s">
        <v>3000</v>
      </c>
      <c r="L1268">
        <v>699.82</v>
      </c>
      <c r="M1268" t="s">
        <v>26</v>
      </c>
      <c r="N1268">
        <v>148</v>
      </c>
      <c r="O1268" t="s">
        <v>25</v>
      </c>
    </row>
    <row r="1269" spans="1:15" x14ac:dyDescent="0.3">
      <c r="A1269" t="s">
        <v>2999</v>
      </c>
      <c r="B1269" t="s">
        <v>2998</v>
      </c>
      <c r="C1269" t="s">
        <v>123</v>
      </c>
      <c r="D1269">
        <v>25</v>
      </c>
      <c r="E1269" t="s">
        <v>132</v>
      </c>
      <c r="F1269" t="s">
        <v>67</v>
      </c>
      <c r="G1269" s="1">
        <v>46106</v>
      </c>
      <c r="H1269" s="1">
        <v>46093</v>
      </c>
      <c r="I1269" t="s">
        <v>2997</v>
      </c>
      <c r="J1269" t="s">
        <v>2996</v>
      </c>
      <c r="K1269" t="s">
        <v>27</v>
      </c>
      <c r="L1269">
        <v>7693.42</v>
      </c>
      <c r="N1269">
        <v>203</v>
      </c>
      <c r="O1269" t="s">
        <v>77</v>
      </c>
    </row>
    <row r="1270" spans="1:15" x14ac:dyDescent="0.3">
      <c r="A1270" t="s">
        <v>2995</v>
      </c>
      <c r="B1270" t="s">
        <v>2994</v>
      </c>
      <c r="C1270" t="s">
        <v>22</v>
      </c>
      <c r="D1270">
        <v>-5</v>
      </c>
      <c r="E1270" t="s">
        <v>68</v>
      </c>
      <c r="F1270" t="s">
        <v>90</v>
      </c>
      <c r="G1270" s="1">
        <v>46084</v>
      </c>
      <c r="H1270" s="1">
        <v>46075</v>
      </c>
      <c r="I1270" t="s">
        <v>2993</v>
      </c>
      <c r="J1270" t="s">
        <v>2992</v>
      </c>
      <c r="L1270" t="s">
        <v>488</v>
      </c>
      <c r="N1270">
        <v>387</v>
      </c>
      <c r="O1270" t="s">
        <v>43</v>
      </c>
    </row>
    <row r="1271" spans="1:15" x14ac:dyDescent="0.3">
      <c r="A1271" t="s">
        <v>2991</v>
      </c>
      <c r="B1271" t="s">
        <v>2990</v>
      </c>
      <c r="D1271">
        <v>37</v>
      </c>
      <c r="E1271" t="s">
        <v>21</v>
      </c>
      <c r="F1271" t="s">
        <v>90</v>
      </c>
      <c r="G1271" s="1">
        <v>46129</v>
      </c>
      <c r="H1271" s="1">
        <v>46129</v>
      </c>
      <c r="I1271" t="s">
        <v>2989</v>
      </c>
      <c r="J1271" t="s">
        <v>2988</v>
      </c>
      <c r="L1271">
        <v>18243.419999999998</v>
      </c>
      <c r="M1271" t="s">
        <v>17</v>
      </c>
      <c r="N1271">
        <v>490</v>
      </c>
      <c r="O1271" t="s">
        <v>34</v>
      </c>
    </row>
    <row r="1272" spans="1:15" x14ac:dyDescent="0.3">
      <c r="A1272" t="s">
        <v>2987</v>
      </c>
      <c r="B1272" t="s">
        <v>2986</v>
      </c>
      <c r="C1272" t="s">
        <v>74</v>
      </c>
      <c r="D1272">
        <v>58</v>
      </c>
      <c r="E1272" t="s">
        <v>21</v>
      </c>
      <c r="F1272" t="s">
        <v>46</v>
      </c>
      <c r="G1272" s="1">
        <v>46141</v>
      </c>
      <c r="H1272" s="1">
        <v>46129</v>
      </c>
      <c r="I1272" t="s">
        <v>2985</v>
      </c>
      <c r="J1272" t="s">
        <v>2984</v>
      </c>
      <c r="K1272" t="s">
        <v>17</v>
      </c>
      <c r="L1272">
        <v>11287.72</v>
      </c>
      <c r="N1272">
        <v>388</v>
      </c>
      <c r="O1272" t="s">
        <v>77</v>
      </c>
    </row>
    <row r="1273" spans="1:15" x14ac:dyDescent="0.3">
      <c r="A1273" t="s">
        <v>2983</v>
      </c>
      <c r="B1273" t="s">
        <v>2982</v>
      </c>
      <c r="C1273" t="s">
        <v>22</v>
      </c>
      <c r="D1273">
        <v>43</v>
      </c>
      <c r="E1273" t="s">
        <v>39</v>
      </c>
      <c r="F1273" t="s">
        <v>20</v>
      </c>
      <c r="G1273" s="1">
        <v>45991</v>
      </c>
      <c r="H1273" s="1">
        <v>45988</v>
      </c>
      <c r="I1273" t="s">
        <v>2981</v>
      </c>
      <c r="J1273" t="s">
        <v>2980</v>
      </c>
      <c r="K1273" t="s">
        <v>35</v>
      </c>
      <c r="L1273">
        <v>5350.51</v>
      </c>
      <c r="N1273">
        <v>403</v>
      </c>
      <c r="O1273" t="s">
        <v>71</v>
      </c>
    </row>
    <row r="1274" spans="1:15" x14ac:dyDescent="0.3">
      <c r="A1274" t="s">
        <v>2979</v>
      </c>
      <c r="B1274" t="s">
        <v>2978</v>
      </c>
      <c r="C1274" t="s">
        <v>74</v>
      </c>
      <c r="D1274">
        <v>19</v>
      </c>
      <c r="E1274" t="s">
        <v>54</v>
      </c>
      <c r="F1274" t="s">
        <v>85</v>
      </c>
      <c r="G1274" s="1">
        <v>46044</v>
      </c>
      <c r="H1274" s="1">
        <v>46028</v>
      </c>
      <c r="I1274" t="s">
        <v>2977</v>
      </c>
      <c r="J1274" t="s">
        <v>2976</v>
      </c>
      <c r="K1274" t="s">
        <v>17</v>
      </c>
      <c r="L1274">
        <v>1661.54</v>
      </c>
      <c r="N1274">
        <v>229</v>
      </c>
      <c r="O1274" t="s">
        <v>16</v>
      </c>
    </row>
    <row r="1275" spans="1:15" x14ac:dyDescent="0.3">
      <c r="A1275" t="s">
        <v>2975</v>
      </c>
      <c r="B1275" t="s">
        <v>2974</v>
      </c>
      <c r="C1275" t="s">
        <v>22</v>
      </c>
      <c r="D1275">
        <v>44</v>
      </c>
      <c r="E1275" t="s">
        <v>39</v>
      </c>
      <c r="F1275" t="s">
        <v>46</v>
      </c>
      <c r="G1275" s="1">
        <v>46042</v>
      </c>
      <c r="H1275" s="1">
        <v>46032</v>
      </c>
      <c r="I1275" t="s">
        <v>2973</v>
      </c>
      <c r="J1275" t="s">
        <v>2972</v>
      </c>
      <c r="L1275">
        <v>21811.41</v>
      </c>
      <c r="M1275" t="s">
        <v>63</v>
      </c>
      <c r="N1275">
        <v>453</v>
      </c>
      <c r="O1275" t="s">
        <v>71</v>
      </c>
    </row>
    <row r="1276" spans="1:15" x14ac:dyDescent="0.3">
      <c r="A1276" t="s">
        <v>2971</v>
      </c>
      <c r="B1276" t="s">
        <v>2970</v>
      </c>
      <c r="D1276">
        <v>70</v>
      </c>
      <c r="E1276" t="s">
        <v>68</v>
      </c>
      <c r="F1276" t="s">
        <v>67</v>
      </c>
      <c r="G1276" s="1">
        <v>46079</v>
      </c>
      <c r="H1276" s="1">
        <v>46049</v>
      </c>
      <c r="I1276" t="s">
        <v>2969</v>
      </c>
      <c r="J1276" t="s">
        <v>2968</v>
      </c>
      <c r="K1276" t="s">
        <v>17</v>
      </c>
      <c r="L1276">
        <v>8181.58</v>
      </c>
      <c r="N1276">
        <v>363</v>
      </c>
      <c r="O1276" t="s">
        <v>34</v>
      </c>
    </row>
    <row r="1277" spans="1:15" x14ac:dyDescent="0.3">
      <c r="A1277" t="s">
        <v>2967</v>
      </c>
      <c r="B1277" t="s">
        <v>2966</v>
      </c>
      <c r="C1277" t="s">
        <v>74</v>
      </c>
      <c r="D1277">
        <v>14</v>
      </c>
      <c r="E1277" t="s">
        <v>54</v>
      </c>
      <c r="F1277" t="s">
        <v>20</v>
      </c>
      <c r="G1277" s="1">
        <v>46089</v>
      </c>
      <c r="H1277" s="1">
        <v>46077</v>
      </c>
      <c r="I1277" t="s">
        <v>2965</v>
      </c>
      <c r="J1277" t="s">
        <v>2964</v>
      </c>
      <c r="K1277" t="s">
        <v>35</v>
      </c>
      <c r="L1277">
        <v>18970.79</v>
      </c>
      <c r="M1277" t="s">
        <v>26</v>
      </c>
      <c r="N1277">
        <v>366</v>
      </c>
      <c r="O1277" t="s">
        <v>25</v>
      </c>
    </row>
    <row r="1278" spans="1:15" x14ac:dyDescent="0.3">
      <c r="A1278" t="s">
        <v>2963</v>
      </c>
      <c r="B1278" t="s">
        <v>2962</v>
      </c>
      <c r="C1278" t="s">
        <v>74</v>
      </c>
      <c r="D1278">
        <v>22</v>
      </c>
      <c r="E1278" t="s">
        <v>21</v>
      </c>
      <c r="F1278" t="s">
        <v>85</v>
      </c>
      <c r="G1278" s="1">
        <v>46156</v>
      </c>
      <c r="H1278" s="1">
        <v>46129</v>
      </c>
      <c r="I1278" t="s">
        <v>2961</v>
      </c>
      <c r="J1278" t="s">
        <v>2960</v>
      </c>
      <c r="K1278" t="s">
        <v>64</v>
      </c>
      <c r="L1278">
        <v>1168.74</v>
      </c>
      <c r="N1278">
        <v>353</v>
      </c>
      <c r="O1278" t="s">
        <v>71</v>
      </c>
    </row>
    <row r="1279" spans="1:15" x14ac:dyDescent="0.3">
      <c r="A1279" t="s">
        <v>2959</v>
      </c>
      <c r="B1279" t="s">
        <v>2958</v>
      </c>
      <c r="D1279">
        <v>18</v>
      </c>
      <c r="E1279" t="s">
        <v>54</v>
      </c>
      <c r="F1279" t="s">
        <v>90</v>
      </c>
      <c r="G1279" s="1">
        <v>46064</v>
      </c>
      <c r="H1279" s="1">
        <v>46064</v>
      </c>
      <c r="I1279" t="s">
        <v>2957</v>
      </c>
      <c r="J1279" t="s">
        <v>2956</v>
      </c>
      <c r="K1279" t="s">
        <v>26</v>
      </c>
      <c r="L1279">
        <v>3116.07</v>
      </c>
      <c r="M1279" t="s">
        <v>63</v>
      </c>
      <c r="N1279">
        <v>468</v>
      </c>
      <c r="O1279" t="s">
        <v>25</v>
      </c>
    </row>
    <row r="1280" spans="1:15" x14ac:dyDescent="0.3">
      <c r="A1280" t="s">
        <v>2955</v>
      </c>
      <c r="B1280" t="s">
        <v>2954</v>
      </c>
      <c r="C1280" t="s">
        <v>22</v>
      </c>
      <c r="D1280">
        <v>67</v>
      </c>
      <c r="E1280" t="s">
        <v>31</v>
      </c>
      <c r="F1280" t="s">
        <v>67</v>
      </c>
      <c r="G1280" s="1">
        <v>46122</v>
      </c>
      <c r="H1280" s="1">
        <v>46104</v>
      </c>
      <c r="I1280" t="s">
        <v>2953</v>
      </c>
      <c r="J1280" t="s">
        <v>2952</v>
      </c>
      <c r="K1280" t="s">
        <v>35</v>
      </c>
      <c r="L1280">
        <v>3709.64</v>
      </c>
      <c r="M1280" t="s">
        <v>57</v>
      </c>
      <c r="N1280">
        <v>511</v>
      </c>
      <c r="O1280" t="s">
        <v>34</v>
      </c>
    </row>
    <row r="1281" spans="1:15" x14ac:dyDescent="0.3">
      <c r="A1281" t="s">
        <v>2951</v>
      </c>
      <c r="B1281" t="s">
        <v>2950</v>
      </c>
      <c r="C1281" t="s">
        <v>60</v>
      </c>
      <c r="D1281">
        <v>67</v>
      </c>
      <c r="E1281" t="s">
        <v>132</v>
      </c>
      <c r="F1281" t="s">
        <v>85</v>
      </c>
      <c r="G1281" s="1">
        <v>46131</v>
      </c>
      <c r="H1281" s="1">
        <v>46117</v>
      </c>
      <c r="I1281" t="s">
        <v>2949</v>
      </c>
      <c r="J1281" t="s">
        <v>2948</v>
      </c>
      <c r="K1281" t="s">
        <v>17</v>
      </c>
      <c r="L1281">
        <v>23417.82</v>
      </c>
      <c r="M1281" t="s">
        <v>26</v>
      </c>
      <c r="N1281">
        <v>184</v>
      </c>
      <c r="O1281" t="s">
        <v>34</v>
      </c>
    </row>
    <row r="1282" spans="1:15" x14ac:dyDescent="0.3">
      <c r="A1282" t="s">
        <v>2947</v>
      </c>
      <c r="B1282" t="s">
        <v>2946</v>
      </c>
      <c r="D1282">
        <v>2</v>
      </c>
      <c r="E1282" t="s">
        <v>31</v>
      </c>
      <c r="F1282" t="s">
        <v>90</v>
      </c>
      <c r="G1282" s="1">
        <v>46112</v>
      </c>
      <c r="H1282" s="1">
        <v>46107</v>
      </c>
      <c r="I1282" t="s">
        <v>2945</v>
      </c>
      <c r="J1282" t="s">
        <v>2944</v>
      </c>
      <c r="K1282" t="s">
        <v>35</v>
      </c>
      <c r="L1282">
        <v>11868.24</v>
      </c>
      <c r="M1282" t="s">
        <v>27</v>
      </c>
      <c r="N1282">
        <v>259</v>
      </c>
      <c r="O1282" t="s">
        <v>25</v>
      </c>
    </row>
    <row r="1283" spans="1:15" x14ac:dyDescent="0.3">
      <c r="A1283" t="s">
        <v>2943</v>
      </c>
      <c r="B1283" t="s">
        <v>2942</v>
      </c>
      <c r="C1283" t="s">
        <v>1</v>
      </c>
      <c r="D1283">
        <v>26</v>
      </c>
      <c r="E1283" t="s">
        <v>80</v>
      </c>
      <c r="F1283" t="s">
        <v>85</v>
      </c>
      <c r="G1283" s="1">
        <v>46139</v>
      </c>
      <c r="H1283" s="1">
        <v>46129</v>
      </c>
      <c r="I1283" t="s">
        <v>2941</v>
      </c>
      <c r="J1283" t="s">
        <v>2940</v>
      </c>
      <c r="K1283" t="s">
        <v>64</v>
      </c>
      <c r="L1283">
        <v>1715.47</v>
      </c>
      <c r="N1283">
        <v>404</v>
      </c>
      <c r="O1283" t="s">
        <v>71</v>
      </c>
    </row>
    <row r="1284" spans="1:15" x14ac:dyDescent="0.3">
      <c r="A1284" t="s">
        <v>2939</v>
      </c>
      <c r="B1284" t="s">
        <v>2938</v>
      </c>
      <c r="C1284" t="s">
        <v>74</v>
      </c>
      <c r="D1284">
        <v>45</v>
      </c>
      <c r="E1284" t="s">
        <v>21</v>
      </c>
      <c r="F1284" t="s">
        <v>67</v>
      </c>
      <c r="G1284" s="1">
        <v>46053</v>
      </c>
      <c r="H1284" s="1">
        <v>46033</v>
      </c>
      <c r="I1284" t="s">
        <v>2937</v>
      </c>
      <c r="J1284" t="s">
        <v>2936</v>
      </c>
      <c r="K1284" t="s">
        <v>27</v>
      </c>
      <c r="L1284">
        <v>23211.41</v>
      </c>
      <c r="M1284" t="s">
        <v>63</v>
      </c>
      <c r="N1284">
        <v>245</v>
      </c>
      <c r="O1284" t="s">
        <v>50</v>
      </c>
    </row>
    <row r="1285" spans="1:15" x14ac:dyDescent="0.3">
      <c r="A1285" t="s">
        <v>2935</v>
      </c>
      <c r="B1285" t="s">
        <v>2934</v>
      </c>
      <c r="C1285" t="s">
        <v>123</v>
      </c>
      <c r="D1285">
        <v>75</v>
      </c>
      <c r="E1285" t="s">
        <v>132</v>
      </c>
      <c r="F1285" t="s">
        <v>67</v>
      </c>
      <c r="G1285" s="1">
        <v>46061</v>
      </c>
      <c r="H1285" s="1">
        <v>46042</v>
      </c>
      <c r="I1285" t="s">
        <v>2933</v>
      </c>
      <c r="J1285" t="s">
        <v>2932</v>
      </c>
      <c r="L1285">
        <v>23370.84</v>
      </c>
      <c r="M1285" t="s">
        <v>57</v>
      </c>
      <c r="N1285">
        <v>139</v>
      </c>
      <c r="O1285" t="s">
        <v>34</v>
      </c>
    </row>
    <row r="1286" spans="1:15" x14ac:dyDescent="0.3">
      <c r="A1286" t="s">
        <v>2931</v>
      </c>
      <c r="B1286" t="s">
        <v>2930</v>
      </c>
      <c r="C1286" t="s">
        <v>0</v>
      </c>
      <c r="D1286">
        <v>14</v>
      </c>
      <c r="E1286" t="s">
        <v>21</v>
      </c>
      <c r="F1286" t="s">
        <v>30</v>
      </c>
      <c r="G1286" s="1">
        <v>46068</v>
      </c>
      <c r="H1286" s="1">
        <v>46063</v>
      </c>
      <c r="I1286" t="s">
        <v>2929</v>
      </c>
      <c r="J1286" t="s">
        <v>2928</v>
      </c>
      <c r="K1286" t="s">
        <v>26</v>
      </c>
      <c r="L1286">
        <v>14178.76</v>
      </c>
      <c r="M1286" t="s">
        <v>26</v>
      </c>
      <c r="N1286">
        <v>508</v>
      </c>
      <c r="O1286" t="s">
        <v>34</v>
      </c>
    </row>
    <row r="1287" spans="1:15" x14ac:dyDescent="0.3">
      <c r="A1287" t="s">
        <v>2927</v>
      </c>
      <c r="B1287" t="s">
        <v>2926</v>
      </c>
      <c r="C1287" t="s">
        <v>123</v>
      </c>
      <c r="D1287">
        <v>43</v>
      </c>
      <c r="E1287" t="s">
        <v>132</v>
      </c>
      <c r="F1287" t="s">
        <v>85</v>
      </c>
      <c r="G1287" s="1">
        <v>46014</v>
      </c>
      <c r="H1287" s="1">
        <v>46008</v>
      </c>
      <c r="I1287" t="s">
        <v>2925</v>
      </c>
      <c r="J1287" t="s">
        <v>2924</v>
      </c>
      <c r="K1287" t="s">
        <v>35</v>
      </c>
      <c r="L1287">
        <v>266.24</v>
      </c>
      <c r="M1287" t="s">
        <v>57</v>
      </c>
      <c r="N1287">
        <v>210</v>
      </c>
      <c r="O1287" t="s">
        <v>77</v>
      </c>
    </row>
    <row r="1288" spans="1:15" x14ac:dyDescent="0.3">
      <c r="A1288" t="s">
        <v>2923</v>
      </c>
      <c r="B1288" t="s">
        <v>2922</v>
      </c>
      <c r="C1288" t="s">
        <v>0</v>
      </c>
      <c r="D1288">
        <v>19</v>
      </c>
      <c r="E1288" t="s">
        <v>39</v>
      </c>
      <c r="F1288" t="s">
        <v>85</v>
      </c>
      <c r="G1288" s="1">
        <v>46077</v>
      </c>
      <c r="H1288" s="1">
        <v>46050</v>
      </c>
      <c r="I1288" t="s">
        <v>2921</v>
      </c>
      <c r="J1288" t="s">
        <v>2920</v>
      </c>
      <c r="K1288" t="s">
        <v>27</v>
      </c>
      <c r="L1288">
        <v>8218.7800000000007</v>
      </c>
      <c r="M1288" t="s">
        <v>27</v>
      </c>
      <c r="N1288">
        <v>170</v>
      </c>
      <c r="O1288" t="s">
        <v>34</v>
      </c>
    </row>
    <row r="1289" spans="1:15" x14ac:dyDescent="0.3">
      <c r="A1289" t="s">
        <v>2919</v>
      </c>
      <c r="B1289" t="s">
        <v>2918</v>
      </c>
      <c r="D1289">
        <v>55</v>
      </c>
      <c r="E1289" t="s">
        <v>68</v>
      </c>
      <c r="F1289" t="s">
        <v>67</v>
      </c>
      <c r="G1289" s="1">
        <v>45990</v>
      </c>
      <c r="H1289" s="1">
        <v>45981</v>
      </c>
      <c r="I1289" t="s">
        <v>2917</v>
      </c>
      <c r="J1289" t="s">
        <v>2916</v>
      </c>
      <c r="K1289" t="s">
        <v>64</v>
      </c>
      <c r="L1289">
        <v>6171.17</v>
      </c>
      <c r="N1289">
        <v>293</v>
      </c>
      <c r="O1289" t="s">
        <v>50</v>
      </c>
    </row>
    <row r="1290" spans="1:15" x14ac:dyDescent="0.3">
      <c r="A1290" t="s">
        <v>2915</v>
      </c>
      <c r="B1290" t="s">
        <v>2914</v>
      </c>
      <c r="C1290" t="s">
        <v>123</v>
      </c>
      <c r="D1290">
        <v>61</v>
      </c>
      <c r="E1290" t="s">
        <v>31</v>
      </c>
      <c r="F1290" t="s">
        <v>30</v>
      </c>
      <c r="G1290" s="1">
        <v>46049</v>
      </c>
      <c r="H1290" s="1">
        <v>46023</v>
      </c>
      <c r="I1290" t="s">
        <v>2913</v>
      </c>
      <c r="K1290" t="s">
        <v>57</v>
      </c>
      <c r="L1290">
        <v>-500</v>
      </c>
      <c r="M1290" t="s">
        <v>57</v>
      </c>
      <c r="N1290">
        <v>185</v>
      </c>
      <c r="O1290" t="s">
        <v>25</v>
      </c>
    </row>
    <row r="1291" spans="1:15" x14ac:dyDescent="0.3">
      <c r="A1291" t="s">
        <v>2912</v>
      </c>
      <c r="B1291" t="s">
        <v>2911</v>
      </c>
      <c r="C1291" t="s">
        <v>22</v>
      </c>
      <c r="D1291">
        <v>19</v>
      </c>
      <c r="E1291" t="s">
        <v>54</v>
      </c>
      <c r="F1291" t="s">
        <v>85</v>
      </c>
      <c r="G1291" s="1">
        <v>46023</v>
      </c>
      <c r="H1291" s="1">
        <v>46008</v>
      </c>
      <c r="I1291" t="s">
        <v>2910</v>
      </c>
      <c r="J1291" t="s">
        <v>2909</v>
      </c>
      <c r="K1291" t="s">
        <v>26</v>
      </c>
      <c r="L1291">
        <v>17197.12</v>
      </c>
      <c r="N1291">
        <v>433</v>
      </c>
      <c r="O1291" t="s">
        <v>43</v>
      </c>
    </row>
    <row r="1292" spans="1:15" x14ac:dyDescent="0.3">
      <c r="A1292" t="s">
        <v>2908</v>
      </c>
      <c r="B1292" t="s">
        <v>2907</v>
      </c>
      <c r="C1292" t="s">
        <v>0</v>
      </c>
      <c r="D1292">
        <v>4</v>
      </c>
      <c r="E1292" t="s">
        <v>31</v>
      </c>
      <c r="F1292" t="s">
        <v>85</v>
      </c>
      <c r="G1292" s="1">
        <v>46092</v>
      </c>
      <c r="H1292" s="1">
        <v>46068</v>
      </c>
      <c r="I1292" t="s">
        <v>2906</v>
      </c>
      <c r="J1292" t="s">
        <v>2905</v>
      </c>
      <c r="K1292" t="s">
        <v>57</v>
      </c>
      <c r="L1292">
        <v>18266.59</v>
      </c>
      <c r="M1292" t="s">
        <v>57</v>
      </c>
      <c r="N1292">
        <v>415</v>
      </c>
      <c r="O1292" t="s">
        <v>34</v>
      </c>
    </row>
    <row r="1293" spans="1:15" x14ac:dyDescent="0.3">
      <c r="A1293" t="s">
        <v>2904</v>
      </c>
      <c r="B1293" t="s">
        <v>2903</v>
      </c>
      <c r="C1293" t="s">
        <v>1</v>
      </c>
      <c r="D1293">
        <v>49</v>
      </c>
      <c r="E1293" t="s">
        <v>31</v>
      </c>
      <c r="F1293" t="s">
        <v>53</v>
      </c>
      <c r="G1293" s="1">
        <v>46075</v>
      </c>
      <c r="H1293" s="1">
        <v>46046</v>
      </c>
      <c r="I1293" t="s">
        <v>2902</v>
      </c>
      <c r="J1293" t="s">
        <v>2901</v>
      </c>
      <c r="K1293" t="s">
        <v>27</v>
      </c>
      <c r="L1293">
        <v>5056.7299999999996</v>
      </c>
      <c r="M1293" t="s">
        <v>17</v>
      </c>
      <c r="N1293">
        <v>369</v>
      </c>
      <c r="O1293" t="s">
        <v>71</v>
      </c>
    </row>
    <row r="1294" spans="1:15" x14ac:dyDescent="0.3">
      <c r="A1294" t="s">
        <v>2900</v>
      </c>
      <c r="B1294" t="s">
        <v>2899</v>
      </c>
      <c r="C1294" t="s">
        <v>40</v>
      </c>
      <c r="D1294">
        <v>76</v>
      </c>
      <c r="E1294" t="s">
        <v>132</v>
      </c>
      <c r="F1294" t="s">
        <v>67</v>
      </c>
      <c r="G1294" s="1">
        <v>46029</v>
      </c>
      <c r="H1294" s="1">
        <v>46026</v>
      </c>
      <c r="I1294" t="s">
        <v>2898</v>
      </c>
      <c r="J1294" t="s">
        <v>2897</v>
      </c>
      <c r="K1294" t="s">
        <v>57</v>
      </c>
      <c r="L1294">
        <v>22912.02</v>
      </c>
      <c r="M1294" t="s">
        <v>27</v>
      </c>
      <c r="N1294">
        <v>410</v>
      </c>
      <c r="O1294" t="s">
        <v>43</v>
      </c>
    </row>
    <row r="1295" spans="1:15" x14ac:dyDescent="0.3">
      <c r="A1295" t="s">
        <v>2896</v>
      </c>
      <c r="B1295" t="s">
        <v>2895</v>
      </c>
      <c r="C1295" t="s">
        <v>40</v>
      </c>
      <c r="D1295">
        <v>83</v>
      </c>
      <c r="E1295" t="s">
        <v>132</v>
      </c>
      <c r="F1295" t="s">
        <v>85</v>
      </c>
      <c r="G1295" s="1">
        <v>46056</v>
      </c>
      <c r="H1295" s="1">
        <v>46044</v>
      </c>
      <c r="I1295" t="s">
        <v>2894</v>
      </c>
      <c r="J1295" t="s">
        <v>2893</v>
      </c>
      <c r="K1295" t="s">
        <v>27</v>
      </c>
      <c r="L1295">
        <v>24894.3</v>
      </c>
      <c r="M1295" t="s">
        <v>63</v>
      </c>
      <c r="N1295">
        <v>240</v>
      </c>
      <c r="O1295" t="s">
        <v>25</v>
      </c>
    </row>
    <row r="1296" spans="1:15" x14ac:dyDescent="0.3">
      <c r="A1296" t="s">
        <v>2892</v>
      </c>
      <c r="B1296" t="s">
        <v>2891</v>
      </c>
      <c r="C1296" t="s">
        <v>40</v>
      </c>
      <c r="D1296">
        <v>74</v>
      </c>
      <c r="E1296" t="s">
        <v>47</v>
      </c>
      <c r="F1296" t="s">
        <v>85</v>
      </c>
      <c r="G1296" s="1">
        <v>46073</v>
      </c>
      <c r="H1296" s="1">
        <v>46054</v>
      </c>
      <c r="I1296" t="s">
        <v>2890</v>
      </c>
      <c r="J1296" t="s">
        <v>2889</v>
      </c>
      <c r="L1296">
        <v>12359.45</v>
      </c>
      <c r="N1296">
        <v>483</v>
      </c>
      <c r="O1296" t="s">
        <v>50</v>
      </c>
    </row>
    <row r="1297" spans="1:15" x14ac:dyDescent="0.3">
      <c r="A1297" t="s">
        <v>2888</v>
      </c>
      <c r="B1297" t="s">
        <v>2887</v>
      </c>
      <c r="C1297" t="s">
        <v>74</v>
      </c>
      <c r="D1297">
        <v>5</v>
      </c>
      <c r="E1297" t="s">
        <v>31</v>
      </c>
      <c r="F1297" t="s">
        <v>46</v>
      </c>
      <c r="G1297" s="1">
        <v>46019</v>
      </c>
      <c r="H1297" s="1">
        <v>46000</v>
      </c>
      <c r="I1297" t="s">
        <v>2886</v>
      </c>
      <c r="J1297" t="s">
        <v>2885</v>
      </c>
      <c r="K1297" t="s">
        <v>35</v>
      </c>
      <c r="L1297">
        <v>17699.86</v>
      </c>
      <c r="M1297" t="s">
        <v>26</v>
      </c>
      <c r="N1297">
        <v>545</v>
      </c>
      <c r="O1297" t="s">
        <v>50</v>
      </c>
    </row>
    <row r="1298" spans="1:15" x14ac:dyDescent="0.3">
      <c r="A1298" t="s">
        <v>2884</v>
      </c>
      <c r="B1298" t="s">
        <v>2883</v>
      </c>
      <c r="C1298" t="s">
        <v>0</v>
      </c>
      <c r="D1298">
        <v>11</v>
      </c>
      <c r="E1298" t="s">
        <v>54</v>
      </c>
      <c r="F1298" t="s">
        <v>20</v>
      </c>
      <c r="G1298" s="1">
        <v>46110</v>
      </c>
      <c r="H1298" s="1">
        <v>46109</v>
      </c>
      <c r="I1298" t="s">
        <v>2882</v>
      </c>
      <c r="J1298" t="s">
        <v>2881</v>
      </c>
      <c r="L1298">
        <v>16009.46</v>
      </c>
      <c r="M1298" t="s">
        <v>27</v>
      </c>
      <c r="N1298">
        <v>260</v>
      </c>
      <c r="O1298" t="s">
        <v>77</v>
      </c>
    </row>
    <row r="1299" spans="1:15" x14ac:dyDescent="0.3">
      <c r="A1299" t="s">
        <v>2880</v>
      </c>
      <c r="B1299" t="s">
        <v>2879</v>
      </c>
      <c r="C1299" t="s">
        <v>22</v>
      </c>
      <c r="D1299">
        <v>25</v>
      </c>
      <c r="E1299" t="s">
        <v>47</v>
      </c>
      <c r="F1299" t="s">
        <v>67</v>
      </c>
      <c r="G1299" s="1">
        <v>46027</v>
      </c>
      <c r="H1299" s="1">
        <v>46001</v>
      </c>
      <c r="I1299" t="s">
        <v>2878</v>
      </c>
      <c r="J1299" t="s">
        <v>2877</v>
      </c>
      <c r="K1299" t="s">
        <v>57</v>
      </c>
      <c r="L1299">
        <v>22463.86</v>
      </c>
      <c r="M1299" t="s">
        <v>26</v>
      </c>
      <c r="N1299">
        <v>400</v>
      </c>
      <c r="O1299" t="s">
        <v>25</v>
      </c>
    </row>
    <row r="1300" spans="1:15" x14ac:dyDescent="0.3">
      <c r="A1300" t="s">
        <v>2876</v>
      </c>
      <c r="B1300" t="s">
        <v>2875</v>
      </c>
      <c r="C1300" t="s">
        <v>60</v>
      </c>
      <c r="D1300">
        <v>67</v>
      </c>
      <c r="E1300" t="s">
        <v>47</v>
      </c>
      <c r="F1300" t="s">
        <v>90</v>
      </c>
      <c r="G1300" s="1">
        <v>46021</v>
      </c>
      <c r="H1300" s="1">
        <v>46008</v>
      </c>
      <c r="I1300" t="s">
        <v>2874</v>
      </c>
      <c r="J1300" t="s">
        <v>2873</v>
      </c>
      <c r="K1300" t="s">
        <v>27</v>
      </c>
      <c r="L1300">
        <v>1810.88</v>
      </c>
      <c r="M1300" t="s">
        <v>26</v>
      </c>
      <c r="N1300">
        <v>473</v>
      </c>
      <c r="O1300" t="s">
        <v>43</v>
      </c>
    </row>
    <row r="1301" spans="1:15" x14ac:dyDescent="0.3">
      <c r="A1301" t="s">
        <v>2872</v>
      </c>
      <c r="B1301" t="s">
        <v>2871</v>
      </c>
      <c r="C1301" t="s">
        <v>74</v>
      </c>
      <c r="D1301">
        <v>23</v>
      </c>
      <c r="E1301" t="s">
        <v>68</v>
      </c>
      <c r="F1301" t="s">
        <v>46</v>
      </c>
      <c r="G1301" s="1">
        <v>46102</v>
      </c>
      <c r="H1301" s="1">
        <v>46094</v>
      </c>
      <c r="I1301" t="s">
        <v>2870</v>
      </c>
      <c r="J1301" t="s">
        <v>2869</v>
      </c>
      <c r="K1301" t="s">
        <v>17</v>
      </c>
      <c r="L1301">
        <v>17280.169999999998</v>
      </c>
      <c r="N1301">
        <v>188</v>
      </c>
      <c r="O1301" t="s">
        <v>25</v>
      </c>
    </row>
    <row r="1302" spans="1:15" x14ac:dyDescent="0.3">
      <c r="A1302" t="s">
        <v>2868</v>
      </c>
      <c r="B1302" t="s">
        <v>2867</v>
      </c>
      <c r="C1302" t="s">
        <v>40</v>
      </c>
      <c r="D1302">
        <v>40</v>
      </c>
      <c r="E1302" t="s">
        <v>132</v>
      </c>
      <c r="F1302" t="s">
        <v>67</v>
      </c>
      <c r="G1302" s="1">
        <v>46084</v>
      </c>
      <c r="H1302" s="1">
        <v>46081</v>
      </c>
      <c r="I1302" t="s">
        <v>2866</v>
      </c>
      <c r="J1302" t="s">
        <v>2865</v>
      </c>
      <c r="K1302" t="s">
        <v>57</v>
      </c>
      <c r="L1302">
        <v>11763.06</v>
      </c>
      <c r="M1302" t="s">
        <v>64</v>
      </c>
      <c r="N1302">
        <v>389</v>
      </c>
      <c r="O1302" t="s">
        <v>16</v>
      </c>
    </row>
    <row r="1303" spans="1:15" x14ac:dyDescent="0.3">
      <c r="A1303" t="s">
        <v>2864</v>
      </c>
      <c r="B1303" t="s">
        <v>2863</v>
      </c>
      <c r="C1303" t="s">
        <v>74</v>
      </c>
      <c r="D1303">
        <v>15</v>
      </c>
      <c r="E1303" t="s">
        <v>80</v>
      </c>
      <c r="F1303" t="s">
        <v>53</v>
      </c>
      <c r="G1303" s="1">
        <v>46069</v>
      </c>
      <c r="H1303" s="1">
        <v>46046</v>
      </c>
      <c r="I1303" t="s">
        <v>2862</v>
      </c>
      <c r="J1303" t="s">
        <v>2861</v>
      </c>
      <c r="K1303" t="s">
        <v>64</v>
      </c>
      <c r="L1303">
        <v>4804.34</v>
      </c>
      <c r="M1303" t="s">
        <v>27</v>
      </c>
      <c r="N1303">
        <v>492</v>
      </c>
      <c r="O1303" t="s">
        <v>71</v>
      </c>
    </row>
    <row r="1304" spans="1:15" x14ac:dyDescent="0.3">
      <c r="A1304" t="s">
        <v>2860</v>
      </c>
      <c r="B1304" t="s">
        <v>2859</v>
      </c>
      <c r="C1304" t="s">
        <v>40</v>
      </c>
      <c r="D1304">
        <v>28</v>
      </c>
      <c r="E1304" t="s">
        <v>31</v>
      </c>
      <c r="F1304" t="s">
        <v>85</v>
      </c>
      <c r="G1304" s="1">
        <v>46025</v>
      </c>
      <c r="H1304" s="1">
        <v>46023</v>
      </c>
      <c r="I1304" t="s">
        <v>2858</v>
      </c>
      <c r="J1304" t="s">
        <v>2857</v>
      </c>
      <c r="K1304" t="s">
        <v>17</v>
      </c>
      <c r="L1304">
        <v>7833</v>
      </c>
      <c r="M1304" t="s">
        <v>57</v>
      </c>
      <c r="N1304">
        <v>482</v>
      </c>
      <c r="O1304" t="s">
        <v>50</v>
      </c>
    </row>
    <row r="1305" spans="1:15" x14ac:dyDescent="0.3">
      <c r="A1305" t="s">
        <v>2856</v>
      </c>
      <c r="B1305" t="s">
        <v>2855</v>
      </c>
      <c r="C1305" t="s">
        <v>0</v>
      </c>
      <c r="D1305">
        <v>40</v>
      </c>
      <c r="E1305" t="s">
        <v>47</v>
      </c>
      <c r="F1305" t="s">
        <v>90</v>
      </c>
      <c r="G1305" s="1">
        <v>46057</v>
      </c>
      <c r="H1305" s="1">
        <v>46035</v>
      </c>
      <c r="I1305" t="s">
        <v>2854</v>
      </c>
      <c r="J1305" t="s">
        <v>2853</v>
      </c>
      <c r="K1305" t="s">
        <v>26</v>
      </c>
      <c r="L1305">
        <v>4614.5</v>
      </c>
      <c r="M1305" t="s">
        <v>26</v>
      </c>
      <c r="N1305">
        <v>389</v>
      </c>
      <c r="O1305" t="s">
        <v>43</v>
      </c>
    </row>
    <row r="1306" spans="1:15" x14ac:dyDescent="0.3">
      <c r="A1306" t="s">
        <v>2852</v>
      </c>
      <c r="B1306" t="s">
        <v>2851</v>
      </c>
      <c r="C1306" t="s">
        <v>123</v>
      </c>
      <c r="D1306">
        <v>29</v>
      </c>
      <c r="E1306" t="s">
        <v>21</v>
      </c>
      <c r="F1306" t="s">
        <v>30</v>
      </c>
      <c r="G1306" s="1">
        <v>46174</v>
      </c>
      <c r="H1306" s="1">
        <v>46146</v>
      </c>
      <c r="I1306" t="s">
        <v>2850</v>
      </c>
      <c r="J1306" t="s">
        <v>2849</v>
      </c>
      <c r="K1306" t="s">
        <v>17</v>
      </c>
      <c r="L1306">
        <v>4592.38</v>
      </c>
      <c r="M1306" t="s">
        <v>63</v>
      </c>
      <c r="N1306">
        <v>232</v>
      </c>
      <c r="O1306" t="s">
        <v>25</v>
      </c>
    </row>
    <row r="1307" spans="1:15" x14ac:dyDescent="0.3">
      <c r="A1307" t="s">
        <v>2848</v>
      </c>
      <c r="B1307" t="s">
        <v>2847</v>
      </c>
      <c r="D1307">
        <v>34</v>
      </c>
      <c r="E1307" t="s">
        <v>80</v>
      </c>
      <c r="F1307" t="s">
        <v>85</v>
      </c>
      <c r="G1307" s="1">
        <v>46023</v>
      </c>
      <c r="H1307" s="1">
        <v>46012</v>
      </c>
      <c r="I1307" t="s">
        <v>2846</v>
      </c>
      <c r="J1307" t="s">
        <v>2845</v>
      </c>
      <c r="K1307" t="s">
        <v>57</v>
      </c>
      <c r="L1307">
        <v>8851.7099999999991</v>
      </c>
      <c r="N1307">
        <v>524</v>
      </c>
      <c r="O1307" t="s">
        <v>25</v>
      </c>
    </row>
    <row r="1308" spans="1:15" x14ac:dyDescent="0.3">
      <c r="A1308" t="s">
        <v>2844</v>
      </c>
      <c r="B1308" t="s">
        <v>2843</v>
      </c>
      <c r="C1308" t="s">
        <v>0</v>
      </c>
      <c r="D1308">
        <v>5</v>
      </c>
      <c r="E1308" t="s">
        <v>54</v>
      </c>
      <c r="F1308" t="s">
        <v>53</v>
      </c>
      <c r="G1308" s="1">
        <v>45995</v>
      </c>
      <c r="H1308" s="1">
        <v>45978</v>
      </c>
      <c r="I1308" t="s">
        <v>2842</v>
      </c>
      <c r="J1308" t="s">
        <v>2841</v>
      </c>
      <c r="K1308" t="s">
        <v>17</v>
      </c>
      <c r="L1308">
        <v>24845.14</v>
      </c>
      <c r="N1308">
        <v>277</v>
      </c>
      <c r="O1308" t="s">
        <v>25</v>
      </c>
    </row>
    <row r="1309" spans="1:15" x14ac:dyDescent="0.3">
      <c r="A1309" t="s">
        <v>2840</v>
      </c>
      <c r="B1309" t="s">
        <v>2839</v>
      </c>
      <c r="C1309" t="s">
        <v>22</v>
      </c>
      <c r="D1309">
        <v>27</v>
      </c>
      <c r="E1309" t="s">
        <v>31</v>
      </c>
      <c r="F1309" t="s">
        <v>30</v>
      </c>
      <c r="G1309" s="1">
        <v>46088</v>
      </c>
      <c r="H1309" s="1">
        <v>46086</v>
      </c>
      <c r="I1309" t="s">
        <v>2838</v>
      </c>
      <c r="J1309" t="s">
        <v>2837</v>
      </c>
      <c r="K1309" t="s">
        <v>17</v>
      </c>
      <c r="L1309">
        <v>6603.7</v>
      </c>
      <c r="N1309">
        <v>233</v>
      </c>
      <c r="O1309" t="s">
        <v>77</v>
      </c>
    </row>
    <row r="1310" spans="1:15" x14ac:dyDescent="0.3">
      <c r="A1310" t="s">
        <v>2836</v>
      </c>
      <c r="B1310" t="s">
        <v>2835</v>
      </c>
      <c r="C1310" t="s">
        <v>74</v>
      </c>
      <c r="D1310">
        <v>67</v>
      </c>
      <c r="E1310" t="s">
        <v>39</v>
      </c>
      <c r="F1310" t="s">
        <v>85</v>
      </c>
      <c r="G1310" s="1">
        <v>46002</v>
      </c>
      <c r="H1310" s="1">
        <v>46007</v>
      </c>
      <c r="I1310" t="s">
        <v>2834</v>
      </c>
      <c r="J1310" t="s">
        <v>2833</v>
      </c>
      <c r="L1310">
        <v>14753.15</v>
      </c>
      <c r="M1310" t="s">
        <v>17</v>
      </c>
      <c r="N1310">
        <v>388</v>
      </c>
      <c r="O1310" t="s">
        <v>16</v>
      </c>
    </row>
    <row r="1311" spans="1:15" x14ac:dyDescent="0.3">
      <c r="A1311" t="s">
        <v>2832</v>
      </c>
      <c r="B1311" t="s">
        <v>2831</v>
      </c>
      <c r="C1311" t="s">
        <v>40</v>
      </c>
      <c r="D1311">
        <v>42</v>
      </c>
      <c r="E1311" t="s">
        <v>80</v>
      </c>
      <c r="F1311" t="s">
        <v>67</v>
      </c>
      <c r="G1311" s="1">
        <v>46073</v>
      </c>
      <c r="H1311" s="1">
        <v>46046</v>
      </c>
      <c r="I1311" t="s">
        <v>2830</v>
      </c>
      <c r="J1311" t="s">
        <v>2829</v>
      </c>
      <c r="K1311" t="s">
        <v>27</v>
      </c>
      <c r="L1311">
        <v>4137.01</v>
      </c>
      <c r="N1311">
        <v>271</v>
      </c>
      <c r="O1311" t="s">
        <v>43</v>
      </c>
    </row>
    <row r="1312" spans="1:15" x14ac:dyDescent="0.3">
      <c r="A1312" t="s">
        <v>2828</v>
      </c>
      <c r="B1312" t="s">
        <v>2827</v>
      </c>
      <c r="C1312" t="s">
        <v>74</v>
      </c>
      <c r="D1312">
        <v>24</v>
      </c>
      <c r="E1312" t="s">
        <v>31</v>
      </c>
      <c r="F1312" t="s">
        <v>30</v>
      </c>
      <c r="G1312" s="1">
        <v>46035</v>
      </c>
      <c r="H1312" s="1">
        <v>46030</v>
      </c>
      <c r="I1312" t="s">
        <v>2826</v>
      </c>
      <c r="J1312" t="s">
        <v>2825</v>
      </c>
      <c r="L1312">
        <v>13760.1</v>
      </c>
      <c r="M1312" t="s">
        <v>27</v>
      </c>
      <c r="N1312">
        <v>324</v>
      </c>
      <c r="O1312" t="s">
        <v>50</v>
      </c>
    </row>
    <row r="1313" spans="1:15" x14ac:dyDescent="0.3">
      <c r="A1313" t="s">
        <v>2824</v>
      </c>
      <c r="B1313" t="s">
        <v>2823</v>
      </c>
      <c r="D1313">
        <v>76</v>
      </c>
      <c r="E1313" t="s">
        <v>54</v>
      </c>
      <c r="F1313" t="s">
        <v>90</v>
      </c>
      <c r="G1313" s="1">
        <v>46131</v>
      </c>
      <c r="H1313" s="1">
        <v>46116</v>
      </c>
      <c r="I1313" t="s">
        <v>2822</v>
      </c>
      <c r="J1313" t="s">
        <v>2821</v>
      </c>
      <c r="K1313" t="s">
        <v>17</v>
      </c>
      <c r="L1313">
        <v>6463.85</v>
      </c>
      <c r="M1313" t="s">
        <v>17</v>
      </c>
      <c r="N1313">
        <v>407</v>
      </c>
      <c r="O1313" t="s">
        <v>43</v>
      </c>
    </row>
    <row r="1314" spans="1:15" x14ac:dyDescent="0.3">
      <c r="A1314" t="s">
        <v>2820</v>
      </c>
      <c r="B1314" t="s">
        <v>2819</v>
      </c>
      <c r="D1314">
        <v>87</v>
      </c>
      <c r="E1314" t="s">
        <v>54</v>
      </c>
      <c r="F1314" t="s">
        <v>30</v>
      </c>
      <c r="G1314" s="1">
        <v>46091</v>
      </c>
      <c r="H1314" s="1">
        <v>46090</v>
      </c>
      <c r="I1314" t="s">
        <v>2818</v>
      </c>
      <c r="J1314" t="s">
        <v>2817</v>
      </c>
      <c r="K1314" t="s">
        <v>17</v>
      </c>
      <c r="L1314">
        <v>19126.689999999999</v>
      </c>
      <c r="M1314" t="s">
        <v>64</v>
      </c>
      <c r="N1314">
        <v>315</v>
      </c>
      <c r="O1314" t="s">
        <v>16</v>
      </c>
    </row>
    <row r="1315" spans="1:15" x14ac:dyDescent="0.3">
      <c r="A1315" t="s">
        <v>2816</v>
      </c>
      <c r="B1315" t="s">
        <v>2815</v>
      </c>
      <c r="C1315" t="s">
        <v>22</v>
      </c>
      <c r="D1315">
        <v>74</v>
      </c>
      <c r="E1315" t="s">
        <v>54</v>
      </c>
      <c r="F1315" t="s">
        <v>46</v>
      </c>
      <c r="G1315" s="1">
        <v>46124</v>
      </c>
      <c r="H1315" s="1">
        <v>46119</v>
      </c>
      <c r="I1315" t="s">
        <v>510</v>
      </c>
      <c r="J1315" t="s">
        <v>2814</v>
      </c>
      <c r="K1315" t="s">
        <v>35</v>
      </c>
      <c r="L1315">
        <v>23074.37</v>
      </c>
      <c r="M1315" t="s">
        <v>57</v>
      </c>
      <c r="N1315">
        <v>390</v>
      </c>
      <c r="O1315" t="s">
        <v>50</v>
      </c>
    </row>
    <row r="1316" spans="1:15" x14ac:dyDescent="0.3">
      <c r="A1316" t="s">
        <v>2813</v>
      </c>
      <c r="B1316" t="s">
        <v>2812</v>
      </c>
      <c r="C1316" t="s">
        <v>0</v>
      </c>
      <c r="D1316">
        <v>17</v>
      </c>
      <c r="E1316" t="s">
        <v>31</v>
      </c>
      <c r="F1316" t="s">
        <v>46</v>
      </c>
      <c r="G1316" s="1">
        <v>46135</v>
      </c>
      <c r="H1316" s="1">
        <v>46133</v>
      </c>
      <c r="I1316" t="s">
        <v>2811</v>
      </c>
      <c r="J1316" t="s">
        <v>2810</v>
      </c>
      <c r="K1316" t="s">
        <v>26</v>
      </c>
      <c r="L1316">
        <v>19863.009999999998</v>
      </c>
      <c r="M1316" t="s">
        <v>26</v>
      </c>
      <c r="N1316">
        <v>510</v>
      </c>
      <c r="O1316" t="s">
        <v>43</v>
      </c>
    </row>
    <row r="1317" spans="1:15" x14ac:dyDescent="0.3">
      <c r="A1317" t="s">
        <v>2809</v>
      </c>
      <c r="B1317" t="s">
        <v>2808</v>
      </c>
      <c r="D1317">
        <v>51</v>
      </c>
      <c r="E1317" t="s">
        <v>39</v>
      </c>
      <c r="F1317" t="s">
        <v>85</v>
      </c>
      <c r="G1317" s="1">
        <v>46035</v>
      </c>
      <c r="H1317" s="1">
        <v>46035</v>
      </c>
      <c r="I1317" t="s">
        <v>2807</v>
      </c>
      <c r="J1317" t="s">
        <v>2806</v>
      </c>
      <c r="K1317" t="s">
        <v>35</v>
      </c>
      <c r="L1317">
        <v>5170.08</v>
      </c>
      <c r="M1317" t="s">
        <v>26</v>
      </c>
      <c r="N1317">
        <v>254</v>
      </c>
      <c r="O1317" t="s">
        <v>43</v>
      </c>
    </row>
    <row r="1318" spans="1:15" x14ac:dyDescent="0.3">
      <c r="A1318" t="s">
        <v>2805</v>
      </c>
      <c r="B1318" t="s">
        <v>2804</v>
      </c>
      <c r="C1318" t="s">
        <v>74</v>
      </c>
      <c r="D1318">
        <v>24</v>
      </c>
      <c r="E1318" t="s">
        <v>21</v>
      </c>
      <c r="F1318" t="s">
        <v>38</v>
      </c>
      <c r="G1318" s="1">
        <v>46133</v>
      </c>
      <c r="H1318" s="1">
        <v>46120</v>
      </c>
      <c r="I1318" t="s">
        <v>2803</v>
      </c>
      <c r="J1318" t="s">
        <v>2802</v>
      </c>
      <c r="K1318" t="s">
        <v>64</v>
      </c>
      <c r="L1318">
        <v>18158.53</v>
      </c>
      <c r="M1318" t="s">
        <v>26</v>
      </c>
      <c r="N1318">
        <v>450</v>
      </c>
      <c r="O1318" t="s">
        <v>34</v>
      </c>
    </row>
    <row r="1319" spans="1:15" x14ac:dyDescent="0.3">
      <c r="A1319" t="s">
        <v>2801</v>
      </c>
      <c r="B1319" t="s">
        <v>2800</v>
      </c>
      <c r="C1319" t="s">
        <v>60</v>
      </c>
      <c r="D1319">
        <v>1</v>
      </c>
      <c r="E1319" t="s">
        <v>68</v>
      </c>
      <c r="F1319" t="s">
        <v>53</v>
      </c>
      <c r="G1319" s="1">
        <v>45998</v>
      </c>
      <c r="H1319" s="1">
        <v>45987</v>
      </c>
      <c r="I1319" t="s">
        <v>2799</v>
      </c>
      <c r="J1319" t="s">
        <v>2798</v>
      </c>
      <c r="K1319" t="s">
        <v>64</v>
      </c>
      <c r="L1319">
        <v>11875.86</v>
      </c>
      <c r="N1319">
        <v>457</v>
      </c>
      <c r="O1319" t="s">
        <v>71</v>
      </c>
    </row>
    <row r="1320" spans="1:15" x14ac:dyDescent="0.3">
      <c r="A1320" t="s">
        <v>2797</v>
      </c>
      <c r="B1320" t="s">
        <v>2796</v>
      </c>
      <c r="D1320">
        <v>86</v>
      </c>
      <c r="E1320" t="s">
        <v>54</v>
      </c>
      <c r="F1320" t="s">
        <v>85</v>
      </c>
      <c r="G1320" s="1">
        <v>46161</v>
      </c>
      <c r="H1320" s="1">
        <v>46139</v>
      </c>
      <c r="I1320" t="s">
        <v>2795</v>
      </c>
      <c r="J1320" t="s">
        <v>2794</v>
      </c>
      <c r="K1320" t="s">
        <v>17</v>
      </c>
      <c r="L1320">
        <v>19123.79</v>
      </c>
      <c r="M1320" t="s">
        <v>64</v>
      </c>
      <c r="N1320">
        <v>298</v>
      </c>
      <c r="O1320" t="s">
        <v>71</v>
      </c>
    </row>
    <row r="1321" spans="1:15" x14ac:dyDescent="0.3">
      <c r="A1321" t="s">
        <v>2793</v>
      </c>
      <c r="B1321" t="s">
        <v>2792</v>
      </c>
      <c r="C1321" t="s">
        <v>60</v>
      </c>
      <c r="D1321">
        <v>18</v>
      </c>
      <c r="E1321" t="s">
        <v>54</v>
      </c>
      <c r="F1321" t="s">
        <v>67</v>
      </c>
      <c r="G1321" s="1">
        <v>46167</v>
      </c>
      <c r="H1321" s="1">
        <v>46139</v>
      </c>
      <c r="I1321" t="s">
        <v>2791</v>
      </c>
      <c r="J1321" t="s">
        <v>2790</v>
      </c>
      <c r="K1321" t="s">
        <v>26</v>
      </c>
      <c r="L1321">
        <v>20530.82</v>
      </c>
      <c r="N1321">
        <v>405</v>
      </c>
      <c r="O1321" t="s">
        <v>16</v>
      </c>
    </row>
    <row r="1322" spans="1:15" x14ac:dyDescent="0.3">
      <c r="A1322" t="s">
        <v>2789</v>
      </c>
      <c r="B1322" t="s">
        <v>2788</v>
      </c>
      <c r="C1322" t="s">
        <v>74</v>
      </c>
      <c r="D1322">
        <v>45</v>
      </c>
      <c r="E1322" t="s">
        <v>68</v>
      </c>
      <c r="F1322" t="s">
        <v>46</v>
      </c>
      <c r="G1322" s="1">
        <v>46094</v>
      </c>
      <c r="H1322" s="1">
        <v>46087</v>
      </c>
      <c r="I1322" t="s">
        <v>2787</v>
      </c>
      <c r="J1322" t="s">
        <v>2786</v>
      </c>
      <c r="K1322" t="s">
        <v>35</v>
      </c>
      <c r="L1322">
        <v>19242.53</v>
      </c>
      <c r="M1322" t="s">
        <v>17</v>
      </c>
      <c r="N1322">
        <v>285</v>
      </c>
      <c r="O1322" t="s">
        <v>43</v>
      </c>
    </row>
    <row r="1323" spans="1:15" x14ac:dyDescent="0.3">
      <c r="A1323" t="s">
        <v>2785</v>
      </c>
      <c r="B1323" t="s">
        <v>2784</v>
      </c>
      <c r="C1323" t="s">
        <v>40</v>
      </c>
      <c r="D1323">
        <v>79</v>
      </c>
      <c r="E1323" t="s">
        <v>54</v>
      </c>
      <c r="F1323" t="s">
        <v>20</v>
      </c>
      <c r="G1323" s="1">
        <v>46010</v>
      </c>
      <c r="H1323" s="1">
        <v>45990</v>
      </c>
      <c r="I1323" t="s">
        <v>2783</v>
      </c>
      <c r="J1323" t="s">
        <v>2782</v>
      </c>
      <c r="K1323" t="s">
        <v>17</v>
      </c>
      <c r="L1323">
        <v>3624.38</v>
      </c>
      <c r="M1323" t="s">
        <v>57</v>
      </c>
      <c r="N1323">
        <v>122</v>
      </c>
      <c r="O1323" t="s">
        <v>71</v>
      </c>
    </row>
    <row r="1324" spans="1:15" x14ac:dyDescent="0.3">
      <c r="A1324" t="s">
        <v>2781</v>
      </c>
      <c r="B1324" t="s">
        <v>2780</v>
      </c>
      <c r="C1324" t="s">
        <v>22</v>
      </c>
      <c r="D1324">
        <v>56</v>
      </c>
      <c r="E1324" t="s">
        <v>80</v>
      </c>
      <c r="F1324" t="s">
        <v>67</v>
      </c>
      <c r="G1324" s="1">
        <v>46104</v>
      </c>
      <c r="H1324" s="1">
        <v>46092</v>
      </c>
      <c r="I1324" t="s">
        <v>2779</v>
      </c>
      <c r="J1324" t="s">
        <v>2778</v>
      </c>
      <c r="K1324" t="s">
        <v>35</v>
      </c>
      <c r="L1324">
        <v>10757.64</v>
      </c>
      <c r="M1324" t="s">
        <v>63</v>
      </c>
      <c r="N1324">
        <v>259</v>
      </c>
      <c r="O1324" t="s">
        <v>16</v>
      </c>
    </row>
    <row r="1325" spans="1:15" x14ac:dyDescent="0.3">
      <c r="A1325" t="s">
        <v>2777</v>
      </c>
      <c r="B1325" t="s">
        <v>2776</v>
      </c>
      <c r="D1325">
        <v>5</v>
      </c>
      <c r="E1325" t="s">
        <v>132</v>
      </c>
      <c r="F1325" t="s">
        <v>90</v>
      </c>
      <c r="G1325" s="1">
        <v>46026</v>
      </c>
      <c r="H1325" s="1">
        <v>46021</v>
      </c>
      <c r="I1325" t="s">
        <v>2775</v>
      </c>
      <c r="J1325" t="s">
        <v>2774</v>
      </c>
      <c r="K1325" t="s">
        <v>35</v>
      </c>
      <c r="L1325">
        <v>10075.76</v>
      </c>
      <c r="M1325" t="s">
        <v>64</v>
      </c>
      <c r="N1325">
        <v>338</v>
      </c>
      <c r="O1325" t="s">
        <v>50</v>
      </c>
    </row>
    <row r="1326" spans="1:15" x14ac:dyDescent="0.3">
      <c r="A1326" t="s">
        <v>2773</v>
      </c>
      <c r="B1326" t="s">
        <v>2772</v>
      </c>
      <c r="C1326" t="s">
        <v>74</v>
      </c>
      <c r="D1326">
        <v>45</v>
      </c>
      <c r="E1326" t="s">
        <v>80</v>
      </c>
      <c r="F1326" t="s">
        <v>90</v>
      </c>
      <c r="G1326" s="1">
        <v>46105</v>
      </c>
      <c r="H1326" s="1">
        <v>46080</v>
      </c>
      <c r="I1326" t="s">
        <v>2771</v>
      </c>
      <c r="J1326" t="s">
        <v>2770</v>
      </c>
      <c r="K1326" t="s">
        <v>27</v>
      </c>
      <c r="L1326">
        <v>4189.92</v>
      </c>
      <c r="M1326" t="s">
        <v>26</v>
      </c>
      <c r="N1326">
        <v>394</v>
      </c>
      <c r="O1326" t="s">
        <v>34</v>
      </c>
    </row>
    <row r="1327" spans="1:15" x14ac:dyDescent="0.3">
      <c r="A1327" t="s">
        <v>2769</v>
      </c>
      <c r="B1327" t="s">
        <v>2768</v>
      </c>
      <c r="C1327" t="s">
        <v>123</v>
      </c>
      <c r="D1327">
        <v>88</v>
      </c>
      <c r="E1327" t="s">
        <v>68</v>
      </c>
      <c r="F1327" t="s">
        <v>46</v>
      </c>
      <c r="G1327" s="1">
        <v>46034</v>
      </c>
      <c r="H1327" s="1">
        <v>46019</v>
      </c>
      <c r="I1327" t="s">
        <v>2767</v>
      </c>
      <c r="J1327" t="s">
        <v>2766</v>
      </c>
      <c r="L1327">
        <v>10676.94</v>
      </c>
      <c r="M1327" t="s">
        <v>27</v>
      </c>
      <c r="N1327">
        <v>255</v>
      </c>
      <c r="O1327" t="s">
        <v>16</v>
      </c>
    </row>
    <row r="1328" spans="1:15" x14ac:dyDescent="0.3">
      <c r="A1328" t="s">
        <v>2765</v>
      </c>
      <c r="B1328" t="s">
        <v>2764</v>
      </c>
      <c r="C1328" t="s">
        <v>22</v>
      </c>
      <c r="D1328">
        <v>82</v>
      </c>
      <c r="E1328" t="s">
        <v>80</v>
      </c>
      <c r="F1328" t="s">
        <v>85</v>
      </c>
      <c r="G1328" s="1">
        <v>46148</v>
      </c>
      <c r="H1328" s="1">
        <v>46132</v>
      </c>
      <c r="I1328" t="s">
        <v>2763</v>
      </c>
      <c r="J1328" t="s">
        <v>2762</v>
      </c>
      <c r="K1328" t="s">
        <v>57</v>
      </c>
      <c r="L1328">
        <v>19568.89</v>
      </c>
      <c r="M1328" t="s">
        <v>17</v>
      </c>
      <c r="N1328">
        <v>532</v>
      </c>
      <c r="O1328" t="s">
        <v>34</v>
      </c>
    </row>
    <row r="1329" spans="1:15" x14ac:dyDescent="0.3">
      <c r="A1329" t="s">
        <v>2761</v>
      </c>
      <c r="B1329" t="s">
        <v>2760</v>
      </c>
      <c r="C1329" t="s">
        <v>60</v>
      </c>
      <c r="D1329">
        <v>15</v>
      </c>
      <c r="E1329" t="s">
        <v>39</v>
      </c>
      <c r="F1329" t="s">
        <v>90</v>
      </c>
      <c r="G1329" s="1">
        <v>46144</v>
      </c>
      <c r="H1329" s="1">
        <v>46127</v>
      </c>
      <c r="I1329" t="s">
        <v>2759</v>
      </c>
      <c r="J1329" t="s">
        <v>2758</v>
      </c>
      <c r="L1329">
        <v>21783.79</v>
      </c>
      <c r="M1329" t="s">
        <v>64</v>
      </c>
      <c r="N1329">
        <v>176</v>
      </c>
      <c r="O1329" t="s">
        <v>77</v>
      </c>
    </row>
    <row r="1330" spans="1:15" x14ac:dyDescent="0.3">
      <c r="A1330" t="s">
        <v>2757</v>
      </c>
      <c r="B1330" t="s">
        <v>2756</v>
      </c>
      <c r="C1330" t="s">
        <v>60</v>
      </c>
      <c r="D1330">
        <v>76</v>
      </c>
      <c r="E1330" t="s">
        <v>850</v>
      </c>
      <c r="F1330" t="s">
        <v>38</v>
      </c>
      <c r="G1330" s="1">
        <v>46030</v>
      </c>
      <c r="H1330" s="1">
        <v>46014</v>
      </c>
      <c r="I1330" t="s">
        <v>2755</v>
      </c>
      <c r="J1330" t="s">
        <v>2754</v>
      </c>
      <c r="L1330">
        <v>10985.22</v>
      </c>
      <c r="N1330">
        <v>244</v>
      </c>
      <c r="O1330" t="s">
        <v>77</v>
      </c>
    </row>
    <row r="1331" spans="1:15" x14ac:dyDescent="0.3">
      <c r="A1331" t="s">
        <v>2753</v>
      </c>
      <c r="B1331" t="s">
        <v>2752</v>
      </c>
      <c r="C1331" t="s">
        <v>74</v>
      </c>
      <c r="D1331">
        <v>63</v>
      </c>
      <c r="E1331" t="s">
        <v>68</v>
      </c>
      <c r="F1331" t="s">
        <v>67</v>
      </c>
      <c r="G1331" s="1">
        <v>46149</v>
      </c>
      <c r="H1331" s="1">
        <v>46148</v>
      </c>
      <c r="I1331" t="s">
        <v>2751</v>
      </c>
      <c r="J1331" t="s">
        <v>2750</v>
      </c>
      <c r="K1331" t="s">
        <v>57</v>
      </c>
      <c r="L1331">
        <v>6457.7</v>
      </c>
      <c r="M1331" t="s">
        <v>17</v>
      </c>
      <c r="N1331">
        <v>445</v>
      </c>
      <c r="O1331" t="s">
        <v>43</v>
      </c>
    </row>
    <row r="1332" spans="1:15" x14ac:dyDescent="0.3">
      <c r="A1332" t="s">
        <v>2749</v>
      </c>
      <c r="B1332" t="s">
        <v>2748</v>
      </c>
      <c r="C1332" t="s">
        <v>40</v>
      </c>
      <c r="D1332">
        <v>70</v>
      </c>
      <c r="E1332" t="s">
        <v>132</v>
      </c>
      <c r="F1332" t="s">
        <v>53</v>
      </c>
      <c r="G1332" s="1">
        <v>46033</v>
      </c>
      <c r="H1332" s="1">
        <v>46024</v>
      </c>
      <c r="I1332" t="s">
        <v>2747</v>
      </c>
      <c r="J1332" t="s">
        <v>2746</v>
      </c>
      <c r="K1332" t="s">
        <v>57</v>
      </c>
      <c r="L1332">
        <v>10543.09</v>
      </c>
      <c r="N1332">
        <v>266</v>
      </c>
      <c r="O1332" t="s">
        <v>43</v>
      </c>
    </row>
    <row r="1333" spans="1:15" x14ac:dyDescent="0.3">
      <c r="A1333" t="s">
        <v>2745</v>
      </c>
      <c r="B1333" t="s">
        <v>2744</v>
      </c>
      <c r="C1333" t="s">
        <v>40</v>
      </c>
      <c r="D1333">
        <v>77</v>
      </c>
      <c r="E1333" t="s">
        <v>80</v>
      </c>
      <c r="F1333" t="s">
        <v>67</v>
      </c>
      <c r="G1333" s="1">
        <v>46074</v>
      </c>
      <c r="H1333" s="1">
        <v>46051</v>
      </c>
      <c r="I1333" t="s">
        <v>2743</v>
      </c>
      <c r="J1333" t="s">
        <v>2742</v>
      </c>
      <c r="K1333" t="s">
        <v>27</v>
      </c>
      <c r="L1333">
        <v>13375.46</v>
      </c>
      <c r="N1333">
        <v>227</v>
      </c>
      <c r="O1333" t="s">
        <v>71</v>
      </c>
    </row>
    <row r="1334" spans="1:15" x14ac:dyDescent="0.3">
      <c r="A1334" t="s">
        <v>2741</v>
      </c>
      <c r="B1334" t="s">
        <v>2740</v>
      </c>
      <c r="C1334" t="s">
        <v>74</v>
      </c>
      <c r="D1334">
        <v>69</v>
      </c>
      <c r="E1334" t="s">
        <v>80</v>
      </c>
      <c r="F1334" t="s">
        <v>53</v>
      </c>
      <c r="G1334" s="1">
        <v>46153</v>
      </c>
      <c r="H1334" s="1">
        <v>46130</v>
      </c>
      <c r="I1334" t="s">
        <v>2739</v>
      </c>
      <c r="J1334" t="s">
        <v>2738</v>
      </c>
      <c r="K1334" t="s">
        <v>35</v>
      </c>
      <c r="L1334">
        <v>15896.42</v>
      </c>
      <c r="N1334">
        <v>240</v>
      </c>
      <c r="O1334" t="s">
        <v>43</v>
      </c>
    </row>
    <row r="1335" spans="1:15" x14ac:dyDescent="0.3">
      <c r="A1335" t="s">
        <v>2737</v>
      </c>
      <c r="B1335" t="s">
        <v>2736</v>
      </c>
      <c r="D1335">
        <v>89</v>
      </c>
      <c r="E1335" t="s">
        <v>21</v>
      </c>
      <c r="F1335" t="s">
        <v>85</v>
      </c>
      <c r="G1335" s="1">
        <v>46034</v>
      </c>
      <c r="H1335" s="1">
        <v>46033</v>
      </c>
      <c r="I1335" t="s">
        <v>2735</v>
      </c>
      <c r="J1335" t="s">
        <v>2734</v>
      </c>
      <c r="K1335" t="s">
        <v>64</v>
      </c>
      <c r="L1335">
        <v>8299.39</v>
      </c>
      <c r="M1335" t="s">
        <v>27</v>
      </c>
      <c r="N1335">
        <v>175</v>
      </c>
      <c r="O1335" t="s">
        <v>34</v>
      </c>
    </row>
    <row r="1336" spans="1:15" x14ac:dyDescent="0.3">
      <c r="A1336" t="s">
        <v>2733</v>
      </c>
      <c r="B1336" t="s">
        <v>2732</v>
      </c>
      <c r="C1336" t="s">
        <v>74</v>
      </c>
      <c r="D1336">
        <v>49</v>
      </c>
      <c r="E1336" t="s">
        <v>80</v>
      </c>
      <c r="F1336" t="s">
        <v>67</v>
      </c>
      <c r="G1336" s="1">
        <v>46114</v>
      </c>
      <c r="H1336" s="1">
        <v>46085</v>
      </c>
      <c r="I1336" t="s">
        <v>2731</v>
      </c>
      <c r="J1336" t="s">
        <v>2730</v>
      </c>
      <c r="K1336" t="s">
        <v>26</v>
      </c>
      <c r="L1336">
        <v>10678.74</v>
      </c>
      <c r="M1336" t="s">
        <v>27</v>
      </c>
      <c r="N1336">
        <v>194</v>
      </c>
      <c r="O1336" t="s">
        <v>25</v>
      </c>
    </row>
    <row r="1337" spans="1:15" x14ac:dyDescent="0.3">
      <c r="A1337" t="s">
        <v>2729</v>
      </c>
      <c r="B1337" t="s">
        <v>2728</v>
      </c>
      <c r="C1337" t="s">
        <v>22</v>
      </c>
      <c r="D1337">
        <v>84</v>
      </c>
      <c r="E1337" t="s">
        <v>80</v>
      </c>
      <c r="F1337" t="s">
        <v>90</v>
      </c>
      <c r="G1337" s="1">
        <v>46067</v>
      </c>
      <c r="H1337" s="1">
        <v>46037</v>
      </c>
      <c r="I1337" t="s">
        <v>2727</v>
      </c>
      <c r="J1337" t="s">
        <v>2726</v>
      </c>
      <c r="K1337" t="s">
        <v>64</v>
      </c>
      <c r="L1337">
        <v>19882.39</v>
      </c>
      <c r="M1337" t="s">
        <v>63</v>
      </c>
      <c r="N1337">
        <v>255</v>
      </c>
      <c r="O1337" t="s">
        <v>34</v>
      </c>
    </row>
    <row r="1338" spans="1:15" x14ac:dyDescent="0.3">
      <c r="A1338" t="s">
        <v>2725</v>
      </c>
      <c r="B1338" t="s">
        <v>2724</v>
      </c>
      <c r="C1338" t="s">
        <v>1</v>
      </c>
      <c r="D1338">
        <v>89</v>
      </c>
      <c r="E1338" t="s">
        <v>47</v>
      </c>
      <c r="F1338" t="s">
        <v>67</v>
      </c>
      <c r="G1338" s="1">
        <v>46016</v>
      </c>
      <c r="H1338" s="1">
        <v>45998</v>
      </c>
      <c r="I1338" t="s">
        <v>2723</v>
      </c>
      <c r="J1338" t="s">
        <v>2722</v>
      </c>
      <c r="L1338">
        <v>5537.19</v>
      </c>
      <c r="N1338">
        <v>240</v>
      </c>
      <c r="O1338" t="s">
        <v>25</v>
      </c>
    </row>
    <row r="1339" spans="1:15" x14ac:dyDescent="0.3">
      <c r="A1339" t="s">
        <v>2721</v>
      </c>
      <c r="B1339" t="s">
        <v>2720</v>
      </c>
      <c r="C1339" t="s">
        <v>0</v>
      </c>
      <c r="D1339">
        <v>36</v>
      </c>
      <c r="E1339" t="s">
        <v>47</v>
      </c>
      <c r="F1339" t="s">
        <v>90</v>
      </c>
      <c r="G1339" s="1">
        <v>46029</v>
      </c>
      <c r="H1339" s="1">
        <v>46000</v>
      </c>
      <c r="I1339" t="s">
        <v>2719</v>
      </c>
      <c r="J1339" t="s">
        <v>2718</v>
      </c>
      <c r="K1339" t="s">
        <v>35</v>
      </c>
      <c r="L1339">
        <v>17019.560000000001</v>
      </c>
      <c r="M1339" t="s">
        <v>63</v>
      </c>
      <c r="N1339">
        <v>102</v>
      </c>
      <c r="O1339" t="s">
        <v>16</v>
      </c>
    </row>
    <row r="1340" spans="1:15" x14ac:dyDescent="0.3">
      <c r="A1340" t="s">
        <v>2717</v>
      </c>
      <c r="B1340" t="s">
        <v>2716</v>
      </c>
      <c r="C1340" t="s">
        <v>1</v>
      </c>
      <c r="D1340">
        <v>3</v>
      </c>
      <c r="E1340" t="s">
        <v>54</v>
      </c>
      <c r="F1340" t="s">
        <v>53</v>
      </c>
      <c r="G1340" s="1">
        <v>46029</v>
      </c>
      <c r="H1340" s="1">
        <v>46021</v>
      </c>
      <c r="I1340" t="s">
        <v>2715</v>
      </c>
      <c r="J1340" t="s">
        <v>2714</v>
      </c>
      <c r="K1340" t="s">
        <v>26</v>
      </c>
      <c r="L1340">
        <v>11668.54</v>
      </c>
      <c r="M1340" t="s">
        <v>17</v>
      </c>
      <c r="N1340">
        <v>149</v>
      </c>
      <c r="O1340" t="s">
        <v>71</v>
      </c>
    </row>
    <row r="1341" spans="1:15" x14ac:dyDescent="0.3">
      <c r="A1341" t="s">
        <v>2713</v>
      </c>
      <c r="B1341" t="s">
        <v>2712</v>
      </c>
      <c r="C1341" t="s">
        <v>1</v>
      </c>
      <c r="D1341">
        <v>3</v>
      </c>
      <c r="E1341" t="s">
        <v>31</v>
      </c>
      <c r="F1341" t="s">
        <v>38</v>
      </c>
      <c r="G1341" s="1">
        <v>46145</v>
      </c>
      <c r="H1341" s="1">
        <v>46143</v>
      </c>
      <c r="I1341" t="s">
        <v>2711</v>
      </c>
      <c r="J1341" t="s">
        <v>2710</v>
      </c>
      <c r="K1341" t="s">
        <v>26</v>
      </c>
      <c r="L1341">
        <v>18258.47</v>
      </c>
      <c r="N1341">
        <v>401</v>
      </c>
      <c r="O1341" t="s">
        <v>16</v>
      </c>
    </row>
    <row r="1342" spans="1:15" x14ac:dyDescent="0.3">
      <c r="A1342" t="s">
        <v>2709</v>
      </c>
      <c r="B1342" t="s">
        <v>2708</v>
      </c>
      <c r="C1342" t="s">
        <v>60</v>
      </c>
      <c r="D1342">
        <v>70</v>
      </c>
      <c r="E1342" t="s">
        <v>54</v>
      </c>
      <c r="F1342" t="s">
        <v>85</v>
      </c>
      <c r="G1342" s="1">
        <v>46044</v>
      </c>
      <c r="H1342" s="1">
        <v>46015</v>
      </c>
      <c r="I1342" t="s">
        <v>2707</v>
      </c>
      <c r="J1342" t="s">
        <v>2706</v>
      </c>
      <c r="K1342" t="s">
        <v>27</v>
      </c>
      <c r="L1342">
        <v>8705.18</v>
      </c>
      <c r="M1342" t="s">
        <v>17</v>
      </c>
      <c r="N1342">
        <v>277</v>
      </c>
      <c r="O1342" t="s">
        <v>50</v>
      </c>
    </row>
    <row r="1343" spans="1:15" x14ac:dyDescent="0.3">
      <c r="A1343" t="s">
        <v>2705</v>
      </c>
      <c r="B1343" t="s">
        <v>2704</v>
      </c>
      <c r="D1343">
        <v>20</v>
      </c>
      <c r="E1343" t="s">
        <v>68</v>
      </c>
      <c r="F1343" t="s">
        <v>85</v>
      </c>
      <c r="G1343" s="1">
        <v>46074</v>
      </c>
      <c r="H1343" s="1">
        <v>46068</v>
      </c>
      <c r="I1343" t="s">
        <v>2703</v>
      </c>
      <c r="J1343" t="s">
        <v>2702</v>
      </c>
      <c r="K1343" t="s">
        <v>35</v>
      </c>
      <c r="L1343">
        <v>16890.05</v>
      </c>
      <c r="M1343" t="s">
        <v>63</v>
      </c>
      <c r="N1343">
        <v>306</v>
      </c>
      <c r="O1343" t="s">
        <v>77</v>
      </c>
    </row>
    <row r="1344" spans="1:15" x14ac:dyDescent="0.3">
      <c r="A1344" t="s">
        <v>2701</v>
      </c>
      <c r="B1344" t="s">
        <v>2700</v>
      </c>
      <c r="C1344" t="s">
        <v>74</v>
      </c>
      <c r="D1344">
        <v>81</v>
      </c>
      <c r="E1344" t="s">
        <v>68</v>
      </c>
      <c r="F1344" t="s">
        <v>67</v>
      </c>
      <c r="G1344" s="1">
        <v>46024</v>
      </c>
      <c r="H1344" s="1">
        <v>46022</v>
      </c>
      <c r="I1344" t="s">
        <v>2699</v>
      </c>
      <c r="J1344" t="s">
        <v>2698</v>
      </c>
      <c r="K1344" t="s">
        <v>17</v>
      </c>
      <c r="L1344">
        <v>18750.669999999998</v>
      </c>
      <c r="M1344" t="s">
        <v>17</v>
      </c>
      <c r="N1344">
        <v>255</v>
      </c>
      <c r="O1344" t="s">
        <v>43</v>
      </c>
    </row>
    <row r="1345" spans="1:15" x14ac:dyDescent="0.3">
      <c r="A1345" t="s">
        <v>2697</v>
      </c>
      <c r="B1345" t="s">
        <v>2696</v>
      </c>
      <c r="C1345" t="s">
        <v>60</v>
      </c>
      <c r="D1345">
        <v>58</v>
      </c>
      <c r="E1345" t="s">
        <v>68</v>
      </c>
      <c r="F1345" t="s">
        <v>46</v>
      </c>
      <c r="G1345" s="1">
        <v>46087</v>
      </c>
      <c r="H1345" s="1">
        <v>46083</v>
      </c>
      <c r="I1345" t="s">
        <v>2695</v>
      </c>
      <c r="J1345" t="s">
        <v>2694</v>
      </c>
      <c r="K1345" t="s">
        <v>35</v>
      </c>
      <c r="L1345">
        <v>15681.78</v>
      </c>
      <c r="N1345">
        <v>312</v>
      </c>
      <c r="O1345" t="s">
        <v>50</v>
      </c>
    </row>
    <row r="1346" spans="1:15" x14ac:dyDescent="0.3">
      <c r="A1346" t="s">
        <v>2693</v>
      </c>
      <c r="B1346" t="s">
        <v>2692</v>
      </c>
      <c r="C1346" t="s">
        <v>40</v>
      </c>
      <c r="D1346">
        <v>37</v>
      </c>
      <c r="E1346" t="s">
        <v>68</v>
      </c>
      <c r="F1346" t="s">
        <v>38</v>
      </c>
      <c r="G1346" s="1">
        <v>46161</v>
      </c>
      <c r="H1346" s="1">
        <v>46149</v>
      </c>
      <c r="I1346" t="s">
        <v>2691</v>
      </c>
      <c r="J1346" t="s">
        <v>2690</v>
      </c>
      <c r="K1346" t="s">
        <v>35</v>
      </c>
      <c r="L1346">
        <v>9585.0400000000009</v>
      </c>
      <c r="M1346" t="s">
        <v>64</v>
      </c>
      <c r="N1346">
        <v>149</v>
      </c>
      <c r="O1346" t="s">
        <v>16</v>
      </c>
    </row>
    <row r="1347" spans="1:15" x14ac:dyDescent="0.3">
      <c r="A1347" t="s">
        <v>2689</v>
      </c>
      <c r="B1347" t="s">
        <v>2688</v>
      </c>
      <c r="C1347" t="s">
        <v>1</v>
      </c>
      <c r="D1347">
        <v>28</v>
      </c>
      <c r="E1347" t="s">
        <v>80</v>
      </c>
      <c r="F1347" t="s">
        <v>30</v>
      </c>
      <c r="G1347" s="1">
        <v>46026</v>
      </c>
      <c r="H1347" s="1">
        <v>46021</v>
      </c>
      <c r="I1347" t="s">
        <v>2687</v>
      </c>
      <c r="J1347" t="s">
        <v>2686</v>
      </c>
      <c r="K1347" t="s">
        <v>35</v>
      </c>
      <c r="L1347">
        <v>19218.490000000002</v>
      </c>
      <c r="N1347">
        <v>381</v>
      </c>
      <c r="O1347" t="s">
        <v>16</v>
      </c>
    </row>
    <row r="1348" spans="1:15" x14ac:dyDescent="0.3">
      <c r="A1348" t="s">
        <v>2685</v>
      </c>
      <c r="B1348" t="s">
        <v>2684</v>
      </c>
      <c r="C1348" t="s">
        <v>60</v>
      </c>
      <c r="D1348">
        <v>28</v>
      </c>
      <c r="E1348" t="s">
        <v>54</v>
      </c>
      <c r="F1348" t="s">
        <v>30</v>
      </c>
      <c r="G1348" s="1">
        <v>46080</v>
      </c>
      <c r="H1348" s="1">
        <v>46070</v>
      </c>
      <c r="I1348" t="s">
        <v>2683</v>
      </c>
      <c r="J1348" t="s">
        <v>2682</v>
      </c>
      <c r="K1348" t="s">
        <v>57</v>
      </c>
      <c r="L1348">
        <v>15830.84</v>
      </c>
      <c r="M1348" t="s">
        <v>17</v>
      </c>
      <c r="N1348">
        <v>357</v>
      </c>
      <c r="O1348" t="s">
        <v>34</v>
      </c>
    </row>
    <row r="1349" spans="1:15" x14ac:dyDescent="0.3">
      <c r="A1349" t="s">
        <v>2681</v>
      </c>
      <c r="B1349" t="s">
        <v>2680</v>
      </c>
      <c r="C1349" t="s">
        <v>123</v>
      </c>
      <c r="D1349">
        <v>29</v>
      </c>
      <c r="E1349" t="s">
        <v>54</v>
      </c>
      <c r="F1349" t="s">
        <v>85</v>
      </c>
      <c r="G1349" s="1">
        <v>46027</v>
      </c>
      <c r="H1349" s="1">
        <v>46003</v>
      </c>
      <c r="I1349" t="s">
        <v>2679</v>
      </c>
      <c r="J1349" t="s">
        <v>2678</v>
      </c>
      <c r="L1349">
        <v>7299.83</v>
      </c>
      <c r="N1349">
        <v>180</v>
      </c>
      <c r="O1349" t="s">
        <v>50</v>
      </c>
    </row>
    <row r="1350" spans="1:15" x14ac:dyDescent="0.3">
      <c r="A1350" t="s">
        <v>2677</v>
      </c>
      <c r="B1350" t="s">
        <v>2676</v>
      </c>
      <c r="C1350" t="s">
        <v>0</v>
      </c>
      <c r="D1350">
        <v>52</v>
      </c>
      <c r="E1350" t="s">
        <v>132</v>
      </c>
      <c r="F1350" t="s">
        <v>46</v>
      </c>
      <c r="G1350" s="1">
        <v>46008</v>
      </c>
      <c r="H1350" s="1">
        <v>45991</v>
      </c>
      <c r="I1350" t="s">
        <v>2675</v>
      </c>
      <c r="J1350" t="s">
        <v>2674</v>
      </c>
      <c r="K1350" t="s">
        <v>57</v>
      </c>
      <c r="L1350">
        <v>19120.79</v>
      </c>
      <c r="M1350" t="s">
        <v>26</v>
      </c>
      <c r="N1350">
        <v>449</v>
      </c>
      <c r="O1350" t="s">
        <v>77</v>
      </c>
    </row>
    <row r="1351" spans="1:15" x14ac:dyDescent="0.3">
      <c r="A1351" t="s">
        <v>2673</v>
      </c>
      <c r="B1351" t="s">
        <v>2672</v>
      </c>
      <c r="C1351" t="s">
        <v>123</v>
      </c>
      <c r="D1351">
        <v>75</v>
      </c>
      <c r="E1351" t="s">
        <v>54</v>
      </c>
      <c r="F1351" t="s">
        <v>90</v>
      </c>
      <c r="G1351" s="1">
        <v>46065</v>
      </c>
      <c r="H1351" s="1">
        <v>46052</v>
      </c>
      <c r="I1351" t="s">
        <v>2671</v>
      </c>
      <c r="J1351" t="s">
        <v>2670</v>
      </c>
      <c r="K1351" t="s">
        <v>17</v>
      </c>
      <c r="L1351">
        <v>15983.14</v>
      </c>
      <c r="M1351" t="s">
        <v>57</v>
      </c>
      <c r="N1351">
        <v>170</v>
      </c>
      <c r="O1351" t="s">
        <v>34</v>
      </c>
    </row>
    <row r="1352" spans="1:15" x14ac:dyDescent="0.3">
      <c r="A1352" t="s">
        <v>2669</v>
      </c>
      <c r="B1352" t="s">
        <v>2668</v>
      </c>
      <c r="C1352" t="s">
        <v>74</v>
      </c>
      <c r="D1352">
        <v>77</v>
      </c>
      <c r="E1352" t="s">
        <v>54</v>
      </c>
      <c r="F1352" t="s">
        <v>46</v>
      </c>
      <c r="G1352" s="1">
        <v>46012</v>
      </c>
      <c r="H1352" s="1">
        <v>46002</v>
      </c>
      <c r="I1352" t="s">
        <v>2667</v>
      </c>
      <c r="J1352" t="s">
        <v>2666</v>
      </c>
      <c r="K1352" t="s">
        <v>17</v>
      </c>
      <c r="L1352">
        <v>4328.18</v>
      </c>
      <c r="N1352">
        <v>450</v>
      </c>
      <c r="O1352" t="s">
        <v>77</v>
      </c>
    </row>
    <row r="1353" spans="1:15" x14ac:dyDescent="0.3">
      <c r="A1353" t="s">
        <v>2665</v>
      </c>
      <c r="B1353" t="s">
        <v>2664</v>
      </c>
      <c r="C1353" t="s">
        <v>60</v>
      </c>
      <c r="D1353">
        <v>3</v>
      </c>
      <c r="E1353" t="s">
        <v>54</v>
      </c>
      <c r="F1353" t="s">
        <v>38</v>
      </c>
      <c r="G1353" s="1">
        <v>46131</v>
      </c>
      <c r="H1353" s="1">
        <v>46104</v>
      </c>
      <c r="I1353" t="s">
        <v>2663</v>
      </c>
      <c r="J1353" t="s">
        <v>2662</v>
      </c>
      <c r="K1353" t="s">
        <v>35</v>
      </c>
      <c r="L1353">
        <v>11552.67</v>
      </c>
      <c r="M1353" t="s">
        <v>57</v>
      </c>
      <c r="N1353">
        <v>189</v>
      </c>
      <c r="O1353" t="s">
        <v>16</v>
      </c>
    </row>
    <row r="1354" spans="1:15" x14ac:dyDescent="0.3">
      <c r="A1354" t="s">
        <v>2661</v>
      </c>
      <c r="B1354" t="s">
        <v>2660</v>
      </c>
      <c r="C1354" t="s">
        <v>1</v>
      </c>
      <c r="D1354">
        <v>42</v>
      </c>
      <c r="E1354" t="s">
        <v>39</v>
      </c>
      <c r="F1354" t="s">
        <v>30</v>
      </c>
      <c r="G1354" s="1">
        <v>46077</v>
      </c>
      <c r="H1354" s="1">
        <v>46075</v>
      </c>
      <c r="I1354" t="s">
        <v>2659</v>
      </c>
      <c r="J1354" t="s">
        <v>2658</v>
      </c>
      <c r="K1354" t="s">
        <v>27</v>
      </c>
      <c r="L1354">
        <v>5333.78</v>
      </c>
      <c r="N1354">
        <v>335</v>
      </c>
      <c r="O1354" t="s">
        <v>71</v>
      </c>
    </row>
    <row r="1355" spans="1:15" x14ac:dyDescent="0.3">
      <c r="A1355" t="s">
        <v>2657</v>
      </c>
      <c r="B1355" t="s">
        <v>2656</v>
      </c>
      <c r="D1355">
        <v>31</v>
      </c>
      <c r="E1355" t="s">
        <v>39</v>
      </c>
      <c r="F1355" t="s">
        <v>85</v>
      </c>
      <c r="G1355" s="1">
        <v>46030</v>
      </c>
      <c r="H1355" s="1">
        <v>46014</v>
      </c>
      <c r="I1355" t="s">
        <v>2655</v>
      </c>
      <c r="J1355" t="s">
        <v>2654</v>
      </c>
      <c r="K1355" t="s">
        <v>64</v>
      </c>
      <c r="L1355">
        <v>20131.439999999999</v>
      </c>
      <c r="M1355" t="s">
        <v>17</v>
      </c>
      <c r="N1355">
        <v>546</v>
      </c>
      <c r="O1355" t="s">
        <v>71</v>
      </c>
    </row>
    <row r="1356" spans="1:15" x14ac:dyDescent="0.3">
      <c r="A1356" t="s">
        <v>2653</v>
      </c>
      <c r="B1356" t="s">
        <v>2652</v>
      </c>
      <c r="C1356" t="s">
        <v>1</v>
      </c>
      <c r="D1356">
        <v>60</v>
      </c>
      <c r="E1356" t="s">
        <v>80</v>
      </c>
      <c r="F1356" t="s">
        <v>46</v>
      </c>
      <c r="G1356" s="1">
        <v>46138</v>
      </c>
      <c r="H1356" s="1">
        <v>46115</v>
      </c>
      <c r="I1356" t="s">
        <v>2651</v>
      </c>
      <c r="J1356" t="s">
        <v>2650</v>
      </c>
      <c r="K1356" t="s">
        <v>27</v>
      </c>
      <c r="L1356">
        <v>17114.189999999999</v>
      </c>
      <c r="N1356">
        <v>543</v>
      </c>
      <c r="O1356" t="s">
        <v>34</v>
      </c>
    </row>
    <row r="1357" spans="1:15" x14ac:dyDescent="0.3">
      <c r="A1357" t="s">
        <v>2649</v>
      </c>
      <c r="B1357" t="s">
        <v>2648</v>
      </c>
      <c r="D1357">
        <v>50</v>
      </c>
      <c r="E1357" t="s">
        <v>80</v>
      </c>
      <c r="F1357" t="s">
        <v>90</v>
      </c>
      <c r="G1357" s="1">
        <v>46100</v>
      </c>
      <c r="H1357" s="1">
        <v>46070</v>
      </c>
      <c r="I1357" t="s">
        <v>2647</v>
      </c>
      <c r="J1357" t="s">
        <v>2646</v>
      </c>
      <c r="K1357" t="s">
        <v>26</v>
      </c>
      <c r="L1357">
        <v>22107.25</v>
      </c>
      <c r="M1357" t="s">
        <v>64</v>
      </c>
      <c r="N1357">
        <v>466</v>
      </c>
      <c r="O1357" t="s">
        <v>50</v>
      </c>
    </row>
    <row r="1358" spans="1:15" x14ac:dyDescent="0.3">
      <c r="A1358" t="s">
        <v>2645</v>
      </c>
      <c r="B1358" t="s">
        <v>2644</v>
      </c>
      <c r="C1358" t="s">
        <v>40</v>
      </c>
      <c r="D1358">
        <v>57</v>
      </c>
      <c r="E1358" t="s">
        <v>68</v>
      </c>
      <c r="F1358" t="s">
        <v>46</v>
      </c>
      <c r="G1358" s="1">
        <v>46116</v>
      </c>
      <c r="H1358" s="1">
        <v>46107</v>
      </c>
      <c r="I1358" t="s">
        <v>2643</v>
      </c>
      <c r="J1358" t="s">
        <v>2642</v>
      </c>
      <c r="L1358">
        <v>20742.03</v>
      </c>
      <c r="M1358" t="s">
        <v>27</v>
      </c>
      <c r="N1358">
        <v>286</v>
      </c>
      <c r="O1358" t="s">
        <v>16</v>
      </c>
    </row>
    <row r="1359" spans="1:15" x14ac:dyDescent="0.3">
      <c r="A1359" t="s">
        <v>2641</v>
      </c>
      <c r="B1359" t="s">
        <v>2640</v>
      </c>
      <c r="D1359">
        <v>55</v>
      </c>
      <c r="E1359" t="s">
        <v>80</v>
      </c>
      <c r="F1359" t="s">
        <v>20</v>
      </c>
      <c r="G1359" s="1">
        <v>46099</v>
      </c>
      <c r="H1359" s="1">
        <v>46095</v>
      </c>
      <c r="I1359" t="s">
        <v>2639</v>
      </c>
      <c r="J1359" t="s">
        <v>2638</v>
      </c>
      <c r="K1359" t="s">
        <v>26</v>
      </c>
      <c r="L1359">
        <v>18996.919999999998</v>
      </c>
      <c r="M1359" t="s">
        <v>64</v>
      </c>
      <c r="N1359">
        <v>469</v>
      </c>
      <c r="O1359" t="s">
        <v>71</v>
      </c>
    </row>
    <row r="1360" spans="1:15" x14ac:dyDescent="0.3">
      <c r="A1360" t="s">
        <v>2637</v>
      </c>
      <c r="B1360" t="s">
        <v>2636</v>
      </c>
      <c r="C1360" t="s">
        <v>60</v>
      </c>
      <c r="D1360">
        <v>53</v>
      </c>
      <c r="E1360" t="s">
        <v>31</v>
      </c>
      <c r="F1360" t="s">
        <v>53</v>
      </c>
      <c r="G1360" s="1">
        <v>46146</v>
      </c>
      <c r="H1360" s="1">
        <v>46117</v>
      </c>
      <c r="I1360" t="s">
        <v>2635</v>
      </c>
      <c r="J1360" t="s">
        <v>2634</v>
      </c>
      <c r="K1360" t="s">
        <v>17</v>
      </c>
      <c r="L1360">
        <v>19929.72</v>
      </c>
      <c r="M1360" t="s">
        <v>57</v>
      </c>
      <c r="N1360">
        <v>235</v>
      </c>
      <c r="O1360" t="s">
        <v>77</v>
      </c>
    </row>
    <row r="1361" spans="1:15" x14ac:dyDescent="0.3">
      <c r="A1361" t="s">
        <v>2633</v>
      </c>
      <c r="B1361" t="s">
        <v>2632</v>
      </c>
      <c r="C1361" t="s">
        <v>60</v>
      </c>
      <c r="D1361">
        <v>83</v>
      </c>
      <c r="E1361" t="s">
        <v>80</v>
      </c>
      <c r="F1361" t="s">
        <v>85</v>
      </c>
      <c r="G1361" s="1">
        <v>46166</v>
      </c>
      <c r="H1361" s="1">
        <v>46138</v>
      </c>
      <c r="I1361" t="s">
        <v>2631</v>
      </c>
      <c r="J1361" t="s">
        <v>2630</v>
      </c>
      <c r="L1361">
        <v>18862.060000000001</v>
      </c>
      <c r="M1361" t="s">
        <v>63</v>
      </c>
      <c r="N1361">
        <v>275</v>
      </c>
      <c r="O1361" t="s">
        <v>43</v>
      </c>
    </row>
    <row r="1362" spans="1:15" x14ac:dyDescent="0.3">
      <c r="A1362" t="s">
        <v>2629</v>
      </c>
      <c r="B1362" t="s">
        <v>2628</v>
      </c>
      <c r="D1362">
        <v>43</v>
      </c>
      <c r="E1362" t="s">
        <v>68</v>
      </c>
      <c r="F1362" t="s">
        <v>30</v>
      </c>
      <c r="G1362" s="1">
        <v>46154</v>
      </c>
      <c r="H1362" s="1">
        <v>46136</v>
      </c>
      <c r="I1362" t="s">
        <v>2627</v>
      </c>
      <c r="J1362" t="s">
        <v>2626</v>
      </c>
      <c r="K1362" t="s">
        <v>26</v>
      </c>
      <c r="L1362">
        <v>14941.82</v>
      </c>
      <c r="M1362" t="s">
        <v>26</v>
      </c>
      <c r="N1362">
        <v>175</v>
      </c>
      <c r="O1362" t="s">
        <v>34</v>
      </c>
    </row>
    <row r="1363" spans="1:15" x14ac:dyDescent="0.3">
      <c r="A1363" t="s">
        <v>2625</v>
      </c>
      <c r="B1363" t="s">
        <v>2624</v>
      </c>
      <c r="C1363" t="s">
        <v>22</v>
      </c>
      <c r="D1363">
        <v>4</v>
      </c>
      <c r="E1363" t="s">
        <v>21</v>
      </c>
      <c r="F1363" t="s">
        <v>67</v>
      </c>
      <c r="G1363" s="1">
        <v>46139</v>
      </c>
      <c r="H1363" s="1">
        <v>46121</v>
      </c>
      <c r="I1363" t="s">
        <v>2623</v>
      </c>
      <c r="J1363" t="s">
        <v>2622</v>
      </c>
      <c r="K1363" t="s">
        <v>57</v>
      </c>
      <c r="L1363">
        <v>17902.32</v>
      </c>
      <c r="M1363" t="s">
        <v>63</v>
      </c>
      <c r="N1363">
        <v>466</v>
      </c>
      <c r="O1363" t="s">
        <v>71</v>
      </c>
    </row>
    <row r="1364" spans="1:15" x14ac:dyDescent="0.3">
      <c r="A1364" t="s">
        <v>2621</v>
      </c>
      <c r="B1364" t="s">
        <v>2620</v>
      </c>
      <c r="C1364" t="s">
        <v>22</v>
      </c>
      <c r="D1364">
        <v>61</v>
      </c>
      <c r="E1364" t="s">
        <v>68</v>
      </c>
      <c r="F1364" t="s">
        <v>30</v>
      </c>
      <c r="G1364" s="1">
        <v>46070</v>
      </c>
      <c r="H1364" s="1">
        <v>46066</v>
      </c>
      <c r="I1364" t="s">
        <v>2619</v>
      </c>
      <c r="J1364" t="s">
        <v>2618</v>
      </c>
      <c r="K1364" t="s">
        <v>35</v>
      </c>
      <c r="L1364">
        <v>3833.85</v>
      </c>
      <c r="M1364" t="s">
        <v>63</v>
      </c>
      <c r="N1364">
        <v>539</v>
      </c>
      <c r="O1364" t="s">
        <v>16</v>
      </c>
    </row>
    <row r="1365" spans="1:15" x14ac:dyDescent="0.3">
      <c r="A1365" t="s">
        <v>2617</v>
      </c>
      <c r="B1365" t="s">
        <v>2616</v>
      </c>
      <c r="C1365" t="s">
        <v>22</v>
      </c>
      <c r="D1365">
        <v>82</v>
      </c>
      <c r="E1365" t="s">
        <v>21</v>
      </c>
      <c r="F1365" t="s">
        <v>46</v>
      </c>
      <c r="G1365" s="1">
        <v>46018</v>
      </c>
      <c r="H1365" s="1">
        <v>45991</v>
      </c>
      <c r="I1365" t="s">
        <v>2615</v>
      </c>
      <c r="J1365" t="s">
        <v>2614</v>
      </c>
      <c r="K1365" t="s">
        <v>17</v>
      </c>
      <c r="L1365">
        <v>14664.11</v>
      </c>
      <c r="M1365" t="s">
        <v>26</v>
      </c>
      <c r="N1365">
        <v>399</v>
      </c>
      <c r="O1365" t="s">
        <v>77</v>
      </c>
    </row>
    <row r="1366" spans="1:15" x14ac:dyDescent="0.3">
      <c r="A1366" t="s">
        <v>2613</v>
      </c>
      <c r="B1366" t="s">
        <v>2612</v>
      </c>
      <c r="C1366" t="s">
        <v>22</v>
      </c>
      <c r="D1366">
        <v>47</v>
      </c>
      <c r="E1366" t="s">
        <v>54</v>
      </c>
      <c r="F1366" t="s">
        <v>85</v>
      </c>
      <c r="G1366" s="1">
        <v>46013</v>
      </c>
      <c r="H1366" s="1">
        <v>45994</v>
      </c>
      <c r="I1366" t="s">
        <v>2611</v>
      </c>
      <c r="J1366" t="s">
        <v>2610</v>
      </c>
      <c r="K1366" t="s">
        <v>35</v>
      </c>
      <c r="L1366">
        <v>24315.599999999999</v>
      </c>
      <c r="M1366" t="s">
        <v>26</v>
      </c>
      <c r="N1366">
        <v>400</v>
      </c>
      <c r="O1366" t="s">
        <v>50</v>
      </c>
    </row>
    <row r="1367" spans="1:15" x14ac:dyDescent="0.3">
      <c r="A1367" t="s">
        <v>2609</v>
      </c>
      <c r="B1367" t="s">
        <v>2608</v>
      </c>
      <c r="C1367" t="s">
        <v>60</v>
      </c>
      <c r="D1367">
        <v>67</v>
      </c>
      <c r="E1367" t="s">
        <v>31</v>
      </c>
      <c r="F1367" t="s">
        <v>90</v>
      </c>
      <c r="G1367" s="1">
        <v>46095</v>
      </c>
      <c r="H1367" s="1">
        <v>46068</v>
      </c>
      <c r="I1367" t="s">
        <v>2607</v>
      </c>
      <c r="J1367" t="s">
        <v>2606</v>
      </c>
      <c r="L1367">
        <v>16279.74</v>
      </c>
      <c r="N1367">
        <v>189</v>
      </c>
      <c r="O1367" t="s">
        <v>16</v>
      </c>
    </row>
    <row r="1368" spans="1:15" x14ac:dyDescent="0.3">
      <c r="A1368" t="s">
        <v>2605</v>
      </c>
      <c r="B1368" t="s">
        <v>2604</v>
      </c>
      <c r="C1368" t="s">
        <v>123</v>
      </c>
      <c r="D1368">
        <v>2</v>
      </c>
      <c r="E1368" t="s">
        <v>80</v>
      </c>
      <c r="F1368" t="s">
        <v>67</v>
      </c>
      <c r="G1368" s="1">
        <v>45992</v>
      </c>
      <c r="H1368" s="1">
        <v>45985</v>
      </c>
      <c r="I1368" t="s">
        <v>2603</v>
      </c>
      <c r="J1368" t="s">
        <v>2602</v>
      </c>
      <c r="K1368" t="s">
        <v>26</v>
      </c>
      <c r="L1368">
        <v>5319.45</v>
      </c>
      <c r="M1368" t="s">
        <v>26</v>
      </c>
      <c r="N1368">
        <v>242</v>
      </c>
      <c r="O1368" t="s">
        <v>34</v>
      </c>
    </row>
    <row r="1369" spans="1:15" x14ac:dyDescent="0.3">
      <c r="A1369" t="s">
        <v>2601</v>
      </c>
      <c r="B1369" t="s">
        <v>2600</v>
      </c>
      <c r="C1369" t="s">
        <v>74</v>
      </c>
      <c r="D1369">
        <v>84</v>
      </c>
      <c r="E1369" t="s">
        <v>21</v>
      </c>
      <c r="F1369" t="s">
        <v>67</v>
      </c>
      <c r="G1369" s="1">
        <v>46089</v>
      </c>
      <c r="H1369" s="1">
        <v>46074</v>
      </c>
      <c r="I1369" t="s">
        <v>2599</v>
      </c>
      <c r="J1369" t="s">
        <v>2598</v>
      </c>
      <c r="L1369">
        <v>14321.32</v>
      </c>
      <c r="M1369" t="s">
        <v>27</v>
      </c>
      <c r="N1369">
        <v>530</v>
      </c>
      <c r="O1369" t="s">
        <v>25</v>
      </c>
    </row>
    <row r="1370" spans="1:15" x14ac:dyDescent="0.3">
      <c r="A1370" t="s">
        <v>572</v>
      </c>
      <c r="B1370" t="s">
        <v>2597</v>
      </c>
      <c r="C1370" t="s">
        <v>1</v>
      </c>
      <c r="D1370">
        <v>26</v>
      </c>
      <c r="E1370" t="s">
        <v>31</v>
      </c>
      <c r="F1370" t="s">
        <v>46</v>
      </c>
      <c r="G1370" s="1">
        <v>46114</v>
      </c>
      <c r="H1370" s="1">
        <v>46102</v>
      </c>
      <c r="I1370" t="s">
        <v>2596</v>
      </c>
      <c r="K1370" t="s">
        <v>64</v>
      </c>
      <c r="L1370">
        <v>23810.3</v>
      </c>
      <c r="M1370" t="s">
        <v>64</v>
      </c>
      <c r="N1370">
        <v>238</v>
      </c>
      <c r="O1370" t="s">
        <v>34</v>
      </c>
    </row>
    <row r="1371" spans="1:15" x14ac:dyDescent="0.3">
      <c r="A1371" t="s">
        <v>2595</v>
      </c>
      <c r="B1371" t="s">
        <v>2594</v>
      </c>
      <c r="C1371" t="s">
        <v>74</v>
      </c>
      <c r="D1371">
        <v>8</v>
      </c>
      <c r="E1371" t="s">
        <v>68</v>
      </c>
      <c r="F1371" t="s">
        <v>38</v>
      </c>
      <c r="G1371" s="1">
        <v>46047</v>
      </c>
      <c r="H1371" s="1">
        <v>46040</v>
      </c>
      <c r="I1371" t="s">
        <v>2593</v>
      </c>
      <c r="J1371" t="s">
        <v>2592</v>
      </c>
      <c r="K1371" t="s">
        <v>26</v>
      </c>
      <c r="L1371">
        <v>19972.29</v>
      </c>
      <c r="M1371" t="s">
        <v>26</v>
      </c>
      <c r="N1371">
        <v>453</v>
      </c>
      <c r="O1371" t="s">
        <v>25</v>
      </c>
    </row>
    <row r="1372" spans="1:15" x14ac:dyDescent="0.3">
      <c r="A1372" t="s">
        <v>2591</v>
      </c>
      <c r="B1372" t="s">
        <v>2590</v>
      </c>
      <c r="C1372" t="s">
        <v>1</v>
      </c>
      <c r="D1372">
        <v>30</v>
      </c>
      <c r="E1372" t="s">
        <v>68</v>
      </c>
      <c r="F1372" t="s">
        <v>53</v>
      </c>
      <c r="G1372" s="1">
        <v>45988</v>
      </c>
      <c r="H1372" s="1">
        <v>45987</v>
      </c>
      <c r="I1372" t="s">
        <v>2589</v>
      </c>
      <c r="J1372" t="s">
        <v>2588</v>
      </c>
      <c r="K1372" t="s">
        <v>26</v>
      </c>
      <c r="L1372">
        <v>13889</v>
      </c>
      <c r="M1372" t="s">
        <v>64</v>
      </c>
      <c r="N1372">
        <v>480</v>
      </c>
      <c r="O1372" t="s">
        <v>71</v>
      </c>
    </row>
    <row r="1373" spans="1:15" x14ac:dyDescent="0.3">
      <c r="A1373" t="s">
        <v>2587</v>
      </c>
      <c r="B1373" t="s">
        <v>2586</v>
      </c>
      <c r="C1373" t="s">
        <v>74</v>
      </c>
      <c r="D1373">
        <v>17</v>
      </c>
      <c r="E1373" t="s">
        <v>132</v>
      </c>
      <c r="F1373" t="s">
        <v>46</v>
      </c>
      <c r="G1373" s="1">
        <v>46014</v>
      </c>
      <c r="H1373" s="1">
        <v>46008</v>
      </c>
      <c r="I1373" t="s">
        <v>2585</v>
      </c>
      <c r="J1373" t="s">
        <v>2584</v>
      </c>
      <c r="K1373" t="s">
        <v>17</v>
      </c>
      <c r="L1373">
        <v>6249.73</v>
      </c>
      <c r="N1373">
        <v>337</v>
      </c>
      <c r="O1373" t="s">
        <v>77</v>
      </c>
    </row>
    <row r="1374" spans="1:15" x14ac:dyDescent="0.3">
      <c r="A1374" t="s">
        <v>2583</v>
      </c>
      <c r="B1374" t="s">
        <v>2582</v>
      </c>
      <c r="C1374" t="s">
        <v>40</v>
      </c>
      <c r="D1374">
        <v>41</v>
      </c>
      <c r="E1374" t="s">
        <v>80</v>
      </c>
      <c r="F1374" t="s">
        <v>38</v>
      </c>
      <c r="G1374" s="1">
        <v>45994</v>
      </c>
      <c r="H1374" s="1">
        <v>45979</v>
      </c>
      <c r="I1374" t="s">
        <v>2581</v>
      </c>
      <c r="J1374" t="s">
        <v>2580</v>
      </c>
      <c r="K1374" t="s">
        <v>64</v>
      </c>
      <c r="L1374">
        <v>11159.07</v>
      </c>
      <c r="N1374">
        <v>201</v>
      </c>
      <c r="O1374" t="s">
        <v>77</v>
      </c>
    </row>
    <row r="1375" spans="1:15" x14ac:dyDescent="0.3">
      <c r="A1375" t="s">
        <v>2579</v>
      </c>
      <c r="B1375" t="s">
        <v>2578</v>
      </c>
      <c r="C1375" t="s">
        <v>1</v>
      </c>
      <c r="D1375">
        <v>77</v>
      </c>
      <c r="E1375" t="s">
        <v>68</v>
      </c>
      <c r="F1375" t="s">
        <v>30</v>
      </c>
      <c r="G1375" s="1">
        <v>45994</v>
      </c>
      <c r="H1375" s="1">
        <v>45976</v>
      </c>
      <c r="I1375" t="s">
        <v>2577</v>
      </c>
      <c r="J1375" t="s">
        <v>2576</v>
      </c>
      <c r="K1375" t="s">
        <v>27</v>
      </c>
      <c r="L1375">
        <v>14626.5</v>
      </c>
      <c r="M1375" t="s">
        <v>64</v>
      </c>
      <c r="N1375">
        <v>468</v>
      </c>
      <c r="O1375" t="s">
        <v>16</v>
      </c>
    </row>
    <row r="1376" spans="1:15" x14ac:dyDescent="0.3">
      <c r="A1376" t="s">
        <v>2575</v>
      </c>
      <c r="B1376" t="s">
        <v>2574</v>
      </c>
      <c r="C1376" t="s">
        <v>1</v>
      </c>
      <c r="D1376">
        <v>76</v>
      </c>
      <c r="E1376" t="s">
        <v>68</v>
      </c>
      <c r="F1376" t="s">
        <v>46</v>
      </c>
      <c r="G1376" s="1">
        <v>46005</v>
      </c>
      <c r="H1376" s="1">
        <v>45997</v>
      </c>
      <c r="I1376" t="s">
        <v>2573</v>
      </c>
      <c r="J1376" t="s">
        <v>2572</v>
      </c>
      <c r="L1376">
        <v>15113.58</v>
      </c>
      <c r="N1376">
        <v>423</v>
      </c>
      <c r="O1376" t="s">
        <v>71</v>
      </c>
    </row>
    <row r="1377" spans="1:15" x14ac:dyDescent="0.3">
      <c r="A1377" t="s">
        <v>2571</v>
      </c>
      <c r="B1377" t="s">
        <v>2570</v>
      </c>
      <c r="C1377" t="s">
        <v>60</v>
      </c>
      <c r="D1377">
        <v>65</v>
      </c>
      <c r="E1377" t="s">
        <v>68</v>
      </c>
      <c r="F1377" t="s">
        <v>30</v>
      </c>
      <c r="G1377" s="1">
        <v>46032</v>
      </c>
      <c r="H1377" s="1">
        <v>46002</v>
      </c>
      <c r="I1377" t="s">
        <v>2569</v>
      </c>
      <c r="J1377" t="s">
        <v>2568</v>
      </c>
      <c r="K1377" t="s">
        <v>26</v>
      </c>
      <c r="L1377">
        <v>6752.16</v>
      </c>
      <c r="M1377" t="s">
        <v>57</v>
      </c>
      <c r="N1377">
        <v>274</v>
      </c>
      <c r="O1377" t="s">
        <v>43</v>
      </c>
    </row>
    <row r="1378" spans="1:15" x14ac:dyDescent="0.3">
      <c r="A1378" t="s">
        <v>2567</v>
      </c>
      <c r="B1378" t="s">
        <v>2566</v>
      </c>
      <c r="C1378" t="s">
        <v>22</v>
      </c>
      <c r="D1378">
        <v>81</v>
      </c>
      <c r="E1378" t="s">
        <v>68</v>
      </c>
      <c r="F1378" t="s">
        <v>20</v>
      </c>
      <c r="G1378" s="1">
        <v>46073</v>
      </c>
      <c r="H1378" s="1">
        <v>46049</v>
      </c>
      <c r="I1378" t="s">
        <v>2565</v>
      </c>
      <c r="J1378" t="s">
        <v>2564</v>
      </c>
      <c r="K1378" t="s">
        <v>35</v>
      </c>
      <c r="L1378">
        <v>12291.99</v>
      </c>
      <c r="M1378" t="s">
        <v>17</v>
      </c>
      <c r="N1378">
        <v>360</v>
      </c>
      <c r="O1378" t="s">
        <v>16</v>
      </c>
    </row>
    <row r="1379" spans="1:15" x14ac:dyDescent="0.3">
      <c r="A1379" t="s">
        <v>2563</v>
      </c>
      <c r="B1379" t="s">
        <v>2562</v>
      </c>
      <c r="D1379">
        <v>21</v>
      </c>
      <c r="E1379" t="s">
        <v>39</v>
      </c>
      <c r="F1379" t="s">
        <v>20</v>
      </c>
      <c r="G1379" s="1">
        <v>46004</v>
      </c>
      <c r="H1379" s="1">
        <v>45980</v>
      </c>
      <c r="I1379" t="s">
        <v>2561</v>
      </c>
      <c r="J1379" t="s">
        <v>2560</v>
      </c>
      <c r="L1379">
        <v>16889.810000000001</v>
      </c>
      <c r="M1379" t="s">
        <v>64</v>
      </c>
      <c r="N1379">
        <v>541</v>
      </c>
      <c r="O1379" t="s">
        <v>16</v>
      </c>
    </row>
    <row r="1380" spans="1:15" x14ac:dyDescent="0.3">
      <c r="A1380" t="s">
        <v>2559</v>
      </c>
      <c r="B1380" t="s">
        <v>2558</v>
      </c>
      <c r="C1380" t="s">
        <v>60</v>
      </c>
      <c r="D1380">
        <v>82</v>
      </c>
      <c r="E1380" t="s">
        <v>39</v>
      </c>
      <c r="F1380" t="s">
        <v>38</v>
      </c>
      <c r="G1380" s="1">
        <v>46013</v>
      </c>
      <c r="H1380" s="1">
        <v>45989</v>
      </c>
      <c r="I1380" t="s">
        <v>2557</v>
      </c>
      <c r="J1380" t="s">
        <v>2556</v>
      </c>
      <c r="K1380" t="s">
        <v>64</v>
      </c>
      <c r="L1380">
        <v>19118.75</v>
      </c>
      <c r="M1380" t="s">
        <v>57</v>
      </c>
      <c r="N1380">
        <v>257</v>
      </c>
      <c r="O1380" t="s">
        <v>34</v>
      </c>
    </row>
    <row r="1381" spans="1:15" x14ac:dyDescent="0.3">
      <c r="A1381" t="s">
        <v>2555</v>
      </c>
      <c r="B1381" t="s">
        <v>2554</v>
      </c>
      <c r="C1381" t="s">
        <v>22</v>
      </c>
      <c r="D1381">
        <v>41</v>
      </c>
      <c r="E1381" t="s">
        <v>68</v>
      </c>
      <c r="F1381" t="s">
        <v>20</v>
      </c>
      <c r="G1381" s="1">
        <v>46138</v>
      </c>
      <c r="H1381" s="1">
        <v>46117</v>
      </c>
      <c r="I1381" t="s">
        <v>2553</v>
      </c>
      <c r="J1381" t="s">
        <v>2552</v>
      </c>
      <c r="K1381" t="s">
        <v>26</v>
      </c>
      <c r="L1381">
        <v>23203.279999999999</v>
      </c>
      <c r="M1381" t="s">
        <v>57</v>
      </c>
      <c r="N1381">
        <v>392</v>
      </c>
      <c r="O1381" t="s">
        <v>25</v>
      </c>
    </row>
    <row r="1382" spans="1:15" x14ac:dyDescent="0.3">
      <c r="A1382" t="s">
        <v>2551</v>
      </c>
      <c r="B1382" t="s">
        <v>2550</v>
      </c>
      <c r="C1382" t="s">
        <v>0</v>
      </c>
      <c r="D1382">
        <v>42</v>
      </c>
      <c r="E1382" t="s">
        <v>39</v>
      </c>
      <c r="F1382" t="s">
        <v>38</v>
      </c>
      <c r="G1382" s="1">
        <v>46144</v>
      </c>
      <c r="H1382" s="1">
        <v>46120</v>
      </c>
      <c r="I1382" t="s">
        <v>2549</v>
      </c>
      <c r="J1382" t="s">
        <v>2548</v>
      </c>
      <c r="L1382">
        <v>19688.12</v>
      </c>
      <c r="M1382" t="s">
        <v>26</v>
      </c>
      <c r="N1382">
        <v>412</v>
      </c>
      <c r="O1382" t="s">
        <v>25</v>
      </c>
    </row>
    <row r="1383" spans="1:15" x14ac:dyDescent="0.3">
      <c r="A1383" t="s">
        <v>2547</v>
      </c>
      <c r="B1383" t="s">
        <v>2546</v>
      </c>
      <c r="C1383" t="s">
        <v>0</v>
      </c>
      <c r="D1383">
        <v>42</v>
      </c>
      <c r="E1383" t="s">
        <v>68</v>
      </c>
      <c r="F1383" t="s">
        <v>90</v>
      </c>
      <c r="G1383" s="1">
        <v>46029</v>
      </c>
      <c r="H1383" s="1">
        <v>46005</v>
      </c>
      <c r="I1383" t="s">
        <v>2545</v>
      </c>
      <c r="J1383" t="s">
        <v>2544</v>
      </c>
      <c r="K1383" t="s">
        <v>26</v>
      </c>
      <c r="L1383">
        <v>5872.35</v>
      </c>
      <c r="M1383" t="s">
        <v>63</v>
      </c>
      <c r="N1383">
        <v>341</v>
      </c>
      <c r="O1383" t="s">
        <v>50</v>
      </c>
    </row>
    <row r="1384" spans="1:15" x14ac:dyDescent="0.3">
      <c r="A1384" t="s">
        <v>2543</v>
      </c>
      <c r="B1384" t="s">
        <v>2542</v>
      </c>
      <c r="C1384" t="s">
        <v>22</v>
      </c>
      <c r="D1384">
        <v>48</v>
      </c>
      <c r="E1384" t="s">
        <v>39</v>
      </c>
      <c r="F1384" t="s">
        <v>30</v>
      </c>
      <c r="G1384" s="1">
        <v>46087</v>
      </c>
      <c r="H1384" s="1">
        <v>46077</v>
      </c>
      <c r="I1384" t="s">
        <v>2541</v>
      </c>
      <c r="J1384" t="s">
        <v>2540</v>
      </c>
      <c r="K1384" t="s">
        <v>57</v>
      </c>
      <c r="L1384">
        <v>20764.939999999999</v>
      </c>
      <c r="M1384" t="s">
        <v>17</v>
      </c>
      <c r="N1384">
        <v>330</v>
      </c>
      <c r="O1384" t="s">
        <v>43</v>
      </c>
    </row>
    <row r="1385" spans="1:15" x14ac:dyDescent="0.3">
      <c r="A1385" t="s">
        <v>2539</v>
      </c>
      <c r="B1385" t="s">
        <v>2538</v>
      </c>
      <c r="C1385" t="s">
        <v>123</v>
      </c>
      <c r="D1385">
        <v>73</v>
      </c>
      <c r="E1385" t="s">
        <v>54</v>
      </c>
      <c r="F1385" t="s">
        <v>90</v>
      </c>
      <c r="G1385" s="1">
        <v>46061</v>
      </c>
      <c r="H1385" s="1">
        <v>46061</v>
      </c>
      <c r="I1385" t="s">
        <v>2537</v>
      </c>
      <c r="J1385" t="s">
        <v>2536</v>
      </c>
      <c r="L1385">
        <v>1571.62</v>
      </c>
      <c r="N1385">
        <v>281</v>
      </c>
      <c r="O1385" t="s">
        <v>25</v>
      </c>
    </row>
    <row r="1386" spans="1:15" x14ac:dyDescent="0.3">
      <c r="A1386" t="s">
        <v>2535</v>
      </c>
      <c r="B1386" t="s">
        <v>2534</v>
      </c>
      <c r="C1386" t="s">
        <v>0</v>
      </c>
      <c r="D1386">
        <v>59</v>
      </c>
      <c r="E1386" t="s">
        <v>132</v>
      </c>
      <c r="F1386" t="s">
        <v>46</v>
      </c>
      <c r="G1386" s="1">
        <v>46155</v>
      </c>
      <c r="H1386" s="1">
        <v>46129</v>
      </c>
      <c r="I1386" t="s">
        <v>2533</v>
      </c>
      <c r="J1386" t="s">
        <v>2532</v>
      </c>
      <c r="K1386" t="s">
        <v>17</v>
      </c>
      <c r="L1386">
        <v>5373.5</v>
      </c>
      <c r="M1386" t="s">
        <v>63</v>
      </c>
      <c r="N1386">
        <v>250</v>
      </c>
      <c r="O1386" t="s">
        <v>50</v>
      </c>
    </row>
    <row r="1387" spans="1:15" x14ac:dyDescent="0.3">
      <c r="A1387" t="s">
        <v>2531</v>
      </c>
      <c r="B1387" t="s">
        <v>2530</v>
      </c>
      <c r="C1387" t="s">
        <v>60</v>
      </c>
      <c r="D1387">
        <v>4</v>
      </c>
      <c r="E1387" t="s">
        <v>31</v>
      </c>
      <c r="F1387" t="s">
        <v>90</v>
      </c>
      <c r="G1387" s="1">
        <v>46026</v>
      </c>
      <c r="H1387" s="1">
        <v>46001</v>
      </c>
      <c r="I1387" t="s">
        <v>2529</v>
      </c>
      <c r="J1387" t="s">
        <v>2528</v>
      </c>
      <c r="L1387">
        <v>8276.99</v>
      </c>
      <c r="M1387" t="s">
        <v>57</v>
      </c>
      <c r="N1387">
        <v>508</v>
      </c>
      <c r="O1387" t="s">
        <v>71</v>
      </c>
    </row>
    <row r="1388" spans="1:15" x14ac:dyDescent="0.3">
      <c r="A1388" t="s">
        <v>2527</v>
      </c>
      <c r="B1388" t="s">
        <v>2526</v>
      </c>
      <c r="D1388">
        <v>36</v>
      </c>
      <c r="E1388" t="s">
        <v>80</v>
      </c>
      <c r="F1388" t="s">
        <v>20</v>
      </c>
      <c r="G1388" s="1">
        <v>46018</v>
      </c>
      <c r="H1388" s="1">
        <v>46011</v>
      </c>
      <c r="I1388" t="s">
        <v>2525</v>
      </c>
      <c r="J1388" t="s">
        <v>2524</v>
      </c>
      <c r="K1388" t="s">
        <v>35</v>
      </c>
      <c r="L1388">
        <v>8271.98</v>
      </c>
      <c r="N1388">
        <v>469</v>
      </c>
      <c r="O1388" t="s">
        <v>34</v>
      </c>
    </row>
    <row r="1389" spans="1:15" x14ac:dyDescent="0.3">
      <c r="A1389" t="s">
        <v>2523</v>
      </c>
      <c r="B1389" t="s">
        <v>2522</v>
      </c>
      <c r="D1389">
        <v>6</v>
      </c>
      <c r="E1389" t="s">
        <v>54</v>
      </c>
      <c r="F1389" t="s">
        <v>85</v>
      </c>
      <c r="G1389" s="1">
        <v>46156</v>
      </c>
      <c r="H1389" s="1">
        <v>46149</v>
      </c>
      <c r="I1389" t="s">
        <v>2521</v>
      </c>
      <c r="J1389" t="s">
        <v>2520</v>
      </c>
      <c r="K1389" t="s">
        <v>26</v>
      </c>
      <c r="L1389">
        <v>24675.84</v>
      </c>
      <c r="N1389">
        <v>130</v>
      </c>
      <c r="O1389" t="s">
        <v>77</v>
      </c>
    </row>
    <row r="1390" spans="1:15" x14ac:dyDescent="0.3">
      <c r="A1390" t="s">
        <v>2519</v>
      </c>
      <c r="B1390" t="s">
        <v>48</v>
      </c>
      <c r="C1390" t="s">
        <v>40</v>
      </c>
      <c r="D1390">
        <v>82</v>
      </c>
      <c r="E1390" t="s">
        <v>31</v>
      </c>
      <c r="F1390" t="s">
        <v>30</v>
      </c>
      <c r="G1390" s="1">
        <v>46115</v>
      </c>
      <c r="H1390" s="1">
        <v>46098</v>
      </c>
      <c r="I1390" t="s">
        <v>2518</v>
      </c>
      <c r="J1390" t="s">
        <v>2517</v>
      </c>
      <c r="K1390" t="s">
        <v>57</v>
      </c>
      <c r="L1390">
        <v>11065.48</v>
      </c>
      <c r="M1390" t="s">
        <v>63</v>
      </c>
      <c r="N1390">
        <v>156</v>
      </c>
      <c r="O1390" t="s">
        <v>16</v>
      </c>
    </row>
    <row r="1391" spans="1:15" x14ac:dyDescent="0.3">
      <c r="A1391" t="s">
        <v>2516</v>
      </c>
      <c r="B1391" t="s">
        <v>2515</v>
      </c>
      <c r="C1391" t="s">
        <v>0</v>
      </c>
      <c r="D1391">
        <v>10</v>
      </c>
      <c r="E1391" t="s">
        <v>31</v>
      </c>
      <c r="F1391" t="s">
        <v>90</v>
      </c>
      <c r="G1391" s="1">
        <v>46050</v>
      </c>
      <c r="H1391" s="1">
        <v>46024</v>
      </c>
      <c r="I1391" t="s">
        <v>2514</v>
      </c>
      <c r="J1391" t="s">
        <v>2513</v>
      </c>
      <c r="K1391" t="s">
        <v>35</v>
      </c>
      <c r="L1391">
        <v>21873.98</v>
      </c>
      <c r="M1391" t="s">
        <v>63</v>
      </c>
      <c r="N1391">
        <v>393</v>
      </c>
      <c r="O1391" t="s">
        <v>71</v>
      </c>
    </row>
    <row r="1392" spans="1:15" x14ac:dyDescent="0.3">
      <c r="A1392" t="s">
        <v>2512</v>
      </c>
      <c r="B1392" t="s">
        <v>2511</v>
      </c>
      <c r="C1392" t="s">
        <v>74</v>
      </c>
      <c r="D1392">
        <v>57</v>
      </c>
      <c r="E1392" t="s">
        <v>21</v>
      </c>
      <c r="F1392" t="s">
        <v>67</v>
      </c>
      <c r="G1392" s="1">
        <v>46164</v>
      </c>
      <c r="H1392" s="1">
        <v>46146</v>
      </c>
      <c r="I1392" t="s">
        <v>2510</v>
      </c>
      <c r="J1392" t="s">
        <v>2509</v>
      </c>
      <c r="K1392" t="s">
        <v>26</v>
      </c>
      <c r="L1392">
        <v>14005.53</v>
      </c>
      <c r="M1392" t="s">
        <v>63</v>
      </c>
      <c r="N1392">
        <v>453</v>
      </c>
      <c r="O1392" t="s">
        <v>77</v>
      </c>
    </row>
    <row r="1393" spans="1:15" x14ac:dyDescent="0.3">
      <c r="A1393" t="s">
        <v>2508</v>
      </c>
      <c r="B1393" t="s">
        <v>2507</v>
      </c>
      <c r="C1393" t="s">
        <v>0</v>
      </c>
      <c r="D1393">
        <v>9</v>
      </c>
      <c r="E1393" t="s">
        <v>31</v>
      </c>
      <c r="F1393" t="s">
        <v>67</v>
      </c>
      <c r="G1393" s="1">
        <v>46062</v>
      </c>
      <c r="H1393" s="1">
        <v>46034</v>
      </c>
      <c r="I1393" t="s">
        <v>2506</v>
      </c>
      <c r="J1393" t="s">
        <v>2505</v>
      </c>
      <c r="L1393">
        <v>18732.38</v>
      </c>
      <c r="M1393" t="s">
        <v>57</v>
      </c>
      <c r="N1393">
        <v>194</v>
      </c>
      <c r="O1393" t="s">
        <v>43</v>
      </c>
    </row>
    <row r="1394" spans="1:15" x14ac:dyDescent="0.3">
      <c r="A1394" t="s">
        <v>2504</v>
      </c>
      <c r="B1394" t="s">
        <v>2503</v>
      </c>
      <c r="D1394">
        <v>30</v>
      </c>
      <c r="E1394" t="s">
        <v>68</v>
      </c>
      <c r="F1394" t="s">
        <v>67</v>
      </c>
      <c r="G1394" s="1">
        <v>46047</v>
      </c>
      <c r="H1394" s="1">
        <v>46037</v>
      </c>
      <c r="I1394" t="s">
        <v>2502</v>
      </c>
      <c r="J1394" t="s">
        <v>2501</v>
      </c>
      <c r="K1394" t="s">
        <v>17</v>
      </c>
      <c r="L1394">
        <v>17006.189999999999</v>
      </c>
      <c r="M1394" t="s">
        <v>63</v>
      </c>
      <c r="N1394">
        <v>230</v>
      </c>
      <c r="O1394" t="s">
        <v>34</v>
      </c>
    </row>
    <row r="1395" spans="1:15" x14ac:dyDescent="0.3">
      <c r="A1395" t="s">
        <v>2500</v>
      </c>
      <c r="B1395" t="s">
        <v>2499</v>
      </c>
      <c r="C1395" t="s">
        <v>40</v>
      </c>
      <c r="D1395">
        <v>18</v>
      </c>
      <c r="E1395" t="s">
        <v>80</v>
      </c>
      <c r="F1395" t="s">
        <v>90</v>
      </c>
      <c r="G1395" s="1">
        <v>46114</v>
      </c>
      <c r="H1395" s="1">
        <v>46101</v>
      </c>
      <c r="I1395" t="s">
        <v>2498</v>
      </c>
      <c r="J1395" t="s">
        <v>2497</v>
      </c>
      <c r="L1395">
        <v>20190.41</v>
      </c>
      <c r="M1395" t="s">
        <v>27</v>
      </c>
      <c r="N1395">
        <v>525</v>
      </c>
      <c r="O1395" t="s">
        <v>34</v>
      </c>
    </row>
    <row r="1396" spans="1:15" x14ac:dyDescent="0.3">
      <c r="A1396" t="s">
        <v>2496</v>
      </c>
      <c r="B1396" t="s">
        <v>2495</v>
      </c>
      <c r="C1396" t="s">
        <v>40</v>
      </c>
      <c r="D1396">
        <v>66</v>
      </c>
      <c r="E1396" t="s">
        <v>31</v>
      </c>
      <c r="F1396" t="s">
        <v>46</v>
      </c>
      <c r="G1396" s="1">
        <v>46011</v>
      </c>
      <c r="H1396" s="1">
        <v>45993</v>
      </c>
      <c r="I1396" t="s">
        <v>2494</v>
      </c>
      <c r="J1396" t="s">
        <v>2493</v>
      </c>
      <c r="L1396">
        <v>24892.23</v>
      </c>
      <c r="M1396" t="s">
        <v>17</v>
      </c>
      <c r="N1396">
        <v>504</v>
      </c>
      <c r="O1396" t="s">
        <v>34</v>
      </c>
    </row>
    <row r="1397" spans="1:15" x14ac:dyDescent="0.3">
      <c r="A1397" t="s">
        <v>2492</v>
      </c>
      <c r="B1397" t="s">
        <v>2491</v>
      </c>
      <c r="D1397">
        <v>37</v>
      </c>
      <c r="E1397" t="s">
        <v>31</v>
      </c>
      <c r="F1397" t="s">
        <v>20</v>
      </c>
      <c r="G1397" s="1">
        <v>46073</v>
      </c>
      <c r="H1397" s="1">
        <v>46050</v>
      </c>
      <c r="I1397" t="s">
        <v>2490</v>
      </c>
      <c r="J1397" t="s">
        <v>2489</v>
      </c>
      <c r="K1397" t="s">
        <v>64</v>
      </c>
      <c r="L1397">
        <v>14219.61</v>
      </c>
      <c r="M1397" t="s">
        <v>64</v>
      </c>
      <c r="N1397">
        <v>372</v>
      </c>
      <c r="O1397" t="s">
        <v>71</v>
      </c>
    </row>
    <row r="1398" spans="1:15" x14ac:dyDescent="0.3">
      <c r="A1398" t="s">
        <v>2488</v>
      </c>
      <c r="B1398" t="s">
        <v>2487</v>
      </c>
      <c r="C1398" t="s">
        <v>74</v>
      </c>
      <c r="D1398">
        <v>74</v>
      </c>
      <c r="E1398" t="s">
        <v>68</v>
      </c>
      <c r="F1398" t="s">
        <v>38</v>
      </c>
      <c r="G1398" s="1">
        <v>46017</v>
      </c>
      <c r="H1398" s="1">
        <v>45993</v>
      </c>
      <c r="I1398" t="s">
        <v>2486</v>
      </c>
      <c r="J1398" t="s">
        <v>2485</v>
      </c>
      <c r="K1398" t="s">
        <v>64</v>
      </c>
      <c r="L1398">
        <v>19224.46</v>
      </c>
      <c r="N1398">
        <v>518</v>
      </c>
      <c r="O1398" t="s">
        <v>43</v>
      </c>
    </row>
    <row r="1399" spans="1:15" x14ac:dyDescent="0.3">
      <c r="A1399" t="s">
        <v>2484</v>
      </c>
      <c r="B1399" t="s">
        <v>2483</v>
      </c>
      <c r="D1399">
        <v>58</v>
      </c>
      <c r="E1399" t="s">
        <v>39</v>
      </c>
      <c r="F1399" t="s">
        <v>67</v>
      </c>
      <c r="G1399" s="1">
        <v>46044</v>
      </c>
      <c r="H1399" s="1">
        <v>46042</v>
      </c>
      <c r="I1399" t="s">
        <v>2482</v>
      </c>
      <c r="J1399" t="s">
        <v>2481</v>
      </c>
      <c r="K1399" t="s">
        <v>35</v>
      </c>
      <c r="L1399">
        <v>16266.43</v>
      </c>
      <c r="M1399" t="s">
        <v>17</v>
      </c>
      <c r="N1399">
        <v>332</v>
      </c>
      <c r="O1399" t="s">
        <v>34</v>
      </c>
    </row>
    <row r="1400" spans="1:15" x14ac:dyDescent="0.3">
      <c r="A1400" t="s">
        <v>2480</v>
      </c>
      <c r="B1400" t="s">
        <v>2479</v>
      </c>
      <c r="C1400" t="s">
        <v>123</v>
      </c>
      <c r="D1400">
        <v>3</v>
      </c>
      <c r="E1400" t="s">
        <v>54</v>
      </c>
      <c r="F1400" t="s">
        <v>30</v>
      </c>
      <c r="G1400" s="1">
        <v>46122</v>
      </c>
      <c r="H1400" s="1">
        <v>46122</v>
      </c>
      <c r="I1400" t="s">
        <v>2478</v>
      </c>
      <c r="J1400" t="s">
        <v>2477</v>
      </c>
      <c r="L1400">
        <v>668.02</v>
      </c>
      <c r="M1400" t="s">
        <v>57</v>
      </c>
      <c r="N1400">
        <v>265</v>
      </c>
      <c r="O1400" t="s">
        <v>16</v>
      </c>
    </row>
    <row r="1401" spans="1:15" x14ac:dyDescent="0.3">
      <c r="A1401" t="s">
        <v>2476</v>
      </c>
      <c r="B1401" t="s">
        <v>2475</v>
      </c>
      <c r="C1401" t="s">
        <v>0</v>
      </c>
      <c r="D1401">
        <v>34</v>
      </c>
      <c r="E1401" t="s">
        <v>21</v>
      </c>
      <c r="F1401" t="s">
        <v>67</v>
      </c>
      <c r="G1401" s="1">
        <v>46155</v>
      </c>
      <c r="H1401" s="1">
        <v>46138</v>
      </c>
      <c r="I1401" t="s">
        <v>2474</v>
      </c>
      <c r="J1401" t="s">
        <v>2473</v>
      </c>
      <c r="L1401">
        <v>16409.59</v>
      </c>
      <c r="M1401" t="s">
        <v>57</v>
      </c>
      <c r="N1401">
        <v>494</v>
      </c>
      <c r="O1401" t="s">
        <v>50</v>
      </c>
    </row>
    <row r="1402" spans="1:15" x14ac:dyDescent="0.3">
      <c r="A1402" t="s">
        <v>2472</v>
      </c>
      <c r="B1402" t="s">
        <v>2471</v>
      </c>
      <c r="C1402" t="s">
        <v>60</v>
      </c>
      <c r="D1402">
        <v>74</v>
      </c>
      <c r="E1402" t="s">
        <v>39</v>
      </c>
      <c r="F1402" t="s">
        <v>38</v>
      </c>
      <c r="G1402" s="1">
        <v>46153</v>
      </c>
      <c r="H1402" s="1">
        <v>46129</v>
      </c>
      <c r="I1402" t="s">
        <v>2470</v>
      </c>
      <c r="J1402" t="s">
        <v>2469</v>
      </c>
      <c r="K1402" t="s">
        <v>35</v>
      </c>
      <c r="L1402">
        <v>5312.38</v>
      </c>
      <c r="M1402" t="s">
        <v>26</v>
      </c>
      <c r="N1402">
        <v>151</v>
      </c>
      <c r="O1402" t="s">
        <v>77</v>
      </c>
    </row>
    <row r="1403" spans="1:15" x14ac:dyDescent="0.3">
      <c r="A1403" t="s">
        <v>2468</v>
      </c>
      <c r="B1403" t="s">
        <v>2467</v>
      </c>
      <c r="C1403" t="s">
        <v>40</v>
      </c>
      <c r="D1403">
        <v>17</v>
      </c>
      <c r="E1403" t="s">
        <v>31</v>
      </c>
      <c r="F1403" t="s">
        <v>20</v>
      </c>
      <c r="G1403" s="1">
        <v>46085</v>
      </c>
      <c r="H1403" s="1">
        <v>46075</v>
      </c>
      <c r="I1403" t="s">
        <v>2466</v>
      </c>
      <c r="J1403" t="s">
        <v>2465</v>
      </c>
      <c r="K1403" t="s">
        <v>57</v>
      </c>
      <c r="L1403">
        <v>23225.94</v>
      </c>
      <c r="M1403" t="s">
        <v>57</v>
      </c>
      <c r="N1403">
        <v>203</v>
      </c>
      <c r="O1403" t="s">
        <v>43</v>
      </c>
    </row>
    <row r="1404" spans="1:15" x14ac:dyDescent="0.3">
      <c r="A1404" t="s">
        <v>2464</v>
      </c>
      <c r="B1404" t="s">
        <v>2463</v>
      </c>
      <c r="C1404" t="s">
        <v>0</v>
      </c>
      <c r="D1404">
        <v>55</v>
      </c>
      <c r="E1404" t="s">
        <v>132</v>
      </c>
      <c r="F1404" t="s">
        <v>38</v>
      </c>
      <c r="G1404" s="1">
        <v>46019</v>
      </c>
      <c r="H1404" s="1">
        <v>45990</v>
      </c>
      <c r="I1404" t="s">
        <v>2462</v>
      </c>
      <c r="J1404" t="s">
        <v>2461</v>
      </c>
      <c r="K1404" t="s">
        <v>17</v>
      </c>
      <c r="L1404">
        <v>19354.16</v>
      </c>
      <c r="M1404" t="s">
        <v>27</v>
      </c>
      <c r="N1404">
        <v>170</v>
      </c>
      <c r="O1404" t="s">
        <v>16</v>
      </c>
    </row>
    <row r="1405" spans="1:15" x14ac:dyDescent="0.3">
      <c r="A1405" t="s">
        <v>2460</v>
      </c>
      <c r="B1405" t="s">
        <v>2459</v>
      </c>
      <c r="C1405" t="s">
        <v>74</v>
      </c>
      <c r="D1405">
        <v>220</v>
      </c>
      <c r="E1405" t="s">
        <v>47</v>
      </c>
      <c r="F1405" t="s">
        <v>85</v>
      </c>
      <c r="G1405" s="1">
        <v>46103</v>
      </c>
      <c r="H1405" s="1">
        <v>46076</v>
      </c>
      <c r="I1405" t="s">
        <v>2458</v>
      </c>
      <c r="J1405" t="s">
        <v>2457</v>
      </c>
      <c r="K1405" t="s">
        <v>17</v>
      </c>
      <c r="L1405">
        <v>9634.33</v>
      </c>
      <c r="N1405">
        <v>324</v>
      </c>
      <c r="O1405" t="s">
        <v>16</v>
      </c>
    </row>
    <row r="1406" spans="1:15" x14ac:dyDescent="0.3">
      <c r="A1406" t="s">
        <v>2456</v>
      </c>
      <c r="B1406" t="s">
        <v>2455</v>
      </c>
      <c r="C1406" t="s">
        <v>1</v>
      </c>
      <c r="D1406">
        <v>27</v>
      </c>
      <c r="E1406" t="s">
        <v>54</v>
      </c>
      <c r="F1406" t="s">
        <v>20</v>
      </c>
      <c r="G1406" s="1">
        <v>46112</v>
      </c>
      <c r="H1406" s="1">
        <v>46110</v>
      </c>
      <c r="I1406" t="s">
        <v>2454</v>
      </c>
      <c r="J1406" t="s">
        <v>2453</v>
      </c>
      <c r="K1406" t="s">
        <v>35</v>
      </c>
      <c r="L1406">
        <v>12766.24</v>
      </c>
      <c r="M1406" t="s">
        <v>64</v>
      </c>
      <c r="N1406">
        <v>183</v>
      </c>
      <c r="O1406" t="s">
        <v>50</v>
      </c>
    </row>
    <row r="1407" spans="1:15" x14ac:dyDescent="0.3">
      <c r="A1407" t="s">
        <v>2452</v>
      </c>
      <c r="B1407" t="s">
        <v>2451</v>
      </c>
      <c r="C1407" t="s">
        <v>1</v>
      </c>
      <c r="D1407">
        <v>16</v>
      </c>
      <c r="E1407" t="s">
        <v>68</v>
      </c>
      <c r="F1407" t="s">
        <v>67</v>
      </c>
      <c r="G1407" s="1">
        <v>46052</v>
      </c>
      <c r="H1407" s="1">
        <v>46029</v>
      </c>
      <c r="I1407" t="s">
        <v>2450</v>
      </c>
      <c r="J1407" t="s">
        <v>2449</v>
      </c>
      <c r="K1407" t="s">
        <v>57</v>
      </c>
      <c r="L1407">
        <v>10495.17</v>
      </c>
      <c r="M1407" t="s">
        <v>57</v>
      </c>
      <c r="N1407">
        <v>146</v>
      </c>
      <c r="O1407" t="s">
        <v>50</v>
      </c>
    </row>
    <row r="1408" spans="1:15" x14ac:dyDescent="0.3">
      <c r="A1408" t="s">
        <v>2448</v>
      </c>
      <c r="B1408" t="s">
        <v>2447</v>
      </c>
      <c r="C1408" t="s">
        <v>60</v>
      </c>
      <c r="D1408">
        <v>62</v>
      </c>
      <c r="E1408" t="s">
        <v>132</v>
      </c>
      <c r="F1408" t="s">
        <v>20</v>
      </c>
      <c r="G1408" s="1">
        <v>46169</v>
      </c>
      <c r="H1408" s="1">
        <v>46139</v>
      </c>
      <c r="I1408" t="s">
        <v>2446</v>
      </c>
      <c r="J1408" t="s">
        <v>2445</v>
      </c>
      <c r="L1408">
        <v>600.41</v>
      </c>
      <c r="N1408">
        <v>511</v>
      </c>
      <c r="O1408" t="s">
        <v>16</v>
      </c>
    </row>
    <row r="1409" spans="1:15" x14ac:dyDescent="0.3">
      <c r="A1409" t="s">
        <v>2444</v>
      </c>
      <c r="B1409" t="s">
        <v>2443</v>
      </c>
      <c r="C1409" t="s">
        <v>123</v>
      </c>
      <c r="D1409">
        <v>13</v>
      </c>
      <c r="E1409" t="s">
        <v>31</v>
      </c>
      <c r="F1409" t="s">
        <v>67</v>
      </c>
      <c r="G1409" s="1">
        <v>46174</v>
      </c>
      <c r="H1409" s="1">
        <v>46144</v>
      </c>
      <c r="I1409" t="s">
        <v>2442</v>
      </c>
      <c r="J1409" t="s">
        <v>2441</v>
      </c>
      <c r="K1409" t="s">
        <v>26</v>
      </c>
      <c r="L1409">
        <v>20946.060000000001</v>
      </c>
      <c r="N1409">
        <v>534</v>
      </c>
      <c r="O1409" t="s">
        <v>25</v>
      </c>
    </row>
    <row r="1410" spans="1:15" x14ac:dyDescent="0.3">
      <c r="A1410" t="s">
        <v>2440</v>
      </c>
      <c r="B1410" t="s">
        <v>2439</v>
      </c>
      <c r="C1410" t="s">
        <v>22</v>
      </c>
      <c r="D1410">
        <v>-5</v>
      </c>
      <c r="E1410" t="s">
        <v>80</v>
      </c>
      <c r="F1410" t="s">
        <v>90</v>
      </c>
      <c r="G1410" s="1">
        <v>46065</v>
      </c>
      <c r="H1410" s="1">
        <v>46037</v>
      </c>
      <c r="I1410" t="s">
        <v>2438</v>
      </c>
      <c r="J1410" t="s">
        <v>2437</v>
      </c>
      <c r="L1410">
        <v>593.08000000000004</v>
      </c>
      <c r="M1410" t="s">
        <v>63</v>
      </c>
      <c r="N1410" t="s">
        <v>347</v>
      </c>
      <c r="O1410" t="s">
        <v>25</v>
      </c>
    </row>
    <row r="1411" spans="1:15" x14ac:dyDescent="0.3">
      <c r="A1411" t="s">
        <v>2436</v>
      </c>
      <c r="B1411" t="s">
        <v>2435</v>
      </c>
      <c r="C1411" t="s">
        <v>60</v>
      </c>
      <c r="D1411">
        <v>6</v>
      </c>
      <c r="E1411" t="s">
        <v>39</v>
      </c>
      <c r="F1411" t="s">
        <v>38</v>
      </c>
      <c r="G1411" s="1">
        <v>46115</v>
      </c>
      <c r="H1411" s="1">
        <v>46110</v>
      </c>
      <c r="I1411" t="s">
        <v>2434</v>
      </c>
      <c r="J1411" t="s">
        <v>2433</v>
      </c>
      <c r="K1411" t="s">
        <v>27</v>
      </c>
      <c r="L1411">
        <v>3373.12</v>
      </c>
      <c r="M1411" t="s">
        <v>26</v>
      </c>
      <c r="N1411">
        <v>171</v>
      </c>
      <c r="O1411" t="s">
        <v>25</v>
      </c>
    </row>
    <row r="1412" spans="1:15" x14ac:dyDescent="0.3">
      <c r="A1412" t="s">
        <v>2432</v>
      </c>
      <c r="B1412" t="s">
        <v>2431</v>
      </c>
      <c r="D1412">
        <v>5</v>
      </c>
      <c r="E1412" t="s">
        <v>47</v>
      </c>
      <c r="F1412" t="s">
        <v>38</v>
      </c>
      <c r="G1412" s="1">
        <v>46088</v>
      </c>
      <c r="H1412" s="1">
        <v>46061</v>
      </c>
      <c r="I1412" t="s">
        <v>2430</v>
      </c>
      <c r="J1412" t="s">
        <v>2429</v>
      </c>
      <c r="K1412" t="s">
        <v>26</v>
      </c>
      <c r="L1412">
        <v>9418.26</v>
      </c>
      <c r="N1412">
        <v>521</v>
      </c>
      <c r="O1412" t="s">
        <v>71</v>
      </c>
    </row>
    <row r="1413" spans="1:15" x14ac:dyDescent="0.3">
      <c r="A1413" t="s">
        <v>2428</v>
      </c>
      <c r="B1413" t="s">
        <v>2427</v>
      </c>
      <c r="C1413" t="s">
        <v>123</v>
      </c>
      <c r="D1413">
        <v>23</v>
      </c>
      <c r="E1413" t="s">
        <v>39</v>
      </c>
      <c r="F1413" t="s">
        <v>53</v>
      </c>
      <c r="G1413" s="1">
        <v>46017</v>
      </c>
      <c r="H1413" s="1">
        <v>45994</v>
      </c>
      <c r="I1413" t="s">
        <v>2426</v>
      </c>
      <c r="J1413" t="s">
        <v>2425</v>
      </c>
      <c r="K1413" t="s">
        <v>35</v>
      </c>
      <c r="L1413">
        <v>9253.69</v>
      </c>
      <c r="M1413" t="s">
        <v>64</v>
      </c>
      <c r="N1413">
        <v>502</v>
      </c>
      <c r="O1413" t="s">
        <v>71</v>
      </c>
    </row>
    <row r="1414" spans="1:15" x14ac:dyDescent="0.3">
      <c r="A1414" t="s">
        <v>2424</v>
      </c>
      <c r="B1414" t="s">
        <v>2423</v>
      </c>
      <c r="C1414" t="s">
        <v>40</v>
      </c>
      <c r="D1414">
        <v>64</v>
      </c>
      <c r="E1414" t="s">
        <v>21</v>
      </c>
      <c r="F1414" t="s">
        <v>30</v>
      </c>
      <c r="G1414" s="1">
        <v>46136</v>
      </c>
      <c r="H1414" s="1">
        <v>46124</v>
      </c>
      <c r="I1414" t="s">
        <v>2422</v>
      </c>
      <c r="J1414" t="s">
        <v>2421</v>
      </c>
      <c r="K1414" t="s">
        <v>57</v>
      </c>
      <c r="L1414">
        <v>22742.73</v>
      </c>
      <c r="M1414" t="s">
        <v>63</v>
      </c>
      <c r="N1414">
        <v>418</v>
      </c>
      <c r="O1414" t="s">
        <v>43</v>
      </c>
    </row>
    <row r="1415" spans="1:15" x14ac:dyDescent="0.3">
      <c r="A1415" t="s">
        <v>2420</v>
      </c>
      <c r="B1415" t="s">
        <v>2419</v>
      </c>
      <c r="C1415" t="s">
        <v>40</v>
      </c>
      <c r="D1415">
        <v>4</v>
      </c>
      <c r="E1415" t="s">
        <v>31</v>
      </c>
      <c r="F1415" t="s">
        <v>46</v>
      </c>
      <c r="G1415" s="1">
        <v>46031</v>
      </c>
      <c r="H1415" s="1">
        <v>46003</v>
      </c>
      <c r="I1415" t="s">
        <v>2418</v>
      </c>
      <c r="J1415" t="s">
        <v>2417</v>
      </c>
      <c r="L1415">
        <v>1048.72</v>
      </c>
      <c r="M1415" t="s">
        <v>26</v>
      </c>
      <c r="N1415">
        <v>308</v>
      </c>
      <c r="O1415" t="s">
        <v>77</v>
      </c>
    </row>
    <row r="1416" spans="1:15" x14ac:dyDescent="0.3">
      <c r="A1416" t="s">
        <v>2416</v>
      </c>
      <c r="B1416" t="s">
        <v>2415</v>
      </c>
      <c r="C1416" t="s">
        <v>123</v>
      </c>
      <c r="D1416">
        <v>77</v>
      </c>
      <c r="E1416" t="s">
        <v>39</v>
      </c>
      <c r="F1416" t="s">
        <v>53</v>
      </c>
      <c r="G1416" s="1">
        <v>46008</v>
      </c>
      <c r="H1416" s="1">
        <v>46005</v>
      </c>
      <c r="I1416" t="s">
        <v>2414</v>
      </c>
      <c r="J1416" t="s">
        <v>2413</v>
      </c>
      <c r="K1416" t="s">
        <v>27</v>
      </c>
      <c r="L1416">
        <v>8846.93</v>
      </c>
      <c r="M1416" t="s">
        <v>57</v>
      </c>
      <c r="N1416">
        <v>147</v>
      </c>
      <c r="O1416" t="s">
        <v>16</v>
      </c>
    </row>
    <row r="1417" spans="1:15" x14ac:dyDescent="0.3">
      <c r="A1417" t="s">
        <v>2412</v>
      </c>
      <c r="B1417" t="s">
        <v>2411</v>
      </c>
      <c r="C1417" t="s">
        <v>74</v>
      </c>
      <c r="D1417">
        <v>15</v>
      </c>
      <c r="E1417" t="s">
        <v>68</v>
      </c>
      <c r="F1417" t="s">
        <v>85</v>
      </c>
      <c r="G1417" s="1">
        <v>46033</v>
      </c>
      <c r="H1417" s="1">
        <v>46020</v>
      </c>
      <c r="I1417" t="s">
        <v>2410</v>
      </c>
      <c r="J1417" t="s">
        <v>2409</v>
      </c>
      <c r="L1417">
        <v>3533.25</v>
      </c>
      <c r="M1417" t="s">
        <v>27</v>
      </c>
      <c r="N1417">
        <v>259</v>
      </c>
      <c r="O1417" t="s">
        <v>16</v>
      </c>
    </row>
    <row r="1418" spans="1:15" x14ac:dyDescent="0.3">
      <c r="A1418" t="s">
        <v>2408</v>
      </c>
      <c r="B1418" t="s">
        <v>2407</v>
      </c>
      <c r="D1418">
        <v>33</v>
      </c>
      <c r="E1418" t="s">
        <v>39</v>
      </c>
      <c r="F1418" t="s">
        <v>67</v>
      </c>
      <c r="G1418" s="1">
        <v>46162</v>
      </c>
      <c r="H1418" s="1">
        <v>46141</v>
      </c>
      <c r="I1418" t="s">
        <v>2406</v>
      </c>
      <c r="J1418" t="s">
        <v>2405</v>
      </c>
      <c r="K1418" t="s">
        <v>57</v>
      </c>
      <c r="L1418">
        <v>23931.25</v>
      </c>
      <c r="M1418" t="s">
        <v>64</v>
      </c>
      <c r="N1418">
        <v>344</v>
      </c>
      <c r="O1418" t="s">
        <v>16</v>
      </c>
    </row>
    <row r="1419" spans="1:15" x14ac:dyDescent="0.3">
      <c r="A1419" t="s">
        <v>2404</v>
      </c>
      <c r="B1419" t="s">
        <v>2403</v>
      </c>
      <c r="C1419" t="s">
        <v>1</v>
      </c>
      <c r="D1419">
        <v>17</v>
      </c>
      <c r="E1419" t="s">
        <v>21</v>
      </c>
      <c r="F1419" t="s">
        <v>53</v>
      </c>
      <c r="G1419" s="1">
        <v>46083</v>
      </c>
      <c r="H1419" s="1">
        <v>46058</v>
      </c>
      <c r="I1419" t="s">
        <v>2402</v>
      </c>
      <c r="J1419" t="s">
        <v>2401</v>
      </c>
      <c r="K1419" t="s">
        <v>35</v>
      </c>
      <c r="L1419">
        <v>5793.69</v>
      </c>
      <c r="M1419" t="s">
        <v>64</v>
      </c>
      <c r="N1419">
        <v>480</v>
      </c>
      <c r="O1419" t="s">
        <v>77</v>
      </c>
    </row>
    <row r="1420" spans="1:15" x14ac:dyDescent="0.3">
      <c r="A1420" t="s">
        <v>2400</v>
      </c>
      <c r="B1420" t="s">
        <v>2399</v>
      </c>
      <c r="C1420" t="s">
        <v>123</v>
      </c>
      <c r="D1420">
        <v>37</v>
      </c>
      <c r="E1420" t="s">
        <v>80</v>
      </c>
      <c r="F1420" t="s">
        <v>38</v>
      </c>
      <c r="G1420" s="1">
        <v>46067</v>
      </c>
      <c r="H1420" s="1">
        <v>46060</v>
      </c>
      <c r="I1420" t="s">
        <v>2398</v>
      </c>
      <c r="J1420" t="s">
        <v>2397</v>
      </c>
      <c r="K1420" t="s">
        <v>26</v>
      </c>
      <c r="L1420">
        <v>4778.74</v>
      </c>
      <c r="M1420" t="s">
        <v>63</v>
      </c>
      <c r="N1420">
        <v>268</v>
      </c>
      <c r="O1420" t="s">
        <v>25</v>
      </c>
    </row>
    <row r="1421" spans="1:15" x14ac:dyDescent="0.3">
      <c r="A1421" t="s">
        <v>2396</v>
      </c>
      <c r="B1421" t="s">
        <v>2395</v>
      </c>
      <c r="D1421">
        <v>86</v>
      </c>
      <c r="E1421" t="s">
        <v>132</v>
      </c>
      <c r="F1421" t="s">
        <v>53</v>
      </c>
      <c r="G1421" s="1">
        <v>46127</v>
      </c>
      <c r="H1421" s="1">
        <v>46117</v>
      </c>
      <c r="I1421" t="s">
        <v>2394</v>
      </c>
      <c r="J1421" t="s">
        <v>2393</v>
      </c>
      <c r="L1421">
        <v>9494.31</v>
      </c>
      <c r="M1421" t="s">
        <v>26</v>
      </c>
      <c r="N1421">
        <v>396</v>
      </c>
      <c r="O1421" t="s">
        <v>25</v>
      </c>
    </row>
    <row r="1422" spans="1:15" x14ac:dyDescent="0.3">
      <c r="A1422" t="s">
        <v>2392</v>
      </c>
      <c r="B1422" t="s">
        <v>2391</v>
      </c>
      <c r="C1422" t="s">
        <v>40</v>
      </c>
      <c r="D1422">
        <v>50</v>
      </c>
      <c r="E1422" t="s">
        <v>47</v>
      </c>
      <c r="F1422" t="s">
        <v>38</v>
      </c>
      <c r="G1422" s="1">
        <v>46143</v>
      </c>
      <c r="H1422" s="1">
        <v>46138</v>
      </c>
      <c r="I1422" t="s">
        <v>2390</v>
      </c>
      <c r="J1422" t="s">
        <v>2389</v>
      </c>
      <c r="K1422" t="s">
        <v>27</v>
      </c>
      <c r="L1422">
        <v>3745.27</v>
      </c>
      <c r="M1422" t="s">
        <v>27</v>
      </c>
      <c r="N1422">
        <v>527</v>
      </c>
      <c r="O1422" t="s">
        <v>50</v>
      </c>
    </row>
    <row r="1423" spans="1:15" x14ac:dyDescent="0.3">
      <c r="A1423" t="s">
        <v>2388</v>
      </c>
      <c r="B1423" t="s">
        <v>2387</v>
      </c>
      <c r="C1423" t="s">
        <v>1</v>
      </c>
      <c r="D1423">
        <v>21</v>
      </c>
      <c r="E1423" t="s">
        <v>54</v>
      </c>
      <c r="F1423" t="s">
        <v>67</v>
      </c>
      <c r="G1423" s="1">
        <v>46020</v>
      </c>
      <c r="H1423" s="1">
        <v>46020</v>
      </c>
      <c r="I1423" t="s">
        <v>2386</v>
      </c>
      <c r="J1423" t="s">
        <v>2385</v>
      </c>
      <c r="L1423">
        <v>12199.35</v>
      </c>
      <c r="M1423" t="s">
        <v>17</v>
      </c>
      <c r="N1423">
        <v>196</v>
      </c>
      <c r="O1423" t="s">
        <v>25</v>
      </c>
    </row>
    <row r="1424" spans="1:15" x14ac:dyDescent="0.3">
      <c r="A1424" t="s">
        <v>2384</v>
      </c>
      <c r="B1424" t="s">
        <v>2383</v>
      </c>
      <c r="C1424" t="s">
        <v>123</v>
      </c>
      <c r="D1424">
        <v>58</v>
      </c>
      <c r="E1424" t="s">
        <v>21</v>
      </c>
      <c r="F1424" t="s">
        <v>85</v>
      </c>
      <c r="G1424" s="1">
        <v>46141</v>
      </c>
      <c r="H1424" s="1">
        <v>46122</v>
      </c>
      <c r="I1424" t="s">
        <v>2382</v>
      </c>
      <c r="J1424" t="s">
        <v>2381</v>
      </c>
      <c r="K1424" t="s">
        <v>26</v>
      </c>
      <c r="L1424">
        <v>13737.81</v>
      </c>
      <c r="M1424" t="s">
        <v>64</v>
      </c>
      <c r="N1424">
        <v>481</v>
      </c>
      <c r="O1424" t="s">
        <v>43</v>
      </c>
    </row>
    <row r="1425" spans="1:15" x14ac:dyDescent="0.3">
      <c r="A1425" t="s">
        <v>2380</v>
      </c>
      <c r="B1425" t="s">
        <v>2379</v>
      </c>
      <c r="C1425" t="s">
        <v>60</v>
      </c>
      <c r="D1425">
        <v>44</v>
      </c>
      <c r="E1425" t="s">
        <v>39</v>
      </c>
      <c r="F1425" t="s">
        <v>30</v>
      </c>
      <c r="G1425" s="1">
        <v>46029</v>
      </c>
      <c r="H1425" s="1">
        <v>46019</v>
      </c>
      <c r="I1425" t="s">
        <v>2378</v>
      </c>
      <c r="J1425" t="s">
        <v>2377</v>
      </c>
      <c r="L1425">
        <v>19345.79</v>
      </c>
      <c r="N1425">
        <v>439</v>
      </c>
      <c r="O1425" t="s">
        <v>77</v>
      </c>
    </row>
    <row r="1426" spans="1:15" x14ac:dyDescent="0.3">
      <c r="A1426" t="s">
        <v>2376</v>
      </c>
      <c r="B1426" t="s">
        <v>2375</v>
      </c>
      <c r="C1426" t="s">
        <v>60</v>
      </c>
      <c r="D1426">
        <v>67</v>
      </c>
      <c r="E1426" t="s">
        <v>132</v>
      </c>
      <c r="F1426" t="s">
        <v>20</v>
      </c>
      <c r="G1426" s="1">
        <v>46107</v>
      </c>
      <c r="H1426" s="1">
        <v>46082</v>
      </c>
      <c r="I1426" t="s">
        <v>2374</v>
      </c>
      <c r="J1426" t="s">
        <v>2373</v>
      </c>
      <c r="K1426" t="s">
        <v>57</v>
      </c>
      <c r="L1426">
        <v>10777.56</v>
      </c>
      <c r="M1426" t="s">
        <v>27</v>
      </c>
      <c r="N1426">
        <v>378</v>
      </c>
      <c r="O1426" t="s">
        <v>71</v>
      </c>
    </row>
    <row r="1427" spans="1:15" x14ac:dyDescent="0.3">
      <c r="A1427" t="s">
        <v>2372</v>
      </c>
      <c r="B1427" t="s">
        <v>2371</v>
      </c>
      <c r="C1427" t="s">
        <v>74</v>
      </c>
      <c r="D1427">
        <v>30</v>
      </c>
      <c r="E1427" t="s">
        <v>68</v>
      </c>
      <c r="F1427" t="s">
        <v>20</v>
      </c>
      <c r="G1427" s="1">
        <v>45999</v>
      </c>
      <c r="H1427" s="1">
        <v>45996</v>
      </c>
      <c r="I1427" t="s">
        <v>2370</v>
      </c>
      <c r="J1427" t="s">
        <v>2369</v>
      </c>
      <c r="K1427" t="s">
        <v>26</v>
      </c>
      <c r="L1427">
        <v>3332.22</v>
      </c>
      <c r="M1427" t="s">
        <v>17</v>
      </c>
      <c r="N1427">
        <v>257</v>
      </c>
      <c r="O1427" t="s">
        <v>16</v>
      </c>
    </row>
    <row r="1428" spans="1:15" x14ac:dyDescent="0.3">
      <c r="A1428" t="s">
        <v>2368</v>
      </c>
      <c r="B1428" t="s">
        <v>2367</v>
      </c>
      <c r="C1428" t="s">
        <v>123</v>
      </c>
      <c r="D1428">
        <v>71</v>
      </c>
      <c r="E1428" t="s">
        <v>80</v>
      </c>
      <c r="F1428" t="s">
        <v>53</v>
      </c>
      <c r="G1428" s="1">
        <v>46012</v>
      </c>
      <c r="H1428" s="1">
        <v>46000</v>
      </c>
      <c r="I1428" t="s">
        <v>2366</v>
      </c>
      <c r="J1428" t="s">
        <v>2365</v>
      </c>
      <c r="K1428" t="s">
        <v>17</v>
      </c>
      <c r="L1428">
        <v>3714.37</v>
      </c>
      <c r="M1428" t="s">
        <v>57</v>
      </c>
      <c r="N1428">
        <v>497</v>
      </c>
      <c r="O1428" t="s">
        <v>77</v>
      </c>
    </row>
    <row r="1429" spans="1:15" x14ac:dyDescent="0.3">
      <c r="A1429" t="s">
        <v>2364</v>
      </c>
      <c r="B1429" t="s">
        <v>2363</v>
      </c>
      <c r="C1429" t="s">
        <v>1</v>
      </c>
      <c r="D1429">
        <v>46</v>
      </c>
      <c r="E1429" t="s">
        <v>39</v>
      </c>
      <c r="F1429" t="s">
        <v>46</v>
      </c>
      <c r="G1429" s="1">
        <v>46021</v>
      </c>
      <c r="H1429" s="1">
        <v>45996</v>
      </c>
      <c r="I1429" t="s">
        <v>2362</v>
      </c>
      <c r="J1429" t="s">
        <v>2361</v>
      </c>
      <c r="K1429" t="s">
        <v>57</v>
      </c>
      <c r="L1429">
        <v>13578.54</v>
      </c>
      <c r="M1429" t="s">
        <v>26</v>
      </c>
      <c r="N1429">
        <v>291</v>
      </c>
      <c r="O1429" t="s">
        <v>71</v>
      </c>
    </row>
    <row r="1430" spans="1:15" x14ac:dyDescent="0.3">
      <c r="A1430" t="s">
        <v>2360</v>
      </c>
      <c r="B1430" t="s">
        <v>2359</v>
      </c>
      <c r="C1430" t="s">
        <v>74</v>
      </c>
      <c r="D1430">
        <v>88</v>
      </c>
      <c r="E1430" t="s">
        <v>39</v>
      </c>
      <c r="F1430" t="s">
        <v>38</v>
      </c>
      <c r="G1430" s="1">
        <v>46099</v>
      </c>
      <c r="H1430" s="1">
        <v>46073</v>
      </c>
      <c r="I1430" t="s">
        <v>2358</v>
      </c>
      <c r="J1430" t="s">
        <v>2357</v>
      </c>
      <c r="K1430" t="s">
        <v>35</v>
      </c>
      <c r="L1430">
        <v>13612.37</v>
      </c>
      <c r="N1430">
        <v>539</v>
      </c>
      <c r="O1430" t="s">
        <v>71</v>
      </c>
    </row>
    <row r="1431" spans="1:15" x14ac:dyDescent="0.3">
      <c r="A1431" t="s">
        <v>2356</v>
      </c>
      <c r="B1431" t="s">
        <v>2355</v>
      </c>
      <c r="C1431" t="s">
        <v>22</v>
      </c>
      <c r="D1431">
        <v>7</v>
      </c>
      <c r="E1431" t="s">
        <v>54</v>
      </c>
      <c r="F1431" t="s">
        <v>30</v>
      </c>
      <c r="G1431" s="1">
        <v>46062</v>
      </c>
      <c r="H1431" s="1">
        <v>46050</v>
      </c>
      <c r="I1431" t="s">
        <v>2354</v>
      </c>
      <c r="J1431" t="s">
        <v>2353</v>
      </c>
      <c r="L1431">
        <v>22364.86</v>
      </c>
      <c r="N1431">
        <v>264</v>
      </c>
      <c r="O1431" t="s">
        <v>71</v>
      </c>
    </row>
    <row r="1432" spans="1:15" x14ac:dyDescent="0.3">
      <c r="A1432" t="s">
        <v>2352</v>
      </c>
      <c r="B1432" t="s">
        <v>2351</v>
      </c>
      <c r="C1432" t="s">
        <v>22</v>
      </c>
      <c r="D1432">
        <v>1</v>
      </c>
      <c r="E1432" t="s">
        <v>80</v>
      </c>
      <c r="F1432" t="s">
        <v>30</v>
      </c>
      <c r="G1432" s="1">
        <v>46031</v>
      </c>
      <c r="H1432" s="1">
        <v>46009</v>
      </c>
      <c r="I1432" t="s">
        <v>2350</v>
      </c>
      <c r="J1432" t="s">
        <v>2349</v>
      </c>
      <c r="K1432" t="s">
        <v>26</v>
      </c>
      <c r="L1432">
        <v>5377.12</v>
      </c>
      <c r="M1432" t="s">
        <v>64</v>
      </c>
      <c r="N1432">
        <v>130</v>
      </c>
      <c r="O1432" t="s">
        <v>50</v>
      </c>
    </row>
    <row r="1433" spans="1:15" x14ac:dyDescent="0.3">
      <c r="A1433" t="s">
        <v>2348</v>
      </c>
      <c r="B1433" t="s">
        <v>2347</v>
      </c>
      <c r="C1433" t="s">
        <v>123</v>
      </c>
      <c r="D1433">
        <v>18</v>
      </c>
      <c r="E1433" t="s">
        <v>39</v>
      </c>
      <c r="F1433" t="s">
        <v>85</v>
      </c>
      <c r="G1433" s="1">
        <v>46169</v>
      </c>
      <c r="H1433" s="1">
        <v>46143</v>
      </c>
      <c r="I1433" t="s">
        <v>2346</v>
      </c>
      <c r="J1433" t="s">
        <v>2345</v>
      </c>
      <c r="K1433" t="s">
        <v>35</v>
      </c>
      <c r="L1433">
        <v>19161.900000000001</v>
      </c>
      <c r="M1433" t="s">
        <v>57</v>
      </c>
      <c r="N1433">
        <v>300</v>
      </c>
      <c r="O1433" t="s">
        <v>50</v>
      </c>
    </row>
    <row r="1434" spans="1:15" x14ac:dyDescent="0.3">
      <c r="A1434" t="s">
        <v>2344</v>
      </c>
      <c r="B1434" t="s">
        <v>2343</v>
      </c>
      <c r="C1434" t="s">
        <v>0</v>
      </c>
      <c r="D1434">
        <v>83</v>
      </c>
      <c r="E1434" t="s">
        <v>54</v>
      </c>
      <c r="F1434" t="s">
        <v>90</v>
      </c>
      <c r="G1434" s="1">
        <v>46109</v>
      </c>
      <c r="H1434" s="1">
        <v>46091</v>
      </c>
      <c r="I1434" t="s">
        <v>2342</v>
      </c>
      <c r="J1434" t="s">
        <v>2341</v>
      </c>
      <c r="K1434" t="s">
        <v>17</v>
      </c>
      <c r="L1434">
        <v>6364.62</v>
      </c>
      <c r="M1434" t="s">
        <v>17</v>
      </c>
      <c r="N1434">
        <v>136</v>
      </c>
      <c r="O1434" t="s">
        <v>71</v>
      </c>
    </row>
    <row r="1435" spans="1:15" x14ac:dyDescent="0.3">
      <c r="A1435" t="s">
        <v>2340</v>
      </c>
      <c r="B1435" t="s">
        <v>2339</v>
      </c>
      <c r="C1435" t="s">
        <v>22</v>
      </c>
      <c r="D1435">
        <v>18</v>
      </c>
      <c r="E1435" t="s">
        <v>54</v>
      </c>
      <c r="F1435" t="s">
        <v>20</v>
      </c>
      <c r="G1435" s="1">
        <v>46022</v>
      </c>
      <c r="H1435" s="1">
        <v>45999</v>
      </c>
      <c r="I1435" t="s">
        <v>2338</v>
      </c>
      <c r="J1435" t="s">
        <v>2337</v>
      </c>
      <c r="K1435" t="s">
        <v>35</v>
      </c>
      <c r="L1435">
        <v>5304.61</v>
      </c>
      <c r="M1435" t="s">
        <v>26</v>
      </c>
      <c r="N1435">
        <v>444</v>
      </c>
      <c r="O1435" t="s">
        <v>43</v>
      </c>
    </row>
    <row r="1436" spans="1:15" x14ac:dyDescent="0.3">
      <c r="A1436" t="s">
        <v>2336</v>
      </c>
      <c r="B1436" t="s">
        <v>2335</v>
      </c>
      <c r="C1436" t="s">
        <v>60</v>
      </c>
      <c r="D1436">
        <v>2</v>
      </c>
      <c r="E1436" t="s">
        <v>80</v>
      </c>
      <c r="F1436" t="s">
        <v>30</v>
      </c>
      <c r="G1436" s="1">
        <v>46150</v>
      </c>
      <c r="H1436" s="1">
        <v>46134</v>
      </c>
      <c r="I1436" t="s">
        <v>2334</v>
      </c>
      <c r="J1436" t="s">
        <v>2333</v>
      </c>
      <c r="K1436" t="s">
        <v>64</v>
      </c>
      <c r="L1436">
        <v>19337.12</v>
      </c>
      <c r="N1436">
        <v>218</v>
      </c>
      <c r="O1436" t="s">
        <v>25</v>
      </c>
    </row>
    <row r="1437" spans="1:15" x14ac:dyDescent="0.3">
      <c r="A1437" t="s">
        <v>2332</v>
      </c>
      <c r="B1437" t="s">
        <v>2331</v>
      </c>
      <c r="D1437">
        <v>39</v>
      </c>
      <c r="E1437" t="s">
        <v>80</v>
      </c>
      <c r="F1437" t="s">
        <v>85</v>
      </c>
      <c r="G1437" s="1">
        <v>46068</v>
      </c>
      <c r="H1437" s="1">
        <v>46064</v>
      </c>
      <c r="I1437" t="s">
        <v>2330</v>
      </c>
      <c r="J1437" t="s">
        <v>2329</v>
      </c>
      <c r="K1437" t="s">
        <v>64</v>
      </c>
      <c r="L1437">
        <v>22029.63</v>
      </c>
      <c r="M1437" t="s">
        <v>17</v>
      </c>
      <c r="N1437">
        <v>548</v>
      </c>
      <c r="O1437" t="s">
        <v>43</v>
      </c>
    </row>
    <row r="1438" spans="1:15" x14ac:dyDescent="0.3">
      <c r="A1438" t="s">
        <v>2328</v>
      </c>
      <c r="B1438" t="s">
        <v>2327</v>
      </c>
      <c r="C1438" t="s">
        <v>40</v>
      </c>
      <c r="D1438">
        <v>49</v>
      </c>
      <c r="E1438" t="s">
        <v>132</v>
      </c>
      <c r="F1438" t="s">
        <v>20</v>
      </c>
      <c r="G1438" s="1">
        <v>46034</v>
      </c>
      <c r="H1438" s="1">
        <v>46014</v>
      </c>
      <c r="I1438" t="s">
        <v>2326</v>
      </c>
      <c r="J1438" t="s">
        <v>2325</v>
      </c>
      <c r="L1438">
        <v>10762.58</v>
      </c>
      <c r="M1438" t="s">
        <v>26</v>
      </c>
      <c r="N1438">
        <v>548</v>
      </c>
      <c r="O1438" t="s">
        <v>25</v>
      </c>
    </row>
    <row r="1439" spans="1:15" x14ac:dyDescent="0.3">
      <c r="A1439" t="s">
        <v>2324</v>
      </c>
      <c r="B1439" t="s">
        <v>2323</v>
      </c>
      <c r="D1439">
        <v>38</v>
      </c>
      <c r="E1439" t="s">
        <v>21</v>
      </c>
      <c r="F1439" t="s">
        <v>20</v>
      </c>
      <c r="G1439" s="1">
        <v>46072</v>
      </c>
      <c r="H1439" s="1">
        <v>46070</v>
      </c>
      <c r="I1439" t="s">
        <v>2322</v>
      </c>
      <c r="J1439" t="s">
        <v>2321</v>
      </c>
      <c r="K1439" t="s">
        <v>57</v>
      </c>
      <c r="L1439">
        <v>6184.06</v>
      </c>
      <c r="N1439">
        <v>528</v>
      </c>
      <c r="O1439" t="s">
        <v>25</v>
      </c>
    </row>
    <row r="1440" spans="1:15" x14ac:dyDescent="0.3">
      <c r="A1440" t="s">
        <v>2320</v>
      </c>
      <c r="B1440" t="s">
        <v>2319</v>
      </c>
      <c r="C1440" t="s">
        <v>123</v>
      </c>
      <c r="D1440">
        <v>54</v>
      </c>
      <c r="E1440" t="s">
        <v>47</v>
      </c>
      <c r="F1440" t="s">
        <v>20</v>
      </c>
      <c r="G1440" s="1">
        <v>46143</v>
      </c>
      <c r="H1440" s="1">
        <v>46148</v>
      </c>
      <c r="I1440" t="s">
        <v>2318</v>
      </c>
      <c r="J1440" t="s">
        <v>2317</v>
      </c>
      <c r="K1440" t="s">
        <v>26</v>
      </c>
      <c r="L1440">
        <v>21089.66</v>
      </c>
      <c r="M1440" t="s">
        <v>63</v>
      </c>
      <c r="N1440">
        <v>228</v>
      </c>
      <c r="O1440" t="s">
        <v>25</v>
      </c>
    </row>
    <row r="1441" spans="1:15" x14ac:dyDescent="0.3">
      <c r="A1441" t="s">
        <v>2316</v>
      </c>
      <c r="B1441" t="s">
        <v>2315</v>
      </c>
      <c r="C1441" t="s">
        <v>60</v>
      </c>
      <c r="D1441">
        <v>54</v>
      </c>
      <c r="E1441" t="s">
        <v>132</v>
      </c>
      <c r="F1441" t="s">
        <v>67</v>
      </c>
      <c r="G1441" s="1">
        <v>46058</v>
      </c>
      <c r="H1441" s="1">
        <v>46056</v>
      </c>
      <c r="I1441" t="s">
        <v>2314</v>
      </c>
      <c r="J1441" t="s">
        <v>2313</v>
      </c>
      <c r="K1441" t="s">
        <v>27</v>
      </c>
      <c r="L1441">
        <v>2708.05</v>
      </c>
      <c r="N1441">
        <v>224</v>
      </c>
      <c r="O1441" t="s">
        <v>34</v>
      </c>
    </row>
    <row r="1442" spans="1:15" x14ac:dyDescent="0.3">
      <c r="A1442" t="s">
        <v>2312</v>
      </c>
      <c r="B1442" t="s">
        <v>2311</v>
      </c>
      <c r="D1442">
        <v>29</v>
      </c>
      <c r="E1442" t="s">
        <v>54</v>
      </c>
      <c r="F1442" t="s">
        <v>30</v>
      </c>
      <c r="G1442" s="1">
        <v>46109</v>
      </c>
      <c r="H1442" s="1">
        <v>46106</v>
      </c>
      <c r="I1442" t="s">
        <v>2310</v>
      </c>
      <c r="J1442" t="s">
        <v>2309</v>
      </c>
      <c r="L1442">
        <v>14104.63</v>
      </c>
      <c r="N1442">
        <v>410</v>
      </c>
      <c r="O1442" t="s">
        <v>34</v>
      </c>
    </row>
    <row r="1443" spans="1:15" x14ac:dyDescent="0.3">
      <c r="A1443" t="s">
        <v>2308</v>
      </c>
      <c r="B1443" t="s">
        <v>2307</v>
      </c>
      <c r="C1443" t="s">
        <v>123</v>
      </c>
      <c r="D1443">
        <v>6</v>
      </c>
      <c r="E1443" t="s">
        <v>80</v>
      </c>
      <c r="F1443" t="s">
        <v>20</v>
      </c>
      <c r="G1443" s="1">
        <v>46050</v>
      </c>
      <c r="H1443" s="1">
        <v>46032</v>
      </c>
      <c r="I1443" t="s">
        <v>2306</v>
      </c>
      <c r="J1443" t="s">
        <v>2305</v>
      </c>
      <c r="K1443" t="s">
        <v>64</v>
      </c>
      <c r="L1443">
        <v>3113.34</v>
      </c>
      <c r="M1443" t="s">
        <v>57</v>
      </c>
      <c r="N1443">
        <v>284</v>
      </c>
      <c r="O1443" t="s">
        <v>34</v>
      </c>
    </row>
    <row r="1444" spans="1:15" x14ac:dyDescent="0.3">
      <c r="A1444" t="s">
        <v>2304</v>
      </c>
      <c r="B1444" t="s">
        <v>2303</v>
      </c>
      <c r="C1444" t="s">
        <v>123</v>
      </c>
      <c r="D1444">
        <v>51</v>
      </c>
      <c r="E1444" t="s">
        <v>47</v>
      </c>
      <c r="F1444" t="s">
        <v>67</v>
      </c>
      <c r="G1444" s="1">
        <v>46081</v>
      </c>
      <c r="H1444" s="1">
        <v>46061</v>
      </c>
      <c r="I1444" t="s">
        <v>2302</v>
      </c>
      <c r="J1444" t="s">
        <v>2301</v>
      </c>
      <c r="L1444">
        <v>21335.38</v>
      </c>
      <c r="M1444" t="s">
        <v>27</v>
      </c>
      <c r="N1444">
        <v>304</v>
      </c>
      <c r="O1444" t="s">
        <v>50</v>
      </c>
    </row>
    <row r="1445" spans="1:15" x14ac:dyDescent="0.3">
      <c r="A1445" t="s">
        <v>2300</v>
      </c>
      <c r="B1445" t="s">
        <v>2299</v>
      </c>
      <c r="C1445" t="s">
        <v>123</v>
      </c>
      <c r="D1445">
        <v>86</v>
      </c>
      <c r="E1445" t="s">
        <v>47</v>
      </c>
      <c r="F1445" t="s">
        <v>38</v>
      </c>
      <c r="G1445" s="1">
        <v>46124</v>
      </c>
      <c r="H1445" s="1">
        <v>46106</v>
      </c>
      <c r="I1445" t="s">
        <v>2298</v>
      </c>
      <c r="J1445" t="s">
        <v>2297</v>
      </c>
      <c r="K1445" t="s">
        <v>35</v>
      </c>
      <c r="L1445">
        <v>798.78</v>
      </c>
      <c r="M1445" t="s">
        <v>17</v>
      </c>
      <c r="N1445">
        <v>150</v>
      </c>
      <c r="O1445" t="s">
        <v>43</v>
      </c>
    </row>
    <row r="1446" spans="1:15" x14ac:dyDescent="0.3">
      <c r="A1446" t="s">
        <v>2296</v>
      </c>
      <c r="B1446" t="s">
        <v>2295</v>
      </c>
      <c r="C1446" t="s">
        <v>123</v>
      </c>
      <c r="D1446">
        <v>4</v>
      </c>
      <c r="E1446" t="s">
        <v>68</v>
      </c>
      <c r="F1446" t="s">
        <v>30</v>
      </c>
      <c r="G1446" s="1">
        <v>46060</v>
      </c>
      <c r="H1446" s="1">
        <v>46049</v>
      </c>
      <c r="I1446" t="s">
        <v>2294</v>
      </c>
      <c r="J1446" t="s">
        <v>2293</v>
      </c>
      <c r="K1446" t="s">
        <v>57</v>
      </c>
      <c r="L1446">
        <v>8938.99</v>
      </c>
      <c r="M1446" t="s">
        <v>57</v>
      </c>
      <c r="N1446">
        <v>241</v>
      </c>
      <c r="O1446" t="s">
        <v>16</v>
      </c>
    </row>
    <row r="1447" spans="1:15" x14ac:dyDescent="0.3">
      <c r="A1447" t="s">
        <v>2292</v>
      </c>
      <c r="B1447" t="s">
        <v>2291</v>
      </c>
      <c r="C1447" t="s">
        <v>40</v>
      </c>
      <c r="D1447">
        <v>42</v>
      </c>
      <c r="E1447" t="s">
        <v>68</v>
      </c>
      <c r="F1447" t="s">
        <v>30</v>
      </c>
      <c r="G1447" s="1">
        <v>46109</v>
      </c>
      <c r="H1447" s="1">
        <v>46085</v>
      </c>
      <c r="I1447" t="s">
        <v>2290</v>
      </c>
      <c r="J1447" t="s">
        <v>2289</v>
      </c>
      <c r="K1447" t="s">
        <v>35</v>
      </c>
      <c r="L1447">
        <v>5392.65</v>
      </c>
      <c r="M1447" t="s">
        <v>17</v>
      </c>
      <c r="N1447">
        <v>479</v>
      </c>
      <c r="O1447" t="s">
        <v>16</v>
      </c>
    </row>
    <row r="1448" spans="1:15" x14ac:dyDescent="0.3">
      <c r="A1448" t="s">
        <v>2288</v>
      </c>
      <c r="B1448" t="s">
        <v>2287</v>
      </c>
      <c r="C1448" t="s">
        <v>60</v>
      </c>
      <c r="D1448">
        <v>23</v>
      </c>
      <c r="E1448" t="s">
        <v>68</v>
      </c>
      <c r="F1448" t="s">
        <v>20</v>
      </c>
      <c r="G1448" s="1">
        <v>46104</v>
      </c>
      <c r="H1448" s="1">
        <v>46094</v>
      </c>
      <c r="I1448" t="s">
        <v>2286</v>
      </c>
      <c r="J1448" t="s">
        <v>2285</v>
      </c>
      <c r="K1448" t="s">
        <v>57</v>
      </c>
      <c r="L1448">
        <v>15486.79</v>
      </c>
      <c r="M1448" t="s">
        <v>57</v>
      </c>
      <c r="N1448">
        <v>262</v>
      </c>
      <c r="O1448" t="s">
        <v>50</v>
      </c>
    </row>
    <row r="1449" spans="1:15" x14ac:dyDescent="0.3">
      <c r="A1449" t="s">
        <v>2284</v>
      </c>
      <c r="B1449" t="s">
        <v>2283</v>
      </c>
      <c r="C1449" t="s">
        <v>22</v>
      </c>
      <c r="D1449">
        <v>13</v>
      </c>
      <c r="E1449" t="s">
        <v>80</v>
      </c>
      <c r="F1449" t="s">
        <v>90</v>
      </c>
      <c r="G1449" s="1">
        <v>46024</v>
      </c>
      <c r="H1449" s="1">
        <v>46014</v>
      </c>
      <c r="I1449" t="s">
        <v>2282</v>
      </c>
      <c r="J1449" t="s">
        <v>2281</v>
      </c>
      <c r="L1449">
        <v>16058.98</v>
      </c>
      <c r="N1449">
        <v>203</v>
      </c>
      <c r="O1449" t="s">
        <v>43</v>
      </c>
    </row>
    <row r="1450" spans="1:15" x14ac:dyDescent="0.3">
      <c r="A1450" t="s">
        <v>2280</v>
      </c>
      <c r="B1450" t="s">
        <v>2279</v>
      </c>
      <c r="D1450">
        <v>45</v>
      </c>
      <c r="E1450" t="s">
        <v>2278</v>
      </c>
      <c r="F1450" t="s">
        <v>85</v>
      </c>
      <c r="G1450" s="1">
        <v>46068</v>
      </c>
      <c r="H1450" s="1">
        <v>46040</v>
      </c>
      <c r="I1450" t="s">
        <v>2277</v>
      </c>
      <c r="K1450" t="s">
        <v>57</v>
      </c>
      <c r="L1450">
        <v>-500</v>
      </c>
      <c r="M1450" t="s">
        <v>26</v>
      </c>
      <c r="N1450">
        <v>265</v>
      </c>
      <c r="O1450" t="s">
        <v>77</v>
      </c>
    </row>
    <row r="1451" spans="1:15" x14ac:dyDescent="0.3">
      <c r="A1451" t="s">
        <v>2276</v>
      </c>
      <c r="B1451" t="s">
        <v>2275</v>
      </c>
      <c r="C1451" t="s">
        <v>74</v>
      </c>
      <c r="D1451">
        <v>25</v>
      </c>
      <c r="E1451" t="s">
        <v>132</v>
      </c>
      <c r="F1451" t="s">
        <v>30</v>
      </c>
      <c r="G1451" s="1">
        <v>46103</v>
      </c>
      <c r="H1451" s="1">
        <v>46079</v>
      </c>
      <c r="I1451" t="s">
        <v>2274</v>
      </c>
      <c r="J1451" t="s">
        <v>2273</v>
      </c>
      <c r="K1451" t="s">
        <v>35</v>
      </c>
      <c r="L1451">
        <v>10069.69</v>
      </c>
      <c r="M1451" t="s">
        <v>64</v>
      </c>
      <c r="N1451">
        <v>201</v>
      </c>
      <c r="O1451" t="s">
        <v>77</v>
      </c>
    </row>
    <row r="1452" spans="1:15" x14ac:dyDescent="0.3">
      <c r="A1452" t="s">
        <v>2272</v>
      </c>
      <c r="B1452" t="s">
        <v>2271</v>
      </c>
      <c r="C1452" t="s">
        <v>74</v>
      </c>
      <c r="D1452">
        <v>77</v>
      </c>
      <c r="E1452" t="s">
        <v>54</v>
      </c>
      <c r="F1452" t="s">
        <v>30</v>
      </c>
      <c r="G1452" s="1">
        <v>46080</v>
      </c>
      <c r="H1452" s="1">
        <v>46076</v>
      </c>
      <c r="I1452" t="s">
        <v>2270</v>
      </c>
      <c r="J1452" t="s">
        <v>2269</v>
      </c>
      <c r="K1452" t="s">
        <v>57</v>
      </c>
      <c r="L1452">
        <v>13414.13</v>
      </c>
      <c r="N1452">
        <v>168</v>
      </c>
      <c r="O1452" t="s">
        <v>16</v>
      </c>
    </row>
    <row r="1453" spans="1:15" x14ac:dyDescent="0.3">
      <c r="A1453" t="s">
        <v>2268</v>
      </c>
      <c r="B1453" t="s">
        <v>2267</v>
      </c>
      <c r="C1453" t="s">
        <v>74</v>
      </c>
      <c r="D1453">
        <v>38</v>
      </c>
      <c r="E1453" t="s">
        <v>80</v>
      </c>
      <c r="F1453" t="s">
        <v>67</v>
      </c>
      <c r="G1453" s="1">
        <v>46084</v>
      </c>
      <c r="H1453" s="1">
        <v>46077</v>
      </c>
      <c r="I1453" t="s">
        <v>2266</v>
      </c>
      <c r="J1453" t="s">
        <v>2265</v>
      </c>
      <c r="L1453">
        <v>20688.12</v>
      </c>
      <c r="M1453" t="s">
        <v>57</v>
      </c>
      <c r="N1453">
        <v>380</v>
      </c>
      <c r="O1453" t="s">
        <v>71</v>
      </c>
    </row>
    <row r="1454" spans="1:15" x14ac:dyDescent="0.3">
      <c r="A1454" t="s">
        <v>2264</v>
      </c>
      <c r="B1454" t="s">
        <v>2263</v>
      </c>
      <c r="C1454" t="s">
        <v>22</v>
      </c>
      <c r="D1454">
        <v>4</v>
      </c>
      <c r="E1454" t="s">
        <v>68</v>
      </c>
      <c r="F1454" t="s">
        <v>38</v>
      </c>
      <c r="G1454" s="1">
        <v>46075</v>
      </c>
      <c r="H1454" s="1">
        <v>46049</v>
      </c>
      <c r="I1454" t="s">
        <v>2262</v>
      </c>
      <c r="J1454" t="s">
        <v>2261</v>
      </c>
      <c r="K1454" t="s">
        <v>17</v>
      </c>
      <c r="L1454">
        <v>6284.72</v>
      </c>
      <c r="M1454" t="s">
        <v>57</v>
      </c>
      <c r="N1454">
        <v>325</v>
      </c>
      <c r="O1454" t="s">
        <v>25</v>
      </c>
    </row>
    <row r="1455" spans="1:15" x14ac:dyDescent="0.3">
      <c r="A1455" t="s">
        <v>2260</v>
      </c>
      <c r="B1455" t="s">
        <v>2259</v>
      </c>
      <c r="C1455" t="s">
        <v>1</v>
      </c>
      <c r="D1455">
        <v>19</v>
      </c>
      <c r="E1455" t="s">
        <v>47</v>
      </c>
      <c r="F1455" t="s">
        <v>30</v>
      </c>
      <c r="G1455" s="1">
        <v>46023</v>
      </c>
      <c r="H1455" s="1">
        <v>46016</v>
      </c>
      <c r="I1455" t="s">
        <v>2258</v>
      </c>
      <c r="J1455" t="s">
        <v>2257</v>
      </c>
      <c r="K1455" t="s">
        <v>27</v>
      </c>
      <c r="L1455">
        <v>21466.78</v>
      </c>
      <c r="N1455">
        <v>529</v>
      </c>
      <c r="O1455" t="s">
        <v>16</v>
      </c>
    </row>
    <row r="1456" spans="1:15" x14ac:dyDescent="0.3">
      <c r="A1456" t="s">
        <v>2256</v>
      </c>
      <c r="B1456" t="s">
        <v>2255</v>
      </c>
      <c r="C1456" t="s">
        <v>123</v>
      </c>
      <c r="D1456">
        <v>72</v>
      </c>
      <c r="E1456" t="s">
        <v>21</v>
      </c>
      <c r="F1456" t="s">
        <v>90</v>
      </c>
      <c r="G1456" s="1">
        <v>45997</v>
      </c>
      <c r="H1456" s="1">
        <v>45992</v>
      </c>
      <c r="I1456" t="s">
        <v>2254</v>
      </c>
      <c r="J1456" t="s">
        <v>2253</v>
      </c>
      <c r="L1456">
        <v>15755.93</v>
      </c>
      <c r="N1456">
        <v>482</v>
      </c>
      <c r="O1456" t="s">
        <v>43</v>
      </c>
    </row>
    <row r="1457" spans="1:15" x14ac:dyDescent="0.3">
      <c r="A1457" t="s">
        <v>2252</v>
      </c>
      <c r="B1457" t="s">
        <v>2251</v>
      </c>
      <c r="C1457" t="s">
        <v>60</v>
      </c>
      <c r="D1457">
        <v>34</v>
      </c>
      <c r="E1457" t="s">
        <v>54</v>
      </c>
      <c r="F1457" t="s">
        <v>67</v>
      </c>
      <c r="G1457" s="1">
        <v>46013</v>
      </c>
      <c r="H1457" s="1">
        <v>46002</v>
      </c>
      <c r="I1457" t="s">
        <v>2250</v>
      </c>
      <c r="J1457" t="s">
        <v>2249</v>
      </c>
      <c r="K1457" t="s">
        <v>17</v>
      </c>
      <c r="L1457">
        <v>8139.84</v>
      </c>
      <c r="M1457" t="s">
        <v>17</v>
      </c>
      <c r="N1457">
        <v>139</v>
      </c>
      <c r="O1457" t="s">
        <v>25</v>
      </c>
    </row>
    <row r="1458" spans="1:15" x14ac:dyDescent="0.3">
      <c r="A1458" t="s">
        <v>2248</v>
      </c>
      <c r="B1458" t="s">
        <v>2247</v>
      </c>
      <c r="C1458" t="s">
        <v>0</v>
      </c>
      <c r="D1458">
        <v>42</v>
      </c>
      <c r="E1458" t="s">
        <v>21</v>
      </c>
      <c r="F1458" t="s">
        <v>53</v>
      </c>
      <c r="G1458" s="1">
        <v>46143</v>
      </c>
      <c r="H1458" s="1">
        <v>46140</v>
      </c>
      <c r="I1458" t="s">
        <v>2246</v>
      </c>
      <c r="J1458" t="s">
        <v>2245</v>
      </c>
      <c r="L1458">
        <v>13476.93</v>
      </c>
      <c r="M1458" t="s">
        <v>64</v>
      </c>
      <c r="N1458">
        <v>513</v>
      </c>
      <c r="O1458" t="s">
        <v>50</v>
      </c>
    </row>
    <row r="1459" spans="1:15" x14ac:dyDescent="0.3">
      <c r="A1459" t="s">
        <v>2244</v>
      </c>
      <c r="B1459" t="s">
        <v>2243</v>
      </c>
      <c r="C1459" t="s">
        <v>1</v>
      </c>
      <c r="D1459">
        <v>45</v>
      </c>
      <c r="E1459" t="s">
        <v>21</v>
      </c>
      <c r="F1459" t="s">
        <v>85</v>
      </c>
      <c r="G1459" s="1">
        <v>46097</v>
      </c>
      <c r="H1459" s="1">
        <v>46089</v>
      </c>
      <c r="I1459" t="s">
        <v>2242</v>
      </c>
      <c r="J1459" t="s">
        <v>2241</v>
      </c>
      <c r="K1459" t="s">
        <v>27</v>
      </c>
      <c r="L1459">
        <v>11613.92</v>
      </c>
      <c r="N1459">
        <v>354</v>
      </c>
      <c r="O1459" t="s">
        <v>34</v>
      </c>
    </row>
    <row r="1460" spans="1:15" x14ac:dyDescent="0.3">
      <c r="A1460" t="s">
        <v>2240</v>
      </c>
      <c r="B1460" t="s">
        <v>2239</v>
      </c>
      <c r="C1460" t="s">
        <v>123</v>
      </c>
      <c r="D1460">
        <v>9</v>
      </c>
      <c r="E1460" t="s">
        <v>39</v>
      </c>
      <c r="F1460" t="s">
        <v>46</v>
      </c>
      <c r="G1460" s="1">
        <v>46100</v>
      </c>
      <c r="H1460" s="1">
        <v>46083</v>
      </c>
      <c r="I1460" t="s">
        <v>510</v>
      </c>
      <c r="J1460" t="s">
        <v>2238</v>
      </c>
      <c r="L1460">
        <v>14063.1</v>
      </c>
      <c r="M1460" t="s">
        <v>27</v>
      </c>
      <c r="N1460">
        <v>277</v>
      </c>
      <c r="O1460" t="s">
        <v>16</v>
      </c>
    </row>
    <row r="1461" spans="1:15" x14ac:dyDescent="0.3">
      <c r="A1461" t="s">
        <v>2237</v>
      </c>
      <c r="B1461" t="s">
        <v>2236</v>
      </c>
      <c r="C1461" t="s">
        <v>0</v>
      </c>
      <c r="D1461">
        <v>9</v>
      </c>
      <c r="E1461" t="s">
        <v>31</v>
      </c>
      <c r="F1461" t="s">
        <v>20</v>
      </c>
      <c r="G1461" s="1">
        <v>46175</v>
      </c>
      <c r="H1461" s="1">
        <v>46145</v>
      </c>
      <c r="I1461" t="s">
        <v>2235</v>
      </c>
      <c r="J1461" t="s">
        <v>2234</v>
      </c>
      <c r="K1461" t="s">
        <v>26</v>
      </c>
      <c r="L1461">
        <v>14329.89</v>
      </c>
      <c r="M1461" t="s">
        <v>27</v>
      </c>
      <c r="N1461">
        <v>465</v>
      </c>
      <c r="O1461" t="s">
        <v>34</v>
      </c>
    </row>
    <row r="1462" spans="1:15" x14ac:dyDescent="0.3">
      <c r="A1462" t="s">
        <v>2233</v>
      </c>
      <c r="B1462" t="s">
        <v>2232</v>
      </c>
      <c r="D1462">
        <v>56</v>
      </c>
      <c r="E1462" t="s">
        <v>39</v>
      </c>
      <c r="F1462" t="s">
        <v>90</v>
      </c>
      <c r="G1462" s="1">
        <v>46079</v>
      </c>
      <c r="H1462" s="1">
        <v>46073</v>
      </c>
      <c r="I1462" t="s">
        <v>2231</v>
      </c>
      <c r="J1462" t="s">
        <v>2230</v>
      </c>
      <c r="L1462">
        <v>7883.67</v>
      </c>
      <c r="M1462" t="s">
        <v>63</v>
      </c>
      <c r="N1462">
        <v>269</v>
      </c>
      <c r="O1462" t="s">
        <v>71</v>
      </c>
    </row>
    <row r="1463" spans="1:15" x14ac:dyDescent="0.3">
      <c r="A1463" t="s">
        <v>2229</v>
      </c>
      <c r="B1463" t="s">
        <v>2228</v>
      </c>
      <c r="C1463" t="s">
        <v>123</v>
      </c>
      <c r="D1463">
        <v>19</v>
      </c>
      <c r="E1463" t="s">
        <v>31</v>
      </c>
      <c r="F1463" t="s">
        <v>46</v>
      </c>
      <c r="G1463" s="1">
        <v>46146</v>
      </c>
      <c r="H1463" s="1">
        <v>46127</v>
      </c>
      <c r="I1463" t="s">
        <v>2227</v>
      </c>
      <c r="J1463" t="s">
        <v>2226</v>
      </c>
      <c r="K1463" t="s">
        <v>27</v>
      </c>
      <c r="L1463">
        <v>17860.419999999998</v>
      </c>
      <c r="M1463" t="s">
        <v>17</v>
      </c>
      <c r="N1463">
        <v>400</v>
      </c>
      <c r="O1463" t="s">
        <v>77</v>
      </c>
    </row>
    <row r="1464" spans="1:15" x14ac:dyDescent="0.3">
      <c r="A1464" t="s">
        <v>2225</v>
      </c>
      <c r="B1464" t="s">
        <v>2224</v>
      </c>
      <c r="C1464" t="s">
        <v>74</v>
      </c>
      <c r="D1464">
        <v>79</v>
      </c>
      <c r="E1464" t="s">
        <v>80</v>
      </c>
      <c r="F1464" t="s">
        <v>90</v>
      </c>
      <c r="G1464" s="1">
        <v>46110</v>
      </c>
      <c r="H1464" s="1">
        <v>46087</v>
      </c>
      <c r="I1464" t="s">
        <v>2223</v>
      </c>
      <c r="J1464" t="s">
        <v>2222</v>
      </c>
      <c r="K1464" t="s">
        <v>35</v>
      </c>
      <c r="L1464">
        <v>18367.400000000001</v>
      </c>
      <c r="M1464" t="s">
        <v>57</v>
      </c>
      <c r="N1464">
        <v>407</v>
      </c>
      <c r="O1464" t="s">
        <v>50</v>
      </c>
    </row>
    <row r="1465" spans="1:15" x14ac:dyDescent="0.3">
      <c r="A1465" t="s">
        <v>2221</v>
      </c>
      <c r="B1465" t="s">
        <v>2220</v>
      </c>
      <c r="C1465" t="s">
        <v>0</v>
      </c>
      <c r="D1465">
        <v>24</v>
      </c>
      <c r="E1465" t="s">
        <v>47</v>
      </c>
      <c r="F1465" t="s">
        <v>85</v>
      </c>
      <c r="G1465" s="1">
        <v>46049</v>
      </c>
      <c r="H1465" s="1">
        <v>46026</v>
      </c>
      <c r="I1465" t="s">
        <v>2219</v>
      </c>
      <c r="J1465" t="s">
        <v>2218</v>
      </c>
      <c r="K1465" t="s">
        <v>64</v>
      </c>
      <c r="L1465">
        <v>8428.39</v>
      </c>
      <c r="M1465" t="s">
        <v>64</v>
      </c>
      <c r="N1465">
        <v>306</v>
      </c>
      <c r="O1465" t="s">
        <v>34</v>
      </c>
    </row>
    <row r="1466" spans="1:15" x14ac:dyDescent="0.3">
      <c r="A1466" t="s">
        <v>2217</v>
      </c>
      <c r="B1466" t="s">
        <v>2216</v>
      </c>
      <c r="C1466" t="s">
        <v>123</v>
      </c>
      <c r="D1466">
        <v>53</v>
      </c>
      <c r="E1466" t="s">
        <v>54</v>
      </c>
      <c r="F1466" t="s">
        <v>85</v>
      </c>
      <c r="G1466" s="1">
        <v>46030</v>
      </c>
      <c r="H1466" s="1">
        <v>46026</v>
      </c>
      <c r="I1466" t="s">
        <v>2215</v>
      </c>
      <c r="J1466" t="s">
        <v>2214</v>
      </c>
      <c r="K1466" t="s">
        <v>57</v>
      </c>
      <c r="L1466">
        <v>4738.1400000000003</v>
      </c>
      <c r="M1466" t="s">
        <v>63</v>
      </c>
      <c r="N1466">
        <v>281</v>
      </c>
      <c r="O1466" t="s">
        <v>71</v>
      </c>
    </row>
    <row r="1467" spans="1:15" x14ac:dyDescent="0.3">
      <c r="A1467" t="s">
        <v>2213</v>
      </c>
      <c r="B1467" t="s">
        <v>2212</v>
      </c>
      <c r="C1467" t="s">
        <v>123</v>
      </c>
      <c r="D1467">
        <v>33</v>
      </c>
      <c r="E1467" t="s">
        <v>68</v>
      </c>
      <c r="F1467" t="s">
        <v>20</v>
      </c>
      <c r="G1467" s="1">
        <v>46022</v>
      </c>
      <c r="H1467" s="1">
        <v>46017</v>
      </c>
      <c r="I1467" t="s">
        <v>2211</v>
      </c>
      <c r="J1467" t="s">
        <v>2210</v>
      </c>
      <c r="K1467" t="s">
        <v>26</v>
      </c>
      <c r="L1467">
        <v>10155.41</v>
      </c>
      <c r="M1467" t="s">
        <v>57</v>
      </c>
      <c r="N1467">
        <v>279</v>
      </c>
      <c r="O1467" t="s">
        <v>25</v>
      </c>
    </row>
    <row r="1468" spans="1:15" x14ac:dyDescent="0.3">
      <c r="A1468" t="s">
        <v>2209</v>
      </c>
      <c r="B1468" t="s">
        <v>2208</v>
      </c>
      <c r="C1468" t="s">
        <v>74</v>
      </c>
      <c r="D1468">
        <v>44</v>
      </c>
      <c r="E1468" t="s">
        <v>68</v>
      </c>
      <c r="F1468" t="s">
        <v>20</v>
      </c>
      <c r="G1468" s="1">
        <v>46037</v>
      </c>
      <c r="H1468" s="1">
        <v>46021</v>
      </c>
      <c r="I1468" t="s">
        <v>2207</v>
      </c>
      <c r="J1468" t="s">
        <v>2206</v>
      </c>
      <c r="K1468" t="s">
        <v>26</v>
      </c>
      <c r="L1468">
        <v>705.94</v>
      </c>
      <c r="M1468" t="s">
        <v>27</v>
      </c>
      <c r="N1468">
        <v>385</v>
      </c>
      <c r="O1468" t="s">
        <v>77</v>
      </c>
    </row>
    <row r="1469" spans="1:15" x14ac:dyDescent="0.3">
      <c r="A1469" t="s">
        <v>2205</v>
      </c>
      <c r="B1469" t="s">
        <v>2204</v>
      </c>
      <c r="C1469" t="s">
        <v>60</v>
      </c>
      <c r="D1469">
        <v>13</v>
      </c>
      <c r="E1469" t="s">
        <v>39</v>
      </c>
      <c r="F1469" t="s">
        <v>46</v>
      </c>
      <c r="G1469" s="1">
        <v>46090</v>
      </c>
      <c r="H1469" s="1">
        <v>46060</v>
      </c>
      <c r="I1469" t="s">
        <v>2203</v>
      </c>
      <c r="J1469" t="s">
        <v>2202</v>
      </c>
      <c r="K1469" t="s">
        <v>27</v>
      </c>
      <c r="L1469">
        <v>315.58999999999997</v>
      </c>
      <c r="N1469">
        <v>256</v>
      </c>
      <c r="O1469" t="s">
        <v>77</v>
      </c>
    </row>
    <row r="1470" spans="1:15" x14ac:dyDescent="0.3">
      <c r="A1470" t="s">
        <v>2201</v>
      </c>
      <c r="B1470" t="s">
        <v>2200</v>
      </c>
      <c r="C1470" t="s">
        <v>60</v>
      </c>
      <c r="D1470">
        <v>9</v>
      </c>
      <c r="E1470" t="s">
        <v>39</v>
      </c>
      <c r="F1470" t="s">
        <v>38</v>
      </c>
      <c r="G1470" s="1">
        <v>46094</v>
      </c>
      <c r="H1470" s="1">
        <v>46074</v>
      </c>
      <c r="I1470" t="s">
        <v>2199</v>
      </c>
      <c r="J1470" t="s">
        <v>2198</v>
      </c>
      <c r="L1470">
        <v>4708.3100000000004</v>
      </c>
      <c r="M1470" t="s">
        <v>57</v>
      </c>
      <c r="N1470">
        <v>276</v>
      </c>
      <c r="O1470" t="s">
        <v>77</v>
      </c>
    </row>
    <row r="1471" spans="1:15" x14ac:dyDescent="0.3">
      <c r="A1471" t="s">
        <v>2197</v>
      </c>
      <c r="B1471" t="s">
        <v>2196</v>
      </c>
      <c r="C1471" t="s">
        <v>0</v>
      </c>
      <c r="D1471">
        <v>77</v>
      </c>
      <c r="E1471" t="s">
        <v>31</v>
      </c>
      <c r="F1471" t="s">
        <v>53</v>
      </c>
      <c r="G1471" s="1">
        <v>46155</v>
      </c>
      <c r="H1471" s="1">
        <v>46127</v>
      </c>
      <c r="I1471" t="s">
        <v>2195</v>
      </c>
      <c r="J1471" t="s">
        <v>2194</v>
      </c>
      <c r="L1471">
        <v>17717.919999999998</v>
      </c>
      <c r="M1471" t="s">
        <v>26</v>
      </c>
      <c r="N1471">
        <v>359</v>
      </c>
      <c r="O1471" t="s">
        <v>71</v>
      </c>
    </row>
    <row r="1472" spans="1:15" x14ac:dyDescent="0.3">
      <c r="A1472" t="s">
        <v>2193</v>
      </c>
      <c r="B1472" t="s">
        <v>2192</v>
      </c>
      <c r="D1472">
        <v>4</v>
      </c>
      <c r="E1472" t="s">
        <v>47</v>
      </c>
      <c r="F1472" t="s">
        <v>20</v>
      </c>
      <c r="G1472" s="1">
        <v>46100</v>
      </c>
      <c r="H1472" s="1">
        <v>46075</v>
      </c>
      <c r="I1472" t="s">
        <v>2191</v>
      </c>
      <c r="J1472" t="s">
        <v>2190</v>
      </c>
      <c r="K1472" t="s">
        <v>26</v>
      </c>
      <c r="L1472">
        <v>23388.81</v>
      </c>
      <c r="M1472" t="s">
        <v>64</v>
      </c>
      <c r="N1472">
        <v>278</v>
      </c>
      <c r="O1472" t="s">
        <v>25</v>
      </c>
    </row>
    <row r="1473" spans="1:15" x14ac:dyDescent="0.3">
      <c r="A1473" t="s">
        <v>2189</v>
      </c>
      <c r="B1473" t="s">
        <v>2188</v>
      </c>
      <c r="C1473" t="s">
        <v>0</v>
      </c>
      <c r="D1473">
        <v>76</v>
      </c>
      <c r="E1473" t="s">
        <v>39</v>
      </c>
      <c r="F1473" t="s">
        <v>20</v>
      </c>
      <c r="G1473" s="1">
        <v>46164</v>
      </c>
      <c r="H1473" s="1">
        <v>46149</v>
      </c>
      <c r="I1473" t="s">
        <v>2187</v>
      </c>
      <c r="J1473" t="s">
        <v>2186</v>
      </c>
      <c r="K1473" t="s">
        <v>17</v>
      </c>
      <c r="L1473">
        <v>15166.88</v>
      </c>
      <c r="M1473" t="s">
        <v>17</v>
      </c>
      <c r="N1473">
        <v>332</v>
      </c>
      <c r="O1473" t="s">
        <v>25</v>
      </c>
    </row>
    <row r="1474" spans="1:15" x14ac:dyDescent="0.3">
      <c r="A1474" t="s">
        <v>2185</v>
      </c>
      <c r="B1474" t="s">
        <v>2184</v>
      </c>
      <c r="C1474" t="s">
        <v>123</v>
      </c>
      <c r="D1474">
        <v>58</v>
      </c>
      <c r="E1474" t="s">
        <v>80</v>
      </c>
      <c r="F1474" t="s">
        <v>20</v>
      </c>
      <c r="G1474" s="1">
        <v>46036</v>
      </c>
      <c r="H1474" s="1">
        <v>46026</v>
      </c>
      <c r="I1474" t="s">
        <v>2183</v>
      </c>
      <c r="J1474" t="s">
        <v>2182</v>
      </c>
      <c r="K1474" t="s">
        <v>17</v>
      </c>
      <c r="L1474">
        <v>9269.2000000000007</v>
      </c>
      <c r="M1474" t="s">
        <v>57</v>
      </c>
      <c r="N1474">
        <v>518</v>
      </c>
      <c r="O1474" t="s">
        <v>16</v>
      </c>
    </row>
    <row r="1475" spans="1:15" x14ac:dyDescent="0.3">
      <c r="A1475" t="s">
        <v>2181</v>
      </c>
      <c r="B1475" t="s">
        <v>2180</v>
      </c>
      <c r="C1475" t="s">
        <v>1</v>
      </c>
      <c r="D1475">
        <v>52</v>
      </c>
      <c r="E1475" t="s">
        <v>47</v>
      </c>
      <c r="F1475" t="s">
        <v>67</v>
      </c>
      <c r="G1475" s="1">
        <v>46095</v>
      </c>
      <c r="H1475" s="1">
        <v>46094</v>
      </c>
      <c r="I1475" t="s">
        <v>2179</v>
      </c>
      <c r="J1475" t="s">
        <v>2178</v>
      </c>
      <c r="L1475">
        <v>20310.5</v>
      </c>
      <c r="M1475" t="s">
        <v>64</v>
      </c>
      <c r="N1475">
        <v>534</v>
      </c>
      <c r="O1475" t="s">
        <v>34</v>
      </c>
    </row>
    <row r="1476" spans="1:15" x14ac:dyDescent="0.3">
      <c r="A1476" t="s">
        <v>2177</v>
      </c>
      <c r="B1476" t="s">
        <v>2176</v>
      </c>
      <c r="C1476" t="s">
        <v>74</v>
      </c>
      <c r="D1476">
        <v>85</v>
      </c>
      <c r="E1476" t="s">
        <v>31</v>
      </c>
      <c r="F1476" t="s">
        <v>90</v>
      </c>
      <c r="G1476" s="1">
        <v>46068</v>
      </c>
      <c r="H1476" s="1">
        <v>46044</v>
      </c>
      <c r="I1476" t="s">
        <v>2175</v>
      </c>
      <c r="J1476" t="s">
        <v>2174</v>
      </c>
      <c r="K1476" t="s">
        <v>17</v>
      </c>
      <c r="L1476">
        <v>7207.53</v>
      </c>
      <c r="M1476" t="s">
        <v>26</v>
      </c>
      <c r="N1476">
        <v>329</v>
      </c>
      <c r="O1476" t="s">
        <v>50</v>
      </c>
    </row>
    <row r="1477" spans="1:15" x14ac:dyDescent="0.3">
      <c r="A1477" t="s">
        <v>2173</v>
      </c>
      <c r="B1477" t="s">
        <v>2172</v>
      </c>
      <c r="C1477" t="s">
        <v>1</v>
      </c>
      <c r="D1477">
        <v>38</v>
      </c>
      <c r="E1477" t="s">
        <v>54</v>
      </c>
      <c r="F1477" t="s">
        <v>90</v>
      </c>
      <c r="G1477" s="1">
        <v>45991</v>
      </c>
      <c r="H1477" s="1">
        <v>45978</v>
      </c>
      <c r="I1477" t="s">
        <v>2171</v>
      </c>
      <c r="J1477" t="s">
        <v>2170</v>
      </c>
      <c r="L1477">
        <v>2243.2399999999998</v>
      </c>
      <c r="M1477" t="s">
        <v>27</v>
      </c>
      <c r="N1477">
        <v>351</v>
      </c>
      <c r="O1477" t="s">
        <v>77</v>
      </c>
    </row>
    <row r="1478" spans="1:15" x14ac:dyDescent="0.3">
      <c r="A1478" t="s">
        <v>2169</v>
      </c>
      <c r="B1478" t="s">
        <v>2168</v>
      </c>
      <c r="C1478" t="s">
        <v>60</v>
      </c>
      <c r="D1478">
        <v>72</v>
      </c>
      <c r="E1478" t="s">
        <v>68</v>
      </c>
      <c r="F1478" t="s">
        <v>90</v>
      </c>
      <c r="G1478" s="1">
        <v>46052</v>
      </c>
      <c r="H1478" s="1">
        <v>46043</v>
      </c>
      <c r="I1478" t="s">
        <v>2167</v>
      </c>
      <c r="J1478" t="s">
        <v>2166</v>
      </c>
      <c r="L1478">
        <v>24808.73</v>
      </c>
      <c r="M1478" t="s">
        <v>63</v>
      </c>
      <c r="N1478">
        <v>494</v>
      </c>
      <c r="O1478" t="s">
        <v>25</v>
      </c>
    </row>
    <row r="1479" spans="1:15" x14ac:dyDescent="0.3">
      <c r="A1479" t="s">
        <v>2165</v>
      </c>
      <c r="B1479" t="s">
        <v>2164</v>
      </c>
      <c r="C1479" t="s">
        <v>40</v>
      </c>
      <c r="D1479">
        <v>68</v>
      </c>
      <c r="E1479" t="s">
        <v>47</v>
      </c>
      <c r="F1479" t="s">
        <v>38</v>
      </c>
      <c r="G1479" s="1">
        <v>46009</v>
      </c>
      <c r="H1479" s="1">
        <v>45979</v>
      </c>
      <c r="I1479" t="s">
        <v>2163</v>
      </c>
      <c r="J1479" t="s">
        <v>2162</v>
      </c>
      <c r="K1479" t="s">
        <v>64</v>
      </c>
      <c r="L1479">
        <v>7816.57</v>
      </c>
      <c r="M1479" t="s">
        <v>26</v>
      </c>
      <c r="N1479">
        <v>428</v>
      </c>
      <c r="O1479" t="s">
        <v>43</v>
      </c>
    </row>
    <row r="1480" spans="1:15" x14ac:dyDescent="0.3">
      <c r="A1480" t="s">
        <v>2161</v>
      </c>
      <c r="B1480" t="s">
        <v>2160</v>
      </c>
      <c r="C1480" t="s">
        <v>40</v>
      </c>
      <c r="D1480">
        <v>69</v>
      </c>
      <c r="E1480" t="s">
        <v>47</v>
      </c>
      <c r="F1480" t="s">
        <v>46</v>
      </c>
      <c r="G1480" s="1">
        <v>46162</v>
      </c>
      <c r="H1480" s="1">
        <v>46132</v>
      </c>
      <c r="I1480" t="s">
        <v>2159</v>
      </c>
      <c r="J1480" t="s">
        <v>2158</v>
      </c>
      <c r="K1480" t="s">
        <v>26</v>
      </c>
      <c r="L1480" t="s">
        <v>488</v>
      </c>
      <c r="M1480" t="s">
        <v>17</v>
      </c>
      <c r="N1480">
        <v>375</v>
      </c>
      <c r="O1480" t="s">
        <v>77</v>
      </c>
    </row>
    <row r="1481" spans="1:15" x14ac:dyDescent="0.3">
      <c r="A1481" t="s">
        <v>2157</v>
      </c>
      <c r="B1481" t="s">
        <v>2156</v>
      </c>
      <c r="C1481" t="s">
        <v>123</v>
      </c>
      <c r="D1481">
        <v>66</v>
      </c>
      <c r="E1481" t="s">
        <v>39</v>
      </c>
      <c r="F1481" t="s">
        <v>67</v>
      </c>
      <c r="G1481" s="1">
        <v>46165</v>
      </c>
      <c r="H1481" s="1">
        <v>46144</v>
      </c>
      <c r="I1481" t="s">
        <v>2155</v>
      </c>
      <c r="J1481" t="s">
        <v>2154</v>
      </c>
      <c r="K1481" t="s">
        <v>27</v>
      </c>
      <c r="L1481">
        <v>22784.42</v>
      </c>
      <c r="M1481" t="s">
        <v>64</v>
      </c>
      <c r="N1481">
        <v>334</v>
      </c>
      <c r="O1481" t="s">
        <v>71</v>
      </c>
    </row>
    <row r="1482" spans="1:15" x14ac:dyDescent="0.3">
      <c r="A1482" t="s">
        <v>2153</v>
      </c>
      <c r="B1482" t="s">
        <v>2152</v>
      </c>
      <c r="C1482" t="s">
        <v>1</v>
      </c>
      <c r="D1482">
        <v>41</v>
      </c>
      <c r="E1482" t="s">
        <v>80</v>
      </c>
      <c r="F1482" t="s">
        <v>38</v>
      </c>
      <c r="G1482" s="1">
        <v>46031</v>
      </c>
      <c r="H1482" s="1">
        <v>46016</v>
      </c>
      <c r="I1482" t="s">
        <v>2151</v>
      </c>
      <c r="J1482" t="s">
        <v>2150</v>
      </c>
      <c r="K1482" t="s">
        <v>17</v>
      </c>
      <c r="L1482">
        <v>14364.4</v>
      </c>
      <c r="M1482" t="s">
        <v>27</v>
      </c>
      <c r="N1482">
        <v>123</v>
      </c>
      <c r="O1482" t="s">
        <v>16</v>
      </c>
    </row>
    <row r="1483" spans="1:15" x14ac:dyDescent="0.3">
      <c r="A1483" t="s">
        <v>2149</v>
      </c>
      <c r="B1483" t="s">
        <v>2148</v>
      </c>
      <c r="C1483" t="s">
        <v>1</v>
      </c>
      <c r="D1483">
        <v>89</v>
      </c>
      <c r="E1483" t="s">
        <v>80</v>
      </c>
      <c r="F1483" t="s">
        <v>30</v>
      </c>
      <c r="G1483" s="1">
        <v>46131</v>
      </c>
      <c r="H1483" s="1">
        <v>46131</v>
      </c>
      <c r="I1483" t="s">
        <v>2147</v>
      </c>
      <c r="J1483" t="s">
        <v>2146</v>
      </c>
      <c r="K1483" t="s">
        <v>17</v>
      </c>
      <c r="L1483">
        <v>16557.939999999999</v>
      </c>
      <c r="M1483" t="s">
        <v>17</v>
      </c>
      <c r="N1483">
        <v>190</v>
      </c>
      <c r="O1483" t="s">
        <v>16</v>
      </c>
    </row>
    <row r="1484" spans="1:15" x14ac:dyDescent="0.3">
      <c r="A1484" t="s">
        <v>2145</v>
      </c>
      <c r="B1484" t="s">
        <v>2144</v>
      </c>
      <c r="C1484" t="s">
        <v>1</v>
      </c>
      <c r="D1484">
        <v>48</v>
      </c>
      <c r="E1484" t="s">
        <v>54</v>
      </c>
      <c r="F1484" t="s">
        <v>46</v>
      </c>
      <c r="G1484" s="1">
        <v>46010</v>
      </c>
      <c r="H1484" s="1">
        <v>46006</v>
      </c>
      <c r="I1484" t="s">
        <v>2143</v>
      </c>
      <c r="J1484" t="s">
        <v>2142</v>
      </c>
      <c r="K1484" t="s">
        <v>35</v>
      </c>
      <c r="L1484">
        <v>15049.04</v>
      </c>
      <c r="M1484" t="s">
        <v>63</v>
      </c>
      <c r="N1484">
        <v>316</v>
      </c>
      <c r="O1484" t="s">
        <v>25</v>
      </c>
    </row>
    <row r="1485" spans="1:15" x14ac:dyDescent="0.3">
      <c r="A1485" t="s">
        <v>2141</v>
      </c>
      <c r="B1485" t="s">
        <v>2140</v>
      </c>
      <c r="C1485" t="s">
        <v>22</v>
      </c>
      <c r="D1485">
        <v>27</v>
      </c>
      <c r="E1485" t="s">
        <v>132</v>
      </c>
      <c r="F1485" t="s">
        <v>90</v>
      </c>
      <c r="G1485" s="1">
        <v>46019</v>
      </c>
      <c r="H1485" s="1">
        <v>45997</v>
      </c>
      <c r="I1485" t="s">
        <v>2139</v>
      </c>
      <c r="J1485" t="s">
        <v>2138</v>
      </c>
      <c r="K1485" t="s">
        <v>27</v>
      </c>
      <c r="L1485">
        <v>10514.01</v>
      </c>
      <c r="N1485">
        <v>293</v>
      </c>
      <c r="O1485" t="s">
        <v>43</v>
      </c>
    </row>
    <row r="1486" spans="1:15" x14ac:dyDescent="0.3">
      <c r="A1486" t="s">
        <v>2137</v>
      </c>
      <c r="B1486" t="s">
        <v>2136</v>
      </c>
      <c r="C1486" t="s">
        <v>1</v>
      </c>
      <c r="D1486">
        <v>63</v>
      </c>
      <c r="E1486" t="s">
        <v>132</v>
      </c>
      <c r="F1486" t="s">
        <v>46</v>
      </c>
      <c r="G1486" s="1">
        <v>46139</v>
      </c>
      <c r="H1486" s="1">
        <v>46119</v>
      </c>
      <c r="I1486" t="s">
        <v>2135</v>
      </c>
      <c r="J1486" t="s">
        <v>2134</v>
      </c>
      <c r="L1486">
        <v>1236.6199999999999</v>
      </c>
      <c r="N1486">
        <v>165</v>
      </c>
      <c r="O1486" t="s">
        <v>25</v>
      </c>
    </row>
    <row r="1487" spans="1:15" x14ac:dyDescent="0.3">
      <c r="A1487" t="s">
        <v>2133</v>
      </c>
      <c r="B1487" t="s">
        <v>2132</v>
      </c>
      <c r="C1487" t="s">
        <v>1</v>
      </c>
      <c r="D1487">
        <v>10</v>
      </c>
      <c r="E1487" t="s">
        <v>80</v>
      </c>
      <c r="F1487" t="s">
        <v>20</v>
      </c>
      <c r="G1487" s="1">
        <v>46013</v>
      </c>
      <c r="H1487" s="1">
        <v>46008</v>
      </c>
      <c r="I1487" t="s">
        <v>2131</v>
      </c>
      <c r="J1487" t="s">
        <v>2130</v>
      </c>
      <c r="L1487">
        <v>1849.21</v>
      </c>
      <c r="M1487" t="s">
        <v>17</v>
      </c>
      <c r="N1487">
        <v>185</v>
      </c>
      <c r="O1487" t="s">
        <v>25</v>
      </c>
    </row>
    <row r="1488" spans="1:15" x14ac:dyDescent="0.3">
      <c r="A1488" t="s">
        <v>2129</v>
      </c>
      <c r="B1488" t="s">
        <v>2128</v>
      </c>
      <c r="C1488" t="s">
        <v>22</v>
      </c>
      <c r="D1488">
        <v>88</v>
      </c>
      <c r="E1488" t="s">
        <v>54</v>
      </c>
      <c r="F1488" t="s">
        <v>30</v>
      </c>
      <c r="G1488" s="1">
        <v>46079</v>
      </c>
      <c r="H1488" s="1">
        <v>46062</v>
      </c>
      <c r="I1488" t="s">
        <v>2127</v>
      </c>
      <c r="J1488" t="s">
        <v>2126</v>
      </c>
      <c r="K1488" t="s">
        <v>26</v>
      </c>
      <c r="L1488">
        <v>7260.68</v>
      </c>
      <c r="M1488" t="s">
        <v>63</v>
      </c>
      <c r="N1488">
        <v>155</v>
      </c>
      <c r="O1488" t="s">
        <v>50</v>
      </c>
    </row>
    <row r="1489" spans="1:15" x14ac:dyDescent="0.3">
      <c r="A1489" t="s">
        <v>2125</v>
      </c>
      <c r="B1489" t="s">
        <v>2124</v>
      </c>
      <c r="C1489" t="s">
        <v>74</v>
      </c>
      <c r="D1489">
        <v>51</v>
      </c>
      <c r="E1489" t="s">
        <v>21</v>
      </c>
      <c r="F1489" t="s">
        <v>20</v>
      </c>
      <c r="G1489" s="1">
        <v>46016</v>
      </c>
      <c r="H1489" s="1">
        <v>45999</v>
      </c>
      <c r="I1489" t="s">
        <v>2123</v>
      </c>
      <c r="J1489" t="s">
        <v>2122</v>
      </c>
      <c r="L1489">
        <v>5179.55</v>
      </c>
      <c r="M1489" t="s">
        <v>27</v>
      </c>
      <c r="N1489">
        <v>340</v>
      </c>
      <c r="O1489" t="s">
        <v>16</v>
      </c>
    </row>
    <row r="1490" spans="1:15" x14ac:dyDescent="0.3">
      <c r="A1490" t="s">
        <v>2121</v>
      </c>
      <c r="B1490" t="s">
        <v>2120</v>
      </c>
      <c r="C1490" t="s">
        <v>74</v>
      </c>
      <c r="D1490">
        <v>15</v>
      </c>
      <c r="E1490" t="s">
        <v>21</v>
      </c>
      <c r="F1490" t="s">
        <v>46</v>
      </c>
      <c r="G1490" s="1">
        <v>46092</v>
      </c>
      <c r="H1490" s="1">
        <v>46066</v>
      </c>
      <c r="I1490" t="s">
        <v>2119</v>
      </c>
      <c r="J1490" t="s">
        <v>2118</v>
      </c>
      <c r="L1490">
        <v>4775.0600000000004</v>
      </c>
      <c r="M1490" t="s">
        <v>64</v>
      </c>
      <c r="N1490">
        <v>223</v>
      </c>
      <c r="O1490" t="s">
        <v>16</v>
      </c>
    </row>
    <row r="1491" spans="1:15" x14ac:dyDescent="0.3">
      <c r="A1491" t="s">
        <v>2117</v>
      </c>
      <c r="B1491" t="s">
        <v>2116</v>
      </c>
      <c r="C1491" t="s">
        <v>60</v>
      </c>
      <c r="D1491">
        <v>57</v>
      </c>
      <c r="E1491" t="s">
        <v>39</v>
      </c>
      <c r="F1491" t="s">
        <v>85</v>
      </c>
      <c r="G1491" s="1">
        <v>46147</v>
      </c>
      <c r="H1491" s="1">
        <v>46128</v>
      </c>
      <c r="I1491" t="s">
        <v>2115</v>
      </c>
      <c r="J1491" t="s">
        <v>2114</v>
      </c>
      <c r="K1491" t="s">
        <v>27</v>
      </c>
      <c r="L1491">
        <v>16639.34</v>
      </c>
      <c r="M1491" t="s">
        <v>57</v>
      </c>
      <c r="N1491">
        <v>493</v>
      </c>
      <c r="O1491" t="s">
        <v>71</v>
      </c>
    </row>
    <row r="1492" spans="1:15" x14ac:dyDescent="0.3">
      <c r="A1492" t="s">
        <v>2113</v>
      </c>
      <c r="B1492" t="s">
        <v>2112</v>
      </c>
      <c r="C1492" t="s">
        <v>60</v>
      </c>
      <c r="D1492">
        <v>6</v>
      </c>
      <c r="E1492" t="s">
        <v>47</v>
      </c>
      <c r="F1492" t="s">
        <v>53</v>
      </c>
      <c r="G1492" s="1">
        <v>45990</v>
      </c>
      <c r="H1492" s="1">
        <v>45980</v>
      </c>
      <c r="I1492" t="s">
        <v>2111</v>
      </c>
      <c r="J1492" t="s">
        <v>2110</v>
      </c>
      <c r="K1492" t="s">
        <v>26</v>
      </c>
      <c r="L1492">
        <v>23061.63</v>
      </c>
      <c r="M1492" t="s">
        <v>17</v>
      </c>
      <c r="N1492">
        <v>336</v>
      </c>
      <c r="O1492" t="s">
        <v>71</v>
      </c>
    </row>
    <row r="1493" spans="1:15" x14ac:dyDescent="0.3">
      <c r="A1493" t="s">
        <v>2109</v>
      </c>
      <c r="B1493" t="s">
        <v>2108</v>
      </c>
      <c r="C1493" t="s">
        <v>40</v>
      </c>
      <c r="D1493">
        <v>51</v>
      </c>
      <c r="E1493" t="s">
        <v>54</v>
      </c>
      <c r="F1493" t="s">
        <v>53</v>
      </c>
      <c r="G1493" s="1">
        <v>46118</v>
      </c>
      <c r="H1493" s="1">
        <v>46088</v>
      </c>
      <c r="I1493" t="s">
        <v>2107</v>
      </c>
      <c r="J1493" t="s">
        <v>2106</v>
      </c>
      <c r="K1493" t="s">
        <v>26</v>
      </c>
      <c r="L1493">
        <v>12738.75</v>
      </c>
      <c r="M1493" t="s">
        <v>57</v>
      </c>
      <c r="N1493">
        <v>194</v>
      </c>
      <c r="O1493" t="s">
        <v>25</v>
      </c>
    </row>
    <row r="1494" spans="1:15" x14ac:dyDescent="0.3">
      <c r="A1494" t="s">
        <v>2105</v>
      </c>
      <c r="B1494" t="s">
        <v>2104</v>
      </c>
      <c r="C1494" t="s">
        <v>1</v>
      </c>
      <c r="D1494">
        <v>43</v>
      </c>
      <c r="E1494" t="s">
        <v>68</v>
      </c>
      <c r="F1494" t="s">
        <v>46</v>
      </c>
      <c r="G1494" s="1">
        <v>46128</v>
      </c>
      <c r="H1494" s="1">
        <v>46101</v>
      </c>
      <c r="I1494" t="s">
        <v>2103</v>
      </c>
      <c r="J1494" t="s">
        <v>2102</v>
      </c>
      <c r="L1494">
        <v>1920.7</v>
      </c>
      <c r="M1494" t="s">
        <v>57</v>
      </c>
      <c r="N1494">
        <v>408</v>
      </c>
      <c r="O1494" t="s">
        <v>34</v>
      </c>
    </row>
    <row r="1495" spans="1:15" x14ac:dyDescent="0.3">
      <c r="A1495" t="s">
        <v>2101</v>
      </c>
      <c r="B1495" t="s">
        <v>2100</v>
      </c>
      <c r="C1495" t="s">
        <v>22</v>
      </c>
      <c r="D1495">
        <v>72</v>
      </c>
      <c r="E1495" t="s">
        <v>39</v>
      </c>
      <c r="F1495" t="s">
        <v>53</v>
      </c>
      <c r="G1495" s="1">
        <v>46125</v>
      </c>
      <c r="H1495" s="1">
        <v>46108</v>
      </c>
      <c r="I1495" t="s">
        <v>2099</v>
      </c>
      <c r="J1495" t="s">
        <v>2098</v>
      </c>
      <c r="K1495" t="s">
        <v>57</v>
      </c>
      <c r="L1495">
        <v>1606.49</v>
      </c>
      <c r="M1495" t="s">
        <v>64</v>
      </c>
      <c r="N1495">
        <v>309</v>
      </c>
      <c r="O1495" t="s">
        <v>34</v>
      </c>
    </row>
    <row r="1496" spans="1:15" x14ac:dyDescent="0.3">
      <c r="A1496" t="s">
        <v>2097</v>
      </c>
      <c r="B1496" t="s">
        <v>2096</v>
      </c>
      <c r="C1496" t="s">
        <v>40</v>
      </c>
      <c r="D1496">
        <v>80</v>
      </c>
      <c r="E1496" t="s">
        <v>39</v>
      </c>
      <c r="F1496" t="s">
        <v>67</v>
      </c>
      <c r="G1496" s="1">
        <v>46042</v>
      </c>
      <c r="H1496" s="1">
        <v>46031</v>
      </c>
      <c r="I1496" t="s">
        <v>2095</v>
      </c>
      <c r="J1496" t="s">
        <v>2094</v>
      </c>
      <c r="K1496" t="s">
        <v>27</v>
      </c>
      <c r="L1496">
        <v>3758.46</v>
      </c>
      <c r="M1496" t="s">
        <v>64</v>
      </c>
      <c r="N1496">
        <v>450</v>
      </c>
      <c r="O1496" t="s">
        <v>71</v>
      </c>
    </row>
    <row r="1497" spans="1:15" x14ac:dyDescent="0.3">
      <c r="A1497" t="s">
        <v>2093</v>
      </c>
      <c r="B1497" t="s">
        <v>2092</v>
      </c>
      <c r="C1497" t="s">
        <v>40</v>
      </c>
      <c r="D1497">
        <v>49</v>
      </c>
      <c r="E1497" t="s">
        <v>47</v>
      </c>
      <c r="F1497" t="s">
        <v>46</v>
      </c>
      <c r="G1497" s="1">
        <v>46064</v>
      </c>
      <c r="H1497" s="1">
        <v>46038</v>
      </c>
      <c r="I1497" t="s">
        <v>2091</v>
      </c>
      <c r="J1497" t="s">
        <v>2090</v>
      </c>
      <c r="L1497">
        <v>19263.650000000001</v>
      </c>
      <c r="M1497" t="s">
        <v>64</v>
      </c>
      <c r="N1497">
        <v>538</v>
      </c>
      <c r="O1497" t="s">
        <v>71</v>
      </c>
    </row>
    <row r="1498" spans="1:15" x14ac:dyDescent="0.3">
      <c r="A1498" t="s">
        <v>2089</v>
      </c>
      <c r="B1498" t="s">
        <v>2088</v>
      </c>
      <c r="C1498" t="s">
        <v>40</v>
      </c>
      <c r="D1498">
        <v>73</v>
      </c>
      <c r="E1498" t="s">
        <v>80</v>
      </c>
      <c r="F1498" t="s">
        <v>46</v>
      </c>
      <c r="G1498" s="1">
        <v>46162</v>
      </c>
      <c r="H1498" s="1">
        <v>46142</v>
      </c>
      <c r="I1498" t="s">
        <v>2087</v>
      </c>
      <c r="J1498" t="s">
        <v>2086</v>
      </c>
      <c r="L1498">
        <v>23442.83</v>
      </c>
      <c r="N1498">
        <v>244</v>
      </c>
      <c r="O1498" t="s">
        <v>25</v>
      </c>
    </row>
    <row r="1499" spans="1:15" x14ac:dyDescent="0.3">
      <c r="A1499" t="s">
        <v>2085</v>
      </c>
      <c r="B1499" t="s">
        <v>2084</v>
      </c>
      <c r="C1499" t="s">
        <v>123</v>
      </c>
      <c r="D1499">
        <v>58</v>
      </c>
      <c r="E1499" t="s">
        <v>21</v>
      </c>
      <c r="F1499" t="s">
        <v>85</v>
      </c>
      <c r="G1499" s="1">
        <v>46113</v>
      </c>
      <c r="H1499" s="1">
        <v>46094</v>
      </c>
      <c r="I1499" t="s">
        <v>2083</v>
      </c>
      <c r="J1499" t="s">
        <v>2082</v>
      </c>
      <c r="K1499" t="s">
        <v>26</v>
      </c>
      <c r="L1499">
        <v>8759.6299999999992</v>
      </c>
      <c r="N1499">
        <v>345</v>
      </c>
      <c r="O1499" t="s">
        <v>71</v>
      </c>
    </row>
    <row r="1500" spans="1:15" x14ac:dyDescent="0.3">
      <c r="A1500" t="s">
        <v>2081</v>
      </c>
      <c r="B1500" t="s">
        <v>2080</v>
      </c>
      <c r="D1500">
        <v>69</v>
      </c>
      <c r="E1500" t="s">
        <v>31</v>
      </c>
      <c r="F1500" t="s">
        <v>38</v>
      </c>
      <c r="G1500" s="1">
        <v>46086</v>
      </c>
      <c r="H1500" s="1">
        <v>46082</v>
      </c>
      <c r="I1500" t="s">
        <v>2079</v>
      </c>
      <c r="J1500" t="s">
        <v>2078</v>
      </c>
      <c r="K1500" t="s">
        <v>26</v>
      </c>
      <c r="L1500">
        <v>15999.91</v>
      </c>
      <c r="M1500" t="s">
        <v>26</v>
      </c>
      <c r="N1500">
        <v>298</v>
      </c>
      <c r="O1500" t="s">
        <v>43</v>
      </c>
    </row>
    <row r="1501" spans="1:15" x14ac:dyDescent="0.3">
      <c r="A1501" t="s">
        <v>2077</v>
      </c>
      <c r="B1501" t="s">
        <v>2076</v>
      </c>
      <c r="C1501" t="s">
        <v>0</v>
      </c>
      <c r="D1501">
        <v>48</v>
      </c>
      <c r="E1501" t="s">
        <v>47</v>
      </c>
      <c r="F1501" t="s">
        <v>90</v>
      </c>
      <c r="G1501" s="1">
        <v>46166</v>
      </c>
      <c r="H1501" s="1">
        <v>46141</v>
      </c>
      <c r="I1501" t="s">
        <v>2075</v>
      </c>
      <c r="J1501" t="s">
        <v>2074</v>
      </c>
      <c r="K1501" t="s">
        <v>26</v>
      </c>
      <c r="L1501">
        <v>3770.8</v>
      </c>
      <c r="N1501">
        <v>310</v>
      </c>
      <c r="O1501" t="s">
        <v>25</v>
      </c>
    </row>
    <row r="1502" spans="1:15" x14ac:dyDescent="0.3">
      <c r="A1502" t="s">
        <v>2073</v>
      </c>
      <c r="B1502" t="s">
        <v>2072</v>
      </c>
      <c r="C1502" t="s">
        <v>1</v>
      </c>
      <c r="D1502">
        <v>52</v>
      </c>
      <c r="E1502" t="s">
        <v>39</v>
      </c>
      <c r="F1502" t="s">
        <v>67</v>
      </c>
      <c r="G1502" s="1">
        <v>46130</v>
      </c>
      <c r="H1502" s="1">
        <v>46124</v>
      </c>
      <c r="I1502" t="s">
        <v>2071</v>
      </c>
      <c r="J1502" t="s">
        <v>2070</v>
      </c>
      <c r="L1502">
        <v>10644.29</v>
      </c>
      <c r="N1502">
        <v>335</v>
      </c>
      <c r="O1502" t="s">
        <v>25</v>
      </c>
    </row>
    <row r="1503" spans="1:15" x14ac:dyDescent="0.3">
      <c r="A1503" t="s">
        <v>2069</v>
      </c>
      <c r="B1503" t="s">
        <v>2068</v>
      </c>
      <c r="D1503">
        <v>57</v>
      </c>
      <c r="E1503" t="s">
        <v>54</v>
      </c>
      <c r="F1503" t="s">
        <v>85</v>
      </c>
      <c r="G1503" s="1">
        <v>46094</v>
      </c>
      <c r="H1503" s="1">
        <v>46083</v>
      </c>
      <c r="I1503" t="s">
        <v>2067</v>
      </c>
      <c r="J1503" t="s">
        <v>2066</v>
      </c>
      <c r="K1503" t="s">
        <v>57</v>
      </c>
      <c r="L1503">
        <v>8285.07</v>
      </c>
      <c r="N1503">
        <v>168</v>
      </c>
      <c r="O1503" t="s">
        <v>25</v>
      </c>
    </row>
    <row r="1504" spans="1:15" x14ac:dyDescent="0.3">
      <c r="A1504" t="s">
        <v>2065</v>
      </c>
      <c r="B1504" t="s">
        <v>2064</v>
      </c>
      <c r="C1504" t="s">
        <v>1</v>
      </c>
      <c r="D1504">
        <v>32</v>
      </c>
      <c r="E1504" t="s">
        <v>21</v>
      </c>
      <c r="F1504" t="s">
        <v>38</v>
      </c>
      <c r="G1504" s="1">
        <v>46164</v>
      </c>
      <c r="H1504" s="1">
        <v>46146</v>
      </c>
      <c r="I1504" t="s">
        <v>2063</v>
      </c>
      <c r="J1504" t="s">
        <v>2062</v>
      </c>
      <c r="K1504" t="s">
        <v>17</v>
      </c>
      <c r="L1504">
        <v>23710.52</v>
      </c>
      <c r="M1504" t="s">
        <v>17</v>
      </c>
      <c r="N1504">
        <v>337</v>
      </c>
      <c r="O1504" t="s">
        <v>34</v>
      </c>
    </row>
    <row r="1505" spans="1:15" x14ac:dyDescent="0.3">
      <c r="A1505" t="s">
        <v>2061</v>
      </c>
      <c r="B1505" t="s">
        <v>2060</v>
      </c>
      <c r="C1505" t="s">
        <v>123</v>
      </c>
      <c r="D1505">
        <v>48</v>
      </c>
      <c r="E1505" t="s">
        <v>132</v>
      </c>
      <c r="F1505" t="s">
        <v>38</v>
      </c>
      <c r="G1505" s="1">
        <v>46118</v>
      </c>
      <c r="H1505" s="1">
        <v>46106</v>
      </c>
      <c r="I1505" t="s">
        <v>2059</v>
      </c>
      <c r="J1505" t="s">
        <v>2058</v>
      </c>
      <c r="K1505" t="s">
        <v>35</v>
      </c>
      <c r="L1505">
        <v>11861.76</v>
      </c>
      <c r="N1505">
        <v>253</v>
      </c>
      <c r="O1505" t="s">
        <v>50</v>
      </c>
    </row>
    <row r="1506" spans="1:15" x14ac:dyDescent="0.3">
      <c r="A1506" t="s">
        <v>2057</v>
      </c>
      <c r="B1506" t="s">
        <v>2056</v>
      </c>
      <c r="C1506" t="s">
        <v>123</v>
      </c>
      <c r="D1506">
        <v>7</v>
      </c>
      <c r="E1506" t="s">
        <v>21</v>
      </c>
      <c r="F1506" t="s">
        <v>38</v>
      </c>
      <c r="G1506" s="1">
        <v>46107</v>
      </c>
      <c r="H1506" s="1">
        <v>46097</v>
      </c>
      <c r="I1506" t="s">
        <v>2055</v>
      </c>
      <c r="J1506" t="s">
        <v>2054</v>
      </c>
      <c r="K1506" t="s">
        <v>35</v>
      </c>
      <c r="L1506">
        <v>16559.36</v>
      </c>
      <c r="N1506">
        <v>192</v>
      </c>
      <c r="O1506" t="s">
        <v>16</v>
      </c>
    </row>
    <row r="1507" spans="1:15" x14ac:dyDescent="0.3">
      <c r="A1507" t="s">
        <v>2053</v>
      </c>
      <c r="B1507" t="s">
        <v>2052</v>
      </c>
      <c r="C1507" t="s">
        <v>40</v>
      </c>
      <c r="D1507">
        <v>89</v>
      </c>
      <c r="E1507" t="s">
        <v>21</v>
      </c>
      <c r="F1507" t="s">
        <v>90</v>
      </c>
      <c r="G1507" s="1">
        <v>46129</v>
      </c>
      <c r="H1507" s="1">
        <v>46111</v>
      </c>
      <c r="I1507" t="s">
        <v>2051</v>
      </c>
      <c r="J1507" t="s">
        <v>2050</v>
      </c>
      <c r="K1507" t="s">
        <v>35</v>
      </c>
      <c r="L1507">
        <v>6978.34</v>
      </c>
      <c r="M1507" t="s">
        <v>26</v>
      </c>
      <c r="N1507">
        <v>428</v>
      </c>
      <c r="O1507" t="s">
        <v>16</v>
      </c>
    </row>
    <row r="1508" spans="1:15" x14ac:dyDescent="0.3">
      <c r="A1508" t="s">
        <v>2049</v>
      </c>
      <c r="B1508" t="s">
        <v>2048</v>
      </c>
      <c r="C1508" t="s">
        <v>1</v>
      </c>
      <c r="D1508">
        <v>20</v>
      </c>
      <c r="E1508" t="s">
        <v>54</v>
      </c>
      <c r="F1508" t="s">
        <v>67</v>
      </c>
      <c r="G1508" s="1">
        <v>46151</v>
      </c>
      <c r="H1508" s="1">
        <v>46137</v>
      </c>
      <c r="I1508" t="s">
        <v>2047</v>
      </c>
      <c r="J1508" t="s">
        <v>2046</v>
      </c>
      <c r="K1508" t="s">
        <v>17</v>
      </c>
      <c r="L1508">
        <v>21727.15</v>
      </c>
      <c r="M1508" t="s">
        <v>26</v>
      </c>
      <c r="N1508">
        <v>490</v>
      </c>
      <c r="O1508" t="s">
        <v>16</v>
      </c>
    </row>
    <row r="1509" spans="1:15" x14ac:dyDescent="0.3">
      <c r="A1509" t="s">
        <v>2045</v>
      </c>
      <c r="B1509" t="s">
        <v>2044</v>
      </c>
      <c r="C1509" t="s">
        <v>60</v>
      </c>
      <c r="D1509">
        <v>79</v>
      </c>
      <c r="E1509" t="s">
        <v>47</v>
      </c>
      <c r="F1509" t="s">
        <v>20</v>
      </c>
      <c r="G1509" s="1">
        <v>46162</v>
      </c>
      <c r="H1509" s="1">
        <v>46137</v>
      </c>
      <c r="I1509" t="s">
        <v>2043</v>
      </c>
      <c r="J1509" t="s">
        <v>2042</v>
      </c>
      <c r="K1509" t="s">
        <v>64</v>
      </c>
      <c r="L1509">
        <v>2326.6</v>
      </c>
      <c r="M1509" t="s">
        <v>27</v>
      </c>
      <c r="N1509">
        <v>541</v>
      </c>
      <c r="O1509" t="s">
        <v>50</v>
      </c>
    </row>
    <row r="1510" spans="1:15" x14ac:dyDescent="0.3">
      <c r="A1510" t="s">
        <v>2041</v>
      </c>
      <c r="B1510" t="s">
        <v>2040</v>
      </c>
      <c r="C1510" t="s">
        <v>40</v>
      </c>
      <c r="D1510">
        <v>43</v>
      </c>
      <c r="E1510" t="s">
        <v>80</v>
      </c>
      <c r="F1510" t="s">
        <v>67</v>
      </c>
      <c r="G1510" s="1">
        <v>46143</v>
      </c>
      <c r="H1510" s="1">
        <v>46114</v>
      </c>
      <c r="I1510" t="s">
        <v>2039</v>
      </c>
      <c r="J1510" t="s">
        <v>2038</v>
      </c>
      <c r="K1510" t="s">
        <v>57</v>
      </c>
      <c r="L1510">
        <v>5234.58</v>
      </c>
      <c r="M1510" t="s">
        <v>26</v>
      </c>
      <c r="N1510">
        <v>209</v>
      </c>
      <c r="O1510" t="s">
        <v>43</v>
      </c>
    </row>
    <row r="1512" spans="1:15" x14ac:dyDescent="0.3">
      <c r="A1512" t="s">
        <v>2037</v>
      </c>
      <c r="B1512" t="s">
        <v>2036</v>
      </c>
      <c r="C1512" t="s">
        <v>74</v>
      </c>
      <c r="D1512">
        <v>47</v>
      </c>
      <c r="E1512" t="s">
        <v>31</v>
      </c>
      <c r="F1512" t="s">
        <v>85</v>
      </c>
      <c r="G1512" s="1">
        <v>46137</v>
      </c>
      <c r="H1512" s="1">
        <v>46122</v>
      </c>
      <c r="I1512" t="s">
        <v>2035</v>
      </c>
      <c r="J1512" t="s">
        <v>2034</v>
      </c>
      <c r="K1512" t="s">
        <v>57</v>
      </c>
      <c r="L1512">
        <v>17649.36</v>
      </c>
      <c r="M1512" t="s">
        <v>63</v>
      </c>
      <c r="N1512">
        <v>255</v>
      </c>
      <c r="O1512" t="s">
        <v>77</v>
      </c>
    </row>
    <row r="1513" spans="1:15" x14ac:dyDescent="0.3">
      <c r="A1513" t="s">
        <v>2033</v>
      </c>
      <c r="B1513" t="s">
        <v>2032</v>
      </c>
      <c r="C1513" t="s">
        <v>0</v>
      </c>
      <c r="D1513">
        <v>20</v>
      </c>
      <c r="E1513" t="s">
        <v>39</v>
      </c>
      <c r="F1513" t="s">
        <v>90</v>
      </c>
      <c r="G1513" s="1">
        <v>46141</v>
      </c>
      <c r="H1513" s="1">
        <v>46138</v>
      </c>
      <c r="I1513" t="s">
        <v>2031</v>
      </c>
      <c r="J1513" t="s">
        <v>2030</v>
      </c>
      <c r="L1513">
        <v>4125.3500000000004</v>
      </c>
      <c r="N1513">
        <v>458</v>
      </c>
      <c r="O1513" t="s">
        <v>43</v>
      </c>
    </row>
    <row r="1514" spans="1:15" x14ac:dyDescent="0.3">
      <c r="A1514" t="s">
        <v>2029</v>
      </c>
      <c r="B1514" t="s">
        <v>2028</v>
      </c>
      <c r="C1514" t="s">
        <v>1</v>
      </c>
      <c r="D1514">
        <v>15</v>
      </c>
      <c r="E1514" t="s">
        <v>39</v>
      </c>
      <c r="F1514" t="s">
        <v>85</v>
      </c>
      <c r="G1514" s="1">
        <v>46138</v>
      </c>
      <c r="H1514" s="1">
        <v>46135</v>
      </c>
      <c r="I1514" t="s">
        <v>2027</v>
      </c>
      <c r="J1514" t="s">
        <v>2026</v>
      </c>
      <c r="K1514" t="s">
        <v>27</v>
      </c>
      <c r="L1514">
        <v>3562.85</v>
      </c>
      <c r="N1514">
        <v>342</v>
      </c>
      <c r="O1514" t="s">
        <v>16</v>
      </c>
    </row>
    <row r="1515" spans="1:15" x14ac:dyDescent="0.3">
      <c r="A1515" t="s">
        <v>2025</v>
      </c>
      <c r="B1515" t="s">
        <v>2024</v>
      </c>
      <c r="D1515">
        <v>22</v>
      </c>
      <c r="E1515" t="s">
        <v>47</v>
      </c>
      <c r="F1515" t="s">
        <v>67</v>
      </c>
      <c r="G1515" s="1">
        <v>46035</v>
      </c>
      <c r="H1515" s="1">
        <v>46006</v>
      </c>
      <c r="I1515" t="s">
        <v>2023</v>
      </c>
      <c r="J1515" t="s">
        <v>2022</v>
      </c>
      <c r="L1515">
        <v>14705.3</v>
      </c>
      <c r="M1515" t="s">
        <v>26</v>
      </c>
      <c r="N1515">
        <v>329</v>
      </c>
      <c r="O1515" t="s">
        <v>77</v>
      </c>
    </row>
    <row r="1516" spans="1:15" x14ac:dyDescent="0.3">
      <c r="A1516" t="s">
        <v>2021</v>
      </c>
      <c r="B1516" t="s">
        <v>2020</v>
      </c>
      <c r="D1516">
        <v>86</v>
      </c>
      <c r="E1516" t="s">
        <v>31</v>
      </c>
      <c r="F1516" t="s">
        <v>67</v>
      </c>
      <c r="G1516" s="1">
        <v>46042</v>
      </c>
      <c r="H1516" s="1">
        <v>46040</v>
      </c>
      <c r="I1516" t="s">
        <v>2019</v>
      </c>
      <c r="J1516" t="s">
        <v>2018</v>
      </c>
      <c r="K1516" t="s">
        <v>57</v>
      </c>
      <c r="L1516">
        <v>1908.47</v>
      </c>
      <c r="M1516" t="s">
        <v>26</v>
      </c>
      <c r="N1516">
        <v>419</v>
      </c>
      <c r="O1516" t="s">
        <v>43</v>
      </c>
    </row>
    <row r="1517" spans="1:15" x14ac:dyDescent="0.3">
      <c r="A1517" t="s">
        <v>2017</v>
      </c>
      <c r="B1517" t="s">
        <v>1371</v>
      </c>
      <c r="C1517" t="s">
        <v>123</v>
      </c>
      <c r="D1517">
        <v>20</v>
      </c>
      <c r="E1517" t="s">
        <v>80</v>
      </c>
      <c r="F1517" t="s">
        <v>38</v>
      </c>
      <c r="G1517" s="1">
        <v>46084</v>
      </c>
      <c r="H1517" s="1">
        <v>46054</v>
      </c>
      <c r="I1517" t="s">
        <v>2016</v>
      </c>
      <c r="J1517" t="s">
        <v>2015</v>
      </c>
      <c r="K1517" t="s">
        <v>57</v>
      </c>
      <c r="L1517">
        <v>7450.27</v>
      </c>
      <c r="M1517" t="s">
        <v>64</v>
      </c>
      <c r="N1517">
        <v>281</v>
      </c>
      <c r="O1517" t="s">
        <v>34</v>
      </c>
    </row>
    <row r="1518" spans="1:15" x14ac:dyDescent="0.3">
      <c r="A1518" t="s">
        <v>2014</v>
      </c>
      <c r="B1518" t="s">
        <v>2013</v>
      </c>
      <c r="D1518">
        <v>3</v>
      </c>
      <c r="E1518" t="s">
        <v>54</v>
      </c>
      <c r="F1518" t="s">
        <v>53</v>
      </c>
      <c r="G1518" s="1">
        <v>46056</v>
      </c>
      <c r="H1518" s="1">
        <v>46045</v>
      </c>
      <c r="I1518" t="s">
        <v>2012</v>
      </c>
      <c r="J1518" t="s">
        <v>2011</v>
      </c>
      <c r="K1518" t="s">
        <v>26</v>
      </c>
      <c r="L1518">
        <v>4962.17</v>
      </c>
      <c r="M1518" t="s">
        <v>63</v>
      </c>
      <c r="N1518">
        <v>366</v>
      </c>
      <c r="O1518" t="s">
        <v>77</v>
      </c>
    </row>
    <row r="1519" spans="1:15" x14ac:dyDescent="0.3">
      <c r="A1519" t="s">
        <v>2010</v>
      </c>
      <c r="B1519" t="s">
        <v>2009</v>
      </c>
      <c r="D1519">
        <v>41</v>
      </c>
      <c r="E1519" t="s">
        <v>39</v>
      </c>
      <c r="F1519" t="s">
        <v>46</v>
      </c>
      <c r="G1519" s="1">
        <v>46163</v>
      </c>
      <c r="H1519" s="1">
        <v>46143</v>
      </c>
      <c r="I1519" t="s">
        <v>2008</v>
      </c>
      <c r="J1519" t="s">
        <v>2007</v>
      </c>
      <c r="K1519" t="s">
        <v>17</v>
      </c>
      <c r="L1519">
        <v>17572.77</v>
      </c>
      <c r="M1519" t="s">
        <v>63</v>
      </c>
      <c r="N1519">
        <v>329</v>
      </c>
      <c r="O1519" t="s">
        <v>16</v>
      </c>
    </row>
    <row r="1520" spans="1:15" x14ac:dyDescent="0.3">
      <c r="A1520" t="s">
        <v>2006</v>
      </c>
      <c r="B1520" t="s">
        <v>2005</v>
      </c>
      <c r="C1520" t="s">
        <v>60</v>
      </c>
      <c r="D1520">
        <v>6</v>
      </c>
      <c r="E1520" t="s">
        <v>132</v>
      </c>
      <c r="F1520" t="s">
        <v>85</v>
      </c>
      <c r="G1520" s="1">
        <v>46005</v>
      </c>
      <c r="H1520" s="1">
        <v>45984</v>
      </c>
      <c r="I1520" t="s">
        <v>2004</v>
      </c>
      <c r="J1520" t="s">
        <v>2003</v>
      </c>
      <c r="K1520" t="s">
        <v>64</v>
      </c>
      <c r="L1520">
        <v>8456.39</v>
      </c>
      <c r="M1520" t="s">
        <v>27</v>
      </c>
      <c r="N1520">
        <v>166</v>
      </c>
      <c r="O1520" t="s">
        <v>50</v>
      </c>
    </row>
    <row r="1521" spans="1:15" x14ac:dyDescent="0.3">
      <c r="A1521" t="s">
        <v>2002</v>
      </c>
      <c r="B1521" t="s">
        <v>2001</v>
      </c>
      <c r="C1521" t="s">
        <v>40</v>
      </c>
      <c r="D1521">
        <v>74</v>
      </c>
      <c r="E1521" t="s">
        <v>47</v>
      </c>
      <c r="F1521" t="s">
        <v>30</v>
      </c>
      <c r="G1521" s="1">
        <v>46020</v>
      </c>
      <c r="H1521" s="1">
        <v>46008</v>
      </c>
      <c r="I1521" t="s">
        <v>2000</v>
      </c>
      <c r="J1521" t="s">
        <v>1999</v>
      </c>
      <c r="K1521" t="s">
        <v>17</v>
      </c>
      <c r="L1521">
        <v>22632.46</v>
      </c>
      <c r="N1521">
        <v>298</v>
      </c>
      <c r="O1521" t="s">
        <v>77</v>
      </c>
    </row>
    <row r="1522" spans="1:15" x14ac:dyDescent="0.3">
      <c r="A1522" t="s">
        <v>1998</v>
      </c>
      <c r="B1522" t="s">
        <v>1997</v>
      </c>
      <c r="C1522" t="s">
        <v>22</v>
      </c>
      <c r="D1522">
        <v>90</v>
      </c>
      <c r="E1522" t="s">
        <v>54</v>
      </c>
      <c r="F1522" t="s">
        <v>67</v>
      </c>
      <c r="G1522" s="1">
        <v>46087</v>
      </c>
      <c r="H1522" s="1">
        <v>46076</v>
      </c>
      <c r="I1522" t="s">
        <v>1996</v>
      </c>
      <c r="J1522" t="s">
        <v>1995</v>
      </c>
      <c r="L1522">
        <v>10298.44</v>
      </c>
      <c r="M1522" t="s">
        <v>17</v>
      </c>
      <c r="N1522">
        <v>167</v>
      </c>
      <c r="O1522" t="s">
        <v>43</v>
      </c>
    </row>
    <row r="1523" spans="1:15" x14ac:dyDescent="0.3">
      <c r="A1523" t="s">
        <v>1994</v>
      </c>
      <c r="B1523" t="s">
        <v>1993</v>
      </c>
      <c r="C1523" t="s">
        <v>22</v>
      </c>
      <c r="D1523">
        <v>71</v>
      </c>
      <c r="E1523" t="s">
        <v>21</v>
      </c>
      <c r="F1523" t="s">
        <v>85</v>
      </c>
      <c r="G1523" s="1">
        <v>46106</v>
      </c>
      <c r="H1523" s="1">
        <v>46097</v>
      </c>
      <c r="I1523" t="s">
        <v>1992</v>
      </c>
      <c r="J1523" t="s">
        <v>1991</v>
      </c>
      <c r="K1523" t="s">
        <v>26</v>
      </c>
      <c r="L1523">
        <v>2265.9899999999998</v>
      </c>
      <c r="N1523">
        <v>443</v>
      </c>
      <c r="O1523" t="s">
        <v>77</v>
      </c>
    </row>
    <row r="1524" spans="1:15" x14ac:dyDescent="0.3">
      <c r="A1524" t="s">
        <v>1990</v>
      </c>
      <c r="B1524" t="s">
        <v>1989</v>
      </c>
      <c r="C1524" t="s">
        <v>60</v>
      </c>
      <c r="D1524">
        <v>66</v>
      </c>
      <c r="E1524" t="s">
        <v>80</v>
      </c>
      <c r="F1524" t="s">
        <v>46</v>
      </c>
      <c r="G1524" s="1">
        <v>46142</v>
      </c>
      <c r="H1524" s="1">
        <v>46117</v>
      </c>
      <c r="I1524" t="s">
        <v>1988</v>
      </c>
      <c r="J1524" t="s">
        <v>1987</v>
      </c>
      <c r="K1524" t="s">
        <v>35</v>
      </c>
      <c r="L1524">
        <v>20194.419999999998</v>
      </c>
      <c r="M1524" t="s">
        <v>64</v>
      </c>
      <c r="N1524">
        <v>224</v>
      </c>
      <c r="O1524" t="s">
        <v>77</v>
      </c>
    </row>
    <row r="1525" spans="1:15" x14ac:dyDescent="0.3">
      <c r="A1525" t="s">
        <v>1986</v>
      </c>
      <c r="B1525" t="s">
        <v>1985</v>
      </c>
      <c r="C1525" t="s">
        <v>0</v>
      </c>
      <c r="D1525">
        <v>48</v>
      </c>
      <c r="E1525" t="s">
        <v>80</v>
      </c>
      <c r="F1525" t="s">
        <v>53</v>
      </c>
      <c r="G1525" s="1">
        <v>46140</v>
      </c>
      <c r="H1525" s="1">
        <v>46122</v>
      </c>
      <c r="I1525" t="s">
        <v>1984</v>
      </c>
      <c r="J1525" t="s">
        <v>1983</v>
      </c>
      <c r="K1525" t="s">
        <v>17</v>
      </c>
      <c r="L1525">
        <v>19516.14</v>
      </c>
      <c r="M1525" t="s">
        <v>64</v>
      </c>
      <c r="N1525">
        <v>104</v>
      </c>
      <c r="O1525" t="s">
        <v>25</v>
      </c>
    </row>
    <row r="1526" spans="1:15" x14ac:dyDescent="0.3">
      <c r="A1526" t="s">
        <v>1982</v>
      </c>
      <c r="B1526" t="s">
        <v>1981</v>
      </c>
      <c r="C1526" t="s">
        <v>40</v>
      </c>
      <c r="D1526">
        <v>44</v>
      </c>
      <c r="E1526" t="s">
        <v>80</v>
      </c>
      <c r="F1526" t="s">
        <v>53</v>
      </c>
      <c r="G1526" s="1">
        <v>46103</v>
      </c>
      <c r="H1526" s="1">
        <v>46085</v>
      </c>
      <c r="I1526" t="s">
        <v>1980</v>
      </c>
      <c r="J1526" t="s">
        <v>1979</v>
      </c>
      <c r="L1526">
        <v>15848.87</v>
      </c>
      <c r="M1526" t="s">
        <v>17</v>
      </c>
      <c r="N1526">
        <v>502</v>
      </c>
      <c r="O1526" t="s">
        <v>25</v>
      </c>
    </row>
    <row r="1527" spans="1:15" x14ac:dyDescent="0.3">
      <c r="A1527" t="s">
        <v>1978</v>
      </c>
      <c r="B1527" t="s">
        <v>1977</v>
      </c>
      <c r="C1527" t="s">
        <v>74</v>
      </c>
      <c r="D1527">
        <v>79</v>
      </c>
      <c r="E1527" t="s">
        <v>80</v>
      </c>
      <c r="F1527" t="s">
        <v>46</v>
      </c>
      <c r="G1527" s="1">
        <v>46134</v>
      </c>
      <c r="H1527" s="1">
        <v>46112</v>
      </c>
      <c r="I1527" t="s">
        <v>1976</v>
      </c>
      <c r="J1527" t="s">
        <v>1975</v>
      </c>
      <c r="K1527" t="s">
        <v>35</v>
      </c>
      <c r="L1527">
        <v>5148.13</v>
      </c>
      <c r="M1527" t="s">
        <v>64</v>
      </c>
      <c r="N1527">
        <v>195</v>
      </c>
      <c r="O1527" t="s">
        <v>77</v>
      </c>
    </row>
    <row r="1528" spans="1:15" x14ac:dyDescent="0.3">
      <c r="A1528" t="s">
        <v>1974</v>
      </c>
      <c r="B1528" t="s">
        <v>1973</v>
      </c>
      <c r="C1528" t="s">
        <v>74</v>
      </c>
      <c r="D1528">
        <v>1</v>
      </c>
      <c r="E1528" t="s">
        <v>54</v>
      </c>
      <c r="F1528" t="s">
        <v>38</v>
      </c>
      <c r="G1528" s="1">
        <v>45986</v>
      </c>
      <c r="H1528" s="1">
        <v>45980</v>
      </c>
      <c r="I1528" t="s">
        <v>1972</v>
      </c>
      <c r="J1528" t="s">
        <v>1971</v>
      </c>
      <c r="K1528" t="s">
        <v>27</v>
      </c>
      <c r="L1528">
        <v>17981.080000000002</v>
      </c>
      <c r="N1528">
        <v>264</v>
      </c>
      <c r="O1528" t="s">
        <v>25</v>
      </c>
    </row>
    <row r="1529" spans="1:15" x14ac:dyDescent="0.3">
      <c r="A1529" t="s">
        <v>1970</v>
      </c>
      <c r="B1529" t="s">
        <v>1969</v>
      </c>
      <c r="C1529" t="s">
        <v>1</v>
      </c>
      <c r="D1529">
        <v>61</v>
      </c>
      <c r="E1529" t="s">
        <v>21</v>
      </c>
      <c r="F1529" t="s">
        <v>85</v>
      </c>
      <c r="G1529" s="1">
        <v>46153</v>
      </c>
      <c r="H1529" s="1">
        <v>46134</v>
      </c>
      <c r="I1529" t="s">
        <v>1968</v>
      </c>
      <c r="J1529" t="s">
        <v>1967</v>
      </c>
      <c r="K1529" t="s">
        <v>35</v>
      </c>
      <c r="L1529">
        <v>11836.42</v>
      </c>
      <c r="M1529" t="s">
        <v>27</v>
      </c>
      <c r="N1529">
        <v>326</v>
      </c>
      <c r="O1529" t="s">
        <v>71</v>
      </c>
    </row>
    <row r="1530" spans="1:15" x14ac:dyDescent="0.3">
      <c r="A1530" t="s">
        <v>1966</v>
      </c>
      <c r="B1530" t="s">
        <v>1590</v>
      </c>
      <c r="C1530" t="s">
        <v>40</v>
      </c>
      <c r="D1530">
        <v>11</v>
      </c>
      <c r="E1530" t="s">
        <v>39</v>
      </c>
      <c r="F1530" t="s">
        <v>38</v>
      </c>
      <c r="G1530" s="1">
        <v>46033</v>
      </c>
      <c r="H1530" s="1">
        <v>46025</v>
      </c>
      <c r="I1530" t="s">
        <v>1965</v>
      </c>
      <c r="J1530" t="s">
        <v>1964</v>
      </c>
      <c r="K1530" t="s">
        <v>35</v>
      </c>
      <c r="L1530">
        <v>21978.78</v>
      </c>
      <c r="M1530" t="s">
        <v>57</v>
      </c>
      <c r="N1530">
        <v>458</v>
      </c>
      <c r="O1530" t="s">
        <v>77</v>
      </c>
    </row>
    <row r="1531" spans="1:15" x14ac:dyDescent="0.3">
      <c r="A1531" t="s">
        <v>1963</v>
      </c>
      <c r="B1531" t="s">
        <v>1962</v>
      </c>
      <c r="C1531" t="s">
        <v>74</v>
      </c>
      <c r="D1531">
        <v>25</v>
      </c>
      <c r="E1531" t="s">
        <v>39</v>
      </c>
      <c r="F1531" t="s">
        <v>67</v>
      </c>
      <c r="G1531" s="1">
        <v>46114</v>
      </c>
      <c r="H1531" s="1">
        <v>46090</v>
      </c>
      <c r="I1531" t="s">
        <v>1961</v>
      </c>
      <c r="K1531" t="s">
        <v>17</v>
      </c>
      <c r="L1531">
        <v>4228.1000000000004</v>
      </c>
      <c r="M1531" t="s">
        <v>63</v>
      </c>
      <c r="N1531">
        <v>407</v>
      </c>
      <c r="O1531" t="s">
        <v>16</v>
      </c>
    </row>
    <row r="1532" spans="1:15" x14ac:dyDescent="0.3">
      <c r="A1532" t="s">
        <v>1960</v>
      </c>
      <c r="B1532" t="s">
        <v>1959</v>
      </c>
      <c r="C1532" t="s">
        <v>22</v>
      </c>
      <c r="D1532">
        <v>28</v>
      </c>
      <c r="E1532" t="s">
        <v>54</v>
      </c>
      <c r="F1532" t="s">
        <v>30</v>
      </c>
      <c r="G1532" s="1">
        <v>46113</v>
      </c>
      <c r="H1532" s="1">
        <v>46087</v>
      </c>
      <c r="I1532" t="s">
        <v>1958</v>
      </c>
      <c r="J1532" t="s">
        <v>1957</v>
      </c>
      <c r="K1532" t="s">
        <v>57</v>
      </c>
      <c r="L1532">
        <v>18438.990000000002</v>
      </c>
      <c r="M1532" t="s">
        <v>27</v>
      </c>
      <c r="N1532">
        <v>435</v>
      </c>
      <c r="O1532" t="s">
        <v>25</v>
      </c>
    </row>
    <row r="1533" spans="1:15" x14ac:dyDescent="0.3">
      <c r="A1533" t="s">
        <v>1956</v>
      </c>
      <c r="B1533" t="s">
        <v>1955</v>
      </c>
      <c r="C1533" t="s">
        <v>22</v>
      </c>
      <c r="D1533">
        <v>37</v>
      </c>
      <c r="E1533" t="s">
        <v>39</v>
      </c>
      <c r="F1533" t="s">
        <v>20</v>
      </c>
      <c r="G1533" s="1">
        <v>46037</v>
      </c>
      <c r="H1533" s="1">
        <v>46036</v>
      </c>
      <c r="I1533" t="s">
        <v>1954</v>
      </c>
      <c r="J1533" t="s">
        <v>1953</v>
      </c>
      <c r="K1533" t="s">
        <v>64</v>
      </c>
      <c r="L1533">
        <v>12449.29</v>
      </c>
      <c r="M1533" t="s">
        <v>27</v>
      </c>
      <c r="N1533">
        <v>417</v>
      </c>
      <c r="O1533" t="s">
        <v>50</v>
      </c>
    </row>
    <row r="1534" spans="1:15" x14ac:dyDescent="0.3">
      <c r="A1534" t="s">
        <v>1952</v>
      </c>
      <c r="B1534" t="s">
        <v>1951</v>
      </c>
      <c r="C1534" t="s">
        <v>123</v>
      </c>
      <c r="D1534">
        <v>11</v>
      </c>
      <c r="E1534" t="s">
        <v>68</v>
      </c>
      <c r="F1534" t="s">
        <v>46</v>
      </c>
      <c r="G1534" s="1">
        <v>46148</v>
      </c>
      <c r="H1534" s="1">
        <v>46125</v>
      </c>
      <c r="I1534" t="s">
        <v>1950</v>
      </c>
      <c r="J1534" t="s">
        <v>1949</v>
      </c>
      <c r="K1534" t="s">
        <v>64</v>
      </c>
      <c r="L1534">
        <v>8096.27</v>
      </c>
      <c r="M1534" t="s">
        <v>17</v>
      </c>
      <c r="N1534">
        <v>457</v>
      </c>
      <c r="O1534" t="s">
        <v>25</v>
      </c>
    </row>
    <row r="1535" spans="1:15" x14ac:dyDescent="0.3">
      <c r="A1535" t="s">
        <v>1948</v>
      </c>
      <c r="B1535" t="s">
        <v>1947</v>
      </c>
      <c r="C1535" t="s">
        <v>74</v>
      </c>
      <c r="D1535">
        <v>73</v>
      </c>
      <c r="E1535" t="s">
        <v>132</v>
      </c>
      <c r="F1535" t="s">
        <v>67</v>
      </c>
      <c r="G1535" s="1">
        <v>46083</v>
      </c>
      <c r="H1535" s="1">
        <v>46069</v>
      </c>
      <c r="I1535" t="s">
        <v>1946</v>
      </c>
      <c r="J1535" t="s">
        <v>1945</v>
      </c>
      <c r="K1535" t="s">
        <v>57</v>
      </c>
      <c r="L1535">
        <v>18606.38</v>
      </c>
      <c r="N1535">
        <v>289</v>
      </c>
      <c r="O1535" t="s">
        <v>16</v>
      </c>
    </row>
    <row r="1536" spans="1:15" x14ac:dyDescent="0.3">
      <c r="A1536" t="s">
        <v>1944</v>
      </c>
      <c r="B1536" t="s">
        <v>1943</v>
      </c>
      <c r="C1536" t="s">
        <v>22</v>
      </c>
      <c r="D1536">
        <v>63</v>
      </c>
      <c r="E1536" t="s">
        <v>31</v>
      </c>
      <c r="F1536" t="s">
        <v>38</v>
      </c>
      <c r="G1536" s="1">
        <v>46147</v>
      </c>
      <c r="H1536" s="1">
        <v>46140</v>
      </c>
      <c r="I1536" t="s">
        <v>1942</v>
      </c>
      <c r="J1536" t="s">
        <v>1941</v>
      </c>
      <c r="K1536" t="s">
        <v>35</v>
      </c>
      <c r="L1536">
        <v>1258.95</v>
      </c>
      <c r="M1536" t="s">
        <v>17</v>
      </c>
      <c r="N1536">
        <v>309</v>
      </c>
      <c r="O1536" t="s">
        <v>16</v>
      </c>
    </row>
    <row r="1537" spans="1:15" x14ac:dyDescent="0.3">
      <c r="A1537" t="s">
        <v>1940</v>
      </c>
      <c r="B1537" t="s">
        <v>1939</v>
      </c>
      <c r="D1537">
        <v>42</v>
      </c>
      <c r="E1537" t="s">
        <v>54</v>
      </c>
      <c r="F1537" t="s">
        <v>85</v>
      </c>
      <c r="G1537" s="1">
        <v>46103</v>
      </c>
      <c r="H1537" s="1">
        <v>46076</v>
      </c>
      <c r="I1537" t="s">
        <v>1938</v>
      </c>
      <c r="J1537" t="s">
        <v>1937</v>
      </c>
      <c r="L1537">
        <v>11413.97</v>
      </c>
      <c r="M1537" t="s">
        <v>26</v>
      </c>
      <c r="N1537">
        <v>477</v>
      </c>
      <c r="O1537" t="s">
        <v>50</v>
      </c>
    </row>
    <row r="1538" spans="1:15" x14ac:dyDescent="0.3">
      <c r="A1538" t="s">
        <v>1936</v>
      </c>
      <c r="B1538" t="s">
        <v>1935</v>
      </c>
      <c r="C1538" t="s">
        <v>123</v>
      </c>
      <c r="D1538">
        <v>54</v>
      </c>
      <c r="E1538" t="s">
        <v>47</v>
      </c>
      <c r="F1538" t="s">
        <v>53</v>
      </c>
      <c r="G1538" s="1">
        <v>46102</v>
      </c>
      <c r="H1538" s="1">
        <v>46077</v>
      </c>
      <c r="I1538" t="s">
        <v>1934</v>
      </c>
      <c r="J1538" t="s">
        <v>1933</v>
      </c>
      <c r="K1538" t="s">
        <v>57</v>
      </c>
      <c r="L1538">
        <v>9660.14</v>
      </c>
      <c r="M1538" t="s">
        <v>26</v>
      </c>
      <c r="N1538">
        <v>304</v>
      </c>
      <c r="O1538" t="s">
        <v>43</v>
      </c>
    </row>
    <row r="1539" spans="1:15" x14ac:dyDescent="0.3">
      <c r="A1539" t="s">
        <v>1932</v>
      </c>
      <c r="B1539" t="s">
        <v>1931</v>
      </c>
      <c r="C1539" t="s">
        <v>40</v>
      </c>
      <c r="D1539">
        <v>56</v>
      </c>
      <c r="E1539" t="s">
        <v>39</v>
      </c>
      <c r="F1539" t="s">
        <v>53</v>
      </c>
      <c r="G1539" s="1">
        <v>46044</v>
      </c>
      <c r="H1539" s="1">
        <v>46026</v>
      </c>
      <c r="I1539" t="s">
        <v>1930</v>
      </c>
      <c r="J1539" t="s">
        <v>1929</v>
      </c>
      <c r="K1539" t="s">
        <v>35</v>
      </c>
      <c r="L1539">
        <v>5581.45</v>
      </c>
      <c r="M1539" t="s">
        <v>27</v>
      </c>
      <c r="N1539">
        <v>300</v>
      </c>
      <c r="O1539" t="s">
        <v>16</v>
      </c>
    </row>
    <row r="1540" spans="1:15" x14ac:dyDescent="0.3">
      <c r="A1540" t="s">
        <v>1928</v>
      </c>
      <c r="B1540" t="s">
        <v>1927</v>
      </c>
      <c r="C1540" t="s">
        <v>0</v>
      </c>
      <c r="D1540">
        <v>35</v>
      </c>
      <c r="E1540" t="s">
        <v>31</v>
      </c>
      <c r="F1540" t="s">
        <v>38</v>
      </c>
      <c r="G1540" s="1">
        <v>46066</v>
      </c>
      <c r="H1540" s="1">
        <v>46066</v>
      </c>
      <c r="I1540" t="s">
        <v>1926</v>
      </c>
      <c r="J1540" t="s">
        <v>1925</v>
      </c>
      <c r="L1540">
        <v>9927.35</v>
      </c>
      <c r="M1540" t="s">
        <v>63</v>
      </c>
      <c r="N1540">
        <v>524</v>
      </c>
      <c r="O1540" t="s">
        <v>50</v>
      </c>
    </row>
    <row r="1541" spans="1:15" x14ac:dyDescent="0.3">
      <c r="A1541" t="s">
        <v>572</v>
      </c>
      <c r="B1541" t="s">
        <v>1924</v>
      </c>
      <c r="C1541" t="s">
        <v>22</v>
      </c>
      <c r="D1541">
        <v>30</v>
      </c>
      <c r="E1541" t="s">
        <v>21</v>
      </c>
      <c r="F1541" t="s">
        <v>85</v>
      </c>
      <c r="G1541" s="1">
        <v>46109</v>
      </c>
      <c r="H1541" s="1">
        <v>46090</v>
      </c>
      <c r="I1541" t="s">
        <v>1923</v>
      </c>
      <c r="J1541" t="s">
        <v>1922</v>
      </c>
      <c r="L1541">
        <v>10934.83</v>
      </c>
      <c r="M1541" t="s">
        <v>26</v>
      </c>
      <c r="N1541">
        <v>349</v>
      </c>
      <c r="O1541" t="s">
        <v>25</v>
      </c>
    </row>
    <row r="1542" spans="1:15" x14ac:dyDescent="0.3">
      <c r="A1542" t="s">
        <v>1921</v>
      </c>
      <c r="B1542" t="s">
        <v>1920</v>
      </c>
      <c r="C1542" t="s">
        <v>40</v>
      </c>
      <c r="D1542">
        <v>46</v>
      </c>
      <c r="E1542" t="s">
        <v>80</v>
      </c>
      <c r="F1542" t="s">
        <v>20</v>
      </c>
      <c r="G1542" s="1">
        <v>46017</v>
      </c>
      <c r="H1542" s="1">
        <v>45987</v>
      </c>
      <c r="I1542" t="s">
        <v>1919</v>
      </c>
      <c r="J1542" t="s">
        <v>1918</v>
      </c>
      <c r="K1542" t="s">
        <v>57</v>
      </c>
      <c r="L1542">
        <v>17709.400000000001</v>
      </c>
      <c r="M1542" t="s">
        <v>63</v>
      </c>
      <c r="N1542">
        <v>172</v>
      </c>
      <c r="O1542" t="s">
        <v>71</v>
      </c>
    </row>
    <row r="1543" spans="1:15" x14ac:dyDescent="0.3">
      <c r="A1543" t="s">
        <v>1917</v>
      </c>
      <c r="B1543" t="s">
        <v>1916</v>
      </c>
      <c r="D1543">
        <v>28</v>
      </c>
      <c r="E1543" t="s">
        <v>54</v>
      </c>
      <c r="F1543" t="s">
        <v>85</v>
      </c>
      <c r="G1543" s="1">
        <v>46046</v>
      </c>
      <c r="H1543" s="1">
        <v>46046</v>
      </c>
      <c r="I1543" t="s">
        <v>1915</v>
      </c>
      <c r="J1543" t="s">
        <v>1914</v>
      </c>
      <c r="K1543" t="s">
        <v>26</v>
      </c>
      <c r="L1543">
        <v>15861.41</v>
      </c>
      <c r="M1543" t="s">
        <v>17</v>
      </c>
      <c r="N1543">
        <v>422</v>
      </c>
      <c r="O1543" t="s">
        <v>43</v>
      </c>
    </row>
    <row r="1544" spans="1:15" x14ac:dyDescent="0.3">
      <c r="A1544" t="s">
        <v>1913</v>
      </c>
      <c r="B1544" t="s">
        <v>1912</v>
      </c>
      <c r="C1544" t="s">
        <v>123</v>
      </c>
      <c r="D1544">
        <v>79</v>
      </c>
      <c r="E1544" t="s">
        <v>80</v>
      </c>
      <c r="F1544" t="s">
        <v>53</v>
      </c>
      <c r="G1544" s="1">
        <v>46108</v>
      </c>
      <c r="H1544" s="1">
        <v>46092</v>
      </c>
      <c r="I1544" t="s">
        <v>1911</v>
      </c>
      <c r="J1544" t="s">
        <v>1910</v>
      </c>
      <c r="K1544" t="s">
        <v>26</v>
      </c>
      <c r="L1544">
        <v>8659.2099999999991</v>
      </c>
      <c r="M1544" t="s">
        <v>17</v>
      </c>
      <c r="N1544">
        <v>513</v>
      </c>
      <c r="O1544" t="s">
        <v>25</v>
      </c>
    </row>
    <row r="1545" spans="1:15" x14ac:dyDescent="0.3">
      <c r="A1545" t="s">
        <v>1909</v>
      </c>
      <c r="B1545" t="s">
        <v>1908</v>
      </c>
      <c r="C1545" t="s">
        <v>0</v>
      </c>
      <c r="D1545">
        <v>48</v>
      </c>
      <c r="E1545" t="s">
        <v>68</v>
      </c>
      <c r="F1545" t="s">
        <v>20</v>
      </c>
      <c r="G1545" s="1">
        <v>46094</v>
      </c>
      <c r="H1545" s="1">
        <v>46094</v>
      </c>
      <c r="I1545" t="s">
        <v>1907</v>
      </c>
      <c r="J1545" t="s">
        <v>1906</v>
      </c>
      <c r="L1545">
        <v>9376.2099999999991</v>
      </c>
      <c r="M1545" t="s">
        <v>57</v>
      </c>
      <c r="N1545">
        <v>207</v>
      </c>
      <c r="O1545" t="s">
        <v>43</v>
      </c>
    </row>
    <row r="1546" spans="1:15" x14ac:dyDescent="0.3">
      <c r="A1546" t="s">
        <v>1905</v>
      </c>
      <c r="B1546" t="s">
        <v>1904</v>
      </c>
      <c r="C1546" t="s">
        <v>1</v>
      </c>
      <c r="D1546">
        <v>41</v>
      </c>
      <c r="E1546" t="s">
        <v>68</v>
      </c>
      <c r="F1546" t="s">
        <v>30</v>
      </c>
      <c r="G1546" s="1">
        <v>45998</v>
      </c>
      <c r="H1546" s="1">
        <v>45981</v>
      </c>
      <c r="I1546" t="s">
        <v>1903</v>
      </c>
      <c r="J1546" t="s">
        <v>1902</v>
      </c>
      <c r="K1546" t="s">
        <v>57</v>
      </c>
      <c r="L1546">
        <v>14515.05</v>
      </c>
      <c r="M1546" t="s">
        <v>17</v>
      </c>
      <c r="N1546">
        <v>457</v>
      </c>
      <c r="O1546" t="s">
        <v>71</v>
      </c>
    </row>
    <row r="1547" spans="1:15" x14ac:dyDescent="0.3">
      <c r="A1547" t="s">
        <v>1901</v>
      </c>
      <c r="B1547" t="s">
        <v>1900</v>
      </c>
      <c r="C1547" t="s">
        <v>0</v>
      </c>
      <c r="D1547">
        <v>42</v>
      </c>
      <c r="E1547" t="s">
        <v>21</v>
      </c>
      <c r="F1547" t="s">
        <v>38</v>
      </c>
      <c r="G1547" s="1">
        <v>46167</v>
      </c>
      <c r="H1547" s="1">
        <v>46141</v>
      </c>
      <c r="I1547" t="s">
        <v>1899</v>
      </c>
      <c r="J1547" t="s">
        <v>1898</v>
      </c>
      <c r="K1547" t="s">
        <v>17</v>
      </c>
      <c r="L1547">
        <v>12316.98</v>
      </c>
      <c r="N1547">
        <v>109</v>
      </c>
      <c r="O1547" t="s">
        <v>43</v>
      </c>
    </row>
    <row r="1548" spans="1:15" x14ac:dyDescent="0.3">
      <c r="A1548" t="s">
        <v>1897</v>
      </c>
      <c r="B1548" t="s">
        <v>1896</v>
      </c>
      <c r="C1548" t="s">
        <v>74</v>
      </c>
      <c r="D1548">
        <v>50</v>
      </c>
      <c r="E1548" t="s">
        <v>39</v>
      </c>
      <c r="F1548" t="s">
        <v>67</v>
      </c>
      <c r="G1548" s="1">
        <v>45990</v>
      </c>
      <c r="H1548" s="1">
        <v>45988</v>
      </c>
      <c r="I1548" t="s">
        <v>1895</v>
      </c>
      <c r="J1548" t="s">
        <v>1894</v>
      </c>
      <c r="L1548">
        <v>11674.69</v>
      </c>
      <c r="M1548" t="s">
        <v>63</v>
      </c>
      <c r="N1548">
        <v>134</v>
      </c>
      <c r="O1548" t="s">
        <v>16</v>
      </c>
    </row>
    <row r="1549" spans="1:15" x14ac:dyDescent="0.3">
      <c r="A1549" t="s">
        <v>1893</v>
      </c>
      <c r="B1549" t="s">
        <v>1892</v>
      </c>
      <c r="C1549" t="s">
        <v>123</v>
      </c>
      <c r="D1549">
        <v>25</v>
      </c>
      <c r="E1549" t="s">
        <v>132</v>
      </c>
      <c r="F1549" t="s">
        <v>53</v>
      </c>
      <c r="G1549" s="1">
        <v>46136</v>
      </c>
      <c r="H1549" s="1">
        <v>46125</v>
      </c>
      <c r="I1549" t="s">
        <v>1891</v>
      </c>
      <c r="J1549" t="s">
        <v>1890</v>
      </c>
      <c r="K1549" t="s">
        <v>27</v>
      </c>
      <c r="L1549">
        <v>11948.92</v>
      </c>
      <c r="M1549" t="s">
        <v>57</v>
      </c>
      <c r="N1549">
        <v>424</v>
      </c>
      <c r="O1549" t="s">
        <v>77</v>
      </c>
    </row>
    <row r="1550" spans="1:15" x14ac:dyDescent="0.3">
      <c r="A1550" t="s">
        <v>1889</v>
      </c>
      <c r="B1550" t="s">
        <v>1888</v>
      </c>
      <c r="C1550" t="s">
        <v>60</v>
      </c>
      <c r="D1550">
        <v>46</v>
      </c>
      <c r="E1550" t="s">
        <v>68</v>
      </c>
      <c r="F1550" t="s">
        <v>53</v>
      </c>
      <c r="G1550" s="1">
        <v>46134</v>
      </c>
      <c r="H1550" s="1">
        <v>46109</v>
      </c>
      <c r="I1550" t="s">
        <v>1887</v>
      </c>
      <c r="J1550" t="s">
        <v>1886</v>
      </c>
      <c r="K1550" t="s">
        <v>26</v>
      </c>
      <c r="L1550">
        <v>23925.360000000001</v>
      </c>
      <c r="N1550">
        <v>260</v>
      </c>
      <c r="O1550" t="s">
        <v>34</v>
      </c>
    </row>
    <row r="1551" spans="1:15" x14ac:dyDescent="0.3">
      <c r="A1551" t="s">
        <v>1885</v>
      </c>
      <c r="B1551" t="s">
        <v>1884</v>
      </c>
      <c r="C1551" t="s">
        <v>1</v>
      </c>
      <c r="D1551">
        <v>-5</v>
      </c>
      <c r="E1551" t="s">
        <v>21</v>
      </c>
      <c r="F1551" t="s">
        <v>20</v>
      </c>
      <c r="G1551" s="1">
        <v>46153</v>
      </c>
      <c r="H1551" s="1">
        <v>46144</v>
      </c>
      <c r="I1551" t="s">
        <v>1883</v>
      </c>
      <c r="J1551" t="s">
        <v>1882</v>
      </c>
      <c r="K1551" t="s">
        <v>27</v>
      </c>
      <c r="L1551">
        <v>18440.27</v>
      </c>
      <c r="M1551" t="s">
        <v>57</v>
      </c>
      <c r="N1551">
        <v>368</v>
      </c>
      <c r="O1551" t="s">
        <v>50</v>
      </c>
    </row>
    <row r="1552" spans="1:15" x14ac:dyDescent="0.3">
      <c r="A1552" t="s">
        <v>1881</v>
      </c>
      <c r="B1552" t="s">
        <v>1880</v>
      </c>
      <c r="C1552" t="s">
        <v>22</v>
      </c>
      <c r="D1552">
        <v>32</v>
      </c>
      <c r="E1552" t="s">
        <v>54</v>
      </c>
      <c r="F1552" t="s">
        <v>90</v>
      </c>
      <c r="G1552" s="1">
        <v>46051</v>
      </c>
      <c r="H1552" s="1">
        <v>46029</v>
      </c>
      <c r="I1552" t="s">
        <v>1879</v>
      </c>
      <c r="J1552" t="s">
        <v>1878</v>
      </c>
      <c r="K1552" t="s">
        <v>27</v>
      </c>
      <c r="L1552">
        <v>7594.79</v>
      </c>
      <c r="M1552" t="s">
        <v>57</v>
      </c>
      <c r="N1552">
        <v>173</v>
      </c>
      <c r="O1552" t="s">
        <v>43</v>
      </c>
    </row>
    <row r="1553" spans="1:15" x14ac:dyDescent="0.3">
      <c r="A1553" t="s">
        <v>1877</v>
      </c>
      <c r="B1553" t="s">
        <v>1876</v>
      </c>
      <c r="C1553" t="s">
        <v>40</v>
      </c>
      <c r="D1553">
        <v>4</v>
      </c>
      <c r="E1553" t="s">
        <v>54</v>
      </c>
      <c r="F1553" t="s">
        <v>20</v>
      </c>
      <c r="G1553" s="1">
        <v>46001</v>
      </c>
      <c r="H1553" s="1">
        <v>45990</v>
      </c>
      <c r="I1553" t="s">
        <v>1875</v>
      </c>
      <c r="J1553" t="s">
        <v>1874</v>
      </c>
      <c r="L1553">
        <v>19439.759999999998</v>
      </c>
      <c r="M1553" t="s">
        <v>26</v>
      </c>
      <c r="N1553">
        <v>328</v>
      </c>
      <c r="O1553" t="s">
        <v>25</v>
      </c>
    </row>
    <row r="1554" spans="1:15" x14ac:dyDescent="0.3">
      <c r="A1554" t="s">
        <v>1873</v>
      </c>
      <c r="B1554" t="s">
        <v>1872</v>
      </c>
      <c r="C1554" t="s">
        <v>123</v>
      </c>
      <c r="D1554">
        <v>72</v>
      </c>
      <c r="E1554" t="s">
        <v>39</v>
      </c>
      <c r="F1554" t="s">
        <v>85</v>
      </c>
      <c r="G1554" s="1">
        <v>46090</v>
      </c>
      <c r="H1554" s="1">
        <v>46066</v>
      </c>
      <c r="I1554" t="s">
        <v>1871</v>
      </c>
      <c r="J1554" t="s">
        <v>1870</v>
      </c>
      <c r="K1554" t="s">
        <v>57</v>
      </c>
      <c r="L1554">
        <v>2872.07</v>
      </c>
      <c r="M1554" t="s">
        <v>63</v>
      </c>
      <c r="N1554">
        <v>333</v>
      </c>
      <c r="O1554" t="s">
        <v>43</v>
      </c>
    </row>
    <row r="1555" spans="1:15" x14ac:dyDescent="0.3">
      <c r="A1555" t="s">
        <v>1869</v>
      </c>
      <c r="B1555" t="s">
        <v>1868</v>
      </c>
      <c r="C1555" t="s">
        <v>1</v>
      </c>
      <c r="D1555">
        <v>78</v>
      </c>
      <c r="E1555" t="s">
        <v>68</v>
      </c>
      <c r="F1555" t="s">
        <v>30</v>
      </c>
      <c r="G1555" s="1">
        <v>46085</v>
      </c>
      <c r="H1555" s="1">
        <v>46080</v>
      </c>
      <c r="I1555" t="s">
        <v>1867</v>
      </c>
      <c r="J1555" t="s">
        <v>1866</v>
      </c>
      <c r="K1555" t="s">
        <v>35</v>
      </c>
      <c r="L1555">
        <v>8205.5300000000007</v>
      </c>
      <c r="M1555" t="s">
        <v>27</v>
      </c>
      <c r="N1555">
        <v>163</v>
      </c>
      <c r="O1555" t="s">
        <v>77</v>
      </c>
    </row>
    <row r="1556" spans="1:15" x14ac:dyDescent="0.3">
      <c r="A1556" t="s">
        <v>1865</v>
      </c>
      <c r="B1556" t="s">
        <v>1864</v>
      </c>
      <c r="C1556" t="s">
        <v>60</v>
      </c>
      <c r="D1556">
        <v>71</v>
      </c>
      <c r="E1556" t="s">
        <v>68</v>
      </c>
      <c r="F1556" t="s">
        <v>67</v>
      </c>
      <c r="G1556" s="1">
        <v>46050</v>
      </c>
      <c r="H1556" s="1">
        <v>46046</v>
      </c>
      <c r="I1556" t="s">
        <v>1863</v>
      </c>
      <c r="J1556" t="s">
        <v>1862</v>
      </c>
      <c r="K1556" t="s">
        <v>57</v>
      </c>
      <c r="L1556">
        <v>20828.75</v>
      </c>
      <c r="N1556">
        <v>381</v>
      </c>
      <c r="O1556" t="s">
        <v>77</v>
      </c>
    </row>
    <row r="1557" spans="1:15" x14ac:dyDescent="0.3">
      <c r="A1557" t="s">
        <v>1861</v>
      </c>
      <c r="B1557" t="s">
        <v>1860</v>
      </c>
      <c r="C1557" t="s">
        <v>123</v>
      </c>
      <c r="D1557">
        <v>83</v>
      </c>
      <c r="E1557" t="s">
        <v>31</v>
      </c>
      <c r="F1557" t="s">
        <v>90</v>
      </c>
      <c r="G1557" s="1">
        <v>46006</v>
      </c>
      <c r="H1557" s="1">
        <v>46001</v>
      </c>
      <c r="I1557" t="s">
        <v>1859</v>
      </c>
      <c r="J1557" t="s">
        <v>1858</v>
      </c>
      <c r="K1557" t="s">
        <v>57</v>
      </c>
      <c r="L1557">
        <v>15404.44</v>
      </c>
      <c r="M1557" t="s">
        <v>27</v>
      </c>
      <c r="N1557">
        <v>429</v>
      </c>
      <c r="O1557" t="s">
        <v>43</v>
      </c>
    </row>
    <row r="1558" spans="1:15" x14ac:dyDescent="0.3">
      <c r="A1558" t="s">
        <v>1857</v>
      </c>
      <c r="B1558" t="s">
        <v>1856</v>
      </c>
      <c r="C1558" t="s">
        <v>60</v>
      </c>
      <c r="D1558">
        <v>73</v>
      </c>
      <c r="E1558" t="s">
        <v>47</v>
      </c>
      <c r="F1558" t="s">
        <v>46</v>
      </c>
      <c r="G1558" s="1">
        <v>46083</v>
      </c>
      <c r="H1558" s="1">
        <v>46060</v>
      </c>
      <c r="I1558" t="s">
        <v>1855</v>
      </c>
      <c r="J1558" t="s">
        <v>1854</v>
      </c>
      <c r="K1558" t="s">
        <v>35</v>
      </c>
      <c r="L1558">
        <v>12517.58</v>
      </c>
      <c r="M1558" t="s">
        <v>64</v>
      </c>
      <c r="N1558">
        <v>171</v>
      </c>
      <c r="O1558" t="s">
        <v>71</v>
      </c>
    </row>
    <row r="1559" spans="1:15" x14ac:dyDescent="0.3">
      <c r="A1559" t="s">
        <v>1853</v>
      </c>
      <c r="B1559" t="s">
        <v>1852</v>
      </c>
      <c r="C1559" t="s">
        <v>74</v>
      </c>
      <c r="D1559">
        <v>67</v>
      </c>
      <c r="E1559" t="s">
        <v>39</v>
      </c>
      <c r="F1559" t="s">
        <v>38</v>
      </c>
      <c r="G1559" s="1">
        <v>46079</v>
      </c>
      <c r="H1559" s="1">
        <v>46077</v>
      </c>
      <c r="I1559" t="s">
        <v>1851</v>
      </c>
      <c r="J1559" t="s">
        <v>1850</v>
      </c>
      <c r="K1559" t="s">
        <v>57</v>
      </c>
      <c r="L1559">
        <v>24313.52</v>
      </c>
      <c r="M1559" t="s">
        <v>17</v>
      </c>
      <c r="N1559">
        <v>141</v>
      </c>
      <c r="O1559" t="s">
        <v>16</v>
      </c>
    </row>
    <row r="1560" spans="1:15" x14ac:dyDescent="0.3">
      <c r="A1560" t="s">
        <v>1849</v>
      </c>
      <c r="B1560" t="s">
        <v>1848</v>
      </c>
      <c r="C1560" t="s">
        <v>60</v>
      </c>
      <c r="D1560">
        <v>9</v>
      </c>
      <c r="E1560" t="s">
        <v>68</v>
      </c>
      <c r="F1560" t="s">
        <v>90</v>
      </c>
      <c r="G1560" s="1">
        <v>46090</v>
      </c>
      <c r="H1560" s="1">
        <v>46073</v>
      </c>
      <c r="I1560" t="s">
        <v>1847</v>
      </c>
      <c r="J1560" t="s">
        <v>1846</v>
      </c>
      <c r="K1560" t="s">
        <v>27</v>
      </c>
      <c r="L1560">
        <v>13212.05</v>
      </c>
      <c r="N1560">
        <v>455</v>
      </c>
      <c r="O1560" t="s">
        <v>71</v>
      </c>
    </row>
    <row r="1561" spans="1:15" x14ac:dyDescent="0.3">
      <c r="A1561" t="s">
        <v>1845</v>
      </c>
      <c r="B1561" t="s">
        <v>1844</v>
      </c>
      <c r="C1561" t="s">
        <v>74</v>
      </c>
      <c r="D1561">
        <v>220</v>
      </c>
      <c r="E1561" t="s">
        <v>68</v>
      </c>
      <c r="F1561" t="s">
        <v>53</v>
      </c>
      <c r="G1561" s="1">
        <v>46050</v>
      </c>
      <c r="H1561" s="1">
        <v>46047</v>
      </c>
      <c r="I1561" t="s">
        <v>1843</v>
      </c>
      <c r="J1561" t="s">
        <v>1842</v>
      </c>
      <c r="K1561" t="s">
        <v>26</v>
      </c>
      <c r="L1561">
        <v>5839.42</v>
      </c>
      <c r="M1561" t="s">
        <v>27</v>
      </c>
      <c r="N1561">
        <v>430</v>
      </c>
      <c r="O1561" t="s">
        <v>25</v>
      </c>
    </row>
    <row r="1562" spans="1:15" x14ac:dyDescent="0.3">
      <c r="A1562" t="s">
        <v>1841</v>
      </c>
      <c r="B1562" t="s">
        <v>1840</v>
      </c>
      <c r="C1562" t="s">
        <v>40</v>
      </c>
      <c r="D1562">
        <v>7</v>
      </c>
      <c r="E1562" t="s">
        <v>21</v>
      </c>
      <c r="F1562" t="s">
        <v>85</v>
      </c>
      <c r="G1562" s="1">
        <v>46014</v>
      </c>
      <c r="H1562" s="1">
        <v>46013</v>
      </c>
      <c r="I1562" t="s">
        <v>1839</v>
      </c>
      <c r="J1562" t="s">
        <v>1838</v>
      </c>
      <c r="K1562" t="s">
        <v>27</v>
      </c>
      <c r="L1562">
        <v>5631.22</v>
      </c>
      <c r="M1562" t="s">
        <v>57</v>
      </c>
      <c r="N1562">
        <v>178</v>
      </c>
      <c r="O1562" t="s">
        <v>50</v>
      </c>
    </row>
    <row r="1563" spans="1:15" x14ac:dyDescent="0.3">
      <c r="A1563" t="s">
        <v>1837</v>
      </c>
      <c r="B1563" t="s">
        <v>1836</v>
      </c>
      <c r="C1563" t="s">
        <v>0</v>
      </c>
      <c r="D1563">
        <v>65</v>
      </c>
      <c r="E1563" t="s">
        <v>31</v>
      </c>
      <c r="F1563" t="s">
        <v>67</v>
      </c>
      <c r="G1563" s="1">
        <v>46063</v>
      </c>
      <c r="H1563" s="1">
        <v>46051</v>
      </c>
      <c r="I1563" t="s">
        <v>1835</v>
      </c>
      <c r="J1563" t="s">
        <v>1834</v>
      </c>
      <c r="L1563">
        <v>677.54</v>
      </c>
      <c r="M1563" t="s">
        <v>63</v>
      </c>
      <c r="N1563">
        <v>352</v>
      </c>
      <c r="O1563" t="s">
        <v>77</v>
      </c>
    </row>
    <row r="1564" spans="1:15" x14ac:dyDescent="0.3">
      <c r="A1564" t="s">
        <v>1833</v>
      </c>
      <c r="B1564" t="s">
        <v>1832</v>
      </c>
      <c r="C1564" t="s">
        <v>123</v>
      </c>
      <c r="D1564">
        <v>71</v>
      </c>
      <c r="E1564" t="s">
        <v>80</v>
      </c>
      <c r="F1564" t="s">
        <v>46</v>
      </c>
      <c r="G1564" s="1">
        <v>46145</v>
      </c>
      <c r="H1564" s="1">
        <v>46139</v>
      </c>
      <c r="I1564" t="s">
        <v>1831</v>
      </c>
      <c r="J1564" t="s">
        <v>1830</v>
      </c>
      <c r="K1564" t="s">
        <v>27</v>
      </c>
      <c r="L1564">
        <v>5379.15</v>
      </c>
      <c r="N1564">
        <v>103</v>
      </c>
      <c r="O1564" t="s">
        <v>43</v>
      </c>
    </row>
    <row r="1565" spans="1:15" x14ac:dyDescent="0.3">
      <c r="A1565" t="s">
        <v>1829</v>
      </c>
      <c r="B1565" t="s">
        <v>1828</v>
      </c>
      <c r="C1565" t="s">
        <v>74</v>
      </c>
      <c r="D1565">
        <v>75</v>
      </c>
      <c r="E1565" t="s">
        <v>31</v>
      </c>
      <c r="F1565" t="s">
        <v>53</v>
      </c>
      <c r="G1565" s="1">
        <v>46126</v>
      </c>
      <c r="H1565" s="1">
        <v>46114</v>
      </c>
      <c r="I1565" t="s">
        <v>1827</v>
      </c>
      <c r="J1565" t="s">
        <v>1826</v>
      </c>
      <c r="K1565" t="s">
        <v>17</v>
      </c>
      <c r="L1565">
        <v>3975.95</v>
      </c>
      <c r="M1565" t="s">
        <v>27</v>
      </c>
      <c r="N1565">
        <v>421</v>
      </c>
      <c r="O1565" t="s">
        <v>25</v>
      </c>
    </row>
    <row r="1566" spans="1:15" x14ac:dyDescent="0.3">
      <c r="A1566" t="s">
        <v>1825</v>
      </c>
      <c r="B1566" t="s">
        <v>1824</v>
      </c>
      <c r="C1566" t="s">
        <v>22</v>
      </c>
      <c r="D1566">
        <v>35</v>
      </c>
      <c r="E1566" t="s">
        <v>31</v>
      </c>
      <c r="F1566" t="s">
        <v>90</v>
      </c>
      <c r="G1566" s="1">
        <v>45998</v>
      </c>
      <c r="H1566" s="1">
        <v>45993</v>
      </c>
      <c r="I1566" t="s">
        <v>1823</v>
      </c>
      <c r="J1566" t="s">
        <v>1822</v>
      </c>
      <c r="K1566" t="s">
        <v>17</v>
      </c>
      <c r="L1566">
        <v>18903.45</v>
      </c>
      <c r="M1566" t="s">
        <v>63</v>
      </c>
      <c r="N1566">
        <v>271</v>
      </c>
      <c r="O1566" t="s">
        <v>71</v>
      </c>
    </row>
    <row r="1567" spans="1:15" x14ac:dyDescent="0.3">
      <c r="A1567" t="s">
        <v>1821</v>
      </c>
      <c r="B1567" t="s">
        <v>1820</v>
      </c>
      <c r="C1567" t="s">
        <v>60</v>
      </c>
      <c r="D1567">
        <v>34</v>
      </c>
      <c r="E1567" t="s">
        <v>54</v>
      </c>
      <c r="F1567" t="s">
        <v>20</v>
      </c>
      <c r="G1567" s="1">
        <v>46024</v>
      </c>
      <c r="H1567" s="1">
        <v>46004</v>
      </c>
      <c r="I1567" t="s">
        <v>1819</v>
      </c>
      <c r="J1567" t="s">
        <v>1818</v>
      </c>
      <c r="K1567" t="s">
        <v>26</v>
      </c>
      <c r="L1567">
        <v>11400.91</v>
      </c>
      <c r="N1567">
        <v>408</v>
      </c>
      <c r="O1567" t="s">
        <v>25</v>
      </c>
    </row>
    <row r="1568" spans="1:15" x14ac:dyDescent="0.3">
      <c r="A1568" t="s">
        <v>1817</v>
      </c>
      <c r="B1568" t="s">
        <v>1816</v>
      </c>
      <c r="C1568" t="s">
        <v>123</v>
      </c>
      <c r="D1568">
        <v>27</v>
      </c>
      <c r="E1568" t="s">
        <v>39</v>
      </c>
      <c r="F1568" t="s">
        <v>20</v>
      </c>
      <c r="G1568" s="1">
        <v>46039</v>
      </c>
      <c r="H1568" s="1">
        <v>46038</v>
      </c>
      <c r="I1568" t="s">
        <v>1815</v>
      </c>
      <c r="J1568" t="s">
        <v>1814</v>
      </c>
      <c r="L1568">
        <v>20154.97</v>
      </c>
      <c r="M1568" t="s">
        <v>57</v>
      </c>
      <c r="N1568">
        <v>202</v>
      </c>
      <c r="O1568" t="s">
        <v>50</v>
      </c>
    </row>
    <row r="1569" spans="1:15" x14ac:dyDescent="0.3">
      <c r="A1569" t="s">
        <v>1813</v>
      </c>
      <c r="B1569" t="s">
        <v>1812</v>
      </c>
      <c r="C1569" t="s">
        <v>22</v>
      </c>
      <c r="D1569">
        <v>89</v>
      </c>
      <c r="E1569" t="s">
        <v>21</v>
      </c>
      <c r="F1569" t="s">
        <v>30</v>
      </c>
      <c r="G1569" s="1">
        <v>46089</v>
      </c>
      <c r="H1569" s="1">
        <v>46078</v>
      </c>
      <c r="I1569" t="s">
        <v>1811</v>
      </c>
      <c r="J1569" t="s">
        <v>1810</v>
      </c>
      <c r="L1569">
        <v>1548.32</v>
      </c>
      <c r="M1569" t="s">
        <v>57</v>
      </c>
      <c r="N1569">
        <v>390</v>
      </c>
      <c r="O1569" t="s">
        <v>50</v>
      </c>
    </row>
    <row r="1570" spans="1:15" x14ac:dyDescent="0.3">
      <c r="A1570" t="s">
        <v>1809</v>
      </c>
      <c r="B1570" t="s">
        <v>1808</v>
      </c>
      <c r="C1570" t="s">
        <v>22</v>
      </c>
      <c r="D1570">
        <v>28</v>
      </c>
      <c r="E1570" t="s">
        <v>47</v>
      </c>
      <c r="F1570" t="s">
        <v>30</v>
      </c>
      <c r="G1570" s="1">
        <v>46099</v>
      </c>
      <c r="H1570" s="1">
        <v>46099</v>
      </c>
      <c r="I1570" t="s">
        <v>1807</v>
      </c>
      <c r="J1570" t="s">
        <v>1806</v>
      </c>
      <c r="K1570" t="s">
        <v>17</v>
      </c>
      <c r="L1570">
        <v>20773.759999999998</v>
      </c>
      <c r="M1570" t="s">
        <v>17</v>
      </c>
      <c r="N1570">
        <v>205</v>
      </c>
      <c r="O1570" t="s">
        <v>16</v>
      </c>
    </row>
    <row r="1571" spans="1:15" x14ac:dyDescent="0.3">
      <c r="A1571" t="s">
        <v>1805</v>
      </c>
      <c r="B1571" t="s">
        <v>1804</v>
      </c>
      <c r="C1571" t="s">
        <v>123</v>
      </c>
      <c r="D1571">
        <v>42</v>
      </c>
      <c r="E1571" t="s">
        <v>1803</v>
      </c>
      <c r="F1571" t="s">
        <v>90</v>
      </c>
      <c r="G1571" s="1">
        <v>46029</v>
      </c>
      <c r="H1571" s="1">
        <v>46034</v>
      </c>
      <c r="I1571" t="s">
        <v>1802</v>
      </c>
      <c r="J1571" t="s">
        <v>1801</v>
      </c>
      <c r="K1571" t="s">
        <v>35</v>
      </c>
      <c r="L1571">
        <v>23036.31</v>
      </c>
      <c r="N1571">
        <v>387</v>
      </c>
      <c r="O1571" t="s">
        <v>34</v>
      </c>
    </row>
    <row r="1572" spans="1:15" x14ac:dyDescent="0.3">
      <c r="A1572" t="s">
        <v>1800</v>
      </c>
      <c r="B1572" t="s">
        <v>1799</v>
      </c>
      <c r="C1572" t="s">
        <v>22</v>
      </c>
      <c r="D1572">
        <v>86</v>
      </c>
      <c r="E1572" t="s">
        <v>21</v>
      </c>
      <c r="F1572" t="s">
        <v>20</v>
      </c>
      <c r="G1572" s="1">
        <v>46046</v>
      </c>
      <c r="H1572" s="1">
        <v>46027</v>
      </c>
      <c r="I1572" t="s">
        <v>1798</v>
      </c>
      <c r="J1572" t="s">
        <v>1797</v>
      </c>
      <c r="K1572" t="s">
        <v>64</v>
      </c>
      <c r="L1572">
        <v>22133.43</v>
      </c>
      <c r="M1572" t="s">
        <v>27</v>
      </c>
      <c r="N1572">
        <v>417</v>
      </c>
      <c r="O1572" t="s">
        <v>77</v>
      </c>
    </row>
    <row r="1573" spans="1:15" x14ac:dyDescent="0.3">
      <c r="A1573" t="s">
        <v>1796</v>
      </c>
      <c r="B1573" t="s">
        <v>1795</v>
      </c>
      <c r="C1573" t="s">
        <v>40</v>
      </c>
      <c r="D1573">
        <v>36</v>
      </c>
      <c r="E1573" t="s">
        <v>47</v>
      </c>
      <c r="F1573" t="s">
        <v>30</v>
      </c>
      <c r="G1573" s="1">
        <v>45998</v>
      </c>
      <c r="H1573" s="1">
        <v>45984</v>
      </c>
      <c r="I1573" t="s">
        <v>1794</v>
      </c>
      <c r="J1573" t="s">
        <v>1793</v>
      </c>
      <c r="L1573">
        <v>18272.96</v>
      </c>
      <c r="M1573" t="s">
        <v>26</v>
      </c>
      <c r="N1573">
        <v>149</v>
      </c>
      <c r="O1573" t="s">
        <v>77</v>
      </c>
    </row>
    <row r="1574" spans="1:15" x14ac:dyDescent="0.3">
      <c r="A1574" t="s">
        <v>1792</v>
      </c>
      <c r="B1574" t="s">
        <v>1791</v>
      </c>
      <c r="C1574" t="s">
        <v>60</v>
      </c>
      <c r="D1574">
        <v>28</v>
      </c>
      <c r="E1574" t="s">
        <v>21</v>
      </c>
      <c r="F1574" t="s">
        <v>90</v>
      </c>
      <c r="G1574" s="1">
        <v>46010</v>
      </c>
      <c r="H1574" s="1">
        <v>45987</v>
      </c>
      <c r="I1574" t="s">
        <v>1790</v>
      </c>
      <c r="J1574" t="s">
        <v>1789</v>
      </c>
      <c r="K1574" t="s">
        <v>57</v>
      </c>
      <c r="L1574">
        <v>2087.27</v>
      </c>
      <c r="N1574">
        <v>434</v>
      </c>
      <c r="O1574" t="s">
        <v>77</v>
      </c>
    </row>
    <row r="1575" spans="1:15" x14ac:dyDescent="0.3">
      <c r="A1575" t="s">
        <v>1788</v>
      </c>
      <c r="B1575" t="s">
        <v>1787</v>
      </c>
      <c r="C1575" t="s">
        <v>22</v>
      </c>
      <c r="D1575">
        <v>5</v>
      </c>
      <c r="E1575" t="s">
        <v>80</v>
      </c>
      <c r="F1575" t="s">
        <v>30</v>
      </c>
      <c r="G1575" s="1">
        <v>46074</v>
      </c>
      <c r="H1575" s="1">
        <v>46070</v>
      </c>
      <c r="I1575" t="s">
        <v>1786</v>
      </c>
      <c r="J1575" t="s">
        <v>1785</v>
      </c>
      <c r="K1575" t="s">
        <v>26</v>
      </c>
      <c r="L1575">
        <v>11531.81</v>
      </c>
      <c r="M1575" t="s">
        <v>57</v>
      </c>
      <c r="N1575">
        <v>161</v>
      </c>
      <c r="O1575" t="s">
        <v>25</v>
      </c>
    </row>
    <row r="1576" spans="1:15" x14ac:dyDescent="0.3">
      <c r="A1576" t="s">
        <v>1784</v>
      </c>
      <c r="B1576" t="s">
        <v>1783</v>
      </c>
      <c r="C1576" t="s">
        <v>40</v>
      </c>
      <c r="D1576">
        <v>61</v>
      </c>
      <c r="E1576" t="s">
        <v>39</v>
      </c>
      <c r="F1576" t="s">
        <v>46</v>
      </c>
      <c r="G1576" s="1">
        <v>46132</v>
      </c>
      <c r="H1576" s="1">
        <v>46129</v>
      </c>
      <c r="I1576" t="s">
        <v>1782</v>
      </c>
      <c r="J1576" t="s">
        <v>1781</v>
      </c>
      <c r="K1576" t="s">
        <v>64</v>
      </c>
      <c r="L1576">
        <v>18175.259999999998</v>
      </c>
      <c r="N1576">
        <v>545</v>
      </c>
      <c r="O1576" t="s">
        <v>34</v>
      </c>
    </row>
    <row r="1577" spans="1:15" x14ac:dyDescent="0.3">
      <c r="A1577" t="s">
        <v>1780</v>
      </c>
      <c r="B1577" t="s">
        <v>1779</v>
      </c>
      <c r="C1577" t="s">
        <v>22</v>
      </c>
      <c r="D1577">
        <v>35</v>
      </c>
      <c r="E1577" t="s">
        <v>47</v>
      </c>
      <c r="F1577" t="s">
        <v>85</v>
      </c>
      <c r="G1577" s="1">
        <v>46033</v>
      </c>
      <c r="H1577" s="1">
        <v>46031</v>
      </c>
      <c r="I1577" t="s">
        <v>1778</v>
      </c>
      <c r="J1577" t="s">
        <v>1777</v>
      </c>
      <c r="K1577" t="s">
        <v>35</v>
      </c>
      <c r="L1577">
        <v>5543.79</v>
      </c>
      <c r="N1577">
        <v>447</v>
      </c>
      <c r="O1577" t="s">
        <v>16</v>
      </c>
    </row>
    <row r="1578" spans="1:15" x14ac:dyDescent="0.3">
      <c r="A1578" t="s">
        <v>1776</v>
      </c>
      <c r="B1578" t="s">
        <v>1775</v>
      </c>
      <c r="C1578" t="s">
        <v>40</v>
      </c>
      <c r="D1578">
        <v>5</v>
      </c>
      <c r="E1578" t="s">
        <v>68</v>
      </c>
      <c r="F1578" t="s">
        <v>90</v>
      </c>
      <c r="G1578" s="1">
        <v>46043</v>
      </c>
      <c r="H1578" s="1">
        <v>46017</v>
      </c>
      <c r="I1578" t="s">
        <v>1774</v>
      </c>
      <c r="J1578" t="s">
        <v>1773</v>
      </c>
      <c r="L1578">
        <v>10428.120000000001</v>
      </c>
      <c r="M1578" t="s">
        <v>27</v>
      </c>
      <c r="N1578">
        <v>395</v>
      </c>
      <c r="O1578" t="s">
        <v>77</v>
      </c>
    </row>
    <row r="1579" spans="1:15" x14ac:dyDescent="0.3">
      <c r="A1579" t="s">
        <v>1772</v>
      </c>
      <c r="B1579" t="s">
        <v>1771</v>
      </c>
      <c r="C1579" t="s">
        <v>74</v>
      </c>
      <c r="D1579">
        <v>36</v>
      </c>
      <c r="E1579" t="s">
        <v>132</v>
      </c>
      <c r="F1579" t="s">
        <v>85</v>
      </c>
      <c r="G1579" s="1">
        <v>46051</v>
      </c>
      <c r="H1579" s="1">
        <v>46045</v>
      </c>
      <c r="I1579" t="s">
        <v>1770</v>
      </c>
      <c r="J1579" t="s">
        <v>1769</v>
      </c>
      <c r="K1579" t="s">
        <v>26</v>
      </c>
      <c r="L1579">
        <v>805.44</v>
      </c>
      <c r="M1579" t="s">
        <v>63</v>
      </c>
      <c r="N1579">
        <v>546</v>
      </c>
      <c r="O1579" t="s">
        <v>71</v>
      </c>
    </row>
    <row r="1580" spans="1:15" x14ac:dyDescent="0.3">
      <c r="A1580" t="s">
        <v>1768</v>
      </c>
      <c r="B1580" t="s">
        <v>1767</v>
      </c>
      <c r="C1580" t="s">
        <v>1</v>
      </c>
      <c r="D1580">
        <v>89</v>
      </c>
      <c r="E1580" t="s">
        <v>68</v>
      </c>
      <c r="F1580" t="s">
        <v>46</v>
      </c>
      <c r="G1580" s="1">
        <v>45999</v>
      </c>
      <c r="H1580" s="1">
        <v>45979</v>
      </c>
      <c r="I1580" t="s">
        <v>1766</v>
      </c>
      <c r="J1580" t="s">
        <v>1765</v>
      </c>
      <c r="K1580" t="s">
        <v>27</v>
      </c>
      <c r="L1580">
        <v>21863.32</v>
      </c>
      <c r="N1580">
        <v>386</v>
      </c>
      <c r="O1580" t="s">
        <v>25</v>
      </c>
    </row>
    <row r="1581" spans="1:15" x14ac:dyDescent="0.3">
      <c r="A1581" t="s">
        <v>1764</v>
      </c>
      <c r="B1581" t="s">
        <v>1763</v>
      </c>
      <c r="D1581">
        <v>30</v>
      </c>
      <c r="E1581" t="s">
        <v>47</v>
      </c>
      <c r="F1581" t="s">
        <v>30</v>
      </c>
      <c r="G1581" s="1">
        <v>46154</v>
      </c>
      <c r="H1581" s="1">
        <v>46143</v>
      </c>
      <c r="I1581" t="s">
        <v>1762</v>
      </c>
      <c r="J1581" t="s">
        <v>1761</v>
      </c>
      <c r="K1581" t="s">
        <v>64</v>
      </c>
      <c r="L1581">
        <v>15031.62</v>
      </c>
      <c r="N1581">
        <v>520</v>
      </c>
      <c r="O1581" t="s">
        <v>16</v>
      </c>
    </row>
    <row r="1582" spans="1:15" x14ac:dyDescent="0.3">
      <c r="A1582" t="s">
        <v>1760</v>
      </c>
      <c r="B1582" t="s">
        <v>1759</v>
      </c>
      <c r="C1582" t="s">
        <v>0</v>
      </c>
      <c r="D1582">
        <v>48</v>
      </c>
      <c r="E1582" t="s">
        <v>31</v>
      </c>
      <c r="F1582" t="s">
        <v>53</v>
      </c>
      <c r="G1582" s="1">
        <v>46084</v>
      </c>
      <c r="H1582" s="1">
        <v>46074</v>
      </c>
      <c r="I1582" t="s">
        <v>1758</v>
      </c>
      <c r="J1582" t="s">
        <v>1757</v>
      </c>
      <c r="K1582" t="s">
        <v>57</v>
      </c>
      <c r="L1582">
        <v>10293.64</v>
      </c>
      <c r="N1582">
        <v>290</v>
      </c>
      <c r="O1582" t="s">
        <v>16</v>
      </c>
    </row>
    <row r="1583" spans="1:15" x14ac:dyDescent="0.3">
      <c r="A1583" t="s">
        <v>1756</v>
      </c>
      <c r="B1583" t="s">
        <v>1755</v>
      </c>
      <c r="C1583" t="s">
        <v>60</v>
      </c>
      <c r="D1583">
        <v>38</v>
      </c>
      <c r="E1583" t="s">
        <v>39</v>
      </c>
      <c r="F1583" t="s">
        <v>85</v>
      </c>
      <c r="G1583" s="1">
        <v>46117</v>
      </c>
      <c r="H1583" s="1">
        <v>46096</v>
      </c>
      <c r="I1583" t="s">
        <v>1754</v>
      </c>
      <c r="J1583" t="s">
        <v>1753</v>
      </c>
      <c r="L1583">
        <v>9136.16</v>
      </c>
      <c r="N1583">
        <v>144</v>
      </c>
      <c r="O1583" t="s">
        <v>34</v>
      </c>
    </row>
    <row r="1584" spans="1:15" x14ac:dyDescent="0.3">
      <c r="A1584" t="s">
        <v>1752</v>
      </c>
      <c r="B1584" t="s">
        <v>1751</v>
      </c>
      <c r="C1584" t="s">
        <v>22</v>
      </c>
      <c r="D1584">
        <v>18</v>
      </c>
      <c r="E1584" t="s">
        <v>31</v>
      </c>
      <c r="F1584" t="s">
        <v>67</v>
      </c>
      <c r="G1584" s="1">
        <v>46096</v>
      </c>
      <c r="H1584" s="1">
        <v>46076</v>
      </c>
      <c r="I1584" t="s">
        <v>1750</v>
      </c>
      <c r="J1584" t="s">
        <v>1749</v>
      </c>
      <c r="L1584">
        <v>11379.06</v>
      </c>
      <c r="M1584" t="s">
        <v>26</v>
      </c>
      <c r="N1584">
        <v>121</v>
      </c>
      <c r="O1584" t="s">
        <v>43</v>
      </c>
    </row>
    <row r="1585" spans="1:15" x14ac:dyDescent="0.3">
      <c r="A1585" t="s">
        <v>1748</v>
      </c>
      <c r="B1585" t="s">
        <v>1747</v>
      </c>
      <c r="C1585" t="s">
        <v>0</v>
      </c>
      <c r="D1585">
        <v>77</v>
      </c>
      <c r="E1585" t="s">
        <v>31</v>
      </c>
      <c r="F1585" t="s">
        <v>53</v>
      </c>
      <c r="G1585" s="1">
        <v>46090</v>
      </c>
      <c r="H1585" s="1">
        <v>46063</v>
      </c>
      <c r="I1585" t="s">
        <v>1746</v>
      </c>
      <c r="J1585" t="s">
        <v>1745</v>
      </c>
      <c r="K1585" t="s">
        <v>35</v>
      </c>
      <c r="L1585">
        <v>24435.35</v>
      </c>
      <c r="M1585" t="s">
        <v>57</v>
      </c>
      <c r="N1585">
        <v>522</v>
      </c>
      <c r="O1585" t="s">
        <v>25</v>
      </c>
    </row>
    <row r="1586" spans="1:15" x14ac:dyDescent="0.3">
      <c r="A1586" t="s">
        <v>1744</v>
      </c>
      <c r="B1586" t="s">
        <v>1743</v>
      </c>
      <c r="C1586" t="s">
        <v>123</v>
      </c>
      <c r="D1586">
        <v>11</v>
      </c>
      <c r="E1586" t="s">
        <v>54</v>
      </c>
      <c r="F1586" t="s">
        <v>20</v>
      </c>
      <c r="G1586" s="1">
        <v>46071</v>
      </c>
      <c r="H1586" s="1">
        <v>46055</v>
      </c>
      <c r="I1586" t="s">
        <v>1742</v>
      </c>
      <c r="J1586" t="s">
        <v>1741</v>
      </c>
      <c r="K1586" t="s">
        <v>27</v>
      </c>
      <c r="L1586">
        <v>13085.31</v>
      </c>
      <c r="M1586" t="s">
        <v>27</v>
      </c>
      <c r="N1586" t="s">
        <v>347</v>
      </c>
      <c r="O1586" t="s">
        <v>34</v>
      </c>
    </row>
    <row r="1587" spans="1:15" x14ac:dyDescent="0.3">
      <c r="A1587" t="s">
        <v>1740</v>
      </c>
      <c r="B1587" t="s">
        <v>1739</v>
      </c>
      <c r="C1587" t="s">
        <v>0</v>
      </c>
      <c r="D1587">
        <v>30</v>
      </c>
      <c r="E1587" t="s">
        <v>31</v>
      </c>
      <c r="F1587" t="s">
        <v>85</v>
      </c>
      <c r="G1587" s="1">
        <v>45990</v>
      </c>
      <c r="H1587" s="1">
        <v>45987</v>
      </c>
      <c r="I1587" t="s">
        <v>1738</v>
      </c>
      <c r="J1587" t="s">
        <v>1737</v>
      </c>
      <c r="K1587" t="s">
        <v>57</v>
      </c>
      <c r="L1587">
        <v>18350</v>
      </c>
      <c r="M1587" t="s">
        <v>17</v>
      </c>
      <c r="N1587">
        <v>380</v>
      </c>
      <c r="O1587" t="s">
        <v>16</v>
      </c>
    </row>
    <row r="1588" spans="1:15" x14ac:dyDescent="0.3">
      <c r="A1588" t="s">
        <v>1736</v>
      </c>
      <c r="B1588" t="s">
        <v>951</v>
      </c>
      <c r="C1588" t="s">
        <v>123</v>
      </c>
      <c r="D1588">
        <v>29</v>
      </c>
      <c r="E1588" t="s">
        <v>31</v>
      </c>
      <c r="F1588" t="s">
        <v>90</v>
      </c>
      <c r="G1588" s="1">
        <v>46005</v>
      </c>
      <c r="H1588" s="1">
        <v>45983</v>
      </c>
      <c r="I1588" t="s">
        <v>1735</v>
      </c>
      <c r="J1588" t="s">
        <v>1734</v>
      </c>
      <c r="K1588" t="s">
        <v>64</v>
      </c>
      <c r="L1588">
        <v>5800.21</v>
      </c>
      <c r="N1588">
        <v>179</v>
      </c>
      <c r="O1588" t="s">
        <v>50</v>
      </c>
    </row>
    <row r="1589" spans="1:15" x14ac:dyDescent="0.3">
      <c r="A1589" t="s">
        <v>1733</v>
      </c>
      <c r="B1589" t="s">
        <v>1732</v>
      </c>
      <c r="C1589" t="s">
        <v>1</v>
      </c>
      <c r="D1589">
        <v>1</v>
      </c>
      <c r="E1589" t="s">
        <v>80</v>
      </c>
      <c r="F1589" t="s">
        <v>85</v>
      </c>
      <c r="G1589" s="1">
        <v>46060</v>
      </c>
      <c r="H1589" s="1">
        <v>46056</v>
      </c>
      <c r="I1589" t="s">
        <v>1731</v>
      </c>
      <c r="J1589" t="s">
        <v>1730</v>
      </c>
      <c r="K1589" t="s">
        <v>64</v>
      </c>
      <c r="L1589">
        <v>17434.45</v>
      </c>
      <c r="M1589" t="s">
        <v>63</v>
      </c>
      <c r="N1589">
        <v>223</v>
      </c>
      <c r="O1589" t="s">
        <v>50</v>
      </c>
    </row>
    <row r="1590" spans="1:15" x14ac:dyDescent="0.3">
      <c r="A1590" t="s">
        <v>1729</v>
      </c>
      <c r="B1590" t="s">
        <v>1728</v>
      </c>
      <c r="C1590" t="s">
        <v>123</v>
      </c>
      <c r="D1590">
        <v>39</v>
      </c>
      <c r="E1590" t="s">
        <v>21</v>
      </c>
      <c r="F1590" t="s">
        <v>20</v>
      </c>
      <c r="G1590" s="1">
        <v>46145</v>
      </c>
      <c r="H1590" s="1">
        <v>46115</v>
      </c>
      <c r="I1590" t="s">
        <v>1727</v>
      </c>
      <c r="J1590" t="s">
        <v>1726</v>
      </c>
      <c r="K1590" t="s">
        <v>17</v>
      </c>
      <c r="L1590">
        <v>782.94</v>
      </c>
      <c r="M1590" t="s">
        <v>27</v>
      </c>
      <c r="N1590">
        <v>251</v>
      </c>
      <c r="O1590" t="s">
        <v>77</v>
      </c>
    </row>
    <row r="1591" spans="1:15" x14ac:dyDescent="0.3">
      <c r="A1591" t="s">
        <v>1725</v>
      </c>
      <c r="B1591" t="s">
        <v>1724</v>
      </c>
      <c r="C1591" t="s">
        <v>1</v>
      </c>
      <c r="D1591">
        <v>24</v>
      </c>
      <c r="E1591" t="s">
        <v>80</v>
      </c>
      <c r="F1591" t="s">
        <v>20</v>
      </c>
      <c r="G1591" s="1">
        <v>46048</v>
      </c>
      <c r="H1591" s="1">
        <v>46040</v>
      </c>
      <c r="I1591" t="s">
        <v>1723</v>
      </c>
      <c r="J1591" t="s">
        <v>1722</v>
      </c>
      <c r="L1591">
        <v>23785.11</v>
      </c>
      <c r="N1591">
        <v>283</v>
      </c>
      <c r="O1591" t="s">
        <v>25</v>
      </c>
    </row>
    <row r="1592" spans="1:15" x14ac:dyDescent="0.3">
      <c r="A1592" t="s">
        <v>1721</v>
      </c>
      <c r="B1592" t="s">
        <v>1720</v>
      </c>
      <c r="C1592" t="s">
        <v>123</v>
      </c>
      <c r="D1592">
        <v>2</v>
      </c>
      <c r="E1592" t="s">
        <v>132</v>
      </c>
      <c r="F1592" t="s">
        <v>67</v>
      </c>
      <c r="G1592" s="1">
        <v>46158</v>
      </c>
      <c r="H1592" s="1">
        <v>46146</v>
      </c>
      <c r="I1592" t="s">
        <v>1719</v>
      </c>
      <c r="J1592" t="s">
        <v>1718</v>
      </c>
      <c r="K1592" t="s">
        <v>57</v>
      </c>
      <c r="L1592">
        <v>5369.52</v>
      </c>
      <c r="N1592">
        <v>417</v>
      </c>
      <c r="O1592" t="s">
        <v>34</v>
      </c>
    </row>
    <row r="1593" spans="1:15" x14ac:dyDescent="0.3">
      <c r="A1593" t="s">
        <v>1717</v>
      </c>
      <c r="B1593" t="s">
        <v>1716</v>
      </c>
      <c r="D1593">
        <v>82</v>
      </c>
      <c r="E1593" t="s">
        <v>47</v>
      </c>
      <c r="F1593" t="s">
        <v>85</v>
      </c>
      <c r="G1593" s="1">
        <v>46085</v>
      </c>
      <c r="H1593" s="1">
        <v>46084</v>
      </c>
      <c r="I1593" t="s">
        <v>1715</v>
      </c>
      <c r="J1593" t="s">
        <v>1714</v>
      </c>
      <c r="L1593">
        <v>8126.87</v>
      </c>
      <c r="M1593" t="s">
        <v>27</v>
      </c>
      <c r="N1593">
        <v>230</v>
      </c>
      <c r="O1593" t="s">
        <v>25</v>
      </c>
    </row>
    <row r="1594" spans="1:15" x14ac:dyDescent="0.3">
      <c r="A1594" t="s">
        <v>1713</v>
      </c>
      <c r="B1594" t="s">
        <v>1712</v>
      </c>
      <c r="D1594">
        <v>50</v>
      </c>
      <c r="E1594" t="s">
        <v>80</v>
      </c>
      <c r="F1594" t="s">
        <v>90</v>
      </c>
      <c r="G1594" s="1">
        <v>46161</v>
      </c>
      <c r="H1594" s="1">
        <v>46139</v>
      </c>
      <c r="I1594" t="s">
        <v>1711</v>
      </c>
      <c r="J1594" t="s">
        <v>1710</v>
      </c>
      <c r="K1594" t="s">
        <v>57</v>
      </c>
      <c r="L1594">
        <v>23738.23</v>
      </c>
      <c r="N1594">
        <v>113</v>
      </c>
      <c r="O1594" t="s">
        <v>16</v>
      </c>
    </row>
    <row r="1595" spans="1:15" x14ac:dyDescent="0.3">
      <c r="A1595" t="s">
        <v>1709</v>
      </c>
      <c r="B1595" t="s">
        <v>1708</v>
      </c>
      <c r="C1595" t="s">
        <v>40</v>
      </c>
      <c r="D1595">
        <v>63</v>
      </c>
      <c r="E1595" t="s">
        <v>80</v>
      </c>
      <c r="F1595" t="s">
        <v>85</v>
      </c>
      <c r="G1595" s="1">
        <v>46111</v>
      </c>
      <c r="H1595" s="1">
        <v>46103</v>
      </c>
      <c r="I1595" t="s">
        <v>1707</v>
      </c>
      <c r="J1595" t="s">
        <v>1706</v>
      </c>
      <c r="K1595" t="s">
        <v>64</v>
      </c>
      <c r="L1595">
        <v>2257.52</v>
      </c>
      <c r="M1595" t="s">
        <v>64</v>
      </c>
      <c r="N1595">
        <v>332</v>
      </c>
      <c r="O1595" t="s">
        <v>16</v>
      </c>
    </row>
    <row r="1596" spans="1:15" x14ac:dyDescent="0.3">
      <c r="A1596" t="s">
        <v>1705</v>
      </c>
      <c r="B1596" t="s">
        <v>1704</v>
      </c>
      <c r="C1596" t="s">
        <v>60</v>
      </c>
      <c r="D1596">
        <v>31</v>
      </c>
      <c r="E1596" t="s">
        <v>68</v>
      </c>
      <c r="F1596" t="s">
        <v>46</v>
      </c>
      <c r="G1596" s="1">
        <v>46049</v>
      </c>
      <c r="H1596" s="1">
        <v>46039</v>
      </c>
      <c r="I1596" t="s">
        <v>1703</v>
      </c>
      <c r="J1596" t="s">
        <v>1702</v>
      </c>
      <c r="K1596" t="s">
        <v>26</v>
      </c>
      <c r="L1596">
        <v>13905.12</v>
      </c>
      <c r="N1596">
        <v>210</v>
      </c>
      <c r="O1596" t="s">
        <v>34</v>
      </c>
    </row>
    <row r="1597" spans="1:15" x14ac:dyDescent="0.3">
      <c r="A1597" t="s">
        <v>1701</v>
      </c>
      <c r="B1597" t="s">
        <v>1700</v>
      </c>
      <c r="C1597" t="s">
        <v>123</v>
      </c>
      <c r="D1597">
        <v>13</v>
      </c>
      <c r="E1597" t="s">
        <v>47</v>
      </c>
      <c r="F1597" t="s">
        <v>53</v>
      </c>
      <c r="G1597" s="1">
        <v>46116</v>
      </c>
      <c r="H1597" s="1">
        <v>46098</v>
      </c>
      <c r="I1597" t="s">
        <v>1699</v>
      </c>
      <c r="J1597" t="s">
        <v>1698</v>
      </c>
      <c r="K1597" t="s">
        <v>27</v>
      </c>
      <c r="L1597">
        <v>23401.35</v>
      </c>
      <c r="N1597">
        <v>135</v>
      </c>
      <c r="O1597" t="s">
        <v>34</v>
      </c>
    </row>
    <row r="1598" spans="1:15" x14ac:dyDescent="0.3">
      <c r="A1598" t="s">
        <v>1697</v>
      </c>
      <c r="B1598" t="s">
        <v>1696</v>
      </c>
      <c r="C1598" t="s">
        <v>0</v>
      </c>
      <c r="D1598">
        <v>60</v>
      </c>
      <c r="E1598" t="s">
        <v>132</v>
      </c>
      <c r="F1598" t="s">
        <v>90</v>
      </c>
      <c r="G1598" s="1">
        <v>46163</v>
      </c>
      <c r="H1598" s="1">
        <v>46138</v>
      </c>
      <c r="I1598" t="s">
        <v>1695</v>
      </c>
      <c r="J1598" t="s">
        <v>1694</v>
      </c>
      <c r="K1598" t="s">
        <v>27</v>
      </c>
      <c r="L1598">
        <v>6479.47</v>
      </c>
      <c r="M1598" t="s">
        <v>64</v>
      </c>
      <c r="N1598">
        <v>457</v>
      </c>
      <c r="O1598" t="s">
        <v>34</v>
      </c>
    </row>
    <row r="1599" spans="1:15" x14ac:dyDescent="0.3">
      <c r="A1599" t="s">
        <v>1693</v>
      </c>
      <c r="B1599" t="s">
        <v>1692</v>
      </c>
      <c r="D1599">
        <v>23</v>
      </c>
      <c r="E1599" t="s">
        <v>68</v>
      </c>
      <c r="F1599" t="s">
        <v>30</v>
      </c>
      <c r="G1599" s="1">
        <v>46012</v>
      </c>
      <c r="H1599" s="1">
        <v>45985</v>
      </c>
      <c r="I1599" t="s">
        <v>1691</v>
      </c>
      <c r="J1599" t="s">
        <v>1690</v>
      </c>
      <c r="K1599" t="s">
        <v>35</v>
      </c>
      <c r="L1599">
        <v>1187.45</v>
      </c>
      <c r="M1599" t="s">
        <v>17</v>
      </c>
      <c r="N1599">
        <v>318</v>
      </c>
      <c r="O1599" t="s">
        <v>77</v>
      </c>
    </row>
    <row r="1600" spans="1:15" x14ac:dyDescent="0.3">
      <c r="A1600" t="s">
        <v>1689</v>
      </c>
      <c r="B1600" t="s">
        <v>1688</v>
      </c>
      <c r="C1600" t="s">
        <v>0</v>
      </c>
      <c r="D1600">
        <v>10</v>
      </c>
      <c r="E1600" t="s">
        <v>21</v>
      </c>
      <c r="F1600" t="s">
        <v>85</v>
      </c>
      <c r="G1600" s="1">
        <v>46086</v>
      </c>
      <c r="H1600" s="1">
        <v>46071</v>
      </c>
      <c r="I1600" t="s">
        <v>1687</v>
      </c>
      <c r="J1600" t="s">
        <v>1686</v>
      </c>
      <c r="K1600" t="s">
        <v>17</v>
      </c>
      <c r="L1600">
        <v>341.17</v>
      </c>
      <c r="M1600" t="s">
        <v>26</v>
      </c>
      <c r="N1600">
        <v>495</v>
      </c>
      <c r="O1600" t="s">
        <v>16</v>
      </c>
    </row>
    <row r="1601" spans="1:15" x14ac:dyDescent="0.3">
      <c r="A1601" t="s">
        <v>1685</v>
      </c>
      <c r="B1601" t="s">
        <v>1684</v>
      </c>
      <c r="C1601" t="s">
        <v>40</v>
      </c>
      <c r="D1601">
        <v>39</v>
      </c>
      <c r="E1601" t="s">
        <v>39</v>
      </c>
      <c r="F1601" t="s">
        <v>38</v>
      </c>
      <c r="G1601" s="1">
        <v>46148</v>
      </c>
      <c r="H1601" s="1">
        <v>46138</v>
      </c>
      <c r="I1601" t="s">
        <v>1683</v>
      </c>
      <c r="J1601" t="s">
        <v>1682</v>
      </c>
      <c r="L1601">
        <v>5872.57</v>
      </c>
      <c r="N1601">
        <v>513</v>
      </c>
      <c r="O1601" t="s">
        <v>25</v>
      </c>
    </row>
    <row r="1602" spans="1:15" x14ac:dyDescent="0.3">
      <c r="A1602" t="s">
        <v>1681</v>
      </c>
      <c r="B1602" t="s">
        <v>1680</v>
      </c>
      <c r="C1602" t="s">
        <v>74</v>
      </c>
      <c r="D1602">
        <v>13</v>
      </c>
      <c r="E1602" t="s">
        <v>39</v>
      </c>
      <c r="F1602" t="s">
        <v>53</v>
      </c>
      <c r="G1602" s="1">
        <v>46070</v>
      </c>
      <c r="H1602" s="1">
        <v>46066</v>
      </c>
      <c r="I1602" t="s">
        <v>1679</v>
      </c>
      <c r="J1602" t="s">
        <v>1678</v>
      </c>
      <c r="K1602" t="s">
        <v>27</v>
      </c>
      <c r="L1602">
        <v>11064.81</v>
      </c>
      <c r="M1602" t="s">
        <v>17</v>
      </c>
      <c r="N1602">
        <v>506</v>
      </c>
      <c r="O1602" t="s">
        <v>25</v>
      </c>
    </row>
    <row r="1603" spans="1:15" x14ac:dyDescent="0.3">
      <c r="A1603" t="s">
        <v>1677</v>
      </c>
      <c r="B1603" t="s">
        <v>1676</v>
      </c>
      <c r="C1603" t="s">
        <v>123</v>
      </c>
      <c r="D1603">
        <v>3</v>
      </c>
      <c r="E1603" t="s">
        <v>31</v>
      </c>
      <c r="F1603" t="s">
        <v>20</v>
      </c>
      <c r="G1603" s="1">
        <v>46096</v>
      </c>
      <c r="H1603" s="1">
        <v>46083</v>
      </c>
      <c r="I1603" t="s">
        <v>1675</v>
      </c>
      <c r="J1603" t="s">
        <v>1674</v>
      </c>
      <c r="L1603">
        <v>1031.71</v>
      </c>
      <c r="N1603">
        <v>385</v>
      </c>
      <c r="O1603" t="s">
        <v>25</v>
      </c>
    </row>
    <row r="1604" spans="1:15" x14ac:dyDescent="0.3">
      <c r="A1604" t="s">
        <v>1673</v>
      </c>
      <c r="B1604" t="s">
        <v>1672</v>
      </c>
      <c r="C1604" t="s">
        <v>123</v>
      </c>
      <c r="D1604">
        <v>9</v>
      </c>
      <c r="E1604" t="s">
        <v>80</v>
      </c>
      <c r="F1604" t="s">
        <v>20</v>
      </c>
      <c r="G1604" s="1">
        <v>46050</v>
      </c>
      <c r="H1604" s="1">
        <v>46042</v>
      </c>
      <c r="I1604" t="s">
        <v>1671</v>
      </c>
      <c r="J1604" t="s">
        <v>1670</v>
      </c>
      <c r="K1604" t="s">
        <v>57</v>
      </c>
      <c r="L1604">
        <v>11970.71</v>
      </c>
      <c r="M1604" t="s">
        <v>57</v>
      </c>
      <c r="N1604">
        <v>548</v>
      </c>
      <c r="O1604" t="s">
        <v>71</v>
      </c>
    </row>
    <row r="1605" spans="1:15" x14ac:dyDescent="0.3">
      <c r="A1605" t="s">
        <v>1669</v>
      </c>
      <c r="B1605" t="s">
        <v>1668</v>
      </c>
      <c r="C1605" t="s">
        <v>74</v>
      </c>
      <c r="D1605">
        <v>4</v>
      </c>
      <c r="E1605" t="s">
        <v>39</v>
      </c>
      <c r="F1605" t="s">
        <v>20</v>
      </c>
      <c r="G1605" s="1">
        <v>46108</v>
      </c>
      <c r="H1605" s="1">
        <v>46090</v>
      </c>
      <c r="I1605" t="s">
        <v>1667</v>
      </c>
      <c r="J1605" t="s">
        <v>1666</v>
      </c>
      <c r="K1605" t="s">
        <v>35</v>
      </c>
      <c r="L1605">
        <v>16683.099999999999</v>
      </c>
      <c r="N1605">
        <v>437</v>
      </c>
      <c r="O1605" t="s">
        <v>34</v>
      </c>
    </row>
    <row r="1606" spans="1:15" x14ac:dyDescent="0.3">
      <c r="A1606" t="s">
        <v>1665</v>
      </c>
      <c r="B1606" t="s">
        <v>1664</v>
      </c>
      <c r="C1606" t="s">
        <v>60</v>
      </c>
      <c r="D1606">
        <v>72</v>
      </c>
      <c r="E1606" t="s">
        <v>132</v>
      </c>
      <c r="F1606" t="s">
        <v>85</v>
      </c>
      <c r="G1606" s="1">
        <v>46092</v>
      </c>
      <c r="H1606" s="1">
        <v>46090</v>
      </c>
      <c r="I1606" t="s">
        <v>510</v>
      </c>
      <c r="J1606" t="s">
        <v>1663</v>
      </c>
      <c r="K1606" t="s">
        <v>35</v>
      </c>
      <c r="L1606">
        <v>14636.59</v>
      </c>
      <c r="M1606" t="s">
        <v>64</v>
      </c>
      <c r="N1606">
        <v>386</v>
      </c>
      <c r="O1606" t="s">
        <v>77</v>
      </c>
    </row>
    <row r="1607" spans="1:15" x14ac:dyDescent="0.3">
      <c r="A1607" t="s">
        <v>1662</v>
      </c>
      <c r="B1607" t="s">
        <v>1661</v>
      </c>
      <c r="C1607" t="s">
        <v>1</v>
      </c>
      <c r="D1607">
        <v>26</v>
      </c>
      <c r="E1607" t="s">
        <v>39</v>
      </c>
      <c r="F1607" t="s">
        <v>30</v>
      </c>
      <c r="G1607" s="1">
        <v>46049</v>
      </c>
      <c r="H1607" s="1">
        <v>46045</v>
      </c>
      <c r="I1607" t="s">
        <v>1660</v>
      </c>
      <c r="J1607" t="s">
        <v>1659</v>
      </c>
      <c r="L1607">
        <v>477.6</v>
      </c>
      <c r="M1607" t="s">
        <v>27</v>
      </c>
      <c r="N1607">
        <v>361</v>
      </c>
      <c r="O1607" t="s">
        <v>50</v>
      </c>
    </row>
    <row r="1608" spans="1:15" x14ac:dyDescent="0.3">
      <c r="A1608" t="s">
        <v>1658</v>
      </c>
      <c r="B1608" t="s">
        <v>1657</v>
      </c>
      <c r="C1608" t="s">
        <v>40</v>
      </c>
      <c r="D1608">
        <v>15</v>
      </c>
      <c r="E1608" t="s">
        <v>132</v>
      </c>
      <c r="F1608" t="s">
        <v>46</v>
      </c>
      <c r="G1608" s="1">
        <v>46120</v>
      </c>
      <c r="H1608" s="1">
        <v>46111</v>
      </c>
      <c r="I1608" t="s">
        <v>1656</v>
      </c>
      <c r="J1608" t="s">
        <v>1655</v>
      </c>
      <c r="K1608" t="s">
        <v>35</v>
      </c>
      <c r="L1608">
        <v>8124.32</v>
      </c>
      <c r="M1608" t="s">
        <v>57</v>
      </c>
      <c r="N1608">
        <v>540</v>
      </c>
      <c r="O1608" t="s">
        <v>16</v>
      </c>
    </row>
    <row r="1609" spans="1:15" x14ac:dyDescent="0.3">
      <c r="A1609" t="s">
        <v>1654</v>
      </c>
      <c r="B1609" t="s">
        <v>1653</v>
      </c>
      <c r="C1609" t="s">
        <v>1</v>
      </c>
      <c r="D1609">
        <v>25</v>
      </c>
      <c r="E1609" t="s">
        <v>68</v>
      </c>
      <c r="F1609" t="s">
        <v>85</v>
      </c>
      <c r="G1609" s="1">
        <v>46036</v>
      </c>
      <c r="H1609" s="1">
        <v>46021</v>
      </c>
      <c r="I1609" t="s">
        <v>1652</v>
      </c>
      <c r="J1609" t="s">
        <v>1651</v>
      </c>
      <c r="K1609" t="s">
        <v>17</v>
      </c>
      <c r="L1609">
        <v>2656.37</v>
      </c>
      <c r="N1609">
        <v>383</v>
      </c>
      <c r="O1609" t="s">
        <v>25</v>
      </c>
    </row>
    <row r="1610" spans="1:15" x14ac:dyDescent="0.3">
      <c r="A1610" t="s">
        <v>1650</v>
      </c>
      <c r="B1610" t="s">
        <v>1649</v>
      </c>
      <c r="C1610" t="s">
        <v>74</v>
      </c>
      <c r="D1610">
        <v>19</v>
      </c>
      <c r="E1610" t="s">
        <v>39</v>
      </c>
      <c r="F1610" t="s">
        <v>53</v>
      </c>
      <c r="G1610" s="1">
        <v>46088</v>
      </c>
      <c r="H1610" s="1">
        <v>46061</v>
      </c>
      <c r="I1610" t="s">
        <v>1648</v>
      </c>
      <c r="J1610" t="s">
        <v>1647</v>
      </c>
      <c r="K1610" t="s">
        <v>64</v>
      </c>
      <c r="L1610">
        <v>12046.67</v>
      </c>
      <c r="M1610" t="s">
        <v>64</v>
      </c>
      <c r="N1610">
        <v>389</v>
      </c>
      <c r="O1610" t="s">
        <v>71</v>
      </c>
    </row>
    <row r="1611" spans="1:15" x14ac:dyDescent="0.3">
      <c r="A1611" t="s">
        <v>1646</v>
      </c>
      <c r="B1611" t="s">
        <v>1645</v>
      </c>
      <c r="C1611" t="s">
        <v>1</v>
      </c>
      <c r="D1611">
        <v>81</v>
      </c>
      <c r="E1611" t="s">
        <v>54</v>
      </c>
      <c r="F1611" t="s">
        <v>67</v>
      </c>
      <c r="G1611" s="1">
        <v>46012</v>
      </c>
      <c r="H1611" s="1">
        <v>45982</v>
      </c>
      <c r="I1611" t="s">
        <v>1644</v>
      </c>
      <c r="K1611" t="s">
        <v>17</v>
      </c>
      <c r="L1611">
        <v>-500</v>
      </c>
      <c r="N1611">
        <v>130</v>
      </c>
      <c r="O1611" t="s">
        <v>50</v>
      </c>
    </row>
    <row r="1612" spans="1:15" x14ac:dyDescent="0.3">
      <c r="A1612" t="s">
        <v>1643</v>
      </c>
      <c r="B1612" t="s">
        <v>1642</v>
      </c>
      <c r="C1612" t="s">
        <v>123</v>
      </c>
      <c r="D1612">
        <v>6</v>
      </c>
      <c r="E1612" t="s">
        <v>31</v>
      </c>
      <c r="F1612" t="s">
        <v>90</v>
      </c>
      <c r="G1612" s="1">
        <v>45999</v>
      </c>
      <c r="H1612" s="1">
        <v>45999</v>
      </c>
      <c r="I1612" t="s">
        <v>1641</v>
      </c>
      <c r="J1612" t="s">
        <v>1640</v>
      </c>
      <c r="K1612" t="s">
        <v>17</v>
      </c>
      <c r="L1612">
        <v>16857.07</v>
      </c>
      <c r="M1612" t="s">
        <v>17</v>
      </c>
      <c r="N1612">
        <v>300</v>
      </c>
      <c r="O1612" t="s">
        <v>16</v>
      </c>
    </row>
    <row r="1613" spans="1:15" x14ac:dyDescent="0.3">
      <c r="A1613" t="s">
        <v>1639</v>
      </c>
      <c r="B1613" t="s">
        <v>1638</v>
      </c>
      <c r="C1613" t="s">
        <v>1</v>
      </c>
      <c r="D1613">
        <v>17</v>
      </c>
      <c r="E1613" t="s">
        <v>68</v>
      </c>
      <c r="F1613" t="s">
        <v>90</v>
      </c>
      <c r="G1613" s="1">
        <v>46002</v>
      </c>
      <c r="H1613" s="1">
        <v>45982</v>
      </c>
      <c r="I1613" t="s">
        <v>1637</v>
      </c>
      <c r="J1613" t="s">
        <v>1636</v>
      </c>
      <c r="K1613" t="s">
        <v>35</v>
      </c>
      <c r="L1613">
        <v>6185.25</v>
      </c>
      <c r="M1613" t="s">
        <v>63</v>
      </c>
      <c r="N1613">
        <v>354</v>
      </c>
      <c r="O1613" t="s">
        <v>50</v>
      </c>
    </row>
    <row r="1614" spans="1:15" x14ac:dyDescent="0.3">
      <c r="A1614" t="s">
        <v>1635</v>
      </c>
      <c r="B1614" t="s">
        <v>1634</v>
      </c>
      <c r="C1614" t="s">
        <v>74</v>
      </c>
      <c r="D1614">
        <v>56</v>
      </c>
      <c r="E1614" t="s">
        <v>47</v>
      </c>
      <c r="F1614" t="s">
        <v>90</v>
      </c>
      <c r="G1614" s="1">
        <v>46085</v>
      </c>
      <c r="H1614" s="1">
        <v>46083</v>
      </c>
      <c r="I1614" t="s">
        <v>1633</v>
      </c>
      <c r="J1614" t="s">
        <v>1632</v>
      </c>
      <c r="K1614" t="s">
        <v>64</v>
      </c>
      <c r="L1614">
        <v>17670.96</v>
      </c>
      <c r="M1614" t="s">
        <v>26</v>
      </c>
      <c r="N1614">
        <v>495</v>
      </c>
      <c r="O1614" t="s">
        <v>25</v>
      </c>
    </row>
    <row r="1615" spans="1:15" x14ac:dyDescent="0.3">
      <c r="A1615" t="s">
        <v>1631</v>
      </c>
      <c r="B1615" t="s">
        <v>1630</v>
      </c>
      <c r="C1615" t="s">
        <v>40</v>
      </c>
      <c r="D1615">
        <v>48</v>
      </c>
      <c r="E1615" t="s">
        <v>132</v>
      </c>
      <c r="F1615" t="s">
        <v>90</v>
      </c>
      <c r="G1615" s="1">
        <v>46093</v>
      </c>
      <c r="H1615" s="1">
        <v>46085</v>
      </c>
      <c r="I1615" t="s">
        <v>1629</v>
      </c>
      <c r="J1615" t="s">
        <v>1628</v>
      </c>
      <c r="L1615">
        <v>16324.14</v>
      </c>
      <c r="M1615" t="s">
        <v>17</v>
      </c>
      <c r="N1615">
        <v>255</v>
      </c>
      <c r="O1615" t="s">
        <v>50</v>
      </c>
    </row>
    <row r="1616" spans="1:15" x14ac:dyDescent="0.3">
      <c r="A1616" t="s">
        <v>1627</v>
      </c>
      <c r="B1616" t="s">
        <v>1626</v>
      </c>
      <c r="C1616" t="s">
        <v>60</v>
      </c>
      <c r="D1616">
        <v>40</v>
      </c>
      <c r="E1616" t="s">
        <v>68</v>
      </c>
      <c r="F1616" t="s">
        <v>85</v>
      </c>
      <c r="G1616" s="1">
        <v>46062</v>
      </c>
      <c r="H1616" s="1">
        <v>46050</v>
      </c>
      <c r="I1616" t="s">
        <v>1625</v>
      </c>
      <c r="J1616" t="s">
        <v>1624</v>
      </c>
      <c r="K1616" t="s">
        <v>35</v>
      </c>
      <c r="L1616">
        <v>11839.34</v>
      </c>
      <c r="M1616" t="s">
        <v>64</v>
      </c>
      <c r="N1616">
        <v>454</v>
      </c>
      <c r="O1616" t="s">
        <v>16</v>
      </c>
    </row>
    <row r="1617" spans="1:15" x14ac:dyDescent="0.3">
      <c r="A1617" t="s">
        <v>1623</v>
      </c>
      <c r="B1617" t="s">
        <v>1622</v>
      </c>
      <c r="C1617" t="s">
        <v>60</v>
      </c>
      <c r="D1617">
        <v>69</v>
      </c>
      <c r="E1617" t="s">
        <v>80</v>
      </c>
      <c r="F1617" t="s">
        <v>30</v>
      </c>
      <c r="G1617" s="1">
        <v>46065</v>
      </c>
      <c r="H1617" s="1">
        <v>46045</v>
      </c>
      <c r="I1617" t="s">
        <v>1621</v>
      </c>
      <c r="J1617" t="s">
        <v>1620</v>
      </c>
      <c r="K1617" t="s">
        <v>26</v>
      </c>
      <c r="L1617">
        <v>23367.19</v>
      </c>
      <c r="M1617" t="s">
        <v>63</v>
      </c>
      <c r="N1617">
        <v>404</v>
      </c>
      <c r="O1617" t="s">
        <v>34</v>
      </c>
    </row>
    <row r="1618" spans="1:15" x14ac:dyDescent="0.3">
      <c r="A1618" t="s">
        <v>1619</v>
      </c>
      <c r="B1618" t="s">
        <v>1618</v>
      </c>
      <c r="C1618" t="s">
        <v>1</v>
      </c>
      <c r="D1618">
        <v>41</v>
      </c>
      <c r="E1618" t="s">
        <v>31</v>
      </c>
      <c r="F1618" t="s">
        <v>38</v>
      </c>
      <c r="G1618" s="1">
        <v>46084</v>
      </c>
      <c r="H1618" s="1">
        <v>46066</v>
      </c>
      <c r="I1618" t="s">
        <v>1617</v>
      </c>
      <c r="J1618" t="s">
        <v>1616</v>
      </c>
      <c r="K1618" t="s">
        <v>17</v>
      </c>
      <c r="L1618">
        <v>8843.1299999999992</v>
      </c>
      <c r="M1618" t="s">
        <v>63</v>
      </c>
      <c r="N1618">
        <v>198</v>
      </c>
      <c r="O1618" t="s">
        <v>50</v>
      </c>
    </row>
    <row r="1619" spans="1:15" x14ac:dyDescent="0.3">
      <c r="A1619" t="s">
        <v>1615</v>
      </c>
      <c r="B1619" t="s">
        <v>1614</v>
      </c>
      <c r="C1619" t="s">
        <v>60</v>
      </c>
      <c r="D1619">
        <v>67</v>
      </c>
      <c r="E1619" t="s">
        <v>54</v>
      </c>
      <c r="F1619" t="s">
        <v>30</v>
      </c>
      <c r="G1619" s="1">
        <v>46141</v>
      </c>
      <c r="H1619" s="1">
        <v>46133</v>
      </c>
      <c r="I1619" t="s">
        <v>1613</v>
      </c>
      <c r="J1619" t="s">
        <v>1612</v>
      </c>
      <c r="L1619">
        <v>16808.18</v>
      </c>
      <c r="M1619" t="s">
        <v>57</v>
      </c>
      <c r="N1619">
        <v>493</v>
      </c>
      <c r="O1619" t="s">
        <v>34</v>
      </c>
    </row>
    <row r="1620" spans="1:15" x14ac:dyDescent="0.3">
      <c r="A1620" t="s">
        <v>1611</v>
      </c>
      <c r="B1620" t="s">
        <v>1610</v>
      </c>
      <c r="C1620" t="s">
        <v>0</v>
      </c>
      <c r="D1620">
        <v>89</v>
      </c>
      <c r="E1620" t="s">
        <v>132</v>
      </c>
      <c r="F1620" t="s">
        <v>38</v>
      </c>
      <c r="G1620" s="1">
        <v>46170</v>
      </c>
      <c r="H1620" s="1">
        <v>46149</v>
      </c>
      <c r="I1620" t="s">
        <v>1609</v>
      </c>
      <c r="J1620" t="s">
        <v>1608</v>
      </c>
      <c r="K1620" t="s">
        <v>57</v>
      </c>
      <c r="L1620">
        <v>17873</v>
      </c>
      <c r="M1620" t="s">
        <v>17</v>
      </c>
      <c r="N1620">
        <v>204</v>
      </c>
      <c r="O1620" t="s">
        <v>50</v>
      </c>
    </row>
    <row r="1621" spans="1:15" x14ac:dyDescent="0.3">
      <c r="A1621" t="s">
        <v>1607</v>
      </c>
      <c r="B1621" t="s">
        <v>1606</v>
      </c>
      <c r="D1621">
        <v>75</v>
      </c>
      <c r="E1621" t="s">
        <v>39</v>
      </c>
      <c r="F1621" t="s">
        <v>20</v>
      </c>
      <c r="G1621" s="1">
        <v>46066</v>
      </c>
      <c r="H1621" s="1">
        <v>46043</v>
      </c>
      <c r="I1621" t="s">
        <v>1605</v>
      </c>
      <c r="J1621" t="s">
        <v>1604</v>
      </c>
      <c r="K1621" t="s">
        <v>26</v>
      </c>
      <c r="L1621">
        <v>16037.16</v>
      </c>
      <c r="M1621" t="s">
        <v>57</v>
      </c>
      <c r="N1621">
        <v>406</v>
      </c>
      <c r="O1621" t="s">
        <v>50</v>
      </c>
    </row>
    <row r="1622" spans="1:15" x14ac:dyDescent="0.3">
      <c r="A1622" t="s">
        <v>1603</v>
      </c>
      <c r="B1622" t="s">
        <v>1602</v>
      </c>
      <c r="C1622" t="s">
        <v>60</v>
      </c>
      <c r="D1622">
        <v>24</v>
      </c>
      <c r="E1622" t="s">
        <v>68</v>
      </c>
      <c r="F1622" t="s">
        <v>67</v>
      </c>
      <c r="G1622" s="1">
        <v>46014</v>
      </c>
      <c r="H1622" s="1">
        <v>46007</v>
      </c>
      <c r="I1622" t="s">
        <v>1601</v>
      </c>
      <c r="J1622" t="s">
        <v>1600</v>
      </c>
      <c r="L1622">
        <v>12211.71</v>
      </c>
      <c r="M1622" t="s">
        <v>63</v>
      </c>
      <c r="N1622">
        <v>390</v>
      </c>
      <c r="O1622" t="s">
        <v>16</v>
      </c>
    </row>
    <row r="1623" spans="1:15" x14ac:dyDescent="0.3">
      <c r="A1623" t="s">
        <v>1599</v>
      </c>
      <c r="B1623" t="s">
        <v>1598</v>
      </c>
      <c r="C1623" t="s">
        <v>60</v>
      </c>
      <c r="D1623">
        <v>19</v>
      </c>
      <c r="E1623" t="s">
        <v>132</v>
      </c>
      <c r="F1623" t="s">
        <v>20</v>
      </c>
      <c r="G1623" s="1">
        <v>46105</v>
      </c>
      <c r="H1623" s="1">
        <v>46097</v>
      </c>
      <c r="I1623" t="s">
        <v>1597</v>
      </c>
      <c r="J1623" t="s">
        <v>1596</v>
      </c>
      <c r="K1623" t="s">
        <v>64</v>
      </c>
      <c r="L1623">
        <v>24169.54</v>
      </c>
      <c r="N1623">
        <v>101</v>
      </c>
      <c r="O1623" t="s">
        <v>77</v>
      </c>
    </row>
    <row r="1624" spans="1:15" x14ac:dyDescent="0.3">
      <c r="A1624" t="s">
        <v>1595</v>
      </c>
      <c r="B1624" t="s">
        <v>1594</v>
      </c>
      <c r="C1624" t="s">
        <v>1</v>
      </c>
      <c r="D1624">
        <v>33</v>
      </c>
      <c r="E1624" t="s">
        <v>68</v>
      </c>
      <c r="F1624" t="s">
        <v>85</v>
      </c>
      <c r="G1624" s="1">
        <v>46173</v>
      </c>
      <c r="H1624" s="1">
        <v>46144</v>
      </c>
      <c r="I1624" t="s">
        <v>1593</v>
      </c>
      <c r="J1624" t="s">
        <v>1592</v>
      </c>
      <c r="K1624" t="s">
        <v>26</v>
      </c>
      <c r="L1624">
        <v>12875.74</v>
      </c>
      <c r="N1624">
        <v>201</v>
      </c>
      <c r="O1624" t="s">
        <v>43</v>
      </c>
    </row>
    <row r="1625" spans="1:15" x14ac:dyDescent="0.3">
      <c r="A1625" t="s">
        <v>1591</v>
      </c>
      <c r="B1625" t="s">
        <v>1590</v>
      </c>
      <c r="C1625" t="s">
        <v>40</v>
      </c>
      <c r="D1625">
        <v>55</v>
      </c>
      <c r="E1625" t="s">
        <v>68</v>
      </c>
      <c r="F1625" t="s">
        <v>20</v>
      </c>
      <c r="G1625" s="1">
        <v>46123</v>
      </c>
      <c r="H1625" s="1">
        <v>46108</v>
      </c>
      <c r="I1625" t="s">
        <v>1589</v>
      </c>
      <c r="J1625" t="s">
        <v>1588</v>
      </c>
      <c r="L1625">
        <v>9794.74</v>
      </c>
      <c r="M1625" t="s">
        <v>64</v>
      </c>
      <c r="N1625">
        <v>171</v>
      </c>
      <c r="O1625" t="s">
        <v>71</v>
      </c>
    </row>
    <row r="1626" spans="1:15" x14ac:dyDescent="0.3">
      <c r="A1626" t="s">
        <v>1587</v>
      </c>
      <c r="B1626" t="s">
        <v>1327</v>
      </c>
      <c r="C1626" t="s">
        <v>74</v>
      </c>
      <c r="D1626">
        <v>47</v>
      </c>
      <c r="E1626" t="s">
        <v>47</v>
      </c>
      <c r="F1626" t="s">
        <v>46</v>
      </c>
      <c r="G1626" s="1">
        <v>46093</v>
      </c>
      <c r="H1626" s="1">
        <v>46066</v>
      </c>
      <c r="I1626" t="s">
        <v>1586</v>
      </c>
      <c r="J1626" t="s">
        <v>1585</v>
      </c>
      <c r="K1626" t="s">
        <v>64</v>
      </c>
      <c r="L1626">
        <v>7078.43</v>
      </c>
      <c r="M1626" t="s">
        <v>63</v>
      </c>
      <c r="N1626">
        <v>165</v>
      </c>
      <c r="O1626" t="s">
        <v>50</v>
      </c>
    </row>
    <row r="1627" spans="1:15" x14ac:dyDescent="0.3">
      <c r="A1627" t="s">
        <v>1584</v>
      </c>
      <c r="B1627" t="s">
        <v>1583</v>
      </c>
      <c r="C1627" t="s">
        <v>74</v>
      </c>
      <c r="D1627">
        <v>88</v>
      </c>
      <c r="E1627" t="s">
        <v>54</v>
      </c>
      <c r="F1627" t="s">
        <v>38</v>
      </c>
      <c r="G1627" s="1">
        <v>46070</v>
      </c>
      <c r="H1627" s="1">
        <v>46069</v>
      </c>
      <c r="I1627" t="s">
        <v>1582</v>
      </c>
      <c r="J1627" t="s">
        <v>1581</v>
      </c>
      <c r="K1627" t="s">
        <v>27</v>
      </c>
      <c r="L1627">
        <v>444.43</v>
      </c>
      <c r="M1627" t="s">
        <v>17</v>
      </c>
      <c r="N1627">
        <v>419</v>
      </c>
      <c r="O1627" t="s">
        <v>25</v>
      </c>
    </row>
    <row r="1628" spans="1:15" x14ac:dyDescent="0.3">
      <c r="A1628" t="s">
        <v>1580</v>
      </c>
      <c r="B1628" t="s">
        <v>1579</v>
      </c>
      <c r="C1628" t="s">
        <v>22</v>
      </c>
      <c r="D1628">
        <v>37</v>
      </c>
      <c r="E1628" t="s">
        <v>54</v>
      </c>
      <c r="F1628" t="s">
        <v>38</v>
      </c>
      <c r="G1628" s="1">
        <v>46115</v>
      </c>
      <c r="H1628" s="1">
        <v>46108</v>
      </c>
      <c r="I1628" t="s">
        <v>1578</v>
      </c>
      <c r="J1628" t="s">
        <v>1577</v>
      </c>
      <c r="K1628" t="s">
        <v>17</v>
      </c>
      <c r="L1628">
        <v>15534.14</v>
      </c>
      <c r="M1628" t="s">
        <v>63</v>
      </c>
      <c r="N1628">
        <v>382</v>
      </c>
      <c r="O1628" t="s">
        <v>43</v>
      </c>
    </row>
    <row r="1629" spans="1:15" x14ac:dyDescent="0.3">
      <c r="A1629" t="s">
        <v>1576</v>
      </c>
      <c r="B1629" t="s">
        <v>1575</v>
      </c>
      <c r="C1629" t="s">
        <v>1</v>
      </c>
      <c r="D1629">
        <v>20</v>
      </c>
      <c r="E1629" t="s">
        <v>47</v>
      </c>
      <c r="F1629" t="s">
        <v>67</v>
      </c>
      <c r="G1629" s="1">
        <v>46057</v>
      </c>
      <c r="H1629" s="1">
        <v>46033</v>
      </c>
      <c r="I1629" t="s">
        <v>1574</v>
      </c>
      <c r="J1629" t="s">
        <v>1573</v>
      </c>
      <c r="K1629" t="s">
        <v>17</v>
      </c>
      <c r="L1629">
        <v>4461.6899999999996</v>
      </c>
      <c r="N1629">
        <v>204</v>
      </c>
      <c r="O1629" t="s">
        <v>34</v>
      </c>
    </row>
    <row r="1630" spans="1:15" x14ac:dyDescent="0.3">
      <c r="A1630" t="s">
        <v>1572</v>
      </c>
      <c r="B1630" t="s">
        <v>1571</v>
      </c>
      <c r="C1630" t="s">
        <v>40</v>
      </c>
      <c r="D1630">
        <v>21</v>
      </c>
      <c r="E1630" t="s">
        <v>80</v>
      </c>
      <c r="F1630" t="s">
        <v>30</v>
      </c>
      <c r="G1630" s="1">
        <v>46011</v>
      </c>
      <c r="H1630" s="1">
        <v>45986</v>
      </c>
      <c r="I1630" t="s">
        <v>1570</v>
      </c>
      <c r="J1630" t="s">
        <v>1569</v>
      </c>
      <c r="L1630">
        <v>3289.17</v>
      </c>
      <c r="M1630" t="s">
        <v>57</v>
      </c>
      <c r="N1630">
        <v>532</v>
      </c>
      <c r="O1630" t="s">
        <v>16</v>
      </c>
    </row>
    <row r="1631" spans="1:15" x14ac:dyDescent="0.3">
      <c r="A1631" t="s">
        <v>1568</v>
      </c>
      <c r="B1631" t="s">
        <v>1567</v>
      </c>
      <c r="C1631" t="s">
        <v>1</v>
      </c>
      <c r="D1631">
        <v>31</v>
      </c>
      <c r="E1631" t="s">
        <v>68</v>
      </c>
      <c r="F1631" t="s">
        <v>53</v>
      </c>
      <c r="G1631" s="1">
        <v>46151</v>
      </c>
      <c r="H1631" s="1">
        <v>46123</v>
      </c>
      <c r="I1631" t="s">
        <v>1566</v>
      </c>
      <c r="J1631" t="s">
        <v>1565</v>
      </c>
      <c r="K1631" t="s">
        <v>35</v>
      </c>
      <c r="L1631">
        <v>22957.11</v>
      </c>
      <c r="M1631" t="s">
        <v>63</v>
      </c>
      <c r="N1631">
        <v>154</v>
      </c>
      <c r="O1631" t="s">
        <v>77</v>
      </c>
    </row>
    <row r="1632" spans="1:15" x14ac:dyDescent="0.3">
      <c r="A1632" t="s">
        <v>1564</v>
      </c>
      <c r="B1632" t="s">
        <v>1563</v>
      </c>
      <c r="C1632" t="s">
        <v>1</v>
      </c>
      <c r="D1632">
        <v>86</v>
      </c>
      <c r="E1632" t="s">
        <v>132</v>
      </c>
      <c r="F1632" t="s">
        <v>90</v>
      </c>
      <c r="G1632" s="1">
        <v>46100</v>
      </c>
      <c r="H1632" s="1">
        <v>46082</v>
      </c>
      <c r="I1632" t="s">
        <v>1562</v>
      </c>
      <c r="J1632" t="s">
        <v>1561</v>
      </c>
      <c r="L1632">
        <v>11264.9</v>
      </c>
      <c r="M1632" t="s">
        <v>57</v>
      </c>
      <c r="N1632">
        <v>151</v>
      </c>
      <c r="O1632" t="s">
        <v>50</v>
      </c>
    </row>
    <row r="1633" spans="1:15" x14ac:dyDescent="0.3">
      <c r="A1633" t="s">
        <v>1560</v>
      </c>
      <c r="B1633" t="s">
        <v>1559</v>
      </c>
      <c r="C1633" t="s">
        <v>74</v>
      </c>
      <c r="D1633">
        <v>53</v>
      </c>
      <c r="E1633" t="s">
        <v>68</v>
      </c>
      <c r="F1633" t="s">
        <v>85</v>
      </c>
      <c r="G1633" s="1">
        <v>46034</v>
      </c>
      <c r="H1633" s="1">
        <v>46030</v>
      </c>
      <c r="I1633" t="s">
        <v>1558</v>
      </c>
      <c r="J1633" t="s">
        <v>1557</v>
      </c>
      <c r="L1633">
        <v>21294.54</v>
      </c>
      <c r="N1633">
        <v>111</v>
      </c>
      <c r="O1633" t="s">
        <v>34</v>
      </c>
    </row>
    <row r="1634" spans="1:15" x14ac:dyDescent="0.3">
      <c r="A1634" t="s">
        <v>1556</v>
      </c>
      <c r="B1634" t="s">
        <v>1555</v>
      </c>
      <c r="C1634" t="s">
        <v>22</v>
      </c>
      <c r="D1634">
        <v>27</v>
      </c>
      <c r="E1634" t="s">
        <v>68</v>
      </c>
      <c r="F1634" t="s">
        <v>90</v>
      </c>
      <c r="G1634" s="1">
        <v>46006</v>
      </c>
      <c r="H1634" s="1">
        <v>45981</v>
      </c>
      <c r="I1634" t="s">
        <v>1554</v>
      </c>
      <c r="J1634" t="s">
        <v>1553</v>
      </c>
      <c r="K1634" t="s">
        <v>57</v>
      </c>
      <c r="L1634">
        <v>8187.58</v>
      </c>
      <c r="N1634">
        <v>359</v>
      </c>
      <c r="O1634" t="s">
        <v>34</v>
      </c>
    </row>
    <row r="1635" spans="1:15" x14ac:dyDescent="0.3">
      <c r="A1635" t="s">
        <v>1552</v>
      </c>
      <c r="B1635" t="s">
        <v>1551</v>
      </c>
      <c r="C1635" t="s">
        <v>123</v>
      </c>
      <c r="D1635">
        <v>57</v>
      </c>
      <c r="E1635" t="s">
        <v>21</v>
      </c>
      <c r="F1635" t="s">
        <v>67</v>
      </c>
      <c r="G1635" s="1">
        <v>45991</v>
      </c>
      <c r="H1635" s="1">
        <v>45987</v>
      </c>
      <c r="I1635" t="s">
        <v>1550</v>
      </c>
      <c r="J1635" t="s">
        <v>1549</v>
      </c>
      <c r="K1635" t="s">
        <v>64</v>
      </c>
      <c r="L1635">
        <v>15103.65</v>
      </c>
      <c r="N1635">
        <v>186</v>
      </c>
      <c r="O1635" t="s">
        <v>50</v>
      </c>
    </row>
    <row r="1636" spans="1:15" x14ac:dyDescent="0.3">
      <c r="A1636" t="s">
        <v>1548</v>
      </c>
      <c r="B1636" t="s">
        <v>1547</v>
      </c>
      <c r="C1636" t="s">
        <v>123</v>
      </c>
      <c r="D1636">
        <v>27</v>
      </c>
      <c r="E1636" t="s">
        <v>21</v>
      </c>
      <c r="F1636" t="s">
        <v>67</v>
      </c>
      <c r="G1636" s="1">
        <v>46133</v>
      </c>
      <c r="H1636" s="1">
        <v>46122</v>
      </c>
      <c r="I1636" t="s">
        <v>1546</v>
      </c>
      <c r="J1636" t="s">
        <v>1545</v>
      </c>
      <c r="L1636">
        <v>6998.72</v>
      </c>
      <c r="M1636" t="s">
        <v>63</v>
      </c>
      <c r="N1636">
        <v>218</v>
      </c>
      <c r="O1636" t="s">
        <v>16</v>
      </c>
    </row>
    <row r="1637" spans="1:15" x14ac:dyDescent="0.3">
      <c r="A1637" t="s">
        <v>1544</v>
      </c>
      <c r="B1637" t="s">
        <v>1543</v>
      </c>
      <c r="D1637">
        <v>4</v>
      </c>
      <c r="E1637" t="s">
        <v>21</v>
      </c>
      <c r="F1637" t="s">
        <v>20</v>
      </c>
      <c r="G1637" s="1">
        <v>46100</v>
      </c>
      <c r="H1637" s="1">
        <v>46086</v>
      </c>
      <c r="I1637" t="s">
        <v>1542</v>
      </c>
      <c r="J1637" t="s">
        <v>1541</v>
      </c>
      <c r="K1637" t="s">
        <v>27</v>
      </c>
      <c r="L1637">
        <v>9843.9699999999993</v>
      </c>
      <c r="M1637" t="s">
        <v>17</v>
      </c>
      <c r="N1637">
        <v>284</v>
      </c>
      <c r="O1637" t="s">
        <v>16</v>
      </c>
    </row>
    <row r="1638" spans="1:15" x14ac:dyDescent="0.3">
      <c r="A1638" t="s">
        <v>1540</v>
      </c>
      <c r="B1638" t="s">
        <v>1539</v>
      </c>
      <c r="C1638" t="s">
        <v>40</v>
      </c>
      <c r="D1638">
        <v>63</v>
      </c>
      <c r="E1638" t="s">
        <v>54</v>
      </c>
      <c r="F1638" t="s">
        <v>85</v>
      </c>
      <c r="G1638" s="1">
        <v>46021</v>
      </c>
      <c r="H1638" s="1">
        <v>45992</v>
      </c>
      <c r="I1638" t="s">
        <v>1538</v>
      </c>
      <c r="J1638" t="s">
        <v>1537</v>
      </c>
      <c r="L1638">
        <v>2418.63</v>
      </c>
      <c r="M1638" t="s">
        <v>63</v>
      </c>
      <c r="N1638">
        <v>278</v>
      </c>
      <c r="O1638" t="s">
        <v>71</v>
      </c>
    </row>
    <row r="1639" spans="1:15" x14ac:dyDescent="0.3">
      <c r="A1639" t="s">
        <v>1536</v>
      </c>
      <c r="B1639" t="s">
        <v>1535</v>
      </c>
      <c r="C1639" t="s">
        <v>22</v>
      </c>
      <c r="D1639">
        <v>47</v>
      </c>
      <c r="E1639" t="s">
        <v>132</v>
      </c>
      <c r="F1639" t="s">
        <v>85</v>
      </c>
      <c r="G1639" s="1">
        <v>46119</v>
      </c>
      <c r="H1639" s="1">
        <v>46114</v>
      </c>
      <c r="I1639" t="s">
        <v>1534</v>
      </c>
      <c r="J1639" t="s">
        <v>1533</v>
      </c>
      <c r="K1639" t="s">
        <v>35</v>
      </c>
      <c r="L1639">
        <v>5634.59</v>
      </c>
      <c r="M1639" t="s">
        <v>57</v>
      </c>
      <c r="N1639">
        <v>533</v>
      </c>
      <c r="O1639" t="s">
        <v>77</v>
      </c>
    </row>
    <row r="1640" spans="1:15" x14ac:dyDescent="0.3">
      <c r="A1640" t="s">
        <v>1532</v>
      </c>
      <c r="B1640" t="s">
        <v>1531</v>
      </c>
      <c r="C1640" t="s">
        <v>123</v>
      </c>
      <c r="D1640">
        <v>47</v>
      </c>
      <c r="E1640" t="s">
        <v>47</v>
      </c>
      <c r="F1640" t="s">
        <v>38</v>
      </c>
      <c r="G1640" s="1">
        <v>46030</v>
      </c>
      <c r="H1640" s="1">
        <v>46028</v>
      </c>
      <c r="I1640" t="s">
        <v>1530</v>
      </c>
      <c r="J1640" t="s">
        <v>1529</v>
      </c>
      <c r="K1640" t="s">
        <v>35</v>
      </c>
      <c r="L1640">
        <v>2490.94</v>
      </c>
      <c r="M1640" t="s">
        <v>27</v>
      </c>
      <c r="N1640">
        <v>228</v>
      </c>
      <c r="O1640" t="s">
        <v>77</v>
      </c>
    </row>
    <row r="1641" spans="1:15" x14ac:dyDescent="0.3">
      <c r="A1641" t="s">
        <v>1528</v>
      </c>
      <c r="B1641" t="s">
        <v>1527</v>
      </c>
      <c r="C1641" t="s">
        <v>22</v>
      </c>
      <c r="D1641">
        <v>58</v>
      </c>
      <c r="E1641" t="s">
        <v>39</v>
      </c>
      <c r="F1641" t="s">
        <v>30</v>
      </c>
      <c r="G1641" s="1">
        <v>46023</v>
      </c>
      <c r="H1641" s="1">
        <v>46019</v>
      </c>
      <c r="I1641" t="s">
        <v>1526</v>
      </c>
      <c r="J1641" t="s">
        <v>1525</v>
      </c>
      <c r="L1641">
        <v>7107.13</v>
      </c>
      <c r="M1641" t="s">
        <v>26</v>
      </c>
      <c r="N1641">
        <v>217</v>
      </c>
      <c r="O1641" t="s">
        <v>16</v>
      </c>
    </row>
    <row r="1642" spans="1:15" x14ac:dyDescent="0.3">
      <c r="A1642" t="s">
        <v>1524</v>
      </c>
      <c r="B1642" t="s">
        <v>1523</v>
      </c>
      <c r="C1642" t="s">
        <v>22</v>
      </c>
      <c r="D1642">
        <v>22</v>
      </c>
      <c r="E1642" t="s">
        <v>80</v>
      </c>
      <c r="F1642" t="s">
        <v>38</v>
      </c>
      <c r="G1642" s="1">
        <v>46165</v>
      </c>
      <c r="H1642" s="1">
        <v>46138</v>
      </c>
      <c r="I1642" t="s">
        <v>1522</v>
      </c>
      <c r="J1642" t="s">
        <v>1521</v>
      </c>
      <c r="K1642" t="s">
        <v>64</v>
      </c>
      <c r="L1642">
        <v>15599.43</v>
      </c>
      <c r="M1642" t="s">
        <v>26</v>
      </c>
      <c r="N1642">
        <v>247</v>
      </c>
      <c r="O1642" t="s">
        <v>34</v>
      </c>
    </row>
    <row r="1643" spans="1:15" x14ac:dyDescent="0.3">
      <c r="A1643" t="s">
        <v>1520</v>
      </c>
      <c r="B1643" t="s">
        <v>1519</v>
      </c>
      <c r="D1643">
        <v>55</v>
      </c>
      <c r="E1643" t="s">
        <v>39</v>
      </c>
      <c r="F1643" t="s">
        <v>38</v>
      </c>
      <c r="G1643" s="1">
        <v>46114</v>
      </c>
      <c r="H1643" s="1">
        <v>46114</v>
      </c>
      <c r="I1643" t="s">
        <v>1518</v>
      </c>
      <c r="J1643" t="s">
        <v>1517</v>
      </c>
      <c r="K1643" t="s">
        <v>17</v>
      </c>
      <c r="L1643">
        <v>15145.33</v>
      </c>
      <c r="M1643" t="s">
        <v>64</v>
      </c>
      <c r="N1643">
        <v>134</v>
      </c>
      <c r="O1643" t="s">
        <v>50</v>
      </c>
    </row>
    <row r="1644" spans="1:15" x14ac:dyDescent="0.3">
      <c r="A1644" t="s">
        <v>1516</v>
      </c>
      <c r="B1644" t="s">
        <v>1515</v>
      </c>
      <c r="C1644" t="s">
        <v>74</v>
      </c>
      <c r="D1644">
        <v>35</v>
      </c>
      <c r="E1644" t="s">
        <v>39</v>
      </c>
      <c r="F1644" t="s">
        <v>20</v>
      </c>
      <c r="G1644" s="1">
        <v>46023</v>
      </c>
      <c r="H1644" s="1">
        <v>45999</v>
      </c>
      <c r="I1644" t="s">
        <v>1514</v>
      </c>
      <c r="J1644" t="s">
        <v>1513</v>
      </c>
      <c r="L1644">
        <v>13925.28</v>
      </c>
      <c r="M1644" t="s">
        <v>17</v>
      </c>
      <c r="N1644">
        <v>470</v>
      </c>
      <c r="O1644" t="s">
        <v>71</v>
      </c>
    </row>
    <row r="1645" spans="1:15" x14ac:dyDescent="0.3">
      <c r="A1645" t="s">
        <v>1512</v>
      </c>
      <c r="B1645" t="s">
        <v>1511</v>
      </c>
      <c r="C1645" t="s">
        <v>0</v>
      </c>
      <c r="D1645">
        <v>69</v>
      </c>
      <c r="E1645" t="s">
        <v>39</v>
      </c>
      <c r="F1645" t="s">
        <v>38</v>
      </c>
      <c r="G1645" s="1">
        <v>46034</v>
      </c>
      <c r="H1645" s="1">
        <v>46009</v>
      </c>
      <c r="I1645" t="s">
        <v>1510</v>
      </c>
      <c r="J1645" t="s">
        <v>1509</v>
      </c>
      <c r="K1645" t="s">
        <v>27</v>
      </c>
      <c r="L1645">
        <v>8271.85</v>
      </c>
      <c r="M1645" t="s">
        <v>26</v>
      </c>
      <c r="N1645">
        <v>492</v>
      </c>
      <c r="O1645" t="s">
        <v>43</v>
      </c>
    </row>
    <row r="1646" spans="1:15" x14ac:dyDescent="0.3">
      <c r="A1646" t="s">
        <v>1508</v>
      </c>
      <c r="B1646" t="s">
        <v>1507</v>
      </c>
      <c r="C1646" t="s">
        <v>40</v>
      </c>
      <c r="D1646">
        <v>65</v>
      </c>
      <c r="E1646" t="s">
        <v>47</v>
      </c>
      <c r="F1646" t="s">
        <v>90</v>
      </c>
      <c r="G1646" s="1">
        <v>46114</v>
      </c>
      <c r="H1646" s="1">
        <v>46110</v>
      </c>
      <c r="I1646" t="s">
        <v>1506</v>
      </c>
      <c r="J1646" t="s">
        <v>1505</v>
      </c>
      <c r="K1646" t="s">
        <v>35</v>
      </c>
      <c r="L1646">
        <v>1398.94</v>
      </c>
      <c r="M1646" t="s">
        <v>26</v>
      </c>
      <c r="N1646">
        <v>533</v>
      </c>
      <c r="O1646" t="s">
        <v>71</v>
      </c>
    </row>
    <row r="1647" spans="1:15" x14ac:dyDescent="0.3">
      <c r="A1647" t="s">
        <v>1504</v>
      </c>
      <c r="B1647" t="s">
        <v>1503</v>
      </c>
      <c r="C1647" t="s">
        <v>1</v>
      </c>
      <c r="D1647">
        <v>78</v>
      </c>
      <c r="E1647" t="s">
        <v>31</v>
      </c>
      <c r="F1647" t="s">
        <v>30</v>
      </c>
      <c r="G1647" s="1">
        <v>46145</v>
      </c>
      <c r="H1647" s="1">
        <v>46131</v>
      </c>
      <c r="I1647" t="s">
        <v>1502</v>
      </c>
      <c r="J1647" t="s">
        <v>1501</v>
      </c>
      <c r="K1647" t="s">
        <v>17</v>
      </c>
      <c r="L1647">
        <v>11482.62</v>
      </c>
      <c r="M1647" t="s">
        <v>64</v>
      </c>
      <c r="N1647">
        <v>465</v>
      </c>
      <c r="O1647" t="s">
        <v>71</v>
      </c>
    </row>
    <row r="1648" spans="1:15" x14ac:dyDescent="0.3">
      <c r="A1648" t="s">
        <v>1500</v>
      </c>
      <c r="B1648" t="s">
        <v>1499</v>
      </c>
      <c r="C1648" t="s">
        <v>0</v>
      </c>
      <c r="D1648">
        <v>82</v>
      </c>
      <c r="E1648" t="s">
        <v>47</v>
      </c>
      <c r="F1648" t="s">
        <v>20</v>
      </c>
      <c r="G1648" s="1">
        <v>45999</v>
      </c>
      <c r="H1648" s="1">
        <v>45987</v>
      </c>
      <c r="I1648" t="s">
        <v>1498</v>
      </c>
      <c r="J1648" t="s">
        <v>1497</v>
      </c>
      <c r="K1648" t="s">
        <v>35</v>
      </c>
      <c r="L1648">
        <v>214.22</v>
      </c>
      <c r="N1648">
        <v>370</v>
      </c>
      <c r="O1648" t="s">
        <v>50</v>
      </c>
    </row>
    <row r="1649" spans="1:15" x14ac:dyDescent="0.3">
      <c r="A1649" t="s">
        <v>1496</v>
      </c>
      <c r="B1649" t="s">
        <v>1495</v>
      </c>
      <c r="D1649">
        <v>87</v>
      </c>
      <c r="E1649" t="s">
        <v>54</v>
      </c>
      <c r="F1649" t="s">
        <v>90</v>
      </c>
      <c r="G1649" s="1">
        <v>46138</v>
      </c>
      <c r="H1649" s="1">
        <v>46110</v>
      </c>
      <c r="I1649" t="s">
        <v>1494</v>
      </c>
      <c r="J1649" t="s">
        <v>1493</v>
      </c>
      <c r="L1649">
        <v>24060.2</v>
      </c>
      <c r="M1649" t="s">
        <v>17</v>
      </c>
      <c r="N1649">
        <v>502</v>
      </c>
      <c r="O1649" t="s">
        <v>34</v>
      </c>
    </row>
    <row r="1650" spans="1:15" x14ac:dyDescent="0.3">
      <c r="A1650" t="s">
        <v>1492</v>
      </c>
      <c r="B1650" t="s">
        <v>1491</v>
      </c>
      <c r="C1650" t="s">
        <v>123</v>
      </c>
      <c r="D1650">
        <v>33</v>
      </c>
      <c r="E1650" t="s">
        <v>54</v>
      </c>
      <c r="F1650" t="s">
        <v>53</v>
      </c>
      <c r="G1650" s="1">
        <v>46004</v>
      </c>
      <c r="H1650" s="1">
        <v>45988</v>
      </c>
      <c r="I1650" t="s">
        <v>1490</v>
      </c>
      <c r="J1650" t="s">
        <v>1489</v>
      </c>
      <c r="L1650">
        <v>3330.75</v>
      </c>
      <c r="M1650" t="s">
        <v>27</v>
      </c>
      <c r="N1650">
        <v>205</v>
      </c>
      <c r="O1650" t="s">
        <v>77</v>
      </c>
    </row>
    <row r="1651" spans="1:15" x14ac:dyDescent="0.3">
      <c r="A1651" t="s">
        <v>1488</v>
      </c>
      <c r="B1651" t="s">
        <v>1487</v>
      </c>
      <c r="C1651" t="s">
        <v>60</v>
      </c>
      <c r="D1651">
        <v>39</v>
      </c>
      <c r="E1651" t="s">
        <v>80</v>
      </c>
      <c r="F1651" t="s">
        <v>90</v>
      </c>
      <c r="G1651" s="1">
        <v>46019</v>
      </c>
      <c r="H1651" s="1">
        <v>46007</v>
      </c>
      <c r="I1651" t="s">
        <v>1486</v>
      </c>
      <c r="J1651" t="s">
        <v>1485</v>
      </c>
      <c r="L1651">
        <v>7628.05</v>
      </c>
      <c r="M1651" t="s">
        <v>27</v>
      </c>
      <c r="N1651">
        <v>261</v>
      </c>
      <c r="O1651" t="s">
        <v>16</v>
      </c>
    </row>
    <row r="1652" spans="1:15" x14ac:dyDescent="0.3">
      <c r="A1652" t="s">
        <v>1484</v>
      </c>
      <c r="B1652" t="s">
        <v>1483</v>
      </c>
      <c r="C1652" t="s">
        <v>1</v>
      </c>
      <c r="D1652">
        <v>3</v>
      </c>
      <c r="E1652" t="s">
        <v>21</v>
      </c>
      <c r="F1652" t="s">
        <v>90</v>
      </c>
      <c r="G1652" s="1">
        <v>46086</v>
      </c>
      <c r="H1652" s="1">
        <v>46062</v>
      </c>
      <c r="I1652" t="s">
        <v>1482</v>
      </c>
      <c r="J1652" t="s">
        <v>1481</v>
      </c>
      <c r="K1652" t="s">
        <v>35</v>
      </c>
      <c r="L1652">
        <v>11358.52</v>
      </c>
      <c r="M1652" t="s">
        <v>26</v>
      </c>
      <c r="N1652">
        <v>432</v>
      </c>
      <c r="O1652" t="s">
        <v>50</v>
      </c>
    </row>
    <row r="1653" spans="1:15" x14ac:dyDescent="0.3">
      <c r="A1653" t="s">
        <v>1480</v>
      </c>
      <c r="B1653" t="s">
        <v>1479</v>
      </c>
      <c r="C1653" t="s">
        <v>22</v>
      </c>
      <c r="D1653">
        <v>51</v>
      </c>
      <c r="E1653" t="s">
        <v>21</v>
      </c>
      <c r="F1653" t="s">
        <v>53</v>
      </c>
      <c r="G1653" s="1">
        <v>46118</v>
      </c>
      <c r="H1653" s="1">
        <v>46118</v>
      </c>
      <c r="I1653" t="s">
        <v>1478</v>
      </c>
      <c r="J1653" t="s">
        <v>1477</v>
      </c>
      <c r="K1653" t="s">
        <v>17</v>
      </c>
      <c r="L1653">
        <v>22610.86</v>
      </c>
      <c r="M1653" t="s">
        <v>63</v>
      </c>
      <c r="N1653">
        <v>349</v>
      </c>
      <c r="O1653" t="s">
        <v>16</v>
      </c>
    </row>
    <row r="1654" spans="1:15" x14ac:dyDescent="0.3">
      <c r="A1654" t="s">
        <v>1476</v>
      </c>
      <c r="B1654" t="s">
        <v>1475</v>
      </c>
      <c r="D1654">
        <v>60</v>
      </c>
      <c r="E1654" t="s">
        <v>31</v>
      </c>
      <c r="F1654" t="s">
        <v>38</v>
      </c>
      <c r="G1654" s="1">
        <v>46037</v>
      </c>
      <c r="H1654" s="1">
        <v>46023</v>
      </c>
      <c r="I1654" t="s">
        <v>1474</v>
      </c>
      <c r="J1654" t="s">
        <v>1473</v>
      </c>
      <c r="K1654" t="s">
        <v>35</v>
      </c>
      <c r="L1654">
        <v>10511.84</v>
      </c>
      <c r="M1654" t="s">
        <v>27</v>
      </c>
      <c r="N1654">
        <v>225</v>
      </c>
      <c r="O1654" t="s">
        <v>71</v>
      </c>
    </row>
    <row r="1655" spans="1:15" x14ac:dyDescent="0.3">
      <c r="A1655" t="s">
        <v>1472</v>
      </c>
      <c r="B1655" t="s">
        <v>1471</v>
      </c>
      <c r="C1655" t="s">
        <v>74</v>
      </c>
      <c r="D1655">
        <v>38</v>
      </c>
      <c r="E1655" t="s">
        <v>31</v>
      </c>
      <c r="F1655" t="s">
        <v>46</v>
      </c>
      <c r="G1655" s="1">
        <v>46057</v>
      </c>
      <c r="H1655" s="1">
        <v>46046</v>
      </c>
      <c r="I1655" t="s">
        <v>1470</v>
      </c>
      <c r="J1655" t="s">
        <v>1469</v>
      </c>
      <c r="L1655">
        <v>22752.92</v>
      </c>
      <c r="N1655">
        <v>139</v>
      </c>
      <c r="O1655" t="s">
        <v>34</v>
      </c>
    </row>
    <row r="1656" spans="1:15" x14ac:dyDescent="0.3">
      <c r="A1656" t="s">
        <v>1468</v>
      </c>
      <c r="B1656" t="s">
        <v>1467</v>
      </c>
      <c r="C1656" t="s">
        <v>22</v>
      </c>
      <c r="D1656">
        <v>46</v>
      </c>
      <c r="E1656" t="s">
        <v>68</v>
      </c>
      <c r="F1656" t="s">
        <v>46</v>
      </c>
      <c r="G1656" s="1">
        <v>46046</v>
      </c>
      <c r="H1656" s="1">
        <v>46017</v>
      </c>
      <c r="I1656" t="s">
        <v>1466</v>
      </c>
      <c r="J1656" t="s">
        <v>1465</v>
      </c>
      <c r="L1656">
        <v>1880.34</v>
      </c>
      <c r="M1656" t="s">
        <v>17</v>
      </c>
      <c r="N1656">
        <v>199</v>
      </c>
      <c r="O1656" t="s">
        <v>43</v>
      </c>
    </row>
    <row r="1657" spans="1:15" x14ac:dyDescent="0.3">
      <c r="A1657" t="s">
        <v>1464</v>
      </c>
      <c r="B1657" t="s">
        <v>1463</v>
      </c>
      <c r="C1657" t="s">
        <v>0</v>
      </c>
      <c r="D1657">
        <v>2</v>
      </c>
      <c r="E1657" t="s">
        <v>80</v>
      </c>
      <c r="F1657" t="s">
        <v>53</v>
      </c>
      <c r="G1657" s="1">
        <v>45998</v>
      </c>
      <c r="H1657" s="1">
        <v>45975</v>
      </c>
      <c r="I1657" t="s">
        <v>1462</v>
      </c>
      <c r="J1657" t="s">
        <v>1461</v>
      </c>
      <c r="K1657" t="s">
        <v>26</v>
      </c>
      <c r="L1657">
        <v>1685.2</v>
      </c>
      <c r="M1657" t="s">
        <v>57</v>
      </c>
      <c r="N1657">
        <v>422</v>
      </c>
      <c r="O1657" t="s">
        <v>34</v>
      </c>
    </row>
    <row r="1658" spans="1:15" x14ac:dyDescent="0.3">
      <c r="A1658" t="s">
        <v>1460</v>
      </c>
      <c r="B1658" t="s">
        <v>1459</v>
      </c>
      <c r="C1658" t="s">
        <v>60</v>
      </c>
      <c r="D1658">
        <v>4</v>
      </c>
      <c r="E1658" t="s">
        <v>68</v>
      </c>
      <c r="F1658" t="s">
        <v>90</v>
      </c>
      <c r="G1658" s="1">
        <v>46128</v>
      </c>
      <c r="H1658" s="1">
        <v>46118</v>
      </c>
      <c r="I1658" t="s">
        <v>1458</v>
      </c>
      <c r="J1658" t="s">
        <v>1457</v>
      </c>
      <c r="L1658">
        <v>8803.76</v>
      </c>
      <c r="M1658" t="s">
        <v>17</v>
      </c>
      <c r="N1658">
        <v>245</v>
      </c>
      <c r="O1658" t="s">
        <v>43</v>
      </c>
    </row>
    <row r="1659" spans="1:15" x14ac:dyDescent="0.3">
      <c r="A1659" t="s">
        <v>1456</v>
      </c>
      <c r="B1659" t="s">
        <v>1455</v>
      </c>
      <c r="C1659" t="s">
        <v>40</v>
      </c>
      <c r="D1659">
        <v>67</v>
      </c>
      <c r="E1659" t="s">
        <v>80</v>
      </c>
      <c r="F1659" t="s">
        <v>85</v>
      </c>
      <c r="G1659" s="1">
        <v>46051</v>
      </c>
      <c r="H1659" s="1">
        <v>46027</v>
      </c>
      <c r="I1659" t="s">
        <v>1454</v>
      </c>
      <c r="J1659" t="s">
        <v>1453</v>
      </c>
      <c r="L1659">
        <v>10948.52</v>
      </c>
      <c r="M1659" t="s">
        <v>27</v>
      </c>
      <c r="N1659">
        <v>441</v>
      </c>
      <c r="O1659" t="s">
        <v>50</v>
      </c>
    </row>
    <row r="1660" spans="1:15" x14ac:dyDescent="0.3">
      <c r="A1660" t="s">
        <v>1452</v>
      </c>
      <c r="B1660" t="s">
        <v>1451</v>
      </c>
      <c r="C1660" t="s">
        <v>74</v>
      </c>
      <c r="D1660">
        <v>20</v>
      </c>
      <c r="E1660" t="s">
        <v>54</v>
      </c>
      <c r="F1660" t="s">
        <v>67</v>
      </c>
      <c r="G1660" s="1">
        <v>46063</v>
      </c>
      <c r="H1660" s="1">
        <v>46042</v>
      </c>
      <c r="I1660" t="s">
        <v>1450</v>
      </c>
      <c r="J1660" t="s">
        <v>1449</v>
      </c>
      <c r="L1660">
        <v>18339.96</v>
      </c>
      <c r="M1660" t="s">
        <v>63</v>
      </c>
      <c r="N1660">
        <v>173</v>
      </c>
      <c r="O1660" t="s">
        <v>71</v>
      </c>
    </row>
    <row r="1661" spans="1:15" x14ac:dyDescent="0.3">
      <c r="A1661" t="s">
        <v>1448</v>
      </c>
      <c r="B1661" t="s">
        <v>1447</v>
      </c>
      <c r="C1661" t="s">
        <v>1</v>
      </c>
      <c r="D1661">
        <v>12</v>
      </c>
      <c r="E1661" t="s">
        <v>54</v>
      </c>
      <c r="F1661" t="s">
        <v>30</v>
      </c>
      <c r="G1661" s="1">
        <v>46044</v>
      </c>
      <c r="H1661" s="1">
        <v>46032</v>
      </c>
      <c r="I1661" t="s">
        <v>1446</v>
      </c>
      <c r="J1661" t="s">
        <v>1445</v>
      </c>
      <c r="K1661" t="s">
        <v>17</v>
      </c>
      <c r="L1661">
        <v>1238.9100000000001</v>
      </c>
      <c r="M1661" t="s">
        <v>63</v>
      </c>
      <c r="N1661">
        <v>106</v>
      </c>
      <c r="O1661" t="s">
        <v>71</v>
      </c>
    </row>
    <row r="1662" spans="1:15" x14ac:dyDescent="0.3">
      <c r="A1662" t="s">
        <v>1444</v>
      </c>
      <c r="B1662" t="s">
        <v>1443</v>
      </c>
      <c r="C1662" t="s">
        <v>1</v>
      </c>
      <c r="D1662">
        <v>54</v>
      </c>
      <c r="E1662" t="s">
        <v>21</v>
      </c>
      <c r="F1662" t="s">
        <v>90</v>
      </c>
      <c r="G1662" s="1">
        <v>46024</v>
      </c>
      <c r="H1662" s="1">
        <v>45999</v>
      </c>
      <c r="I1662" t="s">
        <v>1442</v>
      </c>
      <c r="J1662" t="s">
        <v>1441</v>
      </c>
      <c r="K1662" t="s">
        <v>35</v>
      </c>
      <c r="L1662">
        <v>10787.41</v>
      </c>
      <c r="M1662" t="s">
        <v>63</v>
      </c>
      <c r="N1662">
        <v>207</v>
      </c>
      <c r="O1662" t="s">
        <v>77</v>
      </c>
    </row>
    <row r="1663" spans="1:15" x14ac:dyDescent="0.3">
      <c r="A1663" t="s">
        <v>1440</v>
      </c>
      <c r="B1663" t="s">
        <v>1439</v>
      </c>
      <c r="C1663" t="s">
        <v>74</v>
      </c>
      <c r="D1663">
        <v>21</v>
      </c>
      <c r="E1663" t="s">
        <v>47</v>
      </c>
      <c r="F1663" t="s">
        <v>30</v>
      </c>
      <c r="G1663" s="1">
        <v>46132</v>
      </c>
      <c r="H1663" s="1">
        <v>46109</v>
      </c>
      <c r="I1663" t="s">
        <v>1438</v>
      </c>
      <c r="J1663" t="s">
        <v>1437</v>
      </c>
      <c r="L1663">
        <v>19717.900000000001</v>
      </c>
      <c r="M1663" t="s">
        <v>57</v>
      </c>
      <c r="N1663">
        <v>339</v>
      </c>
      <c r="O1663" t="s">
        <v>71</v>
      </c>
    </row>
    <row r="1664" spans="1:15" x14ac:dyDescent="0.3">
      <c r="A1664" t="s">
        <v>1436</v>
      </c>
      <c r="B1664" t="s">
        <v>1435</v>
      </c>
      <c r="D1664">
        <v>15</v>
      </c>
      <c r="E1664" t="s">
        <v>80</v>
      </c>
      <c r="F1664" t="s">
        <v>85</v>
      </c>
      <c r="G1664" s="1">
        <v>46095</v>
      </c>
      <c r="H1664" s="1">
        <v>46070</v>
      </c>
      <c r="I1664" t="s">
        <v>1434</v>
      </c>
      <c r="J1664" t="s">
        <v>1433</v>
      </c>
      <c r="K1664" t="s">
        <v>57</v>
      </c>
      <c r="L1664">
        <v>15496.6</v>
      </c>
      <c r="M1664" t="s">
        <v>17</v>
      </c>
      <c r="N1664">
        <v>535</v>
      </c>
      <c r="O1664" t="s">
        <v>16</v>
      </c>
    </row>
    <row r="1665" spans="1:15" x14ac:dyDescent="0.3">
      <c r="A1665" t="s">
        <v>1432</v>
      </c>
      <c r="B1665" t="s">
        <v>1431</v>
      </c>
      <c r="C1665" t="s">
        <v>22</v>
      </c>
      <c r="D1665">
        <v>74</v>
      </c>
      <c r="E1665" t="s">
        <v>31</v>
      </c>
      <c r="F1665" t="s">
        <v>67</v>
      </c>
      <c r="G1665" s="1">
        <v>46077</v>
      </c>
      <c r="H1665" s="1">
        <v>46061</v>
      </c>
      <c r="I1665" t="s">
        <v>1430</v>
      </c>
      <c r="J1665" t="s">
        <v>1429</v>
      </c>
      <c r="K1665" t="s">
        <v>35</v>
      </c>
      <c r="L1665">
        <v>16760.25</v>
      </c>
      <c r="M1665" t="s">
        <v>63</v>
      </c>
      <c r="N1665">
        <v>512</v>
      </c>
      <c r="O1665" t="s">
        <v>34</v>
      </c>
    </row>
    <row r="1666" spans="1:15" x14ac:dyDescent="0.3">
      <c r="A1666" t="s">
        <v>1428</v>
      </c>
      <c r="B1666" t="s">
        <v>1427</v>
      </c>
      <c r="C1666" t="s">
        <v>1</v>
      </c>
      <c r="D1666">
        <v>29</v>
      </c>
      <c r="E1666" t="s">
        <v>47</v>
      </c>
      <c r="F1666" t="s">
        <v>90</v>
      </c>
      <c r="G1666" s="1">
        <v>46076</v>
      </c>
      <c r="H1666" s="1">
        <v>46061</v>
      </c>
      <c r="I1666" t="s">
        <v>1426</v>
      </c>
      <c r="J1666" t="s">
        <v>1425</v>
      </c>
      <c r="K1666" t="s">
        <v>26</v>
      </c>
      <c r="L1666">
        <v>8338.2099999999991</v>
      </c>
      <c r="M1666" t="s">
        <v>63</v>
      </c>
      <c r="N1666">
        <v>355</v>
      </c>
      <c r="O1666" t="s">
        <v>25</v>
      </c>
    </row>
    <row r="1667" spans="1:15" x14ac:dyDescent="0.3">
      <c r="A1667" t="s">
        <v>1424</v>
      </c>
      <c r="B1667" t="s">
        <v>1423</v>
      </c>
      <c r="C1667" t="s">
        <v>123</v>
      </c>
      <c r="D1667">
        <v>7</v>
      </c>
      <c r="E1667" t="s">
        <v>132</v>
      </c>
      <c r="F1667" t="s">
        <v>30</v>
      </c>
      <c r="G1667" s="1">
        <v>46080</v>
      </c>
      <c r="H1667" s="1">
        <v>46077</v>
      </c>
      <c r="I1667" t="s">
        <v>1422</v>
      </c>
      <c r="J1667" t="s">
        <v>1421</v>
      </c>
      <c r="K1667" t="s">
        <v>35</v>
      </c>
      <c r="L1667">
        <v>13964.35</v>
      </c>
      <c r="M1667" t="s">
        <v>57</v>
      </c>
      <c r="N1667">
        <v>550</v>
      </c>
      <c r="O1667" t="s">
        <v>71</v>
      </c>
    </row>
    <row r="1668" spans="1:15" x14ac:dyDescent="0.3">
      <c r="A1668" t="s">
        <v>1420</v>
      </c>
      <c r="B1668" t="s">
        <v>1419</v>
      </c>
      <c r="D1668">
        <v>20</v>
      </c>
      <c r="E1668" t="s">
        <v>80</v>
      </c>
      <c r="F1668" t="s">
        <v>67</v>
      </c>
      <c r="G1668" s="1">
        <v>46125</v>
      </c>
      <c r="H1668" s="1">
        <v>46112</v>
      </c>
      <c r="I1668" t="s">
        <v>1418</v>
      </c>
      <c r="J1668" t="s">
        <v>1417</v>
      </c>
      <c r="L1668">
        <v>10598.43</v>
      </c>
      <c r="M1668" t="s">
        <v>17</v>
      </c>
      <c r="N1668">
        <v>253</v>
      </c>
      <c r="O1668" t="s">
        <v>77</v>
      </c>
    </row>
    <row r="1669" spans="1:15" x14ac:dyDescent="0.3">
      <c r="A1669" t="s">
        <v>1416</v>
      </c>
      <c r="B1669" t="s">
        <v>1415</v>
      </c>
      <c r="C1669" t="s">
        <v>1</v>
      </c>
      <c r="D1669">
        <v>21</v>
      </c>
      <c r="E1669" t="s">
        <v>68</v>
      </c>
      <c r="F1669" t="s">
        <v>20</v>
      </c>
      <c r="G1669" s="1">
        <v>46085</v>
      </c>
      <c r="H1669" s="1">
        <v>46061</v>
      </c>
      <c r="I1669" t="s">
        <v>1414</v>
      </c>
      <c r="J1669" t="s">
        <v>1413</v>
      </c>
      <c r="K1669" t="s">
        <v>57</v>
      </c>
      <c r="L1669">
        <v>23167.89</v>
      </c>
      <c r="M1669" t="s">
        <v>27</v>
      </c>
      <c r="N1669">
        <v>323</v>
      </c>
      <c r="O1669" t="s">
        <v>16</v>
      </c>
    </row>
    <row r="1670" spans="1:15" x14ac:dyDescent="0.3">
      <c r="A1670" t="s">
        <v>1412</v>
      </c>
      <c r="B1670" t="s">
        <v>1411</v>
      </c>
      <c r="C1670" t="s">
        <v>123</v>
      </c>
      <c r="D1670">
        <v>20</v>
      </c>
      <c r="E1670" t="s">
        <v>54</v>
      </c>
      <c r="F1670" t="s">
        <v>85</v>
      </c>
      <c r="G1670" s="1">
        <v>46042</v>
      </c>
      <c r="H1670" s="1">
        <v>46042</v>
      </c>
      <c r="I1670" t="s">
        <v>1410</v>
      </c>
      <c r="J1670" t="s">
        <v>1409</v>
      </c>
      <c r="K1670" t="s">
        <v>57</v>
      </c>
      <c r="L1670">
        <v>23452.33</v>
      </c>
      <c r="M1670" t="s">
        <v>64</v>
      </c>
      <c r="N1670">
        <v>257</v>
      </c>
      <c r="O1670" t="s">
        <v>71</v>
      </c>
    </row>
    <row r="1671" spans="1:15" x14ac:dyDescent="0.3">
      <c r="A1671" t="s">
        <v>1408</v>
      </c>
      <c r="B1671" t="s">
        <v>1407</v>
      </c>
      <c r="D1671">
        <v>63</v>
      </c>
      <c r="E1671" t="s">
        <v>54</v>
      </c>
      <c r="F1671" t="s">
        <v>38</v>
      </c>
      <c r="G1671" s="1">
        <v>46134</v>
      </c>
      <c r="H1671" s="1">
        <v>46122</v>
      </c>
      <c r="I1671" t="s">
        <v>1406</v>
      </c>
      <c r="J1671" t="s">
        <v>1405</v>
      </c>
      <c r="L1671">
        <v>21266.36</v>
      </c>
      <c r="M1671" t="s">
        <v>63</v>
      </c>
      <c r="N1671">
        <v>224</v>
      </c>
      <c r="O1671" t="s">
        <v>34</v>
      </c>
    </row>
    <row r="1672" spans="1:15" x14ac:dyDescent="0.3">
      <c r="A1672" t="s">
        <v>1404</v>
      </c>
      <c r="B1672" t="s">
        <v>1403</v>
      </c>
      <c r="C1672" t="s">
        <v>0</v>
      </c>
      <c r="D1672">
        <v>44</v>
      </c>
      <c r="E1672" t="s">
        <v>39</v>
      </c>
      <c r="F1672" t="s">
        <v>67</v>
      </c>
      <c r="G1672" s="1">
        <v>46161</v>
      </c>
      <c r="H1672" s="1">
        <v>46143</v>
      </c>
      <c r="I1672" t="s">
        <v>1402</v>
      </c>
      <c r="J1672" t="s">
        <v>1401</v>
      </c>
      <c r="L1672">
        <v>21359.32</v>
      </c>
      <c r="M1672" t="s">
        <v>64</v>
      </c>
      <c r="N1672">
        <v>142</v>
      </c>
      <c r="O1672" t="s">
        <v>77</v>
      </c>
    </row>
    <row r="1673" spans="1:15" x14ac:dyDescent="0.3">
      <c r="A1673" t="s">
        <v>1400</v>
      </c>
      <c r="B1673" t="s">
        <v>1399</v>
      </c>
      <c r="C1673" t="s">
        <v>40</v>
      </c>
      <c r="D1673">
        <v>20</v>
      </c>
      <c r="E1673" t="s">
        <v>54</v>
      </c>
      <c r="F1673" t="s">
        <v>85</v>
      </c>
      <c r="G1673" s="1">
        <v>46048</v>
      </c>
      <c r="H1673" s="1">
        <v>46020</v>
      </c>
      <c r="I1673" t="s">
        <v>1398</v>
      </c>
      <c r="J1673" t="s">
        <v>1397</v>
      </c>
      <c r="K1673" t="s">
        <v>64</v>
      </c>
      <c r="L1673">
        <v>23372.48</v>
      </c>
      <c r="M1673" t="s">
        <v>26</v>
      </c>
      <c r="N1673">
        <v>126</v>
      </c>
      <c r="O1673" t="s">
        <v>77</v>
      </c>
    </row>
    <row r="1674" spans="1:15" x14ac:dyDescent="0.3">
      <c r="A1674" t="s">
        <v>1396</v>
      </c>
      <c r="B1674" t="s">
        <v>1395</v>
      </c>
      <c r="D1674">
        <v>23</v>
      </c>
      <c r="E1674" t="s">
        <v>47</v>
      </c>
      <c r="F1674" t="s">
        <v>53</v>
      </c>
      <c r="G1674" s="1">
        <v>46069</v>
      </c>
      <c r="H1674" s="1">
        <v>46060</v>
      </c>
      <c r="I1674" t="s">
        <v>1394</v>
      </c>
      <c r="J1674" t="s">
        <v>1393</v>
      </c>
      <c r="K1674" t="s">
        <v>57</v>
      </c>
      <c r="L1674">
        <v>17032.75</v>
      </c>
      <c r="M1674" t="s">
        <v>17</v>
      </c>
      <c r="N1674">
        <v>441</v>
      </c>
      <c r="O1674" t="s">
        <v>34</v>
      </c>
    </row>
    <row r="1675" spans="1:15" x14ac:dyDescent="0.3">
      <c r="A1675" t="s">
        <v>1392</v>
      </c>
      <c r="B1675" t="s">
        <v>1391</v>
      </c>
      <c r="C1675" t="s">
        <v>74</v>
      </c>
      <c r="D1675">
        <v>6</v>
      </c>
      <c r="E1675" t="s">
        <v>39</v>
      </c>
      <c r="F1675" t="s">
        <v>30</v>
      </c>
      <c r="G1675" s="1">
        <v>46158</v>
      </c>
      <c r="H1675" s="1">
        <v>46148</v>
      </c>
      <c r="I1675" t="s">
        <v>1390</v>
      </c>
      <c r="J1675" t="s">
        <v>1389</v>
      </c>
      <c r="K1675" t="s">
        <v>64</v>
      </c>
      <c r="L1675">
        <v>1165.77</v>
      </c>
      <c r="M1675" t="s">
        <v>64</v>
      </c>
      <c r="N1675">
        <v>120</v>
      </c>
      <c r="O1675" t="s">
        <v>34</v>
      </c>
    </row>
    <row r="1676" spans="1:15" x14ac:dyDescent="0.3">
      <c r="A1676" t="s">
        <v>1388</v>
      </c>
      <c r="B1676" t="s">
        <v>1387</v>
      </c>
      <c r="C1676" t="s">
        <v>40</v>
      </c>
      <c r="D1676">
        <v>25</v>
      </c>
      <c r="E1676" t="s">
        <v>39</v>
      </c>
      <c r="F1676" t="s">
        <v>90</v>
      </c>
      <c r="G1676" s="1">
        <v>46053</v>
      </c>
      <c r="H1676" s="1">
        <v>46027</v>
      </c>
      <c r="I1676" t="s">
        <v>1386</v>
      </c>
      <c r="J1676" t="s">
        <v>1385</v>
      </c>
      <c r="L1676">
        <v>2866.95</v>
      </c>
      <c r="M1676" t="s">
        <v>63</v>
      </c>
      <c r="N1676">
        <v>415</v>
      </c>
      <c r="O1676" t="s">
        <v>50</v>
      </c>
    </row>
    <row r="1677" spans="1:15" x14ac:dyDescent="0.3">
      <c r="A1677" t="s">
        <v>1384</v>
      </c>
      <c r="B1677" t="s">
        <v>1383</v>
      </c>
      <c r="C1677" t="s">
        <v>74</v>
      </c>
      <c r="D1677">
        <v>79</v>
      </c>
      <c r="E1677" t="s">
        <v>132</v>
      </c>
      <c r="F1677" t="s">
        <v>53</v>
      </c>
      <c r="G1677" s="1">
        <v>46151</v>
      </c>
      <c r="H1677" s="1">
        <v>46149</v>
      </c>
      <c r="I1677" t="s">
        <v>1382</v>
      </c>
      <c r="J1677" t="s">
        <v>1381</v>
      </c>
      <c r="L1677">
        <v>15232.96</v>
      </c>
      <c r="M1677" t="s">
        <v>63</v>
      </c>
      <c r="N1677">
        <v>180</v>
      </c>
      <c r="O1677" t="s">
        <v>25</v>
      </c>
    </row>
    <row r="1678" spans="1:15" x14ac:dyDescent="0.3">
      <c r="A1678" t="s">
        <v>1380</v>
      </c>
      <c r="B1678" t="s">
        <v>1379</v>
      </c>
      <c r="C1678" t="s">
        <v>74</v>
      </c>
      <c r="D1678">
        <v>64</v>
      </c>
      <c r="E1678" t="s">
        <v>21</v>
      </c>
      <c r="F1678" t="s">
        <v>30</v>
      </c>
      <c r="G1678" s="1">
        <v>46138</v>
      </c>
      <c r="H1678" s="1">
        <v>46137</v>
      </c>
      <c r="I1678" t="s">
        <v>1378</v>
      </c>
      <c r="J1678" t="s">
        <v>1377</v>
      </c>
      <c r="L1678">
        <v>21333.48</v>
      </c>
      <c r="M1678" t="s">
        <v>26</v>
      </c>
      <c r="N1678">
        <v>455</v>
      </c>
      <c r="O1678" t="s">
        <v>16</v>
      </c>
    </row>
    <row r="1679" spans="1:15" x14ac:dyDescent="0.3">
      <c r="A1679" t="s">
        <v>1376</v>
      </c>
      <c r="B1679" t="s">
        <v>1375</v>
      </c>
      <c r="D1679">
        <v>46</v>
      </c>
      <c r="E1679" t="s">
        <v>132</v>
      </c>
      <c r="F1679" t="s">
        <v>30</v>
      </c>
      <c r="G1679" s="1">
        <v>46154</v>
      </c>
      <c r="H1679" s="1">
        <v>46134</v>
      </c>
      <c r="I1679" t="s">
        <v>1374</v>
      </c>
      <c r="J1679" t="s">
        <v>1373</v>
      </c>
      <c r="L1679">
        <v>10565.65</v>
      </c>
      <c r="M1679" t="s">
        <v>57</v>
      </c>
      <c r="N1679">
        <v>506</v>
      </c>
      <c r="O1679" t="s">
        <v>50</v>
      </c>
    </row>
    <row r="1680" spans="1:15" x14ac:dyDescent="0.3">
      <c r="A1680" t="s">
        <v>1372</v>
      </c>
      <c r="B1680" t="s">
        <v>1371</v>
      </c>
      <c r="C1680" t="s">
        <v>22</v>
      </c>
      <c r="D1680">
        <v>86</v>
      </c>
      <c r="E1680" t="s">
        <v>31</v>
      </c>
      <c r="F1680" t="s">
        <v>38</v>
      </c>
      <c r="G1680" s="1">
        <v>46000</v>
      </c>
      <c r="H1680" s="1">
        <v>45993</v>
      </c>
      <c r="I1680" t="s">
        <v>1370</v>
      </c>
      <c r="J1680" t="s">
        <v>1369</v>
      </c>
      <c r="L1680">
        <v>3888.28</v>
      </c>
      <c r="M1680" t="s">
        <v>26</v>
      </c>
      <c r="N1680">
        <v>118</v>
      </c>
      <c r="O1680" t="s">
        <v>77</v>
      </c>
    </row>
    <row r="1681" spans="1:15" x14ac:dyDescent="0.3">
      <c r="A1681" t="s">
        <v>1368</v>
      </c>
      <c r="B1681" t="s">
        <v>1367</v>
      </c>
      <c r="C1681" t="s">
        <v>40</v>
      </c>
      <c r="D1681">
        <v>76</v>
      </c>
      <c r="E1681" t="s">
        <v>80</v>
      </c>
      <c r="F1681" t="s">
        <v>53</v>
      </c>
      <c r="G1681" s="1">
        <v>46118</v>
      </c>
      <c r="H1681" s="1">
        <v>46115</v>
      </c>
      <c r="I1681" t="s">
        <v>1366</v>
      </c>
      <c r="J1681" t="s">
        <v>1365</v>
      </c>
      <c r="L1681">
        <v>3327.52</v>
      </c>
      <c r="M1681" t="s">
        <v>64</v>
      </c>
      <c r="N1681">
        <v>244</v>
      </c>
      <c r="O1681" t="s">
        <v>50</v>
      </c>
    </row>
    <row r="1682" spans="1:15" x14ac:dyDescent="0.3">
      <c r="A1682" t="s">
        <v>1364</v>
      </c>
      <c r="B1682" t="s">
        <v>1363</v>
      </c>
      <c r="C1682" t="s">
        <v>60</v>
      </c>
      <c r="D1682">
        <v>89</v>
      </c>
      <c r="E1682" t="s">
        <v>31</v>
      </c>
      <c r="F1682" t="s">
        <v>38</v>
      </c>
      <c r="G1682" s="1">
        <v>46025</v>
      </c>
      <c r="H1682" s="1">
        <v>46003</v>
      </c>
      <c r="I1682" t="s">
        <v>1362</v>
      </c>
      <c r="J1682" t="s">
        <v>1361</v>
      </c>
      <c r="L1682">
        <v>10996.3</v>
      </c>
      <c r="M1682" t="s">
        <v>64</v>
      </c>
      <c r="N1682">
        <v>429</v>
      </c>
      <c r="O1682" t="s">
        <v>25</v>
      </c>
    </row>
    <row r="1683" spans="1:15" x14ac:dyDescent="0.3">
      <c r="A1683" t="s">
        <v>1360</v>
      </c>
      <c r="B1683" t="s">
        <v>1359</v>
      </c>
      <c r="C1683" t="s">
        <v>22</v>
      </c>
      <c r="D1683">
        <v>27</v>
      </c>
      <c r="E1683" t="s">
        <v>68</v>
      </c>
      <c r="F1683" t="s">
        <v>46</v>
      </c>
      <c r="G1683" s="1">
        <v>46125</v>
      </c>
      <c r="H1683" s="1">
        <v>46114</v>
      </c>
      <c r="I1683" t="s">
        <v>1358</v>
      </c>
      <c r="J1683" t="s">
        <v>1357</v>
      </c>
      <c r="K1683" t="s">
        <v>35</v>
      </c>
      <c r="L1683">
        <v>9891.7000000000007</v>
      </c>
      <c r="M1683" t="s">
        <v>17</v>
      </c>
      <c r="N1683">
        <v>133</v>
      </c>
      <c r="O1683" t="s">
        <v>77</v>
      </c>
    </row>
    <row r="1684" spans="1:15" x14ac:dyDescent="0.3">
      <c r="A1684" t="s">
        <v>1356</v>
      </c>
      <c r="B1684" t="s">
        <v>1355</v>
      </c>
      <c r="C1684" t="s">
        <v>40</v>
      </c>
      <c r="D1684">
        <v>33</v>
      </c>
      <c r="E1684" t="s">
        <v>54</v>
      </c>
      <c r="F1684" t="s">
        <v>53</v>
      </c>
      <c r="G1684" s="1">
        <v>46030</v>
      </c>
      <c r="H1684" s="1">
        <v>46004</v>
      </c>
      <c r="I1684" t="s">
        <v>1354</v>
      </c>
      <c r="J1684" t="s">
        <v>1353</v>
      </c>
      <c r="L1684">
        <v>11694.9</v>
      </c>
      <c r="N1684">
        <v>501</v>
      </c>
      <c r="O1684" t="s">
        <v>25</v>
      </c>
    </row>
    <row r="1685" spans="1:15" x14ac:dyDescent="0.3">
      <c r="A1685" t="s">
        <v>1352</v>
      </c>
      <c r="B1685" t="s">
        <v>1351</v>
      </c>
      <c r="C1685" t="s">
        <v>60</v>
      </c>
      <c r="D1685">
        <v>58</v>
      </c>
      <c r="E1685" t="s">
        <v>39</v>
      </c>
      <c r="F1685" t="s">
        <v>67</v>
      </c>
      <c r="G1685" s="1">
        <v>46064</v>
      </c>
      <c r="H1685" s="1">
        <v>46041</v>
      </c>
      <c r="I1685" t="s">
        <v>1350</v>
      </c>
      <c r="J1685" t="s">
        <v>1349</v>
      </c>
      <c r="L1685">
        <v>16528.439999999999</v>
      </c>
      <c r="M1685" t="s">
        <v>26</v>
      </c>
      <c r="N1685">
        <v>103</v>
      </c>
      <c r="O1685" t="s">
        <v>50</v>
      </c>
    </row>
    <row r="1686" spans="1:15" x14ac:dyDescent="0.3">
      <c r="A1686" t="s">
        <v>1348</v>
      </c>
      <c r="B1686" t="s">
        <v>1347</v>
      </c>
      <c r="C1686" t="s">
        <v>0</v>
      </c>
      <c r="D1686">
        <v>33</v>
      </c>
      <c r="E1686" t="s">
        <v>54</v>
      </c>
      <c r="F1686" t="s">
        <v>20</v>
      </c>
      <c r="G1686" s="1">
        <v>46075</v>
      </c>
      <c r="H1686" s="1">
        <v>46060</v>
      </c>
      <c r="I1686" t="s">
        <v>1346</v>
      </c>
      <c r="J1686" t="s">
        <v>1345</v>
      </c>
      <c r="K1686" t="s">
        <v>57</v>
      </c>
      <c r="L1686">
        <v>3874.56</v>
      </c>
      <c r="M1686" t="s">
        <v>26</v>
      </c>
      <c r="N1686">
        <v>222</v>
      </c>
      <c r="O1686" t="s">
        <v>34</v>
      </c>
    </row>
    <row r="1687" spans="1:15" x14ac:dyDescent="0.3">
      <c r="A1687" t="s">
        <v>1344</v>
      </c>
      <c r="B1687" t="s">
        <v>1343</v>
      </c>
      <c r="D1687">
        <v>36</v>
      </c>
      <c r="E1687" t="s">
        <v>21</v>
      </c>
      <c r="F1687" t="s">
        <v>53</v>
      </c>
      <c r="G1687" s="1">
        <v>46121</v>
      </c>
      <c r="H1687" s="1">
        <v>46108</v>
      </c>
      <c r="I1687" t="s">
        <v>1342</v>
      </c>
      <c r="J1687" t="s">
        <v>1341</v>
      </c>
      <c r="K1687" t="s">
        <v>27</v>
      </c>
      <c r="L1687">
        <v>19317.330000000002</v>
      </c>
      <c r="M1687" t="s">
        <v>17</v>
      </c>
      <c r="N1687">
        <v>464</v>
      </c>
      <c r="O1687" t="s">
        <v>43</v>
      </c>
    </row>
    <row r="1688" spans="1:15" x14ac:dyDescent="0.3">
      <c r="A1688" t="s">
        <v>1340</v>
      </c>
      <c r="B1688" t="s">
        <v>1339</v>
      </c>
      <c r="C1688" t="s">
        <v>60</v>
      </c>
      <c r="D1688">
        <v>44</v>
      </c>
      <c r="E1688" t="s">
        <v>47</v>
      </c>
      <c r="F1688" t="s">
        <v>20</v>
      </c>
      <c r="G1688" s="1">
        <v>45994</v>
      </c>
      <c r="H1688" s="1">
        <v>45979</v>
      </c>
      <c r="I1688" t="s">
        <v>1338</v>
      </c>
      <c r="J1688" t="s">
        <v>1337</v>
      </c>
      <c r="K1688" t="s">
        <v>17</v>
      </c>
      <c r="L1688">
        <v>5434.33</v>
      </c>
      <c r="M1688" t="s">
        <v>17</v>
      </c>
      <c r="N1688">
        <v>448</v>
      </c>
      <c r="O1688" t="s">
        <v>25</v>
      </c>
    </row>
    <row r="1689" spans="1:15" x14ac:dyDescent="0.3">
      <c r="A1689" t="s">
        <v>1336</v>
      </c>
      <c r="B1689" t="s">
        <v>1335</v>
      </c>
      <c r="C1689" t="s">
        <v>22</v>
      </c>
      <c r="D1689">
        <v>68</v>
      </c>
      <c r="E1689" t="s">
        <v>54</v>
      </c>
      <c r="F1689" t="s">
        <v>38</v>
      </c>
      <c r="G1689" s="1">
        <v>46038</v>
      </c>
      <c r="H1689" s="1">
        <v>46025</v>
      </c>
      <c r="I1689" t="s">
        <v>1334</v>
      </c>
      <c r="J1689" t="s">
        <v>1333</v>
      </c>
      <c r="K1689" t="s">
        <v>27</v>
      </c>
      <c r="L1689">
        <v>11482.82</v>
      </c>
      <c r="M1689" t="s">
        <v>63</v>
      </c>
      <c r="N1689">
        <v>375</v>
      </c>
      <c r="O1689" t="s">
        <v>50</v>
      </c>
    </row>
    <row r="1690" spans="1:15" x14ac:dyDescent="0.3">
      <c r="A1690" t="s">
        <v>1332</v>
      </c>
      <c r="B1690" t="s">
        <v>1331</v>
      </c>
      <c r="D1690">
        <v>6</v>
      </c>
      <c r="E1690" t="s">
        <v>132</v>
      </c>
      <c r="F1690" t="s">
        <v>67</v>
      </c>
      <c r="G1690" s="1">
        <v>45991</v>
      </c>
      <c r="H1690" s="1">
        <v>45991</v>
      </c>
      <c r="I1690" t="s">
        <v>1330</v>
      </c>
      <c r="J1690" t="s">
        <v>1329</v>
      </c>
      <c r="L1690">
        <v>14815.14</v>
      </c>
      <c r="M1690" t="s">
        <v>64</v>
      </c>
      <c r="N1690">
        <v>342</v>
      </c>
      <c r="O1690" t="s">
        <v>50</v>
      </c>
    </row>
    <row r="1691" spans="1:15" x14ac:dyDescent="0.3">
      <c r="A1691" t="s">
        <v>1328</v>
      </c>
      <c r="B1691" t="s">
        <v>1327</v>
      </c>
      <c r="C1691" t="s">
        <v>123</v>
      </c>
      <c r="D1691">
        <v>-5</v>
      </c>
      <c r="E1691" t="s">
        <v>1326</v>
      </c>
      <c r="F1691" t="s">
        <v>67</v>
      </c>
      <c r="G1691" s="1">
        <v>46111</v>
      </c>
      <c r="H1691" s="1">
        <v>46085</v>
      </c>
      <c r="I1691" t="s">
        <v>1325</v>
      </c>
      <c r="K1691" t="s">
        <v>17</v>
      </c>
      <c r="L1691" t="s">
        <v>488</v>
      </c>
      <c r="M1691" t="s">
        <v>63</v>
      </c>
      <c r="N1691">
        <v>433</v>
      </c>
      <c r="O1691" t="s">
        <v>50</v>
      </c>
    </row>
    <row r="1692" spans="1:15" x14ac:dyDescent="0.3">
      <c r="A1692" t="s">
        <v>1324</v>
      </c>
      <c r="B1692" t="s">
        <v>1323</v>
      </c>
      <c r="C1692" t="s">
        <v>40</v>
      </c>
      <c r="D1692">
        <v>30</v>
      </c>
      <c r="E1692" t="s">
        <v>132</v>
      </c>
      <c r="F1692" t="s">
        <v>90</v>
      </c>
      <c r="G1692" s="1">
        <v>46116</v>
      </c>
      <c r="H1692" s="1">
        <v>46108</v>
      </c>
      <c r="I1692" t="s">
        <v>1322</v>
      </c>
      <c r="J1692" t="s">
        <v>1321</v>
      </c>
      <c r="K1692" t="s">
        <v>27</v>
      </c>
      <c r="L1692">
        <v>13362.42</v>
      </c>
      <c r="M1692" t="s">
        <v>27</v>
      </c>
      <c r="N1692">
        <v>213</v>
      </c>
      <c r="O1692" t="s">
        <v>50</v>
      </c>
    </row>
    <row r="1693" spans="1:15" x14ac:dyDescent="0.3">
      <c r="A1693" t="s">
        <v>1320</v>
      </c>
      <c r="B1693" t="s">
        <v>1319</v>
      </c>
      <c r="D1693">
        <v>31</v>
      </c>
      <c r="E1693" t="s">
        <v>54</v>
      </c>
      <c r="F1693" t="s">
        <v>46</v>
      </c>
      <c r="G1693" s="1">
        <v>46020</v>
      </c>
      <c r="H1693" s="1">
        <v>46007</v>
      </c>
      <c r="I1693" t="s">
        <v>1318</v>
      </c>
      <c r="J1693" t="s">
        <v>1317</v>
      </c>
      <c r="K1693" t="s">
        <v>27</v>
      </c>
      <c r="L1693">
        <v>23974.21</v>
      </c>
      <c r="M1693" t="s">
        <v>63</v>
      </c>
      <c r="N1693">
        <v>374</v>
      </c>
      <c r="O1693" t="s">
        <v>50</v>
      </c>
    </row>
    <row r="1694" spans="1:15" x14ac:dyDescent="0.3">
      <c r="A1694" t="s">
        <v>1316</v>
      </c>
      <c r="B1694" t="s">
        <v>1315</v>
      </c>
      <c r="C1694" t="s">
        <v>123</v>
      </c>
      <c r="D1694">
        <v>3</v>
      </c>
      <c r="E1694" t="s">
        <v>132</v>
      </c>
      <c r="F1694" t="s">
        <v>46</v>
      </c>
      <c r="G1694" s="1">
        <v>46131</v>
      </c>
      <c r="H1694" s="1">
        <v>46116</v>
      </c>
      <c r="I1694" t="s">
        <v>1314</v>
      </c>
      <c r="J1694" t="s">
        <v>1313</v>
      </c>
      <c r="K1694" t="s">
        <v>17</v>
      </c>
      <c r="L1694">
        <v>13445.43</v>
      </c>
      <c r="M1694" t="s">
        <v>63</v>
      </c>
      <c r="N1694">
        <v>499</v>
      </c>
      <c r="O1694" t="s">
        <v>77</v>
      </c>
    </row>
    <row r="1695" spans="1:15" x14ac:dyDescent="0.3">
      <c r="A1695" t="s">
        <v>1312</v>
      </c>
      <c r="B1695" t="s">
        <v>1311</v>
      </c>
      <c r="C1695" t="s">
        <v>1</v>
      </c>
      <c r="D1695">
        <v>50</v>
      </c>
      <c r="E1695" t="s">
        <v>31</v>
      </c>
      <c r="F1695" t="s">
        <v>53</v>
      </c>
      <c r="G1695" s="1">
        <v>46013</v>
      </c>
      <c r="H1695" s="1">
        <v>45996</v>
      </c>
      <c r="I1695" t="s">
        <v>1310</v>
      </c>
      <c r="J1695" t="s">
        <v>1309</v>
      </c>
      <c r="K1695" t="s">
        <v>17</v>
      </c>
      <c r="L1695">
        <v>552.44000000000005</v>
      </c>
      <c r="N1695">
        <v>140</v>
      </c>
      <c r="O1695" t="s">
        <v>43</v>
      </c>
    </row>
    <row r="1696" spans="1:15" x14ac:dyDescent="0.3">
      <c r="A1696" t="s">
        <v>1308</v>
      </c>
      <c r="B1696" t="s">
        <v>1307</v>
      </c>
      <c r="C1696" t="s">
        <v>1</v>
      </c>
      <c r="D1696">
        <v>62</v>
      </c>
      <c r="E1696" t="s">
        <v>47</v>
      </c>
      <c r="F1696" t="s">
        <v>20</v>
      </c>
      <c r="G1696" s="1">
        <v>46068</v>
      </c>
      <c r="H1696" s="1">
        <v>46064</v>
      </c>
      <c r="I1696" t="s">
        <v>1306</v>
      </c>
      <c r="J1696" t="s">
        <v>1305</v>
      </c>
      <c r="K1696" t="s">
        <v>26</v>
      </c>
      <c r="L1696">
        <v>4391.76</v>
      </c>
      <c r="M1696" t="s">
        <v>63</v>
      </c>
      <c r="N1696">
        <v>443</v>
      </c>
      <c r="O1696" t="s">
        <v>43</v>
      </c>
    </row>
    <row r="1697" spans="1:15" x14ac:dyDescent="0.3">
      <c r="A1697" t="s">
        <v>1304</v>
      </c>
      <c r="B1697" t="s">
        <v>1303</v>
      </c>
      <c r="C1697" t="s">
        <v>123</v>
      </c>
      <c r="D1697">
        <v>21</v>
      </c>
      <c r="E1697" t="s">
        <v>54</v>
      </c>
      <c r="F1697" t="s">
        <v>38</v>
      </c>
      <c r="G1697" s="1">
        <v>46161</v>
      </c>
      <c r="H1697" s="1">
        <v>46138</v>
      </c>
      <c r="I1697" t="s">
        <v>1302</v>
      </c>
      <c r="J1697" t="s">
        <v>1301</v>
      </c>
      <c r="K1697" t="s">
        <v>35</v>
      </c>
      <c r="L1697">
        <v>9163.4500000000007</v>
      </c>
      <c r="M1697" t="s">
        <v>63</v>
      </c>
      <c r="N1697">
        <v>258</v>
      </c>
      <c r="O1697" t="s">
        <v>34</v>
      </c>
    </row>
    <row r="1698" spans="1:15" x14ac:dyDescent="0.3">
      <c r="A1698" t="s">
        <v>1300</v>
      </c>
      <c r="B1698" t="s">
        <v>1299</v>
      </c>
      <c r="C1698" t="s">
        <v>74</v>
      </c>
      <c r="D1698">
        <v>10</v>
      </c>
      <c r="E1698" t="s">
        <v>39</v>
      </c>
      <c r="F1698" t="s">
        <v>20</v>
      </c>
      <c r="G1698" s="1">
        <v>46031</v>
      </c>
      <c r="H1698" s="1">
        <v>46004</v>
      </c>
      <c r="I1698" t="s">
        <v>1298</v>
      </c>
      <c r="J1698" t="s">
        <v>1297</v>
      </c>
      <c r="K1698" t="s">
        <v>27</v>
      </c>
      <c r="L1698">
        <v>23848.92</v>
      </c>
      <c r="M1698" t="s">
        <v>64</v>
      </c>
      <c r="N1698">
        <v>498</v>
      </c>
      <c r="O1698" t="s">
        <v>50</v>
      </c>
    </row>
    <row r="1699" spans="1:15" x14ac:dyDescent="0.3">
      <c r="A1699" t="s">
        <v>1296</v>
      </c>
      <c r="B1699" t="s">
        <v>1295</v>
      </c>
      <c r="C1699" t="s">
        <v>22</v>
      </c>
      <c r="D1699">
        <v>23</v>
      </c>
      <c r="E1699" t="s">
        <v>80</v>
      </c>
      <c r="F1699" t="s">
        <v>85</v>
      </c>
      <c r="G1699" s="1">
        <v>46034</v>
      </c>
      <c r="H1699" s="1">
        <v>46024</v>
      </c>
      <c r="I1699" t="s">
        <v>1294</v>
      </c>
      <c r="J1699" t="s">
        <v>1293</v>
      </c>
      <c r="K1699" t="s">
        <v>64</v>
      </c>
      <c r="L1699">
        <v>12611.48</v>
      </c>
      <c r="N1699">
        <v>361</v>
      </c>
      <c r="O1699" t="s">
        <v>77</v>
      </c>
    </row>
    <row r="1700" spans="1:15" x14ac:dyDescent="0.3">
      <c r="A1700" t="s">
        <v>1292</v>
      </c>
      <c r="B1700" t="s">
        <v>1291</v>
      </c>
      <c r="D1700">
        <v>86</v>
      </c>
      <c r="E1700" t="s">
        <v>132</v>
      </c>
      <c r="F1700" t="s">
        <v>20</v>
      </c>
      <c r="G1700" s="1">
        <v>46041</v>
      </c>
      <c r="H1700" s="1">
        <v>46030</v>
      </c>
      <c r="I1700" t="s">
        <v>1290</v>
      </c>
      <c r="J1700" t="s">
        <v>1289</v>
      </c>
      <c r="K1700" t="s">
        <v>64</v>
      </c>
      <c r="L1700">
        <v>8960.36</v>
      </c>
      <c r="N1700">
        <v>512</v>
      </c>
      <c r="O1700" t="s">
        <v>71</v>
      </c>
    </row>
    <row r="1701" spans="1:15" x14ac:dyDescent="0.3">
      <c r="A1701" t="s">
        <v>1288</v>
      </c>
      <c r="B1701" t="s">
        <v>1287</v>
      </c>
      <c r="C1701" t="s">
        <v>22</v>
      </c>
      <c r="D1701">
        <v>3</v>
      </c>
      <c r="E1701" t="s">
        <v>80</v>
      </c>
      <c r="F1701" t="s">
        <v>20</v>
      </c>
      <c r="G1701" s="1">
        <v>45995</v>
      </c>
      <c r="H1701" s="1">
        <v>46000</v>
      </c>
      <c r="I1701" t="s">
        <v>1286</v>
      </c>
      <c r="J1701" t="s">
        <v>1285</v>
      </c>
      <c r="K1701" t="s">
        <v>35</v>
      </c>
      <c r="L1701">
        <v>8684.11</v>
      </c>
      <c r="M1701" t="s">
        <v>57</v>
      </c>
      <c r="N1701">
        <v>345</v>
      </c>
      <c r="O1701" t="s">
        <v>50</v>
      </c>
    </row>
    <row r="1702" spans="1:15" x14ac:dyDescent="0.3">
      <c r="A1702" t="s">
        <v>1284</v>
      </c>
      <c r="B1702" t="s">
        <v>1283</v>
      </c>
      <c r="C1702" t="s">
        <v>60</v>
      </c>
      <c r="D1702">
        <v>4</v>
      </c>
      <c r="E1702" t="s">
        <v>31</v>
      </c>
      <c r="F1702" t="s">
        <v>90</v>
      </c>
      <c r="G1702" s="1">
        <v>46135</v>
      </c>
      <c r="H1702" s="1">
        <v>46110</v>
      </c>
      <c r="I1702" t="s">
        <v>1282</v>
      </c>
      <c r="J1702" t="s">
        <v>1281</v>
      </c>
      <c r="L1702">
        <v>2768.52</v>
      </c>
      <c r="N1702">
        <v>208</v>
      </c>
      <c r="O1702" t="s">
        <v>71</v>
      </c>
    </row>
    <row r="1703" spans="1:15" x14ac:dyDescent="0.3">
      <c r="A1703" t="s">
        <v>1280</v>
      </c>
      <c r="B1703" t="s">
        <v>1279</v>
      </c>
      <c r="C1703" t="s">
        <v>1</v>
      </c>
      <c r="D1703">
        <v>80</v>
      </c>
      <c r="E1703" t="s">
        <v>68</v>
      </c>
      <c r="F1703" t="s">
        <v>20</v>
      </c>
      <c r="G1703" s="1">
        <v>46072</v>
      </c>
      <c r="H1703" s="1">
        <v>46049</v>
      </c>
      <c r="I1703" t="s">
        <v>1278</v>
      </c>
      <c r="J1703" t="s">
        <v>1277</v>
      </c>
      <c r="K1703" t="s">
        <v>17</v>
      </c>
      <c r="L1703">
        <v>20895.88</v>
      </c>
      <c r="N1703">
        <v>385</v>
      </c>
      <c r="O1703" t="s">
        <v>50</v>
      </c>
    </row>
    <row r="1704" spans="1:15" x14ac:dyDescent="0.3">
      <c r="A1704" t="s">
        <v>1276</v>
      </c>
      <c r="B1704" t="s">
        <v>1275</v>
      </c>
      <c r="D1704">
        <v>50</v>
      </c>
      <c r="E1704" t="s">
        <v>31</v>
      </c>
      <c r="F1704" t="s">
        <v>67</v>
      </c>
      <c r="G1704" s="1">
        <v>46010</v>
      </c>
      <c r="H1704" s="1">
        <v>46004</v>
      </c>
      <c r="I1704" t="s">
        <v>1274</v>
      </c>
      <c r="J1704" t="s">
        <v>1273</v>
      </c>
      <c r="K1704" t="s">
        <v>27</v>
      </c>
      <c r="L1704">
        <v>1102.21</v>
      </c>
      <c r="M1704" t="s">
        <v>57</v>
      </c>
      <c r="N1704">
        <v>101</v>
      </c>
      <c r="O1704" t="s">
        <v>34</v>
      </c>
    </row>
    <row r="1705" spans="1:15" x14ac:dyDescent="0.3">
      <c r="A1705" t="s">
        <v>1272</v>
      </c>
      <c r="B1705" t="s">
        <v>1271</v>
      </c>
      <c r="C1705" t="s">
        <v>60</v>
      </c>
      <c r="D1705">
        <v>3</v>
      </c>
      <c r="E1705" t="s">
        <v>31</v>
      </c>
      <c r="F1705" t="s">
        <v>67</v>
      </c>
      <c r="G1705" s="1">
        <v>46122</v>
      </c>
      <c r="H1705" s="1">
        <v>46109</v>
      </c>
      <c r="I1705" t="s">
        <v>1270</v>
      </c>
      <c r="J1705" t="s">
        <v>1269</v>
      </c>
      <c r="K1705" t="s">
        <v>27</v>
      </c>
      <c r="L1705">
        <v>24245.68</v>
      </c>
      <c r="N1705">
        <v>143</v>
      </c>
      <c r="O1705" t="s">
        <v>71</v>
      </c>
    </row>
    <row r="1706" spans="1:15" x14ac:dyDescent="0.3">
      <c r="A1706" t="s">
        <v>1268</v>
      </c>
      <c r="B1706" t="s">
        <v>1267</v>
      </c>
      <c r="C1706" t="s">
        <v>74</v>
      </c>
      <c r="D1706">
        <v>77</v>
      </c>
      <c r="E1706" t="s">
        <v>80</v>
      </c>
      <c r="F1706" t="s">
        <v>53</v>
      </c>
      <c r="G1706" s="1">
        <v>46083</v>
      </c>
      <c r="H1706" s="1">
        <v>46068</v>
      </c>
      <c r="I1706" t="s">
        <v>1266</v>
      </c>
      <c r="J1706" t="s">
        <v>1265</v>
      </c>
      <c r="L1706">
        <v>13928.91</v>
      </c>
      <c r="M1706" t="s">
        <v>17</v>
      </c>
      <c r="N1706">
        <v>161</v>
      </c>
      <c r="O1706" t="s">
        <v>34</v>
      </c>
    </row>
    <row r="1707" spans="1:15" x14ac:dyDescent="0.3">
      <c r="A1707" t="s">
        <v>1264</v>
      </c>
      <c r="B1707" t="s">
        <v>1263</v>
      </c>
      <c r="C1707" t="s">
        <v>40</v>
      </c>
      <c r="D1707">
        <v>82</v>
      </c>
      <c r="E1707" t="s">
        <v>31</v>
      </c>
      <c r="F1707" t="s">
        <v>38</v>
      </c>
      <c r="G1707" s="1">
        <v>45992</v>
      </c>
      <c r="H1707" s="1">
        <v>45983</v>
      </c>
      <c r="I1707" t="s">
        <v>1262</v>
      </c>
      <c r="J1707" t="s">
        <v>1261</v>
      </c>
      <c r="L1707">
        <v>7477.59</v>
      </c>
      <c r="M1707" t="s">
        <v>64</v>
      </c>
      <c r="N1707">
        <v>128</v>
      </c>
      <c r="O1707" t="s">
        <v>43</v>
      </c>
    </row>
    <row r="1708" spans="1:15" x14ac:dyDescent="0.3">
      <c r="A1708" t="s">
        <v>1260</v>
      </c>
      <c r="B1708" t="s">
        <v>1259</v>
      </c>
      <c r="C1708" t="s">
        <v>0</v>
      </c>
      <c r="D1708">
        <v>90</v>
      </c>
      <c r="E1708" t="s">
        <v>132</v>
      </c>
      <c r="F1708" t="s">
        <v>90</v>
      </c>
      <c r="G1708" s="1">
        <v>46086</v>
      </c>
      <c r="H1708" s="1">
        <v>46082</v>
      </c>
      <c r="I1708" t="s">
        <v>1258</v>
      </c>
      <c r="J1708" t="s">
        <v>1257</v>
      </c>
      <c r="K1708" t="s">
        <v>26</v>
      </c>
      <c r="L1708">
        <v>8630.5400000000009</v>
      </c>
      <c r="N1708">
        <v>138</v>
      </c>
      <c r="O1708" t="s">
        <v>34</v>
      </c>
    </row>
    <row r="1709" spans="1:15" x14ac:dyDescent="0.3">
      <c r="A1709" t="s">
        <v>1256</v>
      </c>
      <c r="B1709" t="s">
        <v>1255</v>
      </c>
      <c r="C1709" t="s">
        <v>60</v>
      </c>
      <c r="D1709">
        <v>10</v>
      </c>
      <c r="E1709" t="s">
        <v>68</v>
      </c>
      <c r="F1709" t="s">
        <v>30</v>
      </c>
      <c r="G1709" s="1">
        <v>46155</v>
      </c>
      <c r="H1709" s="1">
        <v>46132</v>
      </c>
      <c r="I1709" t="s">
        <v>1254</v>
      </c>
      <c r="J1709" t="s">
        <v>1253</v>
      </c>
      <c r="K1709" t="s">
        <v>26</v>
      </c>
      <c r="L1709">
        <v>10290.4</v>
      </c>
      <c r="M1709" t="s">
        <v>27</v>
      </c>
      <c r="N1709">
        <v>245</v>
      </c>
      <c r="O1709" t="s">
        <v>43</v>
      </c>
    </row>
    <row r="1710" spans="1:15" x14ac:dyDescent="0.3">
      <c r="A1710" t="s">
        <v>1252</v>
      </c>
      <c r="B1710" t="s">
        <v>1251</v>
      </c>
      <c r="C1710" t="s">
        <v>0</v>
      </c>
      <c r="D1710">
        <v>12</v>
      </c>
      <c r="E1710" t="s">
        <v>39</v>
      </c>
      <c r="F1710" t="s">
        <v>20</v>
      </c>
      <c r="G1710" s="1">
        <v>46043</v>
      </c>
      <c r="H1710" s="1">
        <v>46032</v>
      </c>
      <c r="I1710" t="s">
        <v>1250</v>
      </c>
      <c r="J1710" t="s">
        <v>1249</v>
      </c>
      <c r="K1710" t="s">
        <v>64</v>
      </c>
      <c r="L1710">
        <v>2559.9</v>
      </c>
      <c r="M1710" t="s">
        <v>63</v>
      </c>
      <c r="N1710">
        <v>493</v>
      </c>
      <c r="O1710" t="s">
        <v>43</v>
      </c>
    </row>
    <row r="1711" spans="1:15" x14ac:dyDescent="0.3">
      <c r="A1711" t="s">
        <v>572</v>
      </c>
      <c r="B1711" t="s">
        <v>1248</v>
      </c>
      <c r="C1711" t="s">
        <v>60</v>
      </c>
      <c r="D1711">
        <v>16</v>
      </c>
      <c r="E1711" t="s">
        <v>39</v>
      </c>
      <c r="F1711" t="s">
        <v>38</v>
      </c>
      <c r="G1711" s="1">
        <v>46111</v>
      </c>
      <c r="H1711" s="1">
        <v>46093</v>
      </c>
      <c r="I1711" t="s">
        <v>1247</v>
      </c>
      <c r="J1711" t="s">
        <v>1246</v>
      </c>
      <c r="K1711" t="s">
        <v>64</v>
      </c>
      <c r="L1711">
        <v>5941.68</v>
      </c>
      <c r="M1711" t="s">
        <v>63</v>
      </c>
      <c r="N1711">
        <v>259</v>
      </c>
      <c r="O1711" t="s">
        <v>50</v>
      </c>
    </row>
    <row r="1712" spans="1:15" x14ac:dyDescent="0.3">
      <c r="A1712" t="s">
        <v>1245</v>
      </c>
      <c r="B1712" t="s">
        <v>1244</v>
      </c>
      <c r="C1712" t="s">
        <v>74</v>
      </c>
      <c r="D1712">
        <v>71</v>
      </c>
      <c r="E1712" t="s">
        <v>132</v>
      </c>
      <c r="F1712" t="s">
        <v>30</v>
      </c>
      <c r="G1712" s="1">
        <v>46029</v>
      </c>
      <c r="H1712" s="1">
        <v>46026</v>
      </c>
      <c r="I1712" t="s">
        <v>1243</v>
      </c>
      <c r="J1712" t="s">
        <v>1242</v>
      </c>
      <c r="L1712">
        <v>18857.09</v>
      </c>
      <c r="M1712" t="s">
        <v>27</v>
      </c>
      <c r="N1712">
        <v>259</v>
      </c>
      <c r="O1712" t="s">
        <v>16</v>
      </c>
    </row>
    <row r="1713" spans="1:15" x14ac:dyDescent="0.3">
      <c r="A1713" t="s">
        <v>1241</v>
      </c>
      <c r="B1713" t="s">
        <v>1240</v>
      </c>
      <c r="C1713" t="s">
        <v>74</v>
      </c>
      <c r="D1713">
        <v>85</v>
      </c>
      <c r="E1713" t="s">
        <v>31</v>
      </c>
      <c r="F1713" t="s">
        <v>30</v>
      </c>
      <c r="G1713" s="1">
        <v>46002</v>
      </c>
      <c r="H1713" s="1">
        <v>45979</v>
      </c>
      <c r="I1713" t="s">
        <v>1239</v>
      </c>
      <c r="J1713" t="s">
        <v>1238</v>
      </c>
      <c r="K1713" t="s">
        <v>27</v>
      </c>
      <c r="L1713">
        <v>3594.91</v>
      </c>
      <c r="M1713" t="s">
        <v>64</v>
      </c>
      <c r="N1713">
        <v>401</v>
      </c>
      <c r="O1713" t="s">
        <v>77</v>
      </c>
    </row>
    <row r="1714" spans="1:15" x14ac:dyDescent="0.3">
      <c r="A1714" t="s">
        <v>1237</v>
      </c>
      <c r="B1714" t="s">
        <v>1236</v>
      </c>
      <c r="C1714" t="s">
        <v>74</v>
      </c>
      <c r="D1714">
        <v>62</v>
      </c>
      <c r="E1714" t="s">
        <v>47</v>
      </c>
      <c r="F1714" t="s">
        <v>85</v>
      </c>
      <c r="G1714" s="1">
        <v>46142</v>
      </c>
      <c r="H1714" s="1">
        <v>46117</v>
      </c>
      <c r="I1714" t="s">
        <v>1235</v>
      </c>
      <c r="J1714" t="s">
        <v>1234</v>
      </c>
      <c r="K1714" t="s">
        <v>57</v>
      </c>
      <c r="L1714">
        <v>10268.52</v>
      </c>
      <c r="M1714" t="s">
        <v>64</v>
      </c>
      <c r="N1714">
        <v>235</v>
      </c>
      <c r="O1714" t="s">
        <v>71</v>
      </c>
    </row>
    <row r="1715" spans="1:15" x14ac:dyDescent="0.3">
      <c r="A1715" t="s">
        <v>1233</v>
      </c>
      <c r="B1715" t="s">
        <v>1232</v>
      </c>
      <c r="C1715" t="s">
        <v>1</v>
      </c>
      <c r="D1715">
        <v>11</v>
      </c>
      <c r="E1715" t="s">
        <v>31</v>
      </c>
      <c r="F1715" t="s">
        <v>53</v>
      </c>
      <c r="G1715" s="1">
        <v>46030</v>
      </c>
      <c r="H1715" s="1">
        <v>46025</v>
      </c>
      <c r="I1715" t="s">
        <v>1231</v>
      </c>
      <c r="J1715" t="s">
        <v>1230</v>
      </c>
      <c r="K1715" t="s">
        <v>64</v>
      </c>
      <c r="L1715">
        <v>15844.8</v>
      </c>
      <c r="M1715" t="s">
        <v>27</v>
      </c>
      <c r="N1715">
        <v>340</v>
      </c>
      <c r="O1715" t="s">
        <v>71</v>
      </c>
    </row>
    <row r="1716" spans="1:15" x14ac:dyDescent="0.3">
      <c r="A1716" t="s">
        <v>1229</v>
      </c>
      <c r="B1716" t="s">
        <v>1228</v>
      </c>
      <c r="C1716" t="s">
        <v>0</v>
      </c>
      <c r="D1716">
        <v>220</v>
      </c>
      <c r="E1716" t="s">
        <v>21</v>
      </c>
      <c r="F1716" t="s">
        <v>90</v>
      </c>
      <c r="G1716" s="1">
        <v>46037</v>
      </c>
      <c r="H1716" s="1">
        <v>46037</v>
      </c>
      <c r="I1716" t="s">
        <v>1227</v>
      </c>
      <c r="J1716" t="s">
        <v>1226</v>
      </c>
      <c r="K1716" t="s">
        <v>26</v>
      </c>
      <c r="L1716">
        <v>14501.93</v>
      </c>
      <c r="M1716" t="s">
        <v>57</v>
      </c>
      <c r="N1716">
        <v>352</v>
      </c>
      <c r="O1716" t="s">
        <v>34</v>
      </c>
    </row>
    <row r="1717" spans="1:15" x14ac:dyDescent="0.3">
      <c r="A1717" t="s">
        <v>1225</v>
      </c>
      <c r="B1717" t="s">
        <v>1224</v>
      </c>
      <c r="C1717" t="s">
        <v>1</v>
      </c>
      <c r="D1717">
        <v>8</v>
      </c>
      <c r="E1717" t="s">
        <v>54</v>
      </c>
      <c r="F1717" t="s">
        <v>38</v>
      </c>
      <c r="G1717" s="1">
        <v>46055</v>
      </c>
      <c r="H1717" s="1">
        <v>46036</v>
      </c>
      <c r="I1717" t="s">
        <v>1223</v>
      </c>
      <c r="J1717" t="s">
        <v>1222</v>
      </c>
      <c r="L1717">
        <v>4973.3</v>
      </c>
      <c r="M1717" t="s">
        <v>63</v>
      </c>
      <c r="N1717">
        <v>276</v>
      </c>
      <c r="O1717" t="s">
        <v>71</v>
      </c>
    </row>
    <row r="1718" spans="1:15" x14ac:dyDescent="0.3">
      <c r="A1718" t="s">
        <v>1221</v>
      </c>
      <c r="B1718" t="s">
        <v>1220</v>
      </c>
      <c r="C1718" t="s">
        <v>123</v>
      </c>
      <c r="D1718">
        <v>76</v>
      </c>
      <c r="E1718" t="s">
        <v>54</v>
      </c>
      <c r="F1718" t="s">
        <v>30</v>
      </c>
      <c r="G1718" s="1">
        <v>46041</v>
      </c>
      <c r="H1718" s="1">
        <v>46033</v>
      </c>
      <c r="I1718" t="s">
        <v>1219</v>
      </c>
      <c r="J1718" t="s">
        <v>1218</v>
      </c>
      <c r="K1718" t="s">
        <v>17</v>
      </c>
      <c r="L1718">
        <v>15486.34</v>
      </c>
      <c r="M1718" t="s">
        <v>64</v>
      </c>
      <c r="N1718">
        <v>461</v>
      </c>
      <c r="O1718" t="s">
        <v>16</v>
      </c>
    </row>
    <row r="1719" spans="1:15" x14ac:dyDescent="0.3">
      <c r="A1719" t="s">
        <v>1217</v>
      </c>
      <c r="B1719" t="s">
        <v>1216</v>
      </c>
      <c r="C1719" t="s">
        <v>22</v>
      </c>
      <c r="D1719">
        <v>83</v>
      </c>
      <c r="E1719" t="s">
        <v>68</v>
      </c>
      <c r="F1719" t="s">
        <v>46</v>
      </c>
      <c r="G1719" s="1">
        <v>46056</v>
      </c>
      <c r="H1719" s="1">
        <v>46053</v>
      </c>
      <c r="I1719" t="s">
        <v>1215</v>
      </c>
      <c r="J1719" t="s">
        <v>1214</v>
      </c>
      <c r="L1719">
        <v>14850.29</v>
      </c>
      <c r="M1719" t="s">
        <v>63</v>
      </c>
      <c r="N1719">
        <v>453</v>
      </c>
      <c r="O1719" t="s">
        <v>71</v>
      </c>
    </row>
    <row r="1720" spans="1:15" x14ac:dyDescent="0.3">
      <c r="A1720" t="s">
        <v>1213</v>
      </c>
      <c r="B1720" t="s">
        <v>1212</v>
      </c>
      <c r="C1720" t="s">
        <v>0</v>
      </c>
      <c r="D1720">
        <v>83</v>
      </c>
      <c r="E1720" t="s">
        <v>80</v>
      </c>
      <c r="F1720" t="s">
        <v>38</v>
      </c>
      <c r="G1720" s="1">
        <v>46058</v>
      </c>
      <c r="H1720" s="1">
        <v>46054</v>
      </c>
      <c r="I1720" t="s">
        <v>1211</v>
      </c>
      <c r="J1720" t="s">
        <v>1210</v>
      </c>
      <c r="K1720" t="s">
        <v>27</v>
      </c>
      <c r="L1720">
        <v>5925.22</v>
      </c>
      <c r="M1720" t="s">
        <v>57</v>
      </c>
      <c r="N1720">
        <v>481</v>
      </c>
      <c r="O1720" t="s">
        <v>77</v>
      </c>
    </row>
    <row r="1721" spans="1:15" x14ac:dyDescent="0.3">
      <c r="A1721" t="s">
        <v>1209</v>
      </c>
      <c r="B1721" t="s">
        <v>1208</v>
      </c>
      <c r="C1721" t="s">
        <v>74</v>
      </c>
      <c r="D1721">
        <v>88</v>
      </c>
      <c r="E1721" t="s">
        <v>54</v>
      </c>
      <c r="F1721" t="s">
        <v>53</v>
      </c>
      <c r="G1721" s="1">
        <v>46052</v>
      </c>
      <c r="H1721" s="1">
        <v>46022</v>
      </c>
      <c r="I1721" t="s">
        <v>1207</v>
      </c>
      <c r="J1721" t="s">
        <v>1206</v>
      </c>
      <c r="K1721" t="s">
        <v>17</v>
      </c>
      <c r="L1721">
        <v>7058.42</v>
      </c>
      <c r="M1721" t="s">
        <v>64</v>
      </c>
      <c r="N1721">
        <v>394</v>
      </c>
      <c r="O1721" t="s">
        <v>77</v>
      </c>
    </row>
    <row r="1722" spans="1:15" x14ac:dyDescent="0.3">
      <c r="A1722" t="s">
        <v>1205</v>
      </c>
      <c r="B1722" t="s">
        <v>1204</v>
      </c>
      <c r="C1722" t="s">
        <v>1</v>
      </c>
      <c r="D1722">
        <v>15</v>
      </c>
      <c r="E1722" t="s">
        <v>47</v>
      </c>
      <c r="F1722" t="s">
        <v>90</v>
      </c>
      <c r="G1722" s="1">
        <v>45992</v>
      </c>
      <c r="H1722" s="1">
        <v>45989</v>
      </c>
      <c r="I1722" t="s">
        <v>1203</v>
      </c>
      <c r="J1722" t="s">
        <v>1202</v>
      </c>
      <c r="K1722" t="s">
        <v>57</v>
      </c>
      <c r="L1722">
        <v>5317.07</v>
      </c>
      <c r="M1722" t="s">
        <v>26</v>
      </c>
      <c r="N1722">
        <v>175</v>
      </c>
      <c r="O1722" t="s">
        <v>25</v>
      </c>
    </row>
    <row r="1723" spans="1:15" x14ac:dyDescent="0.3">
      <c r="A1723" t="s">
        <v>1201</v>
      </c>
      <c r="B1723" t="s">
        <v>1200</v>
      </c>
      <c r="C1723" t="s">
        <v>74</v>
      </c>
      <c r="D1723">
        <v>48</v>
      </c>
      <c r="E1723" t="s">
        <v>31</v>
      </c>
      <c r="F1723" t="s">
        <v>90</v>
      </c>
      <c r="G1723" s="1">
        <v>46125</v>
      </c>
      <c r="H1723" s="1">
        <v>46113</v>
      </c>
      <c r="I1723" t="s">
        <v>1199</v>
      </c>
      <c r="J1723" t="s">
        <v>1198</v>
      </c>
      <c r="K1723" t="s">
        <v>26</v>
      </c>
      <c r="L1723">
        <v>11196.61</v>
      </c>
      <c r="M1723" t="s">
        <v>57</v>
      </c>
      <c r="N1723">
        <v>539</v>
      </c>
      <c r="O1723" t="s">
        <v>25</v>
      </c>
    </row>
    <row r="1724" spans="1:15" x14ac:dyDescent="0.3">
      <c r="A1724" t="s">
        <v>1197</v>
      </c>
      <c r="B1724" t="s">
        <v>1196</v>
      </c>
      <c r="C1724" t="s">
        <v>0</v>
      </c>
      <c r="D1724">
        <v>27</v>
      </c>
      <c r="E1724" t="s">
        <v>54</v>
      </c>
      <c r="F1724" t="s">
        <v>67</v>
      </c>
      <c r="G1724" s="1">
        <v>46053</v>
      </c>
      <c r="H1724" s="1">
        <v>46047</v>
      </c>
      <c r="I1724" t="s">
        <v>1195</v>
      </c>
      <c r="J1724" t="s">
        <v>1194</v>
      </c>
      <c r="K1724" t="s">
        <v>17</v>
      </c>
      <c r="L1724">
        <v>12349.85</v>
      </c>
      <c r="M1724" t="s">
        <v>63</v>
      </c>
      <c r="N1724">
        <v>323</v>
      </c>
      <c r="O1724" t="s">
        <v>77</v>
      </c>
    </row>
    <row r="1725" spans="1:15" x14ac:dyDescent="0.3">
      <c r="A1725" t="s">
        <v>1193</v>
      </c>
      <c r="B1725" t="s">
        <v>1192</v>
      </c>
      <c r="C1725" t="s">
        <v>22</v>
      </c>
      <c r="D1725">
        <v>1</v>
      </c>
      <c r="E1725" t="s">
        <v>54</v>
      </c>
      <c r="F1725" t="s">
        <v>85</v>
      </c>
      <c r="G1725" s="1">
        <v>46080</v>
      </c>
      <c r="H1725" s="1">
        <v>46075</v>
      </c>
      <c r="I1725" t="s">
        <v>1191</v>
      </c>
      <c r="J1725" t="s">
        <v>1190</v>
      </c>
      <c r="K1725" t="s">
        <v>27</v>
      </c>
      <c r="L1725">
        <v>19578.55</v>
      </c>
      <c r="M1725" t="s">
        <v>27</v>
      </c>
      <c r="N1725">
        <v>483</v>
      </c>
      <c r="O1725" t="s">
        <v>16</v>
      </c>
    </row>
    <row r="1726" spans="1:15" x14ac:dyDescent="0.3">
      <c r="A1726" t="s">
        <v>1189</v>
      </c>
      <c r="B1726" t="s">
        <v>1188</v>
      </c>
      <c r="C1726" t="s">
        <v>22</v>
      </c>
      <c r="D1726">
        <v>27</v>
      </c>
      <c r="E1726" t="s">
        <v>54</v>
      </c>
      <c r="F1726" t="s">
        <v>20</v>
      </c>
      <c r="G1726" s="1">
        <v>46020</v>
      </c>
      <c r="H1726" s="1">
        <v>45992</v>
      </c>
      <c r="I1726" t="s">
        <v>1187</v>
      </c>
      <c r="J1726" t="s">
        <v>1186</v>
      </c>
      <c r="K1726" t="s">
        <v>26</v>
      </c>
      <c r="L1726">
        <v>3689.31</v>
      </c>
      <c r="M1726" t="s">
        <v>63</v>
      </c>
      <c r="N1726">
        <v>190</v>
      </c>
      <c r="O1726" t="s">
        <v>16</v>
      </c>
    </row>
    <row r="1727" spans="1:15" x14ac:dyDescent="0.3">
      <c r="A1727" t="s">
        <v>1185</v>
      </c>
      <c r="B1727" t="s">
        <v>1184</v>
      </c>
      <c r="C1727" t="s">
        <v>40</v>
      </c>
      <c r="D1727">
        <v>61</v>
      </c>
      <c r="E1727" t="s">
        <v>80</v>
      </c>
      <c r="F1727" t="s">
        <v>85</v>
      </c>
      <c r="G1727" s="1">
        <v>46028</v>
      </c>
      <c r="H1727" s="1">
        <v>46017</v>
      </c>
      <c r="I1727" t="s">
        <v>1183</v>
      </c>
      <c r="J1727" t="s">
        <v>1182</v>
      </c>
      <c r="K1727" t="s">
        <v>26</v>
      </c>
      <c r="L1727">
        <v>16177.4</v>
      </c>
      <c r="N1727">
        <v>202</v>
      </c>
      <c r="O1727" t="s">
        <v>25</v>
      </c>
    </row>
    <row r="1728" spans="1:15" x14ac:dyDescent="0.3">
      <c r="A1728" t="s">
        <v>1181</v>
      </c>
      <c r="B1728" t="s">
        <v>1180</v>
      </c>
      <c r="C1728" t="s">
        <v>22</v>
      </c>
      <c r="D1728">
        <v>62</v>
      </c>
      <c r="E1728" t="s">
        <v>54</v>
      </c>
      <c r="F1728" t="s">
        <v>30</v>
      </c>
      <c r="G1728" s="1">
        <v>46027</v>
      </c>
      <c r="H1728" s="1">
        <v>46022</v>
      </c>
      <c r="I1728" t="s">
        <v>1179</v>
      </c>
      <c r="J1728" t="s">
        <v>1178</v>
      </c>
      <c r="L1728">
        <v>5670.03</v>
      </c>
      <c r="M1728" t="s">
        <v>26</v>
      </c>
      <c r="N1728">
        <v>108</v>
      </c>
      <c r="O1728" t="s">
        <v>50</v>
      </c>
    </row>
    <row r="1729" spans="1:15" x14ac:dyDescent="0.3">
      <c r="A1729" t="s">
        <v>1177</v>
      </c>
      <c r="B1729" t="s">
        <v>1176</v>
      </c>
      <c r="C1729" t="s">
        <v>1</v>
      </c>
      <c r="D1729">
        <v>83</v>
      </c>
      <c r="E1729" t="s">
        <v>68</v>
      </c>
      <c r="F1729" t="s">
        <v>90</v>
      </c>
      <c r="G1729" s="1">
        <v>46035</v>
      </c>
      <c r="H1729" s="1">
        <v>46028</v>
      </c>
      <c r="I1729" t="s">
        <v>1175</v>
      </c>
      <c r="J1729" t="s">
        <v>1174</v>
      </c>
      <c r="K1729" t="s">
        <v>35</v>
      </c>
      <c r="L1729">
        <v>2923.65</v>
      </c>
      <c r="M1729" t="s">
        <v>17</v>
      </c>
      <c r="N1729">
        <v>367</v>
      </c>
      <c r="O1729" t="s">
        <v>43</v>
      </c>
    </row>
    <row r="1730" spans="1:15" x14ac:dyDescent="0.3">
      <c r="A1730" t="s">
        <v>1173</v>
      </c>
      <c r="B1730" t="s">
        <v>1172</v>
      </c>
      <c r="C1730" t="s">
        <v>74</v>
      </c>
      <c r="D1730">
        <v>35</v>
      </c>
      <c r="E1730" t="s">
        <v>132</v>
      </c>
      <c r="F1730" t="s">
        <v>90</v>
      </c>
      <c r="G1730" s="1">
        <v>46033</v>
      </c>
      <c r="H1730" s="1">
        <v>46033</v>
      </c>
      <c r="I1730" t="s">
        <v>1171</v>
      </c>
      <c r="J1730" t="s">
        <v>1170</v>
      </c>
      <c r="K1730" t="s">
        <v>64</v>
      </c>
      <c r="L1730">
        <v>14265.47</v>
      </c>
      <c r="M1730" t="s">
        <v>64</v>
      </c>
      <c r="N1730">
        <v>223</v>
      </c>
      <c r="O1730" t="s">
        <v>43</v>
      </c>
    </row>
    <row r="1731" spans="1:15" x14ac:dyDescent="0.3">
      <c r="A1731" t="s">
        <v>1169</v>
      </c>
      <c r="B1731" t="s">
        <v>1168</v>
      </c>
      <c r="C1731" t="s">
        <v>22</v>
      </c>
      <c r="D1731">
        <v>32</v>
      </c>
      <c r="E1731" t="s">
        <v>39</v>
      </c>
      <c r="F1731" t="s">
        <v>85</v>
      </c>
      <c r="G1731" s="1">
        <v>46063</v>
      </c>
      <c r="H1731" s="1">
        <v>46047</v>
      </c>
      <c r="I1731" t="s">
        <v>1167</v>
      </c>
      <c r="J1731" t="s">
        <v>1166</v>
      </c>
      <c r="K1731" t="s">
        <v>27</v>
      </c>
      <c r="L1731">
        <v>3897.59</v>
      </c>
      <c r="M1731" t="s">
        <v>27</v>
      </c>
      <c r="N1731">
        <v>267</v>
      </c>
      <c r="O1731" t="s">
        <v>50</v>
      </c>
    </row>
    <row r="1732" spans="1:15" x14ac:dyDescent="0.3">
      <c r="A1732" t="s">
        <v>1165</v>
      </c>
      <c r="B1732" t="s">
        <v>1164</v>
      </c>
      <c r="C1732" t="s">
        <v>123</v>
      </c>
      <c r="D1732">
        <v>73</v>
      </c>
      <c r="E1732" t="s">
        <v>31</v>
      </c>
      <c r="F1732" t="s">
        <v>46</v>
      </c>
      <c r="G1732" s="1">
        <v>46001</v>
      </c>
      <c r="H1732" s="1">
        <v>45986</v>
      </c>
      <c r="I1732" t="s">
        <v>1163</v>
      </c>
      <c r="J1732" t="s">
        <v>1162</v>
      </c>
      <c r="K1732" t="s">
        <v>17</v>
      </c>
      <c r="L1732">
        <v>4846.82</v>
      </c>
      <c r="M1732" t="s">
        <v>63</v>
      </c>
      <c r="N1732">
        <v>469</v>
      </c>
      <c r="O1732" t="s">
        <v>50</v>
      </c>
    </row>
    <row r="1733" spans="1:15" x14ac:dyDescent="0.3">
      <c r="A1733" t="s">
        <v>1161</v>
      </c>
      <c r="B1733" t="s">
        <v>1160</v>
      </c>
      <c r="C1733" t="s">
        <v>123</v>
      </c>
      <c r="D1733">
        <v>33</v>
      </c>
      <c r="E1733" t="s">
        <v>132</v>
      </c>
      <c r="F1733" t="s">
        <v>38</v>
      </c>
      <c r="G1733" s="1">
        <v>46169</v>
      </c>
      <c r="H1733" s="1">
        <v>46149</v>
      </c>
      <c r="I1733" t="s">
        <v>1159</v>
      </c>
      <c r="J1733" t="s">
        <v>1158</v>
      </c>
      <c r="L1733">
        <v>16811.939999999999</v>
      </c>
      <c r="M1733" t="s">
        <v>17</v>
      </c>
      <c r="N1733">
        <v>149</v>
      </c>
      <c r="O1733" t="s">
        <v>16</v>
      </c>
    </row>
    <row r="1734" spans="1:15" x14ac:dyDescent="0.3">
      <c r="A1734" t="s">
        <v>1157</v>
      </c>
      <c r="B1734" t="s">
        <v>1156</v>
      </c>
      <c r="D1734">
        <v>80</v>
      </c>
      <c r="E1734" t="s">
        <v>21</v>
      </c>
      <c r="F1734" t="s">
        <v>38</v>
      </c>
      <c r="G1734" s="1">
        <v>46060</v>
      </c>
      <c r="H1734" s="1">
        <v>46050</v>
      </c>
      <c r="I1734" t="s">
        <v>1155</v>
      </c>
      <c r="J1734" t="s">
        <v>1154</v>
      </c>
      <c r="K1734" t="s">
        <v>27</v>
      </c>
      <c r="L1734">
        <v>21473.35</v>
      </c>
      <c r="M1734" t="s">
        <v>17</v>
      </c>
      <c r="N1734">
        <v>341</v>
      </c>
      <c r="O1734" t="s">
        <v>50</v>
      </c>
    </row>
    <row r="1735" spans="1:15" x14ac:dyDescent="0.3">
      <c r="A1735" t="s">
        <v>1153</v>
      </c>
      <c r="B1735" t="s">
        <v>1152</v>
      </c>
      <c r="C1735" t="s">
        <v>1</v>
      </c>
      <c r="D1735">
        <v>69</v>
      </c>
      <c r="E1735" t="s">
        <v>31</v>
      </c>
      <c r="F1735" t="s">
        <v>85</v>
      </c>
      <c r="G1735" s="1">
        <v>46075</v>
      </c>
      <c r="H1735" s="1">
        <v>46068</v>
      </c>
      <c r="I1735" t="s">
        <v>1151</v>
      </c>
      <c r="J1735" t="s">
        <v>1150</v>
      </c>
      <c r="L1735">
        <v>23946.04</v>
      </c>
      <c r="M1735" t="s">
        <v>27</v>
      </c>
      <c r="N1735">
        <v>453</v>
      </c>
      <c r="O1735" t="s">
        <v>77</v>
      </c>
    </row>
    <row r="1736" spans="1:15" x14ac:dyDescent="0.3">
      <c r="A1736" t="s">
        <v>1149</v>
      </c>
      <c r="B1736" t="s">
        <v>995</v>
      </c>
      <c r="C1736" t="s">
        <v>74</v>
      </c>
      <c r="D1736">
        <v>73</v>
      </c>
      <c r="E1736" t="s">
        <v>39</v>
      </c>
      <c r="F1736" t="s">
        <v>38</v>
      </c>
      <c r="G1736" s="1">
        <v>46096</v>
      </c>
      <c r="H1736" s="1">
        <v>46083</v>
      </c>
      <c r="I1736" t="s">
        <v>1148</v>
      </c>
      <c r="J1736" t="s">
        <v>1147</v>
      </c>
      <c r="K1736" t="s">
        <v>27</v>
      </c>
      <c r="L1736">
        <v>5282.99</v>
      </c>
      <c r="N1736">
        <v>373</v>
      </c>
      <c r="O1736" t="s">
        <v>25</v>
      </c>
    </row>
    <row r="1737" spans="1:15" x14ac:dyDescent="0.3">
      <c r="A1737" t="s">
        <v>1146</v>
      </c>
      <c r="B1737" t="s">
        <v>1145</v>
      </c>
      <c r="C1737" t="s">
        <v>74</v>
      </c>
      <c r="D1737">
        <v>14</v>
      </c>
      <c r="E1737" t="s">
        <v>68</v>
      </c>
      <c r="F1737" t="s">
        <v>53</v>
      </c>
      <c r="G1737" s="1">
        <v>46015</v>
      </c>
      <c r="H1737" s="1">
        <v>46008</v>
      </c>
      <c r="I1737" t="s">
        <v>1144</v>
      </c>
      <c r="J1737" t="s">
        <v>1143</v>
      </c>
      <c r="K1737" t="s">
        <v>17</v>
      </c>
      <c r="L1737">
        <v>5618.07</v>
      </c>
      <c r="M1737" t="s">
        <v>64</v>
      </c>
      <c r="N1737">
        <v>118</v>
      </c>
      <c r="O1737" t="s">
        <v>43</v>
      </c>
    </row>
    <row r="1738" spans="1:15" x14ac:dyDescent="0.3">
      <c r="A1738" t="s">
        <v>1142</v>
      </c>
      <c r="B1738" t="s">
        <v>1141</v>
      </c>
      <c r="C1738" t="s">
        <v>40</v>
      </c>
      <c r="D1738">
        <v>76</v>
      </c>
      <c r="E1738" t="s">
        <v>54</v>
      </c>
      <c r="F1738" t="s">
        <v>20</v>
      </c>
      <c r="G1738" s="1">
        <v>46140</v>
      </c>
      <c r="H1738" s="1">
        <v>46132</v>
      </c>
      <c r="I1738" t="s">
        <v>1140</v>
      </c>
      <c r="J1738" t="s">
        <v>1139</v>
      </c>
      <c r="L1738">
        <v>22348.95</v>
      </c>
      <c r="M1738" t="s">
        <v>64</v>
      </c>
      <c r="N1738">
        <v>274</v>
      </c>
      <c r="O1738" t="s">
        <v>71</v>
      </c>
    </row>
    <row r="1739" spans="1:15" x14ac:dyDescent="0.3">
      <c r="A1739" t="s">
        <v>1138</v>
      </c>
      <c r="B1739" t="s">
        <v>1137</v>
      </c>
      <c r="C1739" t="s">
        <v>74</v>
      </c>
      <c r="D1739">
        <v>12</v>
      </c>
      <c r="E1739" t="s">
        <v>132</v>
      </c>
      <c r="F1739" t="s">
        <v>38</v>
      </c>
      <c r="G1739" s="1">
        <v>46098</v>
      </c>
      <c r="H1739" s="1">
        <v>46097</v>
      </c>
      <c r="I1739" t="s">
        <v>1136</v>
      </c>
      <c r="J1739" t="s">
        <v>1135</v>
      </c>
      <c r="L1739">
        <v>17287.12</v>
      </c>
      <c r="M1739" t="s">
        <v>26</v>
      </c>
      <c r="N1739">
        <v>436</v>
      </c>
      <c r="O1739" t="s">
        <v>50</v>
      </c>
    </row>
    <row r="1740" spans="1:15" x14ac:dyDescent="0.3">
      <c r="A1740" t="s">
        <v>1134</v>
      </c>
      <c r="B1740" t="s">
        <v>1133</v>
      </c>
      <c r="C1740" t="s">
        <v>40</v>
      </c>
      <c r="D1740">
        <v>63</v>
      </c>
      <c r="E1740" t="s">
        <v>21</v>
      </c>
      <c r="F1740" t="s">
        <v>90</v>
      </c>
      <c r="G1740" s="1">
        <v>46059</v>
      </c>
      <c r="H1740" s="1">
        <v>46031</v>
      </c>
      <c r="I1740" t="s">
        <v>1132</v>
      </c>
      <c r="J1740" t="s">
        <v>1131</v>
      </c>
      <c r="K1740" t="s">
        <v>57</v>
      </c>
      <c r="L1740">
        <v>2682.32</v>
      </c>
      <c r="M1740" t="s">
        <v>57</v>
      </c>
      <c r="N1740">
        <v>394</v>
      </c>
      <c r="O1740" t="s">
        <v>43</v>
      </c>
    </row>
    <row r="1741" spans="1:15" x14ac:dyDescent="0.3">
      <c r="A1741" t="s">
        <v>1130</v>
      </c>
      <c r="B1741" t="s">
        <v>1129</v>
      </c>
      <c r="C1741" t="s">
        <v>40</v>
      </c>
      <c r="D1741">
        <v>55</v>
      </c>
      <c r="E1741" t="s">
        <v>31</v>
      </c>
      <c r="F1741" t="s">
        <v>67</v>
      </c>
      <c r="G1741" s="1">
        <v>46050</v>
      </c>
      <c r="H1741" s="1">
        <v>46026</v>
      </c>
      <c r="I1741" t="s">
        <v>1128</v>
      </c>
      <c r="J1741" t="s">
        <v>1127</v>
      </c>
      <c r="L1741">
        <v>13995.91</v>
      </c>
      <c r="M1741" t="s">
        <v>26</v>
      </c>
      <c r="N1741">
        <v>113</v>
      </c>
      <c r="O1741" t="s">
        <v>25</v>
      </c>
    </row>
    <row r="1742" spans="1:15" x14ac:dyDescent="0.3">
      <c r="A1742" t="s">
        <v>1126</v>
      </c>
      <c r="B1742" t="s">
        <v>1125</v>
      </c>
      <c r="C1742" t="s">
        <v>74</v>
      </c>
      <c r="D1742">
        <v>81</v>
      </c>
      <c r="E1742" t="s">
        <v>47</v>
      </c>
      <c r="F1742" t="s">
        <v>30</v>
      </c>
      <c r="G1742" s="1">
        <v>46053</v>
      </c>
      <c r="H1742" s="1">
        <v>46047</v>
      </c>
      <c r="I1742" t="s">
        <v>1124</v>
      </c>
      <c r="J1742" t="s">
        <v>1123</v>
      </c>
      <c r="K1742" t="s">
        <v>35</v>
      </c>
      <c r="L1742">
        <v>20593.39</v>
      </c>
      <c r="M1742" t="s">
        <v>57</v>
      </c>
      <c r="N1742">
        <v>477</v>
      </c>
      <c r="O1742" t="s">
        <v>77</v>
      </c>
    </row>
    <row r="1743" spans="1:15" x14ac:dyDescent="0.3">
      <c r="A1743" t="s">
        <v>1122</v>
      </c>
      <c r="B1743" t="s">
        <v>1121</v>
      </c>
      <c r="C1743" t="s">
        <v>0</v>
      </c>
      <c r="D1743">
        <v>26</v>
      </c>
      <c r="E1743" t="s">
        <v>21</v>
      </c>
      <c r="F1743" t="s">
        <v>38</v>
      </c>
      <c r="G1743" s="1">
        <v>46152</v>
      </c>
      <c r="H1743" s="1">
        <v>46148</v>
      </c>
      <c r="I1743" t="s">
        <v>1120</v>
      </c>
      <c r="J1743" t="s">
        <v>1119</v>
      </c>
      <c r="K1743" t="s">
        <v>26</v>
      </c>
      <c r="L1743">
        <v>11629.21</v>
      </c>
      <c r="N1743">
        <v>215</v>
      </c>
      <c r="O1743" t="s">
        <v>34</v>
      </c>
    </row>
    <row r="1744" spans="1:15" x14ac:dyDescent="0.3">
      <c r="A1744" t="s">
        <v>1118</v>
      </c>
      <c r="B1744" t="s">
        <v>1117</v>
      </c>
      <c r="C1744" t="s">
        <v>0</v>
      </c>
      <c r="D1744">
        <v>5</v>
      </c>
      <c r="E1744" t="s">
        <v>80</v>
      </c>
      <c r="F1744" t="s">
        <v>38</v>
      </c>
      <c r="G1744" s="1">
        <v>46025</v>
      </c>
      <c r="H1744" s="1">
        <v>46014</v>
      </c>
      <c r="I1744" t="s">
        <v>1116</v>
      </c>
      <c r="J1744" t="s">
        <v>1115</v>
      </c>
      <c r="K1744" t="s">
        <v>26</v>
      </c>
      <c r="L1744">
        <v>20901.71</v>
      </c>
      <c r="N1744">
        <v>178</v>
      </c>
      <c r="O1744" t="s">
        <v>25</v>
      </c>
    </row>
    <row r="1745" spans="1:15" x14ac:dyDescent="0.3">
      <c r="A1745" t="s">
        <v>1114</v>
      </c>
      <c r="B1745" t="s">
        <v>1113</v>
      </c>
      <c r="C1745" t="s">
        <v>74</v>
      </c>
      <c r="D1745">
        <v>21</v>
      </c>
      <c r="E1745" t="s">
        <v>68</v>
      </c>
      <c r="F1745" t="s">
        <v>90</v>
      </c>
      <c r="G1745" s="1">
        <v>45979</v>
      </c>
      <c r="H1745" s="1">
        <v>45979</v>
      </c>
      <c r="I1745" t="s">
        <v>1112</v>
      </c>
      <c r="J1745" t="s">
        <v>1111</v>
      </c>
      <c r="K1745" t="s">
        <v>35</v>
      </c>
      <c r="L1745">
        <v>9488.48</v>
      </c>
      <c r="M1745" t="s">
        <v>26</v>
      </c>
      <c r="N1745">
        <v>450</v>
      </c>
      <c r="O1745" t="s">
        <v>50</v>
      </c>
    </row>
    <row r="1746" spans="1:15" x14ac:dyDescent="0.3">
      <c r="A1746" t="s">
        <v>1110</v>
      </c>
      <c r="B1746" t="s">
        <v>1109</v>
      </c>
      <c r="C1746" t="s">
        <v>123</v>
      </c>
      <c r="D1746">
        <v>14</v>
      </c>
      <c r="E1746" t="s">
        <v>80</v>
      </c>
      <c r="F1746" t="s">
        <v>53</v>
      </c>
      <c r="G1746" s="1">
        <v>45986</v>
      </c>
      <c r="H1746" s="1">
        <v>45980</v>
      </c>
      <c r="I1746" t="s">
        <v>1108</v>
      </c>
      <c r="J1746" t="s">
        <v>1107</v>
      </c>
      <c r="K1746" t="s">
        <v>64</v>
      </c>
      <c r="L1746">
        <v>4012.74</v>
      </c>
      <c r="M1746" t="s">
        <v>64</v>
      </c>
      <c r="N1746">
        <v>322</v>
      </c>
      <c r="O1746" t="s">
        <v>71</v>
      </c>
    </row>
    <row r="1747" spans="1:15" x14ac:dyDescent="0.3">
      <c r="A1747" t="s">
        <v>1106</v>
      </c>
      <c r="B1747" t="s">
        <v>1105</v>
      </c>
      <c r="C1747" t="s">
        <v>0</v>
      </c>
      <c r="D1747">
        <v>35</v>
      </c>
      <c r="E1747" t="s">
        <v>31</v>
      </c>
      <c r="F1747" t="s">
        <v>85</v>
      </c>
      <c r="G1747" s="1">
        <v>46132</v>
      </c>
      <c r="H1747" s="1">
        <v>46127</v>
      </c>
      <c r="I1747" t="s">
        <v>1104</v>
      </c>
      <c r="J1747" t="s">
        <v>1103</v>
      </c>
      <c r="K1747" t="s">
        <v>17</v>
      </c>
      <c r="L1747">
        <v>23849.73</v>
      </c>
      <c r="N1747">
        <v>188</v>
      </c>
      <c r="O1747" t="s">
        <v>34</v>
      </c>
    </row>
    <row r="1748" spans="1:15" x14ac:dyDescent="0.3">
      <c r="A1748" t="s">
        <v>1102</v>
      </c>
      <c r="B1748" t="s">
        <v>1101</v>
      </c>
      <c r="D1748">
        <v>36</v>
      </c>
      <c r="E1748" t="s">
        <v>31</v>
      </c>
      <c r="F1748" t="s">
        <v>30</v>
      </c>
      <c r="G1748" s="1">
        <v>45995</v>
      </c>
      <c r="H1748" s="1">
        <v>45976</v>
      </c>
      <c r="I1748" t="s">
        <v>1100</v>
      </c>
      <c r="J1748" t="s">
        <v>1099</v>
      </c>
      <c r="K1748" t="s">
        <v>17</v>
      </c>
      <c r="L1748">
        <v>23170.09</v>
      </c>
      <c r="M1748" t="s">
        <v>27</v>
      </c>
      <c r="N1748">
        <v>200</v>
      </c>
      <c r="O1748" t="s">
        <v>16</v>
      </c>
    </row>
    <row r="1749" spans="1:15" x14ac:dyDescent="0.3">
      <c r="A1749" t="s">
        <v>1098</v>
      </c>
      <c r="B1749" t="s">
        <v>1097</v>
      </c>
      <c r="C1749" t="s">
        <v>22</v>
      </c>
      <c r="D1749">
        <v>49</v>
      </c>
      <c r="E1749" t="s">
        <v>68</v>
      </c>
      <c r="F1749" t="s">
        <v>20</v>
      </c>
      <c r="G1749" s="1">
        <v>46049</v>
      </c>
      <c r="H1749" s="1">
        <v>46022</v>
      </c>
      <c r="I1749" t="s">
        <v>1096</v>
      </c>
      <c r="J1749" t="s">
        <v>1095</v>
      </c>
      <c r="K1749" t="s">
        <v>64</v>
      </c>
      <c r="L1749">
        <v>19955.72</v>
      </c>
      <c r="M1749" t="s">
        <v>26</v>
      </c>
      <c r="N1749">
        <v>127</v>
      </c>
      <c r="O1749" t="s">
        <v>71</v>
      </c>
    </row>
    <row r="1750" spans="1:15" x14ac:dyDescent="0.3">
      <c r="A1750" t="s">
        <v>1094</v>
      </c>
      <c r="B1750" t="s">
        <v>1093</v>
      </c>
      <c r="C1750" t="s">
        <v>74</v>
      </c>
      <c r="D1750">
        <v>72</v>
      </c>
      <c r="E1750" t="s">
        <v>68</v>
      </c>
      <c r="F1750" t="s">
        <v>90</v>
      </c>
      <c r="G1750" s="1">
        <v>46090</v>
      </c>
      <c r="H1750" s="1">
        <v>46061</v>
      </c>
      <c r="I1750" t="s">
        <v>1092</v>
      </c>
      <c r="J1750" t="s">
        <v>1091</v>
      </c>
      <c r="K1750" t="s">
        <v>35</v>
      </c>
      <c r="L1750">
        <v>1510.23</v>
      </c>
      <c r="M1750" t="s">
        <v>26</v>
      </c>
      <c r="N1750">
        <v>375</v>
      </c>
      <c r="O1750" t="s">
        <v>71</v>
      </c>
    </row>
    <row r="1751" spans="1:15" x14ac:dyDescent="0.3">
      <c r="A1751" t="s">
        <v>1090</v>
      </c>
      <c r="B1751" t="s">
        <v>1089</v>
      </c>
      <c r="C1751" t="s">
        <v>0</v>
      </c>
      <c r="D1751">
        <v>31</v>
      </c>
      <c r="E1751" t="s">
        <v>47</v>
      </c>
      <c r="F1751" t="s">
        <v>20</v>
      </c>
      <c r="G1751" s="1">
        <v>46113</v>
      </c>
      <c r="H1751" s="1">
        <v>46106</v>
      </c>
      <c r="I1751" t="s">
        <v>510</v>
      </c>
      <c r="J1751" t="s">
        <v>1088</v>
      </c>
      <c r="K1751" t="s">
        <v>64</v>
      </c>
      <c r="L1751">
        <v>8609.98</v>
      </c>
      <c r="M1751" t="s">
        <v>64</v>
      </c>
      <c r="N1751">
        <v>232</v>
      </c>
      <c r="O1751" t="s">
        <v>43</v>
      </c>
    </row>
    <row r="1752" spans="1:15" x14ac:dyDescent="0.3">
      <c r="A1752" t="s">
        <v>1087</v>
      </c>
      <c r="B1752" t="s">
        <v>1086</v>
      </c>
      <c r="C1752" t="s">
        <v>60</v>
      </c>
      <c r="D1752">
        <v>71</v>
      </c>
      <c r="E1752" t="s">
        <v>39</v>
      </c>
      <c r="F1752" t="s">
        <v>53</v>
      </c>
      <c r="G1752" s="1">
        <v>46144</v>
      </c>
      <c r="H1752" s="1">
        <v>46143</v>
      </c>
      <c r="I1752" t="s">
        <v>1085</v>
      </c>
      <c r="J1752" t="s">
        <v>1084</v>
      </c>
      <c r="L1752">
        <v>12364.61</v>
      </c>
      <c r="M1752" t="s">
        <v>57</v>
      </c>
      <c r="N1752">
        <v>171</v>
      </c>
      <c r="O1752" t="s">
        <v>50</v>
      </c>
    </row>
    <row r="1753" spans="1:15" x14ac:dyDescent="0.3">
      <c r="A1753" t="s">
        <v>1083</v>
      </c>
      <c r="B1753" t="s">
        <v>1082</v>
      </c>
      <c r="C1753" t="s">
        <v>1</v>
      </c>
      <c r="D1753">
        <v>90</v>
      </c>
      <c r="E1753" t="s">
        <v>80</v>
      </c>
      <c r="F1753" t="s">
        <v>53</v>
      </c>
      <c r="G1753" s="1">
        <v>46048</v>
      </c>
      <c r="H1753" s="1">
        <v>46029</v>
      </c>
      <c r="I1753" t="s">
        <v>1081</v>
      </c>
      <c r="J1753" t="s">
        <v>1080</v>
      </c>
      <c r="L1753">
        <v>1971.59</v>
      </c>
      <c r="M1753" t="s">
        <v>64</v>
      </c>
      <c r="N1753">
        <v>477</v>
      </c>
      <c r="O1753" t="s">
        <v>50</v>
      </c>
    </row>
    <row r="1754" spans="1:15" x14ac:dyDescent="0.3">
      <c r="A1754" t="s">
        <v>1079</v>
      </c>
      <c r="B1754" t="s">
        <v>1078</v>
      </c>
      <c r="C1754" t="s">
        <v>60</v>
      </c>
      <c r="D1754">
        <v>59</v>
      </c>
      <c r="E1754" t="s">
        <v>39</v>
      </c>
      <c r="F1754" t="s">
        <v>30</v>
      </c>
      <c r="G1754" s="1">
        <v>46136</v>
      </c>
      <c r="H1754" s="1">
        <v>46109</v>
      </c>
      <c r="I1754" t="s">
        <v>1077</v>
      </c>
      <c r="J1754" t="s">
        <v>1076</v>
      </c>
      <c r="K1754" t="s">
        <v>57</v>
      </c>
      <c r="L1754">
        <v>943.01</v>
      </c>
      <c r="M1754" t="s">
        <v>27</v>
      </c>
      <c r="N1754">
        <v>499</v>
      </c>
      <c r="O1754" t="s">
        <v>77</v>
      </c>
    </row>
    <row r="1755" spans="1:15" x14ac:dyDescent="0.3">
      <c r="A1755" t="s">
        <v>1075</v>
      </c>
      <c r="B1755" t="s">
        <v>1074</v>
      </c>
      <c r="C1755" t="s">
        <v>40</v>
      </c>
      <c r="D1755">
        <v>4</v>
      </c>
      <c r="E1755" t="s">
        <v>80</v>
      </c>
      <c r="F1755" t="s">
        <v>67</v>
      </c>
      <c r="G1755" s="1">
        <v>45981</v>
      </c>
      <c r="H1755" s="1">
        <v>45976</v>
      </c>
      <c r="I1755" t="s">
        <v>1073</v>
      </c>
      <c r="J1755" t="s">
        <v>1072</v>
      </c>
      <c r="K1755" t="s">
        <v>64</v>
      </c>
      <c r="L1755">
        <v>2249.29</v>
      </c>
      <c r="M1755" t="s">
        <v>57</v>
      </c>
      <c r="N1755">
        <v>346</v>
      </c>
      <c r="O1755" t="s">
        <v>50</v>
      </c>
    </row>
    <row r="1756" spans="1:15" x14ac:dyDescent="0.3">
      <c r="A1756" t="s">
        <v>1071</v>
      </c>
      <c r="B1756" t="s">
        <v>1070</v>
      </c>
      <c r="C1756" t="s">
        <v>74</v>
      </c>
      <c r="D1756">
        <v>57</v>
      </c>
      <c r="E1756" t="s">
        <v>31</v>
      </c>
      <c r="F1756" t="s">
        <v>46</v>
      </c>
      <c r="G1756" s="1">
        <v>46003</v>
      </c>
      <c r="H1756" s="1">
        <v>45978</v>
      </c>
      <c r="I1756" t="s">
        <v>1069</v>
      </c>
      <c r="J1756" t="s">
        <v>1068</v>
      </c>
      <c r="K1756" t="s">
        <v>27</v>
      </c>
      <c r="L1756">
        <v>18036.79</v>
      </c>
      <c r="M1756" t="s">
        <v>17</v>
      </c>
      <c r="N1756">
        <v>260</v>
      </c>
      <c r="O1756" t="s">
        <v>16</v>
      </c>
    </row>
    <row r="1757" spans="1:15" x14ac:dyDescent="0.3">
      <c r="A1757" t="s">
        <v>1067</v>
      </c>
      <c r="B1757" t="s">
        <v>1066</v>
      </c>
      <c r="C1757" t="s">
        <v>74</v>
      </c>
      <c r="D1757">
        <v>65</v>
      </c>
      <c r="E1757" t="s">
        <v>132</v>
      </c>
      <c r="F1757" t="s">
        <v>30</v>
      </c>
      <c r="G1757" s="1">
        <v>46043</v>
      </c>
      <c r="H1757" s="1">
        <v>46035</v>
      </c>
      <c r="I1757" t="s">
        <v>1065</v>
      </c>
      <c r="J1757" t="s">
        <v>1064</v>
      </c>
      <c r="K1757" t="s">
        <v>35</v>
      </c>
      <c r="L1757">
        <v>2309</v>
      </c>
      <c r="M1757" t="s">
        <v>26</v>
      </c>
      <c r="N1757">
        <v>407</v>
      </c>
      <c r="O1757" t="s">
        <v>25</v>
      </c>
    </row>
    <row r="1758" spans="1:15" x14ac:dyDescent="0.3">
      <c r="A1758" t="s">
        <v>1063</v>
      </c>
      <c r="B1758" t="s">
        <v>1062</v>
      </c>
      <c r="D1758">
        <v>37</v>
      </c>
      <c r="E1758" t="s">
        <v>68</v>
      </c>
      <c r="F1758" t="s">
        <v>20</v>
      </c>
      <c r="G1758" s="1">
        <v>46117</v>
      </c>
      <c r="H1758" s="1">
        <v>46113</v>
      </c>
      <c r="I1758" t="s">
        <v>1061</v>
      </c>
      <c r="J1758" t="s">
        <v>1060</v>
      </c>
      <c r="K1758" t="s">
        <v>35</v>
      </c>
      <c r="L1758">
        <v>20644.05</v>
      </c>
      <c r="M1758" t="s">
        <v>63</v>
      </c>
      <c r="N1758">
        <v>356</v>
      </c>
      <c r="O1758" t="s">
        <v>34</v>
      </c>
    </row>
    <row r="1759" spans="1:15" x14ac:dyDescent="0.3">
      <c r="A1759" t="s">
        <v>1059</v>
      </c>
      <c r="B1759" t="s">
        <v>1058</v>
      </c>
      <c r="C1759" t="s">
        <v>40</v>
      </c>
      <c r="D1759">
        <v>41</v>
      </c>
      <c r="E1759" t="s">
        <v>54</v>
      </c>
      <c r="F1759" t="s">
        <v>85</v>
      </c>
      <c r="G1759" s="1">
        <v>46058</v>
      </c>
      <c r="H1759" s="1">
        <v>46057</v>
      </c>
      <c r="I1759" t="s">
        <v>1057</v>
      </c>
      <c r="J1759" t="s">
        <v>1056</v>
      </c>
      <c r="L1759">
        <v>11789.36</v>
      </c>
      <c r="M1759" t="s">
        <v>27</v>
      </c>
      <c r="N1759">
        <v>406</v>
      </c>
      <c r="O1759" t="s">
        <v>77</v>
      </c>
    </row>
    <row r="1760" spans="1:15" x14ac:dyDescent="0.3">
      <c r="A1760" t="s">
        <v>1055</v>
      </c>
      <c r="B1760" t="s">
        <v>1054</v>
      </c>
      <c r="C1760" t="s">
        <v>40</v>
      </c>
      <c r="D1760">
        <v>85</v>
      </c>
      <c r="E1760" t="s">
        <v>132</v>
      </c>
      <c r="F1760" t="s">
        <v>38</v>
      </c>
      <c r="G1760" s="1">
        <v>46154</v>
      </c>
      <c r="H1760" s="1">
        <v>46142</v>
      </c>
      <c r="I1760" t="s">
        <v>1053</v>
      </c>
      <c r="J1760" t="s">
        <v>1052</v>
      </c>
      <c r="K1760" t="s">
        <v>57</v>
      </c>
      <c r="L1760">
        <v>15989.36</v>
      </c>
      <c r="M1760" t="s">
        <v>64</v>
      </c>
      <c r="N1760">
        <v>285</v>
      </c>
      <c r="O1760" t="s">
        <v>25</v>
      </c>
    </row>
    <row r="1761" spans="1:15" x14ac:dyDescent="0.3">
      <c r="A1761" t="s">
        <v>1051</v>
      </c>
      <c r="B1761" t="s">
        <v>1050</v>
      </c>
      <c r="C1761" t="s">
        <v>22</v>
      </c>
      <c r="D1761">
        <v>68</v>
      </c>
      <c r="E1761" t="s">
        <v>39</v>
      </c>
      <c r="F1761" t="s">
        <v>90</v>
      </c>
      <c r="G1761" s="1">
        <v>46022</v>
      </c>
      <c r="H1761" s="1">
        <v>46010</v>
      </c>
      <c r="I1761" t="s">
        <v>1049</v>
      </c>
      <c r="J1761" t="s">
        <v>1048</v>
      </c>
      <c r="K1761" t="s">
        <v>64</v>
      </c>
      <c r="L1761">
        <v>6047.88</v>
      </c>
      <c r="M1761" t="s">
        <v>26</v>
      </c>
      <c r="N1761" t="s">
        <v>347</v>
      </c>
      <c r="O1761" t="s">
        <v>43</v>
      </c>
    </row>
    <row r="1763" spans="1:15" x14ac:dyDescent="0.3">
      <c r="A1763" t="s">
        <v>1047</v>
      </c>
      <c r="B1763" t="s">
        <v>1046</v>
      </c>
      <c r="C1763" t="s">
        <v>1</v>
      </c>
      <c r="D1763">
        <v>42</v>
      </c>
      <c r="E1763" t="s">
        <v>31</v>
      </c>
      <c r="F1763" t="s">
        <v>46</v>
      </c>
      <c r="G1763" s="1">
        <v>46045</v>
      </c>
      <c r="H1763" s="1">
        <v>46034</v>
      </c>
      <c r="I1763" t="s">
        <v>1045</v>
      </c>
      <c r="J1763" t="s">
        <v>1044</v>
      </c>
      <c r="K1763" t="s">
        <v>26</v>
      </c>
      <c r="L1763">
        <v>20575.14</v>
      </c>
      <c r="N1763">
        <v>473</v>
      </c>
      <c r="O1763" t="s">
        <v>77</v>
      </c>
    </row>
    <row r="1764" spans="1:15" x14ac:dyDescent="0.3">
      <c r="A1764" t="s">
        <v>1043</v>
      </c>
      <c r="B1764" t="s">
        <v>1042</v>
      </c>
      <c r="C1764" t="s">
        <v>40</v>
      </c>
      <c r="D1764">
        <v>81</v>
      </c>
      <c r="E1764" t="s">
        <v>68</v>
      </c>
      <c r="F1764" t="s">
        <v>46</v>
      </c>
      <c r="G1764" s="1">
        <v>46159</v>
      </c>
      <c r="H1764" s="1">
        <v>46146</v>
      </c>
      <c r="I1764" t="s">
        <v>1041</v>
      </c>
      <c r="J1764" t="s">
        <v>1040</v>
      </c>
      <c r="K1764" t="s">
        <v>17</v>
      </c>
      <c r="L1764">
        <v>6161.67</v>
      </c>
      <c r="N1764">
        <v>416</v>
      </c>
      <c r="O1764" t="s">
        <v>43</v>
      </c>
    </row>
    <row r="1765" spans="1:15" x14ac:dyDescent="0.3">
      <c r="A1765" t="s">
        <v>1039</v>
      </c>
      <c r="B1765" t="s">
        <v>1038</v>
      </c>
      <c r="C1765" t="s">
        <v>40</v>
      </c>
      <c r="D1765">
        <v>80</v>
      </c>
      <c r="E1765" t="s">
        <v>39</v>
      </c>
      <c r="F1765" t="s">
        <v>53</v>
      </c>
      <c r="G1765" s="1">
        <v>46020</v>
      </c>
      <c r="H1765" s="1">
        <v>46018</v>
      </c>
      <c r="I1765" t="s">
        <v>1037</v>
      </c>
      <c r="J1765" t="s">
        <v>1036</v>
      </c>
      <c r="K1765" t="s">
        <v>27</v>
      </c>
      <c r="L1765">
        <v>6841.71</v>
      </c>
      <c r="M1765" t="s">
        <v>27</v>
      </c>
      <c r="N1765">
        <v>162</v>
      </c>
      <c r="O1765" t="s">
        <v>50</v>
      </c>
    </row>
    <row r="1766" spans="1:15" x14ac:dyDescent="0.3">
      <c r="A1766" t="s">
        <v>1035</v>
      </c>
      <c r="B1766" t="s">
        <v>1034</v>
      </c>
      <c r="C1766" t="s">
        <v>123</v>
      </c>
      <c r="D1766">
        <v>33</v>
      </c>
      <c r="E1766" t="s">
        <v>80</v>
      </c>
      <c r="F1766" t="s">
        <v>46</v>
      </c>
      <c r="G1766" s="1">
        <v>46131</v>
      </c>
      <c r="H1766" s="1">
        <v>46123</v>
      </c>
      <c r="I1766" t="s">
        <v>1033</v>
      </c>
      <c r="J1766" t="s">
        <v>1032</v>
      </c>
      <c r="K1766" t="s">
        <v>26</v>
      </c>
      <c r="L1766">
        <v>24061.37</v>
      </c>
      <c r="M1766" t="s">
        <v>26</v>
      </c>
      <c r="N1766">
        <v>380</v>
      </c>
      <c r="O1766" t="s">
        <v>16</v>
      </c>
    </row>
    <row r="1767" spans="1:15" x14ac:dyDescent="0.3">
      <c r="A1767" t="s">
        <v>1031</v>
      </c>
      <c r="B1767" t="s">
        <v>1030</v>
      </c>
      <c r="D1767">
        <v>32</v>
      </c>
      <c r="E1767" t="s">
        <v>21</v>
      </c>
      <c r="F1767" t="s">
        <v>90</v>
      </c>
      <c r="G1767" s="1">
        <v>46059</v>
      </c>
      <c r="H1767" s="1">
        <v>46037</v>
      </c>
      <c r="I1767" t="s">
        <v>1029</v>
      </c>
      <c r="J1767" t="s">
        <v>1028</v>
      </c>
      <c r="K1767" t="s">
        <v>17</v>
      </c>
      <c r="L1767">
        <v>13302.37</v>
      </c>
      <c r="M1767" t="s">
        <v>64</v>
      </c>
      <c r="N1767">
        <v>304</v>
      </c>
      <c r="O1767" t="s">
        <v>43</v>
      </c>
    </row>
    <row r="1768" spans="1:15" x14ac:dyDescent="0.3">
      <c r="A1768" t="s">
        <v>1027</v>
      </c>
      <c r="B1768" t="s">
        <v>1026</v>
      </c>
      <c r="C1768" t="s">
        <v>1</v>
      </c>
      <c r="D1768">
        <v>20</v>
      </c>
      <c r="E1768" t="s">
        <v>80</v>
      </c>
      <c r="F1768" t="s">
        <v>53</v>
      </c>
      <c r="G1768" s="1">
        <v>46027</v>
      </c>
      <c r="H1768" s="1">
        <v>46005</v>
      </c>
      <c r="I1768" t="s">
        <v>1025</v>
      </c>
      <c r="J1768" t="s">
        <v>1024</v>
      </c>
      <c r="L1768">
        <v>15553.05</v>
      </c>
      <c r="M1768" t="s">
        <v>63</v>
      </c>
      <c r="N1768">
        <v>471</v>
      </c>
      <c r="O1768" t="s">
        <v>71</v>
      </c>
    </row>
    <row r="1769" spans="1:15" x14ac:dyDescent="0.3">
      <c r="A1769" t="s">
        <v>1023</v>
      </c>
      <c r="B1769" t="s">
        <v>1022</v>
      </c>
      <c r="C1769" t="s">
        <v>22</v>
      </c>
      <c r="D1769">
        <v>53</v>
      </c>
      <c r="E1769" t="s">
        <v>132</v>
      </c>
      <c r="F1769" t="s">
        <v>53</v>
      </c>
      <c r="G1769" s="1">
        <v>46028</v>
      </c>
      <c r="H1769" s="1">
        <v>46028</v>
      </c>
      <c r="I1769" t="s">
        <v>1021</v>
      </c>
      <c r="J1769" t="s">
        <v>1020</v>
      </c>
      <c r="K1769" t="s">
        <v>17</v>
      </c>
      <c r="L1769">
        <v>22010.26</v>
      </c>
      <c r="M1769" t="s">
        <v>26</v>
      </c>
      <c r="N1769">
        <v>288</v>
      </c>
      <c r="O1769" t="s">
        <v>25</v>
      </c>
    </row>
    <row r="1770" spans="1:15" x14ac:dyDescent="0.3">
      <c r="A1770" t="s">
        <v>1019</v>
      </c>
      <c r="B1770" t="s">
        <v>1018</v>
      </c>
      <c r="C1770" t="s">
        <v>123</v>
      </c>
      <c r="D1770">
        <v>28</v>
      </c>
      <c r="E1770" t="s">
        <v>80</v>
      </c>
      <c r="F1770" t="s">
        <v>30</v>
      </c>
      <c r="G1770" s="1">
        <v>46109</v>
      </c>
      <c r="H1770" s="1">
        <v>46079</v>
      </c>
      <c r="I1770" t="s">
        <v>1017</v>
      </c>
      <c r="J1770" t="s">
        <v>1016</v>
      </c>
      <c r="K1770" t="s">
        <v>26</v>
      </c>
      <c r="L1770">
        <v>2237.77</v>
      </c>
      <c r="M1770" t="s">
        <v>27</v>
      </c>
      <c r="N1770">
        <v>520</v>
      </c>
      <c r="O1770" t="s">
        <v>16</v>
      </c>
    </row>
    <row r="1771" spans="1:15" x14ac:dyDescent="0.3">
      <c r="A1771" t="s">
        <v>1015</v>
      </c>
      <c r="B1771" t="s">
        <v>1014</v>
      </c>
      <c r="C1771" t="s">
        <v>22</v>
      </c>
      <c r="D1771">
        <v>81</v>
      </c>
      <c r="E1771" t="s">
        <v>54</v>
      </c>
      <c r="F1771" t="s">
        <v>53</v>
      </c>
      <c r="G1771" s="1">
        <v>46004</v>
      </c>
      <c r="H1771" s="1">
        <v>45993</v>
      </c>
      <c r="I1771" t="s">
        <v>1013</v>
      </c>
      <c r="J1771" t="s">
        <v>1012</v>
      </c>
      <c r="K1771" t="s">
        <v>57</v>
      </c>
      <c r="L1771">
        <v>18989.919999999998</v>
      </c>
      <c r="M1771" t="s">
        <v>27</v>
      </c>
      <c r="N1771">
        <v>195</v>
      </c>
      <c r="O1771" t="s">
        <v>16</v>
      </c>
    </row>
    <row r="1772" spans="1:15" x14ac:dyDescent="0.3">
      <c r="A1772" t="s">
        <v>1011</v>
      </c>
      <c r="B1772" t="s">
        <v>1010</v>
      </c>
      <c r="C1772" t="s">
        <v>1</v>
      </c>
      <c r="D1772">
        <v>87</v>
      </c>
      <c r="E1772" t="s">
        <v>31</v>
      </c>
      <c r="F1772" t="s">
        <v>67</v>
      </c>
      <c r="G1772" s="1">
        <v>46136</v>
      </c>
      <c r="H1772" s="1">
        <v>46119</v>
      </c>
      <c r="I1772" t="s">
        <v>1009</v>
      </c>
      <c r="K1772" t="s">
        <v>35</v>
      </c>
      <c r="L1772">
        <v>-500</v>
      </c>
      <c r="M1772" t="s">
        <v>27</v>
      </c>
      <c r="N1772">
        <v>442</v>
      </c>
      <c r="O1772" t="s">
        <v>77</v>
      </c>
    </row>
    <row r="1773" spans="1:15" x14ac:dyDescent="0.3">
      <c r="A1773" t="s">
        <v>1008</v>
      </c>
      <c r="B1773" t="s">
        <v>1007</v>
      </c>
      <c r="D1773">
        <v>49</v>
      </c>
      <c r="E1773" t="s">
        <v>132</v>
      </c>
      <c r="F1773" t="s">
        <v>90</v>
      </c>
      <c r="G1773" s="1">
        <v>46044</v>
      </c>
      <c r="H1773" s="1">
        <v>46019</v>
      </c>
      <c r="I1773" t="s">
        <v>1006</v>
      </c>
      <c r="J1773" t="s">
        <v>1005</v>
      </c>
      <c r="K1773" t="s">
        <v>26</v>
      </c>
      <c r="L1773">
        <v>21604.49</v>
      </c>
      <c r="M1773" t="s">
        <v>27</v>
      </c>
      <c r="N1773">
        <v>495</v>
      </c>
      <c r="O1773" t="s">
        <v>71</v>
      </c>
    </row>
    <row r="1774" spans="1:15" x14ac:dyDescent="0.3">
      <c r="A1774" t="s">
        <v>1004</v>
      </c>
      <c r="B1774" t="s">
        <v>1003</v>
      </c>
      <c r="C1774" t="s">
        <v>74</v>
      </c>
      <c r="D1774">
        <v>48</v>
      </c>
      <c r="E1774" t="s">
        <v>21</v>
      </c>
      <c r="F1774" t="s">
        <v>53</v>
      </c>
      <c r="G1774" s="1">
        <v>46061</v>
      </c>
      <c r="H1774" s="1">
        <v>46035</v>
      </c>
      <c r="I1774" t="s">
        <v>1002</v>
      </c>
      <c r="J1774" t="s">
        <v>1001</v>
      </c>
      <c r="K1774" t="s">
        <v>26</v>
      </c>
      <c r="L1774">
        <v>8422.4699999999993</v>
      </c>
      <c r="M1774" t="s">
        <v>26</v>
      </c>
      <c r="N1774">
        <v>338</v>
      </c>
      <c r="O1774" t="s">
        <v>34</v>
      </c>
    </row>
    <row r="1775" spans="1:15" x14ac:dyDescent="0.3">
      <c r="A1775" t="s">
        <v>1000</v>
      </c>
      <c r="B1775" t="s">
        <v>999</v>
      </c>
      <c r="C1775" t="s">
        <v>40</v>
      </c>
      <c r="D1775">
        <v>87</v>
      </c>
      <c r="E1775" t="s">
        <v>31</v>
      </c>
      <c r="F1775" t="s">
        <v>46</v>
      </c>
      <c r="G1775" s="1">
        <v>46075</v>
      </c>
      <c r="H1775" s="1">
        <v>46066</v>
      </c>
      <c r="I1775" t="s">
        <v>998</v>
      </c>
      <c r="J1775" t="s">
        <v>997</v>
      </c>
      <c r="K1775" t="s">
        <v>27</v>
      </c>
      <c r="L1775">
        <v>24829.53</v>
      </c>
      <c r="M1775" t="s">
        <v>63</v>
      </c>
      <c r="N1775">
        <v>222</v>
      </c>
      <c r="O1775" t="s">
        <v>71</v>
      </c>
    </row>
    <row r="1776" spans="1:15" x14ac:dyDescent="0.3">
      <c r="A1776" t="s">
        <v>996</v>
      </c>
      <c r="B1776" t="s">
        <v>995</v>
      </c>
      <c r="C1776" t="s">
        <v>1</v>
      </c>
      <c r="D1776">
        <v>27</v>
      </c>
      <c r="E1776" t="s">
        <v>31</v>
      </c>
      <c r="F1776" t="s">
        <v>38</v>
      </c>
      <c r="G1776" s="1">
        <v>46121</v>
      </c>
      <c r="H1776" s="1">
        <v>46095</v>
      </c>
      <c r="I1776" t="s">
        <v>994</v>
      </c>
      <c r="J1776" t="s">
        <v>993</v>
      </c>
      <c r="K1776" t="s">
        <v>26</v>
      </c>
      <c r="L1776">
        <v>14760.61</v>
      </c>
      <c r="M1776" t="s">
        <v>64</v>
      </c>
      <c r="N1776">
        <v>302</v>
      </c>
      <c r="O1776" t="s">
        <v>25</v>
      </c>
    </row>
    <row r="1777" spans="1:15" x14ac:dyDescent="0.3">
      <c r="A1777" t="s">
        <v>992</v>
      </c>
      <c r="B1777" t="s">
        <v>991</v>
      </c>
      <c r="C1777" t="s">
        <v>1</v>
      </c>
      <c r="D1777">
        <v>19</v>
      </c>
      <c r="E1777" t="s">
        <v>80</v>
      </c>
      <c r="F1777" t="s">
        <v>20</v>
      </c>
      <c r="G1777" s="1">
        <v>46038</v>
      </c>
      <c r="H1777" s="1">
        <v>46035</v>
      </c>
      <c r="I1777" t="s">
        <v>990</v>
      </c>
      <c r="J1777" t="s">
        <v>989</v>
      </c>
      <c r="L1777">
        <v>13250.04</v>
      </c>
      <c r="M1777" t="s">
        <v>64</v>
      </c>
      <c r="N1777">
        <v>378</v>
      </c>
      <c r="O1777" t="s">
        <v>77</v>
      </c>
    </row>
    <row r="1778" spans="1:15" x14ac:dyDescent="0.3">
      <c r="A1778" t="s">
        <v>988</v>
      </c>
      <c r="B1778" t="s">
        <v>987</v>
      </c>
      <c r="C1778" t="s">
        <v>1</v>
      </c>
      <c r="D1778">
        <v>31</v>
      </c>
      <c r="E1778" t="s">
        <v>80</v>
      </c>
      <c r="F1778" t="s">
        <v>38</v>
      </c>
      <c r="G1778" s="1">
        <v>45990</v>
      </c>
      <c r="H1778" s="1">
        <v>45975</v>
      </c>
      <c r="I1778" t="s">
        <v>986</v>
      </c>
      <c r="J1778" t="s">
        <v>985</v>
      </c>
      <c r="K1778" t="s">
        <v>17</v>
      </c>
      <c r="L1778">
        <v>3540.73</v>
      </c>
      <c r="M1778" t="s">
        <v>17</v>
      </c>
      <c r="N1778">
        <v>215</v>
      </c>
      <c r="O1778" t="s">
        <v>77</v>
      </c>
    </row>
    <row r="1779" spans="1:15" x14ac:dyDescent="0.3">
      <c r="A1779" t="s">
        <v>984</v>
      </c>
      <c r="B1779" t="s">
        <v>983</v>
      </c>
      <c r="C1779" t="s">
        <v>123</v>
      </c>
      <c r="D1779">
        <v>5</v>
      </c>
      <c r="E1779" t="s">
        <v>80</v>
      </c>
      <c r="F1779" t="s">
        <v>20</v>
      </c>
      <c r="G1779" s="1">
        <v>46178</v>
      </c>
      <c r="H1779" s="1">
        <v>46149</v>
      </c>
      <c r="I1779" t="s">
        <v>982</v>
      </c>
      <c r="J1779" t="s">
        <v>981</v>
      </c>
      <c r="L1779">
        <v>19008.28</v>
      </c>
      <c r="M1779" t="s">
        <v>17</v>
      </c>
      <c r="N1779">
        <v>299</v>
      </c>
      <c r="O1779" t="s">
        <v>77</v>
      </c>
    </row>
    <row r="1780" spans="1:15" x14ac:dyDescent="0.3">
      <c r="A1780" t="s">
        <v>980</v>
      </c>
      <c r="B1780" t="s">
        <v>979</v>
      </c>
      <c r="D1780">
        <v>65</v>
      </c>
      <c r="E1780" t="s">
        <v>54</v>
      </c>
      <c r="F1780" t="s">
        <v>46</v>
      </c>
      <c r="G1780" s="1">
        <v>46134</v>
      </c>
      <c r="H1780" s="1">
        <v>46134</v>
      </c>
      <c r="I1780" t="s">
        <v>978</v>
      </c>
      <c r="J1780" t="s">
        <v>977</v>
      </c>
      <c r="K1780" t="s">
        <v>35</v>
      </c>
      <c r="L1780">
        <v>5375.85</v>
      </c>
      <c r="M1780" t="s">
        <v>27</v>
      </c>
      <c r="N1780">
        <v>515</v>
      </c>
      <c r="O1780" t="s">
        <v>77</v>
      </c>
    </row>
    <row r="1781" spans="1:15" x14ac:dyDescent="0.3">
      <c r="A1781" t="s">
        <v>976</v>
      </c>
      <c r="B1781" t="s">
        <v>975</v>
      </c>
      <c r="C1781" t="s">
        <v>74</v>
      </c>
      <c r="D1781">
        <v>43</v>
      </c>
      <c r="E1781" t="s">
        <v>54</v>
      </c>
      <c r="F1781" t="s">
        <v>20</v>
      </c>
      <c r="G1781" s="1">
        <v>46077</v>
      </c>
      <c r="H1781" s="1">
        <v>46060</v>
      </c>
      <c r="I1781" t="s">
        <v>974</v>
      </c>
      <c r="J1781" t="s">
        <v>973</v>
      </c>
      <c r="K1781" t="s">
        <v>35</v>
      </c>
      <c r="L1781">
        <v>20972.400000000001</v>
      </c>
      <c r="M1781" t="s">
        <v>27</v>
      </c>
      <c r="N1781">
        <v>225</v>
      </c>
      <c r="O1781" t="s">
        <v>25</v>
      </c>
    </row>
    <row r="1782" spans="1:15" x14ac:dyDescent="0.3">
      <c r="A1782" t="s">
        <v>972</v>
      </c>
      <c r="B1782" t="s">
        <v>971</v>
      </c>
      <c r="C1782" t="s">
        <v>123</v>
      </c>
      <c r="D1782">
        <v>43</v>
      </c>
      <c r="E1782" t="s">
        <v>68</v>
      </c>
      <c r="F1782" t="s">
        <v>85</v>
      </c>
      <c r="G1782" s="1">
        <v>46037</v>
      </c>
      <c r="H1782" s="1">
        <v>46029</v>
      </c>
      <c r="I1782" t="s">
        <v>970</v>
      </c>
      <c r="J1782" t="s">
        <v>969</v>
      </c>
      <c r="K1782" t="s">
        <v>26</v>
      </c>
      <c r="L1782">
        <v>20611.41</v>
      </c>
      <c r="M1782" t="s">
        <v>64</v>
      </c>
      <c r="N1782">
        <v>471</v>
      </c>
      <c r="O1782" t="s">
        <v>16</v>
      </c>
    </row>
    <row r="1783" spans="1:15" x14ac:dyDescent="0.3">
      <c r="A1783" t="s">
        <v>968</v>
      </c>
      <c r="B1783" t="s">
        <v>967</v>
      </c>
      <c r="C1783" t="s">
        <v>40</v>
      </c>
      <c r="D1783">
        <v>80</v>
      </c>
      <c r="E1783" t="s">
        <v>21</v>
      </c>
      <c r="F1783" t="s">
        <v>90</v>
      </c>
      <c r="G1783" s="1">
        <v>45988</v>
      </c>
      <c r="H1783" s="1">
        <v>45977</v>
      </c>
      <c r="I1783" t="s">
        <v>966</v>
      </c>
      <c r="J1783" t="s">
        <v>965</v>
      </c>
      <c r="K1783" t="s">
        <v>57</v>
      </c>
      <c r="L1783">
        <v>3521.37</v>
      </c>
      <c r="M1783" t="s">
        <v>27</v>
      </c>
      <c r="N1783">
        <v>139</v>
      </c>
      <c r="O1783" t="s">
        <v>43</v>
      </c>
    </row>
    <row r="1784" spans="1:15" x14ac:dyDescent="0.3">
      <c r="A1784" t="s">
        <v>964</v>
      </c>
      <c r="B1784" t="s">
        <v>963</v>
      </c>
      <c r="C1784" t="s">
        <v>74</v>
      </c>
      <c r="D1784">
        <v>16</v>
      </c>
      <c r="E1784" t="s">
        <v>132</v>
      </c>
      <c r="F1784" t="s">
        <v>20</v>
      </c>
      <c r="G1784" s="1">
        <v>46006</v>
      </c>
      <c r="H1784" s="1">
        <v>45989</v>
      </c>
      <c r="I1784" t="s">
        <v>962</v>
      </c>
      <c r="J1784" t="s">
        <v>961</v>
      </c>
      <c r="K1784" t="s">
        <v>26</v>
      </c>
      <c r="L1784">
        <v>5800.93</v>
      </c>
      <c r="N1784">
        <v>371</v>
      </c>
      <c r="O1784" t="s">
        <v>16</v>
      </c>
    </row>
    <row r="1785" spans="1:15" x14ac:dyDescent="0.3">
      <c r="A1785" t="s">
        <v>960</v>
      </c>
      <c r="B1785" t="s">
        <v>959</v>
      </c>
      <c r="C1785" t="s">
        <v>60</v>
      </c>
      <c r="D1785">
        <v>4</v>
      </c>
      <c r="E1785" t="s">
        <v>39</v>
      </c>
      <c r="F1785" t="s">
        <v>90</v>
      </c>
      <c r="G1785" s="1">
        <v>46028</v>
      </c>
      <c r="H1785" s="1">
        <v>46022</v>
      </c>
      <c r="I1785" t="s">
        <v>958</v>
      </c>
      <c r="J1785" t="s">
        <v>957</v>
      </c>
      <c r="K1785" t="s">
        <v>35</v>
      </c>
      <c r="L1785">
        <v>20410.669999999998</v>
      </c>
      <c r="M1785" t="s">
        <v>26</v>
      </c>
      <c r="N1785">
        <v>210</v>
      </c>
      <c r="O1785" t="s">
        <v>34</v>
      </c>
    </row>
    <row r="1786" spans="1:15" x14ac:dyDescent="0.3">
      <c r="A1786" t="s">
        <v>956</v>
      </c>
      <c r="B1786" t="s">
        <v>955</v>
      </c>
      <c r="C1786" t="s">
        <v>0</v>
      </c>
      <c r="D1786">
        <v>10</v>
      </c>
      <c r="E1786" t="s">
        <v>21</v>
      </c>
      <c r="F1786" t="s">
        <v>85</v>
      </c>
      <c r="G1786" s="1">
        <v>46000</v>
      </c>
      <c r="H1786" s="1">
        <v>45992</v>
      </c>
      <c r="I1786" t="s">
        <v>954</v>
      </c>
      <c r="J1786" t="s">
        <v>953</v>
      </c>
      <c r="K1786" t="s">
        <v>57</v>
      </c>
      <c r="L1786">
        <v>8574.83</v>
      </c>
      <c r="M1786" t="s">
        <v>64</v>
      </c>
      <c r="N1786">
        <v>147</v>
      </c>
      <c r="O1786" t="s">
        <v>43</v>
      </c>
    </row>
    <row r="1787" spans="1:15" x14ac:dyDescent="0.3">
      <c r="A1787" t="s">
        <v>952</v>
      </c>
      <c r="B1787" t="s">
        <v>951</v>
      </c>
      <c r="C1787" t="s">
        <v>40</v>
      </c>
      <c r="D1787">
        <v>90</v>
      </c>
      <c r="E1787" t="s">
        <v>132</v>
      </c>
      <c r="F1787" t="s">
        <v>53</v>
      </c>
      <c r="G1787" s="1">
        <v>46070</v>
      </c>
      <c r="H1787" s="1">
        <v>46054</v>
      </c>
      <c r="I1787" t="s">
        <v>950</v>
      </c>
      <c r="J1787" t="s">
        <v>949</v>
      </c>
      <c r="L1787">
        <v>23528.560000000001</v>
      </c>
      <c r="M1787" t="s">
        <v>27</v>
      </c>
      <c r="N1787">
        <v>524</v>
      </c>
      <c r="O1787" t="s">
        <v>43</v>
      </c>
    </row>
    <row r="1788" spans="1:15" x14ac:dyDescent="0.3">
      <c r="A1788" t="s">
        <v>948</v>
      </c>
      <c r="B1788" t="s">
        <v>947</v>
      </c>
      <c r="C1788" t="s">
        <v>40</v>
      </c>
      <c r="D1788">
        <v>44</v>
      </c>
      <c r="E1788" t="s">
        <v>21</v>
      </c>
      <c r="F1788" t="s">
        <v>85</v>
      </c>
      <c r="G1788" s="1">
        <v>46013</v>
      </c>
      <c r="H1788" s="1">
        <v>45984</v>
      </c>
      <c r="I1788" t="s">
        <v>946</v>
      </c>
      <c r="J1788" t="s">
        <v>945</v>
      </c>
      <c r="L1788">
        <v>10831</v>
      </c>
      <c r="M1788" t="s">
        <v>27</v>
      </c>
      <c r="N1788">
        <v>365</v>
      </c>
      <c r="O1788" t="s">
        <v>25</v>
      </c>
    </row>
    <row r="1789" spans="1:15" x14ac:dyDescent="0.3">
      <c r="A1789" t="s">
        <v>944</v>
      </c>
      <c r="B1789" t="s">
        <v>943</v>
      </c>
      <c r="C1789" t="s">
        <v>74</v>
      </c>
      <c r="D1789">
        <v>15</v>
      </c>
      <c r="E1789" t="s">
        <v>39</v>
      </c>
      <c r="F1789" t="s">
        <v>90</v>
      </c>
      <c r="G1789" s="1">
        <v>46139</v>
      </c>
      <c r="H1789" s="1">
        <v>46115</v>
      </c>
      <c r="I1789" t="s">
        <v>942</v>
      </c>
      <c r="J1789" t="s">
        <v>941</v>
      </c>
      <c r="K1789" t="s">
        <v>27</v>
      </c>
      <c r="L1789">
        <v>23483.360000000001</v>
      </c>
      <c r="M1789" t="s">
        <v>57</v>
      </c>
      <c r="N1789">
        <v>547</v>
      </c>
      <c r="O1789" t="s">
        <v>77</v>
      </c>
    </row>
    <row r="1790" spans="1:15" x14ac:dyDescent="0.3">
      <c r="A1790" t="s">
        <v>940</v>
      </c>
      <c r="B1790" t="s">
        <v>939</v>
      </c>
      <c r="C1790" t="s">
        <v>1</v>
      </c>
      <c r="D1790">
        <v>47</v>
      </c>
      <c r="E1790" t="s">
        <v>54</v>
      </c>
      <c r="F1790" t="s">
        <v>90</v>
      </c>
      <c r="G1790" s="1">
        <v>46057</v>
      </c>
      <c r="H1790" s="1">
        <v>46029</v>
      </c>
      <c r="I1790" t="s">
        <v>938</v>
      </c>
      <c r="J1790" t="s">
        <v>937</v>
      </c>
      <c r="K1790" t="s">
        <v>64</v>
      </c>
      <c r="L1790">
        <v>20490.669999999998</v>
      </c>
      <c r="M1790" t="s">
        <v>27</v>
      </c>
      <c r="N1790">
        <v>297</v>
      </c>
      <c r="O1790" t="s">
        <v>71</v>
      </c>
    </row>
    <row r="1791" spans="1:15" x14ac:dyDescent="0.3">
      <c r="A1791" t="s">
        <v>936</v>
      </c>
      <c r="B1791" t="s">
        <v>935</v>
      </c>
      <c r="D1791">
        <v>10</v>
      </c>
      <c r="E1791" t="s">
        <v>31</v>
      </c>
      <c r="F1791" t="s">
        <v>38</v>
      </c>
      <c r="G1791" s="1">
        <v>46148</v>
      </c>
      <c r="H1791" s="1">
        <v>46145</v>
      </c>
      <c r="I1791" t="s">
        <v>934</v>
      </c>
      <c r="J1791" t="s">
        <v>933</v>
      </c>
      <c r="K1791" t="s">
        <v>35</v>
      </c>
      <c r="L1791">
        <v>19236.349999999999</v>
      </c>
      <c r="M1791" t="s">
        <v>63</v>
      </c>
      <c r="N1791">
        <v>274</v>
      </c>
      <c r="O1791" t="s">
        <v>43</v>
      </c>
    </row>
    <row r="1792" spans="1:15" x14ac:dyDescent="0.3">
      <c r="A1792" t="s">
        <v>932</v>
      </c>
      <c r="B1792" t="s">
        <v>931</v>
      </c>
      <c r="C1792" t="s">
        <v>40</v>
      </c>
      <c r="D1792">
        <v>56</v>
      </c>
      <c r="E1792" t="s">
        <v>39</v>
      </c>
      <c r="F1792" t="s">
        <v>90</v>
      </c>
      <c r="G1792" s="1">
        <v>46147</v>
      </c>
      <c r="H1792" s="1">
        <v>46129</v>
      </c>
      <c r="I1792" t="s">
        <v>930</v>
      </c>
      <c r="J1792" t="s">
        <v>929</v>
      </c>
      <c r="K1792" t="s">
        <v>64</v>
      </c>
      <c r="L1792">
        <v>12237.58</v>
      </c>
      <c r="N1792">
        <v>317</v>
      </c>
      <c r="O1792" t="s">
        <v>50</v>
      </c>
    </row>
    <row r="1793" spans="1:15" x14ac:dyDescent="0.3">
      <c r="A1793" t="s">
        <v>928</v>
      </c>
      <c r="B1793" t="s">
        <v>927</v>
      </c>
      <c r="C1793" t="s">
        <v>0</v>
      </c>
      <c r="D1793">
        <v>80</v>
      </c>
      <c r="E1793" t="s">
        <v>21</v>
      </c>
      <c r="F1793" t="s">
        <v>30</v>
      </c>
      <c r="G1793" s="1">
        <v>46069</v>
      </c>
      <c r="H1793" s="1">
        <v>46060</v>
      </c>
      <c r="I1793" t="s">
        <v>926</v>
      </c>
      <c r="J1793" t="s">
        <v>925</v>
      </c>
      <c r="K1793" t="s">
        <v>27</v>
      </c>
      <c r="L1793">
        <v>3072.55</v>
      </c>
      <c r="M1793" t="s">
        <v>63</v>
      </c>
      <c r="N1793">
        <v>383</v>
      </c>
      <c r="O1793" t="s">
        <v>77</v>
      </c>
    </row>
    <row r="1794" spans="1:15" x14ac:dyDescent="0.3">
      <c r="A1794" t="s">
        <v>924</v>
      </c>
      <c r="B1794" t="s">
        <v>923</v>
      </c>
      <c r="D1794">
        <v>25</v>
      </c>
      <c r="E1794" t="s">
        <v>31</v>
      </c>
      <c r="F1794" t="s">
        <v>30</v>
      </c>
      <c r="G1794" s="1">
        <v>45992</v>
      </c>
      <c r="H1794" s="1">
        <v>45985</v>
      </c>
      <c r="I1794" t="s">
        <v>922</v>
      </c>
      <c r="J1794" t="s">
        <v>921</v>
      </c>
      <c r="L1794">
        <v>21598.28</v>
      </c>
      <c r="M1794" t="s">
        <v>26</v>
      </c>
      <c r="N1794">
        <v>308</v>
      </c>
      <c r="O1794" t="s">
        <v>77</v>
      </c>
    </row>
    <row r="1795" spans="1:15" x14ac:dyDescent="0.3">
      <c r="A1795" t="s">
        <v>920</v>
      </c>
      <c r="B1795" t="s">
        <v>919</v>
      </c>
      <c r="C1795" t="s">
        <v>1</v>
      </c>
      <c r="D1795">
        <v>30</v>
      </c>
      <c r="E1795" t="s">
        <v>31</v>
      </c>
      <c r="F1795" t="s">
        <v>20</v>
      </c>
      <c r="G1795" s="1">
        <v>46100</v>
      </c>
      <c r="H1795" s="1">
        <v>46099</v>
      </c>
      <c r="I1795" t="s">
        <v>918</v>
      </c>
      <c r="J1795" t="s">
        <v>917</v>
      </c>
      <c r="K1795" t="s">
        <v>64</v>
      </c>
      <c r="L1795">
        <v>16742.240000000002</v>
      </c>
      <c r="N1795">
        <v>453</v>
      </c>
      <c r="O1795" t="s">
        <v>25</v>
      </c>
    </row>
    <row r="1796" spans="1:15" x14ac:dyDescent="0.3">
      <c r="A1796" t="s">
        <v>916</v>
      </c>
      <c r="B1796" t="s">
        <v>915</v>
      </c>
      <c r="C1796" t="s">
        <v>40</v>
      </c>
      <c r="D1796">
        <v>78</v>
      </c>
      <c r="E1796" t="s">
        <v>47</v>
      </c>
      <c r="F1796" t="s">
        <v>67</v>
      </c>
      <c r="G1796" s="1">
        <v>46097</v>
      </c>
      <c r="H1796" s="1">
        <v>46079</v>
      </c>
      <c r="I1796" t="s">
        <v>914</v>
      </c>
      <c r="J1796" t="s">
        <v>913</v>
      </c>
      <c r="K1796" t="s">
        <v>64</v>
      </c>
      <c r="L1796">
        <v>20121.509999999998</v>
      </c>
      <c r="M1796" t="s">
        <v>63</v>
      </c>
      <c r="N1796">
        <v>393</v>
      </c>
      <c r="O1796" t="s">
        <v>71</v>
      </c>
    </row>
    <row r="1797" spans="1:15" x14ac:dyDescent="0.3">
      <c r="A1797" t="s">
        <v>912</v>
      </c>
      <c r="B1797" t="s">
        <v>911</v>
      </c>
      <c r="C1797" t="s">
        <v>40</v>
      </c>
      <c r="D1797">
        <v>58</v>
      </c>
      <c r="E1797" t="s">
        <v>132</v>
      </c>
      <c r="F1797" t="s">
        <v>53</v>
      </c>
      <c r="G1797" s="1">
        <v>46014</v>
      </c>
      <c r="H1797" s="1">
        <v>46002</v>
      </c>
      <c r="I1797" t="s">
        <v>910</v>
      </c>
      <c r="J1797" t="s">
        <v>909</v>
      </c>
      <c r="L1797">
        <v>19212.39</v>
      </c>
      <c r="N1797">
        <v>545</v>
      </c>
      <c r="O1797" t="s">
        <v>50</v>
      </c>
    </row>
    <row r="1798" spans="1:15" x14ac:dyDescent="0.3">
      <c r="A1798" t="s">
        <v>908</v>
      </c>
      <c r="B1798" t="s">
        <v>907</v>
      </c>
      <c r="C1798" t="s">
        <v>22</v>
      </c>
      <c r="D1798">
        <v>71</v>
      </c>
      <c r="E1798" t="s">
        <v>68</v>
      </c>
      <c r="F1798" t="s">
        <v>20</v>
      </c>
      <c r="G1798" s="1">
        <v>46077</v>
      </c>
      <c r="H1798" s="1">
        <v>46049</v>
      </c>
      <c r="I1798" t="s">
        <v>906</v>
      </c>
      <c r="J1798" t="s">
        <v>905</v>
      </c>
      <c r="K1798" t="s">
        <v>26</v>
      </c>
      <c r="L1798">
        <v>3800.49</v>
      </c>
      <c r="M1798" t="s">
        <v>17</v>
      </c>
      <c r="N1798">
        <v>396</v>
      </c>
      <c r="O1798" t="s">
        <v>16</v>
      </c>
    </row>
    <row r="1799" spans="1:15" x14ac:dyDescent="0.3">
      <c r="A1799" t="s">
        <v>904</v>
      </c>
      <c r="B1799" t="s">
        <v>903</v>
      </c>
      <c r="C1799" t="s">
        <v>1</v>
      </c>
      <c r="D1799">
        <v>19</v>
      </c>
      <c r="E1799" t="s">
        <v>31</v>
      </c>
      <c r="F1799" t="s">
        <v>20</v>
      </c>
      <c r="G1799" s="1">
        <v>46152</v>
      </c>
      <c r="H1799" s="1">
        <v>46143</v>
      </c>
      <c r="I1799" t="s">
        <v>902</v>
      </c>
      <c r="J1799" t="s">
        <v>901</v>
      </c>
      <c r="K1799" t="s">
        <v>27</v>
      </c>
      <c r="L1799">
        <v>19353.03</v>
      </c>
      <c r="M1799" t="s">
        <v>63</v>
      </c>
      <c r="N1799">
        <v>391</v>
      </c>
      <c r="O1799" t="s">
        <v>34</v>
      </c>
    </row>
    <row r="1800" spans="1:15" x14ac:dyDescent="0.3">
      <c r="A1800" t="s">
        <v>900</v>
      </c>
      <c r="B1800" t="s">
        <v>899</v>
      </c>
      <c r="C1800" t="s">
        <v>1</v>
      </c>
      <c r="D1800">
        <v>23</v>
      </c>
      <c r="E1800" t="s">
        <v>21</v>
      </c>
      <c r="F1800" t="s">
        <v>20</v>
      </c>
      <c r="G1800" s="1">
        <v>46099</v>
      </c>
      <c r="H1800" s="1">
        <v>46094</v>
      </c>
      <c r="I1800" t="s">
        <v>898</v>
      </c>
      <c r="J1800" t="s">
        <v>897</v>
      </c>
      <c r="K1800" t="s">
        <v>17</v>
      </c>
      <c r="L1800">
        <v>7501.91</v>
      </c>
      <c r="M1800" t="s">
        <v>26</v>
      </c>
      <c r="N1800">
        <v>497</v>
      </c>
      <c r="O1800" t="s">
        <v>16</v>
      </c>
    </row>
    <row r="1801" spans="1:15" x14ac:dyDescent="0.3">
      <c r="A1801" t="s">
        <v>896</v>
      </c>
      <c r="B1801" t="s">
        <v>895</v>
      </c>
      <c r="C1801" t="s">
        <v>123</v>
      </c>
      <c r="D1801">
        <v>73</v>
      </c>
      <c r="E1801" t="s">
        <v>47</v>
      </c>
      <c r="F1801" t="s">
        <v>90</v>
      </c>
      <c r="G1801" s="1">
        <v>46112</v>
      </c>
      <c r="H1801" s="1">
        <v>46093</v>
      </c>
      <c r="I1801" t="s">
        <v>894</v>
      </c>
      <c r="J1801" t="s">
        <v>893</v>
      </c>
      <c r="K1801" t="s">
        <v>27</v>
      </c>
      <c r="L1801">
        <v>24752.560000000001</v>
      </c>
      <c r="N1801">
        <v>179</v>
      </c>
      <c r="O1801" t="s">
        <v>16</v>
      </c>
    </row>
    <row r="1802" spans="1:15" x14ac:dyDescent="0.3">
      <c r="A1802" t="s">
        <v>892</v>
      </c>
      <c r="B1802" t="s">
        <v>891</v>
      </c>
      <c r="C1802" t="s">
        <v>74</v>
      </c>
      <c r="D1802">
        <v>59</v>
      </c>
      <c r="E1802" t="s">
        <v>54</v>
      </c>
      <c r="F1802" t="s">
        <v>46</v>
      </c>
      <c r="G1802" s="1">
        <v>46082</v>
      </c>
      <c r="H1802" s="1">
        <v>46062</v>
      </c>
      <c r="I1802" t="s">
        <v>890</v>
      </c>
      <c r="J1802" t="s">
        <v>889</v>
      </c>
      <c r="L1802">
        <v>4513.08</v>
      </c>
      <c r="M1802" t="s">
        <v>57</v>
      </c>
      <c r="N1802">
        <v>258</v>
      </c>
      <c r="O1802" t="s">
        <v>34</v>
      </c>
    </row>
    <row r="1803" spans="1:15" x14ac:dyDescent="0.3">
      <c r="A1803" t="s">
        <v>888</v>
      </c>
      <c r="B1803" t="s">
        <v>887</v>
      </c>
      <c r="C1803" t="s">
        <v>1</v>
      </c>
      <c r="D1803">
        <v>67</v>
      </c>
      <c r="E1803" t="s">
        <v>21</v>
      </c>
      <c r="F1803" t="s">
        <v>67</v>
      </c>
      <c r="G1803" s="1">
        <v>46117</v>
      </c>
      <c r="H1803" s="1">
        <v>46096</v>
      </c>
      <c r="I1803" t="s">
        <v>886</v>
      </c>
      <c r="J1803" t="s">
        <v>885</v>
      </c>
      <c r="K1803" t="s">
        <v>57</v>
      </c>
      <c r="L1803">
        <v>16324.7</v>
      </c>
      <c r="M1803" t="s">
        <v>26</v>
      </c>
      <c r="N1803">
        <v>436</v>
      </c>
      <c r="O1803" t="s">
        <v>34</v>
      </c>
    </row>
    <row r="1804" spans="1:15" x14ac:dyDescent="0.3">
      <c r="A1804" t="s">
        <v>884</v>
      </c>
      <c r="B1804" t="s">
        <v>883</v>
      </c>
      <c r="C1804" t="s">
        <v>40</v>
      </c>
      <c r="D1804">
        <v>37</v>
      </c>
      <c r="E1804" t="s">
        <v>47</v>
      </c>
      <c r="F1804" t="s">
        <v>67</v>
      </c>
      <c r="G1804" s="1">
        <v>46014</v>
      </c>
      <c r="H1804" s="1">
        <v>45984</v>
      </c>
      <c r="I1804" t="s">
        <v>882</v>
      </c>
      <c r="J1804" t="s">
        <v>881</v>
      </c>
      <c r="L1804">
        <v>22204.61</v>
      </c>
      <c r="M1804" t="s">
        <v>64</v>
      </c>
      <c r="N1804">
        <v>172</v>
      </c>
      <c r="O1804" t="s">
        <v>25</v>
      </c>
    </row>
    <row r="1805" spans="1:15" x14ac:dyDescent="0.3">
      <c r="A1805" t="s">
        <v>880</v>
      </c>
      <c r="B1805" t="s">
        <v>879</v>
      </c>
      <c r="C1805" t="s">
        <v>123</v>
      </c>
      <c r="D1805">
        <v>44</v>
      </c>
      <c r="E1805" t="s">
        <v>47</v>
      </c>
      <c r="F1805" t="s">
        <v>53</v>
      </c>
      <c r="G1805" s="1">
        <v>46014</v>
      </c>
      <c r="H1805" s="1">
        <v>46002</v>
      </c>
      <c r="I1805" t="s">
        <v>878</v>
      </c>
      <c r="J1805" t="s">
        <v>877</v>
      </c>
      <c r="K1805" t="s">
        <v>57</v>
      </c>
      <c r="L1805">
        <v>13703.61</v>
      </c>
      <c r="M1805" t="s">
        <v>26</v>
      </c>
      <c r="N1805">
        <v>322</v>
      </c>
      <c r="O1805" t="s">
        <v>25</v>
      </c>
    </row>
    <row r="1806" spans="1:15" x14ac:dyDescent="0.3">
      <c r="A1806" t="s">
        <v>876</v>
      </c>
      <c r="B1806" t="s">
        <v>875</v>
      </c>
      <c r="C1806" t="s">
        <v>22</v>
      </c>
      <c r="D1806">
        <v>12</v>
      </c>
      <c r="E1806" t="s">
        <v>54</v>
      </c>
      <c r="F1806" t="s">
        <v>90</v>
      </c>
      <c r="G1806" s="1">
        <v>46065</v>
      </c>
      <c r="H1806" s="1">
        <v>46054</v>
      </c>
      <c r="I1806" t="s">
        <v>874</v>
      </c>
      <c r="J1806" t="s">
        <v>873</v>
      </c>
      <c r="L1806">
        <v>15832.75</v>
      </c>
      <c r="M1806" t="s">
        <v>57</v>
      </c>
      <c r="N1806">
        <v>107</v>
      </c>
      <c r="O1806" t="s">
        <v>34</v>
      </c>
    </row>
    <row r="1807" spans="1:15" x14ac:dyDescent="0.3">
      <c r="A1807" t="s">
        <v>872</v>
      </c>
      <c r="B1807" t="s">
        <v>871</v>
      </c>
      <c r="D1807">
        <v>55</v>
      </c>
      <c r="E1807" t="s">
        <v>80</v>
      </c>
      <c r="F1807" t="s">
        <v>53</v>
      </c>
      <c r="G1807" s="1">
        <v>46148</v>
      </c>
      <c r="H1807" s="1">
        <v>46124</v>
      </c>
      <c r="I1807" t="s">
        <v>870</v>
      </c>
      <c r="J1807" t="s">
        <v>869</v>
      </c>
      <c r="K1807" t="s">
        <v>17</v>
      </c>
      <c r="L1807">
        <v>20219.37</v>
      </c>
      <c r="M1807" t="s">
        <v>17</v>
      </c>
      <c r="N1807">
        <v>392</v>
      </c>
      <c r="O1807" t="s">
        <v>43</v>
      </c>
    </row>
    <row r="1808" spans="1:15" x14ac:dyDescent="0.3">
      <c r="A1808" t="s">
        <v>868</v>
      </c>
      <c r="B1808" t="s">
        <v>867</v>
      </c>
      <c r="C1808" t="s">
        <v>74</v>
      </c>
      <c r="D1808">
        <v>33</v>
      </c>
      <c r="E1808" t="s">
        <v>21</v>
      </c>
      <c r="F1808" t="s">
        <v>30</v>
      </c>
      <c r="G1808" s="1">
        <v>46033</v>
      </c>
      <c r="H1808" s="1">
        <v>46021</v>
      </c>
      <c r="I1808" t="s">
        <v>866</v>
      </c>
      <c r="J1808" t="s">
        <v>865</v>
      </c>
      <c r="K1808" t="s">
        <v>35</v>
      </c>
      <c r="L1808">
        <v>6166.9</v>
      </c>
      <c r="M1808" t="s">
        <v>63</v>
      </c>
      <c r="N1808">
        <v>535</v>
      </c>
      <c r="O1808" t="s">
        <v>34</v>
      </c>
    </row>
    <row r="1809" spans="1:15" x14ac:dyDescent="0.3">
      <c r="A1809" t="s">
        <v>864</v>
      </c>
      <c r="B1809" t="s">
        <v>863</v>
      </c>
      <c r="C1809" t="s">
        <v>22</v>
      </c>
      <c r="D1809">
        <v>81</v>
      </c>
      <c r="E1809" t="s">
        <v>47</v>
      </c>
      <c r="F1809" t="s">
        <v>46</v>
      </c>
      <c r="G1809" s="1">
        <v>46163</v>
      </c>
      <c r="H1809" s="1">
        <v>46137</v>
      </c>
      <c r="I1809" t="s">
        <v>862</v>
      </c>
      <c r="J1809" t="s">
        <v>861</v>
      </c>
      <c r="K1809" t="s">
        <v>35</v>
      </c>
      <c r="L1809">
        <v>12064.75</v>
      </c>
      <c r="M1809" t="s">
        <v>57</v>
      </c>
      <c r="N1809">
        <v>100</v>
      </c>
      <c r="O1809" t="s">
        <v>77</v>
      </c>
    </row>
    <row r="1810" spans="1:15" x14ac:dyDescent="0.3">
      <c r="A1810" t="s">
        <v>860</v>
      </c>
      <c r="B1810" t="s">
        <v>859</v>
      </c>
      <c r="C1810" t="s">
        <v>123</v>
      </c>
      <c r="D1810">
        <v>77</v>
      </c>
      <c r="E1810" t="s">
        <v>54</v>
      </c>
      <c r="F1810" t="s">
        <v>90</v>
      </c>
      <c r="G1810" s="1">
        <v>46036</v>
      </c>
      <c r="H1810" s="1">
        <v>46034</v>
      </c>
      <c r="I1810" t="s">
        <v>858</v>
      </c>
      <c r="J1810" t="s">
        <v>857</v>
      </c>
      <c r="K1810" t="s">
        <v>27</v>
      </c>
      <c r="L1810">
        <v>3096.24</v>
      </c>
      <c r="N1810">
        <v>357</v>
      </c>
      <c r="O1810" t="s">
        <v>71</v>
      </c>
    </row>
    <row r="1811" spans="1:15" x14ac:dyDescent="0.3">
      <c r="A1811" t="s">
        <v>856</v>
      </c>
      <c r="B1811" t="s">
        <v>855</v>
      </c>
      <c r="C1811" t="s">
        <v>74</v>
      </c>
      <c r="D1811">
        <v>11</v>
      </c>
      <c r="E1811" t="s">
        <v>21</v>
      </c>
      <c r="F1811" t="s">
        <v>67</v>
      </c>
      <c r="G1811" s="1">
        <v>46121</v>
      </c>
      <c r="H1811" s="1">
        <v>46095</v>
      </c>
      <c r="I1811" t="s">
        <v>854</v>
      </c>
      <c r="J1811" t="s">
        <v>853</v>
      </c>
      <c r="K1811" t="s">
        <v>27</v>
      </c>
      <c r="L1811">
        <v>1388.32</v>
      </c>
      <c r="M1811" t="s">
        <v>64</v>
      </c>
      <c r="N1811">
        <v>292</v>
      </c>
      <c r="O1811" t="s">
        <v>34</v>
      </c>
    </row>
    <row r="1812" spans="1:15" x14ac:dyDescent="0.3">
      <c r="A1812" t="s">
        <v>852</v>
      </c>
      <c r="B1812" t="s">
        <v>851</v>
      </c>
      <c r="C1812" t="s">
        <v>40</v>
      </c>
      <c r="D1812">
        <v>79</v>
      </c>
      <c r="E1812" t="s">
        <v>850</v>
      </c>
      <c r="F1812" t="s">
        <v>20</v>
      </c>
      <c r="G1812" s="1">
        <v>46126</v>
      </c>
      <c r="H1812" s="1">
        <v>46117</v>
      </c>
      <c r="I1812" t="s">
        <v>849</v>
      </c>
      <c r="J1812" t="s">
        <v>848</v>
      </c>
      <c r="K1812" t="s">
        <v>64</v>
      </c>
      <c r="L1812">
        <v>21474.35</v>
      </c>
      <c r="M1812" t="s">
        <v>17</v>
      </c>
      <c r="N1812">
        <v>127</v>
      </c>
      <c r="O1812" t="s">
        <v>16</v>
      </c>
    </row>
    <row r="1813" spans="1:15" x14ac:dyDescent="0.3">
      <c r="A1813" t="s">
        <v>847</v>
      </c>
      <c r="B1813" t="s">
        <v>846</v>
      </c>
      <c r="C1813" t="s">
        <v>123</v>
      </c>
      <c r="D1813">
        <v>23</v>
      </c>
      <c r="E1813" t="s">
        <v>21</v>
      </c>
      <c r="F1813" t="s">
        <v>85</v>
      </c>
      <c r="G1813" s="1">
        <v>46015</v>
      </c>
      <c r="H1813" s="1">
        <v>45995</v>
      </c>
      <c r="I1813" t="s">
        <v>845</v>
      </c>
      <c r="J1813" t="s">
        <v>844</v>
      </c>
      <c r="L1813">
        <v>15749.05</v>
      </c>
      <c r="M1813" t="s">
        <v>27</v>
      </c>
      <c r="N1813">
        <v>473</v>
      </c>
      <c r="O1813" t="s">
        <v>43</v>
      </c>
    </row>
    <row r="1814" spans="1:15" x14ac:dyDescent="0.3">
      <c r="A1814" t="s">
        <v>843</v>
      </c>
      <c r="B1814" t="s">
        <v>842</v>
      </c>
      <c r="C1814" t="s">
        <v>1</v>
      </c>
      <c r="D1814">
        <v>82</v>
      </c>
      <c r="E1814" t="s">
        <v>132</v>
      </c>
      <c r="F1814" t="s">
        <v>30</v>
      </c>
      <c r="G1814" s="1">
        <v>45999</v>
      </c>
      <c r="H1814" s="1">
        <v>45999</v>
      </c>
      <c r="I1814" t="s">
        <v>841</v>
      </c>
      <c r="J1814" t="s">
        <v>840</v>
      </c>
      <c r="L1814">
        <v>11128.11</v>
      </c>
      <c r="M1814" t="s">
        <v>63</v>
      </c>
      <c r="N1814">
        <v>300</v>
      </c>
      <c r="O1814" t="s">
        <v>71</v>
      </c>
    </row>
    <row r="1815" spans="1:15" x14ac:dyDescent="0.3">
      <c r="A1815" t="s">
        <v>839</v>
      </c>
      <c r="B1815" t="s">
        <v>838</v>
      </c>
      <c r="C1815" t="s">
        <v>40</v>
      </c>
      <c r="D1815">
        <v>58</v>
      </c>
      <c r="E1815" t="s">
        <v>39</v>
      </c>
      <c r="F1815" t="s">
        <v>90</v>
      </c>
      <c r="G1815" s="1">
        <v>46030</v>
      </c>
      <c r="H1815" s="1">
        <v>46006</v>
      </c>
      <c r="I1815" t="s">
        <v>837</v>
      </c>
      <c r="J1815" t="s">
        <v>836</v>
      </c>
      <c r="L1815">
        <v>16850.560000000001</v>
      </c>
      <c r="M1815" t="s">
        <v>26</v>
      </c>
      <c r="N1815">
        <v>276</v>
      </c>
      <c r="O1815" t="s">
        <v>77</v>
      </c>
    </row>
    <row r="1816" spans="1:15" x14ac:dyDescent="0.3">
      <c r="A1816" t="s">
        <v>835</v>
      </c>
      <c r="B1816" t="s">
        <v>834</v>
      </c>
      <c r="C1816" t="s">
        <v>74</v>
      </c>
      <c r="D1816">
        <v>63</v>
      </c>
      <c r="E1816" t="s">
        <v>68</v>
      </c>
      <c r="F1816" t="s">
        <v>90</v>
      </c>
      <c r="G1816" s="1">
        <v>46068</v>
      </c>
      <c r="H1816" s="1">
        <v>46039</v>
      </c>
      <c r="I1816" t="s">
        <v>833</v>
      </c>
      <c r="J1816" t="s">
        <v>832</v>
      </c>
      <c r="K1816" t="s">
        <v>27</v>
      </c>
      <c r="L1816">
        <v>24553.16</v>
      </c>
      <c r="M1816" t="s">
        <v>64</v>
      </c>
      <c r="N1816">
        <v>493</v>
      </c>
      <c r="O1816" t="s">
        <v>50</v>
      </c>
    </row>
    <row r="1817" spans="1:15" x14ac:dyDescent="0.3">
      <c r="A1817" t="s">
        <v>831</v>
      </c>
      <c r="B1817" t="s">
        <v>830</v>
      </c>
      <c r="C1817" t="s">
        <v>22</v>
      </c>
      <c r="D1817">
        <v>3</v>
      </c>
      <c r="E1817" t="s">
        <v>54</v>
      </c>
      <c r="F1817" t="s">
        <v>30</v>
      </c>
      <c r="G1817" s="1">
        <v>45992</v>
      </c>
      <c r="H1817" s="1">
        <v>45990</v>
      </c>
      <c r="I1817" t="s">
        <v>829</v>
      </c>
      <c r="J1817" t="s">
        <v>828</v>
      </c>
      <c r="K1817" t="s">
        <v>17</v>
      </c>
      <c r="L1817">
        <v>5121.29</v>
      </c>
      <c r="N1817">
        <v>218</v>
      </c>
      <c r="O1817" t="s">
        <v>77</v>
      </c>
    </row>
    <row r="1818" spans="1:15" x14ac:dyDescent="0.3">
      <c r="A1818" t="s">
        <v>827</v>
      </c>
      <c r="B1818" t="s">
        <v>826</v>
      </c>
      <c r="C1818" t="s">
        <v>0</v>
      </c>
      <c r="D1818">
        <v>41</v>
      </c>
      <c r="E1818" t="s">
        <v>31</v>
      </c>
      <c r="F1818" t="s">
        <v>53</v>
      </c>
      <c r="G1818" s="1">
        <v>46029</v>
      </c>
      <c r="H1818" s="1">
        <v>46023</v>
      </c>
      <c r="I1818" t="s">
        <v>825</v>
      </c>
      <c r="J1818" t="s">
        <v>824</v>
      </c>
      <c r="K1818" t="s">
        <v>57</v>
      </c>
      <c r="L1818">
        <v>22912.32</v>
      </c>
      <c r="N1818">
        <v>155</v>
      </c>
      <c r="O1818" t="s">
        <v>16</v>
      </c>
    </row>
    <row r="1819" spans="1:15" x14ac:dyDescent="0.3">
      <c r="A1819" t="s">
        <v>823</v>
      </c>
      <c r="B1819" t="s">
        <v>822</v>
      </c>
      <c r="C1819" t="s">
        <v>74</v>
      </c>
      <c r="D1819">
        <v>60</v>
      </c>
      <c r="E1819" t="s">
        <v>47</v>
      </c>
      <c r="F1819" t="s">
        <v>38</v>
      </c>
      <c r="G1819" s="1">
        <v>46124</v>
      </c>
      <c r="H1819" s="1">
        <v>46097</v>
      </c>
      <c r="I1819" t="s">
        <v>821</v>
      </c>
      <c r="J1819" t="s">
        <v>820</v>
      </c>
      <c r="K1819" t="s">
        <v>35</v>
      </c>
      <c r="L1819">
        <v>17015.21</v>
      </c>
      <c r="M1819" t="s">
        <v>64</v>
      </c>
      <c r="N1819">
        <v>408</v>
      </c>
      <c r="O1819" t="s">
        <v>71</v>
      </c>
    </row>
    <row r="1820" spans="1:15" x14ac:dyDescent="0.3">
      <c r="A1820" t="s">
        <v>819</v>
      </c>
      <c r="B1820" t="s">
        <v>818</v>
      </c>
      <c r="C1820" t="s">
        <v>40</v>
      </c>
      <c r="D1820">
        <v>49</v>
      </c>
      <c r="E1820" t="s">
        <v>80</v>
      </c>
      <c r="F1820" t="s">
        <v>38</v>
      </c>
      <c r="G1820" s="1">
        <v>46126</v>
      </c>
      <c r="H1820" s="1">
        <v>46102</v>
      </c>
      <c r="I1820" t="s">
        <v>817</v>
      </c>
      <c r="J1820" t="s">
        <v>816</v>
      </c>
      <c r="L1820">
        <v>6101.73</v>
      </c>
      <c r="M1820" t="s">
        <v>17</v>
      </c>
      <c r="N1820">
        <v>167</v>
      </c>
      <c r="O1820" t="s">
        <v>16</v>
      </c>
    </row>
    <row r="1821" spans="1:15" x14ac:dyDescent="0.3">
      <c r="A1821" t="s">
        <v>815</v>
      </c>
      <c r="B1821" t="s">
        <v>814</v>
      </c>
      <c r="D1821">
        <v>70</v>
      </c>
      <c r="E1821" t="s">
        <v>31</v>
      </c>
      <c r="F1821" t="s">
        <v>90</v>
      </c>
      <c r="G1821" s="1">
        <v>46044</v>
      </c>
      <c r="H1821" s="1">
        <v>46041</v>
      </c>
      <c r="I1821" t="s">
        <v>813</v>
      </c>
      <c r="J1821" t="s">
        <v>812</v>
      </c>
      <c r="K1821" t="s">
        <v>17</v>
      </c>
      <c r="L1821">
        <v>5612.69</v>
      </c>
      <c r="M1821" t="s">
        <v>64</v>
      </c>
      <c r="N1821">
        <v>441</v>
      </c>
      <c r="O1821" t="s">
        <v>34</v>
      </c>
    </row>
    <row r="1822" spans="1:15" x14ac:dyDescent="0.3">
      <c r="A1822" t="s">
        <v>811</v>
      </c>
      <c r="B1822" t="s">
        <v>810</v>
      </c>
      <c r="C1822" t="s">
        <v>22</v>
      </c>
      <c r="D1822">
        <v>40</v>
      </c>
      <c r="E1822" t="s">
        <v>132</v>
      </c>
      <c r="F1822" t="s">
        <v>46</v>
      </c>
      <c r="G1822" s="1">
        <v>46023</v>
      </c>
      <c r="H1822" s="1">
        <v>46000</v>
      </c>
      <c r="I1822" t="s">
        <v>809</v>
      </c>
      <c r="J1822" t="s">
        <v>808</v>
      </c>
      <c r="K1822" t="s">
        <v>35</v>
      </c>
      <c r="L1822">
        <v>21641.040000000001</v>
      </c>
      <c r="M1822" t="s">
        <v>17</v>
      </c>
      <c r="N1822">
        <v>124</v>
      </c>
      <c r="O1822" t="s">
        <v>71</v>
      </c>
    </row>
    <row r="1823" spans="1:15" x14ac:dyDescent="0.3">
      <c r="A1823" t="s">
        <v>807</v>
      </c>
      <c r="B1823" t="s">
        <v>806</v>
      </c>
      <c r="C1823" t="s">
        <v>123</v>
      </c>
      <c r="D1823">
        <v>38</v>
      </c>
      <c r="E1823" t="s">
        <v>47</v>
      </c>
      <c r="F1823" t="s">
        <v>20</v>
      </c>
      <c r="G1823" s="1">
        <v>46131</v>
      </c>
      <c r="H1823" s="1">
        <v>46118</v>
      </c>
      <c r="I1823" t="s">
        <v>805</v>
      </c>
      <c r="J1823" t="s">
        <v>804</v>
      </c>
      <c r="K1823" t="s">
        <v>26</v>
      </c>
      <c r="L1823">
        <v>7262.06</v>
      </c>
      <c r="M1823" t="s">
        <v>27</v>
      </c>
      <c r="N1823">
        <v>221</v>
      </c>
      <c r="O1823" t="s">
        <v>16</v>
      </c>
    </row>
    <row r="1824" spans="1:15" x14ac:dyDescent="0.3">
      <c r="A1824" t="s">
        <v>803</v>
      </c>
      <c r="B1824" t="s">
        <v>802</v>
      </c>
      <c r="C1824" t="s">
        <v>1</v>
      </c>
      <c r="D1824">
        <v>88</v>
      </c>
      <c r="E1824" t="s">
        <v>132</v>
      </c>
      <c r="F1824" t="s">
        <v>20</v>
      </c>
      <c r="G1824" s="1">
        <v>46129</v>
      </c>
      <c r="H1824" s="1">
        <v>46117</v>
      </c>
      <c r="I1824" t="s">
        <v>801</v>
      </c>
      <c r="J1824" t="s">
        <v>800</v>
      </c>
      <c r="L1824">
        <v>13447.71</v>
      </c>
      <c r="M1824" t="s">
        <v>26</v>
      </c>
      <c r="N1824">
        <v>337</v>
      </c>
      <c r="O1824" t="s">
        <v>25</v>
      </c>
    </row>
    <row r="1825" spans="1:15" x14ac:dyDescent="0.3">
      <c r="A1825" t="s">
        <v>799</v>
      </c>
      <c r="B1825" t="s">
        <v>798</v>
      </c>
      <c r="D1825">
        <v>86</v>
      </c>
      <c r="E1825" t="s">
        <v>39</v>
      </c>
      <c r="F1825" t="s">
        <v>53</v>
      </c>
      <c r="G1825" s="1">
        <v>46099</v>
      </c>
      <c r="H1825" s="1">
        <v>46097</v>
      </c>
      <c r="I1825" t="s">
        <v>797</v>
      </c>
      <c r="J1825" t="s">
        <v>796</v>
      </c>
      <c r="K1825" t="s">
        <v>27</v>
      </c>
      <c r="L1825">
        <v>20882.150000000001</v>
      </c>
      <c r="M1825" t="s">
        <v>64</v>
      </c>
      <c r="N1825">
        <v>549</v>
      </c>
      <c r="O1825" t="s">
        <v>16</v>
      </c>
    </row>
    <row r="1826" spans="1:15" x14ac:dyDescent="0.3">
      <c r="A1826" t="s">
        <v>795</v>
      </c>
      <c r="B1826" t="s">
        <v>794</v>
      </c>
      <c r="C1826" t="s">
        <v>0</v>
      </c>
      <c r="D1826">
        <v>14</v>
      </c>
      <c r="E1826" t="s">
        <v>21</v>
      </c>
      <c r="F1826" t="s">
        <v>30</v>
      </c>
      <c r="G1826" s="1">
        <v>46128</v>
      </c>
      <c r="H1826" s="1">
        <v>46112</v>
      </c>
      <c r="I1826" t="s">
        <v>793</v>
      </c>
      <c r="J1826" t="s">
        <v>792</v>
      </c>
      <c r="L1826">
        <v>4456.17</v>
      </c>
      <c r="M1826" t="s">
        <v>17</v>
      </c>
      <c r="N1826">
        <v>476</v>
      </c>
      <c r="O1826" t="s">
        <v>50</v>
      </c>
    </row>
    <row r="1827" spans="1:15" x14ac:dyDescent="0.3">
      <c r="A1827" t="s">
        <v>791</v>
      </c>
      <c r="B1827" t="s">
        <v>790</v>
      </c>
      <c r="D1827">
        <v>88</v>
      </c>
      <c r="E1827" t="s">
        <v>68</v>
      </c>
      <c r="F1827" t="s">
        <v>38</v>
      </c>
      <c r="G1827" s="1">
        <v>46005</v>
      </c>
      <c r="H1827" s="1">
        <v>45981</v>
      </c>
      <c r="I1827" t="s">
        <v>789</v>
      </c>
      <c r="J1827" t="s">
        <v>788</v>
      </c>
      <c r="L1827">
        <v>21691.27</v>
      </c>
      <c r="M1827" t="s">
        <v>57</v>
      </c>
      <c r="N1827">
        <v>547</v>
      </c>
      <c r="O1827" t="s">
        <v>50</v>
      </c>
    </row>
    <row r="1828" spans="1:15" x14ac:dyDescent="0.3">
      <c r="A1828" t="s">
        <v>787</v>
      </c>
      <c r="B1828" t="s">
        <v>786</v>
      </c>
      <c r="C1828" t="s">
        <v>1</v>
      </c>
      <c r="D1828">
        <v>15</v>
      </c>
      <c r="E1828" t="s">
        <v>39</v>
      </c>
      <c r="F1828" t="s">
        <v>67</v>
      </c>
      <c r="G1828" s="1">
        <v>46148</v>
      </c>
      <c r="H1828" s="1">
        <v>46135</v>
      </c>
      <c r="I1828" t="s">
        <v>785</v>
      </c>
      <c r="J1828" t="s">
        <v>784</v>
      </c>
      <c r="K1828" t="s">
        <v>27</v>
      </c>
      <c r="L1828">
        <v>8594.09</v>
      </c>
      <c r="N1828">
        <v>478</v>
      </c>
      <c r="O1828" t="s">
        <v>77</v>
      </c>
    </row>
    <row r="1829" spans="1:15" x14ac:dyDescent="0.3">
      <c r="A1829" t="s">
        <v>783</v>
      </c>
      <c r="B1829" t="s">
        <v>782</v>
      </c>
      <c r="D1829">
        <v>90</v>
      </c>
      <c r="E1829" t="s">
        <v>54</v>
      </c>
      <c r="F1829" t="s">
        <v>90</v>
      </c>
      <c r="G1829" s="1">
        <v>46090</v>
      </c>
      <c r="H1829" s="1">
        <v>46069</v>
      </c>
      <c r="I1829" t="s">
        <v>781</v>
      </c>
      <c r="J1829" t="s">
        <v>780</v>
      </c>
      <c r="K1829" t="s">
        <v>64</v>
      </c>
      <c r="L1829">
        <v>11448.63</v>
      </c>
      <c r="M1829" t="s">
        <v>27</v>
      </c>
      <c r="N1829">
        <v>306</v>
      </c>
      <c r="O1829" t="s">
        <v>50</v>
      </c>
    </row>
    <row r="1830" spans="1:15" x14ac:dyDescent="0.3">
      <c r="A1830" t="s">
        <v>779</v>
      </c>
      <c r="B1830" t="s">
        <v>778</v>
      </c>
      <c r="D1830">
        <v>31</v>
      </c>
      <c r="E1830" t="s">
        <v>54</v>
      </c>
      <c r="F1830" t="s">
        <v>53</v>
      </c>
      <c r="G1830" s="1">
        <v>46115</v>
      </c>
      <c r="H1830" s="1">
        <v>46088</v>
      </c>
      <c r="I1830" t="s">
        <v>777</v>
      </c>
      <c r="J1830" t="s">
        <v>776</v>
      </c>
      <c r="K1830" t="s">
        <v>27</v>
      </c>
      <c r="L1830">
        <v>9254.14</v>
      </c>
      <c r="M1830" t="s">
        <v>27</v>
      </c>
      <c r="N1830">
        <v>292</v>
      </c>
      <c r="O1830" t="s">
        <v>34</v>
      </c>
    </row>
    <row r="1831" spans="1:15" x14ac:dyDescent="0.3">
      <c r="A1831" t="s">
        <v>775</v>
      </c>
      <c r="B1831" t="s">
        <v>774</v>
      </c>
      <c r="C1831" t="s">
        <v>0</v>
      </c>
      <c r="D1831">
        <v>11</v>
      </c>
      <c r="E1831" t="s">
        <v>39</v>
      </c>
      <c r="F1831" t="s">
        <v>53</v>
      </c>
      <c r="G1831" s="1">
        <v>46085</v>
      </c>
      <c r="H1831" s="1">
        <v>46078</v>
      </c>
      <c r="I1831" t="s">
        <v>773</v>
      </c>
      <c r="J1831" t="s">
        <v>772</v>
      </c>
      <c r="K1831" t="s">
        <v>57</v>
      </c>
      <c r="L1831">
        <v>8331.69</v>
      </c>
      <c r="M1831" t="s">
        <v>26</v>
      </c>
      <c r="N1831">
        <v>144</v>
      </c>
      <c r="O1831" t="s">
        <v>16</v>
      </c>
    </row>
    <row r="1832" spans="1:15" x14ac:dyDescent="0.3">
      <c r="A1832" t="s">
        <v>771</v>
      </c>
      <c r="B1832" t="s">
        <v>770</v>
      </c>
      <c r="C1832" t="s">
        <v>60</v>
      </c>
      <c r="D1832">
        <v>-5</v>
      </c>
      <c r="E1832" t="s">
        <v>31</v>
      </c>
      <c r="F1832" t="s">
        <v>85</v>
      </c>
      <c r="G1832" s="1">
        <v>46055</v>
      </c>
      <c r="H1832" s="1">
        <v>46060</v>
      </c>
      <c r="I1832" t="s">
        <v>769</v>
      </c>
      <c r="J1832" t="s">
        <v>768</v>
      </c>
      <c r="K1832" t="s">
        <v>64</v>
      </c>
      <c r="L1832">
        <v>17231.34</v>
      </c>
      <c r="N1832">
        <v>391</v>
      </c>
      <c r="O1832" t="s">
        <v>71</v>
      </c>
    </row>
    <row r="1833" spans="1:15" x14ac:dyDescent="0.3">
      <c r="A1833" t="s">
        <v>767</v>
      </c>
      <c r="B1833" t="s">
        <v>766</v>
      </c>
      <c r="C1833" t="s">
        <v>74</v>
      </c>
      <c r="D1833">
        <v>67</v>
      </c>
      <c r="E1833" t="s">
        <v>39</v>
      </c>
      <c r="F1833" t="s">
        <v>20</v>
      </c>
      <c r="G1833" s="1">
        <v>46148</v>
      </c>
      <c r="H1833" s="1">
        <v>46130</v>
      </c>
      <c r="I1833" t="s">
        <v>765</v>
      </c>
      <c r="J1833" t="s">
        <v>764</v>
      </c>
      <c r="K1833" t="s">
        <v>35</v>
      </c>
      <c r="L1833">
        <v>8319.34</v>
      </c>
      <c r="N1833">
        <v>333</v>
      </c>
      <c r="O1833" t="s">
        <v>50</v>
      </c>
    </row>
    <row r="1834" spans="1:15" x14ac:dyDescent="0.3">
      <c r="A1834" t="s">
        <v>763</v>
      </c>
      <c r="B1834" t="s">
        <v>762</v>
      </c>
      <c r="C1834" t="s">
        <v>40</v>
      </c>
      <c r="D1834">
        <v>72</v>
      </c>
      <c r="E1834" t="s">
        <v>132</v>
      </c>
      <c r="F1834" t="s">
        <v>38</v>
      </c>
      <c r="G1834" s="1">
        <v>46125</v>
      </c>
      <c r="H1834" s="1">
        <v>46112</v>
      </c>
      <c r="I1834" t="s">
        <v>761</v>
      </c>
      <c r="J1834" t="s">
        <v>760</v>
      </c>
      <c r="K1834" t="s">
        <v>26</v>
      </c>
      <c r="L1834">
        <v>19627.060000000001</v>
      </c>
      <c r="M1834" t="s">
        <v>27</v>
      </c>
      <c r="N1834">
        <v>181</v>
      </c>
      <c r="O1834" t="s">
        <v>71</v>
      </c>
    </row>
    <row r="1835" spans="1:15" x14ac:dyDescent="0.3">
      <c r="A1835" t="s">
        <v>759</v>
      </c>
      <c r="B1835" t="s">
        <v>758</v>
      </c>
      <c r="C1835" t="s">
        <v>40</v>
      </c>
      <c r="D1835">
        <v>43</v>
      </c>
      <c r="E1835" t="s">
        <v>47</v>
      </c>
      <c r="F1835" t="s">
        <v>38</v>
      </c>
      <c r="G1835" s="1">
        <v>46051</v>
      </c>
      <c r="H1835" s="1">
        <v>46030</v>
      </c>
      <c r="I1835" t="s">
        <v>757</v>
      </c>
      <c r="J1835" t="s">
        <v>756</v>
      </c>
      <c r="L1835">
        <v>24380.23</v>
      </c>
      <c r="M1835" t="s">
        <v>63</v>
      </c>
      <c r="N1835">
        <v>359</v>
      </c>
      <c r="O1835" t="s">
        <v>43</v>
      </c>
    </row>
    <row r="1836" spans="1:15" x14ac:dyDescent="0.3">
      <c r="A1836" t="s">
        <v>755</v>
      </c>
      <c r="B1836" t="s">
        <v>754</v>
      </c>
      <c r="C1836" t="s">
        <v>0</v>
      </c>
      <c r="D1836">
        <v>39</v>
      </c>
      <c r="E1836" t="s">
        <v>31</v>
      </c>
      <c r="F1836" t="s">
        <v>20</v>
      </c>
      <c r="G1836" s="1">
        <v>46001</v>
      </c>
      <c r="H1836" s="1">
        <v>45981</v>
      </c>
      <c r="I1836" t="s">
        <v>753</v>
      </c>
      <c r="J1836" t="s">
        <v>752</v>
      </c>
      <c r="K1836" t="s">
        <v>64</v>
      </c>
      <c r="L1836">
        <v>7232.44</v>
      </c>
      <c r="N1836">
        <v>420</v>
      </c>
      <c r="O1836" t="s">
        <v>34</v>
      </c>
    </row>
    <row r="1837" spans="1:15" x14ac:dyDescent="0.3">
      <c r="A1837" t="s">
        <v>751</v>
      </c>
      <c r="B1837" t="s">
        <v>750</v>
      </c>
      <c r="D1837">
        <v>5</v>
      </c>
      <c r="E1837" t="s">
        <v>68</v>
      </c>
      <c r="F1837" t="s">
        <v>20</v>
      </c>
      <c r="G1837" s="1">
        <v>46018</v>
      </c>
      <c r="H1837" s="1">
        <v>46007</v>
      </c>
      <c r="I1837" t="s">
        <v>749</v>
      </c>
      <c r="J1837" t="s">
        <v>748</v>
      </c>
      <c r="K1837" t="s">
        <v>35</v>
      </c>
      <c r="L1837">
        <v>6034.97</v>
      </c>
      <c r="N1837">
        <v>329</v>
      </c>
      <c r="O1837" t="s">
        <v>16</v>
      </c>
    </row>
    <row r="1838" spans="1:15" x14ac:dyDescent="0.3">
      <c r="A1838" t="s">
        <v>747</v>
      </c>
      <c r="B1838" t="s">
        <v>746</v>
      </c>
      <c r="D1838">
        <v>26</v>
      </c>
      <c r="E1838" t="s">
        <v>39</v>
      </c>
      <c r="F1838" t="s">
        <v>46</v>
      </c>
      <c r="G1838" s="1">
        <v>46014</v>
      </c>
      <c r="H1838" s="1">
        <v>45985</v>
      </c>
      <c r="I1838" t="s">
        <v>745</v>
      </c>
      <c r="J1838" t="s">
        <v>744</v>
      </c>
      <c r="L1838">
        <v>7017.52</v>
      </c>
      <c r="M1838" t="s">
        <v>64</v>
      </c>
      <c r="N1838">
        <v>414</v>
      </c>
      <c r="O1838" t="s">
        <v>77</v>
      </c>
    </row>
    <row r="1839" spans="1:15" x14ac:dyDescent="0.3">
      <c r="A1839" t="s">
        <v>743</v>
      </c>
      <c r="B1839" t="s">
        <v>742</v>
      </c>
      <c r="D1839">
        <v>64</v>
      </c>
      <c r="E1839" t="s">
        <v>68</v>
      </c>
      <c r="F1839" t="s">
        <v>90</v>
      </c>
      <c r="G1839" s="1">
        <v>46113</v>
      </c>
      <c r="H1839" s="1">
        <v>46096</v>
      </c>
      <c r="I1839" t="s">
        <v>741</v>
      </c>
      <c r="J1839" t="s">
        <v>740</v>
      </c>
      <c r="K1839" t="s">
        <v>35</v>
      </c>
      <c r="L1839">
        <v>21454.19</v>
      </c>
      <c r="N1839">
        <v>358</v>
      </c>
      <c r="O1839" t="s">
        <v>16</v>
      </c>
    </row>
    <row r="1840" spans="1:15" x14ac:dyDescent="0.3">
      <c r="A1840" t="s">
        <v>739</v>
      </c>
      <c r="B1840" t="s">
        <v>738</v>
      </c>
      <c r="C1840" t="s">
        <v>0</v>
      </c>
      <c r="D1840">
        <v>17</v>
      </c>
      <c r="E1840" t="s">
        <v>31</v>
      </c>
      <c r="F1840" t="s">
        <v>38</v>
      </c>
      <c r="G1840" s="1">
        <v>46031</v>
      </c>
      <c r="H1840" s="1">
        <v>46016</v>
      </c>
      <c r="I1840" t="s">
        <v>737</v>
      </c>
      <c r="J1840" t="s">
        <v>736</v>
      </c>
      <c r="K1840" t="s">
        <v>27</v>
      </c>
      <c r="L1840">
        <v>19805.09</v>
      </c>
      <c r="M1840" t="s">
        <v>17</v>
      </c>
      <c r="N1840">
        <v>448</v>
      </c>
      <c r="O1840" t="s">
        <v>34</v>
      </c>
    </row>
    <row r="1841" spans="1:15" x14ac:dyDescent="0.3">
      <c r="A1841" t="s">
        <v>735</v>
      </c>
      <c r="B1841" t="s">
        <v>734</v>
      </c>
      <c r="C1841" t="s">
        <v>40</v>
      </c>
      <c r="D1841">
        <v>52</v>
      </c>
      <c r="E1841" t="s">
        <v>39</v>
      </c>
      <c r="F1841" t="s">
        <v>38</v>
      </c>
      <c r="G1841" s="1">
        <v>45995</v>
      </c>
      <c r="H1841" s="1">
        <v>45984</v>
      </c>
      <c r="I1841" t="s">
        <v>733</v>
      </c>
      <c r="J1841" t="s">
        <v>732</v>
      </c>
      <c r="K1841" t="s">
        <v>27</v>
      </c>
      <c r="L1841">
        <v>17448.439999999999</v>
      </c>
      <c r="M1841" t="s">
        <v>27</v>
      </c>
      <c r="N1841">
        <v>439</v>
      </c>
      <c r="O1841" t="s">
        <v>50</v>
      </c>
    </row>
    <row r="1842" spans="1:15" x14ac:dyDescent="0.3">
      <c r="A1842" t="s">
        <v>731</v>
      </c>
      <c r="B1842" t="s">
        <v>730</v>
      </c>
      <c r="C1842" t="s">
        <v>60</v>
      </c>
      <c r="D1842">
        <v>50</v>
      </c>
      <c r="E1842" t="s">
        <v>54</v>
      </c>
      <c r="F1842" t="s">
        <v>67</v>
      </c>
      <c r="G1842" s="1">
        <v>46163</v>
      </c>
      <c r="H1842" s="1">
        <v>46142</v>
      </c>
      <c r="I1842" t="s">
        <v>729</v>
      </c>
      <c r="J1842" t="s">
        <v>728</v>
      </c>
      <c r="L1842">
        <v>14316</v>
      </c>
      <c r="M1842" t="s">
        <v>27</v>
      </c>
      <c r="N1842">
        <v>444</v>
      </c>
      <c r="O1842" t="s">
        <v>77</v>
      </c>
    </row>
    <row r="1843" spans="1:15" x14ac:dyDescent="0.3">
      <c r="A1843" t="s">
        <v>727</v>
      </c>
      <c r="B1843" t="s">
        <v>726</v>
      </c>
      <c r="C1843" t="s">
        <v>0</v>
      </c>
      <c r="D1843">
        <v>36</v>
      </c>
      <c r="E1843" t="s">
        <v>39</v>
      </c>
      <c r="F1843" t="s">
        <v>67</v>
      </c>
      <c r="G1843" s="1">
        <v>46111</v>
      </c>
      <c r="H1843" s="1">
        <v>46084</v>
      </c>
      <c r="I1843" t="s">
        <v>725</v>
      </c>
      <c r="J1843" t="s">
        <v>724</v>
      </c>
      <c r="K1843" t="s">
        <v>57</v>
      </c>
      <c r="L1843">
        <v>6854.4</v>
      </c>
      <c r="M1843" t="s">
        <v>26</v>
      </c>
      <c r="N1843">
        <v>368</v>
      </c>
      <c r="O1843" t="s">
        <v>16</v>
      </c>
    </row>
    <row r="1844" spans="1:15" x14ac:dyDescent="0.3">
      <c r="A1844" t="s">
        <v>723</v>
      </c>
      <c r="B1844" t="s">
        <v>722</v>
      </c>
      <c r="D1844">
        <v>76</v>
      </c>
      <c r="E1844" t="s">
        <v>54</v>
      </c>
      <c r="F1844" t="s">
        <v>38</v>
      </c>
      <c r="G1844" s="1">
        <v>46046</v>
      </c>
      <c r="H1844" s="1">
        <v>46042</v>
      </c>
      <c r="I1844" t="s">
        <v>721</v>
      </c>
      <c r="J1844" t="s">
        <v>720</v>
      </c>
      <c r="K1844" t="s">
        <v>57</v>
      </c>
      <c r="L1844">
        <v>20696.419999999998</v>
      </c>
      <c r="M1844" t="s">
        <v>63</v>
      </c>
      <c r="N1844">
        <v>195</v>
      </c>
      <c r="O1844" t="s">
        <v>25</v>
      </c>
    </row>
    <row r="1845" spans="1:15" x14ac:dyDescent="0.3">
      <c r="A1845" t="s">
        <v>719</v>
      </c>
      <c r="B1845" t="s">
        <v>718</v>
      </c>
      <c r="C1845" t="s">
        <v>1</v>
      </c>
      <c r="D1845">
        <v>82</v>
      </c>
      <c r="E1845" t="s">
        <v>39</v>
      </c>
      <c r="F1845" t="s">
        <v>30</v>
      </c>
      <c r="G1845" s="1">
        <v>46139</v>
      </c>
      <c r="H1845" s="1">
        <v>46114</v>
      </c>
      <c r="I1845" t="s">
        <v>717</v>
      </c>
      <c r="J1845" t="s">
        <v>716</v>
      </c>
      <c r="L1845">
        <v>20791.650000000001</v>
      </c>
      <c r="M1845" t="s">
        <v>57</v>
      </c>
      <c r="N1845">
        <v>543</v>
      </c>
      <c r="O1845" t="s">
        <v>71</v>
      </c>
    </row>
    <row r="1846" spans="1:15" x14ac:dyDescent="0.3">
      <c r="A1846" t="s">
        <v>715</v>
      </c>
      <c r="B1846" t="s">
        <v>714</v>
      </c>
      <c r="C1846" t="s">
        <v>74</v>
      </c>
      <c r="D1846">
        <v>44</v>
      </c>
      <c r="E1846" t="s">
        <v>54</v>
      </c>
      <c r="F1846" t="s">
        <v>53</v>
      </c>
      <c r="G1846" s="1">
        <v>46151</v>
      </c>
      <c r="H1846" s="1">
        <v>46143</v>
      </c>
      <c r="I1846" t="s">
        <v>713</v>
      </c>
      <c r="J1846" t="s">
        <v>712</v>
      </c>
      <c r="K1846" t="s">
        <v>64</v>
      </c>
      <c r="L1846">
        <v>17174.84</v>
      </c>
      <c r="M1846" t="s">
        <v>17</v>
      </c>
      <c r="N1846">
        <v>195</v>
      </c>
      <c r="O1846" t="s">
        <v>34</v>
      </c>
    </row>
    <row r="1847" spans="1:15" x14ac:dyDescent="0.3">
      <c r="A1847" t="s">
        <v>711</v>
      </c>
      <c r="B1847" t="s">
        <v>710</v>
      </c>
      <c r="C1847" t="s">
        <v>60</v>
      </c>
      <c r="D1847">
        <v>62</v>
      </c>
      <c r="E1847" t="s">
        <v>39</v>
      </c>
      <c r="F1847" t="s">
        <v>67</v>
      </c>
      <c r="G1847" s="1">
        <v>45996</v>
      </c>
      <c r="H1847" s="1">
        <v>45984</v>
      </c>
      <c r="I1847" t="s">
        <v>709</v>
      </c>
      <c r="J1847" t="s">
        <v>708</v>
      </c>
      <c r="K1847" t="s">
        <v>35</v>
      </c>
      <c r="L1847">
        <v>24221.97</v>
      </c>
      <c r="M1847" t="s">
        <v>26</v>
      </c>
      <c r="N1847">
        <v>306</v>
      </c>
      <c r="O1847" t="s">
        <v>34</v>
      </c>
    </row>
    <row r="1848" spans="1:15" x14ac:dyDescent="0.3">
      <c r="A1848" t="s">
        <v>707</v>
      </c>
      <c r="B1848" t="s">
        <v>706</v>
      </c>
      <c r="C1848" t="s">
        <v>1</v>
      </c>
      <c r="D1848">
        <v>89</v>
      </c>
      <c r="E1848" t="s">
        <v>21</v>
      </c>
      <c r="F1848" t="s">
        <v>67</v>
      </c>
      <c r="G1848" s="1">
        <v>46137</v>
      </c>
      <c r="H1848" s="1">
        <v>46121</v>
      </c>
      <c r="I1848" t="s">
        <v>705</v>
      </c>
      <c r="J1848" t="s">
        <v>704</v>
      </c>
      <c r="K1848" t="s">
        <v>57</v>
      </c>
      <c r="L1848">
        <v>2735.07</v>
      </c>
      <c r="M1848" t="s">
        <v>64</v>
      </c>
      <c r="N1848">
        <v>386</v>
      </c>
      <c r="O1848" t="s">
        <v>25</v>
      </c>
    </row>
    <row r="1849" spans="1:15" x14ac:dyDescent="0.3">
      <c r="A1849" t="s">
        <v>703</v>
      </c>
      <c r="B1849" t="s">
        <v>702</v>
      </c>
      <c r="C1849" t="s">
        <v>123</v>
      </c>
      <c r="D1849">
        <v>48</v>
      </c>
      <c r="E1849" t="s">
        <v>31</v>
      </c>
      <c r="F1849" t="s">
        <v>46</v>
      </c>
      <c r="G1849" s="1">
        <v>46015</v>
      </c>
      <c r="H1849" s="1">
        <v>45985</v>
      </c>
      <c r="I1849" t="s">
        <v>701</v>
      </c>
      <c r="J1849" t="s">
        <v>700</v>
      </c>
      <c r="L1849">
        <v>13069.59</v>
      </c>
      <c r="N1849">
        <v>535</v>
      </c>
      <c r="O1849" t="s">
        <v>34</v>
      </c>
    </row>
    <row r="1850" spans="1:15" x14ac:dyDescent="0.3">
      <c r="A1850" t="s">
        <v>699</v>
      </c>
      <c r="B1850" t="s">
        <v>698</v>
      </c>
      <c r="C1850" t="s">
        <v>60</v>
      </c>
      <c r="D1850">
        <v>3</v>
      </c>
      <c r="E1850" t="s">
        <v>31</v>
      </c>
      <c r="F1850" t="s">
        <v>85</v>
      </c>
      <c r="G1850" s="1">
        <v>46011</v>
      </c>
      <c r="H1850" s="1">
        <v>45987</v>
      </c>
      <c r="I1850" t="s">
        <v>697</v>
      </c>
      <c r="J1850" t="s">
        <v>696</v>
      </c>
      <c r="K1850" t="s">
        <v>26</v>
      </c>
      <c r="L1850">
        <v>20656.580000000002</v>
      </c>
      <c r="M1850" t="s">
        <v>57</v>
      </c>
      <c r="N1850">
        <v>103</v>
      </c>
      <c r="O1850" t="s">
        <v>71</v>
      </c>
    </row>
    <row r="1851" spans="1:15" x14ac:dyDescent="0.3">
      <c r="A1851" t="s">
        <v>695</v>
      </c>
      <c r="B1851" t="s">
        <v>694</v>
      </c>
      <c r="C1851" t="s">
        <v>22</v>
      </c>
      <c r="D1851">
        <v>81</v>
      </c>
      <c r="E1851" t="s">
        <v>80</v>
      </c>
      <c r="F1851" t="s">
        <v>20</v>
      </c>
      <c r="G1851" s="1">
        <v>46086</v>
      </c>
      <c r="H1851" s="1">
        <v>46057</v>
      </c>
      <c r="I1851" t="s">
        <v>693</v>
      </c>
      <c r="J1851" t="s">
        <v>692</v>
      </c>
      <c r="K1851" t="s">
        <v>64</v>
      </c>
      <c r="L1851">
        <v>22864.23</v>
      </c>
      <c r="N1851">
        <v>184</v>
      </c>
      <c r="O1851" t="s">
        <v>77</v>
      </c>
    </row>
    <row r="1852" spans="1:15" x14ac:dyDescent="0.3">
      <c r="A1852" t="s">
        <v>691</v>
      </c>
      <c r="B1852" t="s">
        <v>690</v>
      </c>
      <c r="C1852" t="s">
        <v>1</v>
      </c>
      <c r="D1852">
        <v>67</v>
      </c>
      <c r="E1852" t="s">
        <v>31</v>
      </c>
      <c r="F1852" t="s">
        <v>38</v>
      </c>
      <c r="G1852" s="1">
        <v>45988</v>
      </c>
      <c r="H1852" s="1">
        <v>45980</v>
      </c>
      <c r="I1852" t="s">
        <v>689</v>
      </c>
      <c r="K1852" t="s">
        <v>27</v>
      </c>
      <c r="L1852">
        <v>2333.0500000000002</v>
      </c>
      <c r="M1852" t="s">
        <v>17</v>
      </c>
      <c r="N1852">
        <v>207</v>
      </c>
      <c r="O1852" t="s">
        <v>16</v>
      </c>
    </row>
    <row r="1853" spans="1:15" x14ac:dyDescent="0.3">
      <c r="A1853" t="s">
        <v>688</v>
      </c>
      <c r="B1853" t="s">
        <v>687</v>
      </c>
      <c r="C1853" t="s">
        <v>22</v>
      </c>
      <c r="D1853">
        <v>12</v>
      </c>
      <c r="E1853" t="s">
        <v>31</v>
      </c>
      <c r="F1853" t="s">
        <v>30</v>
      </c>
      <c r="G1853" s="1">
        <v>46061</v>
      </c>
      <c r="H1853" s="1">
        <v>46047</v>
      </c>
      <c r="I1853" t="s">
        <v>686</v>
      </c>
      <c r="J1853" t="s">
        <v>685</v>
      </c>
      <c r="K1853" t="s">
        <v>64</v>
      </c>
      <c r="L1853">
        <v>8303.84</v>
      </c>
      <c r="M1853" t="s">
        <v>17</v>
      </c>
      <c r="N1853">
        <v>203</v>
      </c>
      <c r="O1853" t="s">
        <v>77</v>
      </c>
    </row>
    <row r="1854" spans="1:15" x14ac:dyDescent="0.3">
      <c r="A1854" t="s">
        <v>684</v>
      </c>
      <c r="B1854" t="s">
        <v>683</v>
      </c>
      <c r="C1854" t="s">
        <v>1</v>
      </c>
      <c r="D1854">
        <v>23</v>
      </c>
      <c r="E1854" t="s">
        <v>31</v>
      </c>
      <c r="F1854" t="s">
        <v>38</v>
      </c>
      <c r="G1854" s="1">
        <v>46126</v>
      </c>
      <c r="H1854" s="1">
        <v>46100</v>
      </c>
      <c r="I1854" t="s">
        <v>682</v>
      </c>
      <c r="J1854" t="s">
        <v>681</v>
      </c>
      <c r="L1854">
        <v>12001.22</v>
      </c>
      <c r="M1854" t="s">
        <v>64</v>
      </c>
      <c r="N1854">
        <v>221</v>
      </c>
      <c r="O1854" t="s">
        <v>50</v>
      </c>
    </row>
    <row r="1855" spans="1:15" x14ac:dyDescent="0.3">
      <c r="A1855" t="s">
        <v>680</v>
      </c>
      <c r="B1855" t="s">
        <v>679</v>
      </c>
      <c r="C1855" t="s">
        <v>123</v>
      </c>
      <c r="D1855">
        <v>58</v>
      </c>
      <c r="E1855" t="s">
        <v>31</v>
      </c>
      <c r="F1855" t="s">
        <v>46</v>
      </c>
      <c r="G1855" s="1">
        <v>46010</v>
      </c>
      <c r="H1855" s="1">
        <v>46010</v>
      </c>
      <c r="I1855" t="s">
        <v>678</v>
      </c>
      <c r="J1855" t="s">
        <v>677</v>
      </c>
      <c r="K1855" t="s">
        <v>26</v>
      </c>
      <c r="L1855">
        <v>23827.72</v>
      </c>
      <c r="M1855" t="s">
        <v>26</v>
      </c>
      <c r="N1855">
        <v>456</v>
      </c>
      <c r="O1855" t="s">
        <v>50</v>
      </c>
    </row>
    <row r="1856" spans="1:15" x14ac:dyDescent="0.3">
      <c r="A1856" t="s">
        <v>676</v>
      </c>
      <c r="B1856" t="s">
        <v>675</v>
      </c>
      <c r="C1856" t="s">
        <v>74</v>
      </c>
      <c r="D1856">
        <v>37</v>
      </c>
      <c r="E1856" t="s">
        <v>80</v>
      </c>
      <c r="F1856" t="s">
        <v>46</v>
      </c>
      <c r="G1856" s="1">
        <v>46032</v>
      </c>
      <c r="H1856" s="1">
        <v>46008</v>
      </c>
      <c r="I1856" t="s">
        <v>674</v>
      </c>
      <c r="J1856" t="s">
        <v>673</v>
      </c>
      <c r="K1856" t="s">
        <v>57</v>
      </c>
      <c r="L1856">
        <v>4597.6499999999996</v>
      </c>
      <c r="N1856">
        <v>415</v>
      </c>
      <c r="O1856" t="s">
        <v>34</v>
      </c>
    </row>
    <row r="1857" spans="1:15" x14ac:dyDescent="0.3">
      <c r="A1857" t="s">
        <v>672</v>
      </c>
      <c r="B1857" t="s">
        <v>671</v>
      </c>
      <c r="C1857" t="s">
        <v>74</v>
      </c>
      <c r="D1857">
        <v>90</v>
      </c>
      <c r="E1857" t="s">
        <v>68</v>
      </c>
      <c r="F1857" t="s">
        <v>46</v>
      </c>
      <c r="G1857" s="1">
        <v>46131</v>
      </c>
      <c r="H1857" s="1">
        <v>46112</v>
      </c>
      <c r="I1857" t="s">
        <v>670</v>
      </c>
      <c r="J1857" t="s">
        <v>669</v>
      </c>
      <c r="K1857" t="s">
        <v>35</v>
      </c>
      <c r="L1857">
        <v>18992.57</v>
      </c>
      <c r="M1857" t="s">
        <v>27</v>
      </c>
      <c r="N1857">
        <v>239</v>
      </c>
      <c r="O1857" t="s">
        <v>43</v>
      </c>
    </row>
    <row r="1858" spans="1:15" x14ac:dyDescent="0.3">
      <c r="A1858" t="s">
        <v>668</v>
      </c>
      <c r="B1858" t="s">
        <v>667</v>
      </c>
      <c r="C1858" t="s">
        <v>0</v>
      </c>
      <c r="D1858">
        <v>31</v>
      </c>
      <c r="E1858" t="s">
        <v>31</v>
      </c>
      <c r="F1858" t="s">
        <v>90</v>
      </c>
      <c r="G1858" s="1">
        <v>46056</v>
      </c>
      <c r="H1858" s="1">
        <v>46051</v>
      </c>
      <c r="I1858" t="s">
        <v>666</v>
      </c>
      <c r="J1858" t="s">
        <v>665</v>
      </c>
      <c r="K1858" t="s">
        <v>35</v>
      </c>
      <c r="L1858">
        <v>23392.31</v>
      </c>
      <c r="N1858">
        <v>313</v>
      </c>
      <c r="O1858" t="s">
        <v>77</v>
      </c>
    </row>
    <row r="1859" spans="1:15" x14ac:dyDescent="0.3">
      <c r="A1859" t="s">
        <v>664</v>
      </c>
      <c r="B1859" t="s">
        <v>663</v>
      </c>
      <c r="C1859" t="s">
        <v>60</v>
      </c>
      <c r="D1859">
        <v>75</v>
      </c>
      <c r="E1859" t="s">
        <v>54</v>
      </c>
      <c r="F1859" t="s">
        <v>85</v>
      </c>
      <c r="G1859" s="1">
        <v>46018</v>
      </c>
      <c r="H1859" s="1">
        <v>46001</v>
      </c>
      <c r="I1859" t="s">
        <v>662</v>
      </c>
      <c r="J1859" t="s">
        <v>661</v>
      </c>
      <c r="L1859">
        <v>7132.54</v>
      </c>
      <c r="M1859" t="s">
        <v>26</v>
      </c>
      <c r="N1859">
        <v>170</v>
      </c>
      <c r="O1859" t="s">
        <v>16</v>
      </c>
    </row>
    <row r="1860" spans="1:15" x14ac:dyDescent="0.3">
      <c r="A1860" t="s">
        <v>660</v>
      </c>
      <c r="B1860" t="s">
        <v>659</v>
      </c>
      <c r="C1860" t="s">
        <v>60</v>
      </c>
      <c r="D1860">
        <v>66</v>
      </c>
      <c r="E1860" t="s">
        <v>31</v>
      </c>
      <c r="F1860" t="s">
        <v>30</v>
      </c>
      <c r="G1860" s="1">
        <v>46089</v>
      </c>
      <c r="H1860" s="1">
        <v>46072</v>
      </c>
      <c r="I1860" t="s">
        <v>658</v>
      </c>
      <c r="J1860" t="s">
        <v>657</v>
      </c>
      <c r="K1860" t="s">
        <v>57</v>
      </c>
      <c r="L1860">
        <v>18375.62</v>
      </c>
      <c r="N1860">
        <v>286</v>
      </c>
      <c r="O1860" t="s">
        <v>50</v>
      </c>
    </row>
    <row r="1861" spans="1:15" x14ac:dyDescent="0.3">
      <c r="A1861" t="s">
        <v>656</v>
      </c>
      <c r="B1861" t="s">
        <v>655</v>
      </c>
      <c r="C1861" t="s">
        <v>60</v>
      </c>
      <c r="D1861">
        <v>79</v>
      </c>
      <c r="E1861" t="s">
        <v>132</v>
      </c>
      <c r="F1861" t="s">
        <v>53</v>
      </c>
      <c r="G1861" s="1">
        <v>46123</v>
      </c>
      <c r="H1861" s="1">
        <v>46107</v>
      </c>
      <c r="I1861" t="s">
        <v>654</v>
      </c>
      <c r="J1861" t="s">
        <v>653</v>
      </c>
      <c r="K1861" t="s">
        <v>35</v>
      </c>
      <c r="L1861">
        <v>7752.63</v>
      </c>
      <c r="M1861" t="s">
        <v>64</v>
      </c>
      <c r="N1861">
        <v>142</v>
      </c>
      <c r="O1861" t="s">
        <v>50</v>
      </c>
    </row>
    <row r="1862" spans="1:15" x14ac:dyDescent="0.3">
      <c r="A1862" t="s">
        <v>652</v>
      </c>
      <c r="B1862" t="s">
        <v>651</v>
      </c>
      <c r="C1862" t="s">
        <v>123</v>
      </c>
      <c r="D1862">
        <v>43</v>
      </c>
      <c r="E1862" t="s">
        <v>47</v>
      </c>
      <c r="F1862" t="s">
        <v>53</v>
      </c>
      <c r="G1862" s="1">
        <v>46037</v>
      </c>
      <c r="H1862" s="1">
        <v>46008</v>
      </c>
      <c r="I1862" t="s">
        <v>650</v>
      </c>
      <c r="J1862" t="s">
        <v>649</v>
      </c>
      <c r="K1862" t="s">
        <v>27</v>
      </c>
      <c r="L1862">
        <v>22085.75</v>
      </c>
      <c r="M1862" t="s">
        <v>27</v>
      </c>
      <c r="N1862">
        <v>179</v>
      </c>
      <c r="O1862" t="s">
        <v>50</v>
      </c>
    </row>
    <row r="1863" spans="1:15" x14ac:dyDescent="0.3">
      <c r="A1863" t="s">
        <v>648</v>
      </c>
      <c r="B1863" t="s">
        <v>647</v>
      </c>
      <c r="C1863" t="s">
        <v>22</v>
      </c>
      <c r="D1863">
        <v>48</v>
      </c>
      <c r="E1863" t="s">
        <v>21</v>
      </c>
      <c r="F1863" t="s">
        <v>38</v>
      </c>
      <c r="G1863" s="1">
        <v>45994</v>
      </c>
      <c r="H1863" s="1">
        <v>45992</v>
      </c>
      <c r="I1863" t="s">
        <v>646</v>
      </c>
      <c r="J1863" t="s">
        <v>645</v>
      </c>
      <c r="K1863" t="s">
        <v>17</v>
      </c>
      <c r="L1863">
        <v>3451.97</v>
      </c>
      <c r="M1863" t="s">
        <v>64</v>
      </c>
      <c r="N1863">
        <v>509</v>
      </c>
      <c r="O1863" t="s">
        <v>43</v>
      </c>
    </row>
    <row r="1864" spans="1:15" x14ac:dyDescent="0.3">
      <c r="A1864" t="s">
        <v>644</v>
      </c>
      <c r="B1864" t="s">
        <v>643</v>
      </c>
      <c r="C1864" t="s">
        <v>60</v>
      </c>
      <c r="D1864">
        <v>9</v>
      </c>
      <c r="E1864" t="s">
        <v>21</v>
      </c>
      <c r="F1864" t="s">
        <v>46</v>
      </c>
      <c r="G1864" s="1">
        <v>46075</v>
      </c>
      <c r="H1864" s="1">
        <v>46065</v>
      </c>
      <c r="I1864" t="s">
        <v>642</v>
      </c>
      <c r="J1864" t="s">
        <v>641</v>
      </c>
      <c r="K1864" t="s">
        <v>57</v>
      </c>
      <c r="L1864">
        <v>12117.12</v>
      </c>
      <c r="M1864" t="s">
        <v>57</v>
      </c>
      <c r="N1864">
        <v>424</v>
      </c>
      <c r="O1864" t="s">
        <v>25</v>
      </c>
    </row>
    <row r="1865" spans="1:15" x14ac:dyDescent="0.3">
      <c r="A1865" t="s">
        <v>640</v>
      </c>
      <c r="B1865" t="s">
        <v>639</v>
      </c>
      <c r="C1865" t="s">
        <v>123</v>
      </c>
      <c r="D1865">
        <v>72</v>
      </c>
      <c r="E1865" t="s">
        <v>39</v>
      </c>
      <c r="F1865" t="s">
        <v>20</v>
      </c>
      <c r="G1865" s="1">
        <v>46101</v>
      </c>
      <c r="H1865" s="1">
        <v>46092</v>
      </c>
      <c r="I1865" t="s">
        <v>638</v>
      </c>
      <c r="J1865" t="s">
        <v>637</v>
      </c>
      <c r="K1865" t="s">
        <v>26</v>
      </c>
      <c r="L1865">
        <v>7252.2</v>
      </c>
      <c r="N1865">
        <v>297</v>
      </c>
      <c r="O1865" t="s">
        <v>34</v>
      </c>
    </row>
    <row r="1866" spans="1:15" x14ac:dyDescent="0.3">
      <c r="A1866" t="s">
        <v>636</v>
      </c>
      <c r="B1866" t="s">
        <v>635</v>
      </c>
      <c r="D1866">
        <v>19</v>
      </c>
      <c r="E1866" t="s">
        <v>68</v>
      </c>
      <c r="F1866" t="s">
        <v>38</v>
      </c>
      <c r="G1866" s="1">
        <v>46049</v>
      </c>
      <c r="H1866" s="1">
        <v>46036</v>
      </c>
      <c r="I1866" t="s">
        <v>634</v>
      </c>
      <c r="J1866" t="s">
        <v>633</v>
      </c>
      <c r="L1866">
        <v>22491.95</v>
      </c>
      <c r="N1866">
        <v>468</v>
      </c>
      <c r="O1866" t="s">
        <v>43</v>
      </c>
    </row>
    <row r="1867" spans="1:15" x14ac:dyDescent="0.3">
      <c r="A1867" t="s">
        <v>632</v>
      </c>
      <c r="B1867" t="s">
        <v>631</v>
      </c>
      <c r="C1867" t="s">
        <v>123</v>
      </c>
      <c r="D1867">
        <v>20</v>
      </c>
      <c r="E1867" t="s">
        <v>47</v>
      </c>
      <c r="F1867" t="s">
        <v>53</v>
      </c>
      <c r="G1867" s="1">
        <v>46047</v>
      </c>
      <c r="H1867" s="1">
        <v>46036</v>
      </c>
      <c r="I1867" t="s">
        <v>630</v>
      </c>
      <c r="J1867" t="s">
        <v>629</v>
      </c>
      <c r="K1867" t="s">
        <v>35</v>
      </c>
      <c r="L1867">
        <v>22997.18</v>
      </c>
      <c r="M1867" t="s">
        <v>63</v>
      </c>
      <c r="N1867">
        <v>207</v>
      </c>
      <c r="O1867" t="s">
        <v>77</v>
      </c>
    </row>
    <row r="1868" spans="1:15" x14ac:dyDescent="0.3">
      <c r="A1868" t="s">
        <v>628</v>
      </c>
      <c r="B1868" t="s">
        <v>627</v>
      </c>
      <c r="C1868" t="s">
        <v>1</v>
      </c>
      <c r="D1868">
        <v>23</v>
      </c>
      <c r="E1868" t="s">
        <v>80</v>
      </c>
      <c r="F1868" t="s">
        <v>53</v>
      </c>
      <c r="G1868" s="1">
        <v>46020</v>
      </c>
      <c r="H1868" s="1">
        <v>46014</v>
      </c>
      <c r="I1868" t="s">
        <v>626</v>
      </c>
      <c r="J1868" t="s">
        <v>625</v>
      </c>
      <c r="K1868" t="s">
        <v>64</v>
      </c>
      <c r="L1868">
        <v>3332.13</v>
      </c>
      <c r="M1868" t="s">
        <v>26</v>
      </c>
      <c r="N1868">
        <v>549</v>
      </c>
      <c r="O1868" t="s">
        <v>50</v>
      </c>
    </row>
    <row r="1869" spans="1:15" x14ac:dyDescent="0.3">
      <c r="A1869" t="s">
        <v>624</v>
      </c>
      <c r="B1869" t="s">
        <v>623</v>
      </c>
      <c r="C1869" t="s">
        <v>40</v>
      </c>
      <c r="D1869">
        <v>81</v>
      </c>
      <c r="E1869" t="s">
        <v>132</v>
      </c>
      <c r="F1869" t="s">
        <v>20</v>
      </c>
      <c r="G1869" s="1">
        <v>46123</v>
      </c>
      <c r="H1869" s="1">
        <v>46122</v>
      </c>
      <c r="I1869" t="s">
        <v>622</v>
      </c>
      <c r="J1869" t="s">
        <v>621</v>
      </c>
      <c r="L1869">
        <v>18509.75</v>
      </c>
      <c r="M1869" t="s">
        <v>64</v>
      </c>
      <c r="N1869">
        <v>366</v>
      </c>
      <c r="O1869" t="s">
        <v>71</v>
      </c>
    </row>
    <row r="1870" spans="1:15" x14ac:dyDescent="0.3">
      <c r="A1870" t="s">
        <v>620</v>
      </c>
      <c r="B1870" t="s">
        <v>619</v>
      </c>
      <c r="C1870" t="s">
        <v>123</v>
      </c>
      <c r="D1870">
        <v>34</v>
      </c>
      <c r="E1870" t="s">
        <v>68</v>
      </c>
      <c r="F1870" t="s">
        <v>53</v>
      </c>
      <c r="G1870" s="1">
        <v>46093</v>
      </c>
      <c r="H1870" s="1">
        <v>46087</v>
      </c>
      <c r="I1870" t="s">
        <v>618</v>
      </c>
      <c r="J1870" t="s">
        <v>617</v>
      </c>
      <c r="L1870">
        <v>8756.18</v>
      </c>
      <c r="M1870" t="s">
        <v>26</v>
      </c>
      <c r="N1870">
        <v>492</v>
      </c>
      <c r="O1870" t="s">
        <v>16</v>
      </c>
    </row>
    <row r="1871" spans="1:15" x14ac:dyDescent="0.3">
      <c r="A1871" t="s">
        <v>616</v>
      </c>
      <c r="B1871" t="s">
        <v>615</v>
      </c>
      <c r="C1871" t="s">
        <v>123</v>
      </c>
      <c r="D1871">
        <v>67</v>
      </c>
      <c r="E1871" t="s">
        <v>80</v>
      </c>
      <c r="F1871" t="s">
        <v>85</v>
      </c>
      <c r="G1871" s="1">
        <v>45999</v>
      </c>
      <c r="H1871" s="1">
        <v>45994</v>
      </c>
      <c r="I1871" t="s">
        <v>614</v>
      </c>
      <c r="J1871" t="s">
        <v>613</v>
      </c>
      <c r="K1871" t="s">
        <v>35</v>
      </c>
      <c r="L1871">
        <v>22516.32</v>
      </c>
      <c r="N1871">
        <v>337</v>
      </c>
      <c r="O1871" t="s">
        <v>43</v>
      </c>
    </row>
    <row r="1872" spans="1:15" x14ac:dyDescent="0.3">
      <c r="A1872" t="s">
        <v>612</v>
      </c>
      <c r="B1872" t="s">
        <v>611</v>
      </c>
      <c r="C1872" t="s">
        <v>22</v>
      </c>
      <c r="D1872">
        <v>220</v>
      </c>
      <c r="E1872" t="s">
        <v>132</v>
      </c>
      <c r="F1872" t="s">
        <v>85</v>
      </c>
      <c r="G1872" s="1">
        <v>46007</v>
      </c>
      <c r="H1872" s="1">
        <v>46003</v>
      </c>
      <c r="I1872" t="s">
        <v>610</v>
      </c>
      <c r="J1872" t="s">
        <v>609</v>
      </c>
      <c r="L1872">
        <v>4037.92</v>
      </c>
      <c r="M1872" t="s">
        <v>27</v>
      </c>
      <c r="N1872">
        <v>266</v>
      </c>
      <c r="O1872" t="s">
        <v>71</v>
      </c>
    </row>
    <row r="1873" spans="1:15" x14ac:dyDescent="0.3">
      <c r="A1873" t="s">
        <v>608</v>
      </c>
      <c r="B1873" t="s">
        <v>607</v>
      </c>
      <c r="C1873" t="s">
        <v>74</v>
      </c>
      <c r="D1873">
        <v>66</v>
      </c>
      <c r="E1873" t="s">
        <v>68</v>
      </c>
      <c r="F1873" t="s">
        <v>90</v>
      </c>
      <c r="G1873" s="1">
        <v>46133</v>
      </c>
      <c r="H1873" s="1">
        <v>46105</v>
      </c>
      <c r="I1873" t="s">
        <v>606</v>
      </c>
      <c r="J1873" t="s">
        <v>605</v>
      </c>
      <c r="K1873" t="s">
        <v>17</v>
      </c>
      <c r="L1873">
        <v>18293</v>
      </c>
      <c r="N1873">
        <v>127</v>
      </c>
      <c r="O1873" t="s">
        <v>34</v>
      </c>
    </row>
    <row r="1874" spans="1:15" x14ac:dyDescent="0.3">
      <c r="A1874" t="s">
        <v>604</v>
      </c>
      <c r="B1874" t="s">
        <v>603</v>
      </c>
      <c r="C1874" t="s">
        <v>0</v>
      </c>
      <c r="D1874">
        <v>57</v>
      </c>
      <c r="E1874" t="s">
        <v>80</v>
      </c>
      <c r="F1874" t="s">
        <v>85</v>
      </c>
      <c r="G1874" s="1">
        <v>46048</v>
      </c>
      <c r="H1874" s="1">
        <v>46043</v>
      </c>
      <c r="I1874" t="s">
        <v>602</v>
      </c>
      <c r="J1874" t="s">
        <v>601</v>
      </c>
      <c r="K1874" t="s">
        <v>64</v>
      </c>
      <c r="L1874">
        <v>11537.74</v>
      </c>
      <c r="M1874" t="s">
        <v>57</v>
      </c>
      <c r="N1874">
        <v>201</v>
      </c>
      <c r="O1874" t="s">
        <v>16</v>
      </c>
    </row>
    <row r="1875" spans="1:15" x14ac:dyDescent="0.3">
      <c r="A1875" t="s">
        <v>600</v>
      </c>
      <c r="B1875" t="s">
        <v>599</v>
      </c>
      <c r="C1875" t="s">
        <v>1</v>
      </c>
      <c r="D1875">
        <v>73</v>
      </c>
      <c r="E1875" t="s">
        <v>39</v>
      </c>
      <c r="F1875" t="s">
        <v>46</v>
      </c>
      <c r="G1875" s="1">
        <v>46041</v>
      </c>
      <c r="H1875" s="1">
        <v>46031</v>
      </c>
      <c r="I1875" t="s">
        <v>598</v>
      </c>
      <c r="J1875" t="s">
        <v>597</v>
      </c>
      <c r="K1875" t="s">
        <v>35</v>
      </c>
      <c r="L1875">
        <v>4479.09</v>
      </c>
      <c r="M1875" t="s">
        <v>57</v>
      </c>
      <c r="N1875">
        <v>479</v>
      </c>
      <c r="O1875" t="s">
        <v>16</v>
      </c>
    </row>
    <row r="1876" spans="1:15" x14ac:dyDescent="0.3">
      <c r="A1876" t="s">
        <v>596</v>
      </c>
      <c r="B1876" t="s">
        <v>595</v>
      </c>
      <c r="C1876" t="s">
        <v>0</v>
      </c>
      <c r="D1876">
        <v>13</v>
      </c>
      <c r="E1876" t="s">
        <v>54</v>
      </c>
      <c r="F1876" t="s">
        <v>67</v>
      </c>
      <c r="G1876" s="1">
        <v>46147</v>
      </c>
      <c r="H1876" s="1">
        <v>46126</v>
      </c>
      <c r="I1876" t="s">
        <v>594</v>
      </c>
      <c r="J1876" t="s">
        <v>593</v>
      </c>
      <c r="K1876" t="s">
        <v>64</v>
      </c>
      <c r="L1876">
        <v>16080.87</v>
      </c>
      <c r="M1876" t="s">
        <v>57</v>
      </c>
      <c r="N1876">
        <v>383</v>
      </c>
      <c r="O1876" t="s">
        <v>34</v>
      </c>
    </row>
    <row r="1877" spans="1:15" x14ac:dyDescent="0.3">
      <c r="A1877" t="s">
        <v>592</v>
      </c>
      <c r="B1877" t="s">
        <v>591</v>
      </c>
      <c r="C1877" t="s">
        <v>0</v>
      </c>
      <c r="D1877">
        <v>31</v>
      </c>
      <c r="E1877" t="s">
        <v>39</v>
      </c>
      <c r="F1877" t="s">
        <v>67</v>
      </c>
      <c r="G1877" s="1">
        <v>46135</v>
      </c>
      <c r="H1877" s="1">
        <v>46115</v>
      </c>
      <c r="I1877" t="s">
        <v>590</v>
      </c>
      <c r="J1877" t="s">
        <v>589</v>
      </c>
      <c r="K1877" t="s">
        <v>57</v>
      </c>
      <c r="L1877">
        <v>17621.259999999998</v>
      </c>
      <c r="M1877" t="s">
        <v>57</v>
      </c>
      <c r="N1877">
        <v>504</v>
      </c>
      <c r="O1877" t="s">
        <v>34</v>
      </c>
    </row>
    <row r="1878" spans="1:15" x14ac:dyDescent="0.3">
      <c r="A1878" t="s">
        <v>588</v>
      </c>
      <c r="B1878" t="s">
        <v>587</v>
      </c>
      <c r="C1878" t="s">
        <v>1</v>
      </c>
      <c r="D1878">
        <v>41</v>
      </c>
      <c r="E1878" t="s">
        <v>132</v>
      </c>
      <c r="F1878" t="s">
        <v>30</v>
      </c>
      <c r="G1878" s="1">
        <v>46152</v>
      </c>
      <c r="H1878" s="1">
        <v>46139</v>
      </c>
      <c r="I1878" t="s">
        <v>586</v>
      </c>
      <c r="J1878" t="s">
        <v>585</v>
      </c>
      <c r="K1878" t="s">
        <v>64</v>
      </c>
      <c r="L1878">
        <v>12329.76</v>
      </c>
      <c r="N1878">
        <v>477</v>
      </c>
      <c r="O1878" t="s">
        <v>25</v>
      </c>
    </row>
    <row r="1879" spans="1:15" x14ac:dyDescent="0.3">
      <c r="A1879" t="s">
        <v>584</v>
      </c>
      <c r="B1879" t="s">
        <v>583</v>
      </c>
      <c r="D1879">
        <v>29</v>
      </c>
      <c r="E1879" t="s">
        <v>39</v>
      </c>
      <c r="F1879" t="s">
        <v>90</v>
      </c>
      <c r="G1879" s="1">
        <v>46038</v>
      </c>
      <c r="H1879" s="1">
        <v>46029</v>
      </c>
      <c r="I1879" t="s">
        <v>582</v>
      </c>
      <c r="J1879" t="s">
        <v>581</v>
      </c>
      <c r="K1879" t="s">
        <v>17</v>
      </c>
      <c r="L1879">
        <v>23559.08</v>
      </c>
      <c r="M1879" t="s">
        <v>17</v>
      </c>
      <c r="N1879">
        <v>233</v>
      </c>
      <c r="O1879" t="s">
        <v>50</v>
      </c>
    </row>
    <row r="1880" spans="1:15" x14ac:dyDescent="0.3">
      <c r="A1880" t="s">
        <v>580</v>
      </c>
      <c r="B1880" t="s">
        <v>579</v>
      </c>
      <c r="C1880" t="s">
        <v>22</v>
      </c>
      <c r="D1880">
        <v>74</v>
      </c>
      <c r="E1880" t="s">
        <v>68</v>
      </c>
      <c r="F1880" t="s">
        <v>20</v>
      </c>
      <c r="G1880" s="1">
        <v>46100</v>
      </c>
      <c r="H1880" s="1">
        <v>46095</v>
      </c>
      <c r="I1880" t="s">
        <v>578</v>
      </c>
      <c r="J1880" t="s">
        <v>577</v>
      </c>
      <c r="L1880">
        <v>15169.46</v>
      </c>
      <c r="N1880">
        <v>101</v>
      </c>
      <c r="O1880" t="s">
        <v>71</v>
      </c>
    </row>
    <row r="1881" spans="1:15" x14ac:dyDescent="0.3">
      <c r="A1881" t="s">
        <v>576</v>
      </c>
      <c r="B1881" t="s">
        <v>575</v>
      </c>
      <c r="C1881" t="s">
        <v>0</v>
      </c>
      <c r="D1881">
        <v>57</v>
      </c>
      <c r="E1881" t="s">
        <v>80</v>
      </c>
      <c r="F1881" t="s">
        <v>53</v>
      </c>
      <c r="G1881" s="1">
        <v>46057</v>
      </c>
      <c r="H1881" s="1">
        <v>46056</v>
      </c>
      <c r="I1881" t="s">
        <v>574</v>
      </c>
      <c r="J1881" t="s">
        <v>573</v>
      </c>
      <c r="K1881" t="s">
        <v>57</v>
      </c>
      <c r="L1881">
        <v>6312.94</v>
      </c>
      <c r="N1881">
        <v>488</v>
      </c>
      <c r="O1881" t="s">
        <v>34</v>
      </c>
    </row>
    <row r="1882" spans="1:15" x14ac:dyDescent="0.3">
      <c r="A1882" t="s">
        <v>572</v>
      </c>
      <c r="B1882" t="s">
        <v>571</v>
      </c>
      <c r="D1882">
        <v>15</v>
      </c>
      <c r="E1882" t="s">
        <v>21</v>
      </c>
      <c r="F1882" t="s">
        <v>85</v>
      </c>
      <c r="G1882" s="1">
        <v>46163</v>
      </c>
      <c r="H1882" s="1">
        <v>46141</v>
      </c>
      <c r="I1882" t="s">
        <v>570</v>
      </c>
      <c r="J1882" t="s">
        <v>569</v>
      </c>
      <c r="K1882" t="s">
        <v>57</v>
      </c>
      <c r="L1882">
        <v>3629.23</v>
      </c>
      <c r="M1882" t="s">
        <v>57</v>
      </c>
      <c r="N1882">
        <v>166</v>
      </c>
      <c r="O1882" t="s">
        <v>71</v>
      </c>
    </row>
    <row r="1883" spans="1:15" x14ac:dyDescent="0.3">
      <c r="A1883" t="s">
        <v>568</v>
      </c>
      <c r="B1883" t="s">
        <v>567</v>
      </c>
      <c r="C1883" t="s">
        <v>40</v>
      </c>
      <c r="D1883">
        <v>87</v>
      </c>
      <c r="E1883" t="s">
        <v>80</v>
      </c>
      <c r="F1883" t="s">
        <v>53</v>
      </c>
      <c r="G1883" s="1">
        <v>46160</v>
      </c>
      <c r="H1883" s="1">
        <v>46135</v>
      </c>
      <c r="I1883" t="s">
        <v>566</v>
      </c>
      <c r="J1883" t="s">
        <v>565</v>
      </c>
      <c r="K1883" t="s">
        <v>57</v>
      </c>
      <c r="L1883">
        <v>10048.870000000001</v>
      </c>
      <c r="M1883" t="s">
        <v>27</v>
      </c>
      <c r="N1883">
        <v>380</v>
      </c>
      <c r="O1883" t="s">
        <v>71</v>
      </c>
    </row>
    <row r="1884" spans="1:15" x14ac:dyDescent="0.3">
      <c r="A1884" t="s">
        <v>564</v>
      </c>
      <c r="B1884" t="s">
        <v>563</v>
      </c>
      <c r="C1884" t="s">
        <v>0</v>
      </c>
      <c r="D1884">
        <v>5</v>
      </c>
      <c r="E1884" t="s">
        <v>47</v>
      </c>
      <c r="F1884" t="s">
        <v>30</v>
      </c>
      <c r="G1884" s="1">
        <v>46159</v>
      </c>
      <c r="H1884" s="1">
        <v>46135</v>
      </c>
      <c r="I1884" t="s">
        <v>562</v>
      </c>
      <c r="J1884" t="s">
        <v>561</v>
      </c>
      <c r="L1884">
        <v>15243.18</v>
      </c>
      <c r="N1884">
        <v>365</v>
      </c>
      <c r="O1884" t="s">
        <v>34</v>
      </c>
    </row>
    <row r="1885" spans="1:15" x14ac:dyDescent="0.3">
      <c r="A1885" t="s">
        <v>560</v>
      </c>
      <c r="B1885" t="s">
        <v>559</v>
      </c>
      <c r="D1885">
        <v>45</v>
      </c>
      <c r="E1885" t="s">
        <v>21</v>
      </c>
      <c r="F1885" t="s">
        <v>67</v>
      </c>
      <c r="G1885" s="1">
        <v>46069</v>
      </c>
      <c r="H1885" s="1">
        <v>46048</v>
      </c>
      <c r="I1885" t="s">
        <v>558</v>
      </c>
      <c r="J1885" t="s">
        <v>557</v>
      </c>
      <c r="K1885" t="s">
        <v>57</v>
      </c>
      <c r="L1885">
        <v>4779.47</v>
      </c>
      <c r="N1885">
        <v>131</v>
      </c>
      <c r="O1885" t="s">
        <v>50</v>
      </c>
    </row>
    <row r="1886" spans="1:15" x14ac:dyDescent="0.3">
      <c r="A1886" t="s">
        <v>556</v>
      </c>
      <c r="B1886" t="s">
        <v>555</v>
      </c>
      <c r="C1886" t="s">
        <v>40</v>
      </c>
      <c r="D1886">
        <v>26</v>
      </c>
      <c r="E1886" t="s">
        <v>47</v>
      </c>
      <c r="F1886" t="s">
        <v>30</v>
      </c>
      <c r="G1886" s="1">
        <v>45998</v>
      </c>
      <c r="H1886" s="1">
        <v>45989</v>
      </c>
      <c r="I1886" t="s">
        <v>554</v>
      </c>
      <c r="J1886" t="s">
        <v>553</v>
      </c>
      <c r="K1886" t="s">
        <v>17</v>
      </c>
      <c r="L1886">
        <v>23079.11</v>
      </c>
      <c r="M1886" t="s">
        <v>64</v>
      </c>
      <c r="N1886">
        <v>517</v>
      </c>
      <c r="O1886" t="s">
        <v>34</v>
      </c>
    </row>
    <row r="1887" spans="1:15" x14ac:dyDescent="0.3">
      <c r="A1887" t="s">
        <v>552</v>
      </c>
      <c r="B1887" t="s">
        <v>551</v>
      </c>
      <c r="C1887" t="s">
        <v>60</v>
      </c>
      <c r="D1887">
        <v>15</v>
      </c>
      <c r="E1887" t="s">
        <v>68</v>
      </c>
      <c r="F1887" t="s">
        <v>20</v>
      </c>
      <c r="G1887" s="1">
        <v>46074</v>
      </c>
      <c r="H1887" s="1">
        <v>46063</v>
      </c>
      <c r="I1887" t="s">
        <v>550</v>
      </c>
      <c r="J1887" t="s">
        <v>549</v>
      </c>
      <c r="K1887" t="s">
        <v>35</v>
      </c>
      <c r="L1887">
        <v>23861.54</v>
      </c>
      <c r="M1887" t="s">
        <v>64</v>
      </c>
      <c r="N1887">
        <v>111</v>
      </c>
      <c r="O1887" t="s">
        <v>50</v>
      </c>
    </row>
    <row r="1888" spans="1:15" x14ac:dyDescent="0.3">
      <c r="A1888" t="s">
        <v>548</v>
      </c>
      <c r="B1888" t="s">
        <v>547</v>
      </c>
      <c r="C1888" t="s">
        <v>0</v>
      </c>
      <c r="D1888">
        <v>83</v>
      </c>
      <c r="E1888" t="s">
        <v>39</v>
      </c>
      <c r="F1888" t="s">
        <v>67</v>
      </c>
      <c r="G1888" s="1">
        <v>46169</v>
      </c>
      <c r="H1888" s="1">
        <v>46148</v>
      </c>
      <c r="I1888" t="s">
        <v>546</v>
      </c>
      <c r="J1888" t="s">
        <v>545</v>
      </c>
      <c r="K1888" t="s">
        <v>27</v>
      </c>
      <c r="L1888">
        <v>2493.38</v>
      </c>
      <c r="M1888" t="s">
        <v>57</v>
      </c>
      <c r="N1888">
        <v>344</v>
      </c>
      <c r="O1888" t="s">
        <v>43</v>
      </c>
    </row>
    <row r="1889" spans="1:15" x14ac:dyDescent="0.3">
      <c r="A1889" t="s">
        <v>544</v>
      </c>
      <c r="B1889" t="s">
        <v>543</v>
      </c>
      <c r="C1889" t="s">
        <v>1</v>
      </c>
      <c r="D1889">
        <v>8</v>
      </c>
      <c r="E1889" t="s">
        <v>21</v>
      </c>
      <c r="F1889" t="s">
        <v>46</v>
      </c>
      <c r="G1889" s="1">
        <v>46064</v>
      </c>
      <c r="H1889" s="1">
        <v>46046</v>
      </c>
      <c r="I1889" t="s">
        <v>542</v>
      </c>
      <c r="J1889" t="s">
        <v>541</v>
      </c>
      <c r="L1889">
        <v>24806.03</v>
      </c>
      <c r="M1889" t="s">
        <v>64</v>
      </c>
      <c r="N1889">
        <v>207</v>
      </c>
      <c r="O1889" t="s">
        <v>25</v>
      </c>
    </row>
    <row r="1890" spans="1:15" x14ac:dyDescent="0.3">
      <c r="A1890" t="s">
        <v>540</v>
      </c>
      <c r="B1890" t="s">
        <v>539</v>
      </c>
      <c r="D1890">
        <v>12</v>
      </c>
      <c r="E1890" t="s">
        <v>80</v>
      </c>
      <c r="F1890" t="s">
        <v>53</v>
      </c>
      <c r="G1890" s="1">
        <v>46075</v>
      </c>
      <c r="H1890" s="1">
        <v>46063</v>
      </c>
      <c r="I1890" t="s">
        <v>538</v>
      </c>
      <c r="J1890" t="s">
        <v>537</v>
      </c>
      <c r="K1890" t="s">
        <v>27</v>
      </c>
      <c r="L1890">
        <v>15905.61</v>
      </c>
      <c r="M1890" t="s">
        <v>26</v>
      </c>
      <c r="N1890">
        <v>159</v>
      </c>
      <c r="O1890" t="s">
        <v>71</v>
      </c>
    </row>
    <row r="1891" spans="1:15" x14ac:dyDescent="0.3">
      <c r="A1891" t="s">
        <v>536</v>
      </c>
      <c r="B1891" t="s">
        <v>535</v>
      </c>
      <c r="C1891" t="s">
        <v>0</v>
      </c>
      <c r="D1891">
        <v>16</v>
      </c>
      <c r="E1891" t="s">
        <v>68</v>
      </c>
      <c r="F1891" t="s">
        <v>90</v>
      </c>
      <c r="G1891" s="1">
        <v>46035</v>
      </c>
      <c r="H1891" s="1">
        <v>46021</v>
      </c>
      <c r="I1891" t="s">
        <v>534</v>
      </c>
      <c r="J1891" t="s">
        <v>533</v>
      </c>
      <c r="K1891" t="s">
        <v>35</v>
      </c>
      <c r="L1891">
        <v>1526.89</v>
      </c>
      <c r="M1891" t="s">
        <v>64</v>
      </c>
      <c r="N1891">
        <v>159</v>
      </c>
      <c r="O1891" t="s">
        <v>77</v>
      </c>
    </row>
    <row r="1892" spans="1:15" x14ac:dyDescent="0.3">
      <c r="A1892" t="s">
        <v>532</v>
      </c>
      <c r="B1892" t="s">
        <v>531</v>
      </c>
      <c r="C1892" t="s">
        <v>123</v>
      </c>
      <c r="D1892">
        <v>52</v>
      </c>
      <c r="E1892" t="s">
        <v>80</v>
      </c>
      <c r="F1892" t="s">
        <v>53</v>
      </c>
      <c r="G1892" s="1">
        <v>46085</v>
      </c>
      <c r="H1892" s="1">
        <v>46056</v>
      </c>
      <c r="I1892" t="s">
        <v>530</v>
      </c>
      <c r="J1892" t="s">
        <v>529</v>
      </c>
      <c r="K1892" t="s">
        <v>35</v>
      </c>
      <c r="L1892">
        <v>1237.9100000000001</v>
      </c>
      <c r="M1892" t="s">
        <v>27</v>
      </c>
      <c r="N1892">
        <v>328</v>
      </c>
      <c r="O1892" t="s">
        <v>71</v>
      </c>
    </row>
    <row r="1893" spans="1:15" x14ac:dyDescent="0.3">
      <c r="A1893" t="s">
        <v>528</v>
      </c>
      <c r="B1893" t="s">
        <v>527</v>
      </c>
      <c r="C1893" t="s">
        <v>60</v>
      </c>
      <c r="D1893">
        <v>85</v>
      </c>
      <c r="E1893" t="s">
        <v>68</v>
      </c>
      <c r="F1893" t="s">
        <v>38</v>
      </c>
      <c r="G1893" s="1">
        <v>45989</v>
      </c>
      <c r="H1893" s="1">
        <v>45983</v>
      </c>
      <c r="I1893" t="s">
        <v>526</v>
      </c>
      <c r="J1893" t="s">
        <v>525</v>
      </c>
      <c r="K1893" t="s">
        <v>17</v>
      </c>
      <c r="L1893">
        <v>1118.17</v>
      </c>
      <c r="M1893" t="s">
        <v>57</v>
      </c>
      <c r="N1893">
        <v>320</v>
      </c>
      <c r="O1893" t="s">
        <v>16</v>
      </c>
    </row>
    <row r="1894" spans="1:15" x14ac:dyDescent="0.3">
      <c r="A1894" t="s">
        <v>524</v>
      </c>
      <c r="B1894" t="s">
        <v>523</v>
      </c>
      <c r="C1894" t="s">
        <v>60</v>
      </c>
      <c r="D1894">
        <v>27</v>
      </c>
      <c r="E1894" t="s">
        <v>47</v>
      </c>
      <c r="F1894" t="s">
        <v>53</v>
      </c>
      <c r="G1894" s="1">
        <v>46088</v>
      </c>
      <c r="H1894" s="1">
        <v>46074</v>
      </c>
      <c r="I1894" t="s">
        <v>522</v>
      </c>
      <c r="J1894" t="s">
        <v>521</v>
      </c>
      <c r="K1894" t="s">
        <v>26</v>
      </c>
      <c r="L1894">
        <v>19460.89</v>
      </c>
      <c r="M1894" t="s">
        <v>64</v>
      </c>
      <c r="N1894">
        <v>176</v>
      </c>
      <c r="O1894" t="s">
        <v>50</v>
      </c>
    </row>
    <row r="1895" spans="1:15" x14ac:dyDescent="0.3">
      <c r="A1895" t="s">
        <v>520</v>
      </c>
      <c r="B1895" t="s">
        <v>519</v>
      </c>
      <c r="C1895" t="s">
        <v>22</v>
      </c>
      <c r="D1895">
        <v>23</v>
      </c>
      <c r="E1895" t="s">
        <v>80</v>
      </c>
      <c r="F1895" t="s">
        <v>20</v>
      </c>
      <c r="G1895" s="1">
        <v>46019</v>
      </c>
      <c r="H1895" s="1">
        <v>46010</v>
      </c>
      <c r="I1895" t="s">
        <v>518</v>
      </c>
      <c r="J1895" t="s">
        <v>517</v>
      </c>
      <c r="K1895" t="s">
        <v>27</v>
      </c>
      <c r="L1895">
        <v>19787.96</v>
      </c>
      <c r="N1895">
        <v>420</v>
      </c>
      <c r="O1895" t="s">
        <v>34</v>
      </c>
    </row>
    <row r="1896" spans="1:15" x14ac:dyDescent="0.3">
      <c r="A1896" t="s">
        <v>516</v>
      </c>
      <c r="B1896" t="s">
        <v>515</v>
      </c>
      <c r="C1896" t="s">
        <v>0</v>
      </c>
      <c r="D1896">
        <v>44</v>
      </c>
      <c r="E1896" t="s">
        <v>47</v>
      </c>
      <c r="F1896" t="s">
        <v>67</v>
      </c>
      <c r="G1896" s="1">
        <v>46061</v>
      </c>
      <c r="H1896" s="1">
        <v>46057</v>
      </c>
      <c r="I1896" t="s">
        <v>514</v>
      </c>
      <c r="J1896" t="s">
        <v>513</v>
      </c>
      <c r="K1896" t="s">
        <v>35</v>
      </c>
      <c r="L1896">
        <v>14988.82</v>
      </c>
      <c r="N1896">
        <v>165</v>
      </c>
      <c r="O1896" t="s">
        <v>77</v>
      </c>
    </row>
    <row r="1897" spans="1:15" x14ac:dyDescent="0.3">
      <c r="A1897" t="s">
        <v>512</v>
      </c>
      <c r="B1897" t="s">
        <v>511</v>
      </c>
      <c r="C1897" t="s">
        <v>1</v>
      </c>
      <c r="D1897">
        <v>90</v>
      </c>
      <c r="E1897" t="s">
        <v>31</v>
      </c>
      <c r="F1897" t="s">
        <v>67</v>
      </c>
      <c r="G1897" s="1">
        <v>46075</v>
      </c>
      <c r="H1897" s="1">
        <v>46052</v>
      </c>
      <c r="I1897" t="s">
        <v>510</v>
      </c>
      <c r="J1897" t="s">
        <v>509</v>
      </c>
      <c r="L1897">
        <v>21023.22</v>
      </c>
      <c r="M1897" t="s">
        <v>64</v>
      </c>
      <c r="N1897">
        <v>514</v>
      </c>
      <c r="O1897" t="s">
        <v>25</v>
      </c>
    </row>
    <row r="1898" spans="1:15" x14ac:dyDescent="0.3">
      <c r="A1898" t="s">
        <v>508</v>
      </c>
      <c r="B1898" t="s">
        <v>507</v>
      </c>
      <c r="C1898" t="s">
        <v>40</v>
      </c>
      <c r="D1898">
        <v>28</v>
      </c>
      <c r="E1898" t="s">
        <v>31</v>
      </c>
      <c r="F1898" t="s">
        <v>53</v>
      </c>
      <c r="G1898" s="1">
        <v>46082</v>
      </c>
      <c r="H1898" s="1">
        <v>46058</v>
      </c>
      <c r="I1898" t="s">
        <v>506</v>
      </c>
      <c r="J1898" t="s">
        <v>505</v>
      </c>
      <c r="L1898">
        <v>20622.64</v>
      </c>
      <c r="M1898" t="s">
        <v>64</v>
      </c>
      <c r="N1898">
        <v>217</v>
      </c>
      <c r="O1898" t="s">
        <v>16</v>
      </c>
    </row>
    <row r="1899" spans="1:15" x14ac:dyDescent="0.3">
      <c r="A1899" t="s">
        <v>504</v>
      </c>
      <c r="B1899" t="s">
        <v>503</v>
      </c>
      <c r="C1899" t="s">
        <v>74</v>
      </c>
      <c r="D1899">
        <v>19</v>
      </c>
      <c r="E1899" t="s">
        <v>132</v>
      </c>
      <c r="F1899" t="s">
        <v>38</v>
      </c>
      <c r="G1899" s="1">
        <v>46118</v>
      </c>
      <c r="H1899" s="1">
        <v>46105</v>
      </c>
      <c r="I1899" t="s">
        <v>502</v>
      </c>
      <c r="J1899" t="s">
        <v>501</v>
      </c>
      <c r="K1899" t="s">
        <v>57</v>
      </c>
      <c r="L1899">
        <v>13832.44</v>
      </c>
      <c r="M1899" t="s">
        <v>17</v>
      </c>
      <c r="N1899">
        <v>298</v>
      </c>
      <c r="O1899" t="s">
        <v>43</v>
      </c>
    </row>
    <row r="1900" spans="1:15" x14ac:dyDescent="0.3">
      <c r="A1900" t="s">
        <v>500</v>
      </c>
      <c r="B1900" t="s">
        <v>499</v>
      </c>
      <c r="C1900" t="s">
        <v>0</v>
      </c>
      <c r="D1900">
        <v>28</v>
      </c>
      <c r="E1900" t="s">
        <v>47</v>
      </c>
      <c r="F1900" t="s">
        <v>30</v>
      </c>
      <c r="G1900" s="1">
        <v>46164</v>
      </c>
      <c r="H1900" s="1">
        <v>46134</v>
      </c>
      <c r="I1900" t="s">
        <v>498</v>
      </c>
      <c r="J1900" t="s">
        <v>497</v>
      </c>
      <c r="K1900" t="s">
        <v>64</v>
      </c>
      <c r="L1900">
        <v>22224.94</v>
      </c>
      <c r="M1900" t="s">
        <v>26</v>
      </c>
      <c r="N1900">
        <v>113</v>
      </c>
      <c r="O1900" t="s">
        <v>71</v>
      </c>
    </row>
    <row r="1901" spans="1:15" x14ac:dyDescent="0.3">
      <c r="A1901" t="s">
        <v>496</v>
      </c>
      <c r="B1901" t="s">
        <v>495</v>
      </c>
      <c r="D1901">
        <v>7</v>
      </c>
      <c r="E1901" t="s">
        <v>54</v>
      </c>
      <c r="F1901" t="s">
        <v>20</v>
      </c>
      <c r="G1901" s="1">
        <v>46074</v>
      </c>
      <c r="H1901" s="1">
        <v>46063</v>
      </c>
      <c r="I1901" t="s">
        <v>494</v>
      </c>
      <c r="J1901" t="s">
        <v>493</v>
      </c>
      <c r="K1901" t="s">
        <v>35</v>
      </c>
      <c r="L1901">
        <v>12086.9</v>
      </c>
      <c r="N1901">
        <v>242</v>
      </c>
      <c r="O1901" t="s">
        <v>77</v>
      </c>
    </row>
    <row r="1902" spans="1:15" x14ac:dyDescent="0.3">
      <c r="A1902" t="s">
        <v>492</v>
      </c>
      <c r="B1902" t="s">
        <v>491</v>
      </c>
      <c r="C1902" t="s">
        <v>0</v>
      </c>
      <c r="D1902">
        <v>77</v>
      </c>
      <c r="E1902" t="s">
        <v>47</v>
      </c>
      <c r="F1902" t="s">
        <v>85</v>
      </c>
      <c r="G1902" s="1">
        <v>46002</v>
      </c>
      <c r="H1902" s="1">
        <v>45979</v>
      </c>
      <c r="I1902" t="s">
        <v>490</v>
      </c>
      <c r="J1902" t="s">
        <v>489</v>
      </c>
      <c r="K1902" t="s">
        <v>64</v>
      </c>
      <c r="L1902" t="s">
        <v>488</v>
      </c>
      <c r="M1902" t="s">
        <v>27</v>
      </c>
      <c r="N1902">
        <v>311</v>
      </c>
      <c r="O1902" t="s">
        <v>71</v>
      </c>
    </row>
    <row r="1903" spans="1:15" x14ac:dyDescent="0.3">
      <c r="A1903" t="s">
        <v>487</v>
      </c>
      <c r="B1903" t="s">
        <v>486</v>
      </c>
      <c r="C1903" t="s">
        <v>0</v>
      </c>
      <c r="D1903">
        <v>17</v>
      </c>
      <c r="E1903" t="s">
        <v>132</v>
      </c>
      <c r="F1903" t="s">
        <v>20</v>
      </c>
      <c r="G1903" s="1">
        <v>46029</v>
      </c>
      <c r="H1903" s="1">
        <v>46019</v>
      </c>
      <c r="I1903" t="s">
        <v>485</v>
      </c>
      <c r="J1903" t="s">
        <v>484</v>
      </c>
      <c r="K1903" t="s">
        <v>57</v>
      </c>
      <c r="L1903">
        <v>6674.33</v>
      </c>
      <c r="M1903" t="s">
        <v>26</v>
      </c>
      <c r="N1903">
        <v>523</v>
      </c>
      <c r="O1903" t="s">
        <v>25</v>
      </c>
    </row>
    <row r="1904" spans="1:15" x14ac:dyDescent="0.3">
      <c r="A1904" t="s">
        <v>483</v>
      </c>
      <c r="B1904" t="s">
        <v>482</v>
      </c>
      <c r="C1904" t="s">
        <v>40</v>
      </c>
      <c r="D1904">
        <v>29</v>
      </c>
      <c r="E1904" t="s">
        <v>132</v>
      </c>
      <c r="F1904" t="s">
        <v>46</v>
      </c>
      <c r="G1904" s="1">
        <v>46027</v>
      </c>
      <c r="H1904" s="1">
        <v>46020</v>
      </c>
      <c r="I1904" t="s">
        <v>481</v>
      </c>
      <c r="J1904" t="s">
        <v>480</v>
      </c>
      <c r="K1904" t="s">
        <v>27</v>
      </c>
      <c r="L1904">
        <v>3292.43</v>
      </c>
      <c r="M1904" t="s">
        <v>17</v>
      </c>
      <c r="N1904">
        <v>307</v>
      </c>
      <c r="O1904" t="s">
        <v>16</v>
      </c>
    </row>
    <row r="1905" spans="1:15" x14ac:dyDescent="0.3">
      <c r="A1905" t="s">
        <v>479</v>
      </c>
      <c r="B1905" t="s">
        <v>478</v>
      </c>
      <c r="D1905">
        <v>48</v>
      </c>
      <c r="E1905" t="s">
        <v>54</v>
      </c>
      <c r="F1905" t="s">
        <v>30</v>
      </c>
      <c r="G1905" s="1">
        <v>46025</v>
      </c>
      <c r="H1905" s="1">
        <v>46006</v>
      </c>
      <c r="I1905" t="s">
        <v>477</v>
      </c>
      <c r="J1905" t="s">
        <v>476</v>
      </c>
      <c r="K1905" t="s">
        <v>64</v>
      </c>
      <c r="L1905">
        <v>9398.02</v>
      </c>
      <c r="M1905" t="s">
        <v>17</v>
      </c>
      <c r="N1905">
        <v>290</v>
      </c>
      <c r="O1905" t="s">
        <v>43</v>
      </c>
    </row>
    <row r="1906" spans="1:15" x14ac:dyDescent="0.3">
      <c r="A1906" t="s">
        <v>475</v>
      </c>
      <c r="B1906" t="s">
        <v>474</v>
      </c>
      <c r="C1906" t="s">
        <v>123</v>
      </c>
      <c r="D1906">
        <v>23</v>
      </c>
      <c r="E1906" t="s">
        <v>21</v>
      </c>
      <c r="F1906" t="s">
        <v>30</v>
      </c>
      <c r="G1906" s="1">
        <v>46006</v>
      </c>
      <c r="H1906" s="1">
        <v>45991</v>
      </c>
      <c r="I1906" t="s">
        <v>473</v>
      </c>
      <c r="J1906" t="s">
        <v>472</v>
      </c>
      <c r="K1906" t="s">
        <v>64</v>
      </c>
      <c r="L1906">
        <v>3594.11</v>
      </c>
      <c r="M1906" t="s">
        <v>63</v>
      </c>
      <c r="N1906">
        <v>336</v>
      </c>
      <c r="O1906" t="s">
        <v>16</v>
      </c>
    </row>
    <row r="1907" spans="1:15" x14ac:dyDescent="0.3">
      <c r="A1907" t="s">
        <v>471</v>
      </c>
      <c r="B1907" t="s">
        <v>470</v>
      </c>
      <c r="C1907" t="s">
        <v>40</v>
      </c>
      <c r="D1907">
        <v>15</v>
      </c>
      <c r="E1907" t="s">
        <v>47</v>
      </c>
      <c r="F1907" t="s">
        <v>46</v>
      </c>
      <c r="G1907" s="1">
        <v>46147</v>
      </c>
      <c r="H1907" s="1">
        <v>46123</v>
      </c>
      <c r="I1907" t="s">
        <v>469</v>
      </c>
      <c r="J1907" t="s">
        <v>468</v>
      </c>
      <c r="K1907" t="s">
        <v>64</v>
      </c>
      <c r="L1907">
        <v>19972.02</v>
      </c>
      <c r="M1907" t="s">
        <v>64</v>
      </c>
      <c r="N1907">
        <v>119</v>
      </c>
      <c r="O1907" t="s">
        <v>71</v>
      </c>
    </row>
    <row r="1908" spans="1:15" x14ac:dyDescent="0.3">
      <c r="A1908" t="s">
        <v>467</v>
      </c>
      <c r="B1908" t="s">
        <v>466</v>
      </c>
      <c r="C1908" t="s">
        <v>40</v>
      </c>
      <c r="D1908">
        <v>53</v>
      </c>
      <c r="E1908" t="s">
        <v>21</v>
      </c>
      <c r="F1908" t="s">
        <v>20</v>
      </c>
      <c r="G1908" s="1">
        <v>46074</v>
      </c>
      <c r="H1908" s="1">
        <v>46060</v>
      </c>
      <c r="I1908" t="s">
        <v>465</v>
      </c>
      <c r="J1908" t="s">
        <v>464</v>
      </c>
      <c r="L1908">
        <v>7049.02</v>
      </c>
      <c r="M1908" t="s">
        <v>64</v>
      </c>
      <c r="N1908">
        <v>350</v>
      </c>
      <c r="O1908" t="s">
        <v>71</v>
      </c>
    </row>
    <row r="1909" spans="1:15" x14ac:dyDescent="0.3">
      <c r="A1909" t="s">
        <v>463</v>
      </c>
      <c r="B1909" t="s">
        <v>462</v>
      </c>
      <c r="C1909" t="s">
        <v>123</v>
      </c>
      <c r="D1909">
        <v>67</v>
      </c>
      <c r="E1909" t="s">
        <v>47</v>
      </c>
      <c r="F1909" t="s">
        <v>46</v>
      </c>
      <c r="G1909" s="1">
        <v>46053</v>
      </c>
      <c r="H1909" s="1">
        <v>46037</v>
      </c>
      <c r="I1909" t="s">
        <v>461</v>
      </c>
      <c r="J1909" t="s">
        <v>460</v>
      </c>
      <c r="K1909" t="s">
        <v>64</v>
      </c>
      <c r="L1909">
        <v>20345.939999999999</v>
      </c>
      <c r="M1909" t="s">
        <v>17</v>
      </c>
      <c r="N1909">
        <v>329</v>
      </c>
      <c r="O1909" t="s">
        <v>77</v>
      </c>
    </row>
    <row r="1910" spans="1:15" x14ac:dyDescent="0.3">
      <c r="A1910" t="s">
        <v>459</v>
      </c>
      <c r="B1910" t="s">
        <v>458</v>
      </c>
      <c r="C1910" t="s">
        <v>0</v>
      </c>
      <c r="D1910">
        <v>76</v>
      </c>
      <c r="E1910" t="s">
        <v>47</v>
      </c>
      <c r="F1910" t="s">
        <v>20</v>
      </c>
      <c r="G1910" s="1">
        <v>46011</v>
      </c>
      <c r="H1910" s="1">
        <v>46001</v>
      </c>
      <c r="I1910" t="s">
        <v>457</v>
      </c>
      <c r="J1910" t="s">
        <v>456</v>
      </c>
      <c r="K1910" t="s">
        <v>27</v>
      </c>
      <c r="L1910">
        <v>11693.69</v>
      </c>
      <c r="M1910" t="s">
        <v>57</v>
      </c>
      <c r="N1910">
        <v>360</v>
      </c>
      <c r="O1910" t="s">
        <v>77</v>
      </c>
    </row>
    <row r="1911" spans="1:15" x14ac:dyDescent="0.3">
      <c r="A1911" t="s">
        <v>455</v>
      </c>
      <c r="B1911" t="s">
        <v>454</v>
      </c>
      <c r="C1911" t="s">
        <v>123</v>
      </c>
      <c r="D1911">
        <v>58</v>
      </c>
      <c r="E1911" t="s">
        <v>80</v>
      </c>
      <c r="F1911" t="s">
        <v>38</v>
      </c>
      <c r="G1911" s="1">
        <v>46130</v>
      </c>
      <c r="H1911" s="1">
        <v>46129</v>
      </c>
      <c r="I1911" t="s">
        <v>453</v>
      </c>
      <c r="J1911" t="s">
        <v>452</v>
      </c>
      <c r="L1911">
        <v>17873.009999999998</v>
      </c>
      <c r="M1911" t="s">
        <v>17</v>
      </c>
      <c r="N1911">
        <v>140</v>
      </c>
      <c r="O1911" t="s">
        <v>77</v>
      </c>
    </row>
    <row r="1912" spans="1:15" x14ac:dyDescent="0.3">
      <c r="A1912" t="s">
        <v>451</v>
      </c>
      <c r="B1912" t="s">
        <v>450</v>
      </c>
      <c r="C1912" t="s">
        <v>22</v>
      </c>
      <c r="D1912">
        <v>47</v>
      </c>
      <c r="E1912" t="s">
        <v>132</v>
      </c>
      <c r="F1912" t="s">
        <v>85</v>
      </c>
      <c r="G1912" s="1">
        <v>46076</v>
      </c>
      <c r="H1912" s="1">
        <v>46067</v>
      </c>
      <c r="I1912" t="s">
        <v>449</v>
      </c>
      <c r="J1912" t="s">
        <v>448</v>
      </c>
      <c r="K1912" t="s">
        <v>17</v>
      </c>
      <c r="L1912">
        <v>20065.46</v>
      </c>
      <c r="M1912" t="s">
        <v>26</v>
      </c>
      <c r="N1912">
        <v>158</v>
      </c>
      <c r="O1912" t="s">
        <v>25</v>
      </c>
    </row>
    <row r="1913" spans="1:15" x14ac:dyDescent="0.3">
      <c r="A1913" t="s">
        <v>447</v>
      </c>
      <c r="B1913" t="s">
        <v>446</v>
      </c>
      <c r="C1913" t="s">
        <v>1</v>
      </c>
      <c r="D1913">
        <v>4</v>
      </c>
      <c r="E1913" t="s">
        <v>47</v>
      </c>
      <c r="F1913" t="s">
        <v>90</v>
      </c>
      <c r="G1913" s="1">
        <v>46067</v>
      </c>
      <c r="H1913" s="1">
        <v>46062</v>
      </c>
      <c r="I1913" t="s">
        <v>445</v>
      </c>
      <c r="J1913" t="s">
        <v>444</v>
      </c>
      <c r="K1913" t="s">
        <v>57</v>
      </c>
      <c r="L1913">
        <v>13385.95</v>
      </c>
      <c r="M1913" t="s">
        <v>17</v>
      </c>
      <c r="N1913">
        <v>328</v>
      </c>
      <c r="O1913" t="s">
        <v>16</v>
      </c>
    </row>
    <row r="1914" spans="1:15" x14ac:dyDescent="0.3">
      <c r="A1914" t="s">
        <v>443</v>
      </c>
      <c r="B1914" t="s">
        <v>442</v>
      </c>
      <c r="C1914" t="s">
        <v>123</v>
      </c>
      <c r="D1914">
        <v>77</v>
      </c>
      <c r="E1914" t="s">
        <v>132</v>
      </c>
      <c r="F1914" t="s">
        <v>85</v>
      </c>
      <c r="G1914" s="1">
        <v>46112</v>
      </c>
      <c r="H1914" s="1">
        <v>46112</v>
      </c>
      <c r="I1914" t="s">
        <v>441</v>
      </c>
      <c r="J1914" t="s">
        <v>440</v>
      </c>
      <c r="K1914" t="s">
        <v>17</v>
      </c>
      <c r="L1914">
        <v>3188.31</v>
      </c>
      <c r="M1914" t="s">
        <v>27</v>
      </c>
      <c r="N1914">
        <v>270</v>
      </c>
      <c r="O1914" t="s">
        <v>71</v>
      </c>
    </row>
    <row r="1915" spans="1:15" x14ac:dyDescent="0.3">
      <c r="A1915" t="s">
        <v>439</v>
      </c>
      <c r="B1915" t="s">
        <v>438</v>
      </c>
      <c r="C1915" t="s">
        <v>1</v>
      </c>
      <c r="D1915">
        <v>78</v>
      </c>
      <c r="E1915" t="s">
        <v>54</v>
      </c>
      <c r="F1915" t="s">
        <v>53</v>
      </c>
      <c r="G1915" s="1">
        <v>46061</v>
      </c>
      <c r="H1915" s="1">
        <v>46035</v>
      </c>
      <c r="I1915" t="s">
        <v>437</v>
      </c>
      <c r="J1915" t="s">
        <v>436</v>
      </c>
      <c r="L1915">
        <v>23064.84</v>
      </c>
      <c r="N1915">
        <v>301</v>
      </c>
      <c r="O1915" t="s">
        <v>16</v>
      </c>
    </row>
    <row r="1916" spans="1:15" x14ac:dyDescent="0.3">
      <c r="A1916" t="s">
        <v>435</v>
      </c>
      <c r="B1916" t="s">
        <v>434</v>
      </c>
      <c r="C1916" t="s">
        <v>0</v>
      </c>
      <c r="D1916">
        <v>11</v>
      </c>
      <c r="E1916" t="s">
        <v>31</v>
      </c>
      <c r="F1916" t="s">
        <v>20</v>
      </c>
      <c r="G1916" s="1">
        <v>46118</v>
      </c>
      <c r="H1916" s="1">
        <v>46102</v>
      </c>
      <c r="I1916" t="s">
        <v>433</v>
      </c>
      <c r="J1916" t="s">
        <v>432</v>
      </c>
      <c r="K1916" t="s">
        <v>17</v>
      </c>
      <c r="L1916">
        <v>20801.189999999999</v>
      </c>
      <c r="N1916">
        <v>109</v>
      </c>
      <c r="O1916" t="s">
        <v>77</v>
      </c>
    </row>
    <row r="1917" spans="1:15" x14ac:dyDescent="0.3">
      <c r="A1917" t="s">
        <v>431</v>
      </c>
      <c r="B1917" t="s">
        <v>430</v>
      </c>
      <c r="C1917" t="s">
        <v>40</v>
      </c>
      <c r="D1917">
        <v>35</v>
      </c>
      <c r="E1917" t="s">
        <v>54</v>
      </c>
      <c r="F1917" t="s">
        <v>90</v>
      </c>
      <c r="G1917" s="1">
        <v>46015</v>
      </c>
      <c r="H1917" s="1">
        <v>46002</v>
      </c>
      <c r="I1917" t="s">
        <v>429</v>
      </c>
      <c r="J1917" t="s">
        <v>428</v>
      </c>
      <c r="K1917" t="s">
        <v>64</v>
      </c>
      <c r="L1917">
        <v>7902.91</v>
      </c>
      <c r="M1917" t="s">
        <v>17</v>
      </c>
      <c r="N1917">
        <v>420</v>
      </c>
      <c r="O1917" t="s">
        <v>34</v>
      </c>
    </row>
    <row r="1918" spans="1:15" x14ac:dyDescent="0.3">
      <c r="A1918" t="s">
        <v>427</v>
      </c>
      <c r="B1918" t="s">
        <v>426</v>
      </c>
      <c r="C1918" t="s">
        <v>40</v>
      </c>
      <c r="D1918">
        <v>9</v>
      </c>
      <c r="E1918" t="s">
        <v>80</v>
      </c>
      <c r="F1918" t="s">
        <v>46</v>
      </c>
      <c r="G1918" s="1">
        <v>46053</v>
      </c>
      <c r="H1918" s="1">
        <v>46039</v>
      </c>
      <c r="I1918" t="s">
        <v>425</v>
      </c>
      <c r="J1918" t="s">
        <v>424</v>
      </c>
      <c r="L1918">
        <v>16730.11</v>
      </c>
      <c r="M1918" t="s">
        <v>64</v>
      </c>
      <c r="N1918">
        <v>229</v>
      </c>
      <c r="O1918" t="s">
        <v>77</v>
      </c>
    </row>
    <row r="1919" spans="1:15" x14ac:dyDescent="0.3">
      <c r="A1919" t="s">
        <v>423</v>
      </c>
      <c r="B1919" t="s">
        <v>422</v>
      </c>
      <c r="C1919" t="s">
        <v>40</v>
      </c>
      <c r="D1919">
        <v>84</v>
      </c>
      <c r="E1919" t="s">
        <v>132</v>
      </c>
      <c r="F1919" t="s">
        <v>38</v>
      </c>
      <c r="G1919" s="1">
        <v>46005</v>
      </c>
      <c r="H1919" s="1">
        <v>45988</v>
      </c>
      <c r="I1919" t="s">
        <v>421</v>
      </c>
      <c r="J1919" t="s">
        <v>420</v>
      </c>
      <c r="K1919" t="s">
        <v>64</v>
      </c>
      <c r="L1919">
        <v>20549.580000000002</v>
      </c>
      <c r="M1919" t="s">
        <v>63</v>
      </c>
      <c r="N1919">
        <v>393</v>
      </c>
      <c r="O1919" t="s">
        <v>77</v>
      </c>
    </row>
    <row r="1920" spans="1:15" x14ac:dyDescent="0.3">
      <c r="A1920" t="s">
        <v>419</v>
      </c>
      <c r="B1920" t="s">
        <v>418</v>
      </c>
      <c r="C1920" t="s">
        <v>60</v>
      </c>
      <c r="D1920">
        <v>32</v>
      </c>
      <c r="E1920" t="s">
        <v>80</v>
      </c>
      <c r="F1920" t="s">
        <v>67</v>
      </c>
      <c r="G1920" s="1">
        <v>46032</v>
      </c>
      <c r="H1920" s="1">
        <v>46007</v>
      </c>
      <c r="I1920" t="s">
        <v>417</v>
      </c>
      <c r="J1920" t="s">
        <v>416</v>
      </c>
      <c r="K1920" t="s">
        <v>35</v>
      </c>
      <c r="L1920">
        <v>1248.96</v>
      </c>
      <c r="M1920" t="s">
        <v>27</v>
      </c>
      <c r="N1920">
        <v>513</v>
      </c>
      <c r="O1920" t="s">
        <v>34</v>
      </c>
    </row>
    <row r="1921" spans="1:15" x14ac:dyDescent="0.3">
      <c r="A1921" t="s">
        <v>415</v>
      </c>
      <c r="B1921" t="s">
        <v>414</v>
      </c>
      <c r="C1921" t="s">
        <v>22</v>
      </c>
      <c r="D1921">
        <v>83</v>
      </c>
      <c r="E1921" t="s">
        <v>68</v>
      </c>
      <c r="F1921" t="s">
        <v>90</v>
      </c>
      <c r="G1921" s="1">
        <v>46082</v>
      </c>
      <c r="H1921" s="1">
        <v>46057</v>
      </c>
      <c r="I1921" t="s">
        <v>413</v>
      </c>
      <c r="J1921" t="s">
        <v>412</v>
      </c>
      <c r="L1921">
        <v>16044.26</v>
      </c>
      <c r="M1921" t="s">
        <v>64</v>
      </c>
      <c r="N1921">
        <v>201</v>
      </c>
      <c r="O1921" t="s">
        <v>16</v>
      </c>
    </row>
    <row r="1922" spans="1:15" x14ac:dyDescent="0.3">
      <c r="A1922" t="s">
        <v>411</v>
      </c>
      <c r="B1922" t="s">
        <v>410</v>
      </c>
      <c r="D1922">
        <v>88</v>
      </c>
      <c r="E1922" t="s">
        <v>80</v>
      </c>
      <c r="F1922" t="s">
        <v>90</v>
      </c>
      <c r="G1922" s="1">
        <v>46036</v>
      </c>
      <c r="H1922" s="1">
        <v>46024</v>
      </c>
      <c r="I1922" t="s">
        <v>409</v>
      </c>
      <c r="J1922" t="s">
        <v>408</v>
      </c>
      <c r="K1922" t="s">
        <v>26</v>
      </c>
      <c r="L1922">
        <v>2730.97</v>
      </c>
      <c r="N1922">
        <v>150</v>
      </c>
      <c r="O1922" t="s">
        <v>71</v>
      </c>
    </row>
    <row r="1923" spans="1:15" x14ac:dyDescent="0.3">
      <c r="A1923" t="s">
        <v>407</v>
      </c>
      <c r="B1923" t="s">
        <v>406</v>
      </c>
      <c r="C1923" t="s">
        <v>1</v>
      </c>
      <c r="D1923">
        <v>63</v>
      </c>
      <c r="E1923" t="s">
        <v>132</v>
      </c>
      <c r="F1923" t="s">
        <v>46</v>
      </c>
      <c r="G1923" s="1">
        <v>46026</v>
      </c>
      <c r="H1923" s="1">
        <v>46011</v>
      </c>
      <c r="I1923" t="s">
        <v>405</v>
      </c>
      <c r="J1923" t="s">
        <v>404</v>
      </c>
      <c r="L1923">
        <v>14361.24</v>
      </c>
      <c r="M1923" t="s">
        <v>57</v>
      </c>
      <c r="N1923">
        <v>219</v>
      </c>
      <c r="O1923" t="s">
        <v>50</v>
      </c>
    </row>
    <row r="1924" spans="1:15" x14ac:dyDescent="0.3">
      <c r="A1924" t="s">
        <v>403</v>
      </c>
      <c r="B1924" t="s">
        <v>402</v>
      </c>
      <c r="C1924" t="s">
        <v>0</v>
      </c>
      <c r="D1924">
        <v>42</v>
      </c>
      <c r="E1924" t="s">
        <v>54</v>
      </c>
      <c r="F1924" t="s">
        <v>53</v>
      </c>
      <c r="G1924" s="1">
        <v>46113</v>
      </c>
      <c r="H1924" s="1">
        <v>46107</v>
      </c>
      <c r="I1924" t="s">
        <v>401</v>
      </c>
      <c r="J1924" t="s">
        <v>400</v>
      </c>
      <c r="K1924" t="s">
        <v>26</v>
      </c>
      <c r="L1924">
        <v>14655.03</v>
      </c>
      <c r="M1924" t="s">
        <v>64</v>
      </c>
      <c r="N1924">
        <v>412</v>
      </c>
      <c r="O1924" t="s">
        <v>16</v>
      </c>
    </row>
    <row r="1925" spans="1:15" x14ac:dyDescent="0.3">
      <c r="A1925" t="s">
        <v>399</v>
      </c>
      <c r="B1925" t="s">
        <v>398</v>
      </c>
      <c r="C1925" t="s">
        <v>40</v>
      </c>
      <c r="D1925">
        <v>9</v>
      </c>
      <c r="E1925" t="s">
        <v>132</v>
      </c>
      <c r="F1925" t="s">
        <v>53</v>
      </c>
      <c r="G1925" s="1">
        <v>46018</v>
      </c>
      <c r="H1925" s="1">
        <v>45990</v>
      </c>
      <c r="I1925" t="s">
        <v>397</v>
      </c>
      <c r="J1925" t="s">
        <v>396</v>
      </c>
      <c r="L1925">
        <v>21233.41</v>
      </c>
      <c r="M1925" t="s">
        <v>26</v>
      </c>
      <c r="N1925">
        <v>113</v>
      </c>
      <c r="O1925" t="s">
        <v>71</v>
      </c>
    </row>
    <row r="1926" spans="1:15" x14ac:dyDescent="0.3">
      <c r="A1926" t="s">
        <v>395</v>
      </c>
      <c r="B1926" t="s">
        <v>394</v>
      </c>
      <c r="D1926">
        <v>7</v>
      </c>
      <c r="E1926" t="s">
        <v>68</v>
      </c>
      <c r="F1926" t="s">
        <v>53</v>
      </c>
      <c r="G1926" s="1">
        <v>46115</v>
      </c>
      <c r="H1926" s="1">
        <v>46112</v>
      </c>
      <c r="I1926" t="s">
        <v>393</v>
      </c>
      <c r="J1926" t="s">
        <v>392</v>
      </c>
      <c r="K1926" t="s">
        <v>64</v>
      </c>
      <c r="L1926">
        <v>10386.4</v>
      </c>
      <c r="M1926" t="s">
        <v>26</v>
      </c>
      <c r="N1926">
        <v>438</v>
      </c>
      <c r="O1926" t="s">
        <v>25</v>
      </c>
    </row>
    <row r="1927" spans="1:15" x14ac:dyDescent="0.3">
      <c r="A1927" t="s">
        <v>391</v>
      </c>
      <c r="B1927" t="s">
        <v>390</v>
      </c>
      <c r="C1927" t="s">
        <v>40</v>
      </c>
      <c r="D1927">
        <v>81</v>
      </c>
      <c r="E1927" t="s">
        <v>132</v>
      </c>
      <c r="F1927" t="s">
        <v>20</v>
      </c>
      <c r="G1927" s="1">
        <v>46028</v>
      </c>
      <c r="H1927" s="1">
        <v>46001</v>
      </c>
      <c r="I1927" t="s">
        <v>389</v>
      </c>
      <c r="J1927" t="s">
        <v>388</v>
      </c>
      <c r="K1927" t="s">
        <v>64</v>
      </c>
      <c r="L1927">
        <v>6033.23</v>
      </c>
      <c r="N1927">
        <v>175</v>
      </c>
      <c r="O1927" t="s">
        <v>77</v>
      </c>
    </row>
    <row r="1928" spans="1:15" x14ac:dyDescent="0.3">
      <c r="A1928" t="s">
        <v>387</v>
      </c>
      <c r="B1928" t="s">
        <v>386</v>
      </c>
      <c r="C1928" t="s">
        <v>74</v>
      </c>
      <c r="D1928">
        <v>57</v>
      </c>
      <c r="E1928" t="s">
        <v>47</v>
      </c>
      <c r="F1928" t="s">
        <v>30</v>
      </c>
      <c r="G1928" s="1">
        <v>46135</v>
      </c>
      <c r="H1928" s="1">
        <v>46106</v>
      </c>
      <c r="I1928" t="s">
        <v>385</v>
      </c>
      <c r="J1928" t="s">
        <v>384</v>
      </c>
      <c r="K1928" t="s">
        <v>27</v>
      </c>
      <c r="L1928">
        <v>20419.91</v>
      </c>
      <c r="M1928" t="s">
        <v>64</v>
      </c>
      <c r="N1928">
        <v>379</v>
      </c>
      <c r="O1928" t="s">
        <v>16</v>
      </c>
    </row>
    <row r="1929" spans="1:15" x14ac:dyDescent="0.3">
      <c r="A1929" t="s">
        <v>383</v>
      </c>
      <c r="B1929" t="s">
        <v>382</v>
      </c>
      <c r="C1929" t="s">
        <v>22</v>
      </c>
      <c r="D1929">
        <v>39</v>
      </c>
      <c r="E1929" t="s">
        <v>39</v>
      </c>
      <c r="F1929" t="s">
        <v>53</v>
      </c>
      <c r="G1929" s="1">
        <v>46013</v>
      </c>
      <c r="H1929" s="1">
        <v>45989</v>
      </c>
      <c r="I1929" t="s">
        <v>381</v>
      </c>
      <c r="J1929" t="s">
        <v>380</v>
      </c>
      <c r="K1929" t="s">
        <v>64</v>
      </c>
      <c r="L1929">
        <v>11392.03</v>
      </c>
      <c r="M1929" t="s">
        <v>17</v>
      </c>
      <c r="N1929">
        <v>367</v>
      </c>
      <c r="O1929" t="s">
        <v>34</v>
      </c>
    </row>
    <row r="1930" spans="1:15" x14ac:dyDescent="0.3">
      <c r="A1930" t="s">
        <v>379</v>
      </c>
      <c r="B1930" t="s">
        <v>378</v>
      </c>
      <c r="C1930" t="s">
        <v>1</v>
      </c>
      <c r="D1930">
        <v>74</v>
      </c>
      <c r="E1930" t="s">
        <v>68</v>
      </c>
      <c r="F1930" t="s">
        <v>67</v>
      </c>
      <c r="G1930" s="1">
        <v>46141</v>
      </c>
      <c r="H1930" s="1">
        <v>46127</v>
      </c>
      <c r="I1930" t="s">
        <v>377</v>
      </c>
      <c r="J1930" t="s">
        <v>376</v>
      </c>
      <c r="K1930" t="s">
        <v>27</v>
      </c>
      <c r="L1930">
        <v>13569.67</v>
      </c>
      <c r="M1930" t="s">
        <v>27</v>
      </c>
      <c r="N1930">
        <v>515</v>
      </c>
      <c r="O1930" t="s">
        <v>77</v>
      </c>
    </row>
    <row r="1931" spans="1:15" x14ac:dyDescent="0.3">
      <c r="A1931" t="s">
        <v>375</v>
      </c>
      <c r="B1931" t="s">
        <v>374</v>
      </c>
      <c r="C1931" t="s">
        <v>22</v>
      </c>
      <c r="D1931">
        <v>70</v>
      </c>
      <c r="E1931" t="s">
        <v>47</v>
      </c>
      <c r="F1931" t="s">
        <v>90</v>
      </c>
      <c r="G1931" s="1">
        <v>46012</v>
      </c>
      <c r="H1931" s="1">
        <v>45997</v>
      </c>
      <c r="I1931" t="s">
        <v>373</v>
      </c>
      <c r="J1931" t="s">
        <v>372</v>
      </c>
      <c r="K1931" t="s">
        <v>57</v>
      </c>
      <c r="L1931">
        <v>11937.23</v>
      </c>
      <c r="M1931" t="s">
        <v>64</v>
      </c>
      <c r="N1931">
        <v>524</v>
      </c>
      <c r="O1931" t="s">
        <v>50</v>
      </c>
    </row>
    <row r="1932" spans="1:15" x14ac:dyDescent="0.3">
      <c r="A1932" t="s">
        <v>371</v>
      </c>
      <c r="B1932" t="s">
        <v>370</v>
      </c>
      <c r="C1932" t="s">
        <v>0</v>
      </c>
      <c r="D1932">
        <v>25</v>
      </c>
      <c r="E1932" t="s">
        <v>369</v>
      </c>
      <c r="F1932" t="s">
        <v>20</v>
      </c>
      <c r="G1932" s="1">
        <v>46067</v>
      </c>
      <c r="H1932" s="1">
        <v>46058</v>
      </c>
      <c r="I1932" t="s">
        <v>368</v>
      </c>
      <c r="L1932">
        <v>-500</v>
      </c>
      <c r="M1932" t="s">
        <v>64</v>
      </c>
      <c r="N1932">
        <v>180</v>
      </c>
      <c r="O1932" t="s">
        <v>34</v>
      </c>
    </row>
    <row r="1933" spans="1:15" x14ac:dyDescent="0.3">
      <c r="A1933" t="s">
        <v>367</v>
      </c>
      <c r="B1933" t="s">
        <v>366</v>
      </c>
      <c r="D1933">
        <v>87</v>
      </c>
      <c r="E1933" t="s">
        <v>132</v>
      </c>
      <c r="F1933" t="s">
        <v>53</v>
      </c>
      <c r="G1933" s="1">
        <v>46163</v>
      </c>
      <c r="H1933" s="1">
        <v>46144</v>
      </c>
      <c r="I1933" t="s">
        <v>365</v>
      </c>
      <c r="J1933" t="s">
        <v>364</v>
      </c>
      <c r="L1933">
        <v>14080.28</v>
      </c>
      <c r="M1933" t="s">
        <v>26</v>
      </c>
      <c r="N1933">
        <v>337</v>
      </c>
      <c r="O1933" t="s">
        <v>25</v>
      </c>
    </row>
    <row r="1934" spans="1:15" x14ac:dyDescent="0.3">
      <c r="A1934" t="s">
        <v>363</v>
      </c>
      <c r="B1934" t="s">
        <v>362</v>
      </c>
      <c r="C1934" t="s">
        <v>123</v>
      </c>
      <c r="D1934">
        <v>75</v>
      </c>
      <c r="E1934" t="s">
        <v>68</v>
      </c>
      <c r="F1934" t="s">
        <v>46</v>
      </c>
      <c r="G1934" s="1">
        <v>46011</v>
      </c>
      <c r="H1934" s="1">
        <v>46003</v>
      </c>
      <c r="I1934" t="s">
        <v>361</v>
      </c>
      <c r="J1934" t="s">
        <v>360</v>
      </c>
      <c r="K1934" t="s">
        <v>27</v>
      </c>
      <c r="L1934">
        <v>14803.27</v>
      </c>
      <c r="M1934" t="s">
        <v>57</v>
      </c>
      <c r="N1934">
        <v>465</v>
      </c>
      <c r="O1934" t="s">
        <v>77</v>
      </c>
    </row>
    <row r="1935" spans="1:15" x14ac:dyDescent="0.3">
      <c r="A1935" t="s">
        <v>359</v>
      </c>
      <c r="B1935" t="s">
        <v>358</v>
      </c>
      <c r="C1935" t="s">
        <v>22</v>
      </c>
      <c r="D1935">
        <v>12</v>
      </c>
      <c r="E1935" t="s">
        <v>54</v>
      </c>
      <c r="F1935" t="s">
        <v>20</v>
      </c>
      <c r="G1935" s="1">
        <v>46152</v>
      </c>
      <c r="H1935" s="1">
        <v>46141</v>
      </c>
      <c r="I1935" t="s">
        <v>357</v>
      </c>
      <c r="J1935" t="s">
        <v>356</v>
      </c>
      <c r="L1935">
        <v>1291.73</v>
      </c>
      <c r="M1935" t="s">
        <v>57</v>
      </c>
      <c r="N1935">
        <v>190</v>
      </c>
      <c r="O1935" t="s">
        <v>16</v>
      </c>
    </row>
    <row r="1936" spans="1:15" x14ac:dyDescent="0.3">
      <c r="A1936" t="s">
        <v>355</v>
      </c>
      <c r="B1936" t="s">
        <v>354</v>
      </c>
      <c r="C1936" t="s">
        <v>22</v>
      </c>
      <c r="D1936">
        <v>87</v>
      </c>
      <c r="E1936" t="s">
        <v>21</v>
      </c>
      <c r="F1936" t="s">
        <v>67</v>
      </c>
      <c r="G1936" s="1">
        <v>46000</v>
      </c>
      <c r="H1936" s="1">
        <v>45977</v>
      </c>
      <c r="I1936" t="s">
        <v>353</v>
      </c>
      <c r="J1936" t="s">
        <v>352</v>
      </c>
      <c r="L1936">
        <v>8980.26</v>
      </c>
      <c r="N1936">
        <v>397</v>
      </c>
      <c r="O1936" t="s">
        <v>50</v>
      </c>
    </row>
    <row r="1937" spans="1:15" x14ac:dyDescent="0.3">
      <c r="A1937" t="s">
        <v>351</v>
      </c>
      <c r="B1937" t="s">
        <v>350</v>
      </c>
      <c r="C1937" t="s">
        <v>123</v>
      </c>
      <c r="D1937">
        <v>24</v>
      </c>
      <c r="E1937" t="s">
        <v>132</v>
      </c>
      <c r="F1937" t="s">
        <v>46</v>
      </c>
      <c r="G1937" s="1">
        <v>46101</v>
      </c>
      <c r="H1937" s="1">
        <v>46073</v>
      </c>
      <c r="I1937" t="s">
        <v>349</v>
      </c>
      <c r="J1937" t="s">
        <v>348</v>
      </c>
      <c r="L1937">
        <v>17609.87</v>
      </c>
      <c r="M1937" t="s">
        <v>63</v>
      </c>
      <c r="N1937" t="s">
        <v>347</v>
      </c>
      <c r="O1937" t="s">
        <v>34</v>
      </c>
    </row>
    <row r="1938" spans="1:15" x14ac:dyDescent="0.3">
      <c r="A1938" t="s">
        <v>346</v>
      </c>
      <c r="B1938" t="s">
        <v>345</v>
      </c>
      <c r="C1938" t="s">
        <v>123</v>
      </c>
      <c r="D1938">
        <v>50</v>
      </c>
      <c r="E1938" t="s">
        <v>21</v>
      </c>
      <c r="F1938" t="s">
        <v>30</v>
      </c>
      <c r="G1938" s="1">
        <v>46004</v>
      </c>
      <c r="H1938" s="1">
        <v>45975</v>
      </c>
      <c r="I1938" t="s">
        <v>344</v>
      </c>
      <c r="J1938" t="s">
        <v>343</v>
      </c>
      <c r="L1938">
        <v>835.4</v>
      </c>
      <c r="N1938">
        <v>361</v>
      </c>
      <c r="O1938" t="s">
        <v>43</v>
      </c>
    </row>
    <row r="1939" spans="1:15" x14ac:dyDescent="0.3">
      <c r="A1939" t="s">
        <v>342</v>
      </c>
      <c r="B1939" t="s">
        <v>341</v>
      </c>
      <c r="C1939" t="s">
        <v>0</v>
      </c>
      <c r="D1939">
        <v>9</v>
      </c>
      <c r="E1939" t="s">
        <v>68</v>
      </c>
      <c r="F1939" t="s">
        <v>46</v>
      </c>
      <c r="G1939" s="1">
        <v>46035</v>
      </c>
      <c r="H1939" s="1">
        <v>46031</v>
      </c>
      <c r="I1939" t="s">
        <v>340</v>
      </c>
      <c r="J1939" t="s">
        <v>339</v>
      </c>
      <c r="K1939" t="s">
        <v>57</v>
      </c>
      <c r="L1939">
        <v>2734.8</v>
      </c>
      <c r="M1939" t="s">
        <v>26</v>
      </c>
      <c r="N1939">
        <v>181</v>
      </c>
      <c r="O1939" t="s">
        <v>43</v>
      </c>
    </row>
    <row r="1940" spans="1:15" x14ac:dyDescent="0.3">
      <c r="A1940" t="s">
        <v>338</v>
      </c>
      <c r="B1940" t="s">
        <v>337</v>
      </c>
      <c r="C1940" t="s">
        <v>1</v>
      </c>
      <c r="D1940">
        <v>81</v>
      </c>
      <c r="E1940" t="s">
        <v>54</v>
      </c>
      <c r="F1940" t="s">
        <v>30</v>
      </c>
      <c r="G1940" s="1">
        <v>46112</v>
      </c>
      <c r="H1940" s="1">
        <v>46095</v>
      </c>
      <c r="I1940" t="s">
        <v>336</v>
      </c>
      <c r="J1940" t="s">
        <v>335</v>
      </c>
      <c r="K1940" t="s">
        <v>35</v>
      </c>
      <c r="L1940">
        <v>208.51</v>
      </c>
      <c r="M1940" t="s">
        <v>57</v>
      </c>
      <c r="N1940">
        <v>236</v>
      </c>
      <c r="O1940" t="s">
        <v>34</v>
      </c>
    </row>
    <row r="1941" spans="1:15" x14ac:dyDescent="0.3">
      <c r="A1941" t="s">
        <v>334</v>
      </c>
      <c r="B1941" t="s">
        <v>333</v>
      </c>
      <c r="C1941" t="s">
        <v>123</v>
      </c>
      <c r="D1941">
        <v>69</v>
      </c>
      <c r="E1941" t="s">
        <v>21</v>
      </c>
      <c r="F1941" t="s">
        <v>46</v>
      </c>
      <c r="G1941" s="1">
        <v>46144</v>
      </c>
      <c r="H1941" s="1">
        <v>46116</v>
      </c>
      <c r="I1941" t="s">
        <v>332</v>
      </c>
      <c r="J1941" t="s">
        <v>331</v>
      </c>
      <c r="L1941">
        <v>3608.99</v>
      </c>
      <c r="M1941" t="s">
        <v>63</v>
      </c>
      <c r="N1941">
        <v>302</v>
      </c>
      <c r="O1941" t="s">
        <v>16</v>
      </c>
    </row>
    <row r="1942" spans="1:15" x14ac:dyDescent="0.3">
      <c r="A1942" t="s">
        <v>330</v>
      </c>
      <c r="B1942" t="s">
        <v>329</v>
      </c>
      <c r="C1942" t="s">
        <v>0</v>
      </c>
      <c r="D1942">
        <v>68</v>
      </c>
      <c r="E1942" t="s">
        <v>68</v>
      </c>
      <c r="F1942" t="s">
        <v>20</v>
      </c>
      <c r="G1942" s="1">
        <v>46085</v>
      </c>
      <c r="H1942" s="1">
        <v>46072</v>
      </c>
      <c r="I1942" t="s">
        <v>328</v>
      </c>
      <c r="J1942" t="s">
        <v>327</v>
      </c>
      <c r="K1942" t="s">
        <v>27</v>
      </c>
      <c r="L1942">
        <v>15656.33</v>
      </c>
      <c r="M1942" t="s">
        <v>64</v>
      </c>
      <c r="N1942">
        <v>145</v>
      </c>
      <c r="O1942" t="s">
        <v>43</v>
      </c>
    </row>
    <row r="1943" spans="1:15" x14ac:dyDescent="0.3">
      <c r="A1943" t="s">
        <v>326</v>
      </c>
      <c r="B1943" t="s">
        <v>325</v>
      </c>
      <c r="C1943" t="s">
        <v>74</v>
      </c>
      <c r="D1943">
        <v>28</v>
      </c>
      <c r="E1943" t="s">
        <v>80</v>
      </c>
      <c r="F1943" t="s">
        <v>38</v>
      </c>
      <c r="G1943" s="1">
        <v>46073</v>
      </c>
      <c r="H1943" s="1">
        <v>46062</v>
      </c>
      <c r="I1943" t="s">
        <v>324</v>
      </c>
      <c r="J1943" t="s">
        <v>323</v>
      </c>
      <c r="K1943" t="s">
        <v>35</v>
      </c>
      <c r="L1943">
        <v>24964.76</v>
      </c>
      <c r="M1943" t="s">
        <v>57</v>
      </c>
      <c r="N1943">
        <v>465</v>
      </c>
      <c r="O1943" t="s">
        <v>16</v>
      </c>
    </row>
    <row r="1944" spans="1:15" x14ac:dyDescent="0.3">
      <c r="A1944" t="s">
        <v>322</v>
      </c>
      <c r="B1944" t="s">
        <v>321</v>
      </c>
      <c r="C1944" t="s">
        <v>74</v>
      </c>
      <c r="D1944">
        <v>30</v>
      </c>
      <c r="E1944" t="s">
        <v>21</v>
      </c>
      <c r="F1944" t="s">
        <v>85</v>
      </c>
      <c r="G1944" s="1">
        <v>46017</v>
      </c>
      <c r="H1944" s="1">
        <v>45994</v>
      </c>
      <c r="I1944" t="s">
        <v>320</v>
      </c>
      <c r="J1944" t="s">
        <v>319</v>
      </c>
      <c r="L1944">
        <v>22382.17</v>
      </c>
      <c r="M1944" t="s">
        <v>17</v>
      </c>
      <c r="N1944">
        <v>195</v>
      </c>
      <c r="O1944" t="s">
        <v>71</v>
      </c>
    </row>
    <row r="1945" spans="1:15" x14ac:dyDescent="0.3">
      <c r="A1945" t="s">
        <v>318</v>
      </c>
      <c r="B1945" t="s">
        <v>317</v>
      </c>
      <c r="C1945" t="s">
        <v>40</v>
      </c>
      <c r="D1945">
        <v>33</v>
      </c>
      <c r="E1945" t="s">
        <v>31</v>
      </c>
      <c r="F1945" t="s">
        <v>20</v>
      </c>
      <c r="G1945" s="1">
        <v>46074</v>
      </c>
      <c r="H1945" s="1">
        <v>46062</v>
      </c>
      <c r="I1945" t="s">
        <v>316</v>
      </c>
      <c r="J1945" t="s">
        <v>315</v>
      </c>
      <c r="K1945" t="s">
        <v>57</v>
      </c>
      <c r="L1945">
        <v>19538.02</v>
      </c>
      <c r="M1945" t="s">
        <v>27</v>
      </c>
      <c r="N1945">
        <v>184</v>
      </c>
      <c r="O1945" t="s">
        <v>43</v>
      </c>
    </row>
    <row r="1946" spans="1:15" x14ac:dyDescent="0.3">
      <c r="A1946" t="s">
        <v>314</v>
      </c>
      <c r="B1946" t="s">
        <v>313</v>
      </c>
      <c r="C1946" t="s">
        <v>22</v>
      </c>
      <c r="D1946">
        <v>39</v>
      </c>
      <c r="E1946" t="s">
        <v>68</v>
      </c>
      <c r="F1946" t="s">
        <v>53</v>
      </c>
      <c r="G1946" s="1">
        <v>46134</v>
      </c>
      <c r="H1946" s="1">
        <v>46126</v>
      </c>
      <c r="I1946" t="s">
        <v>312</v>
      </c>
      <c r="J1946" t="s">
        <v>311</v>
      </c>
      <c r="K1946" t="s">
        <v>64</v>
      </c>
      <c r="L1946">
        <v>15483.73</v>
      </c>
      <c r="N1946">
        <v>262</v>
      </c>
      <c r="O1946" t="s">
        <v>25</v>
      </c>
    </row>
    <row r="1947" spans="1:15" x14ac:dyDescent="0.3">
      <c r="A1947" t="s">
        <v>310</v>
      </c>
      <c r="B1947" t="s">
        <v>309</v>
      </c>
      <c r="C1947" t="s">
        <v>40</v>
      </c>
      <c r="D1947">
        <v>25</v>
      </c>
      <c r="E1947" t="s">
        <v>132</v>
      </c>
      <c r="F1947" t="s">
        <v>30</v>
      </c>
      <c r="G1947" s="1">
        <v>46001</v>
      </c>
      <c r="H1947" s="1">
        <v>46001</v>
      </c>
      <c r="I1947" t="s">
        <v>308</v>
      </c>
      <c r="J1947" t="s">
        <v>307</v>
      </c>
      <c r="L1947">
        <v>10171.209999999999</v>
      </c>
      <c r="M1947" t="s">
        <v>64</v>
      </c>
      <c r="N1947">
        <v>340</v>
      </c>
      <c r="O1947" t="s">
        <v>50</v>
      </c>
    </row>
    <row r="1948" spans="1:15" x14ac:dyDescent="0.3">
      <c r="A1948" t="s">
        <v>306</v>
      </c>
      <c r="B1948" t="s">
        <v>305</v>
      </c>
      <c r="D1948">
        <v>9</v>
      </c>
      <c r="E1948" t="s">
        <v>39</v>
      </c>
      <c r="F1948" t="s">
        <v>30</v>
      </c>
      <c r="G1948" s="1">
        <v>46126</v>
      </c>
      <c r="H1948" s="1">
        <v>46107</v>
      </c>
      <c r="I1948" t="s">
        <v>304</v>
      </c>
      <c r="J1948" t="s">
        <v>303</v>
      </c>
      <c r="K1948" t="s">
        <v>27</v>
      </c>
      <c r="L1948">
        <v>13758.27</v>
      </c>
      <c r="M1948" t="s">
        <v>27</v>
      </c>
      <c r="N1948">
        <v>543</v>
      </c>
      <c r="O1948" t="s">
        <v>16</v>
      </c>
    </row>
    <row r="1949" spans="1:15" x14ac:dyDescent="0.3">
      <c r="A1949" t="s">
        <v>302</v>
      </c>
      <c r="B1949" t="s">
        <v>301</v>
      </c>
      <c r="D1949">
        <v>71</v>
      </c>
      <c r="E1949" t="s">
        <v>39</v>
      </c>
      <c r="F1949" t="s">
        <v>20</v>
      </c>
      <c r="G1949" s="1">
        <v>45989</v>
      </c>
      <c r="H1949" s="1">
        <v>45981</v>
      </c>
      <c r="I1949" t="s">
        <v>300</v>
      </c>
      <c r="J1949" t="s">
        <v>299</v>
      </c>
      <c r="K1949" t="s">
        <v>64</v>
      </c>
      <c r="L1949">
        <v>11182.7</v>
      </c>
      <c r="N1949">
        <v>364</v>
      </c>
      <c r="O1949" t="s">
        <v>50</v>
      </c>
    </row>
    <row r="1950" spans="1:15" x14ac:dyDescent="0.3">
      <c r="A1950" t="s">
        <v>298</v>
      </c>
      <c r="B1950" t="s">
        <v>297</v>
      </c>
      <c r="C1950" t="s">
        <v>74</v>
      </c>
      <c r="D1950">
        <v>29</v>
      </c>
      <c r="E1950" t="s">
        <v>31</v>
      </c>
      <c r="F1950" t="s">
        <v>53</v>
      </c>
      <c r="G1950" s="1">
        <v>46168</v>
      </c>
      <c r="H1950" s="1">
        <v>46139</v>
      </c>
      <c r="I1950" t="s">
        <v>296</v>
      </c>
      <c r="J1950" t="s">
        <v>295</v>
      </c>
      <c r="L1950">
        <v>15739.43</v>
      </c>
      <c r="M1950" t="s">
        <v>63</v>
      </c>
      <c r="N1950">
        <v>379</v>
      </c>
      <c r="O1950" t="s">
        <v>16</v>
      </c>
    </row>
    <row r="1951" spans="1:15" x14ac:dyDescent="0.3">
      <c r="A1951" t="s">
        <v>294</v>
      </c>
      <c r="B1951" t="s">
        <v>293</v>
      </c>
      <c r="C1951" t="s">
        <v>1</v>
      </c>
      <c r="D1951">
        <v>90</v>
      </c>
      <c r="E1951" t="s">
        <v>54</v>
      </c>
      <c r="F1951" t="s">
        <v>85</v>
      </c>
      <c r="G1951" s="1">
        <v>46128</v>
      </c>
      <c r="H1951" s="1">
        <v>46119</v>
      </c>
      <c r="I1951" t="s">
        <v>292</v>
      </c>
      <c r="J1951" t="s">
        <v>291</v>
      </c>
      <c r="L1951">
        <v>14267.09</v>
      </c>
      <c r="M1951" t="s">
        <v>64</v>
      </c>
      <c r="N1951">
        <v>267</v>
      </c>
      <c r="O1951" t="s">
        <v>43</v>
      </c>
    </row>
    <row r="1952" spans="1:15" x14ac:dyDescent="0.3">
      <c r="A1952" t="s">
        <v>290</v>
      </c>
      <c r="B1952" t="s">
        <v>289</v>
      </c>
      <c r="C1952" t="s">
        <v>22</v>
      </c>
      <c r="D1952">
        <v>41</v>
      </c>
      <c r="E1952" t="s">
        <v>47</v>
      </c>
      <c r="F1952" t="s">
        <v>20</v>
      </c>
      <c r="G1952" s="1">
        <v>46144</v>
      </c>
      <c r="H1952" s="1">
        <v>46141</v>
      </c>
      <c r="I1952" t="s">
        <v>288</v>
      </c>
      <c r="J1952" t="s">
        <v>287</v>
      </c>
      <c r="K1952" t="s">
        <v>35</v>
      </c>
      <c r="L1952">
        <v>18115.060000000001</v>
      </c>
      <c r="M1952" t="s">
        <v>26</v>
      </c>
      <c r="N1952">
        <v>129</v>
      </c>
      <c r="O1952" t="s">
        <v>50</v>
      </c>
    </row>
    <row r="1953" spans="1:15" x14ac:dyDescent="0.3">
      <c r="A1953" t="s">
        <v>286</v>
      </c>
      <c r="B1953" t="s">
        <v>285</v>
      </c>
      <c r="D1953">
        <v>47</v>
      </c>
      <c r="E1953" t="s">
        <v>21</v>
      </c>
      <c r="F1953" t="s">
        <v>90</v>
      </c>
      <c r="G1953" s="1">
        <v>46108</v>
      </c>
      <c r="H1953" s="1">
        <v>46080</v>
      </c>
      <c r="I1953" t="s">
        <v>284</v>
      </c>
      <c r="J1953" t="s">
        <v>283</v>
      </c>
      <c r="K1953" t="s">
        <v>27</v>
      </c>
      <c r="L1953">
        <v>8911.27</v>
      </c>
      <c r="M1953" t="s">
        <v>64</v>
      </c>
      <c r="N1953">
        <v>342</v>
      </c>
      <c r="O1953" t="s">
        <v>77</v>
      </c>
    </row>
    <row r="1954" spans="1:15" x14ac:dyDescent="0.3">
      <c r="A1954" t="s">
        <v>282</v>
      </c>
      <c r="B1954" t="s">
        <v>281</v>
      </c>
      <c r="C1954" t="s">
        <v>123</v>
      </c>
      <c r="D1954">
        <v>88</v>
      </c>
      <c r="E1954" t="s">
        <v>47</v>
      </c>
      <c r="F1954" t="s">
        <v>38</v>
      </c>
      <c r="G1954" s="1">
        <v>46106</v>
      </c>
      <c r="H1954" s="1">
        <v>46080</v>
      </c>
      <c r="I1954" t="s">
        <v>280</v>
      </c>
      <c r="J1954" t="s">
        <v>279</v>
      </c>
      <c r="L1954">
        <v>5337.11</v>
      </c>
      <c r="M1954" t="s">
        <v>17</v>
      </c>
      <c r="N1954">
        <v>227</v>
      </c>
      <c r="O1954" t="s">
        <v>16</v>
      </c>
    </row>
    <row r="1955" spans="1:15" x14ac:dyDescent="0.3">
      <c r="A1955" t="s">
        <v>278</v>
      </c>
      <c r="B1955" t="s">
        <v>277</v>
      </c>
      <c r="C1955" t="s">
        <v>0</v>
      </c>
      <c r="D1955">
        <v>13</v>
      </c>
      <c r="E1955" t="s">
        <v>132</v>
      </c>
      <c r="F1955" t="s">
        <v>67</v>
      </c>
      <c r="G1955" s="1">
        <v>46160</v>
      </c>
      <c r="H1955" s="1">
        <v>46149</v>
      </c>
      <c r="I1955" t="s">
        <v>276</v>
      </c>
      <c r="J1955" t="s">
        <v>275</v>
      </c>
      <c r="K1955" t="s">
        <v>27</v>
      </c>
      <c r="L1955">
        <v>9598.7800000000007</v>
      </c>
      <c r="M1955" t="s">
        <v>27</v>
      </c>
      <c r="N1955">
        <v>125</v>
      </c>
      <c r="O1955" t="s">
        <v>77</v>
      </c>
    </row>
    <row r="1956" spans="1:15" x14ac:dyDescent="0.3">
      <c r="A1956" t="s">
        <v>274</v>
      </c>
      <c r="B1956" t="s">
        <v>273</v>
      </c>
      <c r="C1956" t="s">
        <v>22</v>
      </c>
      <c r="D1956">
        <v>18</v>
      </c>
      <c r="E1956" t="s">
        <v>132</v>
      </c>
      <c r="F1956" t="s">
        <v>30</v>
      </c>
      <c r="G1956" s="1">
        <v>46054</v>
      </c>
      <c r="H1956" s="1">
        <v>46049</v>
      </c>
      <c r="I1956" t="s">
        <v>272</v>
      </c>
      <c r="J1956" t="s">
        <v>271</v>
      </c>
      <c r="K1956" t="s">
        <v>27</v>
      </c>
      <c r="L1956">
        <v>7474.27</v>
      </c>
      <c r="N1956">
        <v>292</v>
      </c>
      <c r="O1956" t="s">
        <v>25</v>
      </c>
    </row>
    <row r="1957" spans="1:15" x14ac:dyDescent="0.3">
      <c r="A1957" t="s">
        <v>270</v>
      </c>
      <c r="B1957" t="s">
        <v>269</v>
      </c>
      <c r="C1957" t="s">
        <v>22</v>
      </c>
      <c r="D1957">
        <v>72</v>
      </c>
      <c r="E1957" t="s">
        <v>54</v>
      </c>
      <c r="F1957" t="s">
        <v>90</v>
      </c>
      <c r="G1957" s="1">
        <v>45998</v>
      </c>
      <c r="H1957" s="1">
        <v>45983</v>
      </c>
      <c r="I1957" t="s">
        <v>268</v>
      </c>
      <c r="J1957" t="s">
        <v>267</v>
      </c>
      <c r="L1957">
        <v>1440.06</v>
      </c>
      <c r="N1957">
        <v>234</v>
      </c>
      <c r="O1957" t="s">
        <v>71</v>
      </c>
    </row>
    <row r="1958" spans="1:15" x14ac:dyDescent="0.3">
      <c r="A1958" t="s">
        <v>266</v>
      </c>
      <c r="B1958" t="s">
        <v>265</v>
      </c>
      <c r="C1958" t="s">
        <v>40</v>
      </c>
      <c r="D1958">
        <v>40</v>
      </c>
      <c r="E1958" t="s">
        <v>31</v>
      </c>
      <c r="F1958" t="s">
        <v>90</v>
      </c>
      <c r="G1958" s="1">
        <v>46087</v>
      </c>
      <c r="H1958" s="1">
        <v>46060</v>
      </c>
      <c r="I1958" t="s">
        <v>264</v>
      </c>
      <c r="J1958" t="s">
        <v>263</v>
      </c>
      <c r="K1958" t="s">
        <v>57</v>
      </c>
      <c r="L1958">
        <v>12352.73</v>
      </c>
      <c r="N1958">
        <v>274</v>
      </c>
      <c r="O1958" t="s">
        <v>34</v>
      </c>
    </row>
    <row r="1959" spans="1:15" x14ac:dyDescent="0.3">
      <c r="A1959" t="s">
        <v>262</v>
      </c>
      <c r="B1959" t="s">
        <v>261</v>
      </c>
      <c r="C1959" t="s">
        <v>40</v>
      </c>
      <c r="D1959">
        <v>74</v>
      </c>
      <c r="E1959" t="s">
        <v>68</v>
      </c>
      <c r="F1959" t="s">
        <v>30</v>
      </c>
      <c r="G1959" s="1">
        <v>46152</v>
      </c>
      <c r="H1959" s="1">
        <v>46128</v>
      </c>
      <c r="I1959" t="s">
        <v>260</v>
      </c>
      <c r="J1959" t="s">
        <v>259</v>
      </c>
      <c r="K1959" t="s">
        <v>57</v>
      </c>
      <c r="L1959">
        <v>24125.99</v>
      </c>
      <c r="M1959" t="s">
        <v>57</v>
      </c>
      <c r="N1959">
        <v>500</v>
      </c>
      <c r="O1959" t="s">
        <v>34</v>
      </c>
    </row>
    <row r="1960" spans="1:15" x14ac:dyDescent="0.3">
      <c r="A1960" t="s">
        <v>258</v>
      </c>
      <c r="B1960" t="s">
        <v>257</v>
      </c>
      <c r="C1960" t="s">
        <v>40</v>
      </c>
      <c r="D1960">
        <v>55</v>
      </c>
      <c r="E1960" t="s">
        <v>39</v>
      </c>
      <c r="F1960" t="s">
        <v>38</v>
      </c>
      <c r="G1960" s="1">
        <v>46029</v>
      </c>
      <c r="H1960" s="1">
        <v>46002</v>
      </c>
      <c r="I1960" t="s">
        <v>256</v>
      </c>
      <c r="J1960" t="s">
        <v>255</v>
      </c>
      <c r="K1960" t="s">
        <v>57</v>
      </c>
      <c r="L1960">
        <v>6600.6</v>
      </c>
      <c r="N1960">
        <v>548</v>
      </c>
      <c r="O1960" t="s">
        <v>16</v>
      </c>
    </row>
    <row r="1961" spans="1:15" x14ac:dyDescent="0.3">
      <c r="A1961" t="s">
        <v>254</v>
      </c>
      <c r="B1961" t="s">
        <v>253</v>
      </c>
      <c r="C1961" t="s">
        <v>0</v>
      </c>
      <c r="D1961">
        <v>82</v>
      </c>
      <c r="E1961" t="s">
        <v>39</v>
      </c>
      <c r="F1961" t="s">
        <v>90</v>
      </c>
      <c r="G1961" s="1">
        <v>46107</v>
      </c>
      <c r="H1961" s="1">
        <v>46097</v>
      </c>
      <c r="I1961" t="s">
        <v>252</v>
      </c>
      <c r="J1961" t="s">
        <v>251</v>
      </c>
      <c r="K1961" t="s">
        <v>26</v>
      </c>
      <c r="L1961">
        <v>1543.97</v>
      </c>
      <c r="N1961">
        <v>423</v>
      </c>
      <c r="O1961" t="s">
        <v>43</v>
      </c>
    </row>
    <row r="1962" spans="1:15" x14ac:dyDescent="0.3">
      <c r="A1962" t="s">
        <v>250</v>
      </c>
      <c r="B1962" t="s">
        <v>249</v>
      </c>
      <c r="C1962" t="s">
        <v>60</v>
      </c>
      <c r="D1962">
        <v>30</v>
      </c>
      <c r="E1962" t="s">
        <v>47</v>
      </c>
      <c r="F1962" t="s">
        <v>46</v>
      </c>
      <c r="G1962" s="1">
        <v>46008</v>
      </c>
      <c r="H1962" s="1">
        <v>46013</v>
      </c>
      <c r="I1962" t="s">
        <v>248</v>
      </c>
      <c r="J1962" t="s">
        <v>247</v>
      </c>
      <c r="L1962">
        <v>4174.55</v>
      </c>
      <c r="M1962" t="s">
        <v>26</v>
      </c>
      <c r="N1962">
        <v>160</v>
      </c>
      <c r="O1962" t="s">
        <v>71</v>
      </c>
    </row>
    <row r="1963" spans="1:15" x14ac:dyDescent="0.3">
      <c r="A1963" t="s">
        <v>246</v>
      </c>
      <c r="B1963" t="s">
        <v>245</v>
      </c>
      <c r="C1963" t="s">
        <v>0</v>
      </c>
      <c r="D1963">
        <v>38</v>
      </c>
      <c r="E1963" t="s">
        <v>39</v>
      </c>
      <c r="F1963" t="s">
        <v>85</v>
      </c>
      <c r="G1963" s="1">
        <v>46032</v>
      </c>
      <c r="H1963" s="1">
        <v>46019</v>
      </c>
      <c r="I1963" t="s">
        <v>244</v>
      </c>
      <c r="J1963" t="s">
        <v>243</v>
      </c>
      <c r="L1963">
        <v>17409.95</v>
      </c>
      <c r="N1963">
        <v>259</v>
      </c>
      <c r="O1963" t="s">
        <v>16</v>
      </c>
    </row>
    <row r="1964" spans="1:15" x14ac:dyDescent="0.3">
      <c r="A1964" t="s">
        <v>242</v>
      </c>
      <c r="B1964" t="s">
        <v>241</v>
      </c>
      <c r="C1964" t="s">
        <v>0</v>
      </c>
      <c r="D1964">
        <v>41</v>
      </c>
      <c r="E1964" t="s">
        <v>80</v>
      </c>
      <c r="F1964" t="s">
        <v>90</v>
      </c>
      <c r="G1964" s="1">
        <v>46024</v>
      </c>
      <c r="H1964" s="1">
        <v>46024</v>
      </c>
      <c r="I1964" t="s">
        <v>240</v>
      </c>
      <c r="J1964" t="s">
        <v>239</v>
      </c>
      <c r="K1964" t="s">
        <v>64</v>
      </c>
      <c r="L1964">
        <v>2160.81</v>
      </c>
      <c r="M1964" t="s">
        <v>63</v>
      </c>
      <c r="N1964">
        <v>463</v>
      </c>
      <c r="O1964" t="s">
        <v>77</v>
      </c>
    </row>
    <row r="1965" spans="1:15" x14ac:dyDescent="0.3">
      <c r="A1965" t="s">
        <v>238</v>
      </c>
      <c r="B1965" t="s">
        <v>237</v>
      </c>
      <c r="C1965" t="s">
        <v>74</v>
      </c>
      <c r="D1965">
        <v>48</v>
      </c>
      <c r="E1965" t="s">
        <v>132</v>
      </c>
      <c r="F1965" t="s">
        <v>90</v>
      </c>
      <c r="G1965" s="1">
        <v>46007</v>
      </c>
      <c r="H1965" s="1">
        <v>46006</v>
      </c>
      <c r="I1965" t="s">
        <v>236</v>
      </c>
      <c r="J1965" t="s">
        <v>235</v>
      </c>
      <c r="K1965" t="s">
        <v>27</v>
      </c>
      <c r="L1965">
        <v>19060.22</v>
      </c>
      <c r="M1965" t="s">
        <v>27</v>
      </c>
      <c r="N1965">
        <v>155</v>
      </c>
      <c r="O1965" t="s">
        <v>16</v>
      </c>
    </row>
    <row r="1966" spans="1:15" x14ac:dyDescent="0.3">
      <c r="A1966" t="s">
        <v>234</v>
      </c>
      <c r="B1966" t="s">
        <v>233</v>
      </c>
      <c r="C1966" t="s">
        <v>123</v>
      </c>
      <c r="D1966">
        <v>62</v>
      </c>
      <c r="E1966" t="s">
        <v>68</v>
      </c>
      <c r="F1966" t="s">
        <v>53</v>
      </c>
      <c r="G1966" s="1">
        <v>46049</v>
      </c>
      <c r="H1966" s="1">
        <v>46043</v>
      </c>
      <c r="I1966" t="s">
        <v>232</v>
      </c>
      <c r="J1966" t="s">
        <v>231</v>
      </c>
      <c r="K1966" t="s">
        <v>64</v>
      </c>
      <c r="L1966">
        <v>4487.6499999999996</v>
      </c>
      <c r="M1966" t="s">
        <v>17</v>
      </c>
      <c r="N1966">
        <v>327</v>
      </c>
      <c r="O1966" t="s">
        <v>50</v>
      </c>
    </row>
    <row r="1967" spans="1:15" x14ac:dyDescent="0.3">
      <c r="A1967" t="s">
        <v>230</v>
      </c>
      <c r="B1967" t="s">
        <v>229</v>
      </c>
      <c r="C1967" t="s">
        <v>40</v>
      </c>
      <c r="D1967">
        <v>35</v>
      </c>
      <c r="E1967" t="s">
        <v>68</v>
      </c>
      <c r="F1967" t="s">
        <v>53</v>
      </c>
      <c r="G1967" s="1">
        <v>46090</v>
      </c>
      <c r="H1967" s="1">
        <v>46068</v>
      </c>
      <c r="I1967" t="s">
        <v>228</v>
      </c>
      <c r="J1967" t="s">
        <v>227</v>
      </c>
      <c r="L1967">
        <v>19854.7</v>
      </c>
      <c r="M1967" t="s">
        <v>26</v>
      </c>
      <c r="N1967">
        <v>426</v>
      </c>
      <c r="O1967" t="s">
        <v>50</v>
      </c>
    </row>
    <row r="1968" spans="1:15" x14ac:dyDescent="0.3">
      <c r="A1968" t="s">
        <v>226</v>
      </c>
      <c r="B1968" t="s">
        <v>225</v>
      </c>
      <c r="C1968" t="s">
        <v>123</v>
      </c>
      <c r="D1968">
        <v>10</v>
      </c>
      <c r="E1968" t="s">
        <v>39</v>
      </c>
      <c r="F1968" t="s">
        <v>20</v>
      </c>
      <c r="G1968" s="1">
        <v>46068</v>
      </c>
      <c r="H1968" s="1">
        <v>46039</v>
      </c>
      <c r="I1968" t="s">
        <v>224</v>
      </c>
      <c r="J1968" t="s">
        <v>223</v>
      </c>
      <c r="K1968" t="s">
        <v>35</v>
      </c>
      <c r="L1968">
        <v>1526.09</v>
      </c>
      <c r="M1968" t="s">
        <v>63</v>
      </c>
      <c r="N1968">
        <v>217</v>
      </c>
      <c r="O1968" t="s">
        <v>25</v>
      </c>
    </row>
    <row r="1969" spans="1:15" x14ac:dyDescent="0.3">
      <c r="A1969" t="s">
        <v>222</v>
      </c>
      <c r="B1969" t="s">
        <v>221</v>
      </c>
      <c r="D1969">
        <v>44</v>
      </c>
      <c r="E1969" t="s">
        <v>21</v>
      </c>
      <c r="F1969" t="s">
        <v>90</v>
      </c>
      <c r="G1969" s="1">
        <v>46073</v>
      </c>
      <c r="H1969" s="1">
        <v>46062</v>
      </c>
      <c r="I1969" t="s">
        <v>220</v>
      </c>
      <c r="J1969" t="s">
        <v>219</v>
      </c>
      <c r="L1969">
        <v>21686.68</v>
      </c>
      <c r="M1969" t="s">
        <v>27</v>
      </c>
      <c r="N1969">
        <v>336</v>
      </c>
      <c r="O1969" t="s">
        <v>34</v>
      </c>
    </row>
    <row r="1970" spans="1:15" x14ac:dyDescent="0.3">
      <c r="A1970" t="s">
        <v>218</v>
      </c>
      <c r="B1970" t="s">
        <v>217</v>
      </c>
      <c r="C1970" t="s">
        <v>60</v>
      </c>
      <c r="D1970">
        <v>82</v>
      </c>
      <c r="E1970" t="s">
        <v>39</v>
      </c>
      <c r="F1970" t="s">
        <v>67</v>
      </c>
      <c r="G1970" s="1">
        <v>46078</v>
      </c>
      <c r="H1970" s="1">
        <v>46070</v>
      </c>
      <c r="I1970" t="s">
        <v>216</v>
      </c>
      <c r="J1970" t="s">
        <v>215</v>
      </c>
      <c r="K1970" t="s">
        <v>35</v>
      </c>
      <c r="L1970">
        <v>7882.12</v>
      </c>
      <c r="M1970" t="s">
        <v>64</v>
      </c>
      <c r="N1970">
        <v>443</v>
      </c>
      <c r="O1970" t="s">
        <v>34</v>
      </c>
    </row>
    <row r="1971" spans="1:15" x14ac:dyDescent="0.3">
      <c r="A1971" t="s">
        <v>214</v>
      </c>
      <c r="B1971" t="s">
        <v>213</v>
      </c>
      <c r="C1971" t="s">
        <v>1</v>
      </c>
      <c r="D1971">
        <v>65</v>
      </c>
      <c r="E1971" t="s">
        <v>31</v>
      </c>
      <c r="F1971" t="s">
        <v>30</v>
      </c>
      <c r="G1971" s="1">
        <v>46001</v>
      </c>
      <c r="H1971" s="1">
        <v>45990</v>
      </c>
      <c r="I1971" t="s">
        <v>212</v>
      </c>
      <c r="J1971" t="s">
        <v>211</v>
      </c>
      <c r="K1971" t="s">
        <v>26</v>
      </c>
      <c r="L1971">
        <v>1369.3</v>
      </c>
      <c r="N1971">
        <v>230</v>
      </c>
      <c r="O1971" t="s">
        <v>43</v>
      </c>
    </row>
    <row r="1972" spans="1:15" x14ac:dyDescent="0.3">
      <c r="A1972" t="s">
        <v>210</v>
      </c>
      <c r="B1972" t="s">
        <v>209</v>
      </c>
      <c r="C1972" t="s">
        <v>60</v>
      </c>
      <c r="D1972">
        <v>-5</v>
      </c>
      <c r="E1972" t="s">
        <v>68</v>
      </c>
      <c r="F1972" t="s">
        <v>67</v>
      </c>
      <c r="G1972" s="1">
        <v>46144</v>
      </c>
      <c r="H1972" s="1">
        <v>46121</v>
      </c>
      <c r="I1972" t="s">
        <v>208</v>
      </c>
      <c r="J1972" t="s">
        <v>207</v>
      </c>
      <c r="K1972" t="s">
        <v>35</v>
      </c>
      <c r="L1972">
        <v>21772.78</v>
      </c>
      <c r="M1972" t="s">
        <v>64</v>
      </c>
      <c r="N1972">
        <v>157</v>
      </c>
      <c r="O1972" t="s">
        <v>71</v>
      </c>
    </row>
    <row r="1973" spans="1:15" x14ac:dyDescent="0.3">
      <c r="A1973" t="s">
        <v>206</v>
      </c>
      <c r="B1973" t="s">
        <v>205</v>
      </c>
      <c r="C1973" t="s">
        <v>1</v>
      </c>
      <c r="D1973">
        <v>20</v>
      </c>
      <c r="E1973" t="s">
        <v>68</v>
      </c>
      <c r="F1973" t="s">
        <v>30</v>
      </c>
      <c r="G1973" s="1">
        <v>46172</v>
      </c>
      <c r="H1973" s="1">
        <v>46148</v>
      </c>
      <c r="I1973" t="s">
        <v>204</v>
      </c>
      <c r="J1973" t="s">
        <v>203</v>
      </c>
      <c r="L1973">
        <v>17117.87</v>
      </c>
      <c r="M1973" t="s">
        <v>64</v>
      </c>
      <c r="N1973">
        <v>330</v>
      </c>
      <c r="O1973" t="s">
        <v>16</v>
      </c>
    </row>
    <row r="1974" spans="1:15" x14ac:dyDescent="0.3">
      <c r="A1974" t="s">
        <v>202</v>
      </c>
      <c r="B1974" t="s">
        <v>201</v>
      </c>
      <c r="C1974" t="s">
        <v>123</v>
      </c>
      <c r="D1974">
        <v>27</v>
      </c>
      <c r="E1974" t="s">
        <v>21</v>
      </c>
      <c r="F1974" t="s">
        <v>30</v>
      </c>
      <c r="G1974" s="1">
        <v>46169</v>
      </c>
      <c r="H1974" s="1">
        <v>46149</v>
      </c>
      <c r="I1974" t="s">
        <v>200</v>
      </c>
      <c r="J1974" t="s">
        <v>199</v>
      </c>
      <c r="K1974" t="s">
        <v>35</v>
      </c>
      <c r="L1974">
        <v>12334.27</v>
      </c>
      <c r="M1974" t="s">
        <v>27</v>
      </c>
      <c r="N1974">
        <v>198</v>
      </c>
      <c r="O1974" t="s">
        <v>50</v>
      </c>
    </row>
    <row r="1975" spans="1:15" x14ac:dyDescent="0.3">
      <c r="A1975" t="s">
        <v>198</v>
      </c>
      <c r="B1975" t="s">
        <v>197</v>
      </c>
      <c r="C1975" t="s">
        <v>123</v>
      </c>
      <c r="D1975">
        <v>88</v>
      </c>
      <c r="E1975" t="s">
        <v>39</v>
      </c>
      <c r="F1975" t="s">
        <v>20</v>
      </c>
      <c r="G1975" s="1">
        <v>46125</v>
      </c>
      <c r="H1975" s="1">
        <v>46097</v>
      </c>
      <c r="I1975" t="s">
        <v>196</v>
      </c>
      <c r="J1975" t="s">
        <v>195</v>
      </c>
      <c r="L1975">
        <v>8970.0300000000007</v>
      </c>
      <c r="M1975" t="s">
        <v>27</v>
      </c>
      <c r="N1975">
        <v>435</v>
      </c>
      <c r="O1975" t="s">
        <v>34</v>
      </c>
    </row>
    <row r="1976" spans="1:15" x14ac:dyDescent="0.3">
      <c r="A1976" t="s">
        <v>194</v>
      </c>
      <c r="B1976" t="s">
        <v>193</v>
      </c>
      <c r="C1976" t="s">
        <v>40</v>
      </c>
      <c r="D1976">
        <v>9</v>
      </c>
      <c r="E1976" t="s">
        <v>54</v>
      </c>
      <c r="F1976" t="s">
        <v>38</v>
      </c>
      <c r="G1976" s="1">
        <v>46056</v>
      </c>
      <c r="H1976" s="1">
        <v>46030</v>
      </c>
      <c r="I1976" t="s">
        <v>192</v>
      </c>
      <c r="J1976" t="s">
        <v>191</v>
      </c>
      <c r="K1976" t="s">
        <v>27</v>
      </c>
      <c r="L1976">
        <v>6522.26</v>
      </c>
      <c r="M1976" t="s">
        <v>57</v>
      </c>
      <c r="N1976">
        <v>116</v>
      </c>
      <c r="O1976" t="s">
        <v>16</v>
      </c>
    </row>
    <row r="1977" spans="1:15" x14ac:dyDescent="0.3">
      <c r="A1977" t="s">
        <v>190</v>
      </c>
      <c r="B1977" t="s">
        <v>189</v>
      </c>
      <c r="C1977" t="s">
        <v>1</v>
      </c>
      <c r="D1977">
        <v>42</v>
      </c>
      <c r="E1977" t="s">
        <v>39</v>
      </c>
      <c r="F1977" t="s">
        <v>30</v>
      </c>
      <c r="G1977" s="1">
        <v>46076</v>
      </c>
      <c r="H1977" s="1">
        <v>46057</v>
      </c>
      <c r="I1977" t="s">
        <v>188</v>
      </c>
      <c r="J1977" t="s">
        <v>187</v>
      </c>
      <c r="K1977" t="s">
        <v>17</v>
      </c>
      <c r="L1977">
        <v>8409.4</v>
      </c>
      <c r="M1977" t="s">
        <v>57</v>
      </c>
      <c r="N1977">
        <v>256</v>
      </c>
      <c r="O1977" t="s">
        <v>77</v>
      </c>
    </row>
    <row r="1978" spans="1:15" x14ac:dyDescent="0.3">
      <c r="A1978" t="s">
        <v>186</v>
      </c>
      <c r="B1978" t="s">
        <v>185</v>
      </c>
      <c r="C1978" t="s">
        <v>40</v>
      </c>
      <c r="D1978">
        <v>90</v>
      </c>
      <c r="E1978" t="s">
        <v>80</v>
      </c>
      <c r="F1978" t="s">
        <v>20</v>
      </c>
      <c r="G1978" s="1">
        <v>46122</v>
      </c>
      <c r="H1978" s="1">
        <v>46100</v>
      </c>
      <c r="I1978" t="s">
        <v>184</v>
      </c>
      <c r="J1978" t="s">
        <v>183</v>
      </c>
      <c r="L1978">
        <v>11125.43</v>
      </c>
      <c r="M1978" t="s">
        <v>63</v>
      </c>
      <c r="N1978">
        <v>363</v>
      </c>
      <c r="O1978" t="s">
        <v>77</v>
      </c>
    </row>
    <row r="1979" spans="1:15" x14ac:dyDescent="0.3">
      <c r="A1979" t="s">
        <v>182</v>
      </c>
      <c r="B1979" t="s">
        <v>181</v>
      </c>
      <c r="C1979" t="s">
        <v>123</v>
      </c>
      <c r="D1979">
        <v>45</v>
      </c>
      <c r="E1979" t="s">
        <v>39</v>
      </c>
      <c r="F1979" t="s">
        <v>30</v>
      </c>
      <c r="G1979" s="1">
        <v>46056</v>
      </c>
      <c r="H1979" s="1">
        <v>46048</v>
      </c>
      <c r="I1979" t="s">
        <v>180</v>
      </c>
      <c r="J1979" t="s">
        <v>179</v>
      </c>
      <c r="K1979" t="s">
        <v>26</v>
      </c>
      <c r="L1979">
        <v>22936.39</v>
      </c>
      <c r="M1979" t="s">
        <v>17</v>
      </c>
      <c r="N1979">
        <v>233</v>
      </c>
      <c r="O1979" t="s">
        <v>43</v>
      </c>
    </row>
    <row r="1980" spans="1:15" x14ac:dyDescent="0.3">
      <c r="A1980" t="s">
        <v>178</v>
      </c>
      <c r="B1980" t="s">
        <v>177</v>
      </c>
      <c r="C1980" t="s">
        <v>123</v>
      </c>
      <c r="D1980">
        <v>7</v>
      </c>
      <c r="E1980" t="s">
        <v>21</v>
      </c>
      <c r="F1980" t="s">
        <v>67</v>
      </c>
      <c r="G1980" s="1">
        <v>46145</v>
      </c>
      <c r="H1980" s="1">
        <v>46123</v>
      </c>
      <c r="I1980" t="s">
        <v>176</v>
      </c>
      <c r="J1980" t="s">
        <v>175</v>
      </c>
      <c r="K1980" t="s">
        <v>64</v>
      </c>
      <c r="L1980">
        <v>11982.76</v>
      </c>
      <c r="M1980" t="s">
        <v>57</v>
      </c>
      <c r="N1980">
        <v>330</v>
      </c>
      <c r="O1980" t="s">
        <v>25</v>
      </c>
    </row>
    <row r="1981" spans="1:15" x14ac:dyDescent="0.3">
      <c r="A1981" t="s">
        <v>174</v>
      </c>
      <c r="B1981" t="s">
        <v>173</v>
      </c>
      <c r="C1981" t="s">
        <v>74</v>
      </c>
      <c r="D1981">
        <v>2</v>
      </c>
      <c r="E1981" t="s">
        <v>31</v>
      </c>
      <c r="F1981" t="s">
        <v>38</v>
      </c>
      <c r="G1981" s="1">
        <v>46074</v>
      </c>
      <c r="H1981" s="1">
        <v>46054</v>
      </c>
      <c r="I1981" t="s">
        <v>172</v>
      </c>
      <c r="J1981" t="s">
        <v>171</v>
      </c>
      <c r="K1981" t="s">
        <v>64</v>
      </c>
      <c r="L1981">
        <v>3847.67</v>
      </c>
      <c r="N1981">
        <v>357</v>
      </c>
      <c r="O1981" t="s">
        <v>34</v>
      </c>
    </row>
    <row r="1982" spans="1:15" x14ac:dyDescent="0.3">
      <c r="A1982" t="s">
        <v>170</v>
      </c>
      <c r="B1982" t="s">
        <v>169</v>
      </c>
      <c r="C1982" t="s">
        <v>22</v>
      </c>
      <c r="D1982">
        <v>69</v>
      </c>
      <c r="E1982" t="s">
        <v>54</v>
      </c>
      <c r="F1982" t="s">
        <v>90</v>
      </c>
      <c r="G1982" s="1">
        <v>46050</v>
      </c>
      <c r="H1982" s="1">
        <v>46032</v>
      </c>
      <c r="I1982" t="s">
        <v>168</v>
      </c>
      <c r="J1982" t="s">
        <v>167</v>
      </c>
      <c r="K1982" t="s">
        <v>35</v>
      </c>
      <c r="L1982">
        <v>22143.02</v>
      </c>
      <c r="M1982" t="s">
        <v>27</v>
      </c>
      <c r="N1982">
        <v>256</v>
      </c>
      <c r="O1982" t="s">
        <v>43</v>
      </c>
    </row>
    <row r="1983" spans="1:15" x14ac:dyDescent="0.3">
      <c r="A1983" t="s">
        <v>166</v>
      </c>
      <c r="B1983" t="s">
        <v>165</v>
      </c>
      <c r="D1983">
        <v>75</v>
      </c>
      <c r="E1983" t="s">
        <v>39</v>
      </c>
      <c r="F1983" t="s">
        <v>85</v>
      </c>
      <c r="G1983" s="1">
        <v>46134</v>
      </c>
      <c r="H1983" s="1">
        <v>46131</v>
      </c>
      <c r="I1983" t="s">
        <v>164</v>
      </c>
      <c r="J1983" t="s">
        <v>163</v>
      </c>
      <c r="K1983" t="s">
        <v>26</v>
      </c>
      <c r="L1983">
        <v>21025.69</v>
      </c>
      <c r="M1983" t="s">
        <v>26</v>
      </c>
      <c r="N1983">
        <v>229</v>
      </c>
      <c r="O1983" t="s">
        <v>16</v>
      </c>
    </row>
    <row r="1984" spans="1:15" x14ac:dyDescent="0.3">
      <c r="A1984" t="s">
        <v>162</v>
      </c>
      <c r="B1984" t="s">
        <v>161</v>
      </c>
      <c r="C1984" t="s">
        <v>1</v>
      </c>
      <c r="D1984">
        <v>5</v>
      </c>
      <c r="E1984" t="s">
        <v>80</v>
      </c>
      <c r="F1984" t="s">
        <v>90</v>
      </c>
      <c r="G1984" s="1">
        <v>46125</v>
      </c>
      <c r="H1984" s="1">
        <v>46103</v>
      </c>
      <c r="I1984" t="s">
        <v>160</v>
      </c>
      <c r="J1984" t="s">
        <v>159</v>
      </c>
      <c r="K1984" t="s">
        <v>26</v>
      </c>
      <c r="L1984">
        <v>4540.7299999999996</v>
      </c>
      <c r="M1984" t="s">
        <v>26</v>
      </c>
      <c r="N1984">
        <v>204</v>
      </c>
      <c r="O1984" t="s">
        <v>50</v>
      </c>
    </row>
    <row r="1985" spans="1:15" x14ac:dyDescent="0.3">
      <c r="A1985" t="s">
        <v>158</v>
      </c>
      <c r="B1985" t="s">
        <v>157</v>
      </c>
      <c r="C1985" t="s">
        <v>1</v>
      </c>
      <c r="D1985">
        <v>76</v>
      </c>
      <c r="E1985" t="s">
        <v>68</v>
      </c>
      <c r="F1985" t="s">
        <v>53</v>
      </c>
      <c r="G1985" s="1">
        <v>46117</v>
      </c>
      <c r="H1985" s="1">
        <v>46101</v>
      </c>
      <c r="I1985" t="s">
        <v>156</v>
      </c>
      <c r="J1985" t="s">
        <v>155</v>
      </c>
      <c r="K1985" t="s">
        <v>17</v>
      </c>
      <c r="L1985">
        <v>6109.03</v>
      </c>
      <c r="M1985" t="s">
        <v>64</v>
      </c>
      <c r="N1985">
        <v>177</v>
      </c>
      <c r="O1985" t="s">
        <v>77</v>
      </c>
    </row>
    <row r="1986" spans="1:15" x14ac:dyDescent="0.3">
      <c r="A1986" t="s">
        <v>154</v>
      </c>
      <c r="B1986" t="s">
        <v>153</v>
      </c>
      <c r="D1986">
        <v>4</v>
      </c>
      <c r="E1986" t="s">
        <v>54</v>
      </c>
      <c r="F1986" t="s">
        <v>53</v>
      </c>
      <c r="G1986" s="1">
        <v>46099</v>
      </c>
      <c r="H1986" s="1">
        <v>46069</v>
      </c>
      <c r="I1986" t="s">
        <v>152</v>
      </c>
      <c r="J1986" t="s">
        <v>151</v>
      </c>
      <c r="K1986" t="s">
        <v>17</v>
      </c>
      <c r="L1986">
        <v>24588.45</v>
      </c>
      <c r="M1986" t="s">
        <v>27</v>
      </c>
      <c r="N1986">
        <v>464</v>
      </c>
      <c r="O1986" t="s">
        <v>34</v>
      </c>
    </row>
    <row r="1987" spans="1:15" x14ac:dyDescent="0.3">
      <c r="A1987" t="s">
        <v>150</v>
      </c>
      <c r="B1987" t="s">
        <v>149</v>
      </c>
      <c r="C1987" t="s">
        <v>1</v>
      </c>
      <c r="D1987">
        <v>22</v>
      </c>
      <c r="E1987" t="s">
        <v>39</v>
      </c>
      <c r="F1987" t="s">
        <v>20</v>
      </c>
      <c r="G1987" s="1">
        <v>46086</v>
      </c>
      <c r="H1987" s="1">
        <v>46085</v>
      </c>
      <c r="I1987" t="s">
        <v>148</v>
      </c>
      <c r="J1987" t="s">
        <v>147</v>
      </c>
      <c r="K1987" t="s">
        <v>64</v>
      </c>
      <c r="L1987">
        <v>569.59</v>
      </c>
      <c r="M1987" t="s">
        <v>57</v>
      </c>
      <c r="N1987">
        <v>189</v>
      </c>
      <c r="O1987" t="s">
        <v>77</v>
      </c>
    </row>
    <row r="1988" spans="1:15" x14ac:dyDescent="0.3">
      <c r="A1988" t="s">
        <v>146</v>
      </c>
      <c r="B1988" t="s">
        <v>145</v>
      </c>
      <c r="C1988" t="s">
        <v>40</v>
      </c>
      <c r="D1988">
        <v>9</v>
      </c>
      <c r="E1988" t="s">
        <v>54</v>
      </c>
      <c r="F1988" t="s">
        <v>85</v>
      </c>
      <c r="G1988" s="1">
        <v>46043</v>
      </c>
      <c r="H1988" s="1">
        <v>46030</v>
      </c>
      <c r="I1988" t="s">
        <v>144</v>
      </c>
      <c r="J1988" t="s">
        <v>143</v>
      </c>
      <c r="L1988">
        <v>3042.44</v>
      </c>
      <c r="M1988" t="s">
        <v>27</v>
      </c>
      <c r="N1988">
        <v>360</v>
      </c>
      <c r="O1988" t="s">
        <v>50</v>
      </c>
    </row>
    <row r="1989" spans="1:15" x14ac:dyDescent="0.3">
      <c r="A1989" t="s">
        <v>142</v>
      </c>
      <c r="B1989" t="s">
        <v>141</v>
      </c>
      <c r="D1989">
        <v>50</v>
      </c>
      <c r="E1989" t="s">
        <v>80</v>
      </c>
      <c r="F1989" t="s">
        <v>46</v>
      </c>
      <c r="G1989" s="1">
        <v>46082</v>
      </c>
      <c r="H1989" s="1">
        <v>46065</v>
      </c>
      <c r="I1989" t="s">
        <v>140</v>
      </c>
      <c r="J1989" t="s">
        <v>139</v>
      </c>
      <c r="K1989" t="s">
        <v>64</v>
      </c>
      <c r="L1989">
        <v>20482.18</v>
      </c>
      <c r="M1989" t="s">
        <v>57</v>
      </c>
      <c r="N1989">
        <v>290</v>
      </c>
      <c r="O1989" t="s">
        <v>16</v>
      </c>
    </row>
    <row r="1990" spans="1:15" x14ac:dyDescent="0.3">
      <c r="A1990" t="s">
        <v>138</v>
      </c>
      <c r="B1990" t="s">
        <v>137</v>
      </c>
      <c r="C1990" t="s">
        <v>74</v>
      </c>
      <c r="D1990">
        <v>37</v>
      </c>
      <c r="E1990" t="s">
        <v>47</v>
      </c>
      <c r="F1990" t="s">
        <v>38</v>
      </c>
      <c r="G1990" s="1">
        <v>46172</v>
      </c>
      <c r="H1990" s="1">
        <v>46144</v>
      </c>
      <c r="I1990" t="s">
        <v>136</v>
      </c>
      <c r="J1990" t="s">
        <v>135</v>
      </c>
      <c r="K1990" t="s">
        <v>26</v>
      </c>
      <c r="L1990">
        <v>23228.19</v>
      </c>
      <c r="M1990" t="s">
        <v>57</v>
      </c>
      <c r="N1990">
        <v>428</v>
      </c>
      <c r="O1990" t="s">
        <v>77</v>
      </c>
    </row>
    <row r="1991" spans="1:15" x14ac:dyDescent="0.3">
      <c r="A1991" t="s">
        <v>134</v>
      </c>
      <c r="B1991" t="s">
        <v>133</v>
      </c>
      <c r="C1991" t="s">
        <v>40</v>
      </c>
      <c r="D1991">
        <v>62</v>
      </c>
      <c r="E1991" t="s">
        <v>132</v>
      </c>
      <c r="F1991" t="s">
        <v>90</v>
      </c>
      <c r="G1991" s="1">
        <v>46039</v>
      </c>
      <c r="H1991" s="1">
        <v>46014</v>
      </c>
      <c r="I1991" t="s">
        <v>131</v>
      </c>
      <c r="J1991" t="s">
        <v>130</v>
      </c>
      <c r="K1991" t="s">
        <v>35</v>
      </c>
      <c r="L1991">
        <v>5035.6899999999996</v>
      </c>
      <c r="M1991" t="s">
        <v>63</v>
      </c>
      <c r="N1991">
        <v>309</v>
      </c>
      <c r="O1991" t="s">
        <v>50</v>
      </c>
    </row>
    <row r="1992" spans="1:15" x14ac:dyDescent="0.3">
      <c r="A1992" t="s">
        <v>129</v>
      </c>
      <c r="B1992" t="s">
        <v>128</v>
      </c>
      <c r="C1992" t="s">
        <v>60</v>
      </c>
      <c r="D1992">
        <v>87</v>
      </c>
      <c r="E1992" t="s">
        <v>80</v>
      </c>
      <c r="F1992" t="s">
        <v>46</v>
      </c>
      <c r="G1992" s="1">
        <v>46110</v>
      </c>
      <c r="H1992" s="1">
        <v>46110</v>
      </c>
      <c r="I1992" t="s">
        <v>127</v>
      </c>
      <c r="J1992" t="s">
        <v>126</v>
      </c>
      <c r="K1992" t="s">
        <v>17</v>
      </c>
      <c r="L1992">
        <v>18386.71</v>
      </c>
      <c r="M1992" t="s">
        <v>27</v>
      </c>
      <c r="N1992">
        <v>334</v>
      </c>
      <c r="O1992" t="s">
        <v>50</v>
      </c>
    </row>
    <row r="1993" spans="1:15" x14ac:dyDescent="0.3">
      <c r="A1993" t="s">
        <v>125</v>
      </c>
      <c r="B1993" t="s">
        <v>124</v>
      </c>
      <c r="C1993" t="s">
        <v>123</v>
      </c>
      <c r="D1993">
        <v>24</v>
      </c>
      <c r="E1993" t="s">
        <v>47</v>
      </c>
      <c r="F1993" t="s">
        <v>67</v>
      </c>
      <c r="G1993" s="1">
        <v>46113</v>
      </c>
      <c r="H1993" s="1">
        <v>46087</v>
      </c>
      <c r="I1993" t="s">
        <v>122</v>
      </c>
      <c r="J1993" t="s">
        <v>121</v>
      </c>
      <c r="K1993" t="s">
        <v>26</v>
      </c>
      <c r="L1993">
        <v>23597.77</v>
      </c>
      <c r="N1993">
        <v>324</v>
      </c>
      <c r="O1993" t="s">
        <v>50</v>
      </c>
    </row>
    <row r="1994" spans="1:15" x14ac:dyDescent="0.3">
      <c r="A1994" t="s">
        <v>120</v>
      </c>
      <c r="B1994" t="s">
        <v>119</v>
      </c>
      <c r="C1994" t="s">
        <v>74</v>
      </c>
      <c r="D1994">
        <v>43</v>
      </c>
      <c r="E1994" t="s">
        <v>47</v>
      </c>
      <c r="F1994" t="s">
        <v>46</v>
      </c>
      <c r="G1994" s="1">
        <v>46064</v>
      </c>
      <c r="H1994" s="1">
        <v>46051</v>
      </c>
      <c r="I1994" t="s">
        <v>118</v>
      </c>
      <c r="J1994" t="s">
        <v>117</v>
      </c>
      <c r="L1994">
        <v>24316.61</v>
      </c>
      <c r="N1994">
        <v>316</v>
      </c>
      <c r="O1994" t="s">
        <v>43</v>
      </c>
    </row>
    <row r="1995" spans="1:15" x14ac:dyDescent="0.3">
      <c r="A1995" t="s">
        <v>116</v>
      </c>
      <c r="B1995" t="s">
        <v>115</v>
      </c>
      <c r="C1995" t="s">
        <v>74</v>
      </c>
      <c r="D1995">
        <v>10</v>
      </c>
      <c r="E1995" t="s">
        <v>47</v>
      </c>
      <c r="F1995" t="s">
        <v>90</v>
      </c>
      <c r="G1995" s="1">
        <v>46107</v>
      </c>
      <c r="H1995" s="1">
        <v>46078</v>
      </c>
      <c r="I1995" t="s">
        <v>114</v>
      </c>
      <c r="J1995" t="s">
        <v>113</v>
      </c>
      <c r="K1995" t="s">
        <v>57</v>
      </c>
      <c r="L1995">
        <v>7617.45</v>
      </c>
      <c r="M1995" t="s">
        <v>64</v>
      </c>
      <c r="N1995">
        <v>462</v>
      </c>
      <c r="O1995" t="s">
        <v>77</v>
      </c>
    </row>
    <row r="1996" spans="1:15" x14ac:dyDescent="0.3">
      <c r="A1996" t="s">
        <v>112</v>
      </c>
      <c r="B1996" t="s">
        <v>111</v>
      </c>
      <c r="C1996" t="s">
        <v>1</v>
      </c>
      <c r="D1996">
        <v>37</v>
      </c>
      <c r="E1996" t="s">
        <v>47</v>
      </c>
      <c r="F1996" t="s">
        <v>85</v>
      </c>
      <c r="G1996" s="1">
        <v>46030</v>
      </c>
      <c r="H1996" s="1">
        <v>46013</v>
      </c>
      <c r="I1996" t="s">
        <v>110</v>
      </c>
      <c r="J1996" t="s">
        <v>109</v>
      </c>
      <c r="K1996" t="s">
        <v>57</v>
      </c>
      <c r="L1996">
        <v>2694.18</v>
      </c>
      <c r="M1996" t="s">
        <v>63</v>
      </c>
      <c r="N1996">
        <v>495</v>
      </c>
      <c r="O1996" t="s">
        <v>34</v>
      </c>
    </row>
    <row r="1997" spans="1:15" x14ac:dyDescent="0.3">
      <c r="A1997" t="s">
        <v>108</v>
      </c>
      <c r="B1997" t="s">
        <v>107</v>
      </c>
      <c r="D1997">
        <v>6</v>
      </c>
      <c r="E1997" t="s">
        <v>47</v>
      </c>
      <c r="F1997" t="s">
        <v>67</v>
      </c>
      <c r="G1997" s="1">
        <v>46122</v>
      </c>
      <c r="H1997" s="1">
        <v>46098</v>
      </c>
      <c r="I1997" t="s">
        <v>106</v>
      </c>
      <c r="J1997" t="s">
        <v>105</v>
      </c>
      <c r="K1997" t="s">
        <v>17</v>
      </c>
      <c r="L1997">
        <v>10861.43</v>
      </c>
      <c r="M1997" t="s">
        <v>57</v>
      </c>
      <c r="N1997">
        <v>250</v>
      </c>
      <c r="O1997" t="s">
        <v>34</v>
      </c>
    </row>
    <row r="1998" spans="1:15" x14ac:dyDescent="0.3">
      <c r="A1998" t="s">
        <v>104</v>
      </c>
      <c r="B1998" t="s">
        <v>103</v>
      </c>
      <c r="C1998" t="s">
        <v>0</v>
      </c>
      <c r="D1998">
        <v>49</v>
      </c>
      <c r="E1998" t="s">
        <v>54</v>
      </c>
      <c r="F1998" t="s">
        <v>53</v>
      </c>
      <c r="G1998" s="1">
        <v>46092</v>
      </c>
      <c r="H1998" s="1">
        <v>46080</v>
      </c>
      <c r="I1998" t="s">
        <v>102</v>
      </c>
      <c r="J1998" t="s">
        <v>101</v>
      </c>
      <c r="L1998">
        <v>19665.810000000001</v>
      </c>
      <c r="M1998" t="s">
        <v>57</v>
      </c>
      <c r="N1998">
        <v>376</v>
      </c>
      <c r="O1998" t="s">
        <v>16</v>
      </c>
    </row>
    <row r="1999" spans="1:15" x14ac:dyDescent="0.3">
      <c r="A1999" t="s">
        <v>100</v>
      </c>
      <c r="B1999" t="s">
        <v>99</v>
      </c>
      <c r="C1999" t="s">
        <v>74</v>
      </c>
      <c r="D1999">
        <v>61</v>
      </c>
      <c r="E1999" t="s">
        <v>68</v>
      </c>
      <c r="F1999" t="s">
        <v>20</v>
      </c>
      <c r="G1999" s="1">
        <v>46100</v>
      </c>
      <c r="H1999" s="1">
        <v>46089</v>
      </c>
      <c r="I1999" t="s">
        <v>98</v>
      </c>
      <c r="J1999" t="s">
        <v>97</v>
      </c>
      <c r="K1999" t="s">
        <v>27</v>
      </c>
      <c r="L1999">
        <v>9400.69</v>
      </c>
      <c r="N1999">
        <v>192</v>
      </c>
      <c r="O1999" t="s">
        <v>43</v>
      </c>
    </row>
    <row r="2000" spans="1:15" x14ac:dyDescent="0.3">
      <c r="A2000" t="s">
        <v>96</v>
      </c>
      <c r="B2000" t="s">
        <v>95</v>
      </c>
      <c r="D2000">
        <v>10</v>
      </c>
      <c r="E2000" t="s">
        <v>68</v>
      </c>
      <c r="F2000" t="s">
        <v>90</v>
      </c>
      <c r="G2000" s="1">
        <v>46083</v>
      </c>
      <c r="H2000" s="1">
        <v>46083</v>
      </c>
      <c r="I2000" t="s">
        <v>94</v>
      </c>
      <c r="J2000" t="s">
        <v>93</v>
      </c>
      <c r="K2000" t="s">
        <v>17</v>
      </c>
      <c r="L2000">
        <v>3337.3</v>
      </c>
      <c r="M2000" t="s">
        <v>64</v>
      </c>
      <c r="N2000">
        <v>167</v>
      </c>
      <c r="O2000" t="s">
        <v>16</v>
      </c>
    </row>
    <row r="2001" spans="1:15" x14ac:dyDescent="0.3">
      <c r="A2001" t="s">
        <v>92</v>
      </c>
      <c r="B2001" t="s">
        <v>91</v>
      </c>
      <c r="C2001" t="s">
        <v>60</v>
      </c>
      <c r="D2001">
        <v>59</v>
      </c>
      <c r="E2001" t="s">
        <v>39</v>
      </c>
      <c r="F2001" t="s">
        <v>90</v>
      </c>
      <c r="G2001" s="1">
        <v>46101</v>
      </c>
      <c r="H2001" s="1">
        <v>46101</v>
      </c>
      <c r="I2001" t="s">
        <v>89</v>
      </c>
      <c r="J2001" t="s">
        <v>88</v>
      </c>
      <c r="K2001" t="s">
        <v>26</v>
      </c>
      <c r="L2001">
        <v>24448.89</v>
      </c>
      <c r="M2001" t="s">
        <v>27</v>
      </c>
      <c r="N2001">
        <v>489</v>
      </c>
      <c r="O2001" t="s">
        <v>34</v>
      </c>
    </row>
    <row r="2002" spans="1:15" x14ac:dyDescent="0.3">
      <c r="A2002" t="s">
        <v>87</v>
      </c>
      <c r="B2002" t="s">
        <v>86</v>
      </c>
      <c r="C2002" t="s">
        <v>60</v>
      </c>
      <c r="D2002">
        <v>18</v>
      </c>
      <c r="E2002" t="s">
        <v>80</v>
      </c>
      <c r="F2002" t="s">
        <v>85</v>
      </c>
      <c r="G2002" s="1">
        <v>46116</v>
      </c>
      <c r="H2002" s="1">
        <v>46105</v>
      </c>
      <c r="I2002" t="s">
        <v>84</v>
      </c>
      <c r="J2002" t="s">
        <v>83</v>
      </c>
      <c r="K2002" t="s">
        <v>57</v>
      </c>
      <c r="L2002">
        <v>12860.32</v>
      </c>
      <c r="M2002" t="s">
        <v>64</v>
      </c>
      <c r="N2002">
        <v>335</v>
      </c>
      <c r="O2002" t="s">
        <v>16</v>
      </c>
    </row>
    <row r="2003" spans="1:15" x14ac:dyDescent="0.3">
      <c r="A2003" t="s">
        <v>82</v>
      </c>
      <c r="B2003" t="s">
        <v>81</v>
      </c>
      <c r="D2003">
        <v>38</v>
      </c>
      <c r="E2003" t="s">
        <v>80</v>
      </c>
      <c r="F2003" t="s">
        <v>53</v>
      </c>
      <c r="G2003" s="1">
        <v>46073</v>
      </c>
      <c r="H2003" s="1">
        <v>46058</v>
      </c>
      <c r="I2003" t="s">
        <v>79</v>
      </c>
      <c r="J2003" t="s">
        <v>78</v>
      </c>
      <c r="K2003" t="s">
        <v>26</v>
      </c>
      <c r="L2003">
        <v>9750.39</v>
      </c>
      <c r="M2003" t="s">
        <v>26</v>
      </c>
      <c r="N2003">
        <v>501</v>
      </c>
      <c r="O2003" t="s">
        <v>77</v>
      </c>
    </row>
    <row r="2004" spans="1:15" x14ac:dyDescent="0.3">
      <c r="A2004" t="s">
        <v>76</v>
      </c>
      <c r="B2004" t="s">
        <v>75</v>
      </c>
      <c r="C2004" t="s">
        <v>74</v>
      </c>
      <c r="D2004">
        <v>70</v>
      </c>
      <c r="E2004" t="s">
        <v>39</v>
      </c>
      <c r="F2004" t="s">
        <v>30</v>
      </c>
      <c r="G2004" s="1">
        <v>46125</v>
      </c>
      <c r="H2004" s="1">
        <v>46123</v>
      </c>
      <c r="I2004" t="s">
        <v>73</v>
      </c>
      <c r="J2004" t="s">
        <v>72</v>
      </c>
      <c r="L2004">
        <v>23511.14</v>
      </c>
      <c r="N2004">
        <v>236</v>
      </c>
      <c r="O2004" t="s">
        <v>71</v>
      </c>
    </row>
    <row r="2005" spans="1:15" x14ac:dyDescent="0.3">
      <c r="A2005" t="s">
        <v>70</v>
      </c>
      <c r="B2005" t="s">
        <v>69</v>
      </c>
      <c r="C2005" t="s">
        <v>0</v>
      </c>
      <c r="D2005">
        <v>19</v>
      </c>
      <c r="E2005" t="s">
        <v>68</v>
      </c>
      <c r="F2005" t="s">
        <v>67</v>
      </c>
      <c r="G2005" s="1">
        <v>46094</v>
      </c>
      <c r="H2005" s="1">
        <v>46078</v>
      </c>
      <c r="I2005" t="s">
        <v>66</v>
      </c>
      <c r="J2005" t="s">
        <v>65</v>
      </c>
      <c r="K2005" t="s">
        <v>64</v>
      </c>
      <c r="L2005">
        <v>11342.12</v>
      </c>
      <c r="M2005" t="s">
        <v>63</v>
      </c>
      <c r="N2005">
        <v>469</v>
      </c>
      <c r="O2005" t="s">
        <v>25</v>
      </c>
    </row>
    <row r="2006" spans="1:15" x14ac:dyDescent="0.3">
      <c r="A2006" t="s">
        <v>62</v>
      </c>
      <c r="B2006" t="s">
        <v>61</v>
      </c>
      <c r="C2006" t="s">
        <v>60</v>
      </c>
      <c r="D2006">
        <v>35</v>
      </c>
      <c r="E2006" t="s">
        <v>39</v>
      </c>
      <c r="F2006" t="s">
        <v>20</v>
      </c>
      <c r="G2006" s="1">
        <v>46015</v>
      </c>
      <c r="H2006" s="1">
        <v>45989</v>
      </c>
      <c r="I2006" t="s">
        <v>59</v>
      </c>
      <c r="J2006" t="s">
        <v>58</v>
      </c>
      <c r="K2006" t="s">
        <v>57</v>
      </c>
      <c r="L2006">
        <v>17089.18</v>
      </c>
      <c r="M2006" t="s">
        <v>17</v>
      </c>
      <c r="N2006">
        <v>348</v>
      </c>
      <c r="O2006" t="s">
        <v>50</v>
      </c>
    </row>
    <row r="2007" spans="1:15" x14ac:dyDescent="0.3">
      <c r="A2007" t="s">
        <v>56</v>
      </c>
      <c r="B2007" t="s">
        <v>55</v>
      </c>
      <c r="C2007" t="s">
        <v>40</v>
      </c>
      <c r="D2007">
        <v>41</v>
      </c>
      <c r="E2007" t="s">
        <v>54</v>
      </c>
      <c r="F2007" t="s">
        <v>53</v>
      </c>
      <c r="G2007" s="1">
        <v>46051</v>
      </c>
      <c r="H2007" s="1">
        <v>46051</v>
      </c>
      <c r="I2007" t="s">
        <v>52</v>
      </c>
      <c r="J2007" t="s">
        <v>51</v>
      </c>
      <c r="K2007" t="s">
        <v>35</v>
      </c>
      <c r="L2007">
        <v>3332.95</v>
      </c>
      <c r="M2007" t="s">
        <v>17</v>
      </c>
      <c r="N2007">
        <v>354</v>
      </c>
      <c r="O2007" t="s">
        <v>50</v>
      </c>
    </row>
    <row r="2008" spans="1:15" x14ac:dyDescent="0.3">
      <c r="A2008" t="s">
        <v>49</v>
      </c>
      <c r="B2008" t="s">
        <v>48</v>
      </c>
      <c r="C2008" t="s">
        <v>40</v>
      </c>
      <c r="D2008">
        <v>74</v>
      </c>
      <c r="E2008" t="s">
        <v>47</v>
      </c>
      <c r="F2008" t="s">
        <v>46</v>
      </c>
      <c r="G2008" s="1">
        <v>45988</v>
      </c>
      <c r="H2008" s="1">
        <v>45986</v>
      </c>
      <c r="I2008" t="s">
        <v>45</v>
      </c>
      <c r="J2008" t="s">
        <v>44</v>
      </c>
      <c r="L2008">
        <v>5645.02</v>
      </c>
      <c r="M2008" t="s">
        <v>17</v>
      </c>
      <c r="N2008">
        <v>309</v>
      </c>
      <c r="O2008" t="s">
        <v>43</v>
      </c>
    </row>
    <row r="2009" spans="1:15" x14ac:dyDescent="0.3">
      <c r="A2009" t="s">
        <v>42</v>
      </c>
      <c r="B2009" t="s">
        <v>41</v>
      </c>
      <c r="C2009" t="s">
        <v>40</v>
      </c>
      <c r="D2009">
        <v>59</v>
      </c>
      <c r="E2009" t="s">
        <v>39</v>
      </c>
      <c r="F2009" t="s">
        <v>38</v>
      </c>
      <c r="G2009" s="1">
        <v>46106</v>
      </c>
      <c r="H2009" s="1">
        <v>46080</v>
      </c>
      <c r="I2009" t="s">
        <v>37</v>
      </c>
      <c r="J2009" t="s">
        <v>36</v>
      </c>
      <c r="K2009" t="s">
        <v>35</v>
      </c>
      <c r="L2009">
        <v>7105.46</v>
      </c>
      <c r="N2009">
        <v>190</v>
      </c>
      <c r="O2009" t="s">
        <v>34</v>
      </c>
    </row>
    <row r="2010" spans="1:15" x14ac:dyDescent="0.3">
      <c r="A2010" t="s">
        <v>33</v>
      </c>
      <c r="B2010" t="s">
        <v>32</v>
      </c>
      <c r="C2010" t="s">
        <v>0</v>
      </c>
      <c r="D2010">
        <v>72</v>
      </c>
      <c r="E2010" t="s">
        <v>31</v>
      </c>
      <c r="F2010" t="s">
        <v>30</v>
      </c>
      <c r="G2010" s="1">
        <v>46108</v>
      </c>
      <c r="H2010" s="1">
        <v>46108</v>
      </c>
      <c r="I2010" t="s">
        <v>29</v>
      </c>
      <c r="J2010" t="s">
        <v>28</v>
      </c>
      <c r="K2010" t="s">
        <v>27</v>
      </c>
      <c r="L2010">
        <v>2406.19</v>
      </c>
      <c r="M2010" t="s">
        <v>26</v>
      </c>
      <c r="N2010">
        <v>182</v>
      </c>
      <c r="O2010" t="s">
        <v>25</v>
      </c>
    </row>
    <row r="2011" spans="1:15" x14ac:dyDescent="0.3">
      <c r="A2011" t="s">
        <v>24</v>
      </c>
      <c r="B2011" t="s">
        <v>23</v>
      </c>
      <c r="C2011" t="s">
        <v>22</v>
      </c>
      <c r="D2011">
        <v>58</v>
      </c>
      <c r="E2011" t="s">
        <v>21</v>
      </c>
      <c r="F2011" t="s">
        <v>20</v>
      </c>
      <c r="G2011" s="1">
        <v>46069</v>
      </c>
      <c r="H2011" s="1">
        <v>46065</v>
      </c>
      <c r="I2011" t="s">
        <v>19</v>
      </c>
      <c r="J2011" t="s">
        <v>18</v>
      </c>
      <c r="L2011">
        <v>1997.7</v>
      </c>
      <c r="M2011" t="s">
        <v>17</v>
      </c>
      <c r="N2011">
        <v>103</v>
      </c>
      <c r="O2011" t="s">
        <v>16</v>
      </c>
    </row>
    <row r="2013" spans="1:15" x14ac:dyDescent="0.3">
      <c r="A2013" t="s">
        <v>15</v>
      </c>
      <c r="B2013" t="s">
        <v>14</v>
      </c>
      <c r="C2013" t="s">
        <v>13</v>
      </c>
      <c r="D2013" t="s">
        <v>12</v>
      </c>
      <c r="F2013" t="s">
        <v>11</v>
      </c>
      <c r="G2013" t="s">
        <v>10</v>
      </c>
      <c r="H2013" t="s">
        <v>9</v>
      </c>
      <c r="I2013" t="s">
        <v>8</v>
      </c>
      <c r="J2013" t="s">
        <v>7</v>
      </c>
      <c r="K2013" t="s">
        <v>6</v>
      </c>
      <c r="L2013" t="s">
        <v>5</v>
      </c>
      <c r="M2013" t="s">
        <v>4</v>
      </c>
      <c r="N2013" t="s">
        <v>3</v>
      </c>
      <c r="O2013" t="s">
        <v>2</v>
      </c>
    </row>
  </sheetData>
  <autoFilter ref="A3:O4" xr:uid="{1F62AF17-A4D9-4DF6-89FA-C70DFA4C298D}"/>
  <mergeCells count="1">
    <mergeCell ref="A1:O1"/>
  </mergeCells>
  <conditionalFormatting sqref="Q11">
    <cfRule type="containsBlanks" dxfId="5" priority="1">
      <formula>LEN(TRIM(Q11))=0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F61CE-5D81-4B80-89F3-2F9CEA8FD4CE}">
  <dimension ref="A1:AO1879"/>
  <sheetViews>
    <sheetView topLeftCell="T1805" workbookViewId="0">
      <selection activeCell="Y3" sqref="Y3:Y1879"/>
    </sheetView>
  </sheetViews>
  <sheetFormatPr defaultRowHeight="14.4" x14ac:dyDescent="0.3"/>
  <cols>
    <col min="1" max="11" width="22" customWidth="1"/>
    <col min="12" max="12" width="24.109375" customWidth="1"/>
    <col min="13" max="28" width="22" customWidth="1"/>
    <col min="31" max="31" width="13.44140625" bestFit="1" customWidth="1"/>
    <col min="32" max="32" width="12.6640625" bestFit="1" customWidth="1"/>
    <col min="33" max="33" width="9.88671875" bestFit="1" customWidth="1"/>
    <col min="34" max="34" width="12" bestFit="1" customWidth="1"/>
    <col min="35" max="35" width="16" bestFit="1" customWidth="1"/>
    <col min="36" max="36" width="12.5546875" bestFit="1" customWidth="1"/>
    <col min="37" max="37" width="13.21875" bestFit="1" customWidth="1"/>
    <col min="38" max="38" width="12.5546875" bestFit="1" customWidth="1"/>
    <col min="39" max="39" width="17" bestFit="1" customWidth="1"/>
    <col min="40" max="40" width="10.33203125" bestFit="1" customWidth="1"/>
    <col min="41" max="41" width="15" bestFit="1" customWidth="1"/>
    <col min="42" max="42" width="12.88671875" bestFit="1" customWidth="1"/>
    <col min="43" max="43" width="12.5546875" bestFit="1" customWidth="1"/>
    <col min="44" max="44" width="17" bestFit="1" customWidth="1"/>
    <col min="48" max="48" width="12.5546875" bestFit="1" customWidth="1"/>
    <col min="49" max="49" width="17" bestFit="1" customWidth="1"/>
  </cols>
  <sheetData>
    <row r="1" spans="1:41" ht="18" x14ac:dyDescent="0.35">
      <c r="A1" s="4" t="s">
        <v>8007</v>
      </c>
      <c r="B1" s="4"/>
      <c r="C1" s="4"/>
      <c r="D1" s="4"/>
      <c r="E1" s="4"/>
      <c r="F1" s="4"/>
      <c r="G1" s="4"/>
      <c r="H1" s="4"/>
      <c r="I1" s="4"/>
      <c r="J1" s="4"/>
      <c r="K1" s="4"/>
      <c r="L1" s="4"/>
      <c r="M1" s="4"/>
      <c r="N1" s="4"/>
      <c r="O1" s="4"/>
      <c r="P1" s="4"/>
      <c r="Q1" s="4"/>
      <c r="R1" s="4"/>
      <c r="S1" s="4"/>
      <c r="T1" s="4"/>
      <c r="U1" s="4"/>
      <c r="V1" s="4"/>
      <c r="W1" s="4"/>
      <c r="X1" s="4"/>
      <c r="Y1" s="4"/>
      <c r="Z1" s="4"/>
      <c r="AA1" s="4"/>
      <c r="AB1" s="4"/>
    </row>
    <row r="2" spans="1:41" ht="18" x14ac:dyDescent="0.35">
      <c r="A2" s="2"/>
      <c r="B2" s="2"/>
      <c r="C2" s="2"/>
      <c r="D2" s="2"/>
      <c r="E2" s="2"/>
      <c r="F2" s="2"/>
      <c r="G2" s="2"/>
      <c r="H2" s="2"/>
      <c r="I2" s="2"/>
      <c r="J2" s="2"/>
      <c r="K2" s="2"/>
      <c r="L2" s="2"/>
      <c r="M2" s="2"/>
      <c r="N2" s="2"/>
      <c r="O2" s="2"/>
      <c r="P2" s="2"/>
      <c r="Q2" s="2"/>
      <c r="R2" s="2"/>
      <c r="S2" s="2"/>
      <c r="T2" s="2"/>
      <c r="U2" s="2"/>
      <c r="V2" s="2"/>
      <c r="W2" s="2"/>
      <c r="X2" s="2"/>
      <c r="Y2" s="2"/>
      <c r="Z2" s="2"/>
      <c r="AA2" s="2"/>
      <c r="AB2" s="2"/>
      <c r="AG2" t="s">
        <v>8033</v>
      </c>
    </row>
    <row r="3" spans="1:41" x14ac:dyDescent="0.3">
      <c r="A3" t="s">
        <v>8028</v>
      </c>
      <c r="B3" t="s">
        <v>8029</v>
      </c>
      <c r="C3" t="s">
        <v>8029</v>
      </c>
      <c r="D3" t="s">
        <v>8030</v>
      </c>
      <c r="E3" t="s">
        <v>8031</v>
      </c>
      <c r="G3" t="s">
        <v>8002</v>
      </c>
      <c r="I3" t="s">
        <v>8001</v>
      </c>
      <c r="K3" t="s">
        <v>8000</v>
      </c>
      <c r="L3" t="s">
        <v>8078</v>
      </c>
      <c r="M3" t="s">
        <v>8079</v>
      </c>
      <c r="N3" t="s">
        <v>8079</v>
      </c>
      <c r="O3" t="s">
        <v>7999</v>
      </c>
      <c r="P3" t="s">
        <v>7998</v>
      </c>
      <c r="Q3" t="s">
        <v>8084</v>
      </c>
      <c r="R3" t="s">
        <v>8085</v>
      </c>
      <c r="T3" t="s">
        <v>7997</v>
      </c>
      <c r="V3" t="s">
        <v>7996</v>
      </c>
      <c r="X3" t="s">
        <v>8032</v>
      </c>
      <c r="Y3" t="s">
        <v>7994</v>
      </c>
      <c r="Z3" t="s">
        <v>7993</v>
      </c>
      <c r="AA3" t="s">
        <v>7993</v>
      </c>
      <c r="AB3" t="s">
        <v>7992</v>
      </c>
    </row>
    <row r="4" spans="1:41" x14ac:dyDescent="0.3">
      <c r="A4" t="s">
        <v>7990</v>
      </c>
      <c r="B4" t="s">
        <v>7989</v>
      </c>
      <c r="C4" t="s">
        <v>7989</v>
      </c>
      <c r="D4" t="s">
        <v>40</v>
      </c>
      <c r="E4">
        <v>4</v>
      </c>
      <c r="F4">
        <v>4</v>
      </c>
      <c r="G4" t="s">
        <v>80</v>
      </c>
      <c r="H4" t="s">
        <v>80</v>
      </c>
      <c r="I4" t="s">
        <v>38</v>
      </c>
      <c r="J4" t="s">
        <v>8077</v>
      </c>
      <c r="K4" s="1">
        <v>46107</v>
      </c>
      <c r="L4" s="1" t="str">
        <f>IF(K4&gt;O4,"Valid","Invalid")</f>
        <v>Valid</v>
      </c>
      <c r="M4" s="1" t="b">
        <f>ISNUMBER(K4)</f>
        <v>1</v>
      </c>
      <c r="N4" s="1" t="b">
        <f>ISNUMBER(O4)</f>
        <v>1</v>
      </c>
      <c r="O4" s="1">
        <v>46100</v>
      </c>
      <c r="P4" t="s">
        <v>7988</v>
      </c>
      <c r="Q4" t="str">
        <f>SUBSTITUTE(SUBSTITUTE(SUBSTITUTE(P4," ",""),"-",""),"+","")</f>
        <v>05645713921</v>
      </c>
      <c r="R4" t="str">
        <f>RIGHT(Q4,10)</f>
        <v>5645713921</v>
      </c>
      <c r="S4" t="str">
        <f>IF(LEN(R4),"Valid","Invalid")</f>
        <v>Valid</v>
      </c>
      <c r="T4" t="s">
        <v>7987</v>
      </c>
      <c r="V4" t="s">
        <v>123</v>
      </c>
      <c r="X4">
        <v>14118.88</v>
      </c>
      <c r="Y4" t="s">
        <v>123</v>
      </c>
      <c r="Z4">
        <v>212</v>
      </c>
      <c r="AA4">
        <f>IF(Z4="Room-x",0,Z4)</f>
        <v>212</v>
      </c>
      <c r="AB4" t="s">
        <v>16</v>
      </c>
    </row>
    <row r="5" spans="1:41" x14ac:dyDescent="0.3">
      <c r="A5" t="s">
        <v>7986</v>
      </c>
      <c r="B5" t="s">
        <v>7985</v>
      </c>
      <c r="C5" t="s">
        <v>7985</v>
      </c>
      <c r="D5" t="s">
        <v>22</v>
      </c>
      <c r="E5">
        <v>1</v>
      </c>
      <c r="F5">
        <v>1</v>
      </c>
      <c r="G5" t="s">
        <v>39</v>
      </c>
      <c r="H5" t="s">
        <v>39</v>
      </c>
      <c r="I5" t="s">
        <v>90</v>
      </c>
      <c r="J5" t="s">
        <v>67</v>
      </c>
      <c r="K5" s="1">
        <v>46081</v>
      </c>
      <c r="L5" s="1" t="str">
        <f>IF(K5&gt;O5,"Valid","Invalid")</f>
        <v>Valid</v>
      </c>
      <c r="M5" s="1" t="b">
        <f>ISNUMBER(K5)</f>
        <v>1</v>
      </c>
      <c r="N5" s="1" t="b">
        <f>ISNUMBER(O5)</f>
        <v>1</v>
      </c>
      <c r="O5" s="1">
        <v>46071</v>
      </c>
      <c r="P5" t="s">
        <v>7984</v>
      </c>
      <c r="Q5" t="str">
        <f>SUBSTITUTE(SUBSTITUTE(SUBSTITUTE(P5," ",""),"-",""),"+","")</f>
        <v>912921861789</v>
      </c>
      <c r="R5" t="str">
        <f t="shared" ref="R5:R68" si="0">RIGHT(Q5,10)</f>
        <v>2921861789</v>
      </c>
      <c r="S5" t="str">
        <f>IF(LEN(R5),"Valid","Invalid")</f>
        <v>Valid</v>
      </c>
      <c r="T5" t="s">
        <v>7983</v>
      </c>
      <c r="V5" t="s">
        <v>26</v>
      </c>
      <c r="X5">
        <v>4055.89</v>
      </c>
      <c r="Y5" t="s">
        <v>17</v>
      </c>
      <c r="Z5">
        <v>152</v>
      </c>
      <c r="AA5">
        <f t="shared" ref="AA5:AA68" si="1">IF(Z5="Room-x",0,Z5)</f>
        <v>152</v>
      </c>
      <c r="AB5" t="s">
        <v>77</v>
      </c>
    </row>
    <row r="6" spans="1:41" x14ac:dyDescent="0.3">
      <c r="A6" t="s">
        <v>7982</v>
      </c>
      <c r="B6" t="s">
        <v>7981</v>
      </c>
      <c r="C6" t="s">
        <v>7981</v>
      </c>
      <c r="D6" t="s">
        <v>123</v>
      </c>
      <c r="E6">
        <v>13</v>
      </c>
      <c r="F6">
        <v>13</v>
      </c>
      <c r="G6" t="s">
        <v>31</v>
      </c>
      <c r="H6" t="s">
        <v>31</v>
      </c>
      <c r="I6" t="s">
        <v>67</v>
      </c>
      <c r="J6" t="s">
        <v>67</v>
      </c>
      <c r="K6" s="1">
        <v>46086</v>
      </c>
      <c r="L6" s="1" t="str">
        <f>IF(K6&gt;O6,"Valid","Invalid")</f>
        <v>Valid</v>
      </c>
      <c r="M6" s="1" t="b">
        <f>ISNUMBER(K6)</f>
        <v>1</v>
      </c>
      <c r="N6" s="1" t="b">
        <f>ISNUMBER(O6)</f>
        <v>1</v>
      </c>
      <c r="O6" s="1">
        <v>46067</v>
      </c>
      <c r="P6" t="s">
        <v>7980</v>
      </c>
      <c r="Q6" t="str">
        <f>SUBSTITUTE(SUBSTITUTE(SUBSTITUTE(P6," ",""),"-",""),"+","")</f>
        <v>03330832788</v>
      </c>
      <c r="R6" t="str">
        <f t="shared" si="0"/>
        <v>3330832788</v>
      </c>
      <c r="S6" t="str">
        <f>IF(LEN(R6),"Valid","Invalid")</f>
        <v>Valid</v>
      </c>
      <c r="T6" t="s">
        <v>7979</v>
      </c>
      <c r="V6" t="s">
        <v>26</v>
      </c>
      <c r="X6">
        <v>20216.78</v>
      </c>
      <c r="Y6" t="s">
        <v>123</v>
      </c>
      <c r="Z6">
        <v>374</v>
      </c>
      <c r="AA6">
        <f t="shared" si="1"/>
        <v>374</v>
      </c>
      <c r="AB6" t="s">
        <v>77</v>
      </c>
    </row>
    <row r="7" spans="1:41" x14ac:dyDescent="0.3">
      <c r="A7" t="s">
        <v>7978</v>
      </c>
      <c r="B7" t="s">
        <v>7977</v>
      </c>
      <c r="C7" t="s">
        <v>7977</v>
      </c>
      <c r="D7" t="s">
        <v>123</v>
      </c>
      <c r="E7">
        <v>11</v>
      </c>
      <c r="F7">
        <v>11</v>
      </c>
      <c r="G7" t="s">
        <v>132</v>
      </c>
      <c r="H7" t="s">
        <v>132</v>
      </c>
      <c r="I7" t="s">
        <v>67</v>
      </c>
      <c r="J7" t="s">
        <v>67</v>
      </c>
      <c r="K7" s="1">
        <v>46006</v>
      </c>
      <c r="L7" s="1" t="str">
        <f>IF(K7&gt;O7,"Valid","Invalid")</f>
        <v>Valid</v>
      </c>
      <c r="M7" s="1" t="b">
        <f>ISNUMBER(K7)</f>
        <v>1</v>
      </c>
      <c r="N7" s="1" t="b">
        <f>ISNUMBER(O7)</f>
        <v>1</v>
      </c>
      <c r="O7" s="1">
        <v>45988</v>
      </c>
      <c r="P7" t="s">
        <v>7976</v>
      </c>
      <c r="Q7" t="str">
        <f>SUBSTITUTE(SUBSTITUTE(SUBSTITUTE(P7," ",""),"-",""),"+","")</f>
        <v>5810250497</v>
      </c>
      <c r="R7" t="str">
        <f t="shared" si="0"/>
        <v>5810250497</v>
      </c>
      <c r="S7" t="str">
        <f>IF(LEN(R7),"Valid","Invalid")</f>
        <v>Valid</v>
      </c>
      <c r="T7" t="s">
        <v>7975</v>
      </c>
      <c r="V7" t="s">
        <v>17</v>
      </c>
      <c r="X7">
        <v>17673.38</v>
      </c>
      <c r="Y7" t="s">
        <v>27</v>
      </c>
      <c r="Z7">
        <v>438</v>
      </c>
      <c r="AA7">
        <f t="shared" si="1"/>
        <v>438</v>
      </c>
      <c r="AB7" t="s">
        <v>123</v>
      </c>
    </row>
    <row r="8" spans="1:41" x14ac:dyDescent="0.3">
      <c r="A8" t="s">
        <v>7974</v>
      </c>
      <c r="B8" t="s">
        <v>7973</v>
      </c>
      <c r="C8" t="s">
        <v>7973</v>
      </c>
      <c r="D8" t="s">
        <v>22</v>
      </c>
      <c r="E8">
        <v>11</v>
      </c>
      <c r="F8">
        <v>11</v>
      </c>
      <c r="G8" t="s">
        <v>21</v>
      </c>
      <c r="H8" t="s">
        <v>21</v>
      </c>
      <c r="I8" t="s">
        <v>20</v>
      </c>
      <c r="J8" t="s">
        <v>20</v>
      </c>
      <c r="K8" s="1">
        <v>46074</v>
      </c>
      <c r="L8" s="1" t="str">
        <f>IF(K8&gt;O8,"Valid","Invalid")</f>
        <v>Valid</v>
      </c>
      <c r="M8" s="1" t="b">
        <f>ISNUMBER(K8)</f>
        <v>1</v>
      </c>
      <c r="N8" s="1" t="b">
        <f>ISNUMBER(O8)</f>
        <v>1</v>
      </c>
      <c r="O8" s="1">
        <v>46062</v>
      </c>
      <c r="P8" t="s">
        <v>7972</v>
      </c>
      <c r="Q8" t="str">
        <f>SUBSTITUTE(SUBSTITUTE(SUBSTITUTE(P8," ",""),"-",""),"+","")</f>
        <v>8645572895</v>
      </c>
      <c r="R8" t="str">
        <f t="shared" si="0"/>
        <v>8645572895</v>
      </c>
      <c r="S8" t="str">
        <f>IF(LEN(R8),"Valid","Invalid")</f>
        <v>Valid</v>
      </c>
      <c r="T8" t="s">
        <v>7971</v>
      </c>
      <c r="V8" t="s">
        <v>26</v>
      </c>
      <c r="X8">
        <v>11444.58</v>
      </c>
      <c r="Y8" t="s">
        <v>17</v>
      </c>
      <c r="Z8">
        <v>183</v>
      </c>
      <c r="AA8">
        <f t="shared" si="1"/>
        <v>183</v>
      </c>
      <c r="AB8" t="s">
        <v>43</v>
      </c>
    </row>
    <row r="9" spans="1:41" x14ac:dyDescent="0.3">
      <c r="A9" t="s">
        <v>7970</v>
      </c>
      <c r="B9" t="s">
        <v>7969</v>
      </c>
      <c r="C9" t="s">
        <v>7969</v>
      </c>
      <c r="D9" t="s">
        <v>60</v>
      </c>
      <c r="E9">
        <v>27</v>
      </c>
      <c r="F9">
        <v>27</v>
      </c>
      <c r="G9" t="s">
        <v>132</v>
      </c>
      <c r="H9" t="s">
        <v>132</v>
      </c>
      <c r="I9" t="s">
        <v>20</v>
      </c>
      <c r="J9" t="s">
        <v>20</v>
      </c>
      <c r="K9" s="1">
        <v>46159</v>
      </c>
      <c r="L9" s="1" t="str">
        <f>IF(K9&gt;O9,"Valid","Invalid")</f>
        <v>Valid</v>
      </c>
      <c r="M9" s="1" t="b">
        <f>ISNUMBER(K9)</f>
        <v>1</v>
      </c>
      <c r="N9" s="1" t="b">
        <f>ISNUMBER(O9)</f>
        <v>1</v>
      </c>
      <c r="O9" s="1">
        <v>46140</v>
      </c>
      <c r="P9" t="s">
        <v>7968</v>
      </c>
      <c r="Q9" t="str">
        <f>SUBSTITUTE(SUBSTITUTE(SUBSTITUTE(P9," ",""),"-",""),"+","")</f>
        <v>910624360264</v>
      </c>
      <c r="R9" t="str">
        <f t="shared" si="0"/>
        <v>0624360264</v>
      </c>
      <c r="S9" t="str">
        <f>IF(LEN(R9),"Valid","Invalid")</f>
        <v>Valid</v>
      </c>
      <c r="T9" t="s">
        <v>7967</v>
      </c>
      <c r="V9" t="s">
        <v>35</v>
      </c>
      <c r="X9">
        <v>13446.67</v>
      </c>
      <c r="Y9" t="s">
        <v>57</v>
      </c>
      <c r="Z9">
        <v>183</v>
      </c>
      <c r="AA9">
        <f t="shared" si="1"/>
        <v>183</v>
      </c>
      <c r="AB9" t="s">
        <v>16</v>
      </c>
    </row>
    <row r="10" spans="1:41" x14ac:dyDescent="0.3">
      <c r="A10" t="s">
        <v>7966</v>
      </c>
      <c r="B10" t="s">
        <v>7965</v>
      </c>
      <c r="C10" t="s">
        <v>7965</v>
      </c>
      <c r="D10" t="s">
        <v>123</v>
      </c>
      <c r="E10">
        <v>35</v>
      </c>
      <c r="F10">
        <v>35</v>
      </c>
      <c r="G10" t="s">
        <v>21</v>
      </c>
      <c r="H10" t="s">
        <v>21</v>
      </c>
      <c r="I10" t="s">
        <v>67</v>
      </c>
      <c r="J10" t="s">
        <v>67</v>
      </c>
      <c r="K10" s="1">
        <v>46044</v>
      </c>
      <c r="L10" s="1" t="str">
        <f>IF(K10&gt;O10,"Valid","Invalid")</f>
        <v>Valid</v>
      </c>
      <c r="M10" s="1" t="b">
        <f>ISNUMBER(K10)</f>
        <v>1</v>
      </c>
      <c r="N10" s="1" t="b">
        <f>ISNUMBER(O10)</f>
        <v>1</v>
      </c>
      <c r="O10" s="1">
        <v>46018</v>
      </c>
      <c r="P10" t="s">
        <v>7964</v>
      </c>
      <c r="Q10" t="str">
        <f>SUBSTITUTE(SUBSTITUTE(SUBSTITUTE(P10," ",""),"-",""),"+","")</f>
        <v>910825799566</v>
      </c>
      <c r="R10" t="str">
        <f t="shared" si="0"/>
        <v>0825799566</v>
      </c>
      <c r="S10" t="str">
        <f>IF(LEN(R10),"Valid","Invalid")</f>
        <v>Valid</v>
      </c>
      <c r="T10" t="s">
        <v>7963</v>
      </c>
      <c r="V10" t="s">
        <v>27</v>
      </c>
      <c r="X10">
        <v>5880.39</v>
      </c>
      <c r="Y10" t="s">
        <v>27</v>
      </c>
      <c r="Z10">
        <v>512</v>
      </c>
      <c r="AA10">
        <f t="shared" si="1"/>
        <v>512</v>
      </c>
      <c r="AB10" t="s">
        <v>43</v>
      </c>
      <c r="AE10" t="s">
        <v>8080</v>
      </c>
    </row>
    <row r="11" spans="1:41" x14ac:dyDescent="0.3">
      <c r="A11" t="s">
        <v>7962</v>
      </c>
      <c r="B11" t="s">
        <v>7961</v>
      </c>
      <c r="C11" t="s">
        <v>7961</v>
      </c>
      <c r="D11" t="s">
        <v>123</v>
      </c>
      <c r="E11">
        <v>35</v>
      </c>
      <c r="F11">
        <v>35</v>
      </c>
      <c r="G11" t="s">
        <v>80</v>
      </c>
      <c r="H11" t="s">
        <v>80</v>
      </c>
      <c r="I11" t="s">
        <v>38</v>
      </c>
      <c r="J11" t="s">
        <v>8077</v>
      </c>
      <c r="K11" s="1">
        <v>46057</v>
      </c>
      <c r="L11" s="1" t="str">
        <f>IF(K11&gt;O11,"Valid","Invalid")</f>
        <v>Valid</v>
      </c>
      <c r="M11" s="1" t="b">
        <f>ISNUMBER(K11)</f>
        <v>1</v>
      </c>
      <c r="N11" s="1" t="b">
        <f>ISNUMBER(O11)</f>
        <v>1</v>
      </c>
      <c r="O11" s="1">
        <v>46028</v>
      </c>
      <c r="P11" t="s">
        <v>7960</v>
      </c>
      <c r="Q11" t="str">
        <f>SUBSTITUTE(SUBSTITUTE(SUBSTITUTE(P11," ",""),"-",""),"+","")</f>
        <v>5148349012</v>
      </c>
      <c r="R11" t="str">
        <f t="shared" si="0"/>
        <v>5148349012</v>
      </c>
      <c r="S11" t="str">
        <f>IF(LEN(R11),"Valid","Invalid")</f>
        <v>Valid</v>
      </c>
      <c r="T11" t="s">
        <v>7959</v>
      </c>
      <c r="V11" t="s">
        <v>57</v>
      </c>
      <c r="X11">
        <v>5473.14</v>
      </c>
      <c r="Y11" t="s">
        <v>123</v>
      </c>
      <c r="Z11">
        <v>302</v>
      </c>
      <c r="AA11">
        <f t="shared" si="1"/>
        <v>302</v>
      </c>
      <c r="AB11" t="s">
        <v>25</v>
      </c>
    </row>
    <row r="12" spans="1:41" x14ac:dyDescent="0.3">
      <c r="A12" t="s">
        <v>7958</v>
      </c>
      <c r="B12" t="s">
        <v>7957</v>
      </c>
      <c r="C12" t="s">
        <v>7957</v>
      </c>
      <c r="E12">
        <v>19</v>
      </c>
      <c r="F12">
        <v>19</v>
      </c>
      <c r="G12" t="s">
        <v>132</v>
      </c>
      <c r="H12" t="s">
        <v>132</v>
      </c>
      <c r="I12" t="s">
        <v>53</v>
      </c>
      <c r="J12" t="s">
        <v>20</v>
      </c>
      <c r="K12" s="1">
        <v>46107</v>
      </c>
      <c r="L12" s="1" t="str">
        <f>IF(K12&gt;O12,"Valid","Invalid")</f>
        <v>Valid</v>
      </c>
      <c r="M12" s="1" t="b">
        <f>ISNUMBER(K12)</f>
        <v>1</v>
      </c>
      <c r="N12" s="1" t="b">
        <f>ISNUMBER(O12)</f>
        <v>1</v>
      </c>
      <c r="O12" s="1">
        <v>46100</v>
      </c>
      <c r="P12" t="s">
        <v>7956</v>
      </c>
      <c r="Q12" t="str">
        <f>SUBSTITUTE(SUBSTITUTE(SUBSTITUTE(P12," ",""),"-",""),"+","")</f>
        <v>02654174270</v>
      </c>
      <c r="R12" t="str">
        <f t="shared" si="0"/>
        <v>2654174270</v>
      </c>
      <c r="S12" t="str">
        <f>IF(LEN(R12),"Valid","Invalid")</f>
        <v>Valid</v>
      </c>
      <c r="T12" t="s">
        <v>7955</v>
      </c>
      <c r="V12" t="s">
        <v>26</v>
      </c>
      <c r="X12">
        <v>18725.939999999999</v>
      </c>
      <c r="Y12" t="s">
        <v>123</v>
      </c>
      <c r="Z12">
        <v>398</v>
      </c>
      <c r="AA12">
        <f t="shared" si="1"/>
        <v>398</v>
      </c>
      <c r="AB12" t="s">
        <v>16</v>
      </c>
      <c r="AE12" t="s">
        <v>57</v>
      </c>
      <c r="AF12" t="s">
        <v>64</v>
      </c>
      <c r="AH12" t="s">
        <v>1</v>
      </c>
      <c r="AI12" t="s">
        <v>74</v>
      </c>
    </row>
    <row r="13" spans="1:41" x14ac:dyDescent="0.3">
      <c r="A13" t="s">
        <v>7954</v>
      </c>
      <c r="B13" t="s">
        <v>7953</v>
      </c>
      <c r="C13" t="s">
        <v>7953</v>
      </c>
      <c r="D13" t="s">
        <v>60</v>
      </c>
      <c r="E13">
        <v>29</v>
      </c>
      <c r="F13">
        <v>29</v>
      </c>
      <c r="G13" t="s">
        <v>39</v>
      </c>
      <c r="H13" t="s">
        <v>39</v>
      </c>
      <c r="I13" t="s">
        <v>85</v>
      </c>
      <c r="J13" t="s">
        <v>85</v>
      </c>
      <c r="K13" s="1">
        <v>46008</v>
      </c>
      <c r="L13" s="1" t="str">
        <f>IF(K13&gt;O13,"Valid","Invalid")</f>
        <v>Valid</v>
      </c>
      <c r="M13" s="1" t="b">
        <f>ISNUMBER(K13)</f>
        <v>1</v>
      </c>
      <c r="N13" s="1" t="b">
        <f>ISNUMBER(O13)</f>
        <v>1</v>
      </c>
      <c r="O13" s="1">
        <v>46006</v>
      </c>
      <c r="P13" t="s">
        <v>7952</v>
      </c>
      <c r="Q13" t="str">
        <f>SUBSTITUTE(SUBSTITUTE(SUBSTITUTE(P13," ",""),"-",""),"+","")</f>
        <v>01616990504</v>
      </c>
      <c r="R13" t="str">
        <f t="shared" si="0"/>
        <v>1616990504</v>
      </c>
      <c r="S13" t="str">
        <f>IF(LEN(R13),"Valid","Invalid")</f>
        <v>Valid</v>
      </c>
      <c r="T13" t="s">
        <v>7951</v>
      </c>
      <c r="V13" t="s">
        <v>27</v>
      </c>
      <c r="X13">
        <v>21555.35</v>
      </c>
      <c r="Y13" t="s">
        <v>26</v>
      </c>
      <c r="Z13">
        <v>421</v>
      </c>
      <c r="AA13">
        <f t="shared" si="1"/>
        <v>421</v>
      </c>
      <c r="AB13" t="s">
        <v>71</v>
      </c>
      <c r="AE13" t="s">
        <v>17</v>
      </c>
      <c r="AF13" t="s">
        <v>64</v>
      </c>
      <c r="AH13" t="s">
        <v>60</v>
      </c>
      <c r="AI13" t="s">
        <v>74</v>
      </c>
      <c r="AJ13" s="6" t="s">
        <v>8087</v>
      </c>
      <c r="AL13" s="6" t="s">
        <v>8087</v>
      </c>
      <c r="AN13" t="s">
        <v>57</v>
      </c>
      <c r="AO13" t="s">
        <v>64</v>
      </c>
    </row>
    <row r="14" spans="1:41" x14ac:dyDescent="0.3">
      <c r="A14" t="s">
        <v>7950</v>
      </c>
      <c r="B14" t="s">
        <v>7949</v>
      </c>
      <c r="C14" t="s">
        <v>7949</v>
      </c>
      <c r="D14" t="s">
        <v>123</v>
      </c>
      <c r="E14">
        <v>77</v>
      </c>
      <c r="F14">
        <v>77</v>
      </c>
      <c r="G14" t="s">
        <v>80</v>
      </c>
      <c r="H14" t="s">
        <v>80</v>
      </c>
      <c r="I14" t="s">
        <v>90</v>
      </c>
      <c r="J14" t="s">
        <v>67</v>
      </c>
      <c r="K14" s="1">
        <v>46154</v>
      </c>
      <c r="L14" s="1" t="str">
        <f>IF(K14&gt;O14,"Valid","Invalid")</f>
        <v>Valid</v>
      </c>
      <c r="M14" s="1" t="b">
        <f>ISNUMBER(K14)</f>
        <v>1</v>
      </c>
      <c r="N14" s="1" t="b">
        <f>ISNUMBER(O14)</f>
        <v>1</v>
      </c>
      <c r="O14" s="1">
        <v>46142</v>
      </c>
      <c r="P14" t="s">
        <v>7948</v>
      </c>
      <c r="Q14" t="str">
        <f>SUBSTITUTE(SUBSTITUTE(SUBSTITUTE(P14," ",""),"-",""),"+","")</f>
        <v>09341759957</v>
      </c>
      <c r="R14" t="str">
        <f t="shared" si="0"/>
        <v>9341759957</v>
      </c>
      <c r="S14" t="str">
        <f>IF(LEN(R14),"Valid","Invalid")</f>
        <v>Valid</v>
      </c>
      <c r="T14" t="s">
        <v>7947</v>
      </c>
      <c r="V14" t="s">
        <v>123</v>
      </c>
      <c r="X14">
        <v>13322.04</v>
      </c>
      <c r="Y14" t="s">
        <v>27</v>
      </c>
      <c r="Z14">
        <v>448</v>
      </c>
      <c r="AA14">
        <f t="shared" si="1"/>
        <v>448</v>
      </c>
      <c r="AB14" t="s">
        <v>25</v>
      </c>
      <c r="AE14" t="s">
        <v>26</v>
      </c>
      <c r="AF14" t="s">
        <v>27</v>
      </c>
      <c r="AH14" t="s">
        <v>0</v>
      </c>
      <c r="AI14" t="s">
        <v>40</v>
      </c>
      <c r="AJ14" s="7" t="s">
        <v>1</v>
      </c>
      <c r="AL14" s="7" t="s">
        <v>57</v>
      </c>
      <c r="AN14" t="s">
        <v>17</v>
      </c>
      <c r="AO14" t="s">
        <v>64</v>
      </c>
    </row>
    <row r="15" spans="1:41" x14ac:dyDescent="0.3">
      <c r="A15" t="s">
        <v>7946</v>
      </c>
      <c r="B15" t="s">
        <v>7945</v>
      </c>
      <c r="C15" t="s">
        <v>7945</v>
      </c>
      <c r="D15" t="s">
        <v>74</v>
      </c>
      <c r="E15">
        <v>88</v>
      </c>
      <c r="F15">
        <v>88</v>
      </c>
      <c r="G15" t="s">
        <v>132</v>
      </c>
      <c r="H15" t="s">
        <v>132</v>
      </c>
      <c r="I15" t="s">
        <v>67</v>
      </c>
      <c r="J15" t="s">
        <v>67</v>
      </c>
      <c r="K15" s="1">
        <v>46118</v>
      </c>
      <c r="L15" s="1" t="str">
        <f>IF(K15&gt;O15,"Valid","Invalid")</f>
        <v>Valid</v>
      </c>
      <c r="M15" s="1" t="b">
        <f>ISNUMBER(K15)</f>
        <v>1</v>
      </c>
      <c r="N15" s="1" t="b">
        <f>ISNUMBER(O15)</f>
        <v>1</v>
      </c>
      <c r="O15" s="1">
        <v>46115</v>
      </c>
      <c r="P15" t="s">
        <v>7944</v>
      </c>
      <c r="Q15" t="str">
        <f>SUBSTITUTE(SUBSTITUTE(SUBSTITUTE(P15," ",""),"-",""),"+","")</f>
        <v>916757997801</v>
      </c>
      <c r="R15" t="str">
        <f t="shared" si="0"/>
        <v>6757997801</v>
      </c>
      <c r="S15" t="str">
        <f>IF(LEN(R15),"Valid","Invalid")</f>
        <v>Valid</v>
      </c>
      <c r="T15" t="s">
        <v>7943</v>
      </c>
      <c r="V15" t="s">
        <v>26</v>
      </c>
      <c r="X15">
        <v>10982.18</v>
      </c>
      <c r="Y15" t="s">
        <v>123</v>
      </c>
      <c r="Z15">
        <v>101</v>
      </c>
      <c r="AA15">
        <f t="shared" si="1"/>
        <v>101</v>
      </c>
      <c r="AB15" t="s">
        <v>25</v>
      </c>
      <c r="AE15" t="s">
        <v>27</v>
      </c>
      <c r="AF15" t="s">
        <v>27</v>
      </c>
      <c r="AH15" t="s">
        <v>40</v>
      </c>
      <c r="AI15" t="s">
        <v>40</v>
      </c>
      <c r="AJ15" s="7" t="s">
        <v>60</v>
      </c>
      <c r="AL15" s="7" t="s">
        <v>17</v>
      </c>
      <c r="AN15" t="s">
        <v>26</v>
      </c>
      <c r="AO15" t="s">
        <v>27</v>
      </c>
    </row>
    <row r="16" spans="1:41" x14ac:dyDescent="0.3">
      <c r="A16" t="s">
        <v>7942</v>
      </c>
      <c r="B16" t="s">
        <v>7941</v>
      </c>
      <c r="C16" t="s">
        <v>7941</v>
      </c>
      <c r="D16" t="s">
        <v>22</v>
      </c>
      <c r="E16">
        <v>65</v>
      </c>
      <c r="F16">
        <v>65</v>
      </c>
      <c r="G16" t="s">
        <v>39</v>
      </c>
      <c r="H16" t="s">
        <v>39</v>
      </c>
      <c r="I16" t="s">
        <v>20</v>
      </c>
      <c r="J16" t="s">
        <v>20</v>
      </c>
      <c r="K16" s="1">
        <v>46097</v>
      </c>
      <c r="L16" s="1" t="str">
        <f>IF(K16&gt;O16,"Valid","Invalid")</f>
        <v>Valid</v>
      </c>
      <c r="M16" s="1" t="b">
        <f>ISNUMBER(K16)</f>
        <v>1</v>
      </c>
      <c r="N16" s="1" t="b">
        <f>ISNUMBER(O16)</f>
        <v>1</v>
      </c>
      <c r="O16" s="1">
        <v>46070</v>
      </c>
      <c r="P16" t="s">
        <v>7940</v>
      </c>
      <c r="Q16" t="str">
        <f>SUBSTITUTE(SUBSTITUTE(SUBSTITUTE(P16," ",""),"-",""),"+","")</f>
        <v>04372613893</v>
      </c>
      <c r="R16" t="str">
        <f t="shared" si="0"/>
        <v>4372613893</v>
      </c>
      <c r="S16" t="str">
        <f>IF(LEN(R16),"Valid","Invalid")</f>
        <v>Valid</v>
      </c>
      <c r="T16" t="s">
        <v>7939</v>
      </c>
      <c r="V16" t="s">
        <v>26</v>
      </c>
      <c r="X16">
        <v>21073.4</v>
      </c>
      <c r="Y16" t="s">
        <v>57</v>
      </c>
      <c r="Z16">
        <v>178</v>
      </c>
      <c r="AA16">
        <f t="shared" si="1"/>
        <v>178</v>
      </c>
      <c r="AB16" t="s">
        <v>43</v>
      </c>
      <c r="AE16" t="s">
        <v>123</v>
      </c>
      <c r="AF16" t="s">
        <v>123</v>
      </c>
      <c r="AH16" t="s">
        <v>123</v>
      </c>
      <c r="AI16" t="s">
        <v>123</v>
      </c>
      <c r="AJ16" s="7" t="s">
        <v>0</v>
      </c>
      <c r="AL16" s="7" t="s">
        <v>26</v>
      </c>
      <c r="AN16" t="s">
        <v>27</v>
      </c>
    </row>
    <row r="17" spans="1:38" x14ac:dyDescent="0.3">
      <c r="A17" t="s">
        <v>7938</v>
      </c>
      <c r="B17" t="s">
        <v>7937</v>
      </c>
      <c r="C17" t="s">
        <v>7937</v>
      </c>
      <c r="D17" t="s">
        <v>0</v>
      </c>
      <c r="E17">
        <v>70</v>
      </c>
      <c r="F17">
        <v>70</v>
      </c>
      <c r="G17" t="s">
        <v>47</v>
      </c>
      <c r="H17" t="s">
        <v>47</v>
      </c>
      <c r="I17" t="s">
        <v>67</v>
      </c>
      <c r="J17" t="s">
        <v>67</v>
      </c>
      <c r="K17" s="1">
        <v>46003</v>
      </c>
      <c r="L17" s="1" t="str">
        <f>IF(K17&gt;O17,"Valid","Invalid")</f>
        <v>Valid</v>
      </c>
      <c r="M17" s="1" t="b">
        <f>ISNUMBER(K17)</f>
        <v>1</v>
      </c>
      <c r="N17" s="1" t="b">
        <f>ISNUMBER(O17)</f>
        <v>1</v>
      </c>
      <c r="O17" s="1">
        <v>45988</v>
      </c>
      <c r="P17" t="s">
        <v>7936</v>
      </c>
      <c r="Q17" t="str">
        <f>SUBSTITUTE(SUBSTITUTE(SUBSTITUTE(P17," ",""),"-",""),"+","")</f>
        <v>03315352376</v>
      </c>
      <c r="R17" t="str">
        <f t="shared" si="0"/>
        <v>3315352376</v>
      </c>
      <c r="S17" t="str">
        <f>IF(LEN(R17),"Valid","Invalid")</f>
        <v>Valid</v>
      </c>
      <c r="T17" t="s">
        <v>7935</v>
      </c>
      <c r="V17" t="s">
        <v>27</v>
      </c>
      <c r="X17">
        <v>2974.32</v>
      </c>
      <c r="Y17" t="s">
        <v>17</v>
      </c>
      <c r="Z17">
        <v>549</v>
      </c>
      <c r="AA17">
        <f t="shared" si="1"/>
        <v>549</v>
      </c>
      <c r="AB17" t="s">
        <v>50</v>
      </c>
      <c r="AJ17" s="7" t="s">
        <v>40</v>
      </c>
      <c r="AL17" s="7" t="s">
        <v>27</v>
      </c>
    </row>
    <row r="18" spans="1:38" x14ac:dyDescent="0.3">
      <c r="A18" t="s">
        <v>7934</v>
      </c>
      <c r="B18" t="s">
        <v>7933</v>
      </c>
      <c r="C18" t="s">
        <v>7933</v>
      </c>
      <c r="D18" t="s">
        <v>22</v>
      </c>
      <c r="E18">
        <v>31</v>
      </c>
      <c r="F18">
        <v>31</v>
      </c>
      <c r="G18" t="s">
        <v>47</v>
      </c>
      <c r="H18" t="s">
        <v>47</v>
      </c>
      <c r="I18" t="s">
        <v>38</v>
      </c>
      <c r="J18" t="s">
        <v>8077</v>
      </c>
      <c r="K18" s="1">
        <v>46140</v>
      </c>
      <c r="L18" s="1" t="str">
        <f>IF(K18&gt;O18,"Valid","Invalid")</f>
        <v>Valid</v>
      </c>
      <c r="M18" s="1" t="b">
        <f>ISNUMBER(K18)</f>
        <v>1</v>
      </c>
      <c r="N18" s="1" t="b">
        <f>ISNUMBER(O18)</f>
        <v>1</v>
      </c>
      <c r="O18" s="1">
        <v>46112</v>
      </c>
      <c r="P18" t="s">
        <v>7932</v>
      </c>
      <c r="Q18" t="str">
        <f>SUBSTITUTE(SUBSTITUTE(SUBSTITUTE(P18," ",""),"-",""),"+","")</f>
        <v>06765498069</v>
      </c>
      <c r="R18" t="str">
        <f t="shared" si="0"/>
        <v>6765498069</v>
      </c>
      <c r="S18" t="str">
        <f>IF(LEN(R18),"Valid","Invalid")</f>
        <v>Valid</v>
      </c>
      <c r="T18" t="s">
        <v>7931</v>
      </c>
      <c r="V18" t="s">
        <v>64</v>
      </c>
      <c r="X18">
        <v>2324.21</v>
      </c>
      <c r="Y18" t="s">
        <v>123</v>
      </c>
      <c r="Z18">
        <v>517</v>
      </c>
      <c r="AA18">
        <f t="shared" si="1"/>
        <v>517</v>
      </c>
      <c r="AB18" t="s">
        <v>77</v>
      </c>
      <c r="AJ18" s="7" t="s">
        <v>123</v>
      </c>
      <c r="AL18" s="7" t="s">
        <v>8088</v>
      </c>
    </row>
    <row r="19" spans="1:38" x14ac:dyDescent="0.3">
      <c r="A19" t="s">
        <v>7930</v>
      </c>
      <c r="B19" t="s">
        <v>7929</v>
      </c>
      <c r="C19" t="s">
        <v>7929</v>
      </c>
      <c r="D19" t="s">
        <v>0</v>
      </c>
      <c r="E19">
        <v>17</v>
      </c>
      <c r="F19">
        <v>17</v>
      </c>
      <c r="G19" t="s">
        <v>68</v>
      </c>
      <c r="H19" t="s">
        <v>68</v>
      </c>
      <c r="I19" t="s">
        <v>53</v>
      </c>
      <c r="J19" t="s">
        <v>20</v>
      </c>
      <c r="K19" s="1">
        <v>46075</v>
      </c>
      <c r="L19" s="1" t="str">
        <f>IF(K19&gt;O19,"Valid","Invalid")</f>
        <v>Valid</v>
      </c>
      <c r="M19" s="1" t="b">
        <f>ISNUMBER(K19)</f>
        <v>1</v>
      </c>
      <c r="N19" s="1" t="b">
        <f>ISNUMBER(O19)</f>
        <v>1</v>
      </c>
      <c r="O19" s="1">
        <v>46067</v>
      </c>
      <c r="P19" t="s">
        <v>7928</v>
      </c>
      <c r="Q19" t="str">
        <f>SUBSTITUTE(SUBSTITUTE(SUBSTITUTE(P19," ",""),"-",""),"+","")</f>
        <v>914293447483</v>
      </c>
      <c r="R19" t="str">
        <f t="shared" si="0"/>
        <v>4293447483</v>
      </c>
      <c r="S19" t="str">
        <f>IF(LEN(R19),"Valid","Invalid")</f>
        <v>Valid</v>
      </c>
      <c r="T19" t="s">
        <v>7927</v>
      </c>
      <c r="V19" t="s">
        <v>123</v>
      </c>
      <c r="X19">
        <v>24116.2</v>
      </c>
      <c r="Y19" t="s">
        <v>57</v>
      </c>
      <c r="Z19">
        <v>465</v>
      </c>
      <c r="AA19">
        <f t="shared" si="1"/>
        <v>465</v>
      </c>
      <c r="AB19" t="s">
        <v>43</v>
      </c>
      <c r="AJ19" s="7" t="s">
        <v>8088</v>
      </c>
      <c r="AL19" s="7" t="s">
        <v>8089</v>
      </c>
    </row>
    <row r="20" spans="1:38" x14ac:dyDescent="0.3">
      <c r="A20" t="s">
        <v>7926</v>
      </c>
      <c r="B20" t="s">
        <v>7925</v>
      </c>
      <c r="C20" t="s">
        <v>7925</v>
      </c>
      <c r="D20" t="s">
        <v>123</v>
      </c>
      <c r="E20">
        <v>86</v>
      </c>
      <c r="F20">
        <v>86</v>
      </c>
      <c r="G20" t="s">
        <v>31</v>
      </c>
      <c r="H20" t="s">
        <v>31</v>
      </c>
      <c r="I20" t="s">
        <v>85</v>
      </c>
      <c r="J20" t="s">
        <v>85</v>
      </c>
      <c r="K20" s="1">
        <v>46091</v>
      </c>
      <c r="L20" s="1" t="str">
        <f>IF(K20&gt;O20,"Valid","Invalid")</f>
        <v>Valid</v>
      </c>
      <c r="M20" s="1" t="b">
        <f>ISNUMBER(K20)</f>
        <v>1</v>
      </c>
      <c r="N20" s="1" t="b">
        <f>ISNUMBER(O20)</f>
        <v>1</v>
      </c>
      <c r="O20" s="1">
        <v>46063</v>
      </c>
      <c r="P20" t="s">
        <v>7924</v>
      </c>
      <c r="Q20" t="str">
        <f>SUBSTITUTE(SUBSTITUTE(SUBSTITUTE(P20," ",""),"-",""),"+","")</f>
        <v>1661966300</v>
      </c>
      <c r="R20" t="str">
        <f t="shared" si="0"/>
        <v>1661966300</v>
      </c>
      <c r="S20" t="str">
        <f>IF(LEN(R20),"Valid","Invalid")</f>
        <v>Valid</v>
      </c>
      <c r="T20" t="s">
        <v>7923</v>
      </c>
      <c r="V20" t="s">
        <v>123</v>
      </c>
      <c r="X20">
        <v>3200.9</v>
      </c>
      <c r="Y20" t="s">
        <v>57</v>
      </c>
      <c r="Z20">
        <v>132</v>
      </c>
      <c r="AA20">
        <f t="shared" si="1"/>
        <v>132</v>
      </c>
      <c r="AB20" t="s">
        <v>43</v>
      </c>
      <c r="AJ20" s="7" t="s">
        <v>8089</v>
      </c>
    </row>
    <row r="21" spans="1:38" x14ac:dyDescent="0.3">
      <c r="A21" t="s">
        <v>7918</v>
      </c>
      <c r="B21" t="s">
        <v>7917</v>
      </c>
      <c r="C21" t="s">
        <v>7917</v>
      </c>
      <c r="D21" t="s">
        <v>40</v>
      </c>
      <c r="E21">
        <v>43</v>
      </c>
      <c r="F21">
        <v>43</v>
      </c>
      <c r="G21" t="s">
        <v>80</v>
      </c>
      <c r="H21" t="s">
        <v>80</v>
      </c>
      <c r="I21" t="s">
        <v>38</v>
      </c>
      <c r="J21" t="s">
        <v>8077</v>
      </c>
      <c r="K21" s="1">
        <v>46007</v>
      </c>
      <c r="L21" s="1" t="str">
        <f>IF(K21&gt;O21,"Valid","Invalid")</f>
        <v>Valid</v>
      </c>
      <c r="M21" s="1" t="b">
        <f>ISNUMBER(K21)</f>
        <v>1</v>
      </c>
      <c r="N21" s="1" t="b">
        <f>ISNUMBER(O21)</f>
        <v>1</v>
      </c>
      <c r="O21" s="1">
        <v>45999</v>
      </c>
      <c r="P21" t="s">
        <v>7916</v>
      </c>
      <c r="Q21" t="str">
        <f>SUBSTITUTE(SUBSTITUTE(SUBSTITUTE(P21," ",""),"-",""),"+","")</f>
        <v>09803458240</v>
      </c>
      <c r="R21" t="str">
        <f t="shared" si="0"/>
        <v>9803458240</v>
      </c>
      <c r="S21" t="str">
        <f>IF(LEN(R21),"Valid","Invalid")</f>
        <v>Valid</v>
      </c>
      <c r="T21" t="s">
        <v>7915</v>
      </c>
      <c r="V21" t="s">
        <v>123</v>
      </c>
      <c r="X21">
        <v>5513.07</v>
      </c>
      <c r="Y21" t="s">
        <v>26</v>
      </c>
      <c r="Z21">
        <v>470</v>
      </c>
      <c r="AA21">
        <f t="shared" si="1"/>
        <v>470</v>
      </c>
      <c r="AB21" t="s">
        <v>34</v>
      </c>
      <c r="AE21" s="3" t="s">
        <v>8081</v>
      </c>
    </row>
    <row r="22" spans="1:38" x14ac:dyDescent="0.3">
      <c r="A22" t="s">
        <v>7914</v>
      </c>
      <c r="B22" t="s">
        <v>7913</v>
      </c>
      <c r="C22" t="s">
        <v>7913</v>
      </c>
      <c r="E22">
        <v>32</v>
      </c>
      <c r="F22">
        <v>32</v>
      </c>
      <c r="G22" t="s">
        <v>68</v>
      </c>
      <c r="H22" t="s">
        <v>68</v>
      </c>
      <c r="I22" t="s">
        <v>90</v>
      </c>
      <c r="J22" t="s">
        <v>67</v>
      </c>
      <c r="K22" s="1">
        <v>45986</v>
      </c>
      <c r="L22" s="1" t="str">
        <f>IF(K22&gt;O22,"Valid","Invalid")</f>
        <v>Valid</v>
      </c>
      <c r="M22" s="1" t="b">
        <f>ISNUMBER(K22)</f>
        <v>1</v>
      </c>
      <c r="N22" s="1" t="b">
        <f>ISNUMBER(O22)</f>
        <v>1</v>
      </c>
      <c r="O22" s="1">
        <v>45980</v>
      </c>
      <c r="P22" t="s">
        <v>7912</v>
      </c>
      <c r="Q22" t="str">
        <f>SUBSTITUTE(SUBSTITUTE(SUBSTITUTE(P22," ",""),"-",""),"+","")</f>
        <v>2814525252</v>
      </c>
      <c r="R22" t="str">
        <f t="shared" si="0"/>
        <v>2814525252</v>
      </c>
      <c r="S22" t="str">
        <f>IF(LEN(R22),"Valid","Invalid")</f>
        <v>Valid</v>
      </c>
      <c r="T22" t="s">
        <v>7911</v>
      </c>
      <c r="V22" t="s">
        <v>64</v>
      </c>
      <c r="X22">
        <v>2603.88</v>
      </c>
      <c r="Y22" t="s">
        <v>123</v>
      </c>
      <c r="Z22">
        <v>281</v>
      </c>
      <c r="AA22">
        <f t="shared" si="1"/>
        <v>281</v>
      </c>
      <c r="AB22" t="s">
        <v>16</v>
      </c>
    </row>
    <row r="23" spans="1:38" x14ac:dyDescent="0.3">
      <c r="A23" t="s">
        <v>7910</v>
      </c>
      <c r="B23" t="s">
        <v>7909</v>
      </c>
      <c r="C23" t="s">
        <v>7909</v>
      </c>
      <c r="D23" t="s">
        <v>123</v>
      </c>
      <c r="E23">
        <v>60</v>
      </c>
      <c r="F23">
        <v>60</v>
      </c>
      <c r="G23" t="s">
        <v>47</v>
      </c>
      <c r="H23" t="s">
        <v>47</v>
      </c>
      <c r="I23" t="s">
        <v>20</v>
      </c>
      <c r="J23" t="s">
        <v>20</v>
      </c>
      <c r="K23" s="1">
        <v>46059</v>
      </c>
      <c r="L23" s="1" t="str">
        <f>IF(K23&gt;O23,"Valid","Invalid")</f>
        <v>Valid</v>
      </c>
      <c r="M23" s="1" t="b">
        <f>ISNUMBER(K23)</f>
        <v>1</v>
      </c>
      <c r="N23" s="1" t="b">
        <f>ISNUMBER(O23)</f>
        <v>1</v>
      </c>
      <c r="O23" s="1">
        <v>46058</v>
      </c>
      <c r="P23" t="s">
        <v>7908</v>
      </c>
      <c r="Q23" t="str">
        <f>SUBSTITUTE(SUBSTITUTE(SUBSTITUTE(P23," ",""),"-",""),"+","")</f>
        <v>09873159692</v>
      </c>
      <c r="R23" t="str">
        <f t="shared" si="0"/>
        <v>9873159692</v>
      </c>
      <c r="S23" t="str">
        <f>IF(LEN(R23),"Valid","Invalid")</f>
        <v>Valid</v>
      </c>
      <c r="T23" t="s">
        <v>7907</v>
      </c>
      <c r="V23" t="s">
        <v>123</v>
      </c>
      <c r="X23">
        <v>18259.7</v>
      </c>
      <c r="Y23" t="s">
        <v>64</v>
      </c>
      <c r="Z23">
        <v>227</v>
      </c>
      <c r="AA23">
        <f t="shared" si="1"/>
        <v>227</v>
      </c>
      <c r="AB23" t="s">
        <v>71</v>
      </c>
    </row>
    <row r="24" spans="1:38" x14ac:dyDescent="0.3">
      <c r="A24" t="s">
        <v>7906</v>
      </c>
      <c r="B24" t="s">
        <v>7905</v>
      </c>
      <c r="C24" t="s">
        <v>7905</v>
      </c>
      <c r="D24" t="s">
        <v>1</v>
      </c>
      <c r="E24">
        <v>69</v>
      </c>
      <c r="F24">
        <v>69</v>
      </c>
      <c r="G24" t="s">
        <v>68</v>
      </c>
      <c r="H24" t="s">
        <v>68</v>
      </c>
      <c r="I24" t="s">
        <v>53</v>
      </c>
      <c r="J24" t="s">
        <v>20</v>
      </c>
      <c r="K24" s="1">
        <v>46090</v>
      </c>
      <c r="L24" s="1" t="str">
        <f>IF(K24&gt;O24,"Valid","Invalid")</f>
        <v>Valid</v>
      </c>
      <c r="M24" s="1" t="b">
        <f>ISNUMBER(K24)</f>
        <v>1</v>
      </c>
      <c r="N24" s="1" t="b">
        <f>ISNUMBER(O24)</f>
        <v>1</v>
      </c>
      <c r="O24" s="1">
        <v>46077</v>
      </c>
      <c r="P24" t="s">
        <v>7904</v>
      </c>
      <c r="Q24" t="str">
        <f>SUBSTITUTE(SUBSTITUTE(SUBSTITUTE(P24," ",""),"-",""),"+","")</f>
        <v>04349769034</v>
      </c>
      <c r="R24" t="str">
        <f t="shared" si="0"/>
        <v>4349769034</v>
      </c>
      <c r="S24" t="str">
        <f>IF(LEN(R24),"Valid","Invalid")</f>
        <v>Valid</v>
      </c>
      <c r="T24" t="s">
        <v>7903</v>
      </c>
      <c r="V24" t="s">
        <v>35</v>
      </c>
      <c r="X24">
        <v>7107.92</v>
      </c>
      <c r="Y24" t="s">
        <v>57</v>
      </c>
      <c r="Z24">
        <v>547</v>
      </c>
      <c r="AA24">
        <f t="shared" si="1"/>
        <v>547</v>
      </c>
      <c r="AB24" t="s">
        <v>77</v>
      </c>
      <c r="AE24" t="s">
        <v>8082</v>
      </c>
    </row>
    <row r="25" spans="1:38" x14ac:dyDescent="0.3">
      <c r="A25" t="s">
        <v>7902</v>
      </c>
      <c r="B25" t="s">
        <v>7901</v>
      </c>
      <c r="C25" t="s">
        <v>7901</v>
      </c>
      <c r="E25">
        <v>71</v>
      </c>
      <c r="F25">
        <v>71</v>
      </c>
      <c r="G25" t="s">
        <v>80</v>
      </c>
      <c r="H25" t="s">
        <v>80</v>
      </c>
      <c r="I25" t="s">
        <v>46</v>
      </c>
      <c r="J25" t="s">
        <v>46</v>
      </c>
      <c r="K25" s="1">
        <v>46117</v>
      </c>
      <c r="L25" s="1" t="str">
        <f>IF(K25&gt;O25,"Valid","Invalid")</f>
        <v>Valid</v>
      </c>
      <c r="M25" s="1" t="b">
        <f>ISNUMBER(K25)</f>
        <v>1</v>
      </c>
      <c r="N25" s="1" t="b">
        <f>ISNUMBER(O25)</f>
        <v>1</v>
      </c>
      <c r="O25" s="1">
        <v>46097</v>
      </c>
      <c r="P25" t="s">
        <v>7900</v>
      </c>
      <c r="Q25" t="str">
        <f>SUBSTITUTE(SUBSTITUTE(SUBSTITUTE(P25," ",""),"-",""),"+","")</f>
        <v>6243241491</v>
      </c>
      <c r="R25" t="str">
        <f t="shared" si="0"/>
        <v>6243241491</v>
      </c>
      <c r="S25" t="str">
        <f>IF(LEN(R25),"Valid","Invalid")</f>
        <v>Valid</v>
      </c>
      <c r="T25" t="s">
        <v>7899</v>
      </c>
      <c r="V25" t="s">
        <v>27</v>
      </c>
      <c r="X25">
        <v>24231.11</v>
      </c>
      <c r="Y25" t="s">
        <v>57</v>
      </c>
      <c r="Z25">
        <v>185</v>
      </c>
      <c r="AA25">
        <f t="shared" si="1"/>
        <v>185</v>
      </c>
      <c r="AB25" t="s">
        <v>16</v>
      </c>
    </row>
    <row r="26" spans="1:38" x14ac:dyDescent="0.3">
      <c r="A26" t="s">
        <v>7898</v>
      </c>
      <c r="B26" t="s">
        <v>7897</v>
      </c>
      <c r="C26" t="s">
        <v>7897</v>
      </c>
      <c r="E26">
        <v>62</v>
      </c>
      <c r="F26">
        <v>62</v>
      </c>
      <c r="G26" t="s">
        <v>21</v>
      </c>
      <c r="H26" t="s">
        <v>21</v>
      </c>
      <c r="I26" t="s">
        <v>90</v>
      </c>
      <c r="J26" t="s">
        <v>67</v>
      </c>
      <c r="K26" s="1">
        <v>46072</v>
      </c>
      <c r="L26" s="1" t="str">
        <f>IF(K26&gt;O26,"Valid","Invalid")</f>
        <v>Valid</v>
      </c>
      <c r="M26" s="1" t="b">
        <f>ISNUMBER(K26)</f>
        <v>1</v>
      </c>
      <c r="N26" s="1" t="b">
        <f>ISNUMBER(O26)</f>
        <v>1</v>
      </c>
      <c r="O26" s="1">
        <v>46044</v>
      </c>
      <c r="P26" t="s">
        <v>7896</v>
      </c>
      <c r="Q26" t="str">
        <f>SUBSTITUTE(SUBSTITUTE(SUBSTITUTE(P26," ",""),"-",""),"+","")</f>
        <v>05751236406</v>
      </c>
      <c r="R26" t="str">
        <f t="shared" si="0"/>
        <v>5751236406</v>
      </c>
      <c r="S26" t="str">
        <f>IF(LEN(R26),"Valid","Invalid")</f>
        <v>Valid</v>
      </c>
      <c r="T26" t="s">
        <v>7895</v>
      </c>
      <c r="V26" t="s">
        <v>27</v>
      </c>
      <c r="X26">
        <v>4283</v>
      </c>
      <c r="Y26" t="s">
        <v>27</v>
      </c>
      <c r="Z26">
        <v>299</v>
      </c>
      <c r="AA26">
        <f t="shared" si="1"/>
        <v>299</v>
      </c>
      <c r="AB26" t="s">
        <v>43</v>
      </c>
    </row>
    <row r="27" spans="1:38" x14ac:dyDescent="0.3">
      <c r="A27" t="s">
        <v>7894</v>
      </c>
      <c r="B27" t="s">
        <v>7893</v>
      </c>
      <c r="C27" t="s">
        <v>7893</v>
      </c>
      <c r="E27">
        <v>37</v>
      </c>
      <c r="F27">
        <v>37</v>
      </c>
      <c r="G27" t="s">
        <v>54</v>
      </c>
      <c r="H27" t="s">
        <v>54</v>
      </c>
      <c r="I27" t="s">
        <v>85</v>
      </c>
      <c r="J27" t="s">
        <v>85</v>
      </c>
      <c r="K27" s="1">
        <v>46044</v>
      </c>
      <c r="L27" s="1" t="str">
        <f>IF(K27&gt;O27,"Valid","Invalid")</f>
        <v>Valid</v>
      </c>
      <c r="M27" s="1" t="b">
        <f>ISNUMBER(K27)</f>
        <v>1</v>
      </c>
      <c r="N27" s="1" t="b">
        <f>ISNUMBER(O27)</f>
        <v>1</v>
      </c>
      <c r="O27" s="1">
        <v>46040</v>
      </c>
      <c r="P27" t="s">
        <v>7892</v>
      </c>
      <c r="Q27" t="str">
        <f>SUBSTITUTE(SUBSTITUTE(SUBSTITUTE(P27," ",""),"-",""),"+","")</f>
        <v>3342417709</v>
      </c>
      <c r="R27" t="str">
        <f t="shared" si="0"/>
        <v>3342417709</v>
      </c>
      <c r="S27" t="str">
        <f>IF(LEN(R27),"Valid","Invalid")</f>
        <v>Valid</v>
      </c>
      <c r="T27" t="s">
        <v>7891</v>
      </c>
      <c r="V27" t="s">
        <v>17</v>
      </c>
      <c r="X27">
        <v>7558.35</v>
      </c>
      <c r="Y27" t="s">
        <v>27</v>
      </c>
      <c r="Z27">
        <v>396</v>
      </c>
      <c r="AA27">
        <f t="shared" si="1"/>
        <v>396</v>
      </c>
      <c r="AB27" t="s">
        <v>25</v>
      </c>
    </row>
    <row r="28" spans="1:38" x14ac:dyDescent="0.3">
      <c r="A28" t="s">
        <v>7890</v>
      </c>
      <c r="B28" t="s">
        <v>7889</v>
      </c>
      <c r="C28" t="s">
        <v>7889</v>
      </c>
      <c r="D28" t="s">
        <v>40</v>
      </c>
      <c r="E28">
        <v>41</v>
      </c>
      <c r="F28">
        <v>41</v>
      </c>
      <c r="G28" t="s">
        <v>47</v>
      </c>
      <c r="H28" t="s">
        <v>47</v>
      </c>
      <c r="I28" t="s">
        <v>46</v>
      </c>
      <c r="J28" t="s">
        <v>46</v>
      </c>
      <c r="K28" s="1">
        <v>46150</v>
      </c>
      <c r="L28" s="1" t="str">
        <f>IF(K28&gt;O28,"Valid","Invalid")</f>
        <v>Valid</v>
      </c>
      <c r="M28" s="1" t="b">
        <f>ISNUMBER(K28)</f>
        <v>1</v>
      </c>
      <c r="N28" s="1" t="b">
        <f>ISNUMBER(O28)</f>
        <v>1</v>
      </c>
      <c r="O28" s="1">
        <v>46132</v>
      </c>
      <c r="P28" t="s">
        <v>7888</v>
      </c>
      <c r="Q28" t="str">
        <f>SUBSTITUTE(SUBSTITUTE(SUBSTITUTE(P28," ",""),"-",""),"+","")</f>
        <v>07587438143</v>
      </c>
      <c r="R28" t="str">
        <f t="shared" si="0"/>
        <v>7587438143</v>
      </c>
      <c r="S28" t="str">
        <f>IF(LEN(R28),"Valid","Invalid")</f>
        <v>Valid</v>
      </c>
      <c r="T28" t="s">
        <v>7887</v>
      </c>
      <c r="V28" t="s">
        <v>123</v>
      </c>
      <c r="X28">
        <v>12670.69</v>
      </c>
      <c r="Y28" t="s">
        <v>26</v>
      </c>
      <c r="Z28">
        <v>129</v>
      </c>
      <c r="AA28">
        <f t="shared" si="1"/>
        <v>129</v>
      </c>
      <c r="AB28" t="s">
        <v>34</v>
      </c>
    </row>
    <row r="29" spans="1:38" x14ac:dyDescent="0.3">
      <c r="A29" t="s">
        <v>7886</v>
      </c>
      <c r="B29" t="s">
        <v>7885</v>
      </c>
      <c r="C29" t="s">
        <v>7885</v>
      </c>
      <c r="D29" t="s">
        <v>74</v>
      </c>
      <c r="E29">
        <v>24</v>
      </c>
      <c r="F29">
        <v>24</v>
      </c>
      <c r="G29" t="s">
        <v>80</v>
      </c>
      <c r="H29" t="s">
        <v>80</v>
      </c>
      <c r="I29" t="s">
        <v>20</v>
      </c>
      <c r="J29" t="s">
        <v>20</v>
      </c>
      <c r="K29" s="1">
        <v>46113</v>
      </c>
      <c r="L29" s="1" t="str">
        <f>IF(K29&gt;O29,"Valid","Invalid")</f>
        <v>Valid</v>
      </c>
      <c r="M29" s="1" t="b">
        <f>ISNUMBER(K29)</f>
        <v>1</v>
      </c>
      <c r="N29" s="1" t="b">
        <f>ISNUMBER(O29)</f>
        <v>1</v>
      </c>
      <c r="O29" s="1">
        <v>46092</v>
      </c>
      <c r="P29" t="s">
        <v>7884</v>
      </c>
      <c r="Q29" t="str">
        <f>SUBSTITUTE(SUBSTITUTE(SUBSTITUTE(P29," ",""),"-",""),"+","")</f>
        <v>08054877931</v>
      </c>
      <c r="R29" t="str">
        <f t="shared" si="0"/>
        <v>8054877931</v>
      </c>
      <c r="S29" t="str">
        <f>IF(LEN(R29),"Valid","Invalid")</f>
        <v>Valid</v>
      </c>
      <c r="T29" t="s">
        <v>7883</v>
      </c>
      <c r="V29" t="s">
        <v>17</v>
      </c>
      <c r="X29">
        <v>10213.629999999999</v>
      </c>
      <c r="Y29" t="s">
        <v>57</v>
      </c>
      <c r="Z29">
        <v>396</v>
      </c>
      <c r="AA29">
        <f t="shared" si="1"/>
        <v>396</v>
      </c>
      <c r="AB29" t="s">
        <v>34</v>
      </c>
    </row>
    <row r="30" spans="1:38" x14ac:dyDescent="0.3">
      <c r="A30" t="s">
        <v>7882</v>
      </c>
      <c r="B30" t="s">
        <v>7881</v>
      </c>
      <c r="C30" t="s">
        <v>7881</v>
      </c>
      <c r="D30" t="s">
        <v>40</v>
      </c>
      <c r="E30">
        <v>80</v>
      </c>
      <c r="F30">
        <v>80</v>
      </c>
      <c r="G30" t="s">
        <v>80</v>
      </c>
      <c r="H30" t="s">
        <v>80</v>
      </c>
      <c r="I30" t="s">
        <v>90</v>
      </c>
      <c r="J30" t="s">
        <v>67</v>
      </c>
      <c r="K30" s="1">
        <v>46097</v>
      </c>
      <c r="L30" s="1" t="str">
        <f>IF(K30&gt;O30,"Valid","Invalid")</f>
        <v>Valid</v>
      </c>
      <c r="M30" s="1" t="b">
        <f>ISNUMBER(K30)</f>
        <v>1</v>
      </c>
      <c r="N30" s="1" t="b">
        <f>ISNUMBER(O30)</f>
        <v>1</v>
      </c>
      <c r="O30" s="1">
        <v>46076</v>
      </c>
      <c r="P30" t="s">
        <v>7880</v>
      </c>
      <c r="Q30" t="str">
        <f>SUBSTITUTE(SUBSTITUTE(SUBSTITUTE(P30," ",""),"-",""),"+","")</f>
        <v>9461519029</v>
      </c>
      <c r="R30" t="str">
        <f t="shared" si="0"/>
        <v>9461519029</v>
      </c>
      <c r="S30" t="str">
        <f>IF(LEN(R30),"Valid","Invalid")</f>
        <v>Valid</v>
      </c>
      <c r="T30" t="s">
        <v>7879</v>
      </c>
      <c r="V30" t="s">
        <v>57</v>
      </c>
      <c r="X30">
        <v>23380.720000000001</v>
      </c>
      <c r="Y30" t="s">
        <v>57</v>
      </c>
      <c r="Z30">
        <v>442</v>
      </c>
      <c r="AA30">
        <f t="shared" si="1"/>
        <v>442</v>
      </c>
      <c r="AB30" t="s">
        <v>25</v>
      </c>
    </row>
    <row r="31" spans="1:38" x14ac:dyDescent="0.3">
      <c r="A31" t="s">
        <v>7878</v>
      </c>
      <c r="B31" t="s">
        <v>7877</v>
      </c>
      <c r="C31" t="s">
        <v>7877</v>
      </c>
      <c r="D31" t="s">
        <v>60</v>
      </c>
      <c r="E31">
        <v>31</v>
      </c>
      <c r="F31">
        <v>31</v>
      </c>
      <c r="G31" t="s">
        <v>132</v>
      </c>
      <c r="H31" t="s">
        <v>132</v>
      </c>
      <c r="I31" t="s">
        <v>90</v>
      </c>
      <c r="J31" t="s">
        <v>67</v>
      </c>
      <c r="K31" s="1">
        <v>46068</v>
      </c>
      <c r="L31" s="1" t="str">
        <f>IF(K31&gt;O31,"Valid","Invalid")</f>
        <v>Valid</v>
      </c>
      <c r="M31" s="1" t="b">
        <f>ISNUMBER(K31)</f>
        <v>1</v>
      </c>
      <c r="N31" s="1" t="b">
        <f>ISNUMBER(O31)</f>
        <v>1</v>
      </c>
      <c r="O31" s="1">
        <v>46064</v>
      </c>
      <c r="P31" t="s">
        <v>7876</v>
      </c>
      <c r="Q31" t="str">
        <f>SUBSTITUTE(SUBSTITUTE(SUBSTITUTE(P31," ",""),"-",""),"+","")</f>
        <v>04942386062</v>
      </c>
      <c r="R31" t="str">
        <f t="shared" si="0"/>
        <v>4942386062</v>
      </c>
      <c r="S31" t="str">
        <f>IF(LEN(R31),"Valid","Invalid")</f>
        <v>Valid</v>
      </c>
      <c r="T31" t="s">
        <v>7875</v>
      </c>
      <c r="V31" t="s">
        <v>26</v>
      </c>
      <c r="X31">
        <v>11539.17</v>
      </c>
      <c r="Y31" t="s">
        <v>64</v>
      </c>
      <c r="Z31">
        <v>104</v>
      </c>
      <c r="AA31">
        <f t="shared" si="1"/>
        <v>104</v>
      </c>
      <c r="AB31" t="s">
        <v>16</v>
      </c>
    </row>
    <row r="32" spans="1:38" x14ac:dyDescent="0.3">
      <c r="A32" t="s">
        <v>7874</v>
      </c>
      <c r="B32" t="s">
        <v>7873</v>
      </c>
      <c r="C32" t="s">
        <v>7873</v>
      </c>
      <c r="D32" t="s">
        <v>74</v>
      </c>
      <c r="E32">
        <v>10</v>
      </c>
      <c r="F32">
        <v>10</v>
      </c>
      <c r="G32" t="s">
        <v>21</v>
      </c>
      <c r="H32" t="s">
        <v>21</v>
      </c>
      <c r="I32" t="s">
        <v>30</v>
      </c>
      <c r="J32" t="s">
        <v>30</v>
      </c>
      <c r="K32" s="1">
        <v>46074</v>
      </c>
      <c r="L32" s="1" t="str">
        <f>IF(K32&gt;O32,"Valid","Invalid")</f>
        <v>Valid</v>
      </c>
      <c r="M32" s="1" t="b">
        <f>ISNUMBER(K32)</f>
        <v>1</v>
      </c>
      <c r="N32" s="1" t="b">
        <f>ISNUMBER(O32)</f>
        <v>1</v>
      </c>
      <c r="O32" s="1">
        <v>46070</v>
      </c>
      <c r="P32" t="s">
        <v>7872</v>
      </c>
      <c r="Q32" t="str">
        <f>SUBSTITUTE(SUBSTITUTE(SUBSTITUTE(P32," ",""),"-",""),"+","")</f>
        <v>9332863199</v>
      </c>
      <c r="R32" t="str">
        <f t="shared" si="0"/>
        <v>9332863199</v>
      </c>
      <c r="S32" t="str">
        <f>IF(LEN(R32),"Valid","Invalid")</f>
        <v>Valid</v>
      </c>
      <c r="T32" t="s">
        <v>7871</v>
      </c>
      <c r="V32" t="s">
        <v>57</v>
      </c>
      <c r="X32">
        <v>22045.43</v>
      </c>
      <c r="Y32" t="s">
        <v>57</v>
      </c>
      <c r="Z32">
        <v>289</v>
      </c>
      <c r="AA32">
        <f t="shared" si="1"/>
        <v>289</v>
      </c>
      <c r="AB32" t="s">
        <v>43</v>
      </c>
      <c r="AE32" t="s">
        <v>8083</v>
      </c>
    </row>
    <row r="33" spans="1:31" x14ac:dyDescent="0.3">
      <c r="A33" t="s">
        <v>7870</v>
      </c>
      <c r="B33" t="s">
        <v>7869</v>
      </c>
      <c r="C33" t="s">
        <v>7869</v>
      </c>
      <c r="D33" t="s">
        <v>0</v>
      </c>
      <c r="E33">
        <v>57</v>
      </c>
      <c r="F33">
        <v>57</v>
      </c>
      <c r="G33" t="s">
        <v>132</v>
      </c>
      <c r="H33" t="s">
        <v>132</v>
      </c>
      <c r="I33" t="s">
        <v>46</v>
      </c>
      <c r="J33" t="s">
        <v>46</v>
      </c>
      <c r="K33" s="1">
        <v>46168</v>
      </c>
      <c r="L33" s="1" t="str">
        <f>IF(K33&gt;O33,"Valid","Invalid")</f>
        <v>Valid</v>
      </c>
      <c r="M33" s="1" t="b">
        <f>ISNUMBER(K33)</f>
        <v>1</v>
      </c>
      <c r="N33" s="1" t="b">
        <f>ISNUMBER(O33)</f>
        <v>1</v>
      </c>
      <c r="O33" s="1">
        <v>46147</v>
      </c>
      <c r="P33" t="s">
        <v>7868</v>
      </c>
      <c r="Q33" t="str">
        <f>SUBSTITUTE(SUBSTITUTE(SUBSTITUTE(P33," ",""),"-",""),"+","")</f>
        <v>00097820868</v>
      </c>
      <c r="R33" t="str">
        <f t="shared" si="0"/>
        <v>0097820868</v>
      </c>
      <c r="S33" t="str">
        <f>IF(LEN(R33),"Valid","Invalid")</f>
        <v>Valid</v>
      </c>
      <c r="T33" t="s">
        <v>7867</v>
      </c>
      <c r="V33" t="s">
        <v>26</v>
      </c>
      <c r="X33">
        <v>23307.55</v>
      </c>
      <c r="Y33" t="s">
        <v>64</v>
      </c>
      <c r="Z33">
        <v>549</v>
      </c>
      <c r="AA33">
        <f t="shared" si="1"/>
        <v>549</v>
      </c>
      <c r="AB33" t="s">
        <v>71</v>
      </c>
    </row>
    <row r="34" spans="1:31" x14ac:dyDescent="0.3">
      <c r="A34" t="s">
        <v>7866</v>
      </c>
      <c r="B34" t="s">
        <v>7865</v>
      </c>
      <c r="C34" t="s">
        <v>7865</v>
      </c>
      <c r="D34" t="s">
        <v>22</v>
      </c>
      <c r="E34">
        <v>15</v>
      </c>
      <c r="F34">
        <v>15</v>
      </c>
      <c r="G34" t="s">
        <v>80</v>
      </c>
      <c r="H34" t="s">
        <v>80</v>
      </c>
      <c r="I34" t="s">
        <v>53</v>
      </c>
      <c r="J34" t="s">
        <v>20</v>
      </c>
      <c r="K34" s="1">
        <v>46052</v>
      </c>
      <c r="L34" s="1" t="str">
        <f>IF(K34&gt;O34,"Valid","Invalid")</f>
        <v>Valid</v>
      </c>
      <c r="M34" s="1" t="b">
        <f>ISNUMBER(K34)</f>
        <v>1</v>
      </c>
      <c r="N34" s="1" t="b">
        <f>ISNUMBER(O34)</f>
        <v>1</v>
      </c>
      <c r="O34" s="1">
        <v>46044</v>
      </c>
      <c r="P34" t="s">
        <v>7864</v>
      </c>
      <c r="Q34" t="str">
        <f>SUBSTITUTE(SUBSTITUTE(SUBSTITUTE(P34," ",""),"-",""),"+","")</f>
        <v>912922878110</v>
      </c>
      <c r="R34" t="str">
        <f t="shared" si="0"/>
        <v>2922878110</v>
      </c>
      <c r="S34" t="str">
        <f>IF(LEN(R34),"Valid","Invalid")</f>
        <v>Valid</v>
      </c>
      <c r="T34" t="s">
        <v>7863</v>
      </c>
      <c r="V34" t="s">
        <v>26</v>
      </c>
      <c r="X34">
        <v>15199.78</v>
      </c>
      <c r="Y34" t="s">
        <v>17</v>
      </c>
      <c r="Z34">
        <v>204</v>
      </c>
      <c r="AA34">
        <f t="shared" si="1"/>
        <v>204</v>
      </c>
      <c r="AB34" t="s">
        <v>25</v>
      </c>
    </row>
    <row r="35" spans="1:31" x14ac:dyDescent="0.3">
      <c r="A35" t="s">
        <v>7862</v>
      </c>
      <c r="B35" t="s">
        <v>7861</v>
      </c>
      <c r="C35" t="s">
        <v>7861</v>
      </c>
      <c r="D35" t="s">
        <v>22</v>
      </c>
      <c r="E35">
        <v>65</v>
      </c>
      <c r="F35">
        <v>65</v>
      </c>
      <c r="G35" t="s">
        <v>68</v>
      </c>
      <c r="H35" t="s">
        <v>68</v>
      </c>
      <c r="I35" t="s">
        <v>30</v>
      </c>
      <c r="J35" t="s">
        <v>30</v>
      </c>
      <c r="K35" s="1">
        <v>46126</v>
      </c>
      <c r="L35" s="1" t="str">
        <f>IF(K35&gt;O35,"Valid","Invalid")</f>
        <v>Valid</v>
      </c>
      <c r="M35" s="1" t="b">
        <f>ISNUMBER(K35)</f>
        <v>1</v>
      </c>
      <c r="N35" s="1" t="b">
        <f>ISNUMBER(O35)</f>
        <v>1</v>
      </c>
      <c r="O35" s="1">
        <v>46098</v>
      </c>
      <c r="P35" t="s">
        <v>7860</v>
      </c>
      <c r="Q35" t="str">
        <f>SUBSTITUTE(SUBSTITUTE(SUBSTITUTE(P35," ",""),"-",""),"+","")</f>
        <v>03039927312</v>
      </c>
      <c r="R35" t="str">
        <f t="shared" si="0"/>
        <v>3039927312</v>
      </c>
      <c r="S35" t="str">
        <f>IF(LEN(R35),"Valid","Invalid")</f>
        <v>Valid</v>
      </c>
      <c r="T35" t="s">
        <v>7859</v>
      </c>
      <c r="V35" t="s">
        <v>27</v>
      </c>
      <c r="X35">
        <v>2489</v>
      </c>
      <c r="Y35" t="s">
        <v>123</v>
      </c>
      <c r="Z35">
        <v>524</v>
      </c>
      <c r="AA35">
        <f t="shared" si="1"/>
        <v>524</v>
      </c>
      <c r="AB35" t="s">
        <v>43</v>
      </c>
    </row>
    <row r="36" spans="1:31" x14ac:dyDescent="0.3">
      <c r="A36" t="s">
        <v>7858</v>
      </c>
      <c r="B36" t="s">
        <v>7857</v>
      </c>
      <c r="C36" t="s">
        <v>7857</v>
      </c>
      <c r="D36" t="s">
        <v>40</v>
      </c>
      <c r="E36">
        <v>1</v>
      </c>
      <c r="F36">
        <v>1</v>
      </c>
      <c r="G36" t="s">
        <v>31</v>
      </c>
      <c r="H36" t="s">
        <v>31</v>
      </c>
      <c r="I36" t="s">
        <v>53</v>
      </c>
      <c r="J36" t="s">
        <v>20</v>
      </c>
      <c r="K36" s="1">
        <v>46145</v>
      </c>
      <c r="L36" s="1" t="str">
        <f>IF(K36&gt;O36,"Valid","Invalid")</f>
        <v>Valid</v>
      </c>
      <c r="M36" s="1" t="b">
        <f>ISNUMBER(K36)</f>
        <v>1</v>
      </c>
      <c r="N36" s="1" t="b">
        <f>ISNUMBER(O36)</f>
        <v>1</v>
      </c>
      <c r="O36" s="1">
        <v>46125</v>
      </c>
      <c r="P36" t="s">
        <v>7856</v>
      </c>
      <c r="Q36" t="str">
        <f>SUBSTITUTE(SUBSTITUTE(SUBSTITUTE(P36," ",""),"-",""),"+","")</f>
        <v>910241121419</v>
      </c>
      <c r="R36" t="str">
        <f t="shared" si="0"/>
        <v>0241121419</v>
      </c>
      <c r="S36" t="str">
        <f>IF(LEN(R36),"Valid","Invalid")</f>
        <v>Valid</v>
      </c>
      <c r="T36" t="s">
        <v>7855</v>
      </c>
      <c r="V36" t="s">
        <v>26</v>
      </c>
      <c r="X36">
        <v>4207.2299999999996</v>
      </c>
      <c r="Y36" t="s">
        <v>123</v>
      </c>
      <c r="Z36">
        <v>382</v>
      </c>
      <c r="AA36">
        <f t="shared" si="1"/>
        <v>382</v>
      </c>
      <c r="AB36" t="s">
        <v>25</v>
      </c>
    </row>
    <row r="37" spans="1:31" x14ac:dyDescent="0.3">
      <c r="A37" t="s">
        <v>7854</v>
      </c>
      <c r="B37" t="s">
        <v>7853</v>
      </c>
      <c r="C37" t="s">
        <v>7853</v>
      </c>
      <c r="D37" t="s">
        <v>123</v>
      </c>
      <c r="E37">
        <v>72</v>
      </c>
      <c r="F37">
        <v>72</v>
      </c>
      <c r="G37" t="s">
        <v>47</v>
      </c>
      <c r="H37" t="s">
        <v>47</v>
      </c>
      <c r="I37" t="s">
        <v>20</v>
      </c>
      <c r="J37" t="s">
        <v>20</v>
      </c>
      <c r="K37" s="1">
        <v>45998</v>
      </c>
      <c r="L37" s="1" t="str">
        <f>IF(K37&gt;O37,"Valid","Invalid")</f>
        <v>Valid</v>
      </c>
      <c r="M37" s="1" t="b">
        <f>ISNUMBER(K37)</f>
        <v>1</v>
      </c>
      <c r="N37" s="1" t="b">
        <f>ISNUMBER(O37)</f>
        <v>1</v>
      </c>
      <c r="O37" s="1">
        <v>45996</v>
      </c>
      <c r="P37" t="s">
        <v>7852</v>
      </c>
      <c r="Q37" t="str">
        <f>SUBSTITUTE(SUBSTITUTE(SUBSTITUTE(P37," ",""),"-",""),"+","")</f>
        <v>7550869662</v>
      </c>
      <c r="R37" t="str">
        <f t="shared" si="0"/>
        <v>7550869662</v>
      </c>
      <c r="S37" t="str">
        <f>IF(LEN(R37),"Valid","Invalid")</f>
        <v>Valid</v>
      </c>
      <c r="T37" t="s">
        <v>7851</v>
      </c>
      <c r="V37" t="s">
        <v>35</v>
      </c>
      <c r="X37">
        <v>13730.64</v>
      </c>
      <c r="Y37" t="s">
        <v>17</v>
      </c>
      <c r="Z37">
        <v>398</v>
      </c>
      <c r="AA37">
        <f t="shared" si="1"/>
        <v>398</v>
      </c>
      <c r="AB37" t="s">
        <v>34</v>
      </c>
    </row>
    <row r="38" spans="1:31" x14ac:dyDescent="0.3">
      <c r="A38" t="s">
        <v>7850</v>
      </c>
      <c r="B38" t="s">
        <v>7849</v>
      </c>
      <c r="C38" t="s">
        <v>7849</v>
      </c>
      <c r="D38" t="s">
        <v>0</v>
      </c>
      <c r="E38">
        <v>56</v>
      </c>
      <c r="F38">
        <v>56</v>
      </c>
      <c r="G38" t="s">
        <v>39</v>
      </c>
      <c r="H38" t="s">
        <v>39</v>
      </c>
      <c r="I38" t="s">
        <v>46</v>
      </c>
      <c r="J38" t="s">
        <v>46</v>
      </c>
      <c r="K38" s="1">
        <v>46139</v>
      </c>
      <c r="L38" s="1" t="str">
        <f>IF(K38&gt;O38,"Valid","Invalid")</f>
        <v>Valid</v>
      </c>
      <c r="M38" s="1" t="b">
        <f>ISNUMBER(K38)</f>
        <v>1</v>
      </c>
      <c r="N38" s="1" t="b">
        <f>ISNUMBER(O38)</f>
        <v>1</v>
      </c>
      <c r="O38" s="1">
        <v>46130</v>
      </c>
      <c r="P38" t="s">
        <v>7848</v>
      </c>
      <c r="Q38" t="str">
        <f>SUBSTITUTE(SUBSTITUTE(SUBSTITUTE(P38," ",""),"-",""),"+","")</f>
        <v>08119806288</v>
      </c>
      <c r="R38" t="str">
        <f t="shared" si="0"/>
        <v>8119806288</v>
      </c>
      <c r="S38" t="str">
        <f>IF(LEN(R38),"Valid","Invalid")</f>
        <v>Valid</v>
      </c>
      <c r="T38" t="s">
        <v>7847</v>
      </c>
      <c r="V38" t="s">
        <v>57</v>
      </c>
      <c r="X38">
        <v>22494.74</v>
      </c>
      <c r="Y38" t="s">
        <v>27</v>
      </c>
      <c r="Z38">
        <v>283</v>
      </c>
      <c r="AA38">
        <f t="shared" si="1"/>
        <v>283</v>
      </c>
      <c r="AB38" t="s">
        <v>71</v>
      </c>
    </row>
    <row r="39" spans="1:31" x14ac:dyDescent="0.3">
      <c r="A39" t="s">
        <v>7846</v>
      </c>
      <c r="B39" t="s">
        <v>7845</v>
      </c>
      <c r="C39" t="s">
        <v>7845</v>
      </c>
      <c r="D39" t="s">
        <v>1</v>
      </c>
      <c r="E39">
        <v>86</v>
      </c>
      <c r="F39">
        <v>86</v>
      </c>
      <c r="G39" t="s">
        <v>80</v>
      </c>
      <c r="H39" t="s">
        <v>80</v>
      </c>
      <c r="I39" t="s">
        <v>67</v>
      </c>
      <c r="J39" t="s">
        <v>67</v>
      </c>
      <c r="K39" s="1">
        <v>46019</v>
      </c>
      <c r="L39" s="1" t="str">
        <f>IF(K39&gt;O39,"Valid","Invalid")</f>
        <v>Valid</v>
      </c>
      <c r="M39" s="1" t="b">
        <f>ISNUMBER(K39)</f>
        <v>1</v>
      </c>
      <c r="N39" s="1" t="b">
        <f>ISNUMBER(O39)</f>
        <v>1</v>
      </c>
      <c r="O39" s="1">
        <v>45995</v>
      </c>
      <c r="P39" t="s">
        <v>7844</v>
      </c>
      <c r="Q39" t="str">
        <f>SUBSTITUTE(SUBSTITUTE(SUBSTITUTE(P39," ",""),"-",""),"+","")</f>
        <v>04433253245</v>
      </c>
      <c r="R39" t="str">
        <f t="shared" si="0"/>
        <v>4433253245</v>
      </c>
      <c r="S39" t="str">
        <f>IF(LEN(R39),"Valid","Invalid")</f>
        <v>Valid</v>
      </c>
      <c r="T39" t="s">
        <v>7843</v>
      </c>
      <c r="V39" t="s">
        <v>123</v>
      </c>
      <c r="X39">
        <v>24351.16</v>
      </c>
      <c r="Y39" t="s">
        <v>26</v>
      </c>
      <c r="Z39">
        <v>221</v>
      </c>
      <c r="AA39">
        <f t="shared" si="1"/>
        <v>221</v>
      </c>
      <c r="AB39" t="s">
        <v>50</v>
      </c>
    </row>
    <row r="40" spans="1:31" x14ac:dyDescent="0.3">
      <c r="A40" t="s">
        <v>7842</v>
      </c>
      <c r="B40" t="s">
        <v>7841</v>
      </c>
      <c r="C40" t="s">
        <v>7841</v>
      </c>
      <c r="D40" t="s">
        <v>0</v>
      </c>
      <c r="E40">
        <v>23</v>
      </c>
      <c r="F40">
        <v>23</v>
      </c>
      <c r="G40" t="s">
        <v>54</v>
      </c>
      <c r="H40" t="s">
        <v>54</v>
      </c>
      <c r="I40" t="s">
        <v>46</v>
      </c>
      <c r="J40" t="s">
        <v>46</v>
      </c>
      <c r="K40" s="1">
        <v>46046</v>
      </c>
      <c r="L40" s="1" t="str">
        <f>IF(K40&gt;O40,"Valid","Invalid")</f>
        <v>Valid</v>
      </c>
      <c r="M40" s="1" t="b">
        <f>ISNUMBER(K40)</f>
        <v>1</v>
      </c>
      <c r="N40" s="1" t="b">
        <f>ISNUMBER(O40)</f>
        <v>1</v>
      </c>
      <c r="O40" s="1">
        <v>46041</v>
      </c>
      <c r="P40" t="s">
        <v>7840</v>
      </c>
      <c r="Q40" t="str">
        <f>SUBSTITUTE(SUBSTITUTE(SUBSTITUTE(P40," ",""),"-",""),"+","")</f>
        <v>915722301633</v>
      </c>
      <c r="R40" t="str">
        <f t="shared" si="0"/>
        <v>5722301633</v>
      </c>
      <c r="S40" t="str">
        <f>IF(LEN(R40),"Valid","Invalid")</f>
        <v>Valid</v>
      </c>
      <c r="T40" t="s">
        <v>7839</v>
      </c>
      <c r="V40" t="s">
        <v>57</v>
      </c>
      <c r="X40">
        <v>19603.189999999999</v>
      </c>
      <c r="Y40" t="s">
        <v>123</v>
      </c>
      <c r="Z40">
        <v>510</v>
      </c>
      <c r="AA40">
        <f t="shared" si="1"/>
        <v>510</v>
      </c>
      <c r="AB40" t="s">
        <v>25</v>
      </c>
      <c r="AE40" t="s">
        <v>8086</v>
      </c>
    </row>
    <row r="41" spans="1:31" x14ac:dyDescent="0.3">
      <c r="A41" t="s">
        <v>7838</v>
      </c>
      <c r="B41" t="s">
        <v>7837</v>
      </c>
      <c r="C41" t="s">
        <v>7837</v>
      </c>
      <c r="D41" t="s">
        <v>1</v>
      </c>
      <c r="E41">
        <v>35</v>
      </c>
      <c r="F41">
        <v>35</v>
      </c>
      <c r="G41" t="s">
        <v>39</v>
      </c>
      <c r="H41" t="s">
        <v>39</v>
      </c>
      <c r="I41" t="s">
        <v>20</v>
      </c>
      <c r="J41" t="s">
        <v>20</v>
      </c>
      <c r="K41" s="1">
        <v>46041</v>
      </c>
      <c r="L41" s="1" t="str">
        <f>IF(K41&gt;O41,"Valid","Invalid")</f>
        <v>Valid</v>
      </c>
      <c r="M41" s="1" t="b">
        <f>ISNUMBER(K41)</f>
        <v>1</v>
      </c>
      <c r="N41" s="1" t="b">
        <f>ISNUMBER(O41)</f>
        <v>1</v>
      </c>
      <c r="O41" s="1">
        <v>46029</v>
      </c>
      <c r="P41" t="s">
        <v>7836</v>
      </c>
      <c r="Q41" t="str">
        <f>SUBSTITUTE(SUBSTITUTE(SUBSTITUTE(P41," ",""),"-",""),"+","")</f>
        <v>00505247196</v>
      </c>
      <c r="R41" t="str">
        <f t="shared" si="0"/>
        <v>0505247196</v>
      </c>
      <c r="S41" t="str">
        <f>IF(LEN(R41),"Valid","Invalid")</f>
        <v>Valid</v>
      </c>
      <c r="T41" t="s">
        <v>7835</v>
      </c>
      <c r="V41" t="s">
        <v>27</v>
      </c>
      <c r="X41">
        <v>21493.11</v>
      </c>
      <c r="Y41" t="s">
        <v>57</v>
      </c>
      <c r="Z41">
        <v>202</v>
      </c>
      <c r="AA41">
        <f t="shared" si="1"/>
        <v>202</v>
      </c>
      <c r="AB41" t="s">
        <v>50</v>
      </c>
    </row>
    <row r="42" spans="1:31" x14ac:dyDescent="0.3">
      <c r="A42" t="s">
        <v>7834</v>
      </c>
      <c r="B42" t="s">
        <v>7833</v>
      </c>
      <c r="C42" t="s">
        <v>7833</v>
      </c>
      <c r="E42">
        <v>45</v>
      </c>
      <c r="F42">
        <v>45</v>
      </c>
      <c r="G42" t="s">
        <v>132</v>
      </c>
      <c r="H42" t="s">
        <v>132</v>
      </c>
      <c r="I42" t="s">
        <v>38</v>
      </c>
      <c r="J42" t="s">
        <v>8077</v>
      </c>
      <c r="K42" s="1">
        <v>46027</v>
      </c>
      <c r="L42" s="1" t="str">
        <f>IF(K42&gt;O42,"Valid","Invalid")</f>
        <v>Valid</v>
      </c>
      <c r="M42" s="1" t="b">
        <f>ISNUMBER(K42)</f>
        <v>1</v>
      </c>
      <c r="N42" s="1" t="b">
        <f>ISNUMBER(O42)</f>
        <v>1</v>
      </c>
      <c r="O42" s="1">
        <v>46020</v>
      </c>
      <c r="P42" t="s">
        <v>7832</v>
      </c>
      <c r="Q42" t="str">
        <f>SUBSTITUTE(SUBSTITUTE(SUBSTITUTE(P42," ",""),"-",""),"+","")</f>
        <v>918660574813</v>
      </c>
      <c r="R42" t="str">
        <f t="shared" si="0"/>
        <v>8660574813</v>
      </c>
      <c r="S42" t="str">
        <f>IF(LEN(R42),"Valid","Invalid")</f>
        <v>Valid</v>
      </c>
      <c r="T42" t="s">
        <v>7831</v>
      </c>
      <c r="V42" t="s">
        <v>27</v>
      </c>
      <c r="X42">
        <v>16568.82</v>
      </c>
      <c r="Y42" t="s">
        <v>123</v>
      </c>
      <c r="Z42">
        <v>268</v>
      </c>
      <c r="AA42">
        <f t="shared" si="1"/>
        <v>268</v>
      </c>
      <c r="AB42" t="s">
        <v>43</v>
      </c>
    </row>
    <row r="43" spans="1:31" x14ac:dyDescent="0.3">
      <c r="A43" t="s">
        <v>7830</v>
      </c>
      <c r="B43" t="s">
        <v>7829</v>
      </c>
      <c r="C43" t="s">
        <v>7829</v>
      </c>
      <c r="D43" t="s">
        <v>74</v>
      </c>
      <c r="E43">
        <v>36</v>
      </c>
      <c r="F43">
        <v>36</v>
      </c>
      <c r="G43" t="s">
        <v>31</v>
      </c>
      <c r="H43" t="s">
        <v>31</v>
      </c>
      <c r="I43" t="s">
        <v>90</v>
      </c>
      <c r="J43" t="s">
        <v>67</v>
      </c>
      <c r="K43" s="1">
        <v>46006</v>
      </c>
      <c r="L43" s="1" t="str">
        <f>IF(K43&gt;O43,"Valid","Invalid")</f>
        <v>Valid</v>
      </c>
      <c r="M43" s="1" t="b">
        <f>ISNUMBER(K43)</f>
        <v>1</v>
      </c>
      <c r="N43" s="1" t="b">
        <f>ISNUMBER(O43)</f>
        <v>1</v>
      </c>
      <c r="O43" s="1">
        <v>45985</v>
      </c>
      <c r="P43" t="s">
        <v>7828</v>
      </c>
      <c r="Q43" t="str">
        <f>SUBSTITUTE(SUBSTITUTE(SUBSTITUTE(P43," ",""),"-",""),"+","")</f>
        <v>915815636401</v>
      </c>
      <c r="R43" t="str">
        <f t="shared" si="0"/>
        <v>5815636401</v>
      </c>
      <c r="S43" t="str">
        <f>IF(LEN(R43),"Valid","Invalid")</f>
        <v>Valid</v>
      </c>
      <c r="T43" t="s">
        <v>7827</v>
      </c>
      <c r="V43" t="s">
        <v>57</v>
      </c>
      <c r="X43">
        <v>23493.08</v>
      </c>
      <c r="Y43" t="s">
        <v>64</v>
      </c>
      <c r="Z43">
        <v>549</v>
      </c>
      <c r="AA43">
        <f t="shared" si="1"/>
        <v>549</v>
      </c>
      <c r="AB43" t="s">
        <v>43</v>
      </c>
    </row>
    <row r="44" spans="1:31" x14ac:dyDescent="0.3">
      <c r="A44" t="s">
        <v>7826</v>
      </c>
      <c r="B44" t="s">
        <v>7825</v>
      </c>
      <c r="C44" t="s">
        <v>7825</v>
      </c>
      <c r="D44" t="s">
        <v>0</v>
      </c>
      <c r="E44">
        <v>75</v>
      </c>
      <c r="F44">
        <v>75</v>
      </c>
      <c r="G44" t="s">
        <v>132</v>
      </c>
      <c r="H44" t="s">
        <v>132</v>
      </c>
      <c r="I44" t="s">
        <v>46</v>
      </c>
      <c r="J44" t="s">
        <v>46</v>
      </c>
      <c r="K44" s="1">
        <v>46021</v>
      </c>
      <c r="L44" s="1" t="str">
        <f>IF(K44&gt;O44,"Valid","Invalid")</f>
        <v>Valid</v>
      </c>
      <c r="M44" s="1" t="b">
        <f>ISNUMBER(K44)</f>
        <v>1</v>
      </c>
      <c r="N44" s="1" t="b">
        <f>ISNUMBER(O44)</f>
        <v>1</v>
      </c>
      <c r="O44" s="1">
        <v>46018</v>
      </c>
      <c r="P44" t="s">
        <v>7824</v>
      </c>
      <c r="Q44" t="str">
        <f>SUBSTITUTE(SUBSTITUTE(SUBSTITUTE(P44," ",""),"-",""),"+","")</f>
        <v>1002329725</v>
      </c>
      <c r="R44" t="str">
        <f t="shared" si="0"/>
        <v>1002329725</v>
      </c>
      <c r="S44" t="str">
        <f>IF(LEN(R44),"Valid","Invalid")</f>
        <v>Valid</v>
      </c>
      <c r="T44" t="s">
        <v>7823</v>
      </c>
      <c r="V44" t="s">
        <v>123</v>
      </c>
      <c r="X44">
        <v>8773.0400000000009</v>
      </c>
      <c r="Y44" t="s">
        <v>17</v>
      </c>
      <c r="Z44">
        <v>323</v>
      </c>
      <c r="AA44">
        <f t="shared" si="1"/>
        <v>323</v>
      </c>
      <c r="AB44" t="s">
        <v>34</v>
      </c>
    </row>
    <row r="45" spans="1:31" x14ac:dyDescent="0.3">
      <c r="A45" t="s">
        <v>7822</v>
      </c>
      <c r="B45" t="s">
        <v>7821</v>
      </c>
      <c r="C45" t="s">
        <v>7821</v>
      </c>
      <c r="D45" t="s">
        <v>74</v>
      </c>
      <c r="E45">
        <v>50</v>
      </c>
      <c r="F45">
        <v>50</v>
      </c>
      <c r="G45" t="s">
        <v>21</v>
      </c>
      <c r="H45" t="s">
        <v>21</v>
      </c>
      <c r="I45" t="s">
        <v>30</v>
      </c>
      <c r="J45" t="s">
        <v>30</v>
      </c>
      <c r="K45" s="1">
        <v>46085</v>
      </c>
      <c r="L45" s="1" t="str">
        <f>IF(K45&gt;O45,"Valid","Invalid")</f>
        <v>Valid</v>
      </c>
      <c r="M45" s="1" t="b">
        <f>ISNUMBER(K45)</f>
        <v>1</v>
      </c>
      <c r="N45" s="1" t="b">
        <f>ISNUMBER(O45)</f>
        <v>1</v>
      </c>
      <c r="O45" s="1">
        <v>46084</v>
      </c>
      <c r="P45" t="s">
        <v>7820</v>
      </c>
      <c r="Q45" t="str">
        <f>SUBSTITUTE(SUBSTITUTE(SUBSTITUTE(P45," ",""),"-",""),"+","")</f>
        <v>914126526217</v>
      </c>
      <c r="R45" t="str">
        <f t="shared" si="0"/>
        <v>4126526217</v>
      </c>
      <c r="S45" t="str">
        <f>IF(LEN(R45),"Valid","Invalid")</f>
        <v>Valid</v>
      </c>
      <c r="T45" t="s">
        <v>7819</v>
      </c>
      <c r="V45" t="s">
        <v>123</v>
      </c>
      <c r="X45">
        <v>241.94</v>
      </c>
      <c r="Y45" t="s">
        <v>57</v>
      </c>
      <c r="Z45">
        <v>286</v>
      </c>
      <c r="AA45">
        <f t="shared" si="1"/>
        <v>286</v>
      </c>
      <c r="AB45" t="s">
        <v>16</v>
      </c>
    </row>
    <row r="46" spans="1:31" x14ac:dyDescent="0.3">
      <c r="A46" t="s">
        <v>7818</v>
      </c>
      <c r="B46" t="s">
        <v>7817</v>
      </c>
      <c r="C46" t="s">
        <v>7817</v>
      </c>
      <c r="D46" t="s">
        <v>74</v>
      </c>
      <c r="E46">
        <v>86</v>
      </c>
      <c r="F46">
        <v>86</v>
      </c>
      <c r="G46" t="s">
        <v>31</v>
      </c>
      <c r="H46" t="s">
        <v>31</v>
      </c>
      <c r="I46" t="s">
        <v>67</v>
      </c>
      <c r="J46" t="s">
        <v>67</v>
      </c>
      <c r="K46" s="1">
        <v>46109</v>
      </c>
      <c r="L46" s="1" t="str">
        <f>IF(K46&gt;O46,"Valid","Invalid")</f>
        <v>Valid</v>
      </c>
      <c r="M46" s="1" t="b">
        <f>ISNUMBER(K46)</f>
        <v>1</v>
      </c>
      <c r="N46" s="1" t="b">
        <f>ISNUMBER(O46)</f>
        <v>1</v>
      </c>
      <c r="O46" s="1">
        <v>46088</v>
      </c>
      <c r="P46" t="s">
        <v>7816</v>
      </c>
      <c r="Q46" t="str">
        <f>SUBSTITUTE(SUBSTITUTE(SUBSTITUTE(P46," ",""),"-",""),"+","")</f>
        <v>912428347081</v>
      </c>
      <c r="R46" t="str">
        <f t="shared" si="0"/>
        <v>2428347081</v>
      </c>
      <c r="S46" t="str">
        <f>IF(LEN(R46),"Valid","Invalid")</f>
        <v>Valid</v>
      </c>
      <c r="T46" t="s">
        <v>7815</v>
      </c>
      <c r="V46" t="s">
        <v>64</v>
      </c>
      <c r="X46">
        <v>18049.91</v>
      </c>
      <c r="Y46" t="s">
        <v>63</v>
      </c>
      <c r="Z46">
        <v>359</v>
      </c>
      <c r="AA46">
        <f t="shared" si="1"/>
        <v>359</v>
      </c>
      <c r="AB46" t="s">
        <v>43</v>
      </c>
    </row>
    <row r="47" spans="1:31" x14ac:dyDescent="0.3">
      <c r="A47" t="s">
        <v>7814</v>
      </c>
      <c r="B47" t="s">
        <v>7813</v>
      </c>
      <c r="C47" t="s">
        <v>7813</v>
      </c>
      <c r="D47" t="s">
        <v>123</v>
      </c>
      <c r="E47">
        <v>42</v>
      </c>
      <c r="F47">
        <v>42</v>
      </c>
      <c r="G47" t="s">
        <v>54</v>
      </c>
      <c r="H47" t="s">
        <v>54</v>
      </c>
      <c r="I47" t="s">
        <v>30</v>
      </c>
      <c r="J47" t="s">
        <v>30</v>
      </c>
      <c r="K47" s="1">
        <v>46030</v>
      </c>
      <c r="L47" s="1" t="str">
        <f>IF(K47&gt;O47,"Valid","Invalid")</f>
        <v>Valid</v>
      </c>
      <c r="M47" s="1" t="b">
        <f>ISNUMBER(K47)</f>
        <v>1</v>
      </c>
      <c r="N47" s="1" t="b">
        <f>ISNUMBER(O47)</f>
        <v>1</v>
      </c>
      <c r="O47" s="1">
        <v>46013</v>
      </c>
      <c r="P47" t="s">
        <v>7812</v>
      </c>
      <c r="Q47" t="str">
        <f>SUBSTITUTE(SUBSTITUTE(SUBSTITUTE(P47," ",""),"-",""),"+","")</f>
        <v>02145712457</v>
      </c>
      <c r="R47" t="str">
        <f t="shared" si="0"/>
        <v>2145712457</v>
      </c>
      <c r="S47" t="str">
        <f>IF(LEN(R47),"Valid","Invalid")</f>
        <v>Valid</v>
      </c>
      <c r="T47" t="s">
        <v>7811</v>
      </c>
      <c r="V47" t="s">
        <v>35</v>
      </c>
      <c r="X47">
        <v>4957.63</v>
      </c>
      <c r="Y47" t="s">
        <v>123</v>
      </c>
      <c r="Z47">
        <v>446</v>
      </c>
      <c r="AA47">
        <f t="shared" si="1"/>
        <v>446</v>
      </c>
      <c r="AB47" t="s">
        <v>25</v>
      </c>
    </row>
    <row r="48" spans="1:31" x14ac:dyDescent="0.3">
      <c r="A48" t="s">
        <v>7810</v>
      </c>
      <c r="B48" t="s">
        <v>7809</v>
      </c>
      <c r="C48" t="s">
        <v>7809</v>
      </c>
      <c r="D48" t="s">
        <v>0</v>
      </c>
      <c r="E48">
        <v>79</v>
      </c>
      <c r="F48">
        <v>79</v>
      </c>
      <c r="G48" t="s">
        <v>132</v>
      </c>
      <c r="H48" t="s">
        <v>132</v>
      </c>
      <c r="I48" t="s">
        <v>90</v>
      </c>
      <c r="J48" t="s">
        <v>67</v>
      </c>
      <c r="K48" s="1">
        <v>45997</v>
      </c>
      <c r="L48" s="1" t="str">
        <f>IF(K48&gt;O48,"Valid","Invalid")</f>
        <v>Valid</v>
      </c>
      <c r="M48" s="1" t="b">
        <f>ISNUMBER(K48)</f>
        <v>1</v>
      </c>
      <c r="N48" s="1" t="b">
        <f>ISNUMBER(O48)</f>
        <v>1</v>
      </c>
      <c r="O48" s="1">
        <v>45980</v>
      </c>
      <c r="P48" t="s">
        <v>7808</v>
      </c>
      <c r="Q48" t="str">
        <f>SUBSTITUTE(SUBSTITUTE(SUBSTITUTE(P48," ",""),"-",""),"+","")</f>
        <v>917234468272</v>
      </c>
      <c r="R48" t="str">
        <f t="shared" si="0"/>
        <v>7234468272</v>
      </c>
      <c r="S48" t="str">
        <f>IF(LEN(R48),"Valid","Invalid")</f>
        <v>Valid</v>
      </c>
      <c r="T48" t="s">
        <v>7807</v>
      </c>
      <c r="V48" t="s">
        <v>27</v>
      </c>
      <c r="X48">
        <v>7736.1</v>
      </c>
      <c r="Y48" t="s">
        <v>57</v>
      </c>
      <c r="Z48">
        <v>320</v>
      </c>
      <c r="AA48">
        <f t="shared" si="1"/>
        <v>320</v>
      </c>
      <c r="AB48" t="s">
        <v>50</v>
      </c>
    </row>
    <row r="49" spans="1:28" x14ac:dyDescent="0.3">
      <c r="A49" t="s">
        <v>7806</v>
      </c>
      <c r="B49" t="s">
        <v>7805</v>
      </c>
      <c r="C49" t="s">
        <v>7805</v>
      </c>
      <c r="D49" t="s">
        <v>60</v>
      </c>
      <c r="E49">
        <v>60</v>
      </c>
      <c r="F49">
        <v>60</v>
      </c>
      <c r="G49" t="s">
        <v>68</v>
      </c>
      <c r="H49" t="s">
        <v>68</v>
      </c>
      <c r="I49" t="s">
        <v>85</v>
      </c>
      <c r="J49" t="s">
        <v>85</v>
      </c>
      <c r="K49" s="1">
        <v>46163</v>
      </c>
      <c r="L49" s="1" t="str">
        <f>IF(K49&gt;O49,"Valid","Invalid")</f>
        <v>Valid</v>
      </c>
      <c r="M49" s="1" t="b">
        <f>ISNUMBER(K49)</f>
        <v>1</v>
      </c>
      <c r="N49" s="1" t="b">
        <f>ISNUMBER(O49)</f>
        <v>1</v>
      </c>
      <c r="O49" s="1">
        <v>46142</v>
      </c>
      <c r="P49" t="s">
        <v>7804</v>
      </c>
      <c r="Q49" t="str">
        <f>SUBSTITUTE(SUBSTITUTE(SUBSTITUTE(P49," ",""),"-",""),"+","")</f>
        <v>3869403681</v>
      </c>
      <c r="R49" t="str">
        <f t="shared" si="0"/>
        <v>3869403681</v>
      </c>
      <c r="S49" t="str">
        <f>IF(LEN(R49),"Valid","Invalid")</f>
        <v>Valid</v>
      </c>
      <c r="T49" t="s">
        <v>7803</v>
      </c>
      <c r="V49" t="s">
        <v>17</v>
      </c>
      <c r="X49">
        <v>12877.12</v>
      </c>
      <c r="Y49" t="s">
        <v>26</v>
      </c>
      <c r="Z49">
        <v>437</v>
      </c>
      <c r="AA49">
        <f t="shared" si="1"/>
        <v>437</v>
      </c>
      <c r="AB49" t="s">
        <v>77</v>
      </c>
    </row>
    <row r="50" spans="1:28" x14ac:dyDescent="0.3">
      <c r="A50" t="s">
        <v>7802</v>
      </c>
      <c r="B50" t="s">
        <v>7801</v>
      </c>
      <c r="C50" t="s">
        <v>7801</v>
      </c>
      <c r="D50" t="s">
        <v>22</v>
      </c>
      <c r="E50">
        <v>66</v>
      </c>
      <c r="F50">
        <v>66</v>
      </c>
      <c r="G50" t="s">
        <v>31</v>
      </c>
      <c r="H50" t="s">
        <v>31</v>
      </c>
      <c r="I50" t="s">
        <v>20</v>
      </c>
      <c r="J50" t="s">
        <v>20</v>
      </c>
      <c r="K50" s="1">
        <v>46025</v>
      </c>
      <c r="L50" s="1" t="str">
        <f>IF(K50&gt;O50,"Valid","Invalid")</f>
        <v>Valid</v>
      </c>
      <c r="M50" s="1" t="b">
        <f>ISNUMBER(K50)</f>
        <v>1</v>
      </c>
      <c r="N50" s="1" t="b">
        <f>ISNUMBER(O50)</f>
        <v>1</v>
      </c>
      <c r="O50" s="1">
        <v>45999</v>
      </c>
      <c r="P50" t="s">
        <v>7800</v>
      </c>
      <c r="Q50" t="str">
        <f>SUBSTITUTE(SUBSTITUTE(SUBSTITUTE(P50," ",""),"-",""),"+","")</f>
        <v>0093960256</v>
      </c>
      <c r="R50" t="str">
        <f t="shared" si="0"/>
        <v>0093960256</v>
      </c>
      <c r="S50" t="str">
        <f>IF(LEN(R50),"Valid","Invalid")</f>
        <v>Valid</v>
      </c>
      <c r="T50" t="s">
        <v>7799</v>
      </c>
      <c r="V50" t="s">
        <v>17</v>
      </c>
      <c r="X50">
        <v>16885.330000000002</v>
      </c>
      <c r="Y50" t="s">
        <v>57</v>
      </c>
      <c r="Z50">
        <v>512</v>
      </c>
      <c r="AA50">
        <f t="shared" si="1"/>
        <v>512</v>
      </c>
      <c r="AB50" t="s">
        <v>71</v>
      </c>
    </row>
    <row r="51" spans="1:28" x14ac:dyDescent="0.3">
      <c r="A51" t="s">
        <v>7798</v>
      </c>
      <c r="B51" t="s">
        <v>7797</v>
      </c>
      <c r="C51" t="s">
        <v>7797</v>
      </c>
      <c r="D51" t="s">
        <v>0</v>
      </c>
      <c r="E51">
        <v>4</v>
      </c>
      <c r="F51">
        <v>4</v>
      </c>
      <c r="G51" t="s">
        <v>47</v>
      </c>
      <c r="H51" t="s">
        <v>47</v>
      </c>
      <c r="I51" t="s">
        <v>38</v>
      </c>
      <c r="J51" t="s">
        <v>8077</v>
      </c>
      <c r="K51" s="1">
        <v>46034</v>
      </c>
      <c r="L51" s="1" t="str">
        <f>IF(K51&gt;O51,"Valid","Invalid")</f>
        <v>Valid</v>
      </c>
      <c r="M51" s="1" t="b">
        <f>ISNUMBER(K51)</f>
        <v>1</v>
      </c>
      <c r="N51" s="1" t="b">
        <f>ISNUMBER(O51)</f>
        <v>1</v>
      </c>
      <c r="O51" s="1">
        <v>46019</v>
      </c>
      <c r="P51" t="s">
        <v>7796</v>
      </c>
      <c r="Q51" t="str">
        <f>SUBSTITUTE(SUBSTITUTE(SUBSTITUTE(P51," ",""),"-",""),"+","")</f>
        <v>04845744094</v>
      </c>
      <c r="R51" t="str">
        <f t="shared" si="0"/>
        <v>4845744094</v>
      </c>
      <c r="S51" t="str">
        <f>IF(LEN(R51),"Valid","Invalid")</f>
        <v>Valid</v>
      </c>
      <c r="T51" t="s">
        <v>7795</v>
      </c>
      <c r="V51" t="s">
        <v>64</v>
      </c>
      <c r="X51">
        <v>11494.32</v>
      </c>
      <c r="Y51" t="s">
        <v>57</v>
      </c>
      <c r="Z51">
        <v>467</v>
      </c>
      <c r="AA51">
        <f t="shared" si="1"/>
        <v>467</v>
      </c>
      <c r="AB51" t="s">
        <v>25</v>
      </c>
    </row>
    <row r="52" spans="1:28" x14ac:dyDescent="0.3">
      <c r="A52" t="s">
        <v>7791</v>
      </c>
      <c r="B52" t="s">
        <v>7790</v>
      </c>
      <c r="C52" t="s">
        <v>7790</v>
      </c>
      <c r="D52" t="s">
        <v>1</v>
      </c>
      <c r="E52">
        <v>23</v>
      </c>
      <c r="F52">
        <v>23</v>
      </c>
      <c r="G52" t="s">
        <v>68</v>
      </c>
      <c r="H52" t="s">
        <v>68</v>
      </c>
      <c r="I52" t="s">
        <v>46</v>
      </c>
      <c r="J52" t="s">
        <v>46</v>
      </c>
      <c r="K52" s="1">
        <v>46103</v>
      </c>
      <c r="L52" s="1" t="str">
        <f>IF(K52&gt;O52,"Valid","Invalid")</f>
        <v>Valid</v>
      </c>
      <c r="M52" s="1" t="b">
        <f>ISNUMBER(K52)</f>
        <v>1</v>
      </c>
      <c r="N52" s="1" t="b">
        <f>ISNUMBER(O52)</f>
        <v>1</v>
      </c>
      <c r="O52" s="1">
        <v>46086</v>
      </c>
      <c r="P52" t="s">
        <v>7789</v>
      </c>
      <c r="Q52" t="str">
        <f>SUBSTITUTE(SUBSTITUTE(SUBSTITUTE(P52," ",""),"-",""),"+","")</f>
        <v>4694283142</v>
      </c>
      <c r="R52" t="str">
        <f t="shared" si="0"/>
        <v>4694283142</v>
      </c>
      <c r="S52" t="str">
        <f>IF(LEN(R52),"Valid","Invalid")</f>
        <v>Valid</v>
      </c>
      <c r="T52" t="s">
        <v>7788</v>
      </c>
      <c r="V52" t="s">
        <v>17</v>
      </c>
      <c r="X52">
        <v>22953.26</v>
      </c>
      <c r="Y52" t="s">
        <v>64</v>
      </c>
      <c r="Z52">
        <v>333</v>
      </c>
      <c r="AA52">
        <f t="shared" si="1"/>
        <v>333</v>
      </c>
      <c r="AB52" t="s">
        <v>71</v>
      </c>
    </row>
    <row r="53" spans="1:28" x14ac:dyDescent="0.3">
      <c r="A53" t="s">
        <v>7787</v>
      </c>
      <c r="B53" t="s">
        <v>7786</v>
      </c>
      <c r="C53" t="s">
        <v>8034</v>
      </c>
      <c r="E53">
        <v>86</v>
      </c>
      <c r="F53">
        <v>86</v>
      </c>
      <c r="G53" t="s">
        <v>31</v>
      </c>
      <c r="H53" t="s">
        <v>31</v>
      </c>
      <c r="I53" t="s">
        <v>85</v>
      </c>
      <c r="J53" t="s">
        <v>85</v>
      </c>
      <c r="K53" s="1">
        <v>46092</v>
      </c>
      <c r="L53" s="1" t="str">
        <f>IF(K53&gt;O53,"Valid","Invalid")</f>
        <v>Valid</v>
      </c>
      <c r="M53" s="1" t="b">
        <f>ISNUMBER(K53)</f>
        <v>1</v>
      </c>
      <c r="N53" s="1" t="b">
        <f>ISNUMBER(O53)</f>
        <v>1</v>
      </c>
      <c r="O53" s="1">
        <v>46073</v>
      </c>
      <c r="P53" t="s">
        <v>7785</v>
      </c>
      <c r="Q53" t="str">
        <f>SUBSTITUTE(SUBSTITUTE(SUBSTITUTE(P53," ",""),"-",""),"+","")</f>
        <v>06424452404</v>
      </c>
      <c r="R53" t="str">
        <f t="shared" si="0"/>
        <v>6424452404</v>
      </c>
      <c r="S53" t="str">
        <f>IF(LEN(R53),"Valid","Invalid")</f>
        <v>Valid</v>
      </c>
      <c r="T53" t="s">
        <v>7784</v>
      </c>
      <c r="V53" t="s">
        <v>123</v>
      </c>
      <c r="X53">
        <v>20798.12</v>
      </c>
      <c r="Y53" t="s">
        <v>123</v>
      </c>
      <c r="Z53">
        <v>181</v>
      </c>
      <c r="AA53">
        <f t="shared" si="1"/>
        <v>181</v>
      </c>
      <c r="AB53" t="s">
        <v>25</v>
      </c>
    </row>
    <row r="54" spans="1:28" x14ac:dyDescent="0.3">
      <c r="A54" t="s">
        <v>7783</v>
      </c>
      <c r="B54" t="s">
        <v>7782</v>
      </c>
      <c r="C54" t="s">
        <v>7782</v>
      </c>
      <c r="E54">
        <v>58</v>
      </c>
      <c r="F54">
        <v>58</v>
      </c>
      <c r="G54" t="s">
        <v>132</v>
      </c>
      <c r="H54" t="s">
        <v>132</v>
      </c>
      <c r="I54" t="s">
        <v>38</v>
      </c>
      <c r="J54" t="s">
        <v>8077</v>
      </c>
      <c r="K54" s="1">
        <v>46067</v>
      </c>
      <c r="L54" s="1" t="str">
        <f>IF(K54&gt;O54,"Valid","Invalid")</f>
        <v>Valid</v>
      </c>
      <c r="M54" s="1" t="b">
        <f>ISNUMBER(K54)</f>
        <v>1</v>
      </c>
      <c r="N54" s="1" t="b">
        <f>ISNUMBER(O54)</f>
        <v>1</v>
      </c>
      <c r="O54" s="1">
        <v>46041</v>
      </c>
      <c r="P54" t="s">
        <v>7781</v>
      </c>
      <c r="Q54" t="str">
        <f>SUBSTITUTE(SUBSTITUTE(SUBSTITUTE(P54," ",""),"-",""),"+","")</f>
        <v>02499477773</v>
      </c>
      <c r="R54" t="str">
        <f t="shared" si="0"/>
        <v>2499477773</v>
      </c>
      <c r="S54" t="str">
        <f>IF(LEN(R54),"Valid","Invalid")</f>
        <v>Valid</v>
      </c>
      <c r="T54" t="s">
        <v>7780</v>
      </c>
      <c r="V54" t="s">
        <v>26</v>
      </c>
      <c r="X54">
        <v>19192.18</v>
      </c>
      <c r="Y54" t="s">
        <v>123</v>
      </c>
      <c r="Z54">
        <v>420</v>
      </c>
      <c r="AA54">
        <f t="shared" si="1"/>
        <v>420</v>
      </c>
      <c r="AB54" t="s">
        <v>71</v>
      </c>
    </row>
    <row r="55" spans="1:28" x14ac:dyDescent="0.3">
      <c r="A55" t="s">
        <v>7779</v>
      </c>
      <c r="B55" t="s">
        <v>7778</v>
      </c>
      <c r="C55" t="s">
        <v>7778</v>
      </c>
      <c r="D55" t="s">
        <v>22</v>
      </c>
      <c r="E55">
        <v>57</v>
      </c>
      <c r="F55">
        <v>57</v>
      </c>
      <c r="G55" t="s">
        <v>80</v>
      </c>
      <c r="H55" t="s">
        <v>80</v>
      </c>
      <c r="I55" t="s">
        <v>30</v>
      </c>
      <c r="J55" t="s">
        <v>30</v>
      </c>
      <c r="K55" s="1">
        <v>46062</v>
      </c>
      <c r="L55" s="1" t="str">
        <f>IF(K55&gt;O55,"Valid","Invalid")</f>
        <v>Valid</v>
      </c>
      <c r="M55" s="1" t="b">
        <f>ISNUMBER(K55)</f>
        <v>1</v>
      </c>
      <c r="N55" s="1" t="b">
        <f>ISNUMBER(O55)</f>
        <v>1</v>
      </c>
      <c r="O55" s="1">
        <v>46055</v>
      </c>
      <c r="P55" t="s">
        <v>7777</v>
      </c>
      <c r="Q55" t="str">
        <f>SUBSTITUTE(SUBSTITUTE(SUBSTITUTE(P55," ",""),"-",""),"+","")</f>
        <v>9082482899</v>
      </c>
      <c r="R55" t="str">
        <f t="shared" si="0"/>
        <v>9082482899</v>
      </c>
      <c r="S55" t="str">
        <f>IF(LEN(R55),"Valid","Invalid")</f>
        <v>Valid</v>
      </c>
      <c r="T55" t="s">
        <v>7776</v>
      </c>
      <c r="V55" t="s">
        <v>26</v>
      </c>
      <c r="X55">
        <v>8529.02</v>
      </c>
      <c r="Y55" t="s">
        <v>64</v>
      </c>
      <c r="Z55">
        <v>170</v>
      </c>
      <c r="AA55">
        <f t="shared" si="1"/>
        <v>170</v>
      </c>
      <c r="AB55" t="s">
        <v>71</v>
      </c>
    </row>
    <row r="56" spans="1:28" x14ac:dyDescent="0.3">
      <c r="A56" t="s">
        <v>7775</v>
      </c>
      <c r="B56" t="s">
        <v>7774</v>
      </c>
      <c r="C56" t="s">
        <v>7774</v>
      </c>
      <c r="D56" t="s">
        <v>1</v>
      </c>
      <c r="E56">
        <v>50</v>
      </c>
      <c r="F56">
        <v>50</v>
      </c>
      <c r="G56" t="s">
        <v>39</v>
      </c>
      <c r="H56" t="s">
        <v>39</v>
      </c>
      <c r="I56" t="s">
        <v>38</v>
      </c>
      <c r="J56" t="s">
        <v>8077</v>
      </c>
      <c r="K56" s="1">
        <v>45978</v>
      </c>
      <c r="L56" s="1" t="str">
        <f>IF(K56&gt;O56,"Valid","Invalid")</f>
        <v>Valid</v>
      </c>
      <c r="M56" s="1" t="b">
        <f>ISNUMBER(K56)</f>
        <v>1</v>
      </c>
      <c r="N56" s="1" t="b">
        <f>ISNUMBER(O56)</f>
        <v>1</v>
      </c>
      <c r="O56" s="1">
        <v>45976</v>
      </c>
      <c r="P56" t="s">
        <v>7773</v>
      </c>
      <c r="Q56" t="str">
        <f>SUBSTITUTE(SUBSTITUTE(SUBSTITUTE(P56," ",""),"-",""),"+","")</f>
        <v>7712648794</v>
      </c>
      <c r="R56" t="str">
        <f t="shared" si="0"/>
        <v>7712648794</v>
      </c>
      <c r="S56" t="str">
        <f>IF(LEN(R56),"Valid","Invalid")</f>
        <v>Valid</v>
      </c>
      <c r="T56" t="s">
        <v>7772</v>
      </c>
      <c r="V56" t="s">
        <v>123</v>
      </c>
      <c r="X56">
        <v>10308.459999999999</v>
      </c>
      <c r="Y56" t="s">
        <v>123</v>
      </c>
      <c r="Z56">
        <v>312</v>
      </c>
      <c r="AA56">
        <f t="shared" si="1"/>
        <v>312</v>
      </c>
      <c r="AB56" t="s">
        <v>77</v>
      </c>
    </row>
    <row r="57" spans="1:28" x14ac:dyDescent="0.3">
      <c r="A57" t="s">
        <v>7771</v>
      </c>
      <c r="B57" t="s">
        <v>7770</v>
      </c>
      <c r="C57" t="s">
        <v>7770</v>
      </c>
      <c r="D57" t="s">
        <v>1</v>
      </c>
      <c r="E57">
        <v>54</v>
      </c>
      <c r="F57">
        <v>54</v>
      </c>
      <c r="G57" t="s">
        <v>54</v>
      </c>
      <c r="H57" t="s">
        <v>54</v>
      </c>
      <c r="I57" t="s">
        <v>46</v>
      </c>
      <c r="J57" t="s">
        <v>46</v>
      </c>
      <c r="K57" s="1">
        <v>46166</v>
      </c>
      <c r="L57" s="1" t="str">
        <f>IF(K57&gt;O57,"Valid","Invalid")</f>
        <v>Valid</v>
      </c>
      <c r="M57" s="1" t="b">
        <f>ISNUMBER(K57)</f>
        <v>1</v>
      </c>
      <c r="N57" s="1" t="b">
        <f>ISNUMBER(O57)</f>
        <v>1</v>
      </c>
      <c r="O57" s="1">
        <v>46139</v>
      </c>
      <c r="P57" t="s">
        <v>7769</v>
      </c>
      <c r="Q57" t="str">
        <f>SUBSTITUTE(SUBSTITUTE(SUBSTITUTE(P57," ",""),"-",""),"+","")</f>
        <v>05379375580</v>
      </c>
      <c r="R57" t="str">
        <f t="shared" si="0"/>
        <v>5379375580</v>
      </c>
      <c r="S57" t="str">
        <f>IF(LEN(R57),"Valid","Invalid")</f>
        <v>Valid</v>
      </c>
      <c r="T57" t="s">
        <v>7768</v>
      </c>
      <c r="V57" t="s">
        <v>123</v>
      </c>
      <c r="X57">
        <v>12029.1</v>
      </c>
      <c r="Y57" t="s">
        <v>17</v>
      </c>
      <c r="Z57">
        <v>252</v>
      </c>
      <c r="AA57">
        <f t="shared" si="1"/>
        <v>252</v>
      </c>
      <c r="AB57" t="s">
        <v>50</v>
      </c>
    </row>
    <row r="58" spans="1:28" x14ac:dyDescent="0.3">
      <c r="A58" t="s">
        <v>7767</v>
      </c>
      <c r="B58" t="s">
        <v>7766</v>
      </c>
      <c r="C58" t="s">
        <v>7766</v>
      </c>
      <c r="D58" t="s">
        <v>123</v>
      </c>
      <c r="E58">
        <v>54</v>
      </c>
      <c r="F58">
        <v>54</v>
      </c>
      <c r="G58" t="s">
        <v>21</v>
      </c>
      <c r="H58" t="s">
        <v>21</v>
      </c>
      <c r="I58" t="s">
        <v>85</v>
      </c>
      <c r="J58" t="s">
        <v>85</v>
      </c>
      <c r="K58" s="1">
        <v>45987</v>
      </c>
      <c r="L58" s="1" t="str">
        <f>IF(K58&gt;O58,"Valid","Invalid")</f>
        <v>Valid</v>
      </c>
      <c r="M58" s="1" t="b">
        <f>ISNUMBER(K58)</f>
        <v>1</v>
      </c>
      <c r="N58" s="1" t="b">
        <f>ISNUMBER(O58)</f>
        <v>1</v>
      </c>
      <c r="O58" s="1">
        <v>45980</v>
      </c>
      <c r="P58" t="s">
        <v>7765</v>
      </c>
      <c r="Q58" t="str">
        <f>SUBSTITUTE(SUBSTITUTE(SUBSTITUTE(P58," ",""),"-",""),"+","")</f>
        <v>5072567710</v>
      </c>
      <c r="R58" t="str">
        <f t="shared" si="0"/>
        <v>5072567710</v>
      </c>
      <c r="S58" t="str">
        <f>IF(LEN(R58),"Valid","Invalid")</f>
        <v>Valid</v>
      </c>
      <c r="T58" t="s">
        <v>7764</v>
      </c>
      <c r="V58" t="s">
        <v>26</v>
      </c>
      <c r="X58">
        <v>11008.73</v>
      </c>
      <c r="Y58" t="s">
        <v>27</v>
      </c>
      <c r="Z58">
        <v>299</v>
      </c>
      <c r="AA58">
        <f t="shared" si="1"/>
        <v>299</v>
      </c>
      <c r="AB58" t="s">
        <v>43</v>
      </c>
    </row>
    <row r="59" spans="1:28" x14ac:dyDescent="0.3">
      <c r="A59" t="s">
        <v>7763</v>
      </c>
      <c r="B59" t="s">
        <v>7762</v>
      </c>
      <c r="C59" t="s">
        <v>7762</v>
      </c>
      <c r="D59" t="s">
        <v>123</v>
      </c>
      <c r="E59">
        <v>22</v>
      </c>
      <c r="F59">
        <v>22</v>
      </c>
      <c r="G59" t="s">
        <v>68</v>
      </c>
      <c r="H59" t="s">
        <v>68</v>
      </c>
      <c r="I59" t="s">
        <v>53</v>
      </c>
      <c r="J59" t="s">
        <v>20</v>
      </c>
      <c r="K59" s="1">
        <v>46118</v>
      </c>
      <c r="L59" s="1" t="str">
        <f>IF(K59&gt;O59,"Valid","Invalid")</f>
        <v>Valid</v>
      </c>
      <c r="M59" s="1" t="b">
        <f>ISNUMBER(K59)</f>
        <v>1</v>
      </c>
      <c r="N59" s="1" t="b">
        <f>ISNUMBER(O59)</f>
        <v>1</v>
      </c>
      <c r="O59" s="1">
        <v>46099</v>
      </c>
      <c r="P59" t="s">
        <v>7761</v>
      </c>
      <c r="Q59" t="str">
        <f>SUBSTITUTE(SUBSTITUTE(SUBSTITUTE(P59," ",""),"-",""),"+","")</f>
        <v>910655999911</v>
      </c>
      <c r="R59" t="str">
        <f t="shared" si="0"/>
        <v>0655999911</v>
      </c>
      <c r="S59" t="str">
        <f>IF(LEN(R59),"Valid","Invalid")</f>
        <v>Valid</v>
      </c>
      <c r="T59" t="s">
        <v>7760</v>
      </c>
      <c r="V59" t="s">
        <v>27</v>
      </c>
      <c r="X59">
        <v>22691.84</v>
      </c>
      <c r="Y59" t="s">
        <v>27</v>
      </c>
      <c r="Z59">
        <v>142</v>
      </c>
      <c r="AA59">
        <f t="shared" si="1"/>
        <v>142</v>
      </c>
      <c r="AB59" t="s">
        <v>25</v>
      </c>
    </row>
    <row r="60" spans="1:28" x14ac:dyDescent="0.3">
      <c r="A60" t="s">
        <v>7759</v>
      </c>
      <c r="B60" t="s">
        <v>7758</v>
      </c>
      <c r="C60" t="s">
        <v>7758</v>
      </c>
      <c r="D60" t="s">
        <v>123</v>
      </c>
      <c r="E60">
        <v>18</v>
      </c>
      <c r="F60">
        <v>18</v>
      </c>
      <c r="G60" t="s">
        <v>68</v>
      </c>
      <c r="H60" t="s">
        <v>68</v>
      </c>
      <c r="I60" t="s">
        <v>53</v>
      </c>
      <c r="J60" t="s">
        <v>20</v>
      </c>
      <c r="K60" s="1">
        <v>46018</v>
      </c>
      <c r="L60" s="1" t="str">
        <f>IF(K60&gt;O60,"Valid","Invalid")</f>
        <v>Valid</v>
      </c>
      <c r="M60" s="1" t="b">
        <f>ISNUMBER(K60)</f>
        <v>1</v>
      </c>
      <c r="N60" s="1" t="b">
        <f>ISNUMBER(O60)</f>
        <v>1</v>
      </c>
      <c r="O60" s="1">
        <v>46017</v>
      </c>
      <c r="P60" t="s">
        <v>7757</v>
      </c>
      <c r="Q60" t="str">
        <f>SUBSTITUTE(SUBSTITUTE(SUBSTITUTE(P60," ",""),"-",""),"+","")</f>
        <v>917180869910</v>
      </c>
      <c r="R60" t="str">
        <f t="shared" si="0"/>
        <v>7180869910</v>
      </c>
      <c r="S60" t="str">
        <f>IF(LEN(R60),"Valid","Invalid")</f>
        <v>Valid</v>
      </c>
      <c r="T60" t="s">
        <v>7756</v>
      </c>
      <c r="V60" t="s">
        <v>26</v>
      </c>
      <c r="X60">
        <v>9601.7800000000007</v>
      </c>
      <c r="Y60" t="s">
        <v>57</v>
      </c>
      <c r="Z60">
        <v>332</v>
      </c>
      <c r="AA60">
        <f t="shared" si="1"/>
        <v>332</v>
      </c>
      <c r="AB60" t="s">
        <v>43</v>
      </c>
    </row>
    <row r="61" spans="1:28" x14ac:dyDescent="0.3">
      <c r="A61" t="s">
        <v>7755</v>
      </c>
      <c r="B61" t="s">
        <v>7754</v>
      </c>
      <c r="C61" t="s">
        <v>7754</v>
      </c>
      <c r="D61" t="s">
        <v>60</v>
      </c>
      <c r="E61">
        <v>49</v>
      </c>
      <c r="F61">
        <v>49</v>
      </c>
      <c r="G61" t="s">
        <v>132</v>
      </c>
      <c r="H61" t="s">
        <v>132</v>
      </c>
      <c r="I61" t="s">
        <v>90</v>
      </c>
      <c r="J61" t="s">
        <v>67</v>
      </c>
      <c r="K61" s="1">
        <v>46151</v>
      </c>
      <c r="L61" s="1" t="str">
        <f>IF(K61&gt;O61,"Valid","Invalid")</f>
        <v>Valid</v>
      </c>
      <c r="M61" s="1" t="b">
        <f>ISNUMBER(K61)</f>
        <v>1</v>
      </c>
      <c r="N61" s="1" t="b">
        <f>ISNUMBER(O61)</f>
        <v>1</v>
      </c>
      <c r="O61" s="1">
        <v>46143</v>
      </c>
      <c r="P61" t="s">
        <v>7753</v>
      </c>
      <c r="Q61" t="str">
        <f>SUBSTITUTE(SUBSTITUTE(SUBSTITUTE(P61," ",""),"-",""),"+","")</f>
        <v>919465536585</v>
      </c>
      <c r="R61" t="str">
        <f t="shared" si="0"/>
        <v>9465536585</v>
      </c>
      <c r="S61" t="str">
        <f>IF(LEN(R61),"Valid","Invalid")</f>
        <v>Valid</v>
      </c>
      <c r="T61" t="s">
        <v>7752</v>
      </c>
      <c r="V61" t="s">
        <v>64</v>
      </c>
      <c r="X61">
        <v>11863.61</v>
      </c>
      <c r="Y61" t="s">
        <v>27</v>
      </c>
      <c r="Z61">
        <v>279</v>
      </c>
      <c r="AA61">
        <f t="shared" si="1"/>
        <v>279</v>
      </c>
      <c r="AB61" t="s">
        <v>71</v>
      </c>
    </row>
    <row r="62" spans="1:28" x14ac:dyDescent="0.3">
      <c r="A62" t="s">
        <v>7751</v>
      </c>
      <c r="B62" t="s">
        <v>7750</v>
      </c>
      <c r="C62" t="s">
        <v>7750</v>
      </c>
      <c r="D62" t="s">
        <v>74</v>
      </c>
      <c r="E62">
        <v>84</v>
      </c>
      <c r="F62">
        <v>84</v>
      </c>
      <c r="G62" t="s">
        <v>47</v>
      </c>
      <c r="H62" t="s">
        <v>47</v>
      </c>
      <c r="I62" t="s">
        <v>46</v>
      </c>
      <c r="J62" t="s">
        <v>46</v>
      </c>
      <c r="K62" s="1">
        <v>46055</v>
      </c>
      <c r="L62" s="1" t="str">
        <f>IF(K62&gt;O62,"Valid","Invalid")</f>
        <v>Valid</v>
      </c>
      <c r="M62" s="1" t="b">
        <f>ISNUMBER(K62)</f>
        <v>1</v>
      </c>
      <c r="N62" s="1" t="b">
        <f>ISNUMBER(O62)</f>
        <v>1</v>
      </c>
      <c r="O62" s="1">
        <v>46025</v>
      </c>
      <c r="P62" t="s">
        <v>7749</v>
      </c>
      <c r="Q62" t="str">
        <f>SUBSTITUTE(SUBSTITUTE(SUBSTITUTE(P62," ",""),"-",""),"+","")</f>
        <v>916312009224</v>
      </c>
      <c r="R62" t="str">
        <f t="shared" si="0"/>
        <v>6312009224</v>
      </c>
      <c r="S62" t="str">
        <f>IF(LEN(R62),"Valid","Invalid")</f>
        <v>Valid</v>
      </c>
      <c r="T62" t="s">
        <v>7748</v>
      </c>
      <c r="V62" t="s">
        <v>17</v>
      </c>
      <c r="X62">
        <v>5144.1400000000003</v>
      </c>
      <c r="Y62" t="s">
        <v>27</v>
      </c>
      <c r="Z62">
        <v>418</v>
      </c>
      <c r="AA62">
        <f t="shared" si="1"/>
        <v>418</v>
      </c>
      <c r="AB62" t="s">
        <v>71</v>
      </c>
    </row>
    <row r="63" spans="1:28" x14ac:dyDescent="0.3">
      <c r="A63" t="s">
        <v>7747</v>
      </c>
      <c r="B63" t="s">
        <v>7746</v>
      </c>
      <c r="C63" t="s">
        <v>7746</v>
      </c>
      <c r="D63" t="s">
        <v>1</v>
      </c>
      <c r="E63">
        <v>17</v>
      </c>
      <c r="F63">
        <v>17</v>
      </c>
      <c r="G63" t="s">
        <v>68</v>
      </c>
      <c r="H63" t="s">
        <v>68</v>
      </c>
      <c r="I63" t="s">
        <v>20</v>
      </c>
      <c r="J63" t="s">
        <v>20</v>
      </c>
      <c r="K63" s="1">
        <v>46109</v>
      </c>
      <c r="L63" s="1" t="str">
        <f>IF(K63&gt;O63,"Valid","Invalid")</f>
        <v>Valid</v>
      </c>
      <c r="M63" s="1" t="b">
        <f>ISNUMBER(K63)</f>
        <v>1</v>
      </c>
      <c r="N63" s="1" t="b">
        <f>ISNUMBER(O63)</f>
        <v>1</v>
      </c>
      <c r="O63" s="1">
        <v>46091</v>
      </c>
      <c r="P63" t="s">
        <v>7745</v>
      </c>
      <c r="Q63" t="str">
        <f>SUBSTITUTE(SUBSTITUTE(SUBSTITUTE(P63," ",""),"-",""),"+","")</f>
        <v>916536692499</v>
      </c>
      <c r="R63" t="str">
        <f t="shared" si="0"/>
        <v>6536692499</v>
      </c>
      <c r="S63" t="str">
        <f>IF(LEN(R63),"Valid","Invalid")</f>
        <v>Valid</v>
      </c>
      <c r="T63" t="s">
        <v>7744</v>
      </c>
      <c r="V63" t="s">
        <v>17</v>
      </c>
      <c r="X63">
        <v>11732.84</v>
      </c>
      <c r="Y63" t="s">
        <v>63</v>
      </c>
      <c r="Z63">
        <v>492</v>
      </c>
      <c r="AA63">
        <f t="shared" si="1"/>
        <v>492</v>
      </c>
      <c r="AB63" t="s">
        <v>43</v>
      </c>
    </row>
    <row r="64" spans="1:28" x14ac:dyDescent="0.3">
      <c r="A64" t="s">
        <v>7743</v>
      </c>
      <c r="B64" t="s">
        <v>7742</v>
      </c>
      <c r="C64" t="s">
        <v>7742</v>
      </c>
      <c r="D64" t="s">
        <v>0</v>
      </c>
      <c r="E64">
        <v>78</v>
      </c>
      <c r="F64">
        <v>78</v>
      </c>
      <c r="G64" t="s">
        <v>80</v>
      </c>
      <c r="H64" t="s">
        <v>80</v>
      </c>
      <c r="I64" t="s">
        <v>53</v>
      </c>
      <c r="J64" t="s">
        <v>20</v>
      </c>
      <c r="K64" s="1">
        <v>46069</v>
      </c>
      <c r="L64" s="1" t="str">
        <f>IF(K64&gt;O64,"Valid","Invalid")</f>
        <v>Valid</v>
      </c>
      <c r="M64" s="1" t="b">
        <f>ISNUMBER(K64)</f>
        <v>1</v>
      </c>
      <c r="N64" s="1" t="b">
        <f>ISNUMBER(O64)</f>
        <v>1</v>
      </c>
      <c r="O64" s="1">
        <v>46039</v>
      </c>
      <c r="P64" t="s">
        <v>7741</v>
      </c>
      <c r="Q64" t="str">
        <f>SUBSTITUTE(SUBSTITUTE(SUBSTITUTE(P64," ",""),"-",""),"+","")</f>
        <v>08200453597</v>
      </c>
      <c r="R64" t="str">
        <f t="shared" si="0"/>
        <v>8200453597</v>
      </c>
      <c r="S64" t="str">
        <f>IF(LEN(R64),"Valid","Invalid")</f>
        <v>Valid</v>
      </c>
      <c r="T64" t="s">
        <v>7740</v>
      </c>
      <c r="V64" t="s">
        <v>26</v>
      </c>
      <c r="X64">
        <v>2880.85</v>
      </c>
      <c r="Y64" t="s">
        <v>27</v>
      </c>
      <c r="Z64">
        <v>259</v>
      </c>
      <c r="AA64">
        <f t="shared" si="1"/>
        <v>259</v>
      </c>
      <c r="AB64" t="s">
        <v>34</v>
      </c>
    </row>
    <row r="65" spans="1:28" x14ac:dyDescent="0.3">
      <c r="A65" t="s">
        <v>7739</v>
      </c>
      <c r="B65" t="s">
        <v>7738</v>
      </c>
      <c r="C65" t="s">
        <v>7738</v>
      </c>
      <c r="D65" t="s">
        <v>123</v>
      </c>
      <c r="E65">
        <v>51</v>
      </c>
      <c r="F65">
        <v>51</v>
      </c>
      <c r="G65" t="s">
        <v>21</v>
      </c>
      <c r="H65" t="s">
        <v>21</v>
      </c>
      <c r="I65" t="s">
        <v>20</v>
      </c>
      <c r="J65" t="s">
        <v>20</v>
      </c>
      <c r="K65" s="1">
        <v>46064</v>
      </c>
      <c r="L65" s="1" t="str">
        <f>IF(K65&gt;O65,"Valid","Invalid")</f>
        <v>Valid</v>
      </c>
      <c r="M65" s="1" t="b">
        <f>ISNUMBER(K65)</f>
        <v>1</v>
      </c>
      <c r="N65" s="1" t="b">
        <f>ISNUMBER(O65)</f>
        <v>1</v>
      </c>
      <c r="O65" s="1">
        <v>46046</v>
      </c>
      <c r="P65" t="s">
        <v>7737</v>
      </c>
      <c r="Q65" t="str">
        <f>SUBSTITUTE(SUBSTITUTE(SUBSTITUTE(P65," ",""),"-",""),"+","")</f>
        <v>06342963068</v>
      </c>
      <c r="R65" t="str">
        <f t="shared" si="0"/>
        <v>6342963068</v>
      </c>
      <c r="S65" t="str">
        <f>IF(LEN(R65),"Valid","Invalid")</f>
        <v>Valid</v>
      </c>
      <c r="T65" t="s">
        <v>7736</v>
      </c>
      <c r="V65" t="s">
        <v>17</v>
      </c>
      <c r="X65">
        <v>2727.15</v>
      </c>
      <c r="Y65" t="s">
        <v>63</v>
      </c>
      <c r="Z65">
        <v>535</v>
      </c>
      <c r="AA65">
        <f t="shared" si="1"/>
        <v>535</v>
      </c>
      <c r="AB65" t="s">
        <v>25</v>
      </c>
    </row>
    <row r="66" spans="1:28" x14ac:dyDescent="0.3">
      <c r="A66" t="s">
        <v>7735</v>
      </c>
      <c r="B66" t="s">
        <v>7734</v>
      </c>
      <c r="C66" t="s">
        <v>7734</v>
      </c>
      <c r="D66" t="s">
        <v>74</v>
      </c>
      <c r="E66">
        <v>73</v>
      </c>
      <c r="F66">
        <v>73</v>
      </c>
      <c r="G66" t="s">
        <v>47</v>
      </c>
      <c r="H66" t="s">
        <v>47</v>
      </c>
      <c r="I66" t="s">
        <v>67</v>
      </c>
      <c r="J66" t="s">
        <v>67</v>
      </c>
      <c r="K66" s="1">
        <v>46091</v>
      </c>
      <c r="L66" s="1" t="str">
        <f>IF(K66&gt;O66,"Valid","Invalid")</f>
        <v>Valid</v>
      </c>
      <c r="M66" s="1" t="b">
        <f>ISNUMBER(K66)</f>
        <v>1</v>
      </c>
      <c r="N66" s="1" t="b">
        <f>ISNUMBER(O66)</f>
        <v>1</v>
      </c>
      <c r="O66" s="1">
        <v>46074</v>
      </c>
      <c r="P66" t="s">
        <v>7733</v>
      </c>
      <c r="Q66" t="str">
        <f>SUBSTITUTE(SUBSTITUTE(SUBSTITUTE(P66," ",""),"-",""),"+","")</f>
        <v>02132164529</v>
      </c>
      <c r="R66" t="str">
        <f t="shared" si="0"/>
        <v>2132164529</v>
      </c>
      <c r="S66" t="str">
        <f>IF(LEN(R66),"Valid","Invalid")</f>
        <v>Valid</v>
      </c>
      <c r="T66" t="s">
        <v>7732</v>
      </c>
      <c r="V66" t="s">
        <v>123</v>
      </c>
      <c r="X66">
        <v>16605.73</v>
      </c>
      <c r="Y66" t="s">
        <v>64</v>
      </c>
      <c r="Z66">
        <v>359</v>
      </c>
      <c r="AA66">
        <f t="shared" si="1"/>
        <v>359</v>
      </c>
      <c r="AB66" t="s">
        <v>25</v>
      </c>
    </row>
    <row r="67" spans="1:28" x14ac:dyDescent="0.3">
      <c r="A67" t="s">
        <v>7731</v>
      </c>
      <c r="B67" t="s">
        <v>7730</v>
      </c>
      <c r="C67" t="s">
        <v>7730</v>
      </c>
      <c r="D67" t="s">
        <v>60</v>
      </c>
      <c r="E67">
        <v>2</v>
      </c>
      <c r="F67">
        <v>2</v>
      </c>
      <c r="G67" t="s">
        <v>54</v>
      </c>
      <c r="H67" t="s">
        <v>54</v>
      </c>
      <c r="I67" t="s">
        <v>85</v>
      </c>
      <c r="J67" t="s">
        <v>85</v>
      </c>
      <c r="K67" s="1">
        <v>46048</v>
      </c>
      <c r="L67" s="1" t="str">
        <f>IF(K67&gt;O67,"Valid","Invalid")</f>
        <v>Valid</v>
      </c>
      <c r="M67" s="1" t="b">
        <f>ISNUMBER(K67)</f>
        <v>1</v>
      </c>
      <c r="N67" s="1" t="b">
        <f>ISNUMBER(O67)</f>
        <v>1</v>
      </c>
      <c r="O67" s="1">
        <v>46045</v>
      </c>
      <c r="P67" t="s">
        <v>7729</v>
      </c>
      <c r="Q67" t="str">
        <f>SUBSTITUTE(SUBSTITUTE(SUBSTITUTE(P67," ",""),"-",""),"+","")</f>
        <v>911118795327</v>
      </c>
      <c r="R67" t="str">
        <f t="shared" si="0"/>
        <v>1118795327</v>
      </c>
      <c r="S67" t="str">
        <f>IF(LEN(R67),"Valid","Invalid")</f>
        <v>Valid</v>
      </c>
      <c r="T67" t="s">
        <v>7728</v>
      </c>
      <c r="V67" t="s">
        <v>123</v>
      </c>
      <c r="X67">
        <v>24027.53</v>
      </c>
      <c r="Y67" t="s">
        <v>123</v>
      </c>
      <c r="Z67">
        <v>462</v>
      </c>
      <c r="AA67">
        <f t="shared" si="1"/>
        <v>462</v>
      </c>
      <c r="AB67" t="s">
        <v>71</v>
      </c>
    </row>
    <row r="68" spans="1:28" x14ac:dyDescent="0.3">
      <c r="A68" t="s">
        <v>7727</v>
      </c>
      <c r="B68" t="s">
        <v>7726</v>
      </c>
      <c r="C68" t="s">
        <v>7726</v>
      </c>
      <c r="D68" t="s">
        <v>123</v>
      </c>
      <c r="E68">
        <v>23</v>
      </c>
      <c r="F68">
        <v>23</v>
      </c>
      <c r="G68" t="s">
        <v>132</v>
      </c>
      <c r="H68" t="s">
        <v>132</v>
      </c>
      <c r="I68" t="s">
        <v>85</v>
      </c>
      <c r="J68" t="s">
        <v>85</v>
      </c>
      <c r="K68" s="1">
        <v>46026</v>
      </c>
      <c r="L68" s="1" t="str">
        <f>IF(K68&gt;O68,"Valid","Invalid")</f>
        <v>Valid</v>
      </c>
      <c r="M68" s="1" t="b">
        <f>ISNUMBER(K68)</f>
        <v>1</v>
      </c>
      <c r="N68" s="1" t="b">
        <f>ISNUMBER(O68)</f>
        <v>1</v>
      </c>
      <c r="O68" s="1">
        <v>46012</v>
      </c>
      <c r="P68" t="s">
        <v>7725</v>
      </c>
      <c r="Q68" t="str">
        <f>SUBSTITUTE(SUBSTITUTE(SUBSTITUTE(P68," ",""),"-",""),"+","")</f>
        <v>9450892513</v>
      </c>
      <c r="R68" t="str">
        <f t="shared" si="0"/>
        <v>9450892513</v>
      </c>
      <c r="S68" t="str">
        <f>IF(LEN(R68),"Valid","Invalid")</f>
        <v>Valid</v>
      </c>
      <c r="T68" t="s">
        <v>7724</v>
      </c>
      <c r="V68" t="s">
        <v>123</v>
      </c>
      <c r="X68">
        <v>20678.22</v>
      </c>
      <c r="Y68" t="s">
        <v>63</v>
      </c>
      <c r="Z68">
        <v>265</v>
      </c>
      <c r="AA68">
        <f t="shared" si="1"/>
        <v>265</v>
      </c>
      <c r="AB68" t="s">
        <v>50</v>
      </c>
    </row>
    <row r="69" spans="1:28" x14ac:dyDescent="0.3">
      <c r="A69" t="s">
        <v>7723</v>
      </c>
      <c r="B69" t="s">
        <v>7722</v>
      </c>
      <c r="C69" t="s">
        <v>7722</v>
      </c>
      <c r="D69" t="s">
        <v>1</v>
      </c>
      <c r="E69">
        <v>12</v>
      </c>
      <c r="F69">
        <v>12</v>
      </c>
      <c r="G69" t="s">
        <v>132</v>
      </c>
      <c r="H69" t="s">
        <v>132</v>
      </c>
      <c r="I69" t="s">
        <v>85</v>
      </c>
      <c r="J69" t="s">
        <v>85</v>
      </c>
      <c r="K69" s="1">
        <v>46038</v>
      </c>
      <c r="L69" s="1" t="str">
        <f>IF(K69&gt;O69,"Valid","Invalid")</f>
        <v>Valid</v>
      </c>
      <c r="M69" s="1" t="b">
        <f>ISNUMBER(K69)</f>
        <v>1</v>
      </c>
      <c r="N69" s="1" t="b">
        <f>ISNUMBER(O69)</f>
        <v>1</v>
      </c>
      <c r="O69" s="1">
        <v>46031</v>
      </c>
      <c r="P69" t="s">
        <v>7721</v>
      </c>
      <c r="Q69" t="str">
        <f>SUBSTITUTE(SUBSTITUTE(SUBSTITUTE(P69," ",""),"-",""),"+","")</f>
        <v>9848037126</v>
      </c>
      <c r="R69" t="str">
        <f t="shared" ref="R69:R132" si="2">RIGHT(Q69,10)</f>
        <v>9848037126</v>
      </c>
      <c r="S69" t="str">
        <f>IF(LEN(R69),"Valid","Invalid")</f>
        <v>Valid</v>
      </c>
      <c r="T69" t="s">
        <v>7720</v>
      </c>
      <c r="V69" t="s">
        <v>123</v>
      </c>
      <c r="X69">
        <v>14332.27</v>
      </c>
      <c r="Y69" t="s">
        <v>123</v>
      </c>
      <c r="Z69">
        <v>272</v>
      </c>
      <c r="AA69">
        <f t="shared" ref="AA69:AA132" si="3">IF(Z69="Room-x",0,Z69)</f>
        <v>272</v>
      </c>
      <c r="AB69" t="s">
        <v>77</v>
      </c>
    </row>
    <row r="70" spans="1:28" x14ac:dyDescent="0.3">
      <c r="A70" t="s">
        <v>7719</v>
      </c>
      <c r="B70" t="s">
        <v>7718</v>
      </c>
      <c r="C70" t="s">
        <v>7718</v>
      </c>
      <c r="E70">
        <v>42</v>
      </c>
      <c r="F70">
        <v>42</v>
      </c>
      <c r="G70" t="s">
        <v>39</v>
      </c>
      <c r="H70" t="s">
        <v>39</v>
      </c>
      <c r="I70" t="s">
        <v>85</v>
      </c>
      <c r="J70" t="s">
        <v>85</v>
      </c>
      <c r="K70" s="1">
        <v>46098</v>
      </c>
      <c r="L70" s="1" t="str">
        <f>IF(K70&gt;O70,"Valid","Invalid")</f>
        <v>Valid</v>
      </c>
      <c r="M70" s="1" t="b">
        <f>ISNUMBER(K70)</f>
        <v>1</v>
      </c>
      <c r="N70" s="1" t="b">
        <f>ISNUMBER(O70)</f>
        <v>1</v>
      </c>
      <c r="O70" s="1">
        <v>46092</v>
      </c>
      <c r="P70" t="s">
        <v>7717</v>
      </c>
      <c r="Q70" t="str">
        <f>SUBSTITUTE(SUBSTITUTE(SUBSTITUTE(P70," ",""),"-",""),"+","")</f>
        <v>4799086938</v>
      </c>
      <c r="R70" t="str">
        <f t="shared" si="2"/>
        <v>4799086938</v>
      </c>
      <c r="S70" t="str">
        <f>IF(LEN(R70),"Valid","Invalid")</f>
        <v>Valid</v>
      </c>
      <c r="T70" t="s">
        <v>7716</v>
      </c>
      <c r="V70" t="s">
        <v>57</v>
      </c>
      <c r="X70">
        <v>19986.240000000002</v>
      </c>
      <c r="Y70" t="s">
        <v>17</v>
      </c>
      <c r="Z70">
        <v>243</v>
      </c>
      <c r="AA70">
        <f t="shared" si="3"/>
        <v>243</v>
      </c>
      <c r="AB70" t="s">
        <v>34</v>
      </c>
    </row>
    <row r="71" spans="1:28" x14ac:dyDescent="0.3">
      <c r="A71" t="s">
        <v>7715</v>
      </c>
      <c r="B71" t="s">
        <v>7714</v>
      </c>
      <c r="C71" t="s">
        <v>7714</v>
      </c>
      <c r="D71" t="s">
        <v>22</v>
      </c>
      <c r="E71">
        <v>72</v>
      </c>
      <c r="F71">
        <v>72</v>
      </c>
      <c r="G71" t="s">
        <v>47</v>
      </c>
      <c r="H71" t="s">
        <v>47</v>
      </c>
      <c r="I71" t="s">
        <v>38</v>
      </c>
      <c r="J71" t="s">
        <v>8077</v>
      </c>
      <c r="K71" s="1">
        <v>46049</v>
      </c>
      <c r="L71" s="1" t="str">
        <f>IF(K71&gt;O71,"Valid","Invalid")</f>
        <v>Valid</v>
      </c>
      <c r="M71" s="1" t="b">
        <f>ISNUMBER(K71)</f>
        <v>1</v>
      </c>
      <c r="N71" s="1" t="b">
        <f>ISNUMBER(O71)</f>
        <v>1</v>
      </c>
      <c r="O71" s="1">
        <v>46047</v>
      </c>
      <c r="P71" t="s">
        <v>7713</v>
      </c>
      <c r="Q71" t="str">
        <f>SUBSTITUTE(SUBSTITUTE(SUBSTITUTE(P71," ",""),"-",""),"+","")</f>
        <v>5243164417</v>
      </c>
      <c r="R71" t="str">
        <f t="shared" si="2"/>
        <v>5243164417</v>
      </c>
      <c r="S71" t="str">
        <f>IF(LEN(R71),"Valid","Invalid")</f>
        <v>Valid</v>
      </c>
      <c r="T71" t="s">
        <v>7712</v>
      </c>
      <c r="V71" t="s">
        <v>17</v>
      </c>
      <c r="X71">
        <v>18057.849999999999</v>
      </c>
      <c r="Y71" t="s">
        <v>123</v>
      </c>
      <c r="Z71">
        <v>384</v>
      </c>
      <c r="AA71">
        <f t="shared" si="3"/>
        <v>384</v>
      </c>
      <c r="AB71" t="s">
        <v>50</v>
      </c>
    </row>
    <row r="72" spans="1:28" x14ac:dyDescent="0.3">
      <c r="A72" t="s">
        <v>7711</v>
      </c>
      <c r="B72" t="s">
        <v>7710</v>
      </c>
      <c r="C72" t="s">
        <v>7710</v>
      </c>
      <c r="D72" t="s">
        <v>1</v>
      </c>
      <c r="E72">
        <v>89</v>
      </c>
      <c r="F72">
        <v>89</v>
      </c>
      <c r="G72" t="s">
        <v>68</v>
      </c>
      <c r="H72" t="s">
        <v>68</v>
      </c>
      <c r="I72" t="s">
        <v>85</v>
      </c>
      <c r="J72" t="s">
        <v>85</v>
      </c>
      <c r="K72" s="1">
        <v>46064</v>
      </c>
      <c r="L72" s="1" t="str">
        <f>IF(K72&gt;O72,"Valid","Invalid")</f>
        <v>Valid</v>
      </c>
      <c r="M72" s="1" t="b">
        <f>ISNUMBER(K72)</f>
        <v>1</v>
      </c>
      <c r="N72" s="1" t="b">
        <f>ISNUMBER(O72)</f>
        <v>1</v>
      </c>
      <c r="O72" s="1">
        <v>46050</v>
      </c>
      <c r="P72" t="s">
        <v>7709</v>
      </c>
      <c r="Q72" t="str">
        <f>SUBSTITUTE(SUBSTITUTE(SUBSTITUTE(P72," ",""),"-",""),"+","")</f>
        <v>01087342136</v>
      </c>
      <c r="R72" t="str">
        <f t="shared" si="2"/>
        <v>1087342136</v>
      </c>
      <c r="S72" t="str">
        <f>IF(LEN(R72),"Valid","Invalid")</f>
        <v>Valid</v>
      </c>
      <c r="T72" t="s">
        <v>7708</v>
      </c>
      <c r="V72" t="s">
        <v>27</v>
      </c>
      <c r="X72">
        <v>2507.7199999999998</v>
      </c>
      <c r="Y72" t="s">
        <v>57</v>
      </c>
      <c r="Z72">
        <v>307</v>
      </c>
      <c r="AA72">
        <f t="shared" si="3"/>
        <v>307</v>
      </c>
      <c r="AB72" t="s">
        <v>25</v>
      </c>
    </row>
    <row r="73" spans="1:28" x14ac:dyDescent="0.3">
      <c r="A73" t="s">
        <v>7707</v>
      </c>
      <c r="B73" t="s">
        <v>7706</v>
      </c>
      <c r="C73" t="s">
        <v>7706</v>
      </c>
      <c r="D73" t="s">
        <v>1</v>
      </c>
      <c r="E73">
        <v>40</v>
      </c>
      <c r="F73">
        <v>40</v>
      </c>
      <c r="G73" t="s">
        <v>31</v>
      </c>
      <c r="H73" t="s">
        <v>31</v>
      </c>
      <c r="I73" t="s">
        <v>85</v>
      </c>
      <c r="J73" t="s">
        <v>85</v>
      </c>
      <c r="K73" s="1">
        <v>46016</v>
      </c>
      <c r="L73" s="1" t="str">
        <f>IF(K73&gt;O73,"Valid","Invalid")</f>
        <v>Valid</v>
      </c>
      <c r="M73" s="1" t="b">
        <f>ISNUMBER(K73)</f>
        <v>1</v>
      </c>
      <c r="N73" s="1" t="b">
        <f>ISNUMBER(O73)</f>
        <v>1</v>
      </c>
      <c r="O73" s="1">
        <v>45999</v>
      </c>
      <c r="P73" t="s">
        <v>7705</v>
      </c>
      <c r="Q73" t="str">
        <f>SUBSTITUTE(SUBSTITUTE(SUBSTITUTE(P73," ",""),"-",""),"+","")</f>
        <v>0392262536</v>
      </c>
      <c r="R73" t="str">
        <f t="shared" si="2"/>
        <v>0392262536</v>
      </c>
      <c r="S73" t="str">
        <f>IF(LEN(R73),"Valid","Invalid")</f>
        <v>Valid</v>
      </c>
      <c r="T73" t="s">
        <v>7704</v>
      </c>
      <c r="V73" t="s">
        <v>57</v>
      </c>
      <c r="X73">
        <v>10752.49</v>
      </c>
      <c r="Y73" t="s">
        <v>17</v>
      </c>
      <c r="Z73">
        <v>280</v>
      </c>
      <c r="AA73">
        <f t="shared" si="3"/>
        <v>280</v>
      </c>
      <c r="AB73" t="s">
        <v>25</v>
      </c>
    </row>
    <row r="74" spans="1:28" x14ac:dyDescent="0.3">
      <c r="A74" t="s">
        <v>7703</v>
      </c>
      <c r="B74" t="s">
        <v>7702</v>
      </c>
      <c r="C74" t="s">
        <v>7702</v>
      </c>
      <c r="E74">
        <v>35</v>
      </c>
      <c r="F74">
        <v>35</v>
      </c>
      <c r="G74" t="s">
        <v>132</v>
      </c>
      <c r="H74" t="s">
        <v>132</v>
      </c>
      <c r="I74" t="s">
        <v>30</v>
      </c>
      <c r="J74" t="s">
        <v>30</v>
      </c>
      <c r="K74" s="1">
        <v>46049</v>
      </c>
      <c r="L74" s="1" t="str">
        <f>IF(K74&gt;O74,"Valid","Invalid")</f>
        <v>Valid</v>
      </c>
      <c r="M74" s="1" t="b">
        <f>ISNUMBER(K74)</f>
        <v>1</v>
      </c>
      <c r="N74" s="1" t="b">
        <f>ISNUMBER(O74)</f>
        <v>1</v>
      </c>
      <c r="O74" s="1">
        <v>46042</v>
      </c>
      <c r="P74" t="s">
        <v>7701</v>
      </c>
      <c r="Q74" t="str">
        <f>SUBSTITUTE(SUBSTITUTE(SUBSTITUTE(P74," ",""),"-",""),"+","")</f>
        <v>6619846897</v>
      </c>
      <c r="R74" t="str">
        <f t="shared" si="2"/>
        <v>6619846897</v>
      </c>
      <c r="S74" t="str">
        <f>IF(LEN(R74),"Valid","Invalid")</f>
        <v>Valid</v>
      </c>
      <c r="T74" t="s">
        <v>7700</v>
      </c>
      <c r="V74" t="s">
        <v>64</v>
      </c>
      <c r="X74">
        <v>18087.849999999999</v>
      </c>
      <c r="Y74" t="s">
        <v>17</v>
      </c>
      <c r="Z74">
        <v>161</v>
      </c>
      <c r="AA74">
        <f t="shared" si="3"/>
        <v>161</v>
      </c>
      <c r="AB74" t="s">
        <v>25</v>
      </c>
    </row>
    <row r="75" spans="1:28" x14ac:dyDescent="0.3">
      <c r="A75" t="s">
        <v>7699</v>
      </c>
      <c r="B75" t="s">
        <v>7698</v>
      </c>
      <c r="C75" t="s">
        <v>7698</v>
      </c>
      <c r="D75" t="s">
        <v>0</v>
      </c>
      <c r="E75">
        <v>25</v>
      </c>
      <c r="F75">
        <v>25</v>
      </c>
      <c r="G75" t="s">
        <v>21</v>
      </c>
      <c r="H75" t="s">
        <v>21</v>
      </c>
      <c r="I75" t="s">
        <v>85</v>
      </c>
      <c r="J75" t="s">
        <v>85</v>
      </c>
      <c r="K75" s="1">
        <v>46028</v>
      </c>
      <c r="L75" s="1" t="str">
        <f>IF(K75&gt;O75,"Valid","Invalid")</f>
        <v>Valid</v>
      </c>
      <c r="M75" s="1" t="b">
        <f>ISNUMBER(K75)</f>
        <v>1</v>
      </c>
      <c r="N75" s="1" t="b">
        <f>ISNUMBER(O75)</f>
        <v>1</v>
      </c>
      <c r="O75" s="1">
        <v>46020</v>
      </c>
      <c r="P75" t="s">
        <v>7697</v>
      </c>
      <c r="Q75" t="str">
        <f>SUBSTITUTE(SUBSTITUTE(SUBSTITUTE(P75," ",""),"-",""),"+","")</f>
        <v>913679380142</v>
      </c>
      <c r="R75" t="str">
        <f t="shared" si="2"/>
        <v>3679380142</v>
      </c>
      <c r="S75" t="str">
        <f>IF(LEN(R75),"Valid","Invalid")</f>
        <v>Valid</v>
      </c>
      <c r="T75" t="s">
        <v>7696</v>
      </c>
      <c r="V75" t="s">
        <v>26</v>
      </c>
      <c r="X75">
        <v>24516.66</v>
      </c>
      <c r="Y75" t="s">
        <v>57</v>
      </c>
      <c r="Z75">
        <v>251</v>
      </c>
      <c r="AA75">
        <f t="shared" si="3"/>
        <v>251</v>
      </c>
      <c r="AB75" t="s">
        <v>71</v>
      </c>
    </row>
    <row r="76" spans="1:28" x14ac:dyDescent="0.3">
      <c r="A76" t="s">
        <v>7695</v>
      </c>
      <c r="B76" t="s">
        <v>7694</v>
      </c>
      <c r="C76" t="s">
        <v>7694</v>
      </c>
      <c r="D76" t="s">
        <v>60</v>
      </c>
      <c r="E76">
        <v>23</v>
      </c>
      <c r="F76">
        <v>23</v>
      </c>
      <c r="G76" t="s">
        <v>132</v>
      </c>
      <c r="H76" t="s">
        <v>132</v>
      </c>
      <c r="I76" t="s">
        <v>46</v>
      </c>
      <c r="J76" t="s">
        <v>46</v>
      </c>
      <c r="K76" s="1">
        <v>46057</v>
      </c>
      <c r="L76" s="1" t="str">
        <f>IF(K76&gt;O76,"Valid","Invalid")</f>
        <v>Valid</v>
      </c>
      <c r="M76" s="1" t="b">
        <f>ISNUMBER(K76)</f>
        <v>1</v>
      </c>
      <c r="N76" s="1" t="b">
        <f>ISNUMBER(O76)</f>
        <v>1</v>
      </c>
      <c r="O76" s="1">
        <v>46035</v>
      </c>
      <c r="P76" t="s">
        <v>7693</v>
      </c>
      <c r="Q76" t="str">
        <f>SUBSTITUTE(SUBSTITUTE(SUBSTITUTE(P76," ",""),"-",""),"+","")</f>
        <v>7838022262</v>
      </c>
      <c r="R76" t="str">
        <f t="shared" si="2"/>
        <v>7838022262</v>
      </c>
      <c r="S76" t="str">
        <f>IF(LEN(R76),"Valid","Invalid")</f>
        <v>Valid</v>
      </c>
      <c r="T76" t="s">
        <v>7692</v>
      </c>
      <c r="V76" t="s">
        <v>35</v>
      </c>
      <c r="X76">
        <v>7002.92</v>
      </c>
      <c r="Y76" t="s">
        <v>27</v>
      </c>
      <c r="Z76">
        <v>383</v>
      </c>
      <c r="AA76">
        <f t="shared" si="3"/>
        <v>383</v>
      </c>
      <c r="AB76" t="s">
        <v>43</v>
      </c>
    </row>
    <row r="77" spans="1:28" x14ac:dyDescent="0.3">
      <c r="A77" t="s">
        <v>7691</v>
      </c>
      <c r="B77" t="s">
        <v>7690</v>
      </c>
      <c r="C77" t="s">
        <v>7690</v>
      </c>
      <c r="D77" t="s">
        <v>0</v>
      </c>
      <c r="E77">
        <v>82</v>
      </c>
      <c r="F77">
        <v>82</v>
      </c>
      <c r="G77" t="s">
        <v>68</v>
      </c>
      <c r="H77" t="s">
        <v>68</v>
      </c>
      <c r="I77" t="s">
        <v>20</v>
      </c>
      <c r="J77" t="s">
        <v>20</v>
      </c>
      <c r="K77" s="1">
        <v>46038</v>
      </c>
      <c r="L77" s="1" t="str">
        <f>IF(K77&gt;O77,"Valid","Invalid")</f>
        <v>Valid</v>
      </c>
      <c r="M77" s="1" t="b">
        <f>ISNUMBER(K77)</f>
        <v>1</v>
      </c>
      <c r="N77" s="1" t="b">
        <f>ISNUMBER(O77)</f>
        <v>1</v>
      </c>
      <c r="O77" s="1">
        <v>46011</v>
      </c>
      <c r="P77" t="s">
        <v>7689</v>
      </c>
      <c r="Q77" t="str">
        <f>SUBSTITUTE(SUBSTITUTE(SUBSTITUTE(P77," ",""),"-",""),"+","")</f>
        <v>5582697690</v>
      </c>
      <c r="R77" t="str">
        <f t="shared" si="2"/>
        <v>5582697690</v>
      </c>
      <c r="S77" t="str">
        <f>IF(LEN(R77),"Valid","Invalid")</f>
        <v>Valid</v>
      </c>
      <c r="T77" t="s">
        <v>7688</v>
      </c>
      <c r="V77" t="s">
        <v>27</v>
      </c>
      <c r="X77">
        <v>14436.79</v>
      </c>
      <c r="Y77" t="s">
        <v>123</v>
      </c>
      <c r="Z77">
        <v>345</v>
      </c>
      <c r="AA77">
        <f t="shared" si="3"/>
        <v>345</v>
      </c>
      <c r="AB77" t="s">
        <v>16</v>
      </c>
    </row>
    <row r="78" spans="1:28" x14ac:dyDescent="0.3">
      <c r="A78" t="s">
        <v>7687</v>
      </c>
      <c r="B78" t="s">
        <v>7686</v>
      </c>
      <c r="C78" t="s">
        <v>7686</v>
      </c>
      <c r="D78" t="s">
        <v>60</v>
      </c>
      <c r="E78">
        <v>24</v>
      </c>
      <c r="F78">
        <v>24</v>
      </c>
      <c r="G78" t="s">
        <v>47</v>
      </c>
      <c r="H78" t="s">
        <v>47</v>
      </c>
      <c r="I78" t="s">
        <v>30</v>
      </c>
      <c r="J78" t="s">
        <v>30</v>
      </c>
      <c r="K78" s="1">
        <v>46012</v>
      </c>
      <c r="L78" s="1" t="str">
        <f>IF(K78&gt;O78,"Valid","Invalid")</f>
        <v>Valid</v>
      </c>
      <c r="M78" s="1" t="b">
        <f>ISNUMBER(K78)</f>
        <v>1</v>
      </c>
      <c r="N78" s="1" t="b">
        <f>ISNUMBER(O78)</f>
        <v>1</v>
      </c>
      <c r="O78" s="1">
        <v>45982</v>
      </c>
      <c r="P78" t="s">
        <v>7685</v>
      </c>
      <c r="Q78" t="str">
        <f>SUBSTITUTE(SUBSTITUTE(SUBSTITUTE(P78," ",""),"-",""),"+","")</f>
        <v>05673729967</v>
      </c>
      <c r="R78" t="str">
        <f t="shared" si="2"/>
        <v>5673729967</v>
      </c>
      <c r="S78" t="str">
        <f>IF(LEN(R78),"Valid","Invalid")</f>
        <v>Valid</v>
      </c>
      <c r="T78" t="s">
        <v>7684</v>
      </c>
      <c r="V78" t="s">
        <v>123</v>
      </c>
      <c r="X78">
        <v>3029.36</v>
      </c>
      <c r="Y78" t="s">
        <v>64</v>
      </c>
      <c r="Z78">
        <v>305</v>
      </c>
      <c r="AA78">
        <f t="shared" si="3"/>
        <v>305</v>
      </c>
      <c r="AB78" t="s">
        <v>16</v>
      </c>
    </row>
    <row r="79" spans="1:28" x14ac:dyDescent="0.3">
      <c r="A79" t="s">
        <v>7683</v>
      </c>
      <c r="B79" t="s">
        <v>7682</v>
      </c>
      <c r="C79" t="s">
        <v>7682</v>
      </c>
      <c r="D79" t="s">
        <v>74</v>
      </c>
      <c r="E79">
        <v>74</v>
      </c>
      <c r="F79">
        <v>74</v>
      </c>
      <c r="G79" t="s">
        <v>47</v>
      </c>
      <c r="H79" t="s">
        <v>47</v>
      </c>
      <c r="I79" t="s">
        <v>53</v>
      </c>
      <c r="J79" t="s">
        <v>20</v>
      </c>
      <c r="K79" s="1">
        <v>46152</v>
      </c>
      <c r="L79" s="1" t="str">
        <f>IF(K79&gt;O79,"Valid","Invalid")</f>
        <v>Valid</v>
      </c>
      <c r="M79" s="1" t="b">
        <f>ISNUMBER(K79)</f>
        <v>1</v>
      </c>
      <c r="N79" s="1" t="b">
        <f>ISNUMBER(O79)</f>
        <v>1</v>
      </c>
      <c r="O79" s="1">
        <v>46148</v>
      </c>
      <c r="P79" t="s">
        <v>7681</v>
      </c>
      <c r="Q79" t="str">
        <f>SUBSTITUTE(SUBSTITUTE(SUBSTITUTE(P79," ",""),"-",""),"+","")</f>
        <v>4316313310</v>
      </c>
      <c r="R79" t="str">
        <f t="shared" si="2"/>
        <v>4316313310</v>
      </c>
      <c r="S79" t="str">
        <f>IF(LEN(R79),"Valid","Invalid")</f>
        <v>Valid</v>
      </c>
      <c r="T79" t="s">
        <v>7680</v>
      </c>
      <c r="V79" t="s">
        <v>26</v>
      </c>
      <c r="X79">
        <v>2312.4899999999998</v>
      </c>
      <c r="Y79" t="s">
        <v>57</v>
      </c>
      <c r="Z79">
        <v>160</v>
      </c>
      <c r="AA79">
        <f t="shared" si="3"/>
        <v>160</v>
      </c>
      <c r="AB79" t="s">
        <v>34</v>
      </c>
    </row>
    <row r="80" spans="1:28" x14ac:dyDescent="0.3">
      <c r="A80" t="s">
        <v>7679</v>
      </c>
      <c r="B80" t="s">
        <v>7678</v>
      </c>
      <c r="C80" t="s">
        <v>7678</v>
      </c>
      <c r="D80" t="s">
        <v>123</v>
      </c>
      <c r="E80">
        <v>78</v>
      </c>
      <c r="F80">
        <v>78</v>
      </c>
      <c r="G80" t="s">
        <v>21</v>
      </c>
      <c r="H80" t="s">
        <v>21</v>
      </c>
      <c r="I80" t="s">
        <v>90</v>
      </c>
      <c r="J80" t="s">
        <v>67</v>
      </c>
      <c r="K80" s="1">
        <v>46120</v>
      </c>
      <c r="L80" s="1" t="str">
        <f>IF(K80&gt;O80,"Valid","Invalid")</f>
        <v>Valid</v>
      </c>
      <c r="M80" s="1" t="b">
        <f>ISNUMBER(K80)</f>
        <v>1</v>
      </c>
      <c r="N80" s="1" t="b">
        <f>ISNUMBER(O80)</f>
        <v>1</v>
      </c>
      <c r="O80" s="1">
        <v>46106</v>
      </c>
      <c r="P80" t="s">
        <v>7677</v>
      </c>
      <c r="Q80" t="str">
        <f>SUBSTITUTE(SUBSTITUTE(SUBSTITUTE(P80," ",""),"-",""),"+","")</f>
        <v>910532350011</v>
      </c>
      <c r="R80" t="str">
        <f t="shared" si="2"/>
        <v>0532350011</v>
      </c>
      <c r="S80" t="str">
        <f>IF(LEN(R80),"Valid","Invalid")</f>
        <v>Valid</v>
      </c>
      <c r="T80" t="s">
        <v>7676</v>
      </c>
      <c r="V80" t="s">
        <v>123</v>
      </c>
      <c r="X80">
        <v>7574.36</v>
      </c>
      <c r="Y80" t="s">
        <v>123</v>
      </c>
      <c r="Z80">
        <v>256</v>
      </c>
      <c r="AA80">
        <f t="shared" si="3"/>
        <v>256</v>
      </c>
      <c r="AB80" t="s">
        <v>34</v>
      </c>
    </row>
    <row r="81" spans="1:28" x14ac:dyDescent="0.3">
      <c r="A81" t="s">
        <v>7675</v>
      </c>
      <c r="B81" t="s">
        <v>7674</v>
      </c>
      <c r="C81" t="s">
        <v>7674</v>
      </c>
      <c r="D81" t="s">
        <v>40</v>
      </c>
      <c r="E81">
        <v>79</v>
      </c>
      <c r="F81">
        <v>79</v>
      </c>
      <c r="G81" t="s">
        <v>80</v>
      </c>
      <c r="H81" t="s">
        <v>80</v>
      </c>
      <c r="I81" t="s">
        <v>38</v>
      </c>
      <c r="J81" t="s">
        <v>8077</v>
      </c>
      <c r="K81" s="1">
        <v>46104</v>
      </c>
      <c r="L81" s="1" t="str">
        <f>IF(K81&gt;O81,"Valid","Invalid")</f>
        <v>Valid</v>
      </c>
      <c r="M81" s="1" t="b">
        <f>ISNUMBER(K81)</f>
        <v>1</v>
      </c>
      <c r="N81" s="1" t="b">
        <f>ISNUMBER(O81)</f>
        <v>1</v>
      </c>
      <c r="O81" s="1">
        <v>46084</v>
      </c>
      <c r="P81" t="s">
        <v>7673</v>
      </c>
      <c r="Q81" t="str">
        <f>SUBSTITUTE(SUBSTITUTE(SUBSTITUTE(P81," ",""),"-",""),"+","")</f>
        <v>04739401417</v>
      </c>
      <c r="R81" t="str">
        <f t="shared" si="2"/>
        <v>4739401417</v>
      </c>
      <c r="S81" t="str">
        <f>IF(LEN(R81),"Valid","Invalid")</f>
        <v>Valid</v>
      </c>
      <c r="V81" t="s">
        <v>17</v>
      </c>
      <c r="X81">
        <v>6763.22</v>
      </c>
      <c r="Y81" t="s">
        <v>64</v>
      </c>
      <c r="Z81">
        <v>180</v>
      </c>
      <c r="AA81">
        <f t="shared" si="3"/>
        <v>180</v>
      </c>
      <c r="AB81" t="s">
        <v>71</v>
      </c>
    </row>
    <row r="82" spans="1:28" x14ac:dyDescent="0.3">
      <c r="A82" t="s">
        <v>7668</v>
      </c>
      <c r="B82" t="s">
        <v>7667</v>
      </c>
      <c r="C82" t="s">
        <v>7667</v>
      </c>
      <c r="D82" t="s">
        <v>1</v>
      </c>
      <c r="E82">
        <v>37</v>
      </c>
      <c r="F82">
        <v>37</v>
      </c>
      <c r="G82" t="s">
        <v>132</v>
      </c>
      <c r="H82" t="s">
        <v>132</v>
      </c>
      <c r="I82" t="s">
        <v>85</v>
      </c>
      <c r="J82" t="s">
        <v>85</v>
      </c>
      <c r="K82" s="1">
        <v>46074</v>
      </c>
      <c r="L82" s="1" t="str">
        <f>IF(K82&gt;O82,"Valid","Invalid")</f>
        <v>Valid</v>
      </c>
      <c r="M82" s="1" t="b">
        <f>ISNUMBER(K82)</f>
        <v>1</v>
      </c>
      <c r="N82" s="1" t="b">
        <f>ISNUMBER(O82)</f>
        <v>1</v>
      </c>
      <c r="O82" s="1">
        <v>46072</v>
      </c>
      <c r="P82" t="s">
        <v>7666</v>
      </c>
      <c r="Q82" t="str">
        <f>SUBSTITUTE(SUBSTITUTE(SUBSTITUTE(P82," ",""),"-",""),"+","")</f>
        <v>09080605622</v>
      </c>
      <c r="R82" t="str">
        <f t="shared" si="2"/>
        <v>9080605622</v>
      </c>
      <c r="S82" t="str">
        <f>IF(LEN(R82),"Valid","Invalid")</f>
        <v>Valid</v>
      </c>
      <c r="T82" t="s">
        <v>7665</v>
      </c>
      <c r="V82" t="s">
        <v>17</v>
      </c>
      <c r="X82">
        <v>23112.99</v>
      </c>
      <c r="Y82" t="s">
        <v>57</v>
      </c>
      <c r="Z82">
        <v>317</v>
      </c>
      <c r="AA82">
        <f t="shared" si="3"/>
        <v>317</v>
      </c>
      <c r="AB82" t="s">
        <v>77</v>
      </c>
    </row>
    <row r="83" spans="1:28" x14ac:dyDescent="0.3">
      <c r="A83" t="s">
        <v>7664</v>
      </c>
      <c r="B83" t="s">
        <v>7663</v>
      </c>
      <c r="C83" t="s">
        <v>7663</v>
      </c>
      <c r="D83" t="s">
        <v>1</v>
      </c>
      <c r="E83">
        <v>83</v>
      </c>
      <c r="F83">
        <v>83</v>
      </c>
      <c r="G83" t="s">
        <v>39</v>
      </c>
      <c r="H83" t="s">
        <v>39</v>
      </c>
      <c r="I83" t="s">
        <v>30</v>
      </c>
      <c r="J83" t="s">
        <v>30</v>
      </c>
      <c r="K83" s="1">
        <v>46163</v>
      </c>
      <c r="L83" s="1" t="str">
        <f>IF(K83&gt;O83,"Valid","Invalid")</f>
        <v>Valid</v>
      </c>
      <c r="M83" s="1" t="b">
        <f>ISNUMBER(K83)</f>
        <v>1</v>
      </c>
      <c r="N83" s="1" t="b">
        <f>ISNUMBER(O83)</f>
        <v>1</v>
      </c>
      <c r="O83" s="1">
        <v>46137</v>
      </c>
      <c r="P83" t="s">
        <v>7662</v>
      </c>
      <c r="Q83" t="str">
        <f>SUBSTITUTE(SUBSTITUTE(SUBSTITUTE(P83," ",""),"-",""),"+","")</f>
        <v>5885556316</v>
      </c>
      <c r="R83" t="str">
        <f t="shared" si="2"/>
        <v>5885556316</v>
      </c>
      <c r="S83" t="str">
        <f>IF(LEN(R83),"Valid","Invalid")</f>
        <v>Valid</v>
      </c>
      <c r="T83" t="s">
        <v>7661</v>
      </c>
      <c r="V83" t="s">
        <v>35</v>
      </c>
      <c r="X83">
        <v>1970.96</v>
      </c>
      <c r="Y83" t="s">
        <v>26</v>
      </c>
      <c r="Z83">
        <v>505</v>
      </c>
      <c r="AA83">
        <f t="shared" si="3"/>
        <v>505</v>
      </c>
      <c r="AB83" t="s">
        <v>43</v>
      </c>
    </row>
    <row r="84" spans="1:28" x14ac:dyDescent="0.3">
      <c r="A84" t="s">
        <v>7660</v>
      </c>
      <c r="B84" t="s">
        <v>7659</v>
      </c>
      <c r="C84" t="s">
        <v>7659</v>
      </c>
      <c r="D84" t="s">
        <v>22</v>
      </c>
      <c r="E84">
        <v>57</v>
      </c>
      <c r="F84">
        <v>57</v>
      </c>
      <c r="G84" t="s">
        <v>80</v>
      </c>
      <c r="H84" t="s">
        <v>80</v>
      </c>
      <c r="I84" t="s">
        <v>85</v>
      </c>
      <c r="J84" t="s">
        <v>85</v>
      </c>
      <c r="K84" s="1">
        <v>46068</v>
      </c>
      <c r="L84" s="1" t="str">
        <f>IF(K84&gt;O84,"Valid","Invalid")</f>
        <v>Valid</v>
      </c>
      <c r="M84" s="1" t="b">
        <f>ISNUMBER(K84)</f>
        <v>1</v>
      </c>
      <c r="N84" s="1" t="b">
        <f>ISNUMBER(O84)</f>
        <v>1</v>
      </c>
      <c r="O84" s="1">
        <v>46046</v>
      </c>
      <c r="P84" t="s">
        <v>7658</v>
      </c>
      <c r="Q84" t="str">
        <f>SUBSTITUTE(SUBSTITUTE(SUBSTITUTE(P84," ",""),"-",""),"+","")</f>
        <v>919930957281</v>
      </c>
      <c r="R84" t="str">
        <f t="shared" si="2"/>
        <v>9930957281</v>
      </c>
      <c r="S84" t="str">
        <f>IF(LEN(R84),"Valid","Invalid")</f>
        <v>Valid</v>
      </c>
      <c r="T84" t="s">
        <v>7657</v>
      </c>
      <c r="V84" t="s">
        <v>26</v>
      </c>
      <c r="X84">
        <v>17553.400000000001</v>
      </c>
      <c r="Y84" t="s">
        <v>63</v>
      </c>
      <c r="Z84">
        <v>356</v>
      </c>
      <c r="AA84">
        <f t="shared" si="3"/>
        <v>356</v>
      </c>
      <c r="AB84" t="s">
        <v>34</v>
      </c>
    </row>
    <row r="85" spans="1:28" x14ac:dyDescent="0.3">
      <c r="A85" t="s">
        <v>7656</v>
      </c>
      <c r="B85" t="s">
        <v>7655</v>
      </c>
      <c r="C85" t="s">
        <v>7655</v>
      </c>
      <c r="E85">
        <v>57</v>
      </c>
      <c r="F85">
        <v>57</v>
      </c>
      <c r="G85" t="s">
        <v>80</v>
      </c>
      <c r="H85" t="s">
        <v>80</v>
      </c>
      <c r="I85" t="s">
        <v>46</v>
      </c>
      <c r="J85" t="s">
        <v>46</v>
      </c>
      <c r="K85" s="1">
        <v>46125</v>
      </c>
      <c r="L85" s="1" t="str">
        <f>IF(K85&gt;O85,"Valid","Invalid")</f>
        <v>Valid</v>
      </c>
      <c r="M85" s="1" t="b">
        <f>ISNUMBER(K85)</f>
        <v>1</v>
      </c>
      <c r="N85" s="1" t="b">
        <f>ISNUMBER(O85)</f>
        <v>1</v>
      </c>
      <c r="O85" s="1">
        <v>46097</v>
      </c>
      <c r="P85" t="s">
        <v>7654</v>
      </c>
      <c r="Q85" t="str">
        <f>SUBSTITUTE(SUBSTITUTE(SUBSTITUTE(P85," ",""),"-",""),"+","")</f>
        <v>08014032641</v>
      </c>
      <c r="R85" t="str">
        <f t="shared" si="2"/>
        <v>8014032641</v>
      </c>
      <c r="S85" t="str">
        <f>IF(LEN(R85),"Valid","Invalid")</f>
        <v>Valid</v>
      </c>
      <c r="T85" t="s">
        <v>7653</v>
      </c>
      <c r="V85" t="s">
        <v>123</v>
      </c>
      <c r="X85">
        <v>18416.439999999999</v>
      </c>
      <c r="Y85" t="s">
        <v>63</v>
      </c>
      <c r="Z85">
        <v>113</v>
      </c>
      <c r="AA85">
        <f t="shared" si="3"/>
        <v>113</v>
      </c>
      <c r="AB85" t="s">
        <v>77</v>
      </c>
    </row>
    <row r="86" spans="1:28" x14ac:dyDescent="0.3">
      <c r="A86" t="s">
        <v>7652</v>
      </c>
      <c r="B86" t="s">
        <v>7651</v>
      </c>
      <c r="C86" t="s">
        <v>7651</v>
      </c>
      <c r="D86" t="s">
        <v>1</v>
      </c>
      <c r="E86">
        <v>87</v>
      </c>
      <c r="F86">
        <v>87</v>
      </c>
      <c r="G86" t="s">
        <v>47</v>
      </c>
      <c r="H86" t="s">
        <v>47</v>
      </c>
      <c r="I86" t="s">
        <v>30</v>
      </c>
      <c r="J86" t="s">
        <v>30</v>
      </c>
      <c r="K86" s="1">
        <v>46091</v>
      </c>
      <c r="L86" s="1" t="str">
        <f>IF(K86&gt;O86,"Valid","Invalid")</f>
        <v>Valid</v>
      </c>
      <c r="M86" s="1" t="b">
        <f>ISNUMBER(K86)</f>
        <v>1</v>
      </c>
      <c r="N86" s="1" t="b">
        <f>ISNUMBER(O86)</f>
        <v>1</v>
      </c>
      <c r="O86" s="1">
        <v>46073</v>
      </c>
      <c r="P86" t="s">
        <v>7650</v>
      </c>
      <c r="Q86" t="str">
        <f>SUBSTITUTE(SUBSTITUTE(SUBSTITUTE(P86," ",""),"-",""),"+","")</f>
        <v>919448348301</v>
      </c>
      <c r="R86" t="str">
        <f t="shared" si="2"/>
        <v>9448348301</v>
      </c>
      <c r="S86" t="str">
        <f>IF(LEN(R86),"Valid","Invalid")</f>
        <v>Valid</v>
      </c>
      <c r="T86" t="s">
        <v>7649</v>
      </c>
      <c r="V86" t="s">
        <v>27</v>
      </c>
      <c r="X86">
        <v>19125.099999999999</v>
      </c>
      <c r="Y86" t="s">
        <v>26</v>
      </c>
      <c r="Z86">
        <v>340</v>
      </c>
      <c r="AA86">
        <f t="shared" si="3"/>
        <v>340</v>
      </c>
      <c r="AB86" t="s">
        <v>34</v>
      </c>
    </row>
    <row r="87" spans="1:28" x14ac:dyDescent="0.3">
      <c r="A87" t="s">
        <v>7648</v>
      </c>
      <c r="B87" t="s">
        <v>7647</v>
      </c>
      <c r="C87" t="s">
        <v>7647</v>
      </c>
      <c r="E87">
        <v>36</v>
      </c>
      <c r="F87">
        <v>36</v>
      </c>
      <c r="G87" t="s">
        <v>39</v>
      </c>
      <c r="H87" t="s">
        <v>39</v>
      </c>
      <c r="I87" t="s">
        <v>90</v>
      </c>
      <c r="J87" t="s">
        <v>67</v>
      </c>
      <c r="K87" s="1">
        <v>46150</v>
      </c>
      <c r="L87" s="1" t="str">
        <f>IF(K87&gt;O87,"Valid","Invalid")</f>
        <v>Valid</v>
      </c>
      <c r="M87" s="1" t="b">
        <f>ISNUMBER(K87)</f>
        <v>1</v>
      </c>
      <c r="N87" s="1" t="b">
        <f>ISNUMBER(O87)</f>
        <v>1</v>
      </c>
      <c r="O87" s="1">
        <v>46130</v>
      </c>
      <c r="P87" t="s">
        <v>7646</v>
      </c>
      <c r="Q87" t="str">
        <f>SUBSTITUTE(SUBSTITUTE(SUBSTITUTE(P87," ",""),"-",""),"+","")</f>
        <v>9724194876</v>
      </c>
      <c r="R87" t="str">
        <f t="shared" si="2"/>
        <v>9724194876</v>
      </c>
      <c r="S87" t="str">
        <f>IF(LEN(R87),"Valid","Invalid")</f>
        <v>Valid</v>
      </c>
      <c r="T87" t="s">
        <v>7645</v>
      </c>
      <c r="V87" t="s">
        <v>123</v>
      </c>
      <c r="X87">
        <v>24232.57</v>
      </c>
      <c r="Y87" t="s">
        <v>123</v>
      </c>
      <c r="Z87">
        <v>278</v>
      </c>
      <c r="AA87">
        <f t="shared" si="3"/>
        <v>278</v>
      </c>
      <c r="AB87" t="s">
        <v>16</v>
      </c>
    </row>
    <row r="88" spans="1:28" x14ac:dyDescent="0.3">
      <c r="A88" t="s">
        <v>7644</v>
      </c>
      <c r="B88" t="s">
        <v>7643</v>
      </c>
      <c r="C88" t="s">
        <v>7643</v>
      </c>
      <c r="D88" t="s">
        <v>60</v>
      </c>
      <c r="E88">
        <v>42</v>
      </c>
      <c r="F88">
        <v>42</v>
      </c>
      <c r="G88" t="s">
        <v>80</v>
      </c>
      <c r="H88" t="s">
        <v>80</v>
      </c>
      <c r="I88" t="s">
        <v>53</v>
      </c>
      <c r="J88" t="s">
        <v>20</v>
      </c>
      <c r="K88" s="1">
        <v>46155</v>
      </c>
      <c r="L88" s="1" t="str">
        <f>IF(K88&gt;O88,"Valid","Invalid")</f>
        <v>Valid</v>
      </c>
      <c r="M88" s="1" t="b">
        <f>ISNUMBER(K88)</f>
        <v>1</v>
      </c>
      <c r="N88" s="1" t="b">
        <f>ISNUMBER(O88)</f>
        <v>1</v>
      </c>
      <c r="O88" s="1">
        <v>46145</v>
      </c>
      <c r="P88" t="s">
        <v>7642</v>
      </c>
      <c r="Q88" t="str">
        <f>SUBSTITUTE(SUBSTITUTE(SUBSTITUTE(P88," ",""),"-",""),"+","")</f>
        <v>910340451104</v>
      </c>
      <c r="R88" t="str">
        <f t="shared" si="2"/>
        <v>0340451104</v>
      </c>
      <c r="S88" t="str">
        <f>IF(LEN(R88),"Valid","Invalid")</f>
        <v>Valid</v>
      </c>
      <c r="T88" t="s">
        <v>7641</v>
      </c>
      <c r="V88" t="s">
        <v>123</v>
      </c>
      <c r="X88">
        <v>17403.11</v>
      </c>
      <c r="Y88" t="s">
        <v>63</v>
      </c>
      <c r="Z88">
        <v>439</v>
      </c>
      <c r="AA88">
        <f t="shared" si="3"/>
        <v>439</v>
      </c>
      <c r="AB88" t="s">
        <v>16</v>
      </c>
    </row>
    <row r="89" spans="1:28" x14ac:dyDescent="0.3">
      <c r="A89" t="s">
        <v>7640</v>
      </c>
      <c r="B89" t="s">
        <v>7639</v>
      </c>
      <c r="C89" t="s">
        <v>7639</v>
      </c>
      <c r="D89" t="s">
        <v>40</v>
      </c>
      <c r="E89">
        <v>59</v>
      </c>
      <c r="F89">
        <v>59</v>
      </c>
      <c r="G89" t="s">
        <v>80</v>
      </c>
      <c r="H89" t="s">
        <v>80</v>
      </c>
      <c r="I89" t="s">
        <v>67</v>
      </c>
      <c r="J89" t="s">
        <v>67</v>
      </c>
      <c r="K89" s="1">
        <v>45999</v>
      </c>
      <c r="L89" s="1" t="str">
        <f>IF(K89&gt;O89,"Valid","Invalid")</f>
        <v>Valid</v>
      </c>
      <c r="M89" s="1" t="b">
        <f>ISNUMBER(K89)</f>
        <v>1</v>
      </c>
      <c r="N89" s="1" t="b">
        <f>ISNUMBER(O89)</f>
        <v>1</v>
      </c>
      <c r="O89" s="1">
        <v>45991</v>
      </c>
      <c r="P89" t="s">
        <v>7638</v>
      </c>
      <c r="Q89" t="str">
        <f>SUBSTITUTE(SUBSTITUTE(SUBSTITUTE(P89," ",""),"-",""),"+","")</f>
        <v>914283092849</v>
      </c>
      <c r="R89" t="str">
        <f t="shared" si="2"/>
        <v>4283092849</v>
      </c>
      <c r="S89" t="str">
        <f>IF(LEN(R89),"Valid","Invalid")</f>
        <v>Valid</v>
      </c>
      <c r="T89" t="s">
        <v>7637</v>
      </c>
      <c r="V89" t="s">
        <v>57</v>
      </c>
      <c r="X89">
        <v>3074.86</v>
      </c>
      <c r="Y89" t="s">
        <v>123</v>
      </c>
      <c r="Z89">
        <v>542</v>
      </c>
      <c r="AA89">
        <f t="shared" si="3"/>
        <v>542</v>
      </c>
      <c r="AB89" t="s">
        <v>34</v>
      </c>
    </row>
    <row r="90" spans="1:28" x14ac:dyDescent="0.3">
      <c r="A90" t="s">
        <v>7636</v>
      </c>
      <c r="B90" t="s">
        <v>7635</v>
      </c>
      <c r="C90" t="s">
        <v>8035</v>
      </c>
      <c r="D90" t="s">
        <v>40</v>
      </c>
      <c r="E90">
        <v>85</v>
      </c>
      <c r="F90">
        <v>85</v>
      </c>
      <c r="G90" t="s">
        <v>68</v>
      </c>
      <c r="H90" t="s">
        <v>68</v>
      </c>
      <c r="I90" t="s">
        <v>90</v>
      </c>
      <c r="J90" t="s">
        <v>67</v>
      </c>
      <c r="K90" s="1">
        <v>46030</v>
      </c>
      <c r="L90" s="1" t="str">
        <f>IF(K90&gt;O90,"Valid","Invalid")</f>
        <v>Valid</v>
      </c>
      <c r="M90" s="1" t="b">
        <f>ISNUMBER(K90)</f>
        <v>1</v>
      </c>
      <c r="N90" s="1" t="b">
        <f>ISNUMBER(O90)</f>
        <v>1</v>
      </c>
      <c r="O90" s="1">
        <v>46029</v>
      </c>
      <c r="P90" t="s">
        <v>7634</v>
      </c>
      <c r="Q90" t="str">
        <f>SUBSTITUTE(SUBSTITUTE(SUBSTITUTE(P90," ",""),"-",""),"+","")</f>
        <v>914559304814</v>
      </c>
      <c r="R90" t="str">
        <f t="shared" si="2"/>
        <v>4559304814</v>
      </c>
      <c r="S90" t="str">
        <f>IF(LEN(R90),"Valid","Invalid")</f>
        <v>Valid</v>
      </c>
      <c r="T90" t="s">
        <v>7633</v>
      </c>
      <c r="V90" t="s">
        <v>17</v>
      </c>
      <c r="X90">
        <v>13057.3</v>
      </c>
      <c r="Y90" t="s">
        <v>123</v>
      </c>
      <c r="Z90">
        <v>420</v>
      </c>
      <c r="AA90">
        <f t="shared" si="3"/>
        <v>420</v>
      </c>
      <c r="AB90" t="s">
        <v>16</v>
      </c>
    </row>
    <row r="91" spans="1:28" x14ac:dyDescent="0.3">
      <c r="A91" t="s">
        <v>7632</v>
      </c>
      <c r="B91" t="s">
        <v>7631</v>
      </c>
      <c r="C91" t="s">
        <v>7631</v>
      </c>
      <c r="D91" t="s">
        <v>40</v>
      </c>
      <c r="E91">
        <v>27</v>
      </c>
      <c r="F91">
        <v>27</v>
      </c>
      <c r="G91" t="s">
        <v>132</v>
      </c>
      <c r="H91" t="s">
        <v>132</v>
      </c>
      <c r="I91" t="s">
        <v>53</v>
      </c>
      <c r="J91" t="s">
        <v>20</v>
      </c>
      <c r="K91" s="1">
        <v>46170</v>
      </c>
      <c r="L91" s="1" t="str">
        <f>IF(K91&gt;O91,"Valid","Invalid")</f>
        <v>Valid</v>
      </c>
      <c r="M91" s="1" t="b">
        <f>ISNUMBER(K91)</f>
        <v>1</v>
      </c>
      <c r="N91" s="1" t="b">
        <f>ISNUMBER(O91)</f>
        <v>1</v>
      </c>
      <c r="O91" s="1">
        <v>46141</v>
      </c>
      <c r="P91" t="s">
        <v>7630</v>
      </c>
      <c r="Q91" t="str">
        <f>SUBSTITUTE(SUBSTITUTE(SUBSTITUTE(P91," ",""),"-",""),"+","")</f>
        <v>5424166497</v>
      </c>
      <c r="R91" t="str">
        <f t="shared" si="2"/>
        <v>5424166497</v>
      </c>
      <c r="S91" t="str">
        <f>IF(LEN(R91),"Valid","Invalid")</f>
        <v>Valid</v>
      </c>
      <c r="T91" t="s">
        <v>7629</v>
      </c>
      <c r="V91" t="s">
        <v>26</v>
      </c>
      <c r="X91">
        <v>11065.28</v>
      </c>
      <c r="Y91" t="s">
        <v>123</v>
      </c>
      <c r="Z91">
        <v>162</v>
      </c>
      <c r="AA91">
        <f t="shared" si="3"/>
        <v>162</v>
      </c>
      <c r="AB91" t="s">
        <v>77</v>
      </c>
    </row>
    <row r="92" spans="1:28" x14ac:dyDescent="0.3">
      <c r="A92" t="s">
        <v>7628</v>
      </c>
      <c r="B92" t="s">
        <v>7627</v>
      </c>
      <c r="C92" t="s">
        <v>7627</v>
      </c>
      <c r="D92" t="s">
        <v>1</v>
      </c>
      <c r="E92">
        <v>21</v>
      </c>
      <c r="F92">
        <v>21</v>
      </c>
      <c r="G92" t="s">
        <v>132</v>
      </c>
      <c r="H92" t="s">
        <v>132</v>
      </c>
      <c r="I92" t="s">
        <v>46</v>
      </c>
      <c r="J92" t="s">
        <v>46</v>
      </c>
      <c r="K92" s="1">
        <v>46124</v>
      </c>
      <c r="L92" s="1" t="str">
        <f>IF(K92&gt;O92,"Valid","Invalid")</f>
        <v>Valid</v>
      </c>
      <c r="M92" s="1" t="b">
        <f>ISNUMBER(K92)</f>
        <v>1</v>
      </c>
      <c r="N92" s="1" t="b">
        <f>ISNUMBER(O92)</f>
        <v>1</v>
      </c>
      <c r="O92" s="1">
        <v>46107</v>
      </c>
      <c r="P92" t="s">
        <v>7626</v>
      </c>
      <c r="Q92" t="str">
        <f>SUBSTITUTE(SUBSTITUTE(SUBSTITUTE(P92," ",""),"-",""),"+","")</f>
        <v>912521795854</v>
      </c>
      <c r="R92" t="str">
        <f t="shared" si="2"/>
        <v>2521795854</v>
      </c>
      <c r="S92" t="str">
        <f>IF(LEN(R92),"Valid","Invalid")</f>
        <v>Valid</v>
      </c>
      <c r="T92" t="s">
        <v>7625</v>
      </c>
      <c r="V92" t="s">
        <v>123</v>
      </c>
      <c r="X92">
        <v>2511.59</v>
      </c>
      <c r="Y92" t="s">
        <v>64</v>
      </c>
      <c r="Z92">
        <v>336</v>
      </c>
      <c r="AA92">
        <f t="shared" si="3"/>
        <v>336</v>
      </c>
      <c r="AB92" t="s">
        <v>77</v>
      </c>
    </row>
    <row r="93" spans="1:28" x14ac:dyDescent="0.3">
      <c r="A93" t="s">
        <v>7624</v>
      </c>
      <c r="B93" t="s">
        <v>7623</v>
      </c>
      <c r="C93" t="s">
        <v>7623</v>
      </c>
      <c r="D93" t="s">
        <v>0</v>
      </c>
      <c r="E93">
        <v>64</v>
      </c>
      <c r="F93">
        <v>64</v>
      </c>
      <c r="G93" t="s">
        <v>132</v>
      </c>
      <c r="H93" t="s">
        <v>132</v>
      </c>
      <c r="I93" t="s">
        <v>30</v>
      </c>
      <c r="J93" t="s">
        <v>30</v>
      </c>
      <c r="K93" s="1">
        <v>46011</v>
      </c>
      <c r="L93" s="1" t="str">
        <f>IF(K93&gt;O93,"Valid","Invalid")</f>
        <v>Valid</v>
      </c>
      <c r="M93" s="1" t="b">
        <f>ISNUMBER(K93)</f>
        <v>1</v>
      </c>
      <c r="N93" s="1" t="b">
        <f>ISNUMBER(O93)</f>
        <v>1</v>
      </c>
      <c r="O93" s="1">
        <v>45998</v>
      </c>
      <c r="P93" t="s">
        <v>7622</v>
      </c>
      <c r="Q93" t="str">
        <f>SUBSTITUTE(SUBSTITUTE(SUBSTITUTE(P93," ",""),"-",""),"+","")</f>
        <v>911060350066</v>
      </c>
      <c r="R93" t="str">
        <f t="shared" si="2"/>
        <v>1060350066</v>
      </c>
      <c r="S93" t="str">
        <f>IF(LEN(R93),"Valid","Invalid")</f>
        <v>Valid</v>
      </c>
      <c r="T93" t="s">
        <v>7621</v>
      </c>
      <c r="V93" t="s">
        <v>123</v>
      </c>
      <c r="X93">
        <v>24510.07</v>
      </c>
      <c r="Y93" t="s">
        <v>57</v>
      </c>
      <c r="Z93">
        <v>333</v>
      </c>
      <c r="AA93">
        <f t="shared" si="3"/>
        <v>333</v>
      </c>
      <c r="AB93" t="s">
        <v>34</v>
      </c>
    </row>
    <row r="94" spans="1:28" x14ac:dyDescent="0.3">
      <c r="A94" t="s">
        <v>7620</v>
      </c>
      <c r="B94" t="s">
        <v>7619</v>
      </c>
      <c r="C94" t="s">
        <v>7619</v>
      </c>
      <c r="D94" t="s">
        <v>0</v>
      </c>
      <c r="E94">
        <v>50</v>
      </c>
      <c r="F94">
        <v>50</v>
      </c>
      <c r="G94" t="s">
        <v>21</v>
      </c>
      <c r="H94" t="s">
        <v>21</v>
      </c>
      <c r="I94" t="s">
        <v>53</v>
      </c>
      <c r="J94" t="s">
        <v>20</v>
      </c>
      <c r="K94" s="1">
        <v>46019</v>
      </c>
      <c r="L94" s="1" t="str">
        <f>IF(K94&gt;O94,"Valid","Invalid")</f>
        <v>Valid</v>
      </c>
      <c r="M94" s="1" t="b">
        <f>ISNUMBER(K94)</f>
        <v>1</v>
      </c>
      <c r="N94" s="1" t="b">
        <f>ISNUMBER(O94)</f>
        <v>1</v>
      </c>
      <c r="O94" s="1">
        <v>45992</v>
      </c>
      <c r="P94" t="s">
        <v>7618</v>
      </c>
      <c r="Q94" t="str">
        <f>SUBSTITUTE(SUBSTITUTE(SUBSTITUTE(P94," ",""),"-",""),"+","")</f>
        <v>08880591408</v>
      </c>
      <c r="R94" t="str">
        <f t="shared" si="2"/>
        <v>8880591408</v>
      </c>
      <c r="S94" t="str">
        <f>IF(LEN(R94),"Valid","Invalid")</f>
        <v>Valid</v>
      </c>
      <c r="T94" t="s">
        <v>7617</v>
      </c>
      <c r="V94" t="s">
        <v>64</v>
      </c>
      <c r="X94">
        <v>7050.94</v>
      </c>
      <c r="Y94" t="s">
        <v>123</v>
      </c>
      <c r="Z94">
        <v>274</v>
      </c>
      <c r="AA94">
        <f t="shared" si="3"/>
        <v>274</v>
      </c>
      <c r="AB94" t="s">
        <v>50</v>
      </c>
    </row>
    <row r="95" spans="1:28" x14ac:dyDescent="0.3">
      <c r="A95" t="s">
        <v>7616</v>
      </c>
      <c r="B95" t="s">
        <v>7615</v>
      </c>
      <c r="C95" t="s">
        <v>7615</v>
      </c>
      <c r="D95" t="s">
        <v>22</v>
      </c>
      <c r="E95">
        <v>1</v>
      </c>
      <c r="F95">
        <v>1</v>
      </c>
      <c r="G95" t="s">
        <v>132</v>
      </c>
      <c r="H95" t="s">
        <v>132</v>
      </c>
      <c r="I95" t="s">
        <v>30</v>
      </c>
      <c r="J95" t="s">
        <v>30</v>
      </c>
      <c r="K95" s="1">
        <v>46030</v>
      </c>
      <c r="L95" s="1" t="str">
        <f>IF(K95&gt;O95,"Valid","Invalid")</f>
        <v>Valid</v>
      </c>
      <c r="M95" s="1" t="b">
        <f>ISNUMBER(K95)</f>
        <v>1</v>
      </c>
      <c r="N95" s="1" t="b">
        <f>ISNUMBER(O95)</f>
        <v>1</v>
      </c>
      <c r="O95" s="1">
        <v>46004</v>
      </c>
      <c r="P95" t="s">
        <v>7614</v>
      </c>
      <c r="Q95" t="str">
        <f>SUBSTITUTE(SUBSTITUTE(SUBSTITUTE(P95," ",""),"-",""),"+","")</f>
        <v>912251145487</v>
      </c>
      <c r="R95" t="str">
        <f t="shared" si="2"/>
        <v>2251145487</v>
      </c>
      <c r="S95" t="str">
        <f>IF(LEN(R95),"Valid","Invalid")</f>
        <v>Valid</v>
      </c>
      <c r="T95" t="s">
        <v>7613</v>
      </c>
      <c r="V95" t="s">
        <v>123</v>
      </c>
      <c r="X95">
        <v>21658.46</v>
      </c>
      <c r="Y95" t="s">
        <v>123</v>
      </c>
      <c r="Z95">
        <v>375</v>
      </c>
      <c r="AA95">
        <f t="shared" si="3"/>
        <v>375</v>
      </c>
      <c r="AB95" t="s">
        <v>16</v>
      </c>
    </row>
    <row r="96" spans="1:28" x14ac:dyDescent="0.3">
      <c r="A96" t="s">
        <v>7612</v>
      </c>
      <c r="B96" t="s">
        <v>7611</v>
      </c>
      <c r="C96" t="s">
        <v>7611</v>
      </c>
      <c r="D96" t="s">
        <v>60</v>
      </c>
      <c r="E96">
        <v>43</v>
      </c>
      <c r="F96">
        <v>43</v>
      </c>
      <c r="G96" t="s">
        <v>54</v>
      </c>
      <c r="H96" t="s">
        <v>54</v>
      </c>
      <c r="I96" t="s">
        <v>85</v>
      </c>
      <c r="J96" t="s">
        <v>85</v>
      </c>
      <c r="K96" s="1">
        <v>46169</v>
      </c>
      <c r="L96" s="1" t="str">
        <f>IF(K96&gt;O96,"Valid","Invalid")</f>
        <v>Valid</v>
      </c>
      <c r="M96" s="1" t="b">
        <f>ISNUMBER(K96)</f>
        <v>1</v>
      </c>
      <c r="N96" s="1" t="b">
        <f>ISNUMBER(O96)</f>
        <v>1</v>
      </c>
      <c r="O96" s="1">
        <v>46140</v>
      </c>
      <c r="P96" t="s">
        <v>7610</v>
      </c>
      <c r="Q96" t="str">
        <f>SUBSTITUTE(SUBSTITUTE(SUBSTITUTE(P96," ",""),"-",""),"+","")</f>
        <v>8219941684</v>
      </c>
      <c r="R96" t="str">
        <f t="shared" si="2"/>
        <v>8219941684</v>
      </c>
      <c r="S96" t="str">
        <f>IF(LEN(R96),"Valid","Invalid")</f>
        <v>Valid</v>
      </c>
      <c r="T96" t="s">
        <v>7609</v>
      </c>
      <c r="V96" t="s">
        <v>57</v>
      </c>
      <c r="X96">
        <v>21766.12</v>
      </c>
      <c r="Y96" t="s">
        <v>57</v>
      </c>
      <c r="Z96">
        <v>392</v>
      </c>
      <c r="AA96">
        <f t="shared" si="3"/>
        <v>392</v>
      </c>
      <c r="AB96" t="s">
        <v>16</v>
      </c>
    </row>
    <row r="97" spans="1:28" x14ac:dyDescent="0.3">
      <c r="A97" t="s">
        <v>7608</v>
      </c>
      <c r="B97" t="s">
        <v>7607</v>
      </c>
      <c r="C97" t="s">
        <v>7607</v>
      </c>
      <c r="D97" t="s">
        <v>1</v>
      </c>
      <c r="E97">
        <v>53</v>
      </c>
      <c r="F97">
        <v>53</v>
      </c>
      <c r="G97" t="s">
        <v>47</v>
      </c>
      <c r="H97" t="s">
        <v>47</v>
      </c>
      <c r="I97" t="s">
        <v>67</v>
      </c>
      <c r="J97" t="s">
        <v>67</v>
      </c>
      <c r="K97" s="1">
        <v>46128</v>
      </c>
      <c r="L97" s="1" t="str">
        <f>IF(K97&gt;O97,"Valid","Invalid")</f>
        <v>Valid</v>
      </c>
      <c r="M97" s="1" t="b">
        <f>ISNUMBER(K97)</f>
        <v>1</v>
      </c>
      <c r="N97" s="1" t="b">
        <f>ISNUMBER(O97)</f>
        <v>1</v>
      </c>
      <c r="O97" s="1">
        <v>46105</v>
      </c>
      <c r="P97" t="s">
        <v>7606</v>
      </c>
      <c r="Q97" t="str">
        <f>SUBSTITUTE(SUBSTITUTE(SUBSTITUTE(P97," ",""),"-",""),"+","")</f>
        <v>0141254071</v>
      </c>
      <c r="R97" t="str">
        <f t="shared" si="2"/>
        <v>0141254071</v>
      </c>
      <c r="S97" t="str">
        <f>IF(LEN(R97),"Valid","Invalid")</f>
        <v>Valid</v>
      </c>
      <c r="T97" t="s">
        <v>7605</v>
      </c>
      <c r="V97" t="s">
        <v>123</v>
      </c>
      <c r="X97">
        <v>17689.650000000001</v>
      </c>
      <c r="Y97" t="s">
        <v>123</v>
      </c>
      <c r="Z97">
        <v>297</v>
      </c>
      <c r="AA97">
        <f t="shared" si="3"/>
        <v>297</v>
      </c>
      <c r="AB97" t="s">
        <v>25</v>
      </c>
    </row>
    <row r="98" spans="1:28" x14ac:dyDescent="0.3">
      <c r="A98" t="s">
        <v>7604</v>
      </c>
      <c r="B98" t="s">
        <v>7603</v>
      </c>
      <c r="C98" t="s">
        <v>7603</v>
      </c>
      <c r="D98" t="s">
        <v>0</v>
      </c>
      <c r="E98">
        <v>64</v>
      </c>
      <c r="F98">
        <v>64</v>
      </c>
      <c r="G98" t="s">
        <v>47</v>
      </c>
      <c r="H98" t="s">
        <v>47</v>
      </c>
      <c r="I98" t="s">
        <v>53</v>
      </c>
      <c r="J98" t="s">
        <v>20</v>
      </c>
      <c r="K98" s="1">
        <v>46151</v>
      </c>
      <c r="L98" s="1" t="str">
        <f>IF(K98&gt;O98,"Valid","Invalid")</f>
        <v>Valid</v>
      </c>
      <c r="M98" s="1" t="b">
        <f>ISNUMBER(K98)</f>
        <v>1</v>
      </c>
      <c r="N98" s="1" t="b">
        <f>ISNUMBER(O98)</f>
        <v>1</v>
      </c>
      <c r="O98" s="1">
        <v>46135</v>
      </c>
      <c r="P98" t="s">
        <v>7602</v>
      </c>
      <c r="Q98" t="str">
        <f>SUBSTITUTE(SUBSTITUTE(SUBSTITUTE(P98," ",""),"-",""),"+","")</f>
        <v>919874404366</v>
      </c>
      <c r="R98" t="str">
        <f t="shared" si="2"/>
        <v>9874404366</v>
      </c>
      <c r="S98" t="str">
        <f>IF(LEN(R98),"Valid","Invalid")</f>
        <v>Valid</v>
      </c>
      <c r="T98" t="s">
        <v>7601</v>
      </c>
      <c r="V98" t="s">
        <v>57</v>
      </c>
      <c r="X98">
        <v>21768.57</v>
      </c>
      <c r="Y98" t="s">
        <v>123</v>
      </c>
      <c r="Z98">
        <v>151</v>
      </c>
      <c r="AA98">
        <f t="shared" si="3"/>
        <v>151</v>
      </c>
      <c r="AB98" t="s">
        <v>34</v>
      </c>
    </row>
    <row r="99" spans="1:28" x14ac:dyDescent="0.3">
      <c r="A99" t="s">
        <v>7600</v>
      </c>
      <c r="B99" t="s">
        <v>7599</v>
      </c>
      <c r="C99" t="s">
        <v>7599</v>
      </c>
      <c r="E99">
        <v>2</v>
      </c>
      <c r="F99">
        <v>2</v>
      </c>
      <c r="G99" t="s">
        <v>39</v>
      </c>
      <c r="H99" t="s">
        <v>39</v>
      </c>
      <c r="I99" t="s">
        <v>90</v>
      </c>
      <c r="J99" t="s">
        <v>67</v>
      </c>
      <c r="K99" s="1">
        <v>46020</v>
      </c>
      <c r="L99" s="1" t="str">
        <f>IF(K99&gt;O99,"Valid","Invalid")</f>
        <v>Valid</v>
      </c>
      <c r="M99" s="1" t="b">
        <f>ISNUMBER(K99)</f>
        <v>1</v>
      </c>
      <c r="N99" s="1" t="b">
        <f>ISNUMBER(O99)</f>
        <v>1</v>
      </c>
      <c r="O99" s="1">
        <v>45993</v>
      </c>
      <c r="P99" t="s">
        <v>7598</v>
      </c>
      <c r="Q99" t="str">
        <f>SUBSTITUTE(SUBSTITUTE(SUBSTITUTE(P99," ",""),"-",""),"+","")</f>
        <v>919604824408</v>
      </c>
      <c r="R99" t="str">
        <f t="shared" si="2"/>
        <v>9604824408</v>
      </c>
      <c r="S99" t="str">
        <f>IF(LEN(R99),"Valid","Invalid")</f>
        <v>Valid</v>
      </c>
      <c r="T99" t="s">
        <v>7597</v>
      </c>
      <c r="V99" t="s">
        <v>35</v>
      </c>
      <c r="X99">
        <v>2055.7399999999998</v>
      </c>
      <c r="Y99" t="s">
        <v>63</v>
      </c>
      <c r="Z99">
        <v>273</v>
      </c>
      <c r="AA99">
        <f t="shared" si="3"/>
        <v>273</v>
      </c>
      <c r="AB99" t="s">
        <v>34</v>
      </c>
    </row>
    <row r="100" spans="1:28" x14ac:dyDescent="0.3">
      <c r="A100" t="s">
        <v>7596</v>
      </c>
      <c r="B100" t="s">
        <v>7595</v>
      </c>
      <c r="C100" t="s">
        <v>7595</v>
      </c>
      <c r="D100" t="s">
        <v>123</v>
      </c>
      <c r="E100">
        <v>84</v>
      </c>
      <c r="F100">
        <v>84</v>
      </c>
      <c r="G100" t="s">
        <v>80</v>
      </c>
      <c r="H100" t="s">
        <v>80</v>
      </c>
      <c r="I100" t="s">
        <v>67</v>
      </c>
      <c r="J100" t="s">
        <v>67</v>
      </c>
      <c r="K100" s="1">
        <v>46139</v>
      </c>
      <c r="L100" s="1" t="str">
        <f>IF(K100&gt;O100,"Valid","Invalid")</f>
        <v>Valid</v>
      </c>
      <c r="M100" s="1" t="b">
        <f>ISNUMBER(K100)</f>
        <v>1</v>
      </c>
      <c r="N100" s="1" t="b">
        <f>ISNUMBER(O100)</f>
        <v>1</v>
      </c>
      <c r="O100" s="1">
        <v>46112</v>
      </c>
      <c r="P100" t="s">
        <v>7594</v>
      </c>
      <c r="Q100" t="str">
        <f>SUBSTITUTE(SUBSTITUTE(SUBSTITUTE(P100," ",""),"-",""),"+","")</f>
        <v>918578949195</v>
      </c>
      <c r="R100" t="str">
        <f t="shared" si="2"/>
        <v>8578949195</v>
      </c>
      <c r="S100" t="str">
        <f>IF(LEN(R100),"Valid","Invalid")</f>
        <v>Valid</v>
      </c>
      <c r="T100" t="s">
        <v>7593</v>
      </c>
      <c r="V100" t="s">
        <v>123</v>
      </c>
      <c r="X100">
        <v>23862.66</v>
      </c>
      <c r="Y100" t="s">
        <v>123</v>
      </c>
      <c r="Z100">
        <v>546</v>
      </c>
      <c r="AA100">
        <f t="shared" si="3"/>
        <v>546</v>
      </c>
      <c r="AB100" t="s">
        <v>34</v>
      </c>
    </row>
    <row r="101" spans="1:28" x14ac:dyDescent="0.3">
      <c r="A101" t="s">
        <v>7592</v>
      </c>
      <c r="B101" t="s">
        <v>7591</v>
      </c>
      <c r="C101" t="s">
        <v>7591</v>
      </c>
      <c r="D101" t="s">
        <v>40</v>
      </c>
      <c r="E101">
        <v>80</v>
      </c>
      <c r="F101">
        <v>80</v>
      </c>
      <c r="G101" t="s">
        <v>80</v>
      </c>
      <c r="H101" t="s">
        <v>80</v>
      </c>
      <c r="I101" t="s">
        <v>38</v>
      </c>
      <c r="J101" t="s">
        <v>8077</v>
      </c>
      <c r="K101" s="1">
        <v>46145</v>
      </c>
      <c r="L101" s="1" t="str">
        <f>IF(K101&gt;O101,"Valid","Invalid")</f>
        <v>Valid</v>
      </c>
      <c r="M101" s="1" t="b">
        <f>ISNUMBER(K101)</f>
        <v>1</v>
      </c>
      <c r="N101" s="1" t="b">
        <f>ISNUMBER(O101)</f>
        <v>1</v>
      </c>
      <c r="O101" s="1">
        <v>46125</v>
      </c>
      <c r="P101" t="s">
        <v>7590</v>
      </c>
      <c r="Q101" t="str">
        <f>SUBSTITUTE(SUBSTITUTE(SUBSTITUTE(P101," ",""),"-",""),"+","")</f>
        <v>05200720196</v>
      </c>
      <c r="R101" t="str">
        <f t="shared" si="2"/>
        <v>5200720196</v>
      </c>
      <c r="S101" t="str">
        <f>IF(LEN(R101),"Valid","Invalid")</f>
        <v>Valid</v>
      </c>
      <c r="T101" t="s">
        <v>7589</v>
      </c>
      <c r="V101" t="s">
        <v>26</v>
      </c>
      <c r="X101">
        <v>24936.16</v>
      </c>
      <c r="Y101" t="s">
        <v>64</v>
      </c>
      <c r="Z101">
        <v>322</v>
      </c>
      <c r="AA101">
        <f t="shared" si="3"/>
        <v>322</v>
      </c>
      <c r="AB101" t="s">
        <v>77</v>
      </c>
    </row>
    <row r="102" spans="1:28" x14ac:dyDescent="0.3">
      <c r="A102" t="s">
        <v>7588</v>
      </c>
      <c r="B102" t="s">
        <v>7587</v>
      </c>
      <c r="C102" t="s">
        <v>7587</v>
      </c>
      <c r="D102" t="s">
        <v>74</v>
      </c>
      <c r="E102">
        <v>57</v>
      </c>
      <c r="F102">
        <v>57</v>
      </c>
      <c r="G102" t="s">
        <v>39</v>
      </c>
      <c r="H102" t="s">
        <v>39</v>
      </c>
      <c r="I102" t="s">
        <v>30</v>
      </c>
      <c r="J102" t="s">
        <v>30</v>
      </c>
      <c r="K102" s="1">
        <v>46014</v>
      </c>
      <c r="L102" s="1" t="str">
        <f>IF(K102&gt;O102,"Valid","Invalid")</f>
        <v>Valid</v>
      </c>
      <c r="M102" s="1" t="b">
        <f>ISNUMBER(K102)</f>
        <v>1</v>
      </c>
      <c r="N102" s="1" t="b">
        <f>ISNUMBER(O102)</f>
        <v>1</v>
      </c>
      <c r="O102" s="1">
        <v>45986</v>
      </c>
      <c r="P102" t="s">
        <v>7586</v>
      </c>
      <c r="Q102" t="str">
        <f>SUBSTITUTE(SUBSTITUTE(SUBSTITUTE(P102," ",""),"-",""),"+","")</f>
        <v>09134533972</v>
      </c>
      <c r="R102" t="str">
        <f t="shared" si="2"/>
        <v>9134533972</v>
      </c>
      <c r="S102" t="str">
        <f>IF(LEN(R102),"Valid","Invalid")</f>
        <v>Valid</v>
      </c>
      <c r="T102" t="s">
        <v>7585</v>
      </c>
      <c r="V102" t="s">
        <v>27</v>
      </c>
      <c r="X102">
        <v>1340.58</v>
      </c>
      <c r="Y102" t="s">
        <v>27</v>
      </c>
      <c r="Z102">
        <v>250</v>
      </c>
      <c r="AA102">
        <f t="shared" si="3"/>
        <v>250</v>
      </c>
      <c r="AB102" t="s">
        <v>43</v>
      </c>
    </row>
    <row r="103" spans="1:28" x14ac:dyDescent="0.3">
      <c r="A103" t="s">
        <v>7584</v>
      </c>
      <c r="B103" t="s">
        <v>7583</v>
      </c>
      <c r="C103" t="s">
        <v>7583</v>
      </c>
      <c r="D103" t="s">
        <v>60</v>
      </c>
      <c r="E103">
        <v>56</v>
      </c>
      <c r="F103">
        <v>56</v>
      </c>
      <c r="G103" t="s">
        <v>39</v>
      </c>
      <c r="H103" t="s">
        <v>39</v>
      </c>
      <c r="I103" t="s">
        <v>38</v>
      </c>
      <c r="J103" t="s">
        <v>8077</v>
      </c>
      <c r="K103" s="1">
        <v>46163</v>
      </c>
      <c r="L103" s="1" t="str">
        <f>IF(K103&gt;O103,"Valid","Invalid")</f>
        <v>Valid</v>
      </c>
      <c r="M103" s="1" t="b">
        <f>ISNUMBER(K103)</f>
        <v>1</v>
      </c>
      <c r="N103" s="1" t="b">
        <f>ISNUMBER(O103)</f>
        <v>1</v>
      </c>
      <c r="O103" s="1">
        <v>46147</v>
      </c>
      <c r="P103" t="s">
        <v>7582</v>
      </c>
      <c r="Q103" t="str">
        <f>SUBSTITUTE(SUBSTITUTE(SUBSTITUTE(P103," ",""),"-",""),"+","")</f>
        <v>915362765740</v>
      </c>
      <c r="R103" t="str">
        <f t="shared" si="2"/>
        <v>5362765740</v>
      </c>
      <c r="S103" t="str">
        <f>IF(LEN(R103),"Valid","Invalid")</f>
        <v>Valid</v>
      </c>
      <c r="T103" t="s">
        <v>7581</v>
      </c>
      <c r="V103" t="s">
        <v>123</v>
      </c>
      <c r="X103">
        <v>14235.02</v>
      </c>
      <c r="Y103" t="s">
        <v>26</v>
      </c>
      <c r="Z103">
        <v>187</v>
      </c>
      <c r="AA103">
        <f t="shared" si="3"/>
        <v>187</v>
      </c>
      <c r="AB103" t="s">
        <v>71</v>
      </c>
    </row>
    <row r="104" spans="1:28" x14ac:dyDescent="0.3">
      <c r="A104" t="s">
        <v>7580</v>
      </c>
      <c r="B104" t="s">
        <v>7579</v>
      </c>
      <c r="C104" t="s">
        <v>7579</v>
      </c>
      <c r="D104" t="s">
        <v>74</v>
      </c>
      <c r="E104">
        <v>79</v>
      </c>
      <c r="F104">
        <v>79</v>
      </c>
      <c r="G104" t="s">
        <v>54</v>
      </c>
      <c r="H104" t="s">
        <v>54</v>
      </c>
      <c r="I104" t="s">
        <v>38</v>
      </c>
      <c r="J104" t="s">
        <v>8077</v>
      </c>
      <c r="K104" s="1">
        <v>46145</v>
      </c>
      <c r="L104" s="1" t="str">
        <f>IF(K104&gt;O104,"Valid","Invalid")</f>
        <v>Valid</v>
      </c>
      <c r="M104" s="1" t="b">
        <f>ISNUMBER(K104)</f>
        <v>1</v>
      </c>
      <c r="N104" s="1" t="b">
        <f>ISNUMBER(O104)</f>
        <v>1</v>
      </c>
      <c r="O104" s="1">
        <v>46130</v>
      </c>
      <c r="P104" t="s">
        <v>7578</v>
      </c>
      <c r="Q104" t="str">
        <f>SUBSTITUTE(SUBSTITUTE(SUBSTITUTE(P104," ",""),"-",""),"+","")</f>
        <v>05898190874</v>
      </c>
      <c r="R104" t="str">
        <f t="shared" si="2"/>
        <v>5898190874</v>
      </c>
      <c r="S104" t="str">
        <f>IF(LEN(R104),"Valid","Invalid")</f>
        <v>Valid</v>
      </c>
      <c r="T104" t="s">
        <v>7577</v>
      </c>
      <c r="V104" t="s">
        <v>35</v>
      </c>
      <c r="X104">
        <v>5958.27</v>
      </c>
      <c r="Y104" t="s">
        <v>63</v>
      </c>
      <c r="Z104">
        <v>335</v>
      </c>
      <c r="AA104">
        <f t="shared" si="3"/>
        <v>335</v>
      </c>
      <c r="AB104" t="s">
        <v>43</v>
      </c>
    </row>
    <row r="105" spans="1:28" x14ac:dyDescent="0.3">
      <c r="A105" t="s">
        <v>7576</v>
      </c>
      <c r="B105" t="s">
        <v>7575</v>
      </c>
      <c r="C105" t="s">
        <v>7575</v>
      </c>
      <c r="D105" t="s">
        <v>40</v>
      </c>
      <c r="E105">
        <v>60</v>
      </c>
      <c r="F105">
        <v>60</v>
      </c>
      <c r="G105" t="s">
        <v>132</v>
      </c>
      <c r="H105" t="s">
        <v>132</v>
      </c>
      <c r="I105" t="s">
        <v>53</v>
      </c>
      <c r="J105" t="s">
        <v>20</v>
      </c>
      <c r="K105" s="1">
        <v>46069</v>
      </c>
      <c r="L105" s="1" t="str">
        <f>IF(K105&gt;O105,"Valid","Invalid")</f>
        <v>Valid</v>
      </c>
      <c r="M105" s="1" t="b">
        <f>ISNUMBER(K105)</f>
        <v>1</v>
      </c>
      <c r="N105" s="1" t="b">
        <f>ISNUMBER(O105)</f>
        <v>1</v>
      </c>
      <c r="O105" s="1">
        <v>46067</v>
      </c>
      <c r="P105" t="s">
        <v>7574</v>
      </c>
      <c r="Q105" t="str">
        <f>SUBSTITUTE(SUBSTITUTE(SUBSTITUTE(P105," ",""),"-",""),"+","")</f>
        <v>02086696276</v>
      </c>
      <c r="R105" t="str">
        <f t="shared" si="2"/>
        <v>2086696276</v>
      </c>
      <c r="S105" t="str">
        <f>IF(LEN(R105),"Valid","Invalid")</f>
        <v>Valid</v>
      </c>
      <c r="T105" t="s">
        <v>7573</v>
      </c>
      <c r="V105" t="s">
        <v>123</v>
      </c>
      <c r="X105">
        <v>23641.84</v>
      </c>
      <c r="Y105" t="s">
        <v>63</v>
      </c>
      <c r="Z105">
        <v>427</v>
      </c>
      <c r="AA105">
        <f t="shared" si="3"/>
        <v>427</v>
      </c>
      <c r="AB105" t="s">
        <v>16</v>
      </c>
    </row>
    <row r="106" spans="1:28" x14ac:dyDescent="0.3">
      <c r="A106" t="s">
        <v>7572</v>
      </c>
      <c r="B106" t="s">
        <v>7571</v>
      </c>
      <c r="C106" t="s">
        <v>7571</v>
      </c>
      <c r="D106" t="s">
        <v>22</v>
      </c>
      <c r="E106">
        <v>59</v>
      </c>
      <c r="F106">
        <v>59</v>
      </c>
      <c r="G106" t="s">
        <v>132</v>
      </c>
      <c r="H106" t="s">
        <v>132</v>
      </c>
      <c r="I106" t="s">
        <v>38</v>
      </c>
      <c r="J106" t="s">
        <v>8077</v>
      </c>
      <c r="K106" s="1">
        <v>46157</v>
      </c>
      <c r="L106" s="1" t="str">
        <f>IF(K106&gt;O106,"Valid","Invalid")</f>
        <v>Valid</v>
      </c>
      <c r="M106" s="1" t="b">
        <f>ISNUMBER(K106)</f>
        <v>1</v>
      </c>
      <c r="N106" s="1" t="b">
        <f>ISNUMBER(O106)</f>
        <v>1</v>
      </c>
      <c r="O106" s="1">
        <v>46145</v>
      </c>
      <c r="P106" t="s">
        <v>7570</v>
      </c>
      <c r="Q106" t="str">
        <f>SUBSTITUTE(SUBSTITUTE(SUBSTITUTE(P106," ",""),"-",""),"+","")</f>
        <v>8408180897</v>
      </c>
      <c r="R106" t="str">
        <f t="shared" si="2"/>
        <v>8408180897</v>
      </c>
      <c r="S106" t="str">
        <f>IF(LEN(R106),"Valid","Invalid")</f>
        <v>Valid</v>
      </c>
      <c r="T106" t="s">
        <v>7569</v>
      </c>
      <c r="V106" t="s">
        <v>123</v>
      </c>
      <c r="X106">
        <v>2845</v>
      </c>
      <c r="Y106" t="s">
        <v>123</v>
      </c>
      <c r="Z106">
        <v>392</v>
      </c>
      <c r="AA106">
        <f t="shared" si="3"/>
        <v>392</v>
      </c>
      <c r="AB106" t="s">
        <v>43</v>
      </c>
    </row>
    <row r="107" spans="1:28" x14ac:dyDescent="0.3">
      <c r="A107" t="s">
        <v>7568</v>
      </c>
      <c r="B107" t="s">
        <v>7567</v>
      </c>
      <c r="C107" t="s">
        <v>7567</v>
      </c>
      <c r="D107" t="s">
        <v>22</v>
      </c>
      <c r="E107">
        <v>90</v>
      </c>
      <c r="F107">
        <v>90</v>
      </c>
      <c r="G107" t="s">
        <v>132</v>
      </c>
      <c r="H107" t="s">
        <v>132</v>
      </c>
      <c r="I107" t="s">
        <v>46</v>
      </c>
      <c r="J107" t="s">
        <v>46</v>
      </c>
      <c r="K107" s="1">
        <v>46134</v>
      </c>
      <c r="L107" s="1" t="str">
        <f>IF(K107&gt;O107,"Valid","Invalid")</f>
        <v>Valid</v>
      </c>
      <c r="M107" s="1" t="b">
        <f>ISNUMBER(K107)</f>
        <v>1</v>
      </c>
      <c r="N107" s="1" t="b">
        <f>ISNUMBER(O107)</f>
        <v>1</v>
      </c>
      <c r="O107" s="1">
        <v>46108</v>
      </c>
      <c r="P107" t="s">
        <v>7566</v>
      </c>
      <c r="Q107" t="str">
        <f>SUBSTITUTE(SUBSTITUTE(SUBSTITUTE(P107," ",""),"-",""),"+","")</f>
        <v>7476371115</v>
      </c>
      <c r="R107" t="str">
        <f t="shared" si="2"/>
        <v>7476371115</v>
      </c>
      <c r="S107" t="str">
        <f>IF(LEN(R107),"Valid","Invalid")</f>
        <v>Valid</v>
      </c>
      <c r="T107" t="s">
        <v>7565</v>
      </c>
      <c r="V107" t="s">
        <v>123</v>
      </c>
      <c r="X107">
        <v>7007.11</v>
      </c>
      <c r="Y107" t="s">
        <v>27</v>
      </c>
      <c r="Z107">
        <v>410</v>
      </c>
      <c r="AA107">
        <f t="shared" si="3"/>
        <v>410</v>
      </c>
      <c r="AB107" t="s">
        <v>25</v>
      </c>
    </row>
    <row r="108" spans="1:28" x14ac:dyDescent="0.3">
      <c r="A108" t="s">
        <v>7564</v>
      </c>
      <c r="B108" t="s">
        <v>7563</v>
      </c>
      <c r="C108" t="s">
        <v>7563</v>
      </c>
      <c r="E108">
        <v>37</v>
      </c>
      <c r="F108">
        <v>37</v>
      </c>
      <c r="G108" t="s">
        <v>21</v>
      </c>
      <c r="H108" t="s">
        <v>21</v>
      </c>
      <c r="I108" t="s">
        <v>67</v>
      </c>
      <c r="J108" t="s">
        <v>67</v>
      </c>
      <c r="K108" s="1">
        <v>45996</v>
      </c>
      <c r="L108" s="1" t="str">
        <f>IF(K108&gt;O108,"Valid","Invalid")</f>
        <v>Valid</v>
      </c>
      <c r="M108" s="1" t="b">
        <f>ISNUMBER(K108)</f>
        <v>1</v>
      </c>
      <c r="N108" s="1" t="b">
        <f>ISNUMBER(O108)</f>
        <v>1</v>
      </c>
      <c r="O108" s="1">
        <v>45989</v>
      </c>
      <c r="P108" t="s">
        <v>7562</v>
      </c>
      <c r="Q108" t="str">
        <f>SUBSTITUTE(SUBSTITUTE(SUBSTITUTE(P108," ",""),"-",""),"+","")</f>
        <v>919523298268</v>
      </c>
      <c r="R108" t="str">
        <f t="shared" si="2"/>
        <v>9523298268</v>
      </c>
      <c r="S108" t="str">
        <f>IF(LEN(R108),"Valid","Invalid")</f>
        <v>Valid</v>
      </c>
      <c r="T108" t="s">
        <v>7561</v>
      </c>
      <c r="V108" t="s">
        <v>17</v>
      </c>
      <c r="X108">
        <v>15598.1</v>
      </c>
      <c r="Y108" t="s">
        <v>26</v>
      </c>
      <c r="Z108">
        <v>421</v>
      </c>
      <c r="AA108">
        <f t="shared" si="3"/>
        <v>421</v>
      </c>
      <c r="AB108" t="s">
        <v>77</v>
      </c>
    </row>
    <row r="109" spans="1:28" x14ac:dyDescent="0.3">
      <c r="A109" t="s">
        <v>7560</v>
      </c>
      <c r="B109" t="s">
        <v>7559</v>
      </c>
      <c r="C109" t="s">
        <v>7559</v>
      </c>
      <c r="D109" t="s">
        <v>40</v>
      </c>
      <c r="E109">
        <v>40</v>
      </c>
      <c r="F109">
        <v>40</v>
      </c>
      <c r="G109" t="s">
        <v>68</v>
      </c>
      <c r="H109" t="s">
        <v>68</v>
      </c>
      <c r="I109" t="s">
        <v>46</v>
      </c>
      <c r="J109" t="s">
        <v>46</v>
      </c>
      <c r="K109" s="1">
        <v>46066</v>
      </c>
      <c r="L109" s="1" t="str">
        <f>IF(K109&gt;O109,"Valid","Invalid")</f>
        <v>Valid</v>
      </c>
      <c r="M109" s="1" t="b">
        <f>ISNUMBER(K109)</f>
        <v>1</v>
      </c>
      <c r="N109" s="1" t="b">
        <f>ISNUMBER(O109)</f>
        <v>1</v>
      </c>
      <c r="O109" s="1">
        <v>46048</v>
      </c>
      <c r="P109" t="s">
        <v>7558</v>
      </c>
      <c r="Q109" t="str">
        <f>SUBSTITUTE(SUBSTITUTE(SUBSTITUTE(P109," ",""),"-",""),"+","")</f>
        <v>03319487830</v>
      </c>
      <c r="R109" t="str">
        <f t="shared" si="2"/>
        <v>3319487830</v>
      </c>
      <c r="S109" t="str">
        <f>IF(LEN(R109),"Valid","Invalid")</f>
        <v>Valid</v>
      </c>
      <c r="T109" t="s">
        <v>7557</v>
      </c>
      <c r="V109" t="s">
        <v>57</v>
      </c>
      <c r="X109">
        <v>18362.52</v>
      </c>
      <c r="Y109" t="s">
        <v>64</v>
      </c>
      <c r="Z109">
        <v>251</v>
      </c>
      <c r="AA109">
        <f t="shared" si="3"/>
        <v>251</v>
      </c>
      <c r="AB109" t="s">
        <v>43</v>
      </c>
    </row>
    <row r="110" spans="1:28" x14ac:dyDescent="0.3">
      <c r="A110" t="s">
        <v>7556</v>
      </c>
      <c r="B110" t="s">
        <v>7555</v>
      </c>
      <c r="C110" t="s">
        <v>7555</v>
      </c>
      <c r="D110" t="s">
        <v>123</v>
      </c>
      <c r="E110">
        <v>23</v>
      </c>
      <c r="F110">
        <v>23</v>
      </c>
      <c r="G110" t="s">
        <v>21</v>
      </c>
      <c r="H110" t="s">
        <v>21</v>
      </c>
      <c r="I110" t="s">
        <v>53</v>
      </c>
      <c r="J110" t="s">
        <v>20</v>
      </c>
      <c r="K110" s="1">
        <v>46025</v>
      </c>
      <c r="L110" s="1" t="str">
        <f>IF(K110&gt;O110,"Valid","Invalid")</f>
        <v>Valid</v>
      </c>
      <c r="M110" s="1" t="b">
        <f>ISNUMBER(K110)</f>
        <v>1</v>
      </c>
      <c r="N110" s="1" t="b">
        <f>ISNUMBER(O110)</f>
        <v>1</v>
      </c>
      <c r="O110" s="1">
        <v>46000</v>
      </c>
      <c r="P110" t="s">
        <v>7554</v>
      </c>
      <c r="Q110" t="str">
        <f>SUBSTITUTE(SUBSTITUTE(SUBSTITUTE(P110," ",""),"-",""),"+","")</f>
        <v>910226620663</v>
      </c>
      <c r="R110" t="str">
        <f t="shared" si="2"/>
        <v>0226620663</v>
      </c>
      <c r="S110" t="str">
        <f>IF(LEN(R110),"Valid","Invalid")</f>
        <v>Valid</v>
      </c>
      <c r="T110" t="s">
        <v>7553</v>
      </c>
      <c r="V110" t="s">
        <v>57</v>
      </c>
      <c r="X110">
        <v>13365.14</v>
      </c>
      <c r="Y110" t="s">
        <v>63</v>
      </c>
      <c r="Z110">
        <v>525</v>
      </c>
      <c r="AA110">
        <f t="shared" si="3"/>
        <v>525</v>
      </c>
      <c r="AB110" t="s">
        <v>71</v>
      </c>
    </row>
    <row r="111" spans="1:28" x14ac:dyDescent="0.3">
      <c r="A111" t="s">
        <v>7552</v>
      </c>
      <c r="B111" t="s">
        <v>7551</v>
      </c>
      <c r="C111" t="s">
        <v>7551</v>
      </c>
      <c r="D111" t="s">
        <v>22</v>
      </c>
      <c r="E111">
        <v>62</v>
      </c>
      <c r="F111">
        <v>62</v>
      </c>
      <c r="G111" t="s">
        <v>132</v>
      </c>
      <c r="H111" t="s">
        <v>132</v>
      </c>
      <c r="I111" t="s">
        <v>67</v>
      </c>
      <c r="J111" t="s">
        <v>67</v>
      </c>
      <c r="K111" s="1">
        <v>46107</v>
      </c>
      <c r="L111" s="1" t="str">
        <f>IF(K111&gt;O111,"Valid","Invalid")</f>
        <v>Valid</v>
      </c>
      <c r="M111" s="1" t="b">
        <f>ISNUMBER(K111)</f>
        <v>1</v>
      </c>
      <c r="N111" s="1" t="b">
        <f>ISNUMBER(O111)</f>
        <v>1</v>
      </c>
      <c r="O111" s="1">
        <v>46082</v>
      </c>
      <c r="P111" t="s">
        <v>7550</v>
      </c>
      <c r="Q111" t="str">
        <f>SUBSTITUTE(SUBSTITUTE(SUBSTITUTE(P111," ",""),"-",""),"+","")</f>
        <v>8048550730</v>
      </c>
      <c r="R111" t="str">
        <f t="shared" si="2"/>
        <v>8048550730</v>
      </c>
      <c r="S111" t="str">
        <f>IF(LEN(R111),"Valid","Invalid")</f>
        <v>Valid</v>
      </c>
      <c r="T111" t="s">
        <v>7549</v>
      </c>
      <c r="V111" t="s">
        <v>64</v>
      </c>
      <c r="X111">
        <v>11814.62</v>
      </c>
      <c r="Y111" t="s">
        <v>64</v>
      </c>
      <c r="Z111">
        <v>172</v>
      </c>
      <c r="AA111">
        <f t="shared" si="3"/>
        <v>172</v>
      </c>
      <c r="AB111" t="s">
        <v>50</v>
      </c>
    </row>
    <row r="112" spans="1:28" x14ac:dyDescent="0.3">
      <c r="A112" t="s">
        <v>7548</v>
      </c>
      <c r="B112" t="s">
        <v>7547</v>
      </c>
      <c r="C112" t="s">
        <v>7547</v>
      </c>
      <c r="D112" t="s">
        <v>1</v>
      </c>
      <c r="E112">
        <v>87</v>
      </c>
      <c r="F112">
        <v>87</v>
      </c>
      <c r="G112" t="s">
        <v>54</v>
      </c>
      <c r="H112" t="s">
        <v>54</v>
      </c>
      <c r="I112" t="s">
        <v>67</v>
      </c>
      <c r="J112" t="s">
        <v>67</v>
      </c>
      <c r="K112" s="1">
        <v>46032</v>
      </c>
      <c r="L112" s="1" t="str">
        <f>IF(K112&gt;O112,"Valid","Invalid")</f>
        <v>Valid</v>
      </c>
      <c r="M112" s="1" t="b">
        <f>ISNUMBER(K112)</f>
        <v>1</v>
      </c>
      <c r="N112" s="1" t="b">
        <f>ISNUMBER(O112)</f>
        <v>1</v>
      </c>
      <c r="O112" s="1">
        <v>46030</v>
      </c>
      <c r="P112" t="s">
        <v>7546</v>
      </c>
      <c r="Q112" t="str">
        <f>SUBSTITUTE(SUBSTITUTE(SUBSTITUTE(P112," ",""),"-",""),"+","")</f>
        <v>1643755071</v>
      </c>
      <c r="R112" t="str">
        <f t="shared" si="2"/>
        <v>1643755071</v>
      </c>
      <c r="S112" t="str">
        <f>IF(LEN(R112),"Valid","Invalid")</f>
        <v>Valid</v>
      </c>
      <c r="T112" t="s">
        <v>7545</v>
      </c>
      <c r="V112" t="s">
        <v>123</v>
      </c>
      <c r="X112">
        <v>545.17999999999995</v>
      </c>
      <c r="Y112" t="s">
        <v>64</v>
      </c>
      <c r="Z112">
        <v>332</v>
      </c>
      <c r="AA112">
        <f t="shared" si="3"/>
        <v>332</v>
      </c>
      <c r="AB112" t="s">
        <v>43</v>
      </c>
    </row>
    <row r="113" spans="1:28" x14ac:dyDescent="0.3">
      <c r="A113" t="s">
        <v>7544</v>
      </c>
      <c r="B113" t="s">
        <v>7543</v>
      </c>
      <c r="C113" t="s">
        <v>7543</v>
      </c>
      <c r="D113" t="s">
        <v>22</v>
      </c>
      <c r="E113">
        <v>75</v>
      </c>
      <c r="F113">
        <v>75</v>
      </c>
      <c r="G113" t="s">
        <v>54</v>
      </c>
      <c r="H113" t="s">
        <v>54</v>
      </c>
      <c r="I113" t="s">
        <v>67</v>
      </c>
      <c r="J113" t="s">
        <v>67</v>
      </c>
      <c r="K113" s="1">
        <v>46119</v>
      </c>
      <c r="L113" s="1" t="str">
        <f>IF(K113&gt;O113,"Valid","Invalid")</f>
        <v>Valid</v>
      </c>
      <c r="M113" s="1" t="b">
        <f>ISNUMBER(K113)</f>
        <v>1</v>
      </c>
      <c r="N113" s="1" t="b">
        <f>ISNUMBER(O113)</f>
        <v>1</v>
      </c>
      <c r="O113" s="1">
        <v>46116</v>
      </c>
      <c r="P113" t="s">
        <v>7542</v>
      </c>
      <c r="Q113" t="str">
        <f>SUBSTITUTE(SUBSTITUTE(SUBSTITUTE(P113," ",""),"-",""),"+","")</f>
        <v>07227416257</v>
      </c>
      <c r="R113" t="str">
        <f t="shared" si="2"/>
        <v>7227416257</v>
      </c>
      <c r="S113" t="str">
        <f>IF(LEN(R113),"Valid","Invalid")</f>
        <v>Valid</v>
      </c>
      <c r="T113" t="s">
        <v>7541</v>
      </c>
      <c r="V113" t="s">
        <v>17</v>
      </c>
      <c r="X113">
        <v>11892.63</v>
      </c>
      <c r="Y113" t="s">
        <v>17</v>
      </c>
      <c r="Z113">
        <v>412</v>
      </c>
      <c r="AA113">
        <f t="shared" si="3"/>
        <v>412</v>
      </c>
      <c r="AB113" t="s">
        <v>71</v>
      </c>
    </row>
    <row r="114" spans="1:28" x14ac:dyDescent="0.3">
      <c r="A114" t="s">
        <v>7540</v>
      </c>
      <c r="B114" t="s">
        <v>7539</v>
      </c>
      <c r="C114" t="s">
        <v>7539</v>
      </c>
      <c r="D114" t="s">
        <v>74</v>
      </c>
      <c r="E114">
        <v>82</v>
      </c>
      <c r="F114">
        <v>82</v>
      </c>
      <c r="G114" t="s">
        <v>68</v>
      </c>
      <c r="H114" t="s">
        <v>68</v>
      </c>
      <c r="I114" t="s">
        <v>30</v>
      </c>
      <c r="J114" t="s">
        <v>30</v>
      </c>
      <c r="K114" s="1">
        <v>46029</v>
      </c>
      <c r="L114" s="1" t="str">
        <f>IF(K114&gt;O114,"Valid","Invalid")</f>
        <v>Valid</v>
      </c>
      <c r="M114" s="1" t="b">
        <f>ISNUMBER(K114)</f>
        <v>1</v>
      </c>
      <c r="N114" s="1" t="b">
        <f>ISNUMBER(O114)</f>
        <v>1</v>
      </c>
      <c r="O114" s="1">
        <v>46009</v>
      </c>
      <c r="P114" t="s">
        <v>7538</v>
      </c>
      <c r="Q114" t="str">
        <f>SUBSTITUTE(SUBSTITUTE(SUBSTITUTE(P114," ",""),"-",""),"+","")</f>
        <v>1212373232</v>
      </c>
      <c r="R114" t="str">
        <f t="shared" si="2"/>
        <v>1212373232</v>
      </c>
      <c r="S114" t="str">
        <f>IF(LEN(R114),"Valid","Invalid")</f>
        <v>Valid</v>
      </c>
      <c r="T114" t="s">
        <v>7537</v>
      </c>
      <c r="V114" t="s">
        <v>123</v>
      </c>
      <c r="X114">
        <v>3093.56</v>
      </c>
      <c r="Y114" t="s">
        <v>27</v>
      </c>
      <c r="Z114">
        <v>119</v>
      </c>
      <c r="AA114">
        <f t="shared" si="3"/>
        <v>119</v>
      </c>
      <c r="AB114" t="s">
        <v>43</v>
      </c>
    </row>
    <row r="115" spans="1:28" x14ac:dyDescent="0.3">
      <c r="A115" t="s">
        <v>7536</v>
      </c>
      <c r="B115" t="s">
        <v>7535</v>
      </c>
      <c r="C115" t="s">
        <v>7535</v>
      </c>
      <c r="E115">
        <v>15</v>
      </c>
      <c r="F115">
        <v>15</v>
      </c>
      <c r="G115" t="s">
        <v>80</v>
      </c>
      <c r="H115" t="s">
        <v>80</v>
      </c>
      <c r="I115" t="s">
        <v>38</v>
      </c>
      <c r="J115" t="s">
        <v>8077</v>
      </c>
      <c r="K115" s="1">
        <v>46158</v>
      </c>
      <c r="L115" s="1" t="str">
        <f>IF(K115&gt;O115,"Valid","Invalid")</f>
        <v>Valid</v>
      </c>
      <c r="M115" s="1" t="b">
        <f>ISNUMBER(K115)</f>
        <v>1</v>
      </c>
      <c r="N115" s="1" t="b">
        <f>ISNUMBER(O115)</f>
        <v>1</v>
      </c>
      <c r="O115" s="1">
        <v>46130</v>
      </c>
      <c r="P115" t="s">
        <v>7534</v>
      </c>
      <c r="Q115" t="str">
        <f>SUBSTITUTE(SUBSTITUTE(SUBSTITUTE(P115," ",""),"-",""),"+","")</f>
        <v>4185450661</v>
      </c>
      <c r="R115" t="str">
        <f t="shared" si="2"/>
        <v>4185450661</v>
      </c>
      <c r="S115" t="str">
        <f>IF(LEN(R115),"Valid","Invalid")</f>
        <v>Valid</v>
      </c>
      <c r="T115" t="s">
        <v>7533</v>
      </c>
      <c r="V115" t="s">
        <v>35</v>
      </c>
      <c r="X115">
        <v>9838.42</v>
      </c>
      <c r="Y115" t="s">
        <v>17</v>
      </c>
      <c r="Z115">
        <v>443</v>
      </c>
      <c r="AA115">
        <f t="shared" si="3"/>
        <v>443</v>
      </c>
      <c r="AB115" t="s">
        <v>25</v>
      </c>
    </row>
    <row r="116" spans="1:28" x14ac:dyDescent="0.3">
      <c r="A116" t="s">
        <v>7532</v>
      </c>
      <c r="B116" t="s">
        <v>7531</v>
      </c>
      <c r="C116" t="s">
        <v>7531</v>
      </c>
      <c r="D116" t="s">
        <v>123</v>
      </c>
      <c r="E116">
        <v>76</v>
      </c>
      <c r="F116">
        <v>76</v>
      </c>
      <c r="G116" t="s">
        <v>39</v>
      </c>
      <c r="H116" t="s">
        <v>39</v>
      </c>
      <c r="I116" t="s">
        <v>90</v>
      </c>
      <c r="J116" t="s">
        <v>67</v>
      </c>
      <c r="K116" s="1">
        <v>46140</v>
      </c>
      <c r="L116" s="1" t="str">
        <f>IF(K116&gt;O116,"Valid","Invalid")</f>
        <v>Valid</v>
      </c>
      <c r="M116" s="1" t="b">
        <f>ISNUMBER(K116)</f>
        <v>1</v>
      </c>
      <c r="N116" s="1" t="b">
        <f>ISNUMBER(O116)</f>
        <v>1</v>
      </c>
      <c r="O116" s="1">
        <v>46120</v>
      </c>
      <c r="P116" t="s">
        <v>7530</v>
      </c>
      <c r="Q116" t="str">
        <f>SUBSTITUTE(SUBSTITUTE(SUBSTITUTE(P116," ",""),"-",""),"+","")</f>
        <v>915136186456</v>
      </c>
      <c r="R116" t="str">
        <f t="shared" si="2"/>
        <v>5136186456</v>
      </c>
      <c r="S116" t="str">
        <f>IF(LEN(R116),"Valid","Invalid")</f>
        <v>Valid</v>
      </c>
      <c r="T116" t="s">
        <v>7529</v>
      </c>
      <c r="V116" t="s">
        <v>64</v>
      </c>
      <c r="X116">
        <v>20875.59</v>
      </c>
      <c r="Y116" t="s">
        <v>123</v>
      </c>
      <c r="Z116">
        <v>243</v>
      </c>
      <c r="AA116">
        <f t="shared" si="3"/>
        <v>243</v>
      </c>
      <c r="AB116" t="s">
        <v>77</v>
      </c>
    </row>
    <row r="117" spans="1:28" x14ac:dyDescent="0.3">
      <c r="A117" t="s">
        <v>7528</v>
      </c>
      <c r="B117" t="s">
        <v>7527</v>
      </c>
      <c r="C117" t="s">
        <v>7527</v>
      </c>
      <c r="D117" t="s">
        <v>60</v>
      </c>
      <c r="E117">
        <v>28</v>
      </c>
      <c r="F117">
        <v>28</v>
      </c>
      <c r="G117" t="s">
        <v>68</v>
      </c>
      <c r="H117" t="s">
        <v>68</v>
      </c>
      <c r="I117" t="s">
        <v>85</v>
      </c>
      <c r="J117" t="s">
        <v>85</v>
      </c>
      <c r="K117" s="1">
        <v>46177</v>
      </c>
      <c r="L117" s="1" t="str">
        <f>IF(K117&gt;O117,"Valid","Invalid")</f>
        <v>Valid</v>
      </c>
      <c r="M117" s="1" t="b">
        <f>ISNUMBER(K117)</f>
        <v>1</v>
      </c>
      <c r="N117" s="1" t="b">
        <f>ISNUMBER(O117)</f>
        <v>1</v>
      </c>
      <c r="O117" s="1">
        <v>46147</v>
      </c>
      <c r="P117" t="s">
        <v>7526</v>
      </c>
      <c r="Q117" t="str">
        <f>SUBSTITUTE(SUBSTITUTE(SUBSTITUTE(P117," ",""),"-",""),"+","")</f>
        <v>917811748749</v>
      </c>
      <c r="R117" t="str">
        <f t="shared" si="2"/>
        <v>7811748749</v>
      </c>
      <c r="S117" t="str">
        <f>IF(LEN(R117),"Valid","Invalid")</f>
        <v>Valid</v>
      </c>
      <c r="T117" t="s">
        <v>7525</v>
      </c>
      <c r="V117" t="s">
        <v>17</v>
      </c>
      <c r="X117">
        <v>21415.16</v>
      </c>
      <c r="Y117" t="s">
        <v>64</v>
      </c>
      <c r="Z117">
        <v>451</v>
      </c>
      <c r="AA117">
        <f t="shared" si="3"/>
        <v>451</v>
      </c>
      <c r="AB117" t="s">
        <v>43</v>
      </c>
    </row>
    <row r="118" spans="1:28" x14ac:dyDescent="0.3">
      <c r="A118" t="s">
        <v>7524</v>
      </c>
      <c r="B118" t="s">
        <v>7523</v>
      </c>
      <c r="C118" t="s">
        <v>7523</v>
      </c>
      <c r="D118" t="s">
        <v>60</v>
      </c>
      <c r="E118">
        <v>8</v>
      </c>
      <c r="F118">
        <v>8</v>
      </c>
      <c r="G118" t="s">
        <v>54</v>
      </c>
      <c r="H118" t="s">
        <v>54</v>
      </c>
      <c r="I118" t="s">
        <v>30</v>
      </c>
      <c r="J118" t="s">
        <v>30</v>
      </c>
      <c r="K118" s="1">
        <v>46060</v>
      </c>
      <c r="L118" s="1" t="str">
        <f>IF(K118&gt;O118,"Valid","Invalid")</f>
        <v>Valid</v>
      </c>
      <c r="M118" s="1" t="b">
        <f>ISNUMBER(K118)</f>
        <v>1</v>
      </c>
      <c r="N118" s="1" t="b">
        <f>ISNUMBER(O118)</f>
        <v>1</v>
      </c>
      <c r="O118" s="1">
        <v>46054</v>
      </c>
      <c r="P118" t="s">
        <v>7522</v>
      </c>
      <c r="Q118" t="str">
        <f>SUBSTITUTE(SUBSTITUTE(SUBSTITUTE(P118," ",""),"-",""),"+","")</f>
        <v>918669555268</v>
      </c>
      <c r="R118" t="str">
        <f t="shared" si="2"/>
        <v>8669555268</v>
      </c>
      <c r="S118" t="str">
        <f>IF(LEN(R118),"Valid","Invalid")</f>
        <v>Valid</v>
      </c>
      <c r="T118" t="s">
        <v>7521</v>
      </c>
      <c r="V118" t="s">
        <v>64</v>
      </c>
      <c r="X118">
        <v>23735.47</v>
      </c>
      <c r="Y118" t="s">
        <v>123</v>
      </c>
      <c r="Z118">
        <v>146</v>
      </c>
      <c r="AA118">
        <f t="shared" si="3"/>
        <v>146</v>
      </c>
      <c r="AB118" t="s">
        <v>25</v>
      </c>
    </row>
    <row r="119" spans="1:28" x14ac:dyDescent="0.3">
      <c r="A119" t="s">
        <v>7520</v>
      </c>
      <c r="B119" t="s">
        <v>7519</v>
      </c>
      <c r="C119" t="s">
        <v>7519</v>
      </c>
      <c r="D119" t="s">
        <v>1</v>
      </c>
      <c r="E119">
        <v>83</v>
      </c>
      <c r="F119">
        <v>83</v>
      </c>
      <c r="G119" t="s">
        <v>47</v>
      </c>
      <c r="H119" t="s">
        <v>47</v>
      </c>
      <c r="I119" t="s">
        <v>46</v>
      </c>
      <c r="J119" t="s">
        <v>46</v>
      </c>
      <c r="K119" s="1">
        <v>46115</v>
      </c>
      <c r="L119" s="1" t="str">
        <f>IF(K119&gt;O119,"Valid","Invalid")</f>
        <v>Valid</v>
      </c>
      <c r="M119" s="1" t="b">
        <f>ISNUMBER(K119)</f>
        <v>1</v>
      </c>
      <c r="N119" s="1" t="b">
        <f>ISNUMBER(O119)</f>
        <v>1</v>
      </c>
      <c r="O119" s="1">
        <v>46090</v>
      </c>
      <c r="P119" t="s">
        <v>7518</v>
      </c>
      <c r="Q119" t="str">
        <f>SUBSTITUTE(SUBSTITUTE(SUBSTITUTE(P119," ",""),"-",""),"+","")</f>
        <v>6911891854</v>
      </c>
      <c r="R119" t="str">
        <f t="shared" si="2"/>
        <v>6911891854</v>
      </c>
      <c r="S119" t="str">
        <f>IF(LEN(R119),"Valid","Invalid")</f>
        <v>Valid</v>
      </c>
      <c r="T119" t="s">
        <v>7517</v>
      </c>
      <c r="V119" t="s">
        <v>57</v>
      </c>
      <c r="X119">
        <v>6240.51</v>
      </c>
      <c r="Y119" t="s">
        <v>26</v>
      </c>
      <c r="Z119">
        <v>502</v>
      </c>
      <c r="AA119">
        <f t="shared" si="3"/>
        <v>502</v>
      </c>
      <c r="AB119" t="s">
        <v>34</v>
      </c>
    </row>
    <row r="120" spans="1:28" x14ac:dyDescent="0.3">
      <c r="A120" t="s">
        <v>7516</v>
      </c>
      <c r="B120" t="s">
        <v>7515</v>
      </c>
      <c r="C120" t="s">
        <v>7515</v>
      </c>
      <c r="D120" t="s">
        <v>1</v>
      </c>
      <c r="E120">
        <v>9</v>
      </c>
      <c r="F120">
        <v>9</v>
      </c>
      <c r="G120" t="s">
        <v>1326</v>
      </c>
      <c r="H120" t="s">
        <v>1326</v>
      </c>
      <c r="I120" t="s">
        <v>38</v>
      </c>
      <c r="J120" t="s">
        <v>8077</v>
      </c>
      <c r="K120" s="1">
        <v>46157</v>
      </c>
      <c r="L120" s="1" t="str">
        <f>IF(K120&gt;O120,"Valid","Invalid")</f>
        <v>Valid</v>
      </c>
      <c r="M120" s="1" t="b">
        <f>ISNUMBER(K120)</f>
        <v>1</v>
      </c>
      <c r="N120" s="1" t="b">
        <f>ISNUMBER(O120)</f>
        <v>1</v>
      </c>
      <c r="O120" s="1">
        <v>46131</v>
      </c>
      <c r="P120" t="s">
        <v>7514</v>
      </c>
      <c r="Q120" t="str">
        <f>SUBSTITUTE(SUBSTITUTE(SUBSTITUTE(P120," ",""),"-",""),"+","")</f>
        <v>2066179013</v>
      </c>
      <c r="R120" t="str">
        <f t="shared" si="2"/>
        <v>2066179013</v>
      </c>
      <c r="S120" t="str">
        <f>IF(LEN(R120),"Valid","Invalid")</f>
        <v>Valid</v>
      </c>
      <c r="T120" t="s">
        <v>7513</v>
      </c>
      <c r="V120" t="s">
        <v>17</v>
      </c>
      <c r="X120">
        <v>8348.2800000000007</v>
      </c>
      <c r="Y120" t="s">
        <v>26</v>
      </c>
      <c r="Z120">
        <v>503</v>
      </c>
      <c r="AA120">
        <f t="shared" si="3"/>
        <v>503</v>
      </c>
      <c r="AB120" t="s">
        <v>34</v>
      </c>
    </row>
    <row r="121" spans="1:28" x14ac:dyDescent="0.3">
      <c r="A121" t="s">
        <v>7512</v>
      </c>
      <c r="B121" t="s">
        <v>7511</v>
      </c>
      <c r="C121" t="s">
        <v>7511</v>
      </c>
      <c r="D121" t="s">
        <v>40</v>
      </c>
      <c r="E121">
        <v>36</v>
      </c>
      <c r="F121">
        <v>36</v>
      </c>
      <c r="G121" t="s">
        <v>39</v>
      </c>
      <c r="H121" t="s">
        <v>39</v>
      </c>
      <c r="I121" t="s">
        <v>53</v>
      </c>
      <c r="J121" t="s">
        <v>20</v>
      </c>
      <c r="K121" s="1">
        <v>46012</v>
      </c>
      <c r="L121" s="1" t="str">
        <f>IF(K121&gt;O121,"Valid","Invalid")</f>
        <v>Valid</v>
      </c>
      <c r="M121" s="1" t="b">
        <f>ISNUMBER(K121)</f>
        <v>1</v>
      </c>
      <c r="N121" s="1" t="b">
        <f>ISNUMBER(O121)</f>
        <v>1</v>
      </c>
      <c r="O121" s="1">
        <v>45995</v>
      </c>
      <c r="P121" t="s">
        <v>7510</v>
      </c>
      <c r="Q121" t="str">
        <f>SUBSTITUTE(SUBSTITUTE(SUBSTITUTE(P121," ",""),"-",""),"+","")</f>
        <v>910105283208</v>
      </c>
      <c r="R121" t="str">
        <f t="shared" si="2"/>
        <v>0105283208</v>
      </c>
      <c r="S121" t="str">
        <f>IF(LEN(R121),"Valid","Invalid")</f>
        <v>Valid</v>
      </c>
      <c r="T121" t="s">
        <v>7509</v>
      </c>
      <c r="V121" t="s">
        <v>26</v>
      </c>
      <c r="X121">
        <v>20003.14</v>
      </c>
      <c r="Y121" t="s">
        <v>64</v>
      </c>
      <c r="Z121">
        <v>438</v>
      </c>
      <c r="AA121">
        <f t="shared" si="3"/>
        <v>438</v>
      </c>
      <c r="AB121" t="s">
        <v>50</v>
      </c>
    </row>
    <row r="122" spans="1:28" x14ac:dyDescent="0.3">
      <c r="A122" t="s">
        <v>7508</v>
      </c>
      <c r="B122" t="s">
        <v>7507</v>
      </c>
      <c r="C122" t="s">
        <v>7507</v>
      </c>
      <c r="D122" t="s">
        <v>40</v>
      </c>
      <c r="E122">
        <v>17</v>
      </c>
      <c r="F122">
        <v>17</v>
      </c>
      <c r="G122" t="s">
        <v>47</v>
      </c>
      <c r="H122" t="s">
        <v>47</v>
      </c>
      <c r="I122" t="s">
        <v>67</v>
      </c>
      <c r="J122" t="s">
        <v>67</v>
      </c>
      <c r="K122" s="1">
        <v>46015</v>
      </c>
      <c r="L122" s="1" t="str">
        <f>IF(K122&gt;O122,"Valid","Invalid")</f>
        <v>Valid</v>
      </c>
      <c r="M122" s="1" t="b">
        <f>ISNUMBER(K122)</f>
        <v>1</v>
      </c>
      <c r="N122" s="1" t="b">
        <f>ISNUMBER(O122)</f>
        <v>1</v>
      </c>
      <c r="O122" s="1">
        <v>45990</v>
      </c>
      <c r="P122" t="s">
        <v>7506</v>
      </c>
      <c r="Q122" t="str">
        <f>SUBSTITUTE(SUBSTITUTE(SUBSTITUTE(P122," ",""),"-",""),"+","")</f>
        <v>08120632221</v>
      </c>
      <c r="R122" t="str">
        <f t="shared" si="2"/>
        <v>8120632221</v>
      </c>
      <c r="S122" t="str">
        <f>IF(LEN(R122),"Valid","Invalid")</f>
        <v>Valid</v>
      </c>
      <c r="T122" t="s">
        <v>7505</v>
      </c>
      <c r="V122" t="s">
        <v>17</v>
      </c>
      <c r="X122">
        <v>14803.55</v>
      </c>
      <c r="Y122" t="s">
        <v>27</v>
      </c>
      <c r="Z122">
        <v>189</v>
      </c>
      <c r="AA122">
        <f t="shared" si="3"/>
        <v>189</v>
      </c>
      <c r="AB122" t="s">
        <v>43</v>
      </c>
    </row>
    <row r="123" spans="1:28" x14ac:dyDescent="0.3">
      <c r="A123" t="s">
        <v>7504</v>
      </c>
      <c r="B123" t="s">
        <v>7503</v>
      </c>
      <c r="C123" t="s">
        <v>7503</v>
      </c>
      <c r="D123" t="s">
        <v>40</v>
      </c>
      <c r="E123">
        <v>17</v>
      </c>
      <c r="F123">
        <v>17</v>
      </c>
      <c r="G123" t="s">
        <v>54</v>
      </c>
      <c r="H123" t="s">
        <v>54</v>
      </c>
      <c r="I123" t="s">
        <v>20</v>
      </c>
      <c r="J123" t="s">
        <v>20</v>
      </c>
      <c r="K123" s="1">
        <v>46170</v>
      </c>
      <c r="L123" s="1" t="str">
        <f>IF(K123&gt;O123,"Valid","Invalid")</f>
        <v>Valid</v>
      </c>
      <c r="M123" s="1" t="b">
        <f>ISNUMBER(K123)</f>
        <v>1</v>
      </c>
      <c r="N123" s="1" t="b">
        <f>ISNUMBER(O123)</f>
        <v>1</v>
      </c>
      <c r="O123" s="1">
        <v>46147</v>
      </c>
      <c r="P123" t="s">
        <v>7502</v>
      </c>
      <c r="Q123" t="str">
        <f>SUBSTITUTE(SUBSTITUTE(SUBSTITUTE(P123," ",""),"-",""),"+","")</f>
        <v>5929429220</v>
      </c>
      <c r="R123" t="str">
        <f t="shared" si="2"/>
        <v>5929429220</v>
      </c>
      <c r="S123" t="str">
        <f>IF(LEN(R123),"Valid","Invalid")</f>
        <v>Valid</v>
      </c>
      <c r="T123" t="s">
        <v>7501</v>
      </c>
      <c r="V123" t="s">
        <v>64</v>
      </c>
      <c r="X123">
        <v>12010.9</v>
      </c>
      <c r="Y123" t="s">
        <v>17</v>
      </c>
      <c r="Z123">
        <v>362</v>
      </c>
      <c r="AA123">
        <f t="shared" si="3"/>
        <v>362</v>
      </c>
      <c r="AB123" t="s">
        <v>34</v>
      </c>
    </row>
    <row r="124" spans="1:28" x14ac:dyDescent="0.3">
      <c r="A124" t="s">
        <v>7500</v>
      </c>
      <c r="B124" t="s">
        <v>7499</v>
      </c>
      <c r="C124" t="s">
        <v>7499</v>
      </c>
      <c r="D124" t="s">
        <v>74</v>
      </c>
      <c r="E124">
        <v>58</v>
      </c>
      <c r="F124">
        <v>58</v>
      </c>
      <c r="G124" t="s">
        <v>21</v>
      </c>
      <c r="H124" t="s">
        <v>21</v>
      </c>
      <c r="I124" t="s">
        <v>46</v>
      </c>
      <c r="J124" t="s">
        <v>46</v>
      </c>
      <c r="K124" s="1">
        <v>46160</v>
      </c>
      <c r="L124" s="1" t="str">
        <f>IF(K124&gt;O124,"Valid","Invalid")</f>
        <v>Valid</v>
      </c>
      <c r="M124" s="1" t="b">
        <f>ISNUMBER(K124)</f>
        <v>1</v>
      </c>
      <c r="N124" s="1" t="b">
        <f>ISNUMBER(O124)</f>
        <v>1</v>
      </c>
      <c r="O124" s="1">
        <v>46137</v>
      </c>
      <c r="P124" t="s">
        <v>7498</v>
      </c>
      <c r="Q124" t="str">
        <f>SUBSTITUTE(SUBSTITUTE(SUBSTITUTE(P124," ",""),"-",""),"+","")</f>
        <v>1200020161</v>
      </c>
      <c r="R124" t="str">
        <f t="shared" si="2"/>
        <v>1200020161</v>
      </c>
      <c r="S124" t="str">
        <f>IF(LEN(R124),"Valid","Invalid")</f>
        <v>Valid</v>
      </c>
      <c r="T124" t="s">
        <v>7497</v>
      </c>
      <c r="V124" t="s">
        <v>26</v>
      </c>
      <c r="X124">
        <v>11559.45</v>
      </c>
      <c r="Y124" t="s">
        <v>27</v>
      </c>
      <c r="Z124">
        <v>131</v>
      </c>
      <c r="AA124">
        <f t="shared" si="3"/>
        <v>131</v>
      </c>
      <c r="AB124" t="s">
        <v>16</v>
      </c>
    </row>
    <row r="125" spans="1:28" x14ac:dyDescent="0.3">
      <c r="A125" t="s">
        <v>7496</v>
      </c>
      <c r="B125" t="s">
        <v>7495</v>
      </c>
      <c r="C125" t="s">
        <v>7495</v>
      </c>
      <c r="D125" t="s">
        <v>123</v>
      </c>
      <c r="E125">
        <v>55</v>
      </c>
      <c r="F125">
        <v>55</v>
      </c>
      <c r="G125" t="s">
        <v>80</v>
      </c>
      <c r="H125" t="s">
        <v>80</v>
      </c>
      <c r="I125" t="s">
        <v>85</v>
      </c>
      <c r="J125" t="s">
        <v>85</v>
      </c>
      <c r="K125" s="1">
        <v>46145</v>
      </c>
      <c r="L125" s="1" t="str">
        <f>IF(K125&gt;O125,"Valid","Invalid")</f>
        <v>Valid</v>
      </c>
      <c r="M125" s="1" t="b">
        <f>ISNUMBER(K125)</f>
        <v>1</v>
      </c>
      <c r="N125" s="1" t="b">
        <f>ISNUMBER(O125)</f>
        <v>1</v>
      </c>
      <c r="O125" s="1">
        <v>46123</v>
      </c>
      <c r="P125" t="s">
        <v>7494</v>
      </c>
      <c r="Q125" t="str">
        <f>SUBSTITUTE(SUBSTITUTE(SUBSTITUTE(P125," ",""),"-",""),"+","")</f>
        <v>4905823266</v>
      </c>
      <c r="R125" t="str">
        <f t="shared" si="2"/>
        <v>4905823266</v>
      </c>
      <c r="S125" t="str">
        <f>IF(LEN(R125),"Valid","Invalid")</f>
        <v>Valid</v>
      </c>
      <c r="T125" t="s">
        <v>7493</v>
      </c>
      <c r="V125" t="s">
        <v>123</v>
      </c>
      <c r="X125">
        <v>2022.57</v>
      </c>
      <c r="Y125" t="s">
        <v>64</v>
      </c>
      <c r="Z125">
        <v>264</v>
      </c>
      <c r="AA125">
        <f t="shared" si="3"/>
        <v>264</v>
      </c>
      <c r="AB125" t="s">
        <v>34</v>
      </c>
    </row>
    <row r="126" spans="1:28" x14ac:dyDescent="0.3">
      <c r="A126" t="s">
        <v>7492</v>
      </c>
      <c r="B126" t="s">
        <v>7491</v>
      </c>
      <c r="C126" t="s">
        <v>7491</v>
      </c>
      <c r="D126" t="s">
        <v>0</v>
      </c>
      <c r="E126">
        <v>9</v>
      </c>
      <c r="F126">
        <v>9</v>
      </c>
      <c r="G126" t="s">
        <v>39</v>
      </c>
      <c r="H126" t="s">
        <v>39</v>
      </c>
      <c r="I126" t="s">
        <v>30</v>
      </c>
      <c r="J126" t="s">
        <v>30</v>
      </c>
      <c r="K126" s="1">
        <v>46133</v>
      </c>
      <c r="L126" s="1" t="str">
        <f>IF(K126&gt;O126,"Valid","Invalid")</f>
        <v>Valid</v>
      </c>
      <c r="M126" s="1" t="b">
        <f>ISNUMBER(K126)</f>
        <v>1</v>
      </c>
      <c r="N126" s="1" t="b">
        <f>ISNUMBER(O126)</f>
        <v>1</v>
      </c>
      <c r="O126" s="1">
        <v>46114</v>
      </c>
      <c r="P126" t="s">
        <v>7490</v>
      </c>
      <c r="Q126" t="str">
        <f>SUBSTITUTE(SUBSTITUTE(SUBSTITUTE(P126," ",""),"-",""),"+","")</f>
        <v>915228930409</v>
      </c>
      <c r="R126" t="str">
        <f t="shared" si="2"/>
        <v>5228930409</v>
      </c>
      <c r="S126" t="str">
        <f>IF(LEN(R126),"Valid","Invalid")</f>
        <v>Valid</v>
      </c>
      <c r="T126" t="s">
        <v>7489</v>
      </c>
      <c r="V126" t="s">
        <v>57</v>
      </c>
      <c r="X126">
        <v>9646.43</v>
      </c>
      <c r="Y126" t="s">
        <v>63</v>
      </c>
      <c r="Z126">
        <v>332</v>
      </c>
      <c r="AA126">
        <f t="shared" si="3"/>
        <v>332</v>
      </c>
      <c r="AB126" t="s">
        <v>34</v>
      </c>
    </row>
    <row r="127" spans="1:28" x14ac:dyDescent="0.3">
      <c r="A127" t="s">
        <v>7488</v>
      </c>
      <c r="B127" t="s">
        <v>7487</v>
      </c>
      <c r="C127" t="s">
        <v>7487</v>
      </c>
      <c r="D127" t="s">
        <v>123</v>
      </c>
      <c r="E127">
        <v>13</v>
      </c>
      <c r="F127">
        <v>13</v>
      </c>
      <c r="G127" t="s">
        <v>80</v>
      </c>
      <c r="H127" t="s">
        <v>80</v>
      </c>
      <c r="I127" t="s">
        <v>38</v>
      </c>
      <c r="J127" t="s">
        <v>8077</v>
      </c>
      <c r="K127" s="1">
        <v>46040</v>
      </c>
      <c r="L127" s="1" t="str">
        <f>IF(K127&gt;O127,"Valid","Invalid")</f>
        <v>Valid</v>
      </c>
      <c r="M127" s="1" t="b">
        <f>ISNUMBER(K127)</f>
        <v>1</v>
      </c>
      <c r="N127" s="1" t="b">
        <f>ISNUMBER(O127)</f>
        <v>1</v>
      </c>
      <c r="O127" s="1">
        <v>46027</v>
      </c>
      <c r="P127" t="s">
        <v>7486</v>
      </c>
      <c r="Q127" t="str">
        <f>SUBSTITUTE(SUBSTITUTE(SUBSTITUTE(P127," ",""),"-",""),"+","")</f>
        <v>09104295268</v>
      </c>
      <c r="R127" t="str">
        <f t="shared" si="2"/>
        <v>9104295268</v>
      </c>
      <c r="S127" t="str">
        <f>IF(LEN(R127),"Valid","Invalid")</f>
        <v>Valid</v>
      </c>
      <c r="T127" t="s">
        <v>7485</v>
      </c>
      <c r="V127" t="s">
        <v>123</v>
      </c>
      <c r="X127">
        <v>22224.66</v>
      </c>
      <c r="Y127" t="s">
        <v>123</v>
      </c>
      <c r="Z127">
        <v>273</v>
      </c>
      <c r="AA127">
        <f t="shared" si="3"/>
        <v>273</v>
      </c>
      <c r="AB127" t="s">
        <v>50</v>
      </c>
    </row>
    <row r="128" spans="1:28" x14ac:dyDescent="0.3">
      <c r="A128" t="s">
        <v>7484</v>
      </c>
      <c r="B128" t="s">
        <v>7483</v>
      </c>
      <c r="C128" t="s">
        <v>7483</v>
      </c>
      <c r="E128">
        <v>52</v>
      </c>
      <c r="F128">
        <v>52</v>
      </c>
      <c r="G128" t="s">
        <v>54</v>
      </c>
      <c r="H128" t="s">
        <v>54</v>
      </c>
      <c r="I128" t="s">
        <v>20</v>
      </c>
      <c r="J128" t="s">
        <v>20</v>
      </c>
      <c r="K128" s="1">
        <v>46039</v>
      </c>
      <c r="L128" s="1" t="str">
        <f>IF(K128&gt;O128,"Valid","Invalid")</f>
        <v>Valid</v>
      </c>
      <c r="M128" s="1" t="b">
        <f>ISNUMBER(K128)</f>
        <v>1</v>
      </c>
      <c r="N128" s="1" t="b">
        <f>ISNUMBER(O128)</f>
        <v>1</v>
      </c>
      <c r="O128" s="1">
        <v>46029</v>
      </c>
      <c r="P128" t="s">
        <v>7482</v>
      </c>
      <c r="Q128" t="str">
        <f>SUBSTITUTE(SUBSTITUTE(SUBSTITUTE(P128," ",""),"-",""),"+","")</f>
        <v>1408930197</v>
      </c>
      <c r="R128" t="str">
        <f t="shared" si="2"/>
        <v>1408930197</v>
      </c>
      <c r="S128" t="str">
        <f>IF(LEN(R128),"Valid","Invalid")</f>
        <v>Valid</v>
      </c>
      <c r="T128" t="s">
        <v>7481</v>
      </c>
      <c r="V128" t="s">
        <v>123</v>
      </c>
      <c r="X128">
        <v>7950.58</v>
      </c>
      <c r="Y128" t="s">
        <v>63</v>
      </c>
      <c r="Z128">
        <v>291</v>
      </c>
      <c r="AA128">
        <f t="shared" si="3"/>
        <v>291</v>
      </c>
      <c r="AB128" t="s">
        <v>71</v>
      </c>
    </row>
    <row r="129" spans="1:28" x14ac:dyDescent="0.3">
      <c r="A129" t="s">
        <v>7480</v>
      </c>
      <c r="B129" t="s">
        <v>7479</v>
      </c>
      <c r="C129" t="s">
        <v>7479</v>
      </c>
      <c r="E129">
        <v>9</v>
      </c>
      <c r="F129">
        <v>9</v>
      </c>
      <c r="G129" t="s">
        <v>80</v>
      </c>
      <c r="H129" t="s">
        <v>80</v>
      </c>
      <c r="I129" t="s">
        <v>20</v>
      </c>
      <c r="J129" t="s">
        <v>20</v>
      </c>
      <c r="K129" s="1">
        <v>46069</v>
      </c>
      <c r="L129" s="1" t="str">
        <f>IF(K129&gt;O129,"Valid","Invalid")</f>
        <v>Valid</v>
      </c>
      <c r="M129" s="1" t="b">
        <f>ISNUMBER(K129)</f>
        <v>1</v>
      </c>
      <c r="N129" s="1" t="b">
        <f>ISNUMBER(O129)</f>
        <v>1</v>
      </c>
      <c r="O129" s="1">
        <v>46067</v>
      </c>
      <c r="P129" t="s">
        <v>7478</v>
      </c>
      <c r="Q129" t="str">
        <f>SUBSTITUTE(SUBSTITUTE(SUBSTITUTE(P129," ",""),"-",""),"+","")</f>
        <v>913567771991</v>
      </c>
      <c r="R129" t="str">
        <f t="shared" si="2"/>
        <v>3567771991</v>
      </c>
      <c r="S129" t="str">
        <f>IF(LEN(R129),"Valid","Invalid")</f>
        <v>Valid</v>
      </c>
      <c r="T129" t="s">
        <v>7477</v>
      </c>
      <c r="V129" t="s">
        <v>123</v>
      </c>
      <c r="X129">
        <v>2594.8000000000002</v>
      </c>
      <c r="Y129" t="s">
        <v>17</v>
      </c>
      <c r="Z129">
        <v>515</v>
      </c>
      <c r="AA129">
        <f t="shared" si="3"/>
        <v>515</v>
      </c>
      <c r="AB129" t="s">
        <v>71</v>
      </c>
    </row>
    <row r="130" spans="1:28" x14ac:dyDescent="0.3">
      <c r="A130" t="s">
        <v>7472</v>
      </c>
      <c r="B130" t="s">
        <v>7471</v>
      </c>
      <c r="C130" t="s">
        <v>7471</v>
      </c>
      <c r="D130" t="s">
        <v>40</v>
      </c>
      <c r="E130">
        <v>37</v>
      </c>
      <c r="F130">
        <v>37</v>
      </c>
      <c r="G130" t="s">
        <v>132</v>
      </c>
      <c r="H130" t="s">
        <v>132</v>
      </c>
      <c r="I130" t="s">
        <v>67</v>
      </c>
      <c r="J130" t="s">
        <v>67</v>
      </c>
      <c r="K130" s="1">
        <v>46130</v>
      </c>
      <c r="L130" s="1" t="str">
        <f>IF(K130&gt;O130,"Valid","Invalid")</f>
        <v>Valid</v>
      </c>
      <c r="M130" s="1" t="b">
        <f>ISNUMBER(K130)</f>
        <v>1</v>
      </c>
      <c r="N130" s="1" t="b">
        <f>ISNUMBER(O130)</f>
        <v>1</v>
      </c>
      <c r="O130" s="1">
        <v>46127</v>
      </c>
      <c r="P130" t="s">
        <v>7470</v>
      </c>
      <c r="Q130" t="str">
        <f>SUBSTITUTE(SUBSTITUTE(SUBSTITUTE(P130," ",""),"-",""),"+","")</f>
        <v>4652864920</v>
      </c>
      <c r="R130" t="str">
        <f t="shared" si="2"/>
        <v>4652864920</v>
      </c>
      <c r="S130" t="str">
        <f>IF(LEN(R130),"Valid","Invalid")</f>
        <v>Valid</v>
      </c>
      <c r="T130" t="s">
        <v>7469</v>
      </c>
      <c r="V130" t="s">
        <v>17</v>
      </c>
      <c r="X130">
        <v>4037.31</v>
      </c>
      <c r="Y130" t="s">
        <v>123</v>
      </c>
      <c r="Z130">
        <v>214</v>
      </c>
      <c r="AA130">
        <f t="shared" si="3"/>
        <v>214</v>
      </c>
      <c r="AB130" t="s">
        <v>50</v>
      </c>
    </row>
    <row r="131" spans="1:28" x14ac:dyDescent="0.3">
      <c r="A131" t="s">
        <v>7468</v>
      </c>
      <c r="B131" t="s">
        <v>7467</v>
      </c>
      <c r="C131" t="s">
        <v>7467</v>
      </c>
      <c r="D131" t="s">
        <v>74</v>
      </c>
      <c r="E131">
        <v>45</v>
      </c>
      <c r="F131">
        <v>45</v>
      </c>
      <c r="G131" t="s">
        <v>31</v>
      </c>
      <c r="H131" t="s">
        <v>31</v>
      </c>
      <c r="I131" t="s">
        <v>20</v>
      </c>
      <c r="J131" t="s">
        <v>20</v>
      </c>
      <c r="K131" s="1">
        <v>46157</v>
      </c>
      <c r="L131" s="1" t="str">
        <f>IF(K131&gt;O131,"Valid","Invalid")</f>
        <v>Valid</v>
      </c>
      <c r="M131" s="1" t="b">
        <f>ISNUMBER(K131)</f>
        <v>1</v>
      </c>
      <c r="N131" s="1" t="b">
        <f>ISNUMBER(O131)</f>
        <v>1</v>
      </c>
      <c r="O131" s="1">
        <v>46133</v>
      </c>
      <c r="P131" t="s">
        <v>7466</v>
      </c>
      <c r="Q131" t="str">
        <f>SUBSTITUTE(SUBSTITUTE(SUBSTITUTE(P131," ",""),"-",""),"+","")</f>
        <v>5793183598</v>
      </c>
      <c r="R131" t="str">
        <f t="shared" si="2"/>
        <v>5793183598</v>
      </c>
      <c r="S131" t="str">
        <f>IF(LEN(R131),"Valid","Invalid")</f>
        <v>Valid</v>
      </c>
      <c r="T131" t="s">
        <v>7465</v>
      </c>
      <c r="V131" t="s">
        <v>26</v>
      </c>
      <c r="X131">
        <v>14437.68</v>
      </c>
      <c r="Y131" t="s">
        <v>123</v>
      </c>
      <c r="Z131">
        <v>532</v>
      </c>
      <c r="AA131">
        <f t="shared" si="3"/>
        <v>532</v>
      </c>
      <c r="AB131" t="s">
        <v>34</v>
      </c>
    </row>
    <row r="132" spans="1:28" x14ac:dyDescent="0.3">
      <c r="A132" t="s">
        <v>7464</v>
      </c>
      <c r="B132" t="s">
        <v>7463</v>
      </c>
      <c r="C132" t="s">
        <v>7463</v>
      </c>
      <c r="D132" t="s">
        <v>40</v>
      </c>
      <c r="E132">
        <v>78</v>
      </c>
      <c r="F132">
        <v>78</v>
      </c>
      <c r="G132" t="s">
        <v>132</v>
      </c>
      <c r="H132" t="s">
        <v>132</v>
      </c>
      <c r="I132" t="s">
        <v>46</v>
      </c>
      <c r="J132" t="s">
        <v>46</v>
      </c>
      <c r="K132" s="1">
        <v>46020</v>
      </c>
      <c r="L132" s="1" t="str">
        <f>IF(K132&gt;O132,"Valid","Invalid")</f>
        <v>Valid</v>
      </c>
      <c r="M132" s="1" t="b">
        <f>ISNUMBER(K132)</f>
        <v>1</v>
      </c>
      <c r="N132" s="1" t="b">
        <f>ISNUMBER(O132)</f>
        <v>1</v>
      </c>
      <c r="O132" s="1">
        <v>46015</v>
      </c>
      <c r="P132" t="s">
        <v>7462</v>
      </c>
      <c r="Q132" t="str">
        <f>SUBSTITUTE(SUBSTITUTE(SUBSTITUTE(P132," ",""),"-",""),"+","")</f>
        <v>5599473768</v>
      </c>
      <c r="R132" t="str">
        <f t="shared" si="2"/>
        <v>5599473768</v>
      </c>
      <c r="S132" t="str">
        <f>IF(LEN(R132),"Valid","Invalid")</f>
        <v>Valid</v>
      </c>
      <c r="T132" t="s">
        <v>7461</v>
      </c>
      <c r="V132" t="s">
        <v>26</v>
      </c>
      <c r="X132">
        <v>17626.93</v>
      </c>
      <c r="Y132" t="s">
        <v>63</v>
      </c>
      <c r="Z132">
        <v>273</v>
      </c>
      <c r="AA132">
        <f t="shared" si="3"/>
        <v>273</v>
      </c>
      <c r="AB132" t="s">
        <v>43</v>
      </c>
    </row>
    <row r="133" spans="1:28" x14ac:dyDescent="0.3">
      <c r="A133" t="s">
        <v>7460</v>
      </c>
      <c r="B133" t="s">
        <v>7459</v>
      </c>
      <c r="C133" t="s">
        <v>7459</v>
      </c>
      <c r="D133" t="s">
        <v>40</v>
      </c>
      <c r="E133">
        <v>24</v>
      </c>
      <c r="F133">
        <v>24</v>
      </c>
      <c r="G133" t="s">
        <v>39</v>
      </c>
      <c r="H133" t="s">
        <v>39</v>
      </c>
      <c r="I133" t="s">
        <v>90</v>
      </c>
      <c r="J133" t="s">
        <v>67</v>
      </c>
      <c r="K133" s="1">
        <v>45997</v>
      </c>
      <c r="L133" s="1" t="str">
        <f>IF(K133&gt;O133,"Valid","Invalid")</f>
        <v>Valid</v>
      </c>
      <c r="M133" s="1" t="b">
        <f>ISNUMBER(K133)</f>
        <v>1</v>
      </c>
      <c r="N133" s="1" t="b">
        <f>ISNUMBER(O133)</f>
        <v>1</v>
      </c>
      <c r="O133" s="1">
        <v>45995</v>
      </c>
      <c r="P133" t="s">
        <v>7458</v>
      </c>
      <c r="Q133" t="str">
        <f>SUBSTITUTE(SUBSTITUTE(SUBSTITUTE(P133," ",""),"-",""),"+","")</f>
        <v>06904823096</v>
      </c>
      <c r="R133" t="str">
        <f t="shared" ref="R133:R196" si="4">RIGHT(Q133,10)</f>
        <v>6904823096</v>
      </c>
      <c r="S133" t="str">
        <f>IF(LEN(R133),"Valid","Invalid")</f>
        <v>Valid</v>
      </c>
      <c r="T133" t="s">
        <v>7457</v>
      </c>
      <c r="V133" t="s">
        <v>35</v>
      </c>
      <c r="X133">
        <v>18576.03</v>
      </c>
      <c r="Y133" t="s">
        <v>27</v>
      </c>
      <c r="Z133">
        <v>146</v>
      </c>
      <c r="AA133">
        <f t="shared" ref="AA133:AA196" si="5">IF(Z133="Room-x",0,Z133)</f>
        <v>146</v>
      </c>
      <c r="AB133" t="s">
        <v>25</v>
      </c>
    </row>
    <row r="134" spans="1:28" x14ac:dyDescent="0.3">
      <c r="A134" t="s">
        <v>7456</v>
      </c>
      <c r="B134" t="s">
        <v>7455</v>
      </c>
      <c r="C134" t="s">
        <v>7455</v>
      </c>
      <c r="D134" t="s">
        <v>1</v>
      </c>
      <c r="E134">
        <v>49</v>
      </c>
      <c r="F134">
        <v>49</v>
      </c>
      <c r="G134" t="s">
        <v>54</v>
      </c>
      <c r="H134" t="s">
        <v>54</v>
      </c>
      <c r="I134" t="s">
        <v>85</v>
      </c>
      <c r="J134" t="s">
        <v>85</v>
      </c>
      <c r="K134" s="1">
        <v>45996</v>
      </c>
      <c r="L134" s="1" t="str">
        <f>IF(K134&gt;O134,"Valid","Invalid")</f>
        <v>Valid</v>
      </c>
      <c r="M134" s="1" t="b">
        <f>ISNUMBER(K134)</f>
        <v>1</v>
      </c>
      <c r="N134" s="1" t="b">
        <f>ISNUMBER(O134)</f>
        <v>1</v>
      </c>
      <c r="O134" s="1">
        <v>45986</v>
      </c>
      <c r="P134" t="s">
        <v>7454</v>
      </c>
      <c r="Q134" t="str">
        <f>SUBSTITUTE(SUBSTITUTE(SUBSTITUTE(P134," ",""),"-",""),"+","")</f>
        <v>3698123290</v>
      </c>
      <c r="R134" t="str">
        <f t="shared" si="4"/>
        <v>3698123290</v>
      </c>
      <c r="S134" t="str">
        <f>IF(LEN(R134),"Valid","Invalid")</f>
        <v>Valid</v>
      </c>
      <c r="T134" t="s">
        <v>7453</v>
      </c>
      <c r="V134" t="s">
        <v>35</v>
      </c>
      <c r="X134">
        <v>9377.32</v>
      </c>
      <c r="Y134" t="s">
        <v>17</v>
      </c>
      <c r="Z134">
        <v>497</v>
      </c>
      <c r="AA134">
        <f t="shared" si="5"/>
        <v>497</v>
      </c>
      <c r="AB134" t="s">
        <v>34</v>
      </c>
    </row>
    <row r="135" spans="1:28" x14ac:dyDescent="0.3">
      <c r="A135" t="s">
        <v>7452</v>
      </c>
      <c r="B135" t="s">
        <v>7451</v>
      </c>
      <c r="C135" t="s">
        <v>7451</v>
      </c>
      <c r="D135" t="s">
        <v>74</v>
      </c>
      <c r="E135">
        <v>7</v>
      </c>
      <c r="F135">
        <v>7</v>
      </c>
      <c r="G135" t="s">
        <v>39</v>
      </c>
      <c r="H135" t="s">
        <v>39</v>
      </c>
      <c r="I135" t="s">
        <v>53</v>
      </c>
      <c r="J135" t="s">
        <v>20</v>
      </c>
      <c r="K135" s="1">
        <v>46094</v>
      </c>
      <c r="L135" s="1" t="str">
        <f>IF(K135&gt;O135,"Valid","Invalid")</f>
        <v>Valid</v>
      </c>
      <c r="M135" s="1" t="b">
        <f>ISNUMBER(K135)</f>
        <v>1</v>
      </c>
      <c r="N135" s="1" t="b">
        <f>ISNUMBER(O135)</f>
        <v>1</v>
      </c>
      <c r="O135" s="1">
        <v>46070</v>
      </c>
      <c r="P135" t="s">
        <v>7450</v>
      </c>
      <c r="Q135" t="str">
        <f>SUBSTITUTE(SUBSTITUTE(SUBSTITUTE(P135," ",""),"-",""),"+","")</f>
        <v>08584974838</v>
      </c>
      <c r="R135" t="str">
        <f t="shared" si="4"/>
        <v>8584974838</v>
      </c>
      <c r="S135" t="str">
        <f>IF(LEN(R135),"Valid","Invalid")</f>
        <v>Valid</v>
      </c>
      <c r="T135" t="s">
        <v>7449</v>
      </c>
      <c r="V135" t="s">
        <v>27</v>
      </c>
      <c r="X135">
        <v>16914.419999999998</v>
      </c>
      <c r="Y135" t="s">
        <v>63</v>
      </c>
      <c r="Z135">
        <v>326</v>
      </c>
      <c r="AA135">
        <f t="shared" si="5"/>
        <v>326</v>
      </c>
      <c r="AB135" t="s">
        <v>25</v>
      </c>
    </row>
    <row r="136" spans="1:28" x14ac:dyDescent="0.3">
      <c r="A136" t="s">
        <v>7448</v>
      </c>
      <c r="B136" t="s">
        <v>7447</v>
      </c>
      <c r="C136" t="s">
        <v>7447</v>
      </c>
      <c r="D136" t="s">
        <v>123</v>
      </c>
      <c r="E136">
        <v>63</v>
      </c>
      <c r="F136">
        <v>63</v>
      </c>
      <c r="G136" t="s">
        <v>68</v>
      </c>
      <c r="H136" t="s">
        <v>68</v>
      </c>
      <c r="I136" t="s">
        <v>90</v>
      </c>
      <c r="J136" t="s">
        <v>67</v>
      </c>
      <c r="K136" s="1">
        <v>46081</v>
      </c>
      <c r="L136" s="1" t="str">
        <f>IF(K136&gt;O136,"Valid","Invalid")</f>
        <v>Valid</v>
      </c>
      <c r="M136" s="1" t="b">
        <f>ISNUMBER(K136)</f>
        <v>1</v>
      </c>
      <c r="N136" s="1" t="b">
        <f>ISNUMBER(O136)</f>
        <v>1</v>
      </c>
      <c r="O136" s="1">
        <v>46073</v>
      </c>
      <c r="P136" t="s">
        <v>7446</v>
      </c>
      <c r="Q136" t="str">
        <f>SUBSTITUTE(SUBSTITUTE(SUBSTITUTE(P136," ",""),"-",""),"+","")</f>
        <v>4991938053</v>
      </c>
      <c r="R136" t="str">
        <f t="shared" si="4"/>
        <v>4991938053</v>
      </c>
      <c r="S136" t="str">
        <f>IF(LEN(R136),"Valid","Invalid")</f>
        <v>Valid</v>
      </c>
      <c r="T136" t="s">
        <v>7445</v>
      </c>
      <c r="V136" t="s">
        <v>17</v>
      </c>
      <c r="X136">
        <v>18922.59</v>
      </c>
      <c r="Y136" t="s">
        <v>64</v>
      </c>
      <c r="Z136">
        <v>276</v>
      </c>
      <c r="AA136">
        <f t="shared" si="5"/>
        <v>276</v>
      </c>
      <c r="AB136" t="s">
        <v>16</v>
      </c>
    </row>
    <row r="137" spans="1:28" x14ac:dyDescent="0.3">
      <c r="A137" t="s">
        <v>7444</v>
      </c>
      <c r="B137" t="s">
        <v>7443</v>
      </c>
      <c r="C137" t="s">
        <v>7443</v>
      </c>
      <c r="D137" t="s">
        <v>74</v>
      </c>
      <c r="E137">
        <v>37</v>
      </c>
      <c r="F137">
        <v>37</v>
      </c>
      <c r="G137" t="s">
        <v>68</v>
      </c>
      <c r="H137" t="s">
        <v>68</v>
      </c>
      <c r="I137" t="s">
        <v>30</v>
      </c>
      <c r="J137" t="s">
        <v>30</v>
      </c>
      <c r="K137" s="1">
        <v>46121</v>
      </c>
      <c r="L137" s="1" t="str">
        <f>IF(K137&gt;O137,"Valid","Invalid")</f>
        <v>Valid</v>
      </c>
      <c r="M137" s="1" t="b">
        <f>ISNUMBER(K137)</f>
        <v>1</v>
      </c>
      <c r="N137" s="1" t="b">
        <f>ISNUMBER(O137)</f>
        <v>1</v>
      </c>
      <c r="O137" s="1">
        <v>46120</v>
      </c>
      <c r="P137" t="s">
        <v>7442</v>
      </c>
      <c r="Q137" t="str">
        <f>SUBSTITUTE(SUBSTITUTE(SUBSTITUTE(P137," ",""),"-",""),"+","")</f>
        <v>914992350609</v>
      </c>
      <c r="R137" t="str">
        <f t="shared" si="4"/>
        <v>4992350609</v>
      </c>
      <c r="S137" t="str">
        <f>IF(LEN(R137),"Valid","Invalid")</f>
        <v>Valid</v>
      </c>
      <c r="T137" t="s">
        <v>7441</v>
      </c>
      <c r="V137" t="s">
        <v>17</v>
      </c>
      <c r="X137">
        <v>10002.530000000001</v>
      </c>
      <c r="Y137" t="s">
        <v>27</v>
      </c>
      <c r="Z137">
        <v>103</v>
      </c>
      <c r="AA137">
        <f t="shared" si="5"/>
        <v>103</v>
      </c>
      <c r="AB137" t="s">
        <v>71</v>
      </c>
    </row>
    <row r="138" spans="1:28" x14ac:dyDescent="0.3">
      <c r="A138" t="s">
        <v>7440</v>
      </c>
      <c r="B138" t="s">
        <v>7439</v>
      </c>
      <c r="C138" t="s">
        <v>7439</v>
      </c>
      <c r="D138" t="s">
        <v>22</v>
      </c>
      <c r="E138">
        <v>28</v>
      </c>
      <c r="F138">
        <v>28</v>
      </c>
      <c r="G138" t="s">
        <v>39</v>
      </c>
      <c r="H138" t="s">
        <v>39</v>
      </c>
      <c r="I138" t="s">
        <v>30</v>
      </c>
      <c r="J138" t="s">
        <v>30</v>
      </c>
      <c r="K138" s="1">
        <v>46089</v>
      </c>
      <c r="L138" s="1" t="str">
        <f>IF(K138&gt;O138,"Valid","Invalid")</f>
        <v>Valid</v>
      </c>
      <c r="M138" s="1" t="b">
        <f>ISNUMBER(K138)</f>
        <v>1</v>
      </c>
      <c r="N138" s="1" t="b">
        <f>ISNUMBER(O138)</f>
        <v>1</v>
      </c>
      <c r="O138" s="1">
        <v>46080</v>
      </c>
      <c r="P138" t="s">
        <v>7438</v>
      </c>
      <c r="Q138" t="str">
        <f>SUBSTITUTE(SUBSTITUTE(SUBSTITUTE(P138," ",""),"-",""),"+","")</f>
        <v>916169067370</v>
      </c>
      <c r="R138" t="str">
        <f t="shared" si="4"/>
        <v>6169067370</v>
      </c>
      <c r="S138" t="str">
        <f>IF(LEN(R138),"Valid","Invalid")</f>
        <v>Valid</v>
      </c>
      <c r="T138" t="s">
        <v>7437</v>
      </c>
      <c r="V138" t="s">
        <v>57</v>
      </c>
      <c r="X138">
        <v>3175.61</v>
      </c>
      <c r="Y138" t="s">
        <v>123</v>
      </c>
      <c r="Z138">
        <v>482</v>
      </c>
      <c r="AA138">
        <f t="shared" si="5"/>
        <v>482</v>
      </c>
      <c r="AB138" t="s">
        <v>16</v>
      </c>
    </row>
    <row r="139" spans="1:28" x14ac:dyDescent="0.3">
      <c r="A139" t="s">
        <v>7432</v>
      </c>
      <c r="B139" t="s">
        <v>7431</v>
      </c>
      <c r="C139" t="s">
        <v>7431</v>
      </c>
      <c r="E139">
        <v>10</v>
      </c>
      <c r="F139">
        <v>10</v>
      </c>
      <c r="G139" t="s">
        <v>31</v>
      </c>
      <c r="H139" t="s">
        <v>31</v>
      </c>
      <c r="I139" t="s">
        <v>90</v>
      </c>
      <c r="J139" t="s">
        <v>67</v>
      </c>
      <c r="K139" s="1">
        <v>46000</v>
      </c>
      <c r="L139" s="1" t="str">
        <f>IF(K139&gt;O139,"Valid","Invalid")</f>
        <v>Valid</v>
      </c>
      <c r="M139" s="1" t="b">
        <f>ISNUMBER(K139)</f>
        <v>1</v>
      </c>
      <c r="N139" s="1" t="b">
        <f>ISNUMBER(O139)</f>
        <v>1</v>
      </c>
      <c r="O139" s="1">
        <v>45982</v>
      </c>
      <c r="P139" t="s">
        <v>7430</v>
      </c>
      <c r="Q139" t="str">
        <f>SUBSTITUTE(SUBSTITUTE(SUBSTITUTE(P139," ",""),"-",""),"+","")</f>
        <v>08790151976</v>
      </c>
      <c r="R139" t="str">
        <f t="shared" si="4"/>
        <v>8790151976</v>
      </c>
      <c r="S139" t="str">
        <f>IF(LEN(R139),"Valid","Invalid")</f>
        <v>Valid</v>
      </c>
      <c r="T139" t="s">
        <v>7429</v>
      </c>
      <c r="V139" t="s">
        <v>123</v>
      </c>
      <c r="X139">
        <v>17795.57</v>
      </c>
      <c r="Y139" t="s">
        <v>123</v>
      </c>
      <c r="Z139">
        <v>248</v>
      </c>
      <c r="AA139">
        <f t="shared" si="5"/>
        <v>248</v>
      </c>
      <c r="AB139" t="s">
        <v>77</v>
      </c>
    </row>
    <row r="140" spans="1:28" x14ac:dyDescent="0.3">
      <c r="A140" t="s">
        <v>7428</v>
      </c>
      <c r="B140" t="s">
        <v>7427</v>
      </c>
      <c r="C140" t="s">
        <v>7427</v>
      </c>
      <c r="D140" t="s">
        <v>123</v>
      </c>
      <c r="E140">
        <v>3</v>
      </c>
      <c r="F140">
        <v>3</v>
      </c>
      <c r="G140" t="s">
        <v>31</v>
      </c>
      <c r="H140" t="s">
        <v>31</v>
      </c>
      <c r="I140" t="s">
        <v>53</v>
      </c>
      <c r="J140" t="s">
        <v>20</v>
      </c>
      <c r="K140" s="1">
        <v>46123</v>
      </c>
      <c r="L140" s="1" t="str">
        <f>IF(K140&gt;O140,"Valid","Invalid")</f>
        <v>Valid</v>
      </c>
      <c r="M140" s="1" t="b">
        <f>ISNUMBER(K140)</f>
        <v>1</v>
      </c>
      <c r="N140" s="1" t="b">
        <f>ISNUMBER(O140)</f>
        <v>1</v>
      </c>
      <c r="O140" s="1">
        <v>46098</v>
      </c>
      <c r="P140" t="s">
        <v>7426</v>
      </c>
      <c r="Q140" t="str">
        <f>SUBSTITUTE(SUBSTITUTE(SUBSTITUTE(P140," ",""),"-",""),"+","")</f>
        <v>914827196935</v>
      </c>
      <c r="R140" t="str">
        <f t="shared" si="4"/>
        <v>4827196935</v>
      </c>
      <c r="S140" t="str">
        <f>IF(LEN(R140),"Valid","Invalid")</f>
        <v>Valid</v>
      </c>
      <c r="T140" t="s">
        <v>7425</v>
      </c>
      <c r="V140" t="s">
        <v>123</v>
      </c>
      <c r="X140">
        <v>20834.240000000002</v>
      </c>
      <c r="Y140" t="s">
        <v>17</v>
      </c>
      <c r="Z140">
        <v>145</v>
      </c>
      <c r="AA140">
        <f t="shared" si="5"/>
        <v>145</v>
      </c>
      <c r="AB140" t="s">
        <v>16</v>
      </c>
    </row>
    <row r="141" spans="1:28" x14ac:dyDescent="0.3">
      <c r="A141" t="s">
        <v>7424</v>
      </c>
      <c r="B141" t="s">
        <v>7423</v>
      </c>
      <c r="C141" t="s">
        <v>7423</v>
      </c>
      <c r="D141" t="s">
        <v>74</v>
      </c>
      <c r="E141">
        <v>32</v>
      </c>
      <c r="F141">
        <v>32</v>
      </c>
      <c r="G141" t="s">
        <v>54</v>
      </c>
      <c r="H141" t="s">
        <v>54</v>
      </c>
      <c r="I141" t="s">
        <v>90</v>
      </c>
      <c r="J141" t="s">
        <v>67</v>
      </c>
      <c r="K141" s="1">
        <v>46034</v>
      </c>
      <c r="L141" s="1" t="str">
        <f>IF(K141&gt;O141,"Valid","Invalid")</f>
        <v>Valid</v>
      </c>
      <c r="M141" s="1" t="b">
        <f>ISNUMBER(K141)</f>
        <v>1</v>
      </c>
      <c r="N141" s="1" t="b">
        <f>ISNUMBER(O141)</f>
        <v>1</v>
      </c>
      <c r="O141" s="1">
        <v>46018</v>
      </c>
      <c r="P141" t="s">
        <v>7422</v>
      </c>
      <c r="Q141" t="str">
        <f>SUBSTITUTE(SUBSTITUTE(SUBSTITUTE(P141," ",""),"-",""),"+","")</f>
        <v>913809619824</v>
      </c>
      <c r="R141" t="str">
        <f t="shared" si="4"/>
        <v>3809619824</v>
      </c>
      <c r="S141" t="str">
        <f>IF(LEN(R141),"Valid","Invalid")</f>
        <v>Valid</v>
      </c>
      <c r="T141" t="s">
        <v>7421</v>
      </c>
      <c r="V141" t="s">
        <v>64</v>
      </c>
      <c r="X141">
        <v>10015.01</v>
      </c>
      <c r="Y141" t="s">
        <v>63</v>
      </c>
      <c r="Z141">
        <v>481</v>
      </c>
      <c r="AA141">
        <f t="shared" si="5"/>
        <v>481</v>
      </c>
      <c r="AB141" t="s">
        <v>43</v>
      </c>
    </row>
    <row r="142" spans="1:28" x14ac:dyDescent="0.3">
      <c r="A142" t="s">
        <v>7420</v>
      </c>
      <c r="B142" t="s">
        <v>7419</v>
      </c>
      <c r="C142" t="s">
        <v>7419</v>
      </c>
      <c r="D142" t="s">
        <v>1</v>
      </c>
      <c r="E142">
        <v>43</v>
      </c>
      <c r="F142">
        <v>43</v>
      </c>
      <c r="G142" t="s">
        <v>39</v>
      </c>
      <c r="H142" t="s">
        <v>39</v>
      </c>
      <c r="I142" t="s">
        <v>20</v>
      </c>
      <c r="J142" t="s">
        <v>20</v>
      </c>
      <c r="K142" s="1">
        <v>46098</v>
      </c>
      <c r="L142" s="1" t="str">
        <f>IF(K142&gt;O142,"Valid","Invalid")</f>
        <v>Valid</v>
      </c>
      <c r="M142" s="1" t="b">
        <f>ISNUMBER(K142)</f>
        <v>1</v>
      </c>
      <c r="N142" s="1" t="b">
        <f>ISNUMBER(O142)</f>
        <v>1</v>
      </c>
      <c r="O142" s="1">
        <v>46082</v>
      </c>
      <c r="P142" t="s">
        <v>7418</v>
      </c>
      <c r="Q142" t="str">
        <f>SUBSTITUTE(SUBSTITUTE(SUBSTITUTE(P142," ",""),"-",""),"+","")</f>
        <v>7699448795</v>
      </c>
      <c r="R142" t="str">
        <f t="shared" si="4"/>
        <v>7699448795</v>
      </c>
      <c r="S142" t="str">
        <f>IF(LEN(R142),"Valid","Invalid")</f>
        <v>Valid</v>
      </c>
      <c r="T142" t="s">
        <v>7417</v>
      </c>
      <c r="V142" t="s">
        <v>64</v>
      </c>
      <c r="X142">
        <v>13359</v>
      </c>
      <c r="Y142" t="s">
        <v>57</v>
      </c>
      <c r="Z142">
        <v>497</v>
      </c>
      <c r="AA142">
        <f t="shared" si="5"/>
        <v>497</v>
      </c>
      <c r="AB142" t="s">
        <v>43</v>
      </c>
    </row>
    <row r="143" spans="1:28" x14ac:dyDescent="0.3">
      <c r="A143" t="s">
        <v>7416</v>
      </c>
      <c r="B143" t="s">
        <v>7415</v>
      </c>
      <c r="C143" t="s">
        <v>7415</v>
      </c>
      <c r="D143" t="s">
        <v>60</v>
      </c>
      <c r="E143">
        <v>83</v>
      </c>
      <c r="F143">
        <v>83</v>
      </c>
      <c r="G143" t="s">
        <v>39</v>
      </c>
      <c r="H143" t="s">
        <v>39</v>
      </c>
      <c r="I143" t="s">
        <v>38</v>
      </c>
      <c r="J143" t="s">
        <v>8077</v>
      </c>
      <c r="K143" s="1">
        <v>46132</v>
      </c>
      <c r="L143" s="1" t="str">
        <f>IF(K143&gt;O143,"Valid","Invalid")</f>
        <v>Valid</v>
      </c>
      <c r="M143" s="1" t="b">
        <f>ISNUMBER(K143)</f>
        <v>1</v>
      </c>
      <c r="N143" s="1" t="b">
        <f>ISNUMBER(O143)</f>
        <v>1</v>
      </c>
      <c r="O143" s="1">
        <v>46129</v>
      </c>
      <c r="P143" t="s">
        <v>510</v>
      </c>
      <c r="Q143" t="str">
        <f>SUBSTITUTE(SUBSTITUTE(SUBSTITUTE(P143," ",""),"-",""),"+","")</f>
        <v>12345</v>
      </c>
      <c r="R143" t="str">
        <f t="shared" si="4"/>
        <v>12345</v>
      </c>
      <c r="S143" t="str">
        <f>IF(LEN(R143),"Valid","Invalid")</f>
        <v>Valid</v>
      </c>
      <c r="T143" t="s">
        <v>7414</v>
      </c>
      <c r="V143" t="s">
        <v>35</v>
      </c>
      <c r="X143">
        <v>6548.01</v>
      </c>
      <c r="Y143" t="s">
        <v>26</v>
      </c>
      <c r="Z143">
        <v>408</v>
      </c>
      <c r="AA143">
        <f t="shared" si="5"/>
        <v>408</v>
      </c>
      <c r="AB143" t="s">
        <v>71</v>
      </c>
    </row>
    <row r="144" spans="1:28" x14ac:dyDescent="0.3">
      <c r="A144" t="s">
        <v>7413</v>
      </c>
      <c r="B144" t="s">
        <v>7412</v>
      </c>
      <c r="C144" t="s">
        <v>7412</v>
      </c>
      <c r="D144" t="s">
        <v>74</v>
      </c>
      <c r="E144">
        <v>23</v>
      </c>
      <c r="F144">
        <v>23</v>
      </c>
      <c r="G144" t="s">
        <v>68</v>
      </c>
      <c r="H144" t="s">
        <v>68</v>
      </c>
      <c r="I144" t="s">
        <v>85</v>
      </c>
      <c r="J144" t="s">
        <v>85</v>
      </c>
      <c r="K144" s="1">
        <v>46057</v>
      </c>
      <c r="L144" s="1" t="str">
        <f>IF(K144&gt;O144,"Valid","Invalid")</f>
        <v>Valid</v>
      </c>
      <c r="M144" s="1" t="b">
        <f>ISNUMBER(K144)</f>
        <v>1</v>
      </c>
      <c r="N144" s="1" t="b">
        <f>ISNUMBER(O144)</f>
        <v>1</v>
      </c>
      <c r="O144" s="1">
        <v>46033</v>
      </c>
      <c r="P144" t="s">
        <v>7411</v>
      </c>
      <c r="Q144" t="str">
        <f>SUBSTITUTE(SUBSTITUTE(SUBSTITUTE(P144," ",""),"-",""),"+","")</f>
        <v>0634661433</v>
      </c>
      <c r="R144" t="str">
        <f t="shared" si="4"/>
        <v>0634661433</v>
      </c>
      <c r="S144" t="str">
        <f>IF(LEN(R144),"Valid","Invalid")</f>
        <v>Valid</v>
      </c>
      <c r="T144" t="s">
        <v>7410</v>
      </c>
      <c r="V144" t="s">
        <v>123</v>
      </c>
      <c r="X144">
        <v>17092.11</v>
      </c>
      <c r="Y144" t="s">
        <v>17</v>
      </c>
      <c r="Z144">
        <v>542</v>
      </c>
      <c r="AA144">
        <f t="shared" si="5"/>
        <v>542</v>
      </c>
      <c r="AB144" t="s">
        <v>25</v>
      </c>
    </row>
    <row r="145" spans="1:28" x14ac:dyDescent="0.3">
      <c r="A145" t="s">
        <v>7409</v>
      </c>
      <c r="B145" t="s">
        <v>7408</v>
      </c>
      <c r="C145" t="s">
        <v>7408</v>
      </c>
      <c r="D145" t="s">
        <v>60</v>
      </c>
      <c r="E145">
        <v>20</v>
      </c>
      <c r="F145">
        <v>20</v>
      </c>
      <c r="G145" t="s">
        <v>68</v>
      </c>
      <c r="H145" t="s">
        <v>68</v>
      </c>
      <c r="I145" t="s">
        <v>20</v>
      </c>
      <c r="J145" t="s">
        <v>20</v>
      </c>
      <c r="K145" s="1">
        <v>46107</v>
      </c>
      <c r="L145" s="1" t="str">
        <f>IF(K145&gt;O145,"Valid","Invalid")</f>
        <v>Valid</v>
      </c>
      <c r="M145" s="1" t="b">
        <f>ISNUMBER(K145)</f>
        <v>1</v>
      </c>
      <c r="N145" s="1" t="b">
        <f>ISNUMBER(O145)</f>
        <v>1</v>
      </c>
      <c r="O145" s="1">
        <v>46092</v>
      </c>
      <c r="P145" t="s">
        <v>7407</v>
      </c>
      <c r="Q145" t="str">
        <f>SUBSTITUTE(SUBSTITUTE(SUBSTITUTE(P145," ",""),"-",""),"+","")</f>
        <v>914246089663</v>
      </c>
      <c r="R145" t="str">
        <f t="shared" si="4"/>
        <v>4246089663</v>
      </c>
      <c r="S145" t="str">
        <f>IF(LEN(R145),"Valid","Invalid")</f>
        <v>Valid</v>
      </c>
      <c r="T145" t="s">
        <v>7406</v>
      </c>
      <c r="V145" t="s">
        <v>123</v>
      </c>
      <c r="X145">
        <v>15858.35</v>
      </c>
      <c r="Y145" t="s">
        <v>63</v>
      </c>
      <c r="Z145">
        <v>402</v>
      </c>
      <c r="AA145">
        <f t="shared" si="5"/>
        <v>402</v>
      </c>
      <c r="AB145" t="s">
        <v>77</v>
      </c>
    </row>
    <row r="146" spans="1:28" x14ac:dyDescent="0.3">
      <c r="A146" t="s">
        <v>7405</v>
      </c>
      <c r="B146" t="s">
        <v>7404</v>
      </c>
      <c r="C146" t="s">
        <v>7404</v>
      </c>
      <c r="D146" t="s">
        <v>60</v>
      </c>
      <c r="E146">
        <v>65</v>
      </c>
      <c r="F146">
        <v>65</v>
      </c>
      <c r="G146" t="s">
        <v>80</v>
      </c>
      <c r="H146" t="s">
        <v>80</v>
      </c>
      <c r="I146" t="s">
        <v>30</v>
      </c>
      <c r="J146" t="s">
        <v>30</v>
      </c>
      <c r="K146" s="1">
        <v>46150</v>
      </c>
      <c r="L146" s="1" t="str">
        <f>IF(K146&gt;O146,"Valid","Invalid")</f>
        <v>Valid</v>
      </c>
      <c r="M146" s="1" t="b">
        <f>ISNUMBER(K146)</f>
        <v>1</v>
      </c>
      <c r="N146" s="1" t="b">
        <f>ISNUMBER(O146)</f>
        <v>1</v>
      </c>
      <c r="O146" s="1">
        <v>46136</v>
      </c>
      <c r="P146" t="s">
        <v>7403</v>
      </c>
      <c r="Q146" t="str">
        <f>SUBSTITUTE(SUBSTITUTE(SUBSTITUTE(P146," ",""),"-",""),"+","")</f>
        <v>919270358683</v>
      </c>
      <c r="R146" t="str">
        <f t="shared" si="4"/>
        <v>9270358683</v>
      </c>
      <c r="S146" t="str">
        <f>IF(LEN(R146),"Valid","Invalid")</f>
        <v>Valid</v>
      </c>
      <c r="T146" t="s">
        <v>7402</v>
      </c>
      <c r="V146" t="s">
        <v>123</v>
      </c>
      <c r="X146">
        <v>1132.6600000000001</v>
      </c>
      <c r="Y146" t="s">
        <v>17</v>
      </c>
      <c r="Z146">
        <v>525</v>
      </c>
      <c r="AA146">
        <f t="shared" si="5"/>
        <v>525</v>
      </c>
      <c r="AB146" t="s">
        <v>43</v>
      </c>
    </row>
    <row r="147" spans="1:28" x14ac:dyDescent="0.3">
      <c r="A147" t="s">
        <v>7401</v>
      </c>
      <c r="B147" t="s">
        <v>7400</v>
      </c>
      <c r="C147" t="s">
        <v>7400</v>
      </c>
      <c r="D147" t="s">
        <v>74</v>
      </c>
      <c r="E147">
        <v>83</v>
      </c>
      <c r="F147">
        <v>83</v>
      </c>
      <c r="G147" t="s">
        <v>80</v>
      </c>
      <c r="H147" t="s">
        <v>80</v>
      </c>
      <c r="I147" t="s">
        <v>90</v>
      </c>
      <c r="J147" t="s">
        <v>67</v>
      </c>
      <c r="K147" s="1">
        <v>46153</v>
      </c>
      <c r="L147" s="1" t="str">
        <f>IF(K147&gt;O147,"Valid","Invalid")</f>
        <v>Valid</v>
      </c>
      <c r="M147" s="1" t="b">
        <f>ISNUMBER(K147)</f>
        <v>1</v>
      </c>
      <c r="N147" s="1" t="b">
        <f>ISNUMBER(O147)</f>
        <v>1</v>
      </c>
      <c r="O147" s="1">
        <v>46139</v>
      </c>
      <c r="P147" t="s">
        <v>7399</v>
      </c>
      <c r="Q147" t="str">
        <f>SUBSTITUTE(SUBSTITUTE(SUBSTITUTE(P147," ",""),"-",""),"+","")</f>
        <v>913252344455</v>
      </c>
      <c r="R147" t="str">
        <f t="shared" si="4"/>
        <v>3252344455</v>
      </c>
      <c r="S147" t="str">
        <f>IF(LEN(R147),"Valid","Invalid")</f>
        <v>Valid</v>
      </c>
      <c r="T147" t="s">
        <v>7398</v>
      </c>
      <c r="V147" t="s">
        <v>27</v>
      </c>
      <c r="X147">
        <v>11353.4</v>
      </c>
      <c r="Y147" t="s">
        <v>57</v>
      </c>
      <c r="Z147">
        <v>264</v>
      </c>
      <c r="AA147">
        <f t="shared" si="5"/>
        <v>264</v>
      </c>
      <c r="AB147" t="s">
        <v>34</v>
      </c>
    </row>
    <row r="148" spans="1:28" x14ac:dyDescent="0.3">
      <c r="A148" t="s">
        <v>7397</v>
      </c>
      <c r="B148" t="s">
        <v>7396</v>
      </c>
      <c r="C148" t="s">
        <v>7396</v>
      </c>
      <c r="E148">
        <v>65</v>
      </c>
      <c r="F148">
        <v>65</v>
      </c>
      <c r="G148" t="s">
        <v>39</v>
      </c>
      <c r="H148" t="s">
        <v>39</v>
      </c>
      <c r="I148" t="s">
        <v>46</v>
      </c>
      <c r="J148" t="s">
        <v>46</v>
      </c>
      <c r="K148" s="1">
        <v>46043</v>
      </c>
      <c r="L148" s="1" t="str">
        <f>IF(K148&gt;O148,"Valid","Invalid")</f>
        <v>Valid</v>
      </c>
      <c r="M148" s="1" t="b">
        <f>ISNUMBER(K148)</f>
        <v>1</v>
      </c>
      <c r="N148" s="1" t="b">
        <f>ISNUMBER(O148)</f>
        <v>1</v>
      </c>
      <c r="O148" s="1">
        <v>46029</v>
      </c>
      <c r="P148" t="s">
        <v>7395</v>
      </c>
      <c r="Q148" t="str">
        <f>SUBSTITUTE(SUBSTITUTE(SUBSTITUTE(P148," ",""),"-",""),"+","")</f>
        <v>9043154411</v>
      </c>
      <c r="R148" t="str">
        <f t="shared" si="4"/>
        <v>9043154411</v>
      </c>
      <c r="S148" t="str">
        <f>IF(LEN(R148),"Valid","Invalid")</f>
        <v>Valid</v>
      </c>
      <c r="T148" t="s">
        <v>7394</v>
      </c>
      <c r="V148" t="s">
        <v>64</v>
      </c>
      <c r="X148">
        <v>20311.98</v>
      </c>
      <c r="Y148" t="s">
        <v>17</v>
      </c>
      <c r="Z148">
        <v>465</v>
      </c>
      <c r="AA148">
        <f t="shared" si="5"/>
        <v>465</v>
      </c>
      <c r="AB148" t="s">
        <v>77</v>
      </c>
    </row>
    <row r="149" spans="1:28" x14ac:dyDescent="0.3">
      <c r="A149" t="s">
        <v>7393</v>
      </c>
      <c r="B149" t="s">
        <v>7392</v>
      </c>
      <c r="C149" t="s">
        <v>7392</v>
      </c>
      <c r="D149" t="s">
        <v>0</v>
      </c>
      <c r="E149">
        <v>6</v>
      </c>
      <c r="F149">
        <v>6</v>
      </c>
      <c r="G149" t="s">
        <v>21</v>
      </c>
      <c r="H149" t="s">
        <v>21</v>
      </c>
      <c r="I149" t="s">
        <v>85</v>
      </c>
      <c r="J149" t="s">
        <v>85</v>
      </c>
      <c r="K149" s="1">
        <v>46044</v>
      </c>
      <c r="L149" s="1" t="str">
        <f>IF(K149&gt;O149,"Valid","Invalid")</f>
        <v>Valid</v>
      </c>
      <c r="M149" s="1" t="b">
        <f>ISNUMBER(K149)</f>
        <v>1</v>
      </c>
      <c r="N149" s="1" t="b">
        <f>ISNUMBER(O149)</f>
        <v>1</v>
      </c>
      <c r="O149" s="1">
        <v>46030</v>
      </c>
      <c r="P149" t="s">
        <v>7391</v>
      </c>
      <c r="Q149" t="str">
        <f>SUBSTITUTE(SUBSTITUTE(SUBSTITUTE(P149," ",""),"-",""),"+","")</f>
        <v>8183877028</v>
      </c>
      <c r="R149" t="str">
        <f t="shared" si="4"/>
        <v>8183877028</v>
      </c>
      <c r="S149" t="str">
        <f>IF(LEN(R149),"Valid","Invalid")</f>
        <v>Valid</v>
      </c>
      <c r="T149" t="s">
        <v>7390</v>
      </c>
      <c r="V149" t="s">
        <v>35</v>
      </c>
      <c r="X149">
        <v>9224.67</v>
      </c>
      <c r="Y149" t="s">
        <v>63</v>
      </c>
      <c r="Z149">
        <v>298</v>
      </c>
      <c r="AA149">
        <f t="shared" si="5"/>
        <v>298</v>
      </c>
      <c r="AB149" t="s">
        <v>16</v>
      </c>
    </row>
    <row r="150" spans="1:28" x14ac:dyDescent="0.3">
      <c r="A150" t="s">
        <v>7389</v>
      </c>
      <c r="B150" t="s">
        <v>7388</v>
      </c>
      <c r="C150" t="s">
        <v>7388</v>
      </c>
      <c r="D150" t="s">
        <v>60</v>
      </c>
      <c r="E150">
        <v>87</v>
      </c>
      <c r="F150">
        <v>87</v>
      </c>
      <c r="G150" t="s">
        <v>47</v>
      </c>
      <c r="H150" t="s">
        <v>47</v>
      </c>
      <c r="I150" t="s">
        <v>67</v>
      </c>
      <c r="J150" t="s">
        <v>67</v>
      </c>
      <c r="K150" s="1">
        <v>46129</v>
      </c>
      <c r="L150" s="1" t="str">
        <f>IF(K150&gt;O150,"Valid","Invalid")</f>
        <v>Valid</v>
      </c>
      <c r="M150" s="1" t="b">
        <f>ISNUMBER(K150)</f>
        <v>1</v>
      </c>
      <c r="N150" s="1" t="b">
        <f>ISNUMBER(O150)</f>
        <v>1</v>
      </c>
      <c r="O150" s="1">
        <v>46127</v>
      </c>
      <c r="P150" t="s">
        <v>7387</v>
      </c>
      <c r="Q150" t="str">
        <f>SUBSTITUTE(SUBSTITUTE(SUBSTITUTE(P150," ",""),"-",""),"+","")</f>
        <v>913131954117</v>
      </c>
      <c r="R150" t="str">
        <f t="shared" si="4"/>
        <v>3131954117</v>
      </c>
      <c r="S150" t="str">
        <f>IF(LEN(R150),"Valid","Invalid")</f>
        <v>Valid</v>
      </c>
      <c r="T150" t="s">
        <v>7386</v>
      </c>
      <c r="V150" t="s">
        <v>57</v>
      </c>
      <c r="X150">
        <v>2543.75</v>
      </c>
      <c r="Y150" t="s">
        <v>123</v>
      </c>
      <c r="Z150">
        <v>245</v>
      </c>
      <c r="AA150">
        <f t="shared" si="5"/>
        <v>245</v>
      </c>
      <c r="AB150" t="s">
        <v>43</v>
      </c>
    </row>
    <row r="151" spans="1:28" x14ac:dyDescent="0.3">
      <c r="A151" t="s">
        <v>7385</v>
      </c>
      <c r="B151" t="s">
        <v>7384</v>
      </c>
      <c r="C151" t="s">
        <v>7384</v>
      </c>
      <c r="D151" t="s">
        <v>0</v>
      </c>
      <c r="E151">
        <v>43</v>
      </c>
      <c r="F151">
        <v>43</v>
      </c>
      <c r="G151" t="s">
        <v>80</v>
      </c>
      <c r="H151" t="s">
        <v>80</v>
      </c>
      <c r="I151" t="s">
        <v>53</v>
      </c>
      <c r="J151" t="s">
        <v>20</v>
      </c>
      <c r="K151" s="1">
        <v>46076</v>
      </c>
      <c r="L151" s="1" t="str">
        <f>IF(K151&gt;O151,"Valid","Invalid")</f>
        <v>Valid</v>
      </c>
      <c r="M151" s="1" t="b">
        <f>ISNUMBER(K151)</f>
        <v>1</v>
      </c>
      <c r="N151" s="1" t="b">
        <f>ISNUMBER(O151)</f>
        <v>1</v>
      </c>
      <c r="O151" s="1">
        <v>46047</v>
      </c>
      <c r="P151" t="s">
        <v>7383</v>
      </c>
      <c r="Q151" t="str">
        <f>SUBSTITUTE(SUBSTITUTE(SUBSTITUTE(P151," ",""),"-",""),"+","")</f>
        <v>4657096637</v>
      </c>
      <c r="R151" t="str">
        <f t="shared" si="4"/>
        <v>4657096637</v>
      </c>
      <c r="S151" t="str">
        <f>IF(LEN(R151),"Valid","Invalid")</f>
        <v>Valid</v>
      </c>
      <c r="T151" t="s">
        <v>7382</v>
      </c>
      <c r="V151" t="s">
        <v>57</v>
      </c>
      <c r="X151">
        <v>7893.75</v>
      </c>
      <c r="Y151" t="s">
        <v>123</v>
      </c>
      <c r="Z151">
        <v>166</v>
      </c>
      <c r="AA151">
        <f t="shared" si="5"/>
        <v>166</v>
      </c>
      <c r="AB151" t="s">
        <v>34</v>
      </c>
    </row>
    <row r="152" spans="1:28" x14ac:dyDescent="0.3">
      <c r="A152" t="s">
        <v>7381</v>
      </c>
      <c r="B152" t="s">
        <v>7380</v>
      </c>
      <c r="C152" t="s">
        <v>7380</v>
      </c>
      <c r="D152" t="s">
        <v>74</v>
      </c>
      <c r="E152">
        <v>40</v>
      </c>
      <c r="F152">
        <v>40</v>
      </c>
      <c r="G152" t="s">
        <v>54</v>
      </c>
      <c r="H152" t="s">
        <v>54</v>
      </c>
      <c r="I152" t="s">
        <v>67</v>
      </c>
      <c r="J152" t="s">
        <v>67</v>
      </c>
      <c r="K152" s="1">
        <v>46120</v>
      </c>
      <c r="L152" s="1" t="str">
        <f>IF(K152&gt;O152,"Valid","Invalid")</f>
        <v>Valid</v>
      </c>
      <c r="M152" s="1" t="b">
        <f>ISNUMBER(K152)</f>
        <v>1</v>
      </c>
      <c r="N152" s="1" t="b">
        <f>ISNUMBER(O152)</f>
        <v>1</v>
      </c>
      <c r="O152" s="1">
        <v>46094</v>
      </c>
      <c r="P152" t="s">
        <v>7379</v>
      </c>
      <c r="Q152" t="str">
        <f>SUBSTITUTE(SUBSTITUTE(SUBSTITUTE(P152," ",""),"-",""),"+","")</f>
        <v>1786421033</v>
      </c>
      <c r="R152" t="str">
        <f t="shared" si="4"/>
        <v>1786421033</v>
      </c>
      <c r="S152" t="str">
        <f>IF(LEN(R152),"Valid","Invalid")</f>
        <v>Valid</v>
      </c>
      <c r="T152" t="s">
        <v>7378</v>
      </c>
      <c r="V152" t="s">
        <v>35</v>
      </c>
      <c r="X152">
        <v>16818.89</v>
      </c>
      <c r="Y152" t="s">
        <v>64</v>
      </c>
      <c r="Z152">
        <v>430</v>
      </c>
      <c r="AA152">
        <f t="shared" si="5"/>
        <v>430</v>
      </c>
      <c r="AB152" t="s">
        <v>25</v>
      </c>
    </row>
    <row r="153" spans="1:28" x14ac:dyDescent="0.3">
      <c r="A153" t="s">
        <v>7373</v>
      </c>
      <c r="B153" t="s">
        <v>7372</v>
      </c>
      <c r="C153" t="s">
        <v>7372</v>
      </c>
      <c r="E153">
        <v>25</v>
      </c>
      <c r="F153">
        <v>25</v>
      </c>
      <c r="G153" t="s">
        <v>21</v>
      </c>
      <c r="H153" t="s">
        <v>21</v>
      </c>
      <c r="I153" t="s">
        <v>53</v>
      </c>
      <c r="J153" t="s">
        <v>20</v>
      </c>
      <c r="K153" s="1">
        <v>46066</v>
      </c>
      <c r="L153" s="1" t="str">
        <f>IF(K153&gt;O153,"Valid","Invalid")</f>
        <v>Valid</v>
      </c>
      <c r="M153" s="1" t="b">
        <f>ISNUMBER(K153)</f>
        <v>1</v>
      </c>
      <c r="N153" s="1" t="b">
        <f>ISNUMBER(O153)</f>
        <v>1</v>
      </c>
      <c r="O153" s="1">
        <v>46062</v>
      </c>
      <c r="P153" t="s">
        <v>7371</v>
      </c>
      <c r="Q153" t="str">
        <f>SUBSTITUTE(SUBSTITUTE(SUBSTITUTE(P153," ",""),"-",""),"+","")</f>
        <v>02716895024</v>
      </c>
      <c r="R153" t="str">
        <f t="shared" si="4"/>
        <v>2716895024</v>
      </c>
      <c r="S153" t="str">
        <f>IF(LEN(R153),"Valid","Invalid")</f>
        <v>Valid</v>
      </c>
      <c r="T153" t="s">
        <v>7370</v>
      </c>
      <c r="V153" t="s">
        <v>64</v>
      </c>
      <c r="X153">
        <v>7535.64</v>
      </c>
      <c r="Y153" t="s">
        <v>64</v>
      </c>
      <c r="Z153">
        <v>359</v>
      </c>
      <c r="AA153">
        <f t="shared" si="5"/>
        <v>359</v>
      </c>
      <c r="AB153" t="s">
        <v>50</v>
      </c>
    </row>
    <row r="154" spans="1:28" x14ac:dyDescent="0.3">
      <c r="A154" t="s">
        <v>7369</v>
      </c>
      <c r="B154" t="s">
        <v>7368</v>
      </c>
      <c r="C154" t="s">
        <v>7368</v>
      </c>
      <c r="D154" t="s">
        <v>40</v>
      </c>
      <c r="E154">
        <v>85</v>
      </c>
      <c r="F154">
        <v>85</v>
      </c>
      <c r="G154" t="s">
        <v>31</v>
      </c>
      <c r="H154" t="s">
        <v>31</v>
      </c>
      <c r="I154" t="s">
        <v>53</v>
      </c>
      <c r="J154" t="s">
        <v>20</v>
      </c>
      <c r="K154" s="1">
        <v>46102</v>
      </c>
      <c r="L154" s="1" t="str">
        <f>IF(K154&gt;O154,"Valid","Invalid")</f>
        <v>Valid</v>
      </c>
      <c r="M154" s="1" t="b">
        <f>ISNUMBER(K154)</f>
        <v>1</v>
      </c>
      <c r="N154" s="1" t="b">
        <f>ISNUMBER(O154)</f>
        <v>1</v>
      </c>
      <c r="O154" s="1">
        <v>46083</v>
      </c>
      <c r="P154" t="s">
        <v>7367</v>
      </c>
      <c r="Q154" t="str">
        <f>SUBSTITUTE(SUBSTITUTE(SUBSTITUTE(P154," ",""),"-",""),"+","")</f>
        <v>910977122440</v>
      </c>
      <c r="R154" t="str">
        <f t="shared" si="4"/>
        <v>0977122440</v>
      </c>
      <c r="S154" t="str">
        <f>IF(LEN(R154),"Valid","Invalid")</f>
        <v>Valid</v>
      </c>
      <c r="T154" t="s">
        <v>7366</v>
      </c>
      <c r="V154" t="s">
        <v>123</v>
      </c>
      <c r="X154">
        <v>4025.47</v>
      </c>
      <c r="Y154" t="s">
        <v>26</v>
      </c>
      <c r="Z154">
        <v>525</v>
      </c>
      <c r="AA154">
        <f t="shared" si="5"/>
        <v>525</v>
      </c>
      <c r="AB154" t="s">
        <v>25</v>
      </c>
    </row>
    <row r="155" spans="1:28" x14ac:dyDescent="0.3">
      <c r="A155" t="s">
        <v>7365</v>
      </c>
      <c r="B155" t="s">
        <v>7364</v>
      </c>
      <c r="C155" t="s">
        <v>7364</v>
      </c>
      <c r="D155" t="s">
        <v>0</v>
      </c>
      <c r="E155">
        <v>57</v>
      </c>
      <c r="F155">
        <v>57</v>
      </c>
      <c r="G155" t="s">
        <v>47</v>
      </c>
      <c r="H155" t="s">
        <v>47</v>
      </c>
      <c r="I155" t="s">
        <v>90</v>
      </c>
      <c r="J155" t="s">
        <v>67</v>
      </c>
      <c r="K155" s="1">
        <v>46029</v>
      </c>
      <c r="L155" s="1" t="str">
        <f>IF(K155&gt;O155,"Valid","Invalid")</f>
        <v>Valid</v>
      </c>
      <c r="M155" s="1" t="b">
        <f>ISNUMBER(K155)</f>
        <v>1</v>
      </c>
      <c r="N155" s="1" t="b">
        <f>ISNUMBER(O155)</f>
        <v>1</v>
      </c>
      <c r="O155" s="1">
        <v>46018</v>
      </c>
      <c r="P155" t="s">
        <v>7363</v>
      </c>
      <c r="Q155" t="str">
        <f>SUBSTITUTE(SUBSTITUTE(SUBSTITUTE(P155," ",""),"-",""),"+","")</f>
        <v>5416301763</v>
      </c>
      <c r="R155" t="str">
        <f t="shared" si="4"/>
        <v>5416301763</v>
      </c>
      <c r="S155" t="str">
        <f>IF(LEN(R155),"Valid","Invalid")</f>
        <v>Valid</v>
      </c>
      <c r="T155" t="s">
        <v>7362</v>
      </c>
      <c r="V155" t="s">
        <v>17</v>
      </c>
      <c r="X155">
        <v>24245.8</v>
      </c>
      <c r="Y155" t="s">
        <v>63</v>
      </c>
      <c r="Z155">
        <v>485</v>
      </c>
      <c r="AA155">
        <f t="shared" si="5"/>
        <v>485</v>
      </c>
      <c r="AB155" t="s">
        <v>25</v>
      </c>
    </row>
    <row r="156" spans="1:28" x14ac:dyDescent="0.3">
      <c r="A156" t="s">
        <v>7361</v>
      </c>
      <c r="B156" t="s">
        <v>7360</v>
      </c>
      <c r="C156" t="s">
        <v>7360</v>
      </c>
      <c r="E156">
        <v>30</v>
      </c>
      <c r="F156">
        <v>30</v>
      </c>
      <c r="G156" t="s">
        <v>21</v>
      </c>
      <c r="H156" t="s">
        <v>21</v>
      </c>
      <c r="I156" t="s">
        <v>30</v>
      </c>
      <c r="J156" t="s">
        <v>30</v>
      </c>
      <c r="K156" s="1">
        <v>46105</v>
      </c>
      <c r="L156" s="1" t="str">
        <f>IF(K156&gt;O156,"Valid","Invalid")</f>
        <v>Valid</v>
      </c>
      <c r="M156" s="1" t="b">
        <f>ISNUMBER(K156)</f>
        <v>1</v>
      </c>
      <c r="N156" s="1" t="b">
        <f>ISNUMBER(O156)</f>
        <v>1</v>
      </c>
      <c r="O156" s="1">
        <v>46075</v>
      </c>
      <c r="P156" t="s">
        <v>7359</v>
      </c>
      <c r="Q156" t="str">
        <f>SUBSTITUTE(SUBSTITUTE(SUBSTITUTE(P156," ",""),"-",""),"+","")</f>
        <v>1140520054</v>
      </c>
      <c r="R156" t="str">
        <f t="shared" si="4"/>
        <v>1140520054</v>
      </c>
      <c r="S156" t="str">
        <f>IF(LEN(R156),"Valid","Invalid")</f>
        <v>Valid</v>
      </c>
      <c r="T156" t="s">
        <v>7358</v>
      </c>
      <c r="V156" t="s">
        <v>123</v>
      </c>
      <c r="X156">
        <v>22618.560000000001</v>
      </c>
      <c r="Y156" t="s">
        <v>57</v>
      </c>
      <c r="Z156">
        <v>288</v>
      </c>
      <c r="AA156">
        <f t="shared" si="5"/>
        <v>288</v>
      </c>
      <c r="AB156" t="s">
        <v>25</v>
      </c>
    </row>
    <row r="157" spans="1:28" x14ac:dyDescent="0.3">
      <c r="A157" t="s">
        <v>7357</v>
      </c>
      <c r="B157" t="s">
        <v>7356</v>
      </c>
      <c r="C157" t="s">
        <v>7356</v>
      </c>
      <c r="E157">
        <v>60</v>
      </c>
      <c r="F157">
        <v>60</v>
      </c>
      <c r="G157" t="s">
        <v>132</v>
      </c>
      <c r="H157" t="s">
        <v>132</v>
      </c>
      <c r="I157" t="s">
        <v>90</v>
      </c>
      <c r="J157" t="s">
        <v>67</v>
      </c>
      <c r="K157" s="1">
        <v>46073</v>
      </c>
      <c r="L157" s="1" t="str">
        <f>IF(K157&gt;O157,"Valid","Invalid")</f>
        <v>Valid</v>
      </c>
      <c r="M157" s="1" t="b">
        <f>ISNUMBER(K157)</f>
        <v>1</v>
      </c>
      <c r="N157" s="1" t="b">
        <f>ISNUMBER(O157)</f>
        <v>1</v>
      </c>
      <c r="O157" s="1">
        <v>46057</v>
      </c>
      <c r="P157" t="s">
        <v>7355</v>
      </c>
      <c r="Q157" t="str">
        <f>SUBSTITUTE(SUBSTITUTE(SUBSTITUTE(P157," ",""),"-",""),"+","")</f>
        <v>04809030701</v>
      </c>
      <c r="R157" t="str">
        <f t="shared" si="4"/>
        <v>4809030701</v>
      </c>
      <c r="S157" t="str">
        <f>IF(LEN(R157),"Valid","Invalid")</f>
        <v>Valid</v>
      </c>
      <c r="T157" t="s">
        <v>123</v>
      </c>
      <c r="V157" t="s">
        <v>123</v>
      </c>
      <c r="X157">
        <v>-500</v>
      </c>
      <c r="Y157" t="s">
        <v>57</v>
      </c>
      <c r="Z157">
        <v>510</v>
      </c>
      <c r="AA157">
        <f t="shared" si="5"/>
        <v>510</v>
      </c>
      <c r="AB157" t="s">
        <v>34</v>
      </c>
    </row>
    <row r="158" spans="1:28" x14ac:dyDescent="0.3">
      <c r="A158" t="s">
        <v>7354</v>
      </c>
      <c r="B158" t="s">
        <v>7353</v>
      </c>
      <c r="C158" t="s">
        <v>7353</v>
      </c>
      <c r="D158" t="s">
        <v>0</v>
      </c>
      <c r="E158">
        <v>33</v>
      </c>
      <c r="F158">
        <v>33</v>
      </c>
      <c r="G158" t="s">
        <v>47</v>
      </c>
      <c r="H158" t="s">
        <v>47</v>
      </c>
      <c r="I158" t="s">
        <v>85</v>
      </c>
      <c r="J158" t="s">
        <v>85</v>
      </c>
      <c r="K158" s="1">
        <v>46086</v>
      </c>
      <c r="L158" s="1" t="str">
        <f>IF(K158&gt;O158,"Valid","Invalid")</f>
        <v>Valid</v>
      </c>
      <c r="M158" s="1" t="b">
        <f>ISNUMBER(K158)</f>
        <v>1</v>
      </c>
      <c r="N158" s="1" t="b">
        <f>ISNUMBER(O158)</f>
        <v>1</v>
      </c>
      <c r="O158" s="1">
        <v>46059</v>
      </c>
      <c r="P158" t="s">
        <v>7352</v>
      </c>
      <c r="Q158" t="str">
        <f>SUBSTITUTE(SUBSTITUTE(SUBSTITUTE(P158," ",""),"-",""),"+","")</f>
        <v>04883919978</v>
      </c>
      <c r="R158" t="str">
        <f t="shared" si="4"/>
        <v>4883919978</v>
      </c>
      <c r="S158" t="str">
        <f>IF(LEN(R158),"Valid","Invalid")</f>
        <v>Valid</v>
      </c>
      <c r="T158" t="s">
        <v>7351</v>
      </c>
      <c r="V158" t="s">
        <v>57</v>
      </c>
      <c r="X158">
        <v>13952.61</v>
      </c>
      <c r="Y158" t="s">
        <v>64</v>
      </c>
      <c r="Z158">
        <v>464</v>
      </c>
      <c r="AA158">
        <f t="shared" si="5"/>
        <v>464</v>
      </c>
      <c r="AB158" t="s">
        <v>50</v>
      </c>
    </row>
    <row r="159" spans="1:28" x14ac:dyDescent="0.3">
      <c r="A159" t="s">
        <v>7350</v>
      </c>
      <c r="B159" t="s">
        <v>7349</v>
      </c>
      <c r="C159" t="s">
        <v>7349</v>
      </c>
      <c r="D159" t="s">
        <v>74</v>
      </c>
      <c r="E159">
        <v>37</v>
      </c>
      <c r="F159">
        <v>37</v>
      </c>
      <c r="G159" t="s">
        <v>80</v>
      </c>
      <c r="H159" t="s">
        <v>80</v>
      </c>
      <c r="I159" t="s">
        <v>53</v>
      </c>
      <c r="J159" t="s">
        <v>20</v>
      </c>
      <c r="K159" s="1">
        <v>46055</v>
      </c>
      <c r="L159" s="1" t="str">
        <f>IF(K159&gt;O159,"Valid","Invalid")</f>
        <v>Valid</v>
      </c>
      <c r="M159" s="1" t="b">
        <f>ISNUMBER(K159)</f>
        <v>1</v>
      </c>
      <c r="N159" s="1" t="b">
        <f>ISNUMBER(O159)</f>
        <v>1</v>
      </c>
      <c r="O159" s="1">
        <v>46047</v>
      </c>
      <c r="P159" t="s">
        <v>7348</v>
      </c>
      <c r="Q159" t="str">
        <f>SUBSTITUTE(SUBSTITUTE(SUBSTITUTE(P159," ",""),"-",""),"+","")</f>
        <v>4400690499</v>
      </c>
      <c r="R159" t="str">
        <f t="shared" si="4"/>
        <v>4400690499</v>
      </c>
      <c r="S159" t="str">
        <f>IF(LEN(R159),"Valid","Invalid")</f>
        <v>Valid</v>
      </c>
      <c r="T159" t="s">
        <v>7347</v>
      </c>
      <c r="V159" t="s">
        <v>123</v>
      </c>
      <c r="X159">
        <v>22651.59</v>
      </c>
      <c r="Y159" t="s">
        <v>26</v>
      </c>
      <c r="Z159">
        <v>525</v>
      </c>
      <c r="AA159">
        <f t="shared" si="5"/>
        <v>525</v>
      </c>
      <c r="AB159" t="s">
        <v>16</v>
      </c>
    </row>
    <row r="160" spans="1:28" x14ac:dyDescent="0.3">
      <c r="A160" t="s">
        <v>7346</v>
      </c>
      <c r="B160" t="s">
        <v>7345</v>
      </c>
      <c r="C160" t="s">
        <v>7345</v>
      </c>
      <c r="D160" t="s">
        <v>74</v>
      </c>
      <c r="E160">
        <v>29</v>
      </c>
      <c r="F160">
        <v>29</v>
      </c>
      <c r="G160" t="s">
        <v>68</v>
      </c>
      <c r="H160" t="s">
        <v>68</v>
      </c>
      <c r="I160" t="s">
        <v>67</v>
      </c>
      <c r="J160" t="s">
        <v>67</v>
      </c>
      <c r="K160" s="1">
        <v>46163</v>
      </c>
      <c r="L160" s="1" t="str">
        <f>IF(K160&gt;O160,"Valid","Invalid")</f>
        <v>Valid</v>
      </c>
      <c r="M160" s="1" t="b">
        <f>ISNUMBER(K160)</f>
        <v>1</v>
      </c>
      <c r="N160" s="1" t="b">
        <f>ISNUMBER(O160)</f>
        <v>1</v>
      </c>
      <c r="O160" s="1">
        <v>46134</v>
      </c>
      <c r="P160" t="s">
        <v>7344</v>
      </c>
      <c r="Q160" t="str">
        <f>SUBSTITUTE(SUBSTITUTE(SUBSTITUTE(P160," ",""),"-",""),"+","")</f>
        <v>04519940560</v>
      </c>
      <c r="R160" t="str">
        <f t="shared" si="4"/>
        <v>4519940560</v>
      </c>
      <c r="S160" t="str">
        <f>IF(LEN(R160),"Valid","Invalid")</f>
        <v>Valid</v>
      </c>
      <c r="T160" t="s">
        <v>7343</v>
      </c>
      <c r="V160" t="s">
        <v>27</v>
      </c>
      <c r="X160">
        <v>10489.44</v>
      </c>
      <c r="Y160" t="s">
        <v>123</v>
      </c>
      <c r="Z160">
        <v>357</v>
      </c>
      <c r="AA160">
        <f t="shared" si="5"/>
        <v>357</v>
      </c>
      <c r="AB160" t="s">
        <v>43</v>
      </c>
    </row>
    <row r="161" spans="1:28" x14ac:dyDescent="0.3">
      <c r="A161" t="s">
        <v>7342</v>
      </c>
      <c r="B161" t="s">
        <v>7341</v>
      </c>
      <c r="C161" t="s">
        <v>7341</v>
      </c>
      <c r="D161" t="s">
        <v>1</v>
      </c>
      <c r="E161">
        <v>50</v>
      </c>
      <c r="F161">
        <v>50</v>
      </c>
      <c r="G161" t="s">
        <v>80</v>
      </c>
      <c r="H161" t="s">
        <v>80</v>
      </c>
      <c r="I161" t="s">
        <v>67</v>
      </c>
      <c r="J161" t="s">
        <v>67</v>
      </c>
      <c r="K161" s="1">
        <v>46059</v>
      </c>
      <c r="L161" s="1" t="str">
        <f>IF(K161&gt;O161,"Valid","Invalid")</f>
        <v>Valid</v>
      </c>
      <c r="M161" s="1" t="b">
        <f>ISNUMBER(K161)</f>
        <v>1</v>
      </c>
      <c r="N161" s="1" t="b">
        <f>ISNUMBER(O161)</f>
        <v>1</v>
      </c>
      <c r="O161" s="1">
        <v>46052</v>
      </c>
      <c r="P161" t="s">
        <v>7340</v>
      </c>
      <c r="Q161" t="str">
        <f>SUBSTITUTE(SUBSTITUTE(SUBSTITUTE(P161," ",""),"-",""),"+","")</f>
        <v>8425065576</v>
      </c>
      <c r="R161" t="str">
        <f t="shared" si="4"/>
        <v>8425065576</v>
      </c>
      <c r="S161" t="str">
        <f>IF(LEN(R161),"Valid","Invalid")</f>
        <v>Valid</v>
      </c>
      <c r="T161" t="s">
        <v>7339</v>
      </c>
      <c r="V161" t="s">
        <v>27</v>
      </c>
      <c r="X161">
        <v>8103.38</v>
      </c>
      <c r="Y161" t="s">
        <v>64</v>
      </c>
      <c r="Z161">
        <v>529</v>
      </c>
      <c r="AA161">
        <f t="shared" si="5"/>
        <v>529</v>
      </c>
      <c r="AB161" t="s">
        <v>25</v>
      </c>
    </row>
    <row r="162" spans="1:28" x14ac:dyDescent="0.3">
      <c r="A162" t="s">
        <v>7338</v>
      </c>
      <c r="B162" t="s">
        <v>7337</v>
      </c>
      <c r="C162" t="s">
        <v>7337</v>
      </c>
      <c r="D162" t="s">
        <v>60</v>
      </c>
      <c r="E162">
        <v>19</v>
      </c>
      <c r="F162">
        <v>19</v>
      </c>
      <c r="G162" t="s">
        <v>39</v>
      </c>
      <c r="H162" t="s">
        <v>39</v>
      </c>
      <c r="I162" t="s">
        <v>46</v>
      </c>
      <c r="J162" t="s">
        <v>46</v>
      </c>
      <c r="K162" s="1">
        <v>46108</v>
      </c>
      <c r="L162" s="1" t="str">
        <f>IF(K162&gt;O162,"Valid","Invalid")</f>
        <v>Valid</v>
      </c>
      <c r="M162" s="1" t="b">
        <f>ISNUMBER(K162)</f>
        <v>1</v>
      </c>
      <c r="N162" s="1" t="b">
        <f>ISNUMBER(O162)</f>
        <v>1</v>
      </c>
      <c r="O162" s="1">
        <v>46099</v>
      </c>
      <c r="P162" t="s">
        <v>7336</v>
      </c>
      <c r="Q162" t="str">
        <f>SUBSTITUTE(SUBSTITUTE(SUBSTITUTE(P162," ",""),"-",""),"+","")</f>
        <v>912479480183</v>
      </c>
      <c r="R162" t="str">
        <f t="shared" si="4"/>
        <v>2479480183</v>
      </c>
      <c r="S162" t="str">
        <f>IF(LEN(R162),"Valid","Invalid")</f>
        <v>Valid</v>
      </c>
      <c r="T162" t="s">
        <v>7335</v>
      </c>
      <c r="V162" t="s">
        <v>123</v>
      </c>
      <c r="X162">
        <v>17462.59</v>
      </c>
      <c r="Y162" t="s">
        <v>26</v>
      </c>
      <c r="Z162">
        <v>488</v>
      </c>
      <c r="AA162">
        <f t="shared" si="5"/>
        <v>488</v>
      </c>
      <c r="AB162" t="s">
        <v>25</v>
      </c>
    </row>
    <row r="163" spans="1:28" x14ac:dyDescent="0.3">
      <c r="A163" t="s">
        <v>7330</v>
      </c>
      <c r="B163" t="s">
        <v>7329</v>
      </c>
      <c r="C163" t="s">
        <v>7329</v>
      </c>
      <c r="D163" t="s">
        <v>123</v>
      </c>
      <c r="E163">
        <v>15</v>
      </c>
      <c r="F163">
        <v>15</v>
      </c>
      <c r="G163" t="s">
        <v>132</v>
      </c>
      <c r="H163" t="s">
        <v>132</v>
      </c>
      <c r="I163" t="s">
        <v>38</v>
      </c>
      <c r="J163" t="s">
        <v>8077</v>
      </c>
      <c r="K163" s="1">
        <v>46051</v>
      </c>
      <c r="L163" s="1" t="str">
        <f>IF(K163&gt;O163,"Valid","Invalid")</f>
        <v>Valid</v>
      </c>
      <c r="M163" s="1" t="b">
        <f>ISNUMBER(K163)</f>
        <v>1</v>
      </c>
      <c r="N163" s="1" t="b">
        <f>ISNUMBER(O163)</f>
        <v>1</v>
      </c>
      <c r="O163" s="1">
        <v>46042</v>
      </c>
      <c r="P163" t="s">
        <v>7328</v>
      </c>
      <c r="Q163" t="str">
        <f>SUBSTITUTE(SUBSTITUTE(SUBSTITUTE(P163," ",""),"-",""),"+","")</f>
        <v>06766116426</v>
      </c>
      <c r="R163" t="str">
        <f t="shared" si="4"/>
        <v>6766116426</v>
      </c>
      <c r="S163" t="str">
        <f>IF(LEN(R163),"Valid","Invalid")</f>
        <v>Valid</v>
      </c>
      <c r="T163" t="s">
        <v>7327</v>
      </c>
      <c r="V163" t="s">
        <v>64</v>
      </c>
      <c r="X163">
        <v>1384.19</v>
      </c>
      <c r="Y163" t="s">
        <v>123</v>
      </c>
      <c r="Z163">
        <v>427</v>
      </c>
      <c r="AA163">
        <f t="shared" si="5"/>
        <v>427</v>
      </c>
      <c r="AB163" t="s">
        <v>50</v>
      </c>
    </row>
    <row r="164" spans="1:28" x14ac:dyDescent="0.3">
      <c r="A164" t="s">
        <v>7326</v>
      </c>
      <c r="B164" t="s">
        <v>1054</v>
      </c>
      <c r="C164" t="s">
        <v>1054</v>
      </c>
      <c r="E164">
        <v>9</v>
      </c>
      <c r="F164">
        <v>9</v>
      </c>
      <c r="G164" t="s">
        <v>80</v>
      </c>
      <c r="H164" t="s">
        <v>80</v>
      </c>
      <c r="I164" t="s">
        <v>85</v>
      </c>
      <c r="J164" t="s">
        <v>85</v>
      </c>
      <c r="K164" s="1">
        <v>46100</v>
      </c>
      <c r="L164" s="1" t="str">
        <f>IF(K164&gt;O164,"Valid","Invalid")</f>
        <v>Valid</v>
      </c>
      <c r="M164" s="1" t="b">
        <f>ISNUMBER(K164)</f>
        <v>1</v>
      </c>
      <c r="N164" s="1" t="b">
        <f>ISNUMBER(O164)</f>
        <v>1</v>
      </c>
      <c r="O164" s="1">
        <v>46081</v>
      </c>
      <c r="P164" t="s">
        <v>7325</v>
      </c>
      <c r="Q164" t="str">
        <f>SUBSTITUTE(SUBSTITUTE(SUBSTITUTE(P164," ",""),"-",""),"+","")</f>
        <v>4157221992</v>
      </c>
      <c r="R164" t="str">
        <f t="shared" si="4"/>
        <v>4157221992</v>
      </c>
      <c r="S164" t="str">
        <f>IF(LEN(R164),"Valid","Invalid")</f>
        <v>Valid</v>
      </c>
      <c r="T164" t="s">
        <v>7324</v>
      </c>
      <c r="V164" t="s">
        <v>27</v>
      </c>
      <c r="X164">
        <v>15872.48</v>
      </c>
      <c r="Y164" t="s">
        <v>57</v>
      </c>
      <c r="Z164">
        <v>467</v>
      </c>
      <c r="AA164">
        <f t="shared" si="5"/>
        <v>467</v>
      </c>
      <c r="AB164" t="s">
        <v>71</v>
      </c>
    </row>
    <row r="165" spans="1:28" x14ac:dyDescent="0.3">
      <c r="A165" t="s">
        <v>7323</v>
      </c>
      <c r="B165" t="s">
        <v>7322</v>
      </c>
      <c r="C165" t="s">
        <v>7322</v>
      </c>
      <c r="D165" t="s">
        <v>22</v>
      </c>
      <c r="E165">
        <v>55</v>
      </c>
      <c r="F165">
        <v>55</v>
      </c>
      <c r="G165" t="s">
        <v>47</v>
      </c>
      <c r="H165" t="s">
        <v>47</v>
      </c>
      <c r="I165" t="s">
        <v>67</v>
      </c>
      <c r="J165" t="s">
        <v>67</v>
      </c>
      <c r="K165" s="1">
        <v>46140</v>
      </c>
      <c r="L165" s="1" t="str">
        <f>IF(K165&gt;O165,"Valid","Invalid")</f>
        <v>Valid</v>
      </c>
      <c r="M165" s="1" t="b">
        <f>ISNUMBER(K165)</f>
        <v>1</v>
      </c>
      <c r="N165" s="1" t="b">
        <f>ISNUMBER(O165)</f>
        <v>1</v>
      </c>
      <c r="O165" s="1">
        <v>46133</v>
      </c>
      <c r="P165" t="s">
        <v>7321</v>
      </c>
      <c r="Q165" t="str">
        <f>SUBSTITUTE(SUBSTITUTE(SUBSTITUTE(P165," ",""),"-",""),"+","")</f>
        <v>2064241411</v>
      </c>
      <c r="R165" t="str">
        <f t="shared" si="4"/>
        <v>2064241411</v>
      </c>
      <c r="S165" t="str">
        <f>IF(LEN(R165),"Valid","Invalid")</f>
        <v>Valid</v>
      </c>
      <c r="T165" t="s">
        <v>7320</v>
      </c>
      <c r="V165" t="s">
        <v>123</v>
      </c>
      <c r="X165">
        <v>4845.3900000000003</v>
      </c>
      <c r="Y165" t="s">
        <v>64</v>
      </c>
      <c r="Z165">
        <v>368</v>
      </c>
      <c r="AA165">
        <f t="shared" si="5"/>
        <v>368</v>
      </c>
      <c r="AB165" t="s">
        <v>43</v>
      </c>
    </row>
    <row r="166" spans="1:28" x14ac:dyDescent="0.3">
      <c r="A166" t="s">
        <v>7316</v>
      </c>
      <c r="B166" t="s">
        <v>7315</v>
      </c>
      <c r="C166" t="s">
        <v>7315</v>
      </c>
      <c r="D166" t="s">
        <v>40</v>
      </c>
      <c r="E166">
        <v>46</v>
      </c>
      <c r="F166">
        <v>46</v>
      </c>
      <c r="G166" t="s">
        <v>80</v>
      </c>
      <c r="H166" t="s">
        <v>80</v>
      </c>
      <c r="I166" t="s">
        <v>67</v>
      </c>
      <c r="J166" t="s">
        <v>67</v>
      </c>
      <c r="K166" s="1">
        <v>46136</v>
      </c>
      <c r="L166" s="1" t="str">
        <f>IF(K166&gt;O166,"Valid","Invalid")</f>
        <v>Valid</v>
      </c>
      <c r="M166" s="1" t="b">
        <f>ISNUMBER(K166)</f>
        <v>1</v>
      </c>
      <c r="N166" s="1" t="b">
        <f>ISNUMBER(O166)</f>
        <v>1</v>
      </c>
      <c r="O166" s="1">
        <v>46129</v>
      </c>
      <c r="P166" t="s">
        <v>7314</v>
      </c>
      <c r="Q166" t="str">
        <f>SUBSTITUTE(SUBSTITUTE(SUBSTITUTE(P166," ",""),"-",""),"+","")</f>
        <v>05700826761</v>
      </c>
      <c r="R166" t="str">
        <f t="shared" si="4"/>
        <v>5700826761</v>
      </c>
      <c r="S166" t="str">
        <f>IF(LEN(R166),"Valid","Invalid")</f>
        <v>Valid</v>
      </c>
      <c r="T166" t="s">
        <v>7313</v>
      </c>
      <c r="V166" t="s">
        <v>64</v>
      </c>
      <c r="X166">
        <v>19333.23</v>
      </c>
      <c r="Y166" t="s">
        <v>17</v>
      </c>
      <c r="Z166">
        <v>168</v>
      </c>
      <c r="AA166">
        <f t="shared" si="5"/>
        <v>168</v>
      </c>
      <c r="AB166" t="s">
        <v>77</v>
      </c>
    </row>
    <row r="167" spans="1:28" x14ac:dyDescent="0.3">
      <c r="A167" t="s">
        <v>7312</v>
      </c>
      <c r="B167" t="s">
        <v>7311</v>
      </c>
      <c r="C167" t="s">
        <v>7311</v>
      </c>
      <c r="D167" t="s">
        <v>60</v>
      </c>
      <c r="E167">
        <v>70</v>
      </c>
      <c r="F167">
        <v>70</v>
      </c>
      <c r="G167" t="s">
        <v>31</v>
      </c>
      <c r="H167" t="s">
        <v>31</v>
      </c>
      <c r="I167" t="s">
        <v>53</v>
      </c>
      <c r="J167" t="s">
        <v>20</v>
      </c>
      <c r="K167" s="1">
        <v>46047</v>
      </c>
      <c r="L167" s="1" t="str">
        <f>IF(K167&gt;O167,"Valid","Invalid")</f>
        <v>Valid</v>
      </c>
      <c r="M167" s="1" t="b">
        <f>ISNUMBER(K167)</f>
        <v>1</v>
      </c>
      <c r="N167" s="1" t="b">
        <f>ISNUMBER(O167)</f>
        <v>1</v>
      </c>
      <c r="O167" s="1">
        <v>46021</v>
      </c>
      <c r="P167" t="s">
        <v>7310</v>
      </c>
      <c r="Q167" t="str">
        <f>SUBSTITUTE(SUBSTITUTE(SUBSTITUTE(P167," ",""),"-",""),"+","")</f>
        <v>916789694082</v>
      </c>
      <c r="R167" t="str">
        <f t="shared" si="4"/>
        <v>6789694082</v>
      </c>
      <c r="S167" t="str">
        <f>IF(LEN(R167),"Valid","Invalid")</f>
        <v>Valid</v>
      </c>
      <c r="T167" t="s">
        <v>7309</v>
      </c>
      <c r="V167" t="s">
        <v>123</v>
      </c>
      <c r="X167">
        <v>24524.32</v>
      </c>
      <c r="Y167" t="s">
        <v>123</v>
      </c>
      <c r="Z167">
        <v>423</v>
      </c>
      <c r="AA167">
        <f t="shared" si="5"/>
        <v>423</v>
      </c>
      <c r="AB167" t="s">
        <v>71</v>
      </c>
    </row>
    <row r="168" spans="1:28" x14ac:dyDescent="0.3">
      <c r="A168" t="s">
        <v>7308</v>
      </c>
      <c r="B168" t="s">
        <v>7307</v>
      </c>
      <c r="C168" t="s">
        <v>7307</v>
      </c>
      <c r="D168" t="s">
        <v>0</v>
      </c>
      <c r="E168">
        <v>9</v>
      </c>
      <c r="F168">
        <v>9</v>
      </c>
      <c r="G168" t="s">
        <v>68</v>
      </c>
      <c r="H168" t="s">
        <v>68</v>
      </c>
      <c r="I168" t="s">
        <v>46</v>
      </c>
      <c r="J168" t="s">
        <v>46</v>
      </c>
      <c r="K168" s="1">
        <v>45990</v>
      </c>
      <c r="L168" s="1" t="str">
        <f>IF(K168&gt;O168,"Valid","Invalid")</f>
        <v>Valid</v>
      </c>
      <c r="M168" s="1" t="b">
        <f>ISNUMBER(K168)</f>
        <v>1</v>
      </c>
      <c r="N168" s="1" t="b">
        <f>ISNUMBER(O168)</f>
        <v>1</v>
      </c>
      <c r="O168" s="1">
        <v>45981</v>
      </c>
      <c r="P168" t="s">
        <v>7306</v>
      </c>
      <c r="Q168" t="str">
        <f>SUBSTITUTE(SUBSTITUTE(SUBSTITUTE(P168," ",""),"-",""),"+","")</f>
        <v>00791216468</v>
      </c>
      <c r="R168" t="str">
        <f t="shared" si="4"/>
        <v>0791216468</v>
      </c>
      <c r="S168" t="str">
        <f>IF(LEN(R168),"Valid","Invalid")</f>
        <v>Valid</v>
      </c>
      <c r="T168" t="s">
        <v>7305</v>
      </c>
      <c r="V168" t="s">
        <v>17</v>
      </c>
      <c r="X168">
        <v>1286.4000000000001</v>
      </c>
      <c r="Y168" t="s">
        <v>57</v>
      </c>
      <c r="Z168">
        <v>121</v>
      </c>
      <c r="AA168">
        <f t="shared" si="5"/>
        <v>121</v>
      </c>
      <c r="AB168" t="s">
        <v>43</v>
      </c>
    </row>
    <row r="169" spans="1:28" x14ac:dyDescent="0.3">
      <c r="A169" t="s">
        <v>7304</v>
      </c>
      <c r="B169" t="s">
        <v>7303</v>
      </c>
      <c r="C169" t="s">
        <v>7303</v>
      </c>
      <c r="D169" t="s">
        <v>22</v>
      </c>
      <c r="E169">
        <v>66</v>
      </c>
      <c r="F169">
        <v>66</v>
      </c>
      <c r="G169" t="s">
        <v>54</v>
      </c>
      <c r="H169" t="s">
        <v>54</v>
      </c>
      <c r="I169" t="s">
        <v>85</v>
      </c>
      <c r="J169" t="s">
        <v>85</v>
      </c>
      <c r="K169" s="1">
        <v>46127</v>
      </c>
      <c r="L169" s="1" t="str">
        <f>IF(K169&gt;O169,"Valid","Invalid")</f>
        <v>Valid</v>
      </c>
      <c r="M169" s="1" t="b">
        <f>ISNUMBER(K169)</f>
        <v>1</v>
      </c>
      <c r="N169" s="1" t="b">
        <f>ISNUMBER(O169)</f>
        <v>1</v>
      </c>
      <c r="O169" s="1">
        <v>46119</v>
      </c>
      <c r="P169" t="s">
        <v>7302</v>
      </c>
      <c r="Q169" t="str">
        <f>SUBSTITUTE(SUBSTITUTE(SUBSTITUTE(P169," ",""),"-",""),"+","")</f>
        <v>06354435958</v>
      </c>
      <c r="R169" t="str">
        <f t="shared" si="4"/>
        <v>6354435958</v>
      </c>
      <c r="S169" t="str">
        <f>IF(LEN(R169),"Valid","Invalid")</f>
        <v>Valid</v>
      </c>
      <c r="T169" t="s">
        <v>7301</v>
      </c>
      <c r="V169" t="s">
        <v>27</v>
      </c>
      <c r="X169">
        <v>18881.61</v>
      </c>
      <c r="Y169" t="s">
        <v>57</v>
      </c>
      <c r="Z169">
        <v>246</v>
      </c>
      <c r="AA169">
        <f t="shared" si="5"/>
        <v>246</v>
      </c>
      <c r="AB169" t="s">
        <v>43</v>
      </c>
    </row>
    <row r="170" spans="1:28" x14ac:dyDescent="0.3">
      <c r="A170" t="s">
        <v>7300</v>
      </c>
      <c r="B170" t="s">
        <v>7299</v>
      </c>
      <c r="C170" t="s">
        <v>7299</v>
      </c>
      <c r="D170" t="s">
        <v>40</v>
      </c>
      <c r="E170">
        <v>84</v>
      </c>
      <c r="F170">
        <v>84</v>
      </c>
      <c r="G170" t="s">
        <v>31</v>
      </c>
      <c r="H170" t="s">
        <v>31</v>
      </c>
      <c r="I170" t="s">
        <v>30</v>
      </c>
      <c r="J170" t="s">
        <v>30</v>
      </c>
      <c r="K170" s="1">
        <v>46041</v>
      </c>
      <c r="L170" s="1" t="str">
        <f>IF(K170&gt;O170,"Valid","Invalid")</f>
        <v>Valid</v>
      </c>
      <c r="M170" s="1" t="b">
        <f>ISNUMBER(K170)</f>
        <v>1</v>
      </c>
      <c r="N170" s="1" t="b">
        <f>ISNUMBER(O170)</f>
        <v>1</v>
      </c>
      <c r="O170" s="1">
        <v>46038</v>
      </c>
      <c r="P170" t="s">
        <v>7298</v>
      </c>
      <c r="Q170" t="str">
        <f>SUBSTITUTE(SUBSTITUTE(SUBSTITUTE(P170," ",""),"-",""),"+","")</f>
        <v>915936529138</v>
      </c>
      <c r="R170" t="str">
        <f t="shared" si="4"/>
        <v>5936529138</v>
      </c>
      <c r="S170" t="str">
        <f>IF(LEN(R170),"Valid","Invalid")</f>
        <v>Valid</v>
      </c>
      <c r="T170" t="s">
        <v>7297</v>
      </c>
      <c r="V170" t="s">
        <v>57</v>
      </c>
      <c r="X170">
        <v>11036.39</v>
      </c>
      <c r="Y170" t="s">
        <v>123</v>
      </c>
      <c r="Z170" t="s">
        <v>347</v>
      </c>
      <c r="AA170">
        <f t="shared" si="5"/>
        <v>0</v>
      </c>
      <c r="AB170" t="s">
        <v>16</v>
      </c>
    </row>
    <row r="171" spans="1:28" x14ac:dyDescent="0.3">
      <c r="A171" t="s">
        <v>7296</v>
      </c>
      <c r="B171" t="s">
        <v>7295</v>
      </c>
      <c r="C171" t="s">
        <v>7295</v>
      </c>
      <c r="D171" t="s">
        <v>123</v>
      </c>
      <c r="E171">
        <v>44</v>
      </c>
      <c r="F171">
        <v>44</v>
      </c>
      <c r="G171" t="s">
        <v>39</v>
      </c>
      <c r="H171" t="s">
        <v>39</v>
      </c>
      <c r="I171" t="s">
        <v>85</v>
      </c>
      <c r="J171" t="s">
        <v>85</v>
      </c>
      <c r="K171" s="1">
        <v>46148</v>
      </c>
      <c r="L171" s="1" t="str">
        <f>IF(K171&gt;O171,"Valid","Invalid")</f>
        <v>Valid</v>
      </c>
      <c r="M171" s="1" t="b">
        <f>ISNUMBER(K171)</f>
        <v>1</v>
      </c>
      <c r="N171" s="1" t="b">
        <f>ISNUMBER(O171)</f>
        <v>1</v>
      </c>
      <c r="O171" s="1">
        <v>46126</v>
      </c>
      <c r="P171" t="s">
        <v>7294</v>
      </c>
      <c r="Q171" t="str">
        <f>SUBSTITUTE(SUBSTITUTE(SUBSTITUTE(P171," ",""),"-",""),"+","")</f>
        <v>0834955176</v>
      </c>
      <c r="R171" t="str">
        <f t="shared" si="4"/>
        <v>0834955176</v>
      </c>
      <c r="S171" t="str">
        <f>IF(LEN(R171),"Valid","Invalid")</f>
        <v>Valid</v>
      </c>
      <c r="T171" t="s">
        <v>7293</v>
      </c>
      <c r="V171" t="s">
        <v>123</v>
      </c>
      <c r="X171">
        <v>9310.2000000000007</v>
      </c>
      <c r="Y171" t="s">
        <v>63</v>
      </c>
      <c r="Z171">
        <v>510</v>
      </c>
      <c r="AA171">
        <f t="shared" si="5"/>
        <v>510</v>
      </c>
      <c r="AB171" t="s">
        <v>77</v>
      </c>
    </row>
    <row r="172" spans="1:28" x14ac:dyDescent="0.3">
      <c r="A172" t="s">
        <v>7292</v>
      </c>
      <c r="B172" t="s">
        <v>7291</v>
      </c>
      <c r="C172" t="s">
        <v>7291</v>
      </c>
      <c r="D172" t="s">
        <v>123</v>
      </c>
      <c r="E172">
        <v>11</v>
      </c>
      <c r="F172">
        <v>11</v>
      </c>
      <c r="G172" t="s">
        <v>54</v>
      </c>
      <c r="H172" t="s">
        <v>54</v>
      </c>
      <c r="I172" t="s">
        <v>53</v>
      </c>
      <c r="J172" t="s">
        <v>20</v>
      </c>
      <c r="K172" s="1">
        <v>46031</v>
      </c>
      <c r="L172" s="1" t="str">
        <f>IF(K172&gt;O172,"Valid","Invalid")</f>
        <v>Valid</v>
      </c>
      <c r="M172" s="1" t="b">
        <f>ISNUMBER(K172)</f>
        <v>1</v>
      </c>
      <c r="N172" s="1" t="b">
        <f>ISNUMBER(O172)</f>
        <v>1</v>
      </c>
      <c r="O172" s="1">
        <v>46014</v>
      </c>
      <c r="P172" t="s">
        <v>7290</v>
      </c>
      <c r="Q172" t="str">
        <f>SUBSTITUTE(SUBSTITUTE(SUBSTITUTE(P172," ",""),"-",""),"+","")</f>
        <v>04667043102</v>
      </c>
      <c r="R172" t="str">
        <f t="shared" si="4"/>
        <v>4667043102</v>
      </c>
      <c r="S172" t="str">
        <f>IF(LEN(R172),"Valid","Invalid")</f>
        <v>Valid</v>
      </c>
      <c r="T172" t="s">
        <v>7289</v>
      </c>
      <c r="V172" t="s">
        <v>26</v>
      </c>
      <c r="X172">
        <v>8166.04</v>
      </c>
      <c r="Y172" t="s">
        <v>64</v>
      </c>
      <c r="Z172">
        <v>267</v>
      </c>
      <c r="AA172">
        <f t="shared" si="5"/>
        <v>267</v>
      </c>
      <c r="AB172" t="s">
        <v>25</v>
      </c>
    </row>
    <row r="173" spans="1:28" x14ac:dyDescent="0.3">
      <c r="A173" t="s">
        <v>7288</v>
      </c>
      <c r="B173" t="s">
        <v>7287</v>
      </c>
      <c r="C173" t="s">
        <v>7287</v>
      </c>
      <c r="D173" t="s">
        <v>22</v>
      </c>
      <c r="E173">
        <v>40</v>
      </c>
      <c r="F173">
        <v>40</v>
      </c>
      <c r="G173" t="s">
        <v>68</v>
      </c>
      <c r="H173" t="s">
        <v>68</v>
      </c>
      <c r="I173" t="s">
        <v>90</v>
      </c>
      <c r="J173" t="s">
        <v>67</v>
      </c>
      <c r="K173" s="1">
        <v>46039</v>
      </c>
      <c r="L173" s="1" t="str">
        <f>IF(K173&gt;O173,"Valid","Invalid")</f>
        <v>Valid</v>
      </c>
      <c r="M173" s="1" t="b">
        <f>ISNUMBER(K173)</f>
        <v>1</v>
      </c>
      <c r="N173" s="1" t="b">
        <f>ISNUMBER(O173)</f>
        <v>1</v>
      </c>
      <c r="O173" s="1">
        <v>46034</v>
      </c>
      <c r="P173" t="s">
        <v>7286</v>
      </c>
      <c r="Q173" t="str">
        <f>SUBSTITUTE(SUBSTITUTE(SUBSTITUTE(P173," ",""),"-",""),"+","")</f>
        <v>914983373290</v>
      </c>
      <c r="R173" t="str">
        <f t="shared" si="4"/>
        <v>4983373290</v>
      </c>
      <c r="S173" t="str">
        <f>IF(LEN(R173),"Valid","Invalid")</f>
        <v>Valid</v>
      </c>
      <c r="T173" t="s">
        <v>7285</v>
      </c>
      <c r="V173" t="s">
        <v>123</v>
      </c>
      <c r="X173">
        <v>8918.3700000000008</v>
      </c>
      <c r="Y173" t="s">
        <v>27</v>
      </c>
      <c r="Z173">
        <v>472</v>
      </c>
      <c r="AA173">
        <f t="shared" si="5"/>
        <v>472</v>
      </c>
      <c r="AB173" t="s">
        <v>50</v>
      </c>
    </row>
    <row r="174" spans="1:28" x14ac:dyDescent="0.3">
      <c r="A174" t="s">
        <v>7284</v>
      </c>
      <c r="B174" t="s">
        <v>7283</v>
      </c>
      <c r="C174" t="s">
        <v>7283</v>
      </c>
      <c r="D174" t="s">
        <v>60</v>
      </c>
      <c r="E174">
        <v>79</v>
      </c>
      <c r="F174">
        <v>79</v>
      </c>
      <c r="G174" t="s">
        <v>54</v>
      </c>
      <c r="H174" t="s">
        <v>54</v>
      </c>
      <c r="I174" t="s">
        <v>30</v>
      </c>
      <c r="J174" t="s">
        <v>30</v>
      </c>
      <c r="K174" s="1">
        <v>46107</v>
      </c>
      <c r="L174" s="1" t="str">
        <f>IF(K174&gt;O174,"Valid","Invalid")</f>
        <v>Valid</v>
      </c>
      <c r="M174" s="1" t="b">
        <f>ISNUMBER(K174)</f>
        <v>1</v>
      </c>
      <c r="N174" s="1" t="b">
        <f>ISNUMBER(O174)</f>
        <v>1</v>
      </c>
      <c r="O174" s="1">
        <v>46087</v>
      </c>
      <c r="P174" t="s">
        <v>7282</v>
      </c>
      <c r="Q174" t="str">
        <f>SUBSTITUTE(SUBSTITUTE(SUBSTITUTE(P174," ",""),"-",""),"+","")</f>
        <v>06317683347</v>
      </c>
      <c r="R174" t="str">
        <f t="shared" si="4"/>
        <v>6317683347</v>
      </c>
      <c r="S174" t="str">
        <f>IF(LEN(R174),"Valid","Invalid")</f>
        <v>Valid</v>
      </c>
      <c r="T174" t="s">
        <v>7281</v>
      </c>
      <c r="V174" t="s">
        <v>27</v>
      </c>
      <c r="X174">
        <v>2061.02</v>
      </c>
      <c r="Y174" t="s">
        <v>123</v>
      </c>
      <c r="Z174">
        <v>286</v>
      </c>
      <c r="AA174">
        <f t="shared" si="5"/>
        <v>286</v>
      </c>
      <c r="AB174" t="s">
        <v>34</v>
      </c>
    </row>
    <row r="175" spans="1:28" x14ac:dyDescent="0.3">
      <c r="A175" t="s">
        <v>7280</v>
      </c>
      <c r="B175" t="s">
        <v>7279</v>
      </c>
      <c r="C175" t="s">
        <v>8036</v>
      </c>
      <c r="D175" t="s">
        <v>0</v>
      </c>
      <c r="E175">
        <v>4</v>
      </c>
      <c r="F175">
        <v>4</v>
      </c>
      <c r="G175" t="s">
        <v>39</v>
      </c>
      <c r="H175" t="s">
        <v>39</v>
      </c>
      <c r="I175" t="s">
        <v>85</v>
      </c>
      <c r="J175" t="s">
        <v>85</v>
      </c>
      <c r="K175" s="1">
        <v>46019</v>
      </c>
      <c r="L175" s="1" t="str">
        <f>IF(K175&gt;O175,"Valid","Invalid")</f>
        <v>Valid</v>
      </c>
      <c r="M175" s="1" t="b">
        <f>ISNUMBER(K175)</f>
        <v>1</v>
      </c>
      <c r="N175" s="1" t="b">
        <f>ISNUMBER(O175)</f>
        <v>1</v>
      </c>
      <c r="O175" s="1">
        <v>46018</v>
      </c>
      <c r="P175" t="s">
        <v>7278</v>
      </c>
      <c r="Q175" t="str">
        <f>SUBSTITUTE(SUBSTITUTE(SUBSTITUTE(P175," ",""),"-",""),"+","")</f>
        <v>0023369440</v>
      </c>
      <c r="R175" t="str">
        <f t="shared" si="4"/>
        <v>0023369440</v>
      </c>
      <c r="S175" t="str">
        <f>IF(LEN(R175),"Valid","Invalid")</f>
        <v>Valid</v>
      </c>
      <c r="T175" t="s">
        <v>7277</v>
      </c>
      <c r="V175" t="s">
        <v>35</v>
      </c>
      <c r="X175">
        <v>1867.39</v>
      </c>
      <c r="Y175" t="s">
        <v>17</v>
      </c>
      <c r="Z175">
        <v>285</v>
      </c>
      <c r="AA175">
        <f t="shared" si="5"/>
        <v>285</v>
      </c>
      <c r="AB175" t="s">
        <v>16</v>
      </c>
    </row>
    <row r="176" spans="1:28" x14ac:dyDescent="0.3">
      <c r="A176" t="s">
        <v>7276</v>
      </c>
      <c r="B176" t="s">
        <v>7275</v>
      </c>
      <c r="C176" t="s">
        <v>7275</v>
      </c>
      <c r="D176" t="s">
        <v>40</v>
      </c>
      <c r="E176">
        <v>78</v>
      </c>
      <c r="F176">
        <v>78</v>
      </c>
      <c r="G176" t="s">
        <v>39</v>
      </c>
      <c r="H176" t="s">
        <v>39</v>
      </c>
      <c r="I176" t="s">
        <v>85</v>
      </c>
      <c r="J176" t="s">
        <v>85</v>
      </c>
      <c r="K176" s="1">
        <v>46068</v>
      </c>
      <c r="L176" s="1" t="str">
        <f>IF(K176&gt;O176,"Valid","Invalid")</f>
        <v>Valid</v>
      </c>
      <c r="M176" s="1" t="b">
        <f>ISNUMBER(K176)</f>
        <v>1</v>
      </c>
      <c r="N176" s="1" t="b">
        <f>ISNUMBER(O176)</f>
        <v>1</v>
      </c>
      <c r="O176" s="1">
        <v>46038</v>
      </c>
      <c r="P176" t="s">
        <v>7274</v>
      </c>
      <c r="Q176" t="str">
        <f>SUBSTITUTE(SUBSTITUTE(SUBSTITUTE(P176," ",""),"-",""),"+","")</f>
        <v>08838046926</v>
      </c>
      <c r="R176" t="str">
        <f t="shared" si="4"/>
        <v>8838046926</v>
      </c>
      <c r="S176" t="str">
        <f>IF(LEN(R176),"Valid","Invalid")</f>
        <v>Valid</v>
      </c>
      <c r="T176" t="s">
        <v>7273</v>
      </c>
      <c r="V176" t="s">
        <v>57</v>
      </c>
      <c r="X176">
        <v>9425.93</v>
      </c>
      <c r="Y176" t="s">
        <v>64</v>
      </c>
      <c r="Z176">
        <v>393</v>
      </c>
      <c r="AA176">
        <f t="shared" si="5"/>
        <v>393</v>
      </c>
      <c r="AB176" t="s">
        <v>71</v>
      </c>
    </row>
    <row r="177" spans="1:28" x14ac:dyDescent="0.3">
      <c r="A177" t="s">
        <v>7272</v>
      </c>
      <c r="B177" t="s">
        <v>7271</v>
      </c>
      <c r="C177" t="s">
        <v>7271</v>
      </c>
      <c r="D177" t="s">
        <v>60</v>
      </c>
      <c r="E177">
        <v>51</v>
      </c>
      <c r="F177">
        <v>51</v>
      </c>
      <c r="G177" t="s">
        <v>31</v>
      </c>
      <c r="H177" t="s">
        <v>31</v>
      </c>
      <c r="I177" t="s">
        <v>30</v>
      </c>
      <c r="J177" t="s">
        <v>30</v>
      </c>
      <c r="K177" s="1">
        <v>46108</v>
      </c>
      <c r="L177" s="1" t="str">
        <f>IF(K177&gt;O177,"Valid","Invalid")</f>
        <v>Valid</v>
      </c>
      <c r="M177" s="1" t="b">
        <f>ISNUMBER(K177)</f>
        <v>1</v>
      </c>
      <c r="N177" s="1" t="b">
        <f>ISNUMBER(O177)</f>
        <v>1</v>
      </c>
      <c r="O177" s="1">
        <v>46101</v>
      </c>
      <c r="P177" t="s">
        <v>7270</v>
      </c>
      <c r="Q177" t="str">
        <f>SUBSTITUTE(SUBSTITUTE(SUBSTITUTE(P177," ",""),"-",""),"+","")</f>
        <v>913618810049</v>
      </c>
      <c r="R177" t="str">
        <f t="shared" si="4"/>
        <v>3618810049</v>
      </c>
      <c r="S177" t="str">
        <f>IF(LEN(R177),"Valid","Invalid")</f>
        <v>Valid</v>
      </c>
      <c r="T177" t="s">
        <v>7269</v>
      </c>
      <c r="V177" t="s">
        <v>64</v>
      </c>
      <c r="X177">
        <v>842.65</v>
      </c>
      <c r="Y177" t="s">
        <v>26</v>
      </c>
      <c r="Z177">
        <v>355</v>
      </c>
      <c r="AA177">
        <f t="shared" si="5"/>
        <v>355</v>
      </c>
      <c r="AB177" t="s">
        <v>34</v>
      </c>
    </row>
    <row r="178" spans="1:28" x14ac:dyDescent="0.3">
      <c r="A178" t="s">
        <v>7268</v>
      </c>
      <c r="B178" t="s">
        <v>7267</v>
      </c>
      <c r="C178" t="s">
        <v>7267</v>
      </c>
      <c r="D178" t="s">
        <v>123</v>
      </c>
      <c r="E178">
        <v>72</v>
      </c>
      <c r="F178">
        <v>72</v>
      </c>
      <c r="G178" t="s">
        <v>80</v>
      </c>
      <c r="H178" t="s">
        <v>80</v>
      </c>
      <c r="I178" t="s">
        <v>30</v>
      </c>
      <c r="J178" t="s">
        <v>30</v>
      </c>
      <c r="K178" s="1">
        <v>46168</v>
      </c>
      <c r="L178" s="1" t="str">
        <f>IF(K178&gt;O178,"Valid","Invalid")</f>
        <v>Valid</v>
      </c>
      <c r="M178" s="1" t="b">
        <f>ISNUMBER(K178)</f>
        <v>1</v>
      </c>
      <c r="N178" s="1" t="b">
        <f>ISNUMBER(O178)</f>
        <v>1</v>
      </c>
      <c r="O178" s="1">
        <v>46144</v>
      </c>
      <c r="P178" t="s">
        <v>7266</v>
      </c>
      <c r="Q178" t="str">
        <f>SUBSTITUTE(SUBSTITUTE(SUBSTITUTE(P178," ",""),"-",""),"+","")</f>
        <v>0587100478</v>
      </c>
      <c r="R178" t="str">
        <f t="shared" si="4"/>
        <v>0587100478</v>
      </c>
      <c r="S178" t="str">
        <f>IF(LEN(R178),"Valid","Invalid")</f>
        <v>Valid</v>
      </c>
      <c r="T178" t="s">
        <v>7265</v>
      </c>
      <c r="V178" t="s">
        <v>26</v>
      </c>
      <c r="X178">
        <v>17660.14</v>
      </c>
      <c r="Y178" t="s">
        <v>57</v>
      </c>
      <c r="Z178">
        <v>413</v>
      </c>
      <c r="AA178">
        <f t="shared" si="5"/>
        <v>413</v>
      </c>
      <c r="AB178" t="s">
        <v>43</v>
      </c>
    </row>
    <row r="179" spans="1:28" x14ac:dyDescent="0.3">
      <c r="A179" t="s">
        <v>7264</v>
      </c>
      <c r="B179" t="s">
        <v>7263</v>
      </c>
      <c r="C179" t="s">
        <v>7263</v>
      </c>
      <c r="E179">
        <v>26</v>
      </c>
      <c r="F179">
        <v>26</v>
      </c>
      <c r="G179" t="s">
        <v>80</v>
      </c>
      <c r="H179" t="s">
        <v>80</v>
      </c>
      <c r="I179" t="s">
        <v>53</v>
      </c>
      <c r="J179" t="s">
        <v>20</v>
      </c>
      <c r="K179" s="1">
        <v>46107</v>
      </c>
      <c r="L179" s="1" t="str">
        <f>IF(K179&gt;O179,"Valid","Invalid")</f>
        <v>Valid</v>
      </c>
      <c r="M179" s="1" t="b">
        <f>ISNUMBER(K179)</f>
        <v>1</v>
      </c>
      <c r="N179" s="1" t="b">
        <f>ISNUMBER(O179)</f>
        <v>1</v>
      </c>
      <c r="O179" s="1">
        <v>46080</v>
      </c>
      <c r="P179" t="s">
        <v>7262</v>
      </c>
      <c r="Q179" t="str">
        <f>SUBSTITUTE(SUBSTITUTE(SUBSTITUTE(P179," ",""),"-",""),"+","")</f>
        <v>04189407530</v>
      </c>
      <c r="R179" t="str">
        <f t="shared" si="4"/>
        <v>4189407530</v>
      </c>
      <c r="S179" t="str">
        <f>IF(LEN(R179),"Valid","Invalid")</f>
        <v>Valid</v>
      </c>
      <c r="T179" t="s">
        <v>7261</v>
      </c>
      <c r="V179" t="s">
        <v>64</v>
      </c>
      <c r="X179">
        <v>11410.66</v>
      </c>
      <c r="Y179" t="s">
        <v>123</v>
      </c>
      <c r="Z179">
        <v>144</v>
      </c>
      <c r="AA179">
        <f t="shared" si="5"/>
        <v>144</v>
      </c>
      <c r="AB179" t="s">
        <v>50</v>
      </c>
    </row>
    <row r="180" spans="1:28" x14ac:dyDescent="0.3">
      <c r="A180" t="s">
        <v>7260</v>
      </c>
      <c r="B180" t="s">
        <v>7259</v>
      </c>
      <c r="C180" t="s">
        <v>7259</v>
      </c>
      <c r="D180" t="s">
        <v>60</v>
      </c>
      <c r="E180">
        <v>86</v>
      </c>
      <c r="F180">
        <v>86</v>
      </c>
      <c r="G180" t="s">
        <v>31</v>
      </c>
      <c r="H180" t="s">
        <v>31</v>
      </c>
      <c r="I180" t="s">
        <v>20</v>
      </c>
      <c r="J180" t="s">
        <v>20</v>
      </c>
      <c r="K180" s="1">
        <v>46004</v>
      </c>
      <c r="L180" s="1" t="str">
        <f>IF(K180&gt;O180,"Valid","Invalid")</f>
        <v>Valid</v>
      </c>
      <c r="M180" s="1" t="b">
        <f>ISNUMBER(K180)</f>
        <v>1</v>
      </c>
      <c r="N180" s="1" t="b">
        <f>ISNUMBER(O180)</f>
        <v>1</v>
      </c>
      <c r="O180" s="1">
        <v>45987</v>
      </c>
      <c r="P180" t="s">
        <v>7258</v>
      </c>
      <c r="Q180" t="str">
        <f>SUBSTITUTE(SUBSTITUTE(SUBSTITUTE(P180," ",""),"-",""),"+","")</f>
        <v>7115539574</v>
      </c>
      <c r="R180" t="str">
        <f t="shared" si="4"/>
        <v>7115539574</v>
      </c>
      <c r="S180" t="str">
        <f>IF(LEN(R180),"Valid","Invalid")</f>
        <v>Valid</v>
      </c>
      <c r="T180" t="s">
        <v>7257</v>
      </c>
      <c r="V180" t="s">
        <v>26</v>
      </c>
      <c r="X180">
        <v>22305.03</v>
      </c>
      <c r="Y180" t="s">
        <v>26</v>
      </c>
      <c r="Z180">
        <v>464</v>
      </c>
      <c r="AA180">
        <f t="shared" si="5"/>
        <v>464</v>
      </c>
      <c r="AB180" t="s">
        <v>25</v>
      </c>
    </row>
    <row r="181" spans="1:28" x14ac:dyDescent="0.3">
      <c r="A181" t="s">
        <v>7256</v>
      </c>
      <c r="B181" t="s">
        <v>7255</v>
      </c>
      <c r="C181" t="s">
        <v>7255</v>
      </c>
      <c r="D181" t="s">
        <v>0</v>
      </c>
      <c r="E181">
        <v>47</v>
      </c>
      <c r="F181">
        <v>47</v>
      </c>
      <c r="G181" t="s">
        <v>21</v>
      </c>
      <c r="H181" t="s">
        <v>21</v>
      </c>
      <c r="I181" t="s">
        <v>20</v>
      </c>
      <c r="J181" t="s">
        <v>20</v>
      </c>
      <c r="K181" s="1">
        <v>46076</v>
      </c>
      <c r="L181" s="1" t="str">
        <f>IF(K181&gt;O181,"Valid","Invalid")</f>
        <v>Valid</v>
      </c>
      <c r="M181" s="1" t="b">
        <f>ISNUMBER(K181)</f>
        <v>1</v>
      </c>
      <c r="N181" s="1" t="b">
        <f>ISNUMBER(O181)</f>
        <v>1</v>
      </c>
      <c r="O181" s="1">
        <v>46070</v>
      </c>
      <c r="P181" t="s">
        <v>7254</v>
      </c>
      <c r="Q181" t="str">
        <f>SUBSTITUTE(SUBSTITUTE(SUBSTITUTE(P181," ",""),"-",""),"+","")</f>
        <v>912150163428</v>
      </c>
      <c r="R181" t="str">
        <f t="shared" si="4"/>
        <v>2150163428</v>
      </c>
      <c r="S181" t="str">
        <f>IF(LEN(R181),"Valid","Invalid")</f>
        <v>Valid</v>
      </c>
      <c r="T181" t="s">
        <v>7253</v>
      </c>
      <c r="V181" t="s">
        <v>35</v>
      </c>
      <c r="X181">
        <v>6071.06</v>
      </c>
      <c r="Y181" t="s">
        <v>123</v>
      </c>
      <c r="Z181">
        <v>113</v>
      </c>
      <c r="AA181">
        <f t="shared" si="5"/>
        <v>113</v>
      </c>
      <c r="AB181" t="s">
        <v>43</v>
      </c>
    </row>
    <row r="182" spans="1:28" x14ac:dyDescent="0.3">
      <c r="A182" t="s">
        <v>7252</v>
      </c>
      <c r="B182" t="s">
        <v>7251</v>
      </c>
      <c r="C182" t="s">
        <v>7251</v>
      </c>
      <c r="D182" t="s">
        <v>60</v>
      </c>
      <c r="E182">
        <v>60</v>
      </c>
      <c r="F182">
        <v>60</v>
      </c>
      <c r="G182" t="s">
        <v>39</v>
      </c>
      <c r="H182" t="s">
        <v>39</v>
      </c>
      <c r="I182" t="s">
        <v>20</v>
      </c>
      <c r="J182" t="s">
        <v>20</v>
      </c>
      <c r="K182" s="1">
        <v>46104</v>
      </c>
      <c r="L182" s="1" t="str">
        <f>IF(K182&gt;O182,"Valid","Invalid")</f>
        <v>Valid</v>
      </c>
      <c r="M182" s="1" t="b">
        <f>ISNUMBER(K182)</f>
        <v>1</v>
      </c>
      <c r="N182" s="1" t="b">
        <f>ISNUMBER(O182)</f>
        <v>1</v>
      </c>
      <c r="O182" s="1">
        <v>46102</v>
      </c>
      <c r="P182" t="s">
        <v>7250</v>
      </c>
      <c r="Q182" t="str">
        <f>SUBSTITUTE(SUBSTITUTE(SUBSTITUTE(P182," ",""),"-",""),"+","")</f>
        <v>919367783934</v>
      </c>
      <c r="R182" t="str">
        <f t="shared" si="4"/>
        <v>9367783934</v>
      </c>
      <c r="S182" t="str">
        <f>IF(LEN(R182),"Valid","Invalid")</f>
        <v>Valid</v>
      </c>
      <c r="T182" t="s">
        <v>7249</v>
      </c>
      <c r="V182" t="s">
        <v>26</v>
      </c>
      <c r="X182">
        <v>10074.370000000001</v>
      </c>
      <c r="Y182" t="s">
        <v>123</v>
      </c>
      <c r="Z182">
        <v>369</v>
      </c>
      <c r="AA182">
        <f t="shared" si="5"/>
        <v>369</v>
      </c>
      <c r="AB182" t="s">
        <v>16</v>
      </c>
    </row>
    <row r="183" spans="1:28" x14ac:dyDescent="0.3">
      <c r="A183" t="s">
        <v>7248</v>
      </c>
      <c r="B183" t="s">
        <v>7247</v>
      </c>
      <c r="C183" t="s">
        <v>7247</v>
      </c>
      <c r="D183" t="s">
        <v>123</v>
      </c>
      <c r="E183">
        <v>74</v>
      </c>
      <c r="F183">
        <v>74</v>
      </c>
      <c r="G183" t="s">
        <v>80</v>
      </c>
      <c r="H183" t="s">
        <v>80</v>
      </c>
      <c r="I183" t="s">
        <v>53</v>
      </c>
      <c r="J183" t="s">
        <v>20</v>
      </c>
      <c r="K183" s="1">
        <v>46079</v>
      </c>
      <c r="L183" s="1" t="str">
        <f>IF(K183&gt;O183,"Valid","Invalid")</f>
        <v>Valid</v>
      </c>
      <c r="M183" s="1" t="b">
        <f>ISNUMBER(K183)</f>
        <v>1</v>
      </c>
      <c r="N183" s="1" t="b">
        <f>ISNUMBER(O183)</f>
        <v>1</v>
      </c>
      <c r="O183" s="1">
        <v>46069</v>
      </c>
      <c r="P183" t="s">
        <v>7246</v>
      </c>
      <c r="Q183" t="str">
        <f>SUBSTITUTE(SUBSTITUTE(SUBSTITUTE(P183," ",""),"-",""),"+","")</f>
        <v>8943319378</v>
      </c>
      <c r="R183" t="str">
        <f t="shared" si="4"/>
        <v>8943319378</v>
      </c>
      <c r="S183" t="str">
        <f>IF(LEN(R183),"Valid","Invalid")</f>
        <v>Valid</v>
      </c>
      <c r="T183" t="s">
        <v>7245</v>
      </c>
      <c r="V183" t="s">
        <v>64</v>
      </c>
      <c r="X183">
        <v>11359.37</v>
      </c>
      <c r="Y183" t="s">
        <v>17</v>
      </c>
      <c r="Z183">
        <v>165</v>
      </c>
      <c r="AA183">
        <f t="shared" si="5"/>
        <v>165</v>
      </c>
      <c r="AB183" t="s">
        <v>50</v>
      </c>
    </row>
    <row r="184" spans="1:28" x14ac:dyDescent="0.3">
      <c r="A184" t="s">
        <v>7244</v>
      </c>
      <c r="B184" t="s">
        <v>7243</v>
      </c>
      <c r="C184" t="s">
        <v>7243</v>
      </c>
      <c r="D184" t="s">
        <v>0</v>
      </c>
      <c r="E184">
        <v>17</v>
      </c>
      <c r="F184">
        <v>17</v>
      </c>
      <c r="G184" t="s">
        <v>54</v>
      </c>
      <c r="H184" t="s">
        <v>54</v>
      </c>
      <c r="I184" t="s">
        <v>46</v>
      </c>
      <c r="J184" t="s">
        <v>46</v>
      </c>
      <c r="K184" s="1">
        <v>46138</v>
      </c>
      <c r="L184" s="1" t="str">
        <f>IF(K184&gt;O184,"Valid","Invalid")</f>
        <v>Valid</v>
      </c>
      <c r="M184" s="1" t="b">
        <f>ISNUMBER(K184)</f>
        <v>1</v>
      </c>
      <c r="N184" s="1" t="b">
        <f>ISNUMBER(O184)</f>
        <v>1</v>
      </c>
      <c r="O184" s="1">
        <v>46112</v>
      </c>
      <c r="P184" t="s">
        <v>7242</v>
      </c>
      <c r="Q184" t="str">
        <f>SUBSTITUTE(SUBSTITUTE(SUBSTITUTE(P184," ",""),"-",""),"+","")</f>
        <v>1524269012</v>
      </c>
      <c r="R184" t="str">
        <f t="shared" si="4"/>
        <v>1524269012</v>
      </c>
      <c r="S184" t="str">
        <f>IF(LEN(R184),"Valid","Invalid")</f>
        <v>Valid</v>
      </c>
      <c r="T184" t="s">
        <v>7241</v>
      </c>
      <c r="V184" t="s">
        <v>64</v>
      </c>
      <c r="X184">
        <v>13048.93</v>
      </c>
      <c r="Y184" t="s">
        <v>63</v>
      </c>
      <c r="Z184">
        <v>184</v>
      </c>
      <c r="AA184">
        <f t="shared" si="5"/>
        <v>184</v>
      </c>
      <c r="AB184" t="s">
        <v>71</v>
      </c>
    </row>
    <row r="185" spans="1:28" x14ac:dyDescent="0.3">
      <c r="A185" t="s">
        <v>7240</v>
      </c>
      <c r="B185" t="s">
        <v>7239</v>
      </c>
      <c r="C185" t="s">
        <v>7239</v>
      </c>
      <c r="D185" t="s">
        <v>60</v>
      </c>
      <c r="E185">
        <v>29</v>
      </c>
      <c r="F185">
        <v>29</v>
      </c>
      <c r="G185" t="s">
        <v>31</v>
      </c>
      <c r="H185" t="s">
        <v>31</v>
      </c>
      <c r="I185" t="s">
        <v>30</v>
      </c>
      <c r="J185" t="s">
        <v>30</v>
      </c>
      <c r="K185" s="1">
        <v>46082</v>
      </c>
      <c r="L185" s="1" t="str">
        <f>IF(K185&gt;O185,"Valid","Invalid")</f>
        <v>Valid</v>
      </c>
      <c r="M185" s="1" t="b">
        <f>ISNUMBER(K185)</f>
        <v>1</v>
      </c>
      <c r="N185" s="1" t="b">
        <f>ISNUMBER(O185)</f>
        <v>1</v>
      </c>
      <c r="O185" s="1">
        <v>46055</v>
      </c>
      <c r="P185" t="s">
        <v>7238</v>
      </c>
      <c r="Q185" t="str">
        <f>SUBSTITUTE(SUBSTITUTE(SUBSTITUTE(P185," ",""),"-",""),"+","")</f>
        <v>911975209475</v>
      </c>
      <c r="R185" t="str">
        <f t="shared" si="4"/>
        <v>1975209475</v>
      </c>
      <c r="S185" t="str">
        <f>IF(LEN(R185),"Valid","Invalid")</f>
        <v>Valid</v>
      </c>
      <c r="T185" t="s">
        <v>7237</v>
      </c>
      <c r="V185" t="s">
        <v>64</v>
      </c>
      <c r="X185">
        <v>6415.01</v>
      </c>
      <c r="Y185" t="s">
        <v>63</v>
      </c>
      <c r="Z185">
        <v>164</v>
      </c>
      <c r="AA185">
        <f t="shared" si="5"/>
        <v>164</v>
      </c>
      <c r="AB185" t="s">
        <v>25</v>
      </c>
    </row>
    <row r="186" spans="1:28" x14ac:dyDescent="0.3">
      <c r="A186" t="s">
        <v>7236</v>
      </c>
      <c r="B186" t="s">
        <v>7235</v>
      </c>
      <c r="C186" t="s">
        <v>7235</v>
      </c>
      <c r="D186" t="s">
        <v>22</v>
      </c>
      <c r="E186">
        <v>79</v>
      </c>
      <c r="F186">
        <v>79</v>
      </c>
      <c r="G186" t="s">
        <v>80</v>
      </c>
      <c r="H186" t="s">
        <v>80</v>
      </c>
      <c r="I186" t="s">
        <v>53</v>
      </c>
      <c r="J186" t="s">
        <v>20</v>
      </c>
      <c r="K186" s="1">
        <v>46130</v>
      </c>
      <c r="L186" s="1" t="str">
        <f>IF(K186&gt;O186,"Valid","Invalid")</f>
        <v>Valid</v>
      </c>
      <c r="M186" s="1" t="b">
        <f>ISNUMBER(K186)</f>
        <v>1</v>
      </c>
      <c r="N186" s="1" t="b">
        <f>ISNUMBER(O186)</f>
        <v>1</v>
      </c>
      <c r="O186" s="1">
        <v>46112</v>
      </c>
      <c r="P186" t="s">
        <v>7234</v>
      </c>
      <c r="Q186" t="str">
        <f>SUBSTITUTE(SUBSTITUTE(SUBSTITUTE(P186," ",""),"-",""),"+","")</f>
        <v>913921880682</v>
      </c>
      <c r="R186" t="str">
        <f t="shared" si="4"/>
        <v>3921880682</v>
      </c>
      <c r="S186" t="str">
        <f>IF(LEN(R186),"Valid","Invalid")</f>
        <v>Valid</v>
      </c>
      <c r="T186" t="s">
        <v>7233</v>
      </c>
      <c r="V186" t="s">
        <v>35</v>
      </c>
      <c r="X186">
        <v>4445.78</v>
      </c>
      <c r="Y186" t="s">
        <v>17</v>
      </c>
      <c r="Z186">
        <v>531</v>
      </c>
      <c r="AA186">
        <f t="shared" si="5"/>
        <v>531</v>
      </c>
      <c r="AB186" t="s">
        <v>34</v>
      </c>
    </row>
    <row r="187" spans="1:28" x14ac:dyDescent="0.3">
      <c r="A187" t="s">
        <v>7232</v>
      </c>
      <c r="B187" t="s">
        <v>7231</v>
      </c>
      <c r="C187" t="s">
        <v>7231</v>
      </c>
      <c r="D187" t="s">
        <v>40</v>
      </c>
      <c r="E187">
        <v>4</v>
      </c>
      <c r="F187">
        <v>4</v>
      </c>
      <c r="G187" t="s">
        <v>80</v>
      </c>
      <c r="H187" t="s">
        <v>80</v>
      </c>
      <c r="I187" t="s">
        <v>46</v>
      </c>
      <c r="J187" t="s">
        <v>46</v>
      </c>
      <c r="K187" s="1">
        <v>46049</v>
      </c>
      <c r="L187" s="1" t="str">
        <f>IF(K187&gt;O187,"Valid","Invalid")</f>
        <v>Valid</v>
      </c>
      <c r="M187" s="1" t="b">
        <f>ISNUMBER(K187)</f>
        <v>1</v>
      </c>
      <c r="N187" s="1" t="b">
        <f>ISNUMBER(O187)</f>
        <v>1</v>
      </c>
      <c r="O187" s="1">
        <v>46019</v>
      </c>
      <c r="P187" t="s">
        <v>7230</v>
      </c>
      <c r="Q187" t="str">
        <f>SUBSTITUTE(SUBSTITUTE(SUBSTITUTE(P187," ",""),"-",""),"+","")</f>
        <v>6297690839</v>
      </c>
      <c r="R187" t="str">
        <f t="shared" si="4"/>
        <v>6297690839</v>
      </c>
      <c r="S187" t="str">
        <f>IF(LEN(R187),"Valid","Invalid")</f>
        <v>Valid</v>
      </c>
      <c r="T187" t="s">
        <v>7229</v>
      </c>
      <c r="V187" t="s">
        <v>26</v>
      </c>
      <c r="X187">
        <v>16348.02</v>
      </c>
      <c r="Y187" t="s">
        <v>123</v>
      </c>
      <c r="Z187">
        <v>416</v>
      </c>
      <c r="AA187">
        <f t="shared" si="5"/>
        <v>416</v>
      </c>
      <c r="AB187" t="s">
        <v>25</v>
      </c>
    </row>
    <row r="188" spans="1:28" x14ac:dyDescent="0.3">
      <c r="A188" t="s">
        <v>7228</v>
      </c>
      <c r="B188" t="s">
        <v>7227</v>
      </c>
      <c r="C188" t="s">
        <v>7227</v>
      </c>
      <c r="D188" t="s">
        <v>40</v>
      </c>
      <c r="E188">
        <v>64</v>
      </c>
      <c r="F188">
        <v>64</v>
      </c>
      <c r="G188" t="s">
        <v>132</v>
      </c>
      <c r="H188" t="s">
        <v>132</v>
      </c>
      <c r="I188" t="s">
        <v>30</v>
      </c>
      <c r="J188" t="s">
        <v>30</v>
      </c>
      <c r="K188" s="1">
        <v>46080</v>
      </c>
      <c r="L188" s="1" t="str">
        <f>IF(K188&gt;O188,"Valid","Invalid")</f>
        <v>Valid</v>
      </c>
      <c r="M188" s="1" t="b">
        <f>ISNUMBER(K188)</f>
        <v>1</v>
      </c>
      <c r="N188" s="1" t="b">
        <f>ISNUMBER(O188)</f>
        <v>1</v>
      </c>
      <c r="O188" s="1">
        <v>46065</v>
      </c>
      <c r="P188" t="s">
        <v>7226</v>
      </c>
      <c r="Q188" t="str">
        <f>SUBSTITUTE(SUBSTITUTE(SUBSTITUTE(P188," ",""),"-",""),"+","")</f>
        <v>02204571280</v>
      </c>
      <c r="R188" t="str">
        <f t="shared" si="4"/>
        <v>2204571280</v>
      </c>
      <c r="S188" t="str">
        <f>IF(LEN(R188),"Valid","Invalid")</f>
        <v>Valid</v>
      </c>
      <c r="T188" t="s">
        <v>7225</v>
      </c>
      <c r="V188" t="s">
        <v>17</v>
      </c>
      <c r="X188">
        <v>20156.27</v>
      </c>
      <c r="Y188" t="s">
        <v>123</v>
      </c>
      <c r="Z188">
        <v>252</v>
      </c>
      <c r="AA188">
        <f t="shared" si="5"/>
        <v>252</v>
      </c>
      <c r="AB188" t="s">
        <v>16</v>
      </c>
    </row>
    <row r="189" spans="1:28" x14ac:dyDescent="0.3">
      <c r="A189" t="s">
        <v>7224</v>
      </c>
      <c r="B189" t="s">
        <v>7223</v>
      </c>
      <c r="C189" t="s">
        <v>7223</v>
      </c>
      <c r="D189" t="s">
        <v>74</v>
      </c>
      <c r="E189">
        <v>89</v>
      </c>
      <c r="F189">
        <v>89</v>
      </c>
      <c r="G189" t="s">
        <v>47</v>
      </c>
      <c r="H189" t="s">
        <v>47</v>
      </c>
      <c r="I189" t="s">
        <v>53</v>
      </c>
      <c r="J189" t="s">
        <v>20</v>
      </c>
      <c r="K189" s="1">
        <v>46105</v>
      </c>
      <c r="L189" s="1" t="str">
        <f>IF(K189&gt;O189,"Valid","Invalid")</f>
        <v>Valid</v>
      </c>
      <c r="M189" s="1" t="b">
        <f>ISNUMBER(K189)</f>
        <v>1</v>
      </c>
      <c r="N189" s="1" t="b">
        <f>ISNUMBER(O189)</f>
        <v>1</v>
      </c>
      <c r="O189" s="1">
        <v>46091</v>
      </c>
      <c r="P189" t="s">
        <v>7222</v>
      </c>
      <c r="Q189" t="str">
        <f>SUBSTITUTE(SUBSTITUTE(SUBSTITUTE(P189," ",""),"-",""),"+","")</f>
        <v>08566394955</v>
      </c>
      <c r="R189" t="str">
        <f t="shared" si="4"/>
        <v>8566394955</v>
      </c>
      <c r="S189" t="str">
        <f>IF(LEN(R189),"Valid","Invalid")</f>
        <v>Valid</v>
      </c>
      <c r="T189" t="s">
        <v>7221</v>
      </c>
      <c r="V189" t="s">
        <v>123</v>
      </c>
      <c r="X189">
        <v>12209.43</v>
      </c>
      <c r="Y189" t="s">
        <v>57</v>
      </c>
      <c r="Z189">
        <v>274</v>
      </c>
      <c r="AA189">
        <f t="shared" si="5"/>
        <v>274</v>
      </c>
      <c r="AB189" t="s">
        <v>34</v>
      </c>
    </row>
    <row r="190" spans="1:28" x14ac:dyDescent="0.3">
      <c r="A190" t="s">
        <v>7220</v>
      </c>
      <c r="B190" t="s">
        <v>7219</v>
      </c>
      <c r="C190" t="s">
        <v>7219</v>
      </c>
      <c r="D190" t="s">
        <v>0</v>
      </c>
      <c r="E190">
        <v>41</v>
      </c>
      <c r="F190">
        <v>41</v>
      </c>
      <c r="G190" t="s">
        <v>31</v>
      </c>
      <c r="H190" t="s">
        <v>31</v>
      </c>
      <c r="I190" t="s">
        <v>67</v>
      </c>
      <c r="J190" t="s">
        <v>67</v>
      </c>
      <c r="K190" s="1">
        <v>46109</v>
      </c>
      <c r="L190" s="1" t="str">
        <f>IF(K190&gt;O190,"Valid","Invalid")</f>
        <v>Valid</v>
      </c>
      <c r="M190" s="1" t="b">
        <f>ISNUMBER(K190)</f>
        <v>1</v>
      </c>
      <c r="N190" s="1" t="b">
        <f>ISNUMBER(O190)</f>
        <v>1</v>
      </c>
      <c r="O190" s="1">
        <v>46097</v>
      </c>
      <c r="P190" t="s">
        <v>7218</v>
      </c>
      <c r="Q190" t="str">
        <f>SUBSTITUTE(SUBSTITUTE(SUBSTITUTE(P190," ",""),"-",""),"+","")</f>
        <v>03326462317</v>
      </c>
      <c r="R190" t="str">
        <f t="shared" si="4"/>
        <v>3326462317</v>
      </c>
      <c r="S190" t="str">
        <f>IF(LEN(R190),"Valid","Invalid")</f>
        <v>Valid</v>
      </c>
      <c r="T190" t="s">
        <v>7217</v>
      </c>
      <c r="V190" t="s">
        <v>35</v>
      </c>
      <c r="X190">
        <v>19064.490000000002</v>
      </c>
      <c r="Y190" t="s">
        <v>64</v>
      </c>
      <c r="Z190">
        <v>263</v>
      </c>
      <c r="AA190">
        <f t="shared" si="5"/>
        <v>263</v>
      </c>
      <c r="AB190" t="s">
        <v>71</v>
      </c>
    </row>
    <row r="191" spans="1:28" x14ac:dyDescent="0.3">
      <c r="A191" t="s">
        <v>7216</v>
      </c>
      <c r="B191" t="s">
        <v>7215</v>
      </c>
      <c r="C191" t="s">
        <v>7215</v>
      </c>
      <c r="E191">
        <v>16</v>
      </c>
      <c r="F191">
        <v>16</v>
      </c>
      <c r="G191" t="s">
        <v>132</v>
      </c>
      <c r="H191" t="s">
        <v>132</v>
      </c>
      <c r="I191" t="s">
        <v>85</v>
      </c>
      <c r="J191" t="s">
        <v>85</v>
      </c>
      <c r="K191" s="1">
        <v>46068</v>
      </c>
      <c r="L191" s="1" t="str">
        <f>IF(K191&gt;O191,"Valid","Invalid")</f>
        <v>Valid</v>
      </c>
      <c r="M191" s="1" t="b">
        <f>ISNUMBER(K191)</f>
        <v>1</v>
      </c>
      <c r="N191" s="1" t="b">
        <f>ISNUMBER(O191)</f>
        <v>1</v>
      </c>
      <c r="O191" s="1">
        <v>46061</v>
      </c>
      <c r="P191" t="s">
        <v>7214</v>
      </c>
      <c r="Q191" t="str">
        <f>SUBSTITUTE(SUBSTITUTE(SUBSTITUTE(P191," ",""),"-",""),"+","")</f>
        <v>913959373293</v>
      </c>
      <c r="R191" t="str">
        <f t="shared" si="4"/>
        <v>3959373293</v>
      </c>
      <c r="S191" t="str">
        <f>IF(LEN(R191),"Valid","Invalid")</f>
        <v>Valid</v>
      </c>
      <c r="T191" t="s">
        <v>7213</v>
      </c>
      <c r="V191" t="s">
        <v>35</v>
      </c>
      <c r="X191">
        <v>2600.9299999999998</v>
      </c>
      <c r="Y191" t="s">
        <v>63</v>
      </c>
      <c r="Z191">
        <v>296</v>
      </c>
      <c r="AA191">
        <f t="shared" si="5"/>
        <v>296</v>
      </c>
      <c r="AB191" t="s">
        <v>50</v>
      </c>
    </row>
    <row r="192" spans="1:28" x14ac:dyDescent="0.3">
      <c r="A192" t="s">
        <v>7212</v>
      </c>
      <c r="B192" t="s">
        <v>7211</v>
      </c>
      <c r="C192" t="s">
        <v>7211</v>
      </c>
      <c r="D192" t="s">
        <v>123</v>
      </c>
      <c r="E192">
        <v>32</v>
      </c>
      <c r="F192">
        <v>32</v>
      </c>
      <c r="G192" t="s">
        <v>39</v>
      </c>
      <c r="H192" t="s">
        <v>39</v>
      </c>
      <c r="I192" t="s">
        <v>67</v>
      </c>
      <c r="J192" t="s">
        <v>67</v>
      </c>
      <c r="K192" s="1">
        <v>46154</v>
      </c>
      <c r="L192" s="1" t="str">
        <f>IF(K192&gt;O192,"Valid","Invalid")</f>
        <v>Valid</v>
      </c>
      <c r="M192" s="1" t="b">
        <f>ISNUMBER(K192)</f>
        <v>1</v>
      </c>
      <c r="N192" s="1" t="b">
        <f>ISNUMBER(O192)</f>
        <v>1</v>
      </c>
      <c r="O192" s="1">
        <v>46125</v>
      </c>
      <c r="P192" t="s">
        <v>7210</v>
      </c>
      <c r="Q192" t="str">
        <f>SUBSTITUTE(SUBSTITUTE(SUBSTITUTE(P192," ",""),"-",""),"+","")</f>
        <v>912343346446</v>
      </c>
      <c r="R192" t="str">
        <f t="shared" si="4"/>
        <v>2343346446</v>
      </c>
      <c r="S192" t="str">
        <f>IF(LEN(R192),"Valid","Invalid")</f>
        <v>Valid</v>
      </c>
      <c r="T192" t="s">
        <v>7209</v>
      </c>
      <c r="V192" t="s">
        <v>57</v>
      </c>
      <c r="X192">
        <v>4907.8900000000003</v>
      </c>
      <c r="Y192" t="s">
        <v>26</v>
      </c>
      <c r="Z192">
        <v>355</v>
      </c>
      <c r="AA192">
        <f t="shared" si="5"/>
        <v>355</v>
      </c>
      <c r="AB192" t="s">
        <v>34</v>
      </c>
    </row>
    <row r="193" spans="1:28" x14ac:dyDescent="0.3">
      <c r="A193" t="s">
        <v>7204</v>
      </c>
      <c r="B193" t="s">
        <v>7203</v>
      </c>
      <c r="C193" t="s">
        <v>7203</v>
      </c>
      <c r="D193" t="s">
        <v>60</v>
      </c>
      <c r="E193">
        <v>7</v>
      </c>
      <c r="F193">
        <v>7</v>
      </c>
      <c r="G193" t="s">
        <v>47</v>
      </c>
      <c r="H193" t="s">
        <v>47</v>
      </c>
      <c r="I193" t="s">
        <v>30</v>
      </c>
      <c r="J193" t="s">
        <v>30</v>
      </c>
      <c r="K193" s="1">
        <v>46010</v>
      </c>
      <c r="L193" s="1" t="str">
        <f>IF(K193&gt;O193,"Valid","Invalid")</f>
        <v>Valid</v>
      </c>
      <c r="M193" s="1" t="b">
        <f>ISNUMBER(K193)</f>
        <v>1</v>
      </c>
      <c r="N193" s="1" t="b">
        <f>ISNUMBER(O193)</f>
        <v>1</v>
      </c>
      <c r="O193" s="1">
        <v>45995</v>
      </c>
      <c r="P193" t="s">
        <v>7202</v>
      </c>
      <c r="Q193" t="str">
        <f>SUBSTITUTE(SUBSTITUTE(SUBSTITUTE(P193," ",""),"-",""),"+","")</f>
        <v>913848647467</v>
      </c>
      <c r="R193" t="str">
        <f t="shared" si="4"/>
        <v>3848647467</v>
      </c>
      <c r="S193" t="str">
        <f>IF(LEN(R193),"Valid","Invalid")</f>
        <v>Valid</v>
      </c>
      <c r="T193" t="s">
        <v>7201</v>
      </c>
      <c r="V193" t="s">
        <v>123</v>
      </c>
      <c r="X193">
        <v>7286.56</v>
      </c>
      <c r="Y193" t="s">
        <v>27</v>
      </c>
      <c r="Z193">
        <v>533</v>
      </c>
      <c r="AA193">
        <f t="shared" si="5"/>
        <v>533</v>
      </c>
      <c r="AB193" t="s">
        <v>77</v>
      </c>
    </row>
    <row r="194" spans="1:28" x14ac:dyDescent="0.3">
      <c r="A194" t="s">
        <v>7200</v>
      </c>
      <c r="B194" t="s">
        <v>7199</v>
      </c>
      <c r="C194" t="s">
        <v>7199</v>
      </c>
      <c r="D194" t="s">
        <v>123</v>
      </c>
      <c r="E194">
        <v>18</v>
      </c>
      <c r="F194">
        <v>18</v>
      </c>
      <c r="G194" t="s">
        <v>132</v>
      </c>
      <c r="H194" t="s">
        <v>132</v>
      </c>
      <c r="I194" t="s">
        <v>67</v>
      </c>
      <c r="J194" t="s">
        <v>67</v>
      </c>
      <c r="K194" s="1">
        <v>46148</v>
      </c>
      <c r="L194" s="1" t="str">
        <f>IF(K194&gt;O194,"Valid","Invalid")</f>
        <v>Valid</v>
      </c>
      <c r="M194" s="1" t="b">
        <f>ISNUMBER(K194)</f>
        <v>1</v>
      </c>
      <c r="N194" s="1" t="b">
        <f>ISNUMBER(O194)</f>
        <v>1</v>
      </c>
      <c r="O194" s="1">
        <v>46124</v>
      </c>
      <c r="P194" t="s">
        <v>7198</v>
      </c>
      <c r="Q194" t="str">
        <f>SUBSTITUTE(SUBSTITUTE(SUBSTITUTE(P194," ",""),"-",""),"+","")</f>
        <v>9953112298</v>
      </c>
      <c r="R194" t="str">
        <f t="shared" si="4"/>
        <v>9953112298</v>
      </c>
      <c r="S194" t="str">
        <f>IF(LEN(R194),"Valid","Invalid")</f>
        <v>Valid</v>
      </c>
      <c r="T194" t="s">
        <v>7197</v>
      </c>
      <c r="V194" t="s">
        <v>123</v>
      </c>
      <c r="X194">
        <v>9275.25</v>
      </c>
      <c r="Y194" t="s">
        <v>123</v>
      </c>
      <c r="Z194">
        <v>126</v>
      </c>
      <c r="AA194">
        <f t="shared" si="5"/>
        <v>126</v>
      </c>
      <c r="AB194" t="s">
        <v>34</v>
      </c>
    </row>
    <row r="195" spans="1:28" x14ac:dyDescent="0.3">
      <c r="A195" t="s">
        <v>7196</v>
      </c>
      <c r="B195" t="s">
        <v>7195</v>
      </c>
      <c r="C195" t="s">
        <v>7195</v>
      </c>
      <c r="D195" t="s">
        <v>1</v>
      </c>
      <c r="E195">
        <v>47</v>
      </c>
      <c r="F195">
        <v>47</v>
      </c>
      <c r="G195" t="s">
        <v>132</v>
      </c>
      <c r="H195" t="s">
        <v>132</v>
      </c>
      <c r="I195" t="s">
        <v>20</v>
      </c>
      <c r="J195" t="s">
        <v>20</v>
      </c>
      <c r="K195" s="1">
        <v>46052</v>
      </c>
      <c r="L195" s="1" t="str">
        <f>IF(K195&gt;O195,"Valid","Invalid")</f>
        <v>Valid</v>
      </c>
      <c r="M195" s="1" t="b">
        <f>ISNUMBER(K195)</f>
        <v>1</v>
      </c>
      <c r="N195" s="1" t="b">
        <f>ISNUMBER(O195)</f>
        <v>1</v>
      </c>
      <c r="O195" s="1">
        <v>46040</v>
      </c>
      <c r="P195" t="s">
        <v>7194</v>
      </c>
      <c r="Q195" t="str">
        <f>SUBSTITUTE(SUBSTITUTE(SUBSTITUTE(P195," ",""),"-",""),"+","")</f>
        <v>09928617365</v>
      </c>
      <c r="R195" t="str">
        <f t="shared" si="4"/>
        <v>9928617365</v>
      </c>
      <c r="S195" t="str">
        <f>IF(LEN(R195),"Valid","Invalid")</f>
        <v>Valid</v>
      </c>
      <c r="T195" t="s">
        <v>7193</v>
      </c>
      <c r="V195" t="s">
        <v>123</v>
      </c>
      <c r="X195">
        <v>19157.22</v>
      </c>
      <c r="Y195" t="s">
        <v>63</v>
      </c>
      <c r="Z195">
        <v>522</v>
      </c>
      <c r="AA195">
        <f t="shared" si="5"/>
        <v>522</v>
      </c>
      <c r="AB195" t="s">
        <v>34</v>
      </c>
    </row>
    <row r="196" spans="1:28" x14ac:dyDescent="0.3">
      <c r="A196" t="s">
        <v>7192</v>
      </c>
      <c r="B196" t="s">
        <v>7191</v>
      </c>
      <c r="C196" t="s">
        <v>7191</v>
      </c>
      <c r="D196" t="s">
        <v>74</v>
      </c>
      <c r="E196">
        <v>17</v>
      </c>
      <c r="F196">
        <v>17</v>
      </c>
      <c r="G196" t="s">
        <v>80</v>
      </c>
      <c r="H196" t="s">
        <v>80</v>
      </c>
      <c r="I196" t="s">
        <v>90</v>
      </c>
      <c r="J196" t="s">
        <v>67</v>
      </c>
      <c r="K196" s="1">
        <v>46135</v>
      </c>
      <c r="L196" s="1" t="str">
        <f>IF(K196&gt;O196,"Valid","Invalid")</f>
        <v>Valid</v>
      </c>
      <c r="M196" s="1" t="b">
        <f>ISNUMBER(K196)</f>
        <v>1</v>
      </c>
      <c r="N196" s="1" t="b">
        <f>ISNUMBER(O196)</f>
        <v>1</v>
      </c>
      <c r="O196" s="1">
        <v>46124</v>
      </c>
      <c r="P196" t="s">
        <v>7190</v>
      </c>
      <c r="Q196" t="str">
        <f>SUBSTITUTE(SUBSTITUTE(SUBSTITUTE(P196," ",""),"-",""),"+","")</f>
        <v>919525563695</v>
      </c>
      <c r="R196" t="str">
        <f t="shared" si="4"/>
        <v>9525563695</v>
      </c>
      <c r="S196" t="str">
        <f>IF(LEN(R196),"Valid","Invalid")</f>
        <v>Valid</v>
      </c>
      <c r="T196" t="s">
        <v>7189</v>
      </c>
      <c r="V196" t="s">
        <v>57</v>
      </c>
      <c r="X196">
        <v>14034.23</v>
      </c>
      <c r="Y196" t="s">
        <v>17</v>
      </c>
      <c r="Z196">
        <v>486</v>
      </c>
      <c r="AA196">
        <f t="shared" si="5"/>
        <v>486</v>
      </c>
      <c r="AB196" t="s">
        <v>71</v>
      </c>
    </row>
    <row r="197" spans="1:28" x14ac:dyDescent="0.3">
      <c r="A197" t="s">
        <v>7188</v>
      </c>
      <c r="B197" t="s">
        <v>7187</v>
      </c>
      <c r="C197" t="s">
        <v>7187</v>
      </c>
      <c r="D197" t="s">
        <v>1</v>
      </c>
      <c r="E197">
        <v>78</v>
      </c>
      <c r="F197">
        <v>78</v>
      </c>
      <c r="G197" t="s">
        <v>54</v>
      </c>
      <c r="H197" t="s">
        <v>54</v>
      </c>
      <c r="I197" t="s">
        <v>46</v>
      </c>
      <c r="J197" t="s">
        <v>46</v>
      </c>
      <c r="K197" s="1">
        <v>46034</v>
      </c>
      <c r="L197" s="1" t="str">
        <f>IF(K197&gt;O197,"Valid","Invalid")</f>
        <v>Valid</v>
      </c>
      <c r="M197" s="1" t="b">
        <f>ISNUMBER(K197)</f>
        <v>1</v>
      </c>
      <c r="N197" s="1" t="b">
        <f>ISNUMBER(O197)</f>
        <v>1</v>
      </c>
      <c r="O197" s="1">
        <v>46033</v>
      </c>
      <c r="P197" t="s">
        <v>7186</v>
      </c>
      <c r="Q197" t="str">
        <f>SUBSTITUTE(SUBSTITUTE(SUBSTITUTE(P197," ",""),"-",""),"+","")</f>
        <v>06641639028</v>
      </c>
      <c r="R197" t="str">
        <f t="shared" ref="R197:R260" si="6">RIGHT(Q197,10)</f>
        <v>6641639028</v>
      </c>
      <c r="S197" t="str">
        <f>IF(LEN(R197),"Valid","Invalid")</f>
        <v>Valid</v>
      </c>
      <c r="T197" t="s">
        <v>7185</v>
      </c>
      <c r="V197" t="s">
        <v>27</v>
      </c>
      <c r="X197">
        <v>3598.5</v>
      </c>
      <c r="Y197" t="s">
        <v>17</v>
      </c>
      <c r="Z197">
        <v>511</v>
      </c>
      <c r="AA197">
        <f t="shared" ref="AA197:AA260" si="7">IF(Z197="Room-x",0,Z197)</f>
        <v>511</v>
      </c>
      <c r="AB197" t="s">
        <v>16</v>
      </c>
    </row>
    <row r="198" spans="1:28" x14ac:dyDescent="0.3">
      <c r="A198" t="s">
        <v>7184</v>
      </c>
      <c r="B198" t="s">
        <v>7183</v>
      </c>
      <c r="C198" t="s">
        <v>7183</v>
      </c>
      <c r="E198">
        <v>20</v>
      </c>
      <c r="F198">
        <v>20</v>
      </c>
      <c r="G198" t="s">
        <v>39</v>
      </c>
      <c r="H198" t="s">
        <v>39</v>
      </c>
      <c r="I198" t="s">
        <v>67</v>
      </c>
      <c r="J198" t="s">
        <v>67</v>
      </c>
      <c r="K198" s="1">
        <v>46153</v>
      </c>
      <c r="L198" s="1" t="str">
        <f>IF(K198&gt;O198,"Valid","Invalid")</f>
        <v>Valid</v>
      </c>
      <c r="M198" s="1" t="b">
        <f>ISNUMBER(K198)</f>
        <v>1</v>
      </c>
      <c r="N198" s="1" t="b">
        <f>ISNUMBER(O198)</f>
        <v>1</v>
      </c>
      <c r="O198" s="1">
        <v>46124</v>
      </c>
      <c r="P198" t="s">
        <v>7182</v>
      </c>
      <c r="Q198" t="str">
        <f>SUBSTITUTE(SUBSTITUTE(SUBSTITUTE(P198," ",""),"-",""),"+","")</f>
        <v>916186233052</v>
      </c>
      <c r="R198" t="str">
        <f t="shared" si="6"/>
        <v>6186233052</v>
      </c>
      <c r="S198" t="str">
        <f>IF(LEN(R198),"Valid","Invalid")</f>
        <v>Valid</v>
      </c>
      <c r="T198" t="s">
        <v>7181</v>
      </c>
      <c r="V198" t="s">
        <v>57</v>
      </c>
      <c r="X198">
        <v>4230.05</v>
      </c>
      <c r="Y198" t="s">
        <v>63</v>
      </c>
      <c r="Z198">
        <v>403</v>
      </c>
      <c r="AA198">
        <f t="shared" si="7"/>
        <v>403</v>
      </c>
      <c r="AB198" t="s">
        <v>43</v>
      </c>
    </row>
    <row r="199" spans="1:28" x14ac:dyDescent="0.3">
      <c r="A199" t="s">
        <v>7180</v>
      </c>
      <c r="B199" t="s">
        <v>7179</v>
      </c>
      <c r="C199" t="s">
        <v>7179</v>
      </c>
      <c r="E199">
        <v>73</v>
      </c>
      <c r="F199">
        <v>73</v>
      </c>
      <c r="G199" t="s">
        <v>132</v>
      </c>
      <c r="H199" t="s">
        <v>132</v>
      </c>
      <c r="I199" t="s">
        <v>85</v>
      </c>
      <c r="J199" t="s">
        <v>85</v>
      </c>
      <c r="K199" s="1">
        <v>46033</v>
      </c>
      <c r="L199" s="1" t="str">
        <f>IF(K199&gt;O199,"Valid","Invalid")</f>
        <v>Valid</v>
      </c>
      <c r="M199" s="1" t="b">
        <f>ISNUMBER(K199)</f>
        <v>1</v>
      </c>
      <c r="N199" s="1" t="b">
        <f>ISNUMBER(O199)</f>
        <v>1</v>
      </c>
      <c r="O199" s="1">
        <v>46007</v>
      </c>
      <c r="P199" t="s">
        <v>7178</v>
      </c>
      <c r="Q199" t="str">
        <f>SUBSTITUTE(SUBSTITUTE(SUBSTITUTE(P199," ",""),"-",""),"+","")</f>
        <v>5584854903</v>
      </c>
      <c r="R199" t="str">
        <f t="shared" si="6"/>
        <v>5584854903</v>
      </c>
      <c r="S199" t="str">
        <f>IF(LEN(R199),"Valid","Invalid")</f>
        <v>Valid</v>
      </c>
      <c r="T199" t="s">
        <v>7177</v>
      </c>
      <c r="V199" t="s">
        <v>27</v>
      </c>
      <c r="X199">
        <v>9335.27</v>
      </c>
      <c r="Y199" t="s">
        <v>64</v>
      </c>
      <c r="Z199">
        <v>313</v>
      </c>
      <c r="AA199">
        <f t="shared" si="7"/>
        <v>313</v>
      </c>
      <c r="AB199" t="s">
        <v>34</v>
      </c>
    </row>
    <row r="200" spans="1:28" x14ac:dyDescent="0.3">
      <c r="A200" t="s">
        <v>7176</v>
      </c>
      <c r="B200" t="s">
        <v>7175</v>
      </c>
      <c r="C200" t="s">
        <v>7175</v>
      </c>
      <c r="D200" t="s">
        <v>22</v>
      </c>
      <c r="E200">
        <v>89</v>
      </c>
      <c r="F200">
        <v>89</v>
      </c>
      <c r="G200" t="s">
        <v>47</v>
      </c>
      <c r="H200" t="s">
        <v>47</v>
      </c>
      <c r="I200" t="s">
        <v>85</v>
      </c>
      <c r="J200" t="s">
        <v>85</v>
      </c>
      <c r="K200" s="1">
        <v>46043</v>
      </c>
      <c r="L200" s="1" t="str">
        <f>IF(K200&gt;O200,"Valid","Invalid")</f>
        <v>Valid</v>
      </c>
      <c r="M200" s="1" t="b">
        <f>ISNUMBER(K200)</f>
        <v>1</v>
      </c>
      <c r="N200" s="1" t="b">
        <f>ISNUMBER(O200)</f>
        <v>1</v>
      </c>
      <c r="O200" s="1">
        <v>46035</v>
      </c>
      <c r="P200" t="s">
        <v>7174</v>
      </c>
      <c r="Q200" t="str">
        <f>SUBSTITUTE(SUBSTITUTE(SUBSTITUTE(P200," ",""),"-",""),"+","")</f>
        <v>05353880420</v>
      </c>
      <c r="R200" t="str">
        <f t="shared" si="6"/>
        <v>5353880420</v>
      </c>
      <c r="S200" t="str">
        <f>IF(LEN(R200),"Valid","Invalid")</f>
        <v>Valid</v>
      </c>
      <c r="T200" t="s">
        <v>7173</v>
      </c>
      <c r="V200" t="s">
        <v>17</v>
      </c>
      <c r="X200">
        <v>18090.72</v>
      </c>
      <c r="Y200" t="s">
        <v>123</v>
      </c>
      <c r="Z200">
        <v>187</v>
      </c>
      <c r="AA200">
        <f t="shared" si="7"/>
        <v>187</v>
      </c>
      <c r="AB200" t="s">
        <v>34</v>
      </c>
    </row>
    <row r="201" spans="1:28" x14ac:dyDescent="0.3">
      <c r="A201" t="s">
        <v>7172</v>
      </c>
      <c r="B201" t="s">
        <v>7171</v>
      </c>
      <c r="C201" t="s">
        <v>7171</v>
      </c>
      <c r="D201" t="s">
        <v>123</v>
      </c>
      <c r="E201">
        <v>19</v>
      </c>
      <c r="F201">
        <v>19</v>
      </c>
      <c r="G201" t="s">
        <v>21</v>
      </c>
      <c r="H201" t="s">
        <v>21</v>
      </c>
      <c r="I201" t="s">
        <v>46</v>
      </c>
      <c r="J201" t="s">
        <v>46</v>
      </c>
      <c r="K201" s="1">
        <v>46009</v>
      </c>
      <c r="L201" s="1" t="str">
        <f>IF(K201&gt;O201,"Valid","Invalid")</f>
        <v>Valid</v>
      </c>
      <c r="M201" s="1" t="b">
        <f>ISNUMBER(K201)</f>
        <v>1</v>
      </c>
      <c r="N201" s="1" t="b">
        <f>ISNUMBER(O201)</f>
        <v>1</v>
      </c>
      <c r="O201" s="1">
        <v>45991</v>
      </c>
      <c r="P201" t="s">
        <v>7170</v>
      </c>
      <c r="Q201" t="str">
        <f>SUBSTITUTE(SUBSTITUTE(SUBSTITUTE(P201," ",""),"-",""),"+","")</f>
        <v>04011875953</v>
      </c>
      <c r="R201" t="str">
        <f t="shared" si="6"/>
        <v>4011875953</v>
      </c>
      <c r="S201" t="str">
        <f>IF(LEN(R201),"Valid","Invalid")</f>
        <v>Valid</v>
      </c>
      <c r="T201" t="s">
        <v>7169</v>
      </c>
      <c r="V201" t="s">
        <v>64</v>
      </c>
      <c r="X201">
        <v>4931.45</v>
      </c>
      <c r="Y201" t="s">
        <v>123</v>
      </c>
      <c r="Z201">
        <v>260</v>
      </c>
      <c r="AA201">
        <f t="shared" si="7"/>
        <v>260</v>
      </c>
      <c r="AB201" t="s">
        <v>16</v>
      </c>
    </row>
    <row r="202" spans="1:28" x14ac:dyDescent="0.3">
      <c r="A202" t="s">
        <v>7168</v>
      </c>
      <c r="B202" t="s">
        <v>7167</v>
      </c>
      <c r="C202" t="s">
        <v>7167</v>
      </c>
      <c r="D202" t="s">
        <v>0</v>
      </c>
      <c r="E202">
        <v>53</v>
      </c>
      <c r="F202">
        <v>53</v>
      </c>
      <c r="G202" t="s">
        <v>21</v>
      </c>
      <c r="H202" t="s">
        <v>21</v>
      </c>
      <c r="I202" t="s">
        <v>90</v>
      </c>
      <c r="J202" t="s">
        <v>67</v>
      </c>
      <c r="K202" s="1">
        <v>46062</v>
      </c>
      <c r="L202" s="1" t="str">
        <f>IF(K202&gt;O202,"Valid","Invalid")</f>
        <v>Valid</v>
      </c>
      <c r="M202" s="1" t="b">
        <f>ISNUMBER(K202)</f>
        <v>1</v>
      </c>
      <c r="N202" s="1" t="b">
        <f>ISNUMBER(O202)</f>
        <v>1</v>
      </c>
      <c r="O202" s="1">
        <v>46046</v>
      </c>
      <c r="P202" t="s">
        <v>7166</v>
      </c>
      <c r="Q202" t="str">
        <f>SUBSTITUTE(SUBSTITUTE(SUBSTITUTE(P202," ",""),"-",""),"+","")</f>
        <v>919436946130</v>
      </c>
      <c r="R202" t="str">
        <f t="shared" si="6"/>
        <v>9436946130</v>
      </c>
      <c r="S202" t="str">
        <f>IF(LEN(R202),"Valid","Invalid")</f>
        <v>Valid</v>
      </c>
      <c r="T202" t="s">
        <v>7165</v>
      </c>
      <c r="V202" t="s">
        <v>123</v>
      </c>
      <c r="X202">
        <v>21845.88</v>
      </c>
      <c r="Y202" t="s">
        <v>27</v>
      </c>
      <c r="Z202">
        <v>461</v>
      </c>
      <c r="AA202">
        <f t="shared" si="7"/>
        <v>461</v>
      </c>
      <c r="AB202" t="s">
        <v>71</v>
      </c>
    </row>
    <row r="203" spans="1:28" x14ac:dyDescent="0.3">
      <c r="A203" t="s">
        <v>7164</v>
      </c>
      <c r="B203" t="s">
        <v>7163</v>
      </c>
      <c r="C203" t="s">
        <v>7163</v>
      </c>
      <c r="D203" t="s">
        <v>1</v>
      </c>
      <c r="E203">
        <v>72</v>
      </c>
      <c r="F203">
        <v>72</v>
      </c>
      <c r="G203" t="s">
        <v>31</v>
      </c>
      <c r="H203" t="s">
        <v>31</v>
      </c>
      <c r="I203" t="s">
        <v>85</v>
      </c>
      <c r="J203" t="s">
        <v>85</v>
      </c>
      <c r="K203" s="1">
        <v>46040</v>
      </c>
      <c r="L203" s="1" t="str">
        <f>IF(K203&gt;O203,"Valid","Invalid")</f>
        <v>Valid</v>
      </c>
      <c r="M203" s="1" t="b">
        <f>ISNUMBER(K203)</f>
        <v>1</v>
      </c>
      <c r="N203" s="1" t="b">
        <f>ISNUMBER(O203)</f>
        <v>1</v>
      </c>
      <c r="O203" s="1">
        <v>46024</v>
      </c>
      <c r="P203" t="s">
        <v>7162</v>
      </c>
      <c r="Q203" t="str">
        <f>SUBSTITUTE(SUBSTITUTE(SUBSTITUTE(P203," ",""),"-",""),"+","")</f>
        <v>912114996149</v>
      </c>
      <c r="R203" t="str">
        <f t="shared" si="6"/>
        <v>2114996149</v>
      </c>
      <c r="S203" t="str">
        <f>IF(LEN(R203),"Valid","Invalid")</f>
        <v>Valid</v>
      </c>
      <c r="T203" t="s">
        <v>7161</v>
      </c>
      <c r="V203" t="s">
        <v>123</v>
      </c>
      <c r="X203">
        <v>7981.06</v>
      </c>
      <c r="Y203" t="s">
        <v>26</v>
      </c>
      <c r="Z203">
        <v>335</v>
      </c>
      <c r="AA203">
        <f t="shared" si="7"/>
        <v>335</v>
      </c>
      <c r="AB203" t="s">
        <v>34</v>
      </c>
    </row>
    <row r="204" spans="1:28" x14ac:dyDescent="0.3">
      <c r="A204" t="s">
        <v>7160</v>
      </c>
      <c r="B204" t="s">
        <v>7159</v>
      </c>
      <c r="C204" t="s">
        <v>7159</v>
      </c>
      <c r="D204" t="s">
        <v>60</v>
      </c>
      <c r="E204">
        <v>70</v>
      </c>
      <c r="F204">
        <v>70</v>
      </c>
      <c r="G204" t="s">
        <v>31</v>
      </c>
      <c r="H204" t="s">
        <v>31</v>
      </c>
      <c r="I204" t="s">
        <v>30</v>
      </c>
      <c r="J204" t="s">
        <v>30</v>
      </c>
      <c r="K204" s="1">
        <v>46152</v>
      </c>
      <c r="L204" s="1" t="str">
        <f>IF(K204&gt;O204,"Valid","Invalid")</f>
        <v>Valid</v>
      </c>
      <c r="M204" s="1" t="b">
        <f>ISNUMBER(K204)</f>
        <v>1</v>
      </c>
      <c r="N204" s="1" t="b">
        <f>ISNUMBER(O204)</f>
        <v>1</v>
      </c>
      <c r="O204" s="1">
        <v>46133</v>
      </c>
      <c r="P204" t="s">
        <v>7158</v>
      </c>
      <c r="Q204" t="str">
        <f>SUBSTITUTE(SUBSTITUTE(SUBSTITUTE(P204," ",""),"-",""),"+","")</f>
        <v>9339098288</v>
      </c>
      <c r="R204" t="str">
        <f t="shared" si="6"/>
        <v>9339098288</v>
      </c>
      <c r="S204" t="str">
        <f>IF(LEN(R204),"Valid","Invalid")</f>
        <v>Valid</v>
      </c>
      <c r="T204" t="s">
        <v>7157</v>
      </c>
      <c r="V204" t="s">
        <v>123</v>
      </c>
      <c r="X204" t="s">
        <v>488</v>
      </c>
      <c r="Y204" t="s">
        <v>57</v>
      </c>
      <c r="Z204">
        <v>242</v>
      </c>
      <c r="AA204">
        <f t="shared" si="7"/>
        <v>242</v>
      </c>
      <c r="AB204" t="s">
        <v>34</v>
      </c>
    </row>
    <row r="205" spans="1:28" x14ac:dyDescent="0.3">
      <c r="A205" t="s">
        <v>7156</v>
      </c>
      <c r="B205" t="s">
        <v>7155</v>
      </c>
      <c r="C205" t="s">
        <v>7155</v>
      </c>
      <c r="D205" t="s">
        <v>22</v>
      </c>
      <c r="E205">
        <v>29</v>
      </c>
      <c r="F205">
        <v>29</v>
      </c>
      <c r="G205" t="s">
        <v>132</v>
      </c>
      <c r="H205" t="s">
        <v>132</v>
      </c>
      <c r="I205" t="s">
        <v>30</v>
      </c>
      <c r="J205" t="s">
        <v>30</v>
      </c>
      <c r="K205" s="1">
        <v>46086</v>
      </c>
      <c r="L205" s="1" t="str">
        <f>IF(K205&gt;O205,"Valid","Invalid")</f>
        <v>Valid</v>
      </c>
      <c r="M205" s="1" t="b">
        <f>ISNUMBER(K205)</f>
        <v>1</v>
      </c>
      <c r="N205" s="1" t="b">
        <f>ISNUMBER(O205)</f>
        <v>1</v>
      </c>
      <c r="O205" s="1">
        <v>46064</v>
      </c>
      <c r="P205" t="s">
        <v>7154</v>
      </c>
      <c r="Q205" t="str">
        <f>SUBSTITUTE(SUBSTITUTE(SUBSTITUTE(P205," ",""),"-",""),"+","")</f>
        <v>6296243633</v>
      </c>
      <c r="R205" t="str">
        <f t="shared" si="6"/>
        <v>6296243633</v>
      </c>
      <c r="S205" t="str">
        <f>IF(LEN(R205),"Valid","Invalid")</f>
        <v>Valid</v>
      </c>
      <c r="T205" t="s">
        <v>7153</v>
      </c>
      <c r="V205" t="s">
        <v>17</v>
      </c>
      <c r="X205">
        <v>17317.95</v>
      </c>
      <c r="Y205" t="s">
        <v>123</v>
      </c>
      <c r="Z205">
        <v>262</v>
      </c>
      <c r="AA205">
        <f t="shared" si="7"/>
        <v>262</v>
      </c>
      <c r="AB205" t="s">
        <v>16</v>
      </c>
    </row>
    <row r="206" spans="1:28" x14ac:dyDescent="0.3">
      <c r="A206" t="s">
        <v>7152</v>
      </c>
      <c r="B206" t="s">
        <v>7151</v>
      </c>
      <c r="C206" t="s">
        <v>7151</v>
      </c>
      <c r="D206" t="s">
        <v>60</v>
      </c>
      <c r="E206">
        <v>72</v>
      </c>
      <c r="F206">
        <v>72</v>
      </c>
      <c r="G206" t="s">
        <v>132</v>
      </c>
      <c r="H206" t="s">
        <v>132</v>
      </c>
      <c r="I206" t="s">
        <v>30</v>
      </c>
      <c r="J206" t="s">
        <v>30</v>
      </c>
      <c r="K206" s="1">
        <v>46036</v>
      </c>
      <c r="L206" s="1" t="str">
        <f>IF(K206&gt;O206,"Valid","Invalid")</f>
        <v>Valid</v>
      </c>
      <c r="M206" s="1" t="b">
        <f>ISNUMBER(K206)</f>
        <v>1</v>
      </c>
      <c r="N206" s="1" t="b">
        <f>ISNUMBER(O206)</f>
        <v>1</v>
      </c>
      <c r="O206" s="1">
        <v>46033</v>
      </c>
      <c r="P206" t="s">
        <v>7150</v>
      </c>
      <c r="Q206" t="str">
        <f>SUBSTITUTE(SUBSTITUTE(SUBSTITUTE(P206," ",""),"-",""),"+","")</f>
        <v>1182679294</v>
      </c>
      <c r="R206" t="str">
        <f t="shared" si="6"/>
        <v>1182679294</v>
      </c>
      <c r="S206" t="str">
        <f>IF(LEN(R206),"Valid","Invalid")</f>
        <v>Valid</v>
      </c>
      <c r="T206" t="s">
        <v>7149</v>
      </c>
      <c r="V206" t="s">
        <v>123</v>
      </c>
      <c r="X206">
        <v>22414.86</v>
      </c>
      <c r="Y206" t="s">
        <v>123</v>
      </c>
      <c r="Z206">
        <v>519</v>
      </c>
      <c r="AA206">
        <f t="shared" si="7"/>
        <v>519</v>
      </c>
      <c r="AB206" t="s">
        <v>43</v>
      </c>
    </row>
    <row r="207" spans="1:28" x14ac:dyDescent="0.3">
      <c r="A207" t="s">
        <v>7148</v>
      </c>
      <c r="B207" t="s">
        <v>7147</v>
      </c>
      <c r="C207" t="s">
        <v>7147</v>
      </c>
      <c r="D207" t="s">
        <v>0</v>
      </c>
      <c r="E207">
        <v>38</v>
      </c>
      <c r="F207">
        <v>38</v>
      </c>
      <c r="G207" t="s">
        <v>47</v>
      </c>
      <c r="H207" t="s">
        <v>47</v>
      </c>
      <c r="I207" t="s">
        <v>30</v>
      </c>
      <c r="J207" t="s">
        <v>30</v>
      </c>
      <c r="K207" s="1">
        <v>46105</v>
      </c>
      <c r="L207" s="1" t="str">
        <f>IF(K207&gt;O207,"Valid","Invalid")</f>
        <v>Valid</v>
      </c>
      <c r="M207" s="1" t="b">
        <f>ISNUMBER(K207)</f>
        <v>1</v>
      </c>
      <c r="N207" s="1" t="b">
        <f>ISNUMBER(O207)</f>
        <v>1</v>
      </c>
      <c r="O207" s="1">
        <v>46075</v>
      </c>
      <c r="P207" t="s">
        <v>7146</v>
      </c>
      <c r="Q207" t="str">
        <f>SUBSTITUTE(SUBSTITUTE(SUBSTITUTE(P207," ",""),"-",""),"+","")</f>
        <v>00410043244</v>
      </c>
      <c r="R207" t="str">
        <f t="shared" si="6"/>
        <v>0410043244</v>
      </c>
      <c r="S207" t="str">
        <f>IF(LEN(R207),"Valid","Invalid")</f>
        <v>Valid</v>
      </c>
      <c r="T207" t="s">
        <v>7145</v>
      </c>
      <c r="V207" t="s">
        <v>64</v>
      </c>
      <c r="X207">
        <v>8789.82</v>
      </c>
      <c r="Y207" t="s">
        <v>123</v>
      </c>
      <c r="Z207">
        <v>435</v>
      </c>
      <c r="AA207">
        <f t="shared" si="7"/>
        <v>435</v>
      </c>
      <c r="AB207" t="s">
        <v>43</v>
      </c>
    </row>
    <row r="208" spans="1:28" x14ac:dyDescent="0.3">
      <c r="A208" t="s">
        <v>7144</v>
      </c>
      <c r="B208" t="s">
        <v>7143</v>
      </c>
      <c r="C208" t="s">
        <v>7143</v>
      </c>
      <c r="E208">
        <v>28</v>
      </c>
      <c r="F208">
        <v>28</v>
      </c>
      <c r="G208" t="s">
        <v>21</v>
      </c>
      <c r="H208" t="s">
        <v>21</v>
      </c>
      <c r="I208" t="s">
        <v>30</v>
      </c>
      <c r="J208" t="s">
        <v>30</v>
      </c>
      <c r="K208" s="1">
        <v>46177</v>
      </c>
      <c r="L208" s="1" t="str">
        <f>IF(K208&gt;O208,"Valid","Invalid")</f>
        <v>Valid</v>
      </c>
      <c r="M208" s="1" t="b">
        <f>ISNUMBER(K208)</f>
        <v>1</v>
      </c>
      <c r="N208" s="1" t="b">
        <f>ISNUMBER(O208)</f>
        <v>1</v>
      </c>
      <c r="O208" s="1">
        <v>46148</v>
      </c>
      <c r="P208" t="s">
        <v>7142</v>
      </c>
      <c r="Q208" t="str">
        <f>SUBSTITUTE(SUBSTITUTE(SUBSTITUTE(P208," ",""),"-",""),"+","")</f>
        <v>3149111189</v>
      </c>
      <c r="R208" t="str">
        <f t="shared" si="6"/>
        <v>3149111189</v>
      </c>
      <c r="S208" t="str">
        <f>IF(LEN(R208),"Valid","Invalid")</f>
        <v>Valid</v>
      </c>
      <c r="T208" t="s">
        <v>7141</v>
      </c>
      <c r="V208" t="s">
        <v>26</v>
      </c>
      <c r="X208">
        <v>3604.37</v>
      </c>
      <c r="Y208" t="s">
        <v>57</v>
      </c>
      <c r="Z208">
        <v>224</v>
      </c>
      <c r="AA208">
        <f t="shared" si="7"/>
        <v>224</v>
      </c>
      <c r="AB208" t="s">
        <v>77</v>
      </c>
    </row>
    <row r="209" spans="1:28" x14ac:dyDescent="0.3">
      <c r="A209" t="s">
        <v>7140</v>
      </c>
      <c r="B209" t="s">
        <v>6401</v>
      </c>
      <c r="C209" t="s">
        <v>6401</v>
      </c>
      <c r="D209" t="s">
        <v>1</v>
      </c>
      <c r="E209">
        <v>82</v>
      </c>
      <c r="F209">
        <v>82</v>
      </c>
      <c r="G209" t="s">
        <v>21</v>
      </c>
      <c r="H209" t="s">
        <v>21</v>
      </c>
      <c r="I209" t="s">
        <v>46</v>
      </c>
      <c r="J209" t="s">
        <v>46</v>
      </c>
      <c r="K209" s="1">
        <v>46101</v>
      </c>
      <c r="L209" s="1" t="str">
        <f>IF(K209&gt;O209,"Valid","Invalid")</f>
        <v>Valid</v>
      </c>
      <c r="M209" s="1" t="b">
        <f>ISNUMBER(K209)</f>
        <v>1</v>
      </c>
      <c r="N209" s="1" t="b">
        <f>ISNUMBER(O209)</f>
        <v>1</v>
      </c>
      <c r="O209" s="1">
        <v>46098</v>
      </c>
      <c r="P209" t="s">
        <v>7139</v>
      </c>
      <c r="Q209" t="str">
        <f>SUBSTITUTE(SUBSTITUTE(SUBSTITUTE(P209," ",""),"-",""),"+","")</f>
        <v>917694045089</v>
      </c>
      <c r="R209" t="str">
        <f t="shared" si="6"/>
        <v>7694045089</v>
      </c>
      <c r="S209" t="str">
        <f>IF(LEN(R209),"Valid","Invalid")</f>
        <v>Valid</v>
      </c>
      <c r="T209" t="s">
        <v>7138</v>
      </c>
      <c r="V209" t="s">
        <v>123</v>
      </c>
      <c r="X209">
        <v>8391.2800000000007</v>
      </c>
      <c r="Y209" t="s">
        <v>123</v>
      </c>
      <c r="Z209">
        <v>151</v>
      </c>
      <c r="AA209">
        <f t="shared" si="7"/>
        <v>151</v>
      </c>
      <c r="AB209" t="s">
        <v>25</v>
      </c>
    </row>
    <row r="210" spans="1:28" x14ac:dyDescent="0.3">
      <c r="A210" t="s">
        <v>7137</v>
      </c>
      <c r="B210" t="s">
        <v>7136</v>
      </c>
      <c r="C210" t="s">
        <v>7136</v>
      </c>
      <c r="D210" t="s">
        <v>0</v>
      </c>
      <c r="E210">
        <v>1</v>
      </c>
      <c r="F210">
        <v>1</v>
      </c>
      <c r="G210" t="s">
        <v>39</v>
      </c>
      <c r="H210" t="s">
        <v>39</v>
      </c>
      <c r="I210" t="s">
        <v>90</v>
      </c>
      <c r="J210" t="s">
        <v>67</v>
      </c>
      <c r="K210" s="1">
        <v>46035</v>
      </c>
      <c r="L210" s="1" t="str">
        <f>IF(K210&gt;O210,"Valid","Invalid")</f>
        <v>Valid</v>
      </c>
      <c r="M210" s="1" t="b">
        <f>ISNUMBER(K210)</f>
        <v>1</v>
      </c>
      <c r="N210" s="1" t="b">
        <f>ISNUMBER(O210)</f>
        <v>1</v>
      </c>
      <c r="O210" s="1">
        <v>46015</v>
      </c>
      <c r="P210" t="s">
        <v>7135</v>
      </c>
      <c r="Q210" t="str">
        <f>SUBSTITUTE(SUBSTITUTE(SUBSTITUTE(P210," ",""),"-",""),"+","")</f>
        <v>09452107637</v>
      </c>
      <c r="R210" t="str">
        <f t="shared" si="6"/>
        <v>9452107637</v>
      </c>
      <c r="S210" t="str">
        <f>IF(LEN(R210),"Valid","Invalid")</f>
        <v>Valid</v>
      </c>
      <c r="T210" t="s">
        <v>7134</v>
      </c>
      <c r="V210" t="s">
        <v>123</v>
      </c>
      <c r="X210">
        <v>12040.72</v>
      </c>
      <c r="Y210" t="s">
        <v>57</v>
      </c>
      <c r="Z210">
        <v>487</v>
      </c>
      <c r="AA210">
        <f t="shared" si="7"/>
        <v>487</v>
      </c>
      <c r="AB210" t="s">
        <v>43</v>
      </c>
    </row>
    <row r="211" spans="1:28" x14ac:dyDescent="0.3">
      <c r="A211" t="s">
        <v>7133</v>
      </c>
      <c r="B211" t="s">
        <v>7132</v>
      </c>
      <c r="C211" t="s">
        <v>7132</v>
      </c>
      <c r="D211" t="s">
        <v>60</v>
      </c>
      <c r="E211">
        <v>37</v>
      </c>
      <c r="F211">
        <v>37</v>
      </c>
      <c r="G211" t="s">
        <v>47</v>
      </c>
      <c r="H211" t="s">
        <v>47</v>
      </c>
      <c r="I211" t="s">
        <v>20</v>
      </c>
      <c r="J211" t="s">
        <v>20</v>
      </c>
      <c r="K211" s="1">
        <v>46004</v>
      </c>
      <c r="L211" s="1" t="str">
        <f>IF(K211&gt;O211,"Valid","Invalid")</f>
        <v>Valid</v>
      </c>
      <c r="M211" s="1" t="b">
        <f>ISNUMBER(K211)</f>
        <v>1</v>
      </c>
      <c r="N211" s="1" t="b">
        <f>ISNUMBER(O211)</f>
        <v>1</v>
      </c>
      <c r="O211" s="1">
        <v>45984</v>
      </c>
      <c r="P211" t="s">
        <v>7131</v>
      </c>
      <c r="Q211" t="str">
        <f>SUBSTITUTE(SUBSTITUTE(SUBSTITUTE(P211," ",""),"-",""),"+","")</f>
        <v>09907381115</v>
      </c>
      <c r="R211" t="str">
        <f t="shared" si="6"/>
        <v>9907381115</v>
      </c>
      <c r="S211" t="str">
        <f>IF(LEN(R211),"Valid","Invalid")</f>
        <v>Valid</v>
      </c>
      <c r="T211" t="s">
        <v>7130</v>
      </c>
      <c r="V211" t="s">
        <v>17</v>
      </c>
      <c r="X211">
        <v>13471.78</v>
      </c>
      <c r="Y211" t="s">
        <v>27</v>
      </c>
      <c r="Z211">
        <v>189</v>
      </c>
      <c r="AA211">
        <f t="shared" si="7"/>
        <v>189</v>
      </c>
      <c r="AB211" t="s">
        <v>16</v>
      </c>
    </row>
    <row r="212" spans="1:28" x14ac:dyDescent="0.3">
      <c r="A212" t="s">
        <v>7129</v>
      </c>
      <c r="B212" t="s">
        <v>7128</v>
      </c>
      <c r="C212" t="s">
        <v>7128</v>
      </c>
      <c r="D212" t="s">
        <v>0</v>
      </c>
      <c r="E212">
        <v>5</v>
      </c>
      <c r="F212">
        <v>5</v>
      </c>
      <c r="G212" t="s">
        <v>54</v>
      </c>
      <c r="H212" t="s">
        <v>54</v>
      </c>
      <c r="I212" t="s">
        <v>85</v>
      </c>
      <c r="J212" t="s">
        <v>85</v>
      </c>
      <c r="K212" s="1">
        <v>46042</v>
      </c>
      <c r="L212" s="1" t="str">
        <f>IF(K212&gt;O212,"Valid","Invalid")</f>
        <v>Valid</v>
      </c>
      <c r="M212" s="1" t="b">
        <f>ISNUMBER(K212)</f>
        <v>1</v>
      </c>
      <c r="N212" s="1" t="b">
        <f>ISNUMBER(O212)</f>
        <v>1</v>
      </c>
      <c r="O212" s="1">
        <v>46037</v>
      </c>
      <c r="P212" t="s">
        <v>7127</v>
      </c>
      <c r="Q212" t="str">
        <f>SUBSTITUTE(SUBSTITUTE(SUBSTITUTE(P212," ",""),"-",""),"+","")</f>
        <v>01937589888</v>
      </c>
      <c r="R212" t="str">
        <f t="shared" si="6"/>
        <v>1937589888</v>
      </c>
      <c r="S212" t="str">
        <f>IF(LEN(R212),"Valid","Invalid")</f>
        <v>Valid</v>
      </c>
      <c r="T212" t="s">
        <v>7126</v>
      </c>
      <c r="V212" t="s">
        <v>26</v>
      </c>
      <c r="X212">
        <v>21943.23</v>
      </c>
      <c r="Y212" t="s">
        <v>27</v>
      </c>
      <c r="Z212">
        <v>252</v>
      </c>
      <c r="AA212">
        <f t="shared" si="7"/>
        <v>252</v>
      </c>
      <c r="AB212" t="s">
        <v>34</v>
      </c>
    </row>
    <row r="213" spans="1:28" x14ac:dyDescent="0.3">
      <c r="A213" t="s">
        <v>7125</v>
      </c>
      <c r="B213" t="s">
        <v>7124</v>
      </c>
      <c r="C213" t="s">
        <v>7124</v>
      </c>
      <c r="D213" t="s">
        <v>74</v>
      </c>
      <c r="E213">
        <v>43</v>
      </c>
      <c r="F213">
        <v>43</v>
      </c>
      <c r="G213" t="s">
        <v>132</v>
      </c>
      <c r="H213" t="s">
        <v>132</v>
      </c>
      <c r="I213" t="s">
        <v>85</v>
      </c>
      <c r="J213" t="s">
        <v>85</v>
      </c>
      <c r="K213" s="1">
        <v>46161</v>
      </c>
      <c r="L213" s="1" t="str">
        <f>IF(K213&gt;O213,"Valid","Invalid")</f>
        <v>Valid</v>
      </c>
      <c r="M213" s="1" t="b">
        <f>ISNUMBER(K213)</f>
        <v>1</v>
      </c>
      <c r="N213" s="1" t="b">
        <f>ISNUMBER(O213)</f>
        <v>1</v>
      </c>
      <c r="O213" s="1">
        <v>46141</v>
      </c>
      <c r="P213" t="s">
        <v>7123</v>
      </c>
      <c r="Q213" t="str">
        <f>SUBSTITUTE(SUBSTITUTE(SUBSTITUTE(P213," ",""),"-",""),"+","")</f>
        <v>919899836592</v>
      </c>
      <c r="R213" t="str">
        <f t="shared" si="6"/>
        <v>9899836592</v>
      </c>
      <c r="S213" t="str">
        <f>IF(LEN(R213),"Valid","Invalid")</f>
        <v>Valid</v>
      </c>
      <c r="T213" t="s">
        <v>7122</v>
      </c>
      <c r="V213" t="s">
        <v>123</v>
      </c>
      <c r="X213">
        <v>22253.65</v>
      </c>
      <c r="Y213" t="s">
        <v>26</v>
      </c>
      <c r="Z213">
        <v>535</v>
      </c>
      <c r="AA213">
        <f t="shared" si="7"/>
        <v>535</v>
      </c>
      <c r="AB213" t="s">
        <v>34</v>
      </c>
    </row>
    <row r="214" spans="1:28" x14ac:dyDescent="0.3">
      <c r="A214" t="s">
        <v>7121</v>
      </c>
      <c r="B214" t="s">
        <v>7120</v>
      </c>
      <c r="C214" t="s">
        <v>7120</v>
      </c>
      <c r="E214">
        <v>35</v>
      </c>
      <c r="F214">
        <v>35</v>
      </c>
      <c r="G214" t="s">
        <v>21</v>
      </c>
      <c r="H214" t="s">
        <v>21</v>
      </c>
      <c r="I214" t="s">
        <v>20</v>
      </c>
      <c r="J214" t="s">
        <v>20</v>
      </c>
      <c r="K214" s="1">
        <v>45998</v>
      </c>
      <c r="L214" s="1" t="str">
        <f>IF(K214&gt;O214,"Valid","Invalid")</f>
        <v>Valid</v>
      </c>
      <c r="M214" s="1" t="b">
        <f>ISNUMBER(K214)</f>
        <v>1</v>
      </c>
      <c r="N214" s="1" t="b">
        <f>ISNUMBER(O214)</f>
        <v>1</v>
      </c>
      <c r="O214" s="1">
        <v>45988</v>
      </c>
      <c r="P214" t="s">
        <v>7119</v>
      </c>
      <c r="Q214" t="str">
        <f>SUBSTITUTE(SUBSTITUTE(SUBSTITUTE(P214," ",""),"-",""),"+","")</f>
        <v>03498973856</v>
      </c>
      <c r="R214" t="str">
        <f t="shared" si="6"/>
        <v>3498973856</v>
      </c>
      <c r="S214" t="str">
        <f>IF(LEN(R214),"Valid","Invalid")</f>
        <v>Valid</v>
      </c>
      <c r="T214" t="s">
        <v>7118</v>
      </c>
      <c r="V214" t="s">
        <v>35</v>
      </c>
      <c r="X214">
        <v>18331.759999999998</v>
      </c>
      <c r="Y214" t="s">
        <v>63</v>
      </c>
      <c r="Z214">
        <v>467</v>
      </c>
      <c r="AA214">
        <f t="shared" si="7"/>
        <v>467</v>
      </c>
      <c r="AB214" t="s">
        <v>71</v>
      </c>
    </row>
    <row r="215" spans="1:28" x14ac:dyDescent="0.3">
      <c r="A215" t="s">
        <v>7117</v>
      </c>
      <c r="B215" t="s">
        <v>7116</v>
      </c>
      <c r="C215" t="s">
        <v>7116</v>
      </c>
      <c r="D215" t="s">
        <v>40</v>
      </c>
      <c r="E215">
        <v>44</v>
      </c>
      <c r="F215">
        <v>44</v>
      </c>
      <c r="G215" t="s">
        <v>132</v>
      </c>
      <c r="H215" t="s">
        <v>132</v>
      </c>
      <c r="I215" t="s">
        <v>38</v>
      </c>
      <c r="J215" t="s">
        <v>8077</v>
      </c>
      <c r="K215" s="1">
        <v>46006</v>
      </c>
      <c r="L215" s="1" t="str">
        <f>IF(K215&gt;O215,"Valid","Invalid")</f>
        <v>Valid</v>
      </c>
      <c r="M215" s="1" t="b">
        <f>ISNUMBER(K215)</f>
        <v>1</v>
      </c>
      <c r="N215" s="1" t="b">
        <f>ISNUMBER(O215)</f>
        <v>1</v>
      </c>
      <c r="O215" s="1">
        <v>46001</v>
      </c>
      <c r="P215" t="s">
        <v>7115</v>
      </c>
      <c r="Q215" t="str">
        <f>SUBSTITUTE(SUBSTITUTE(SUBSTITUTE(P215," ",""),"-",""),"+","")</f>
        <v>08480100539</v>
      </c>
      <c r="R215" t="str">
        <f t="shared" si="6"/>
        <v>8480100539</v>
      </c>
      <c r="S215" t="str">
        <f>IF(LEN(R215),"Valid","Invalid")</f>
        <v>Valid</v>
      </c>
      <c r="T215" t="s">
        <v>7114</v>
      </c>
      <c r="V215" t="s">
        <v>123</v>
      </c>
      <c r="X215">
        <v>20709.349999999999</v>
      </c>
      <c r="Y215" t="s">
        <v>17</v>
      </c>
      <c r="Z215">
        <v>144</v>
      </c>
      <c r="AA215">
        <f t="shared" si="7"/>
        <v>144</v>
      </c>
      <c r="AB215" t="s">
        <v>16</v>
      </c>
    </row>
    <row r="216" spans="1:28" x14ac:dyDescent="0.3">
      <c r="A216" t="s">
        <v>7113</v>
      </c>
      <c r="B216" t="s">
        <v>7112</v>
      </c>
      <c r="C216" t="s">
        <v>7112</v>
      </c>
      <c r="D216" t="s">
        <v>74</v>
      </c>
      <c r="E216">
        <v>24</v>
      </c>
      <c r="F216">
        <v>24</v>
      </c>
      <c r="G216" t="s">
        <v>39</v>
      </c>
      <c r="H216" t="s">
        <v>39</v>
      </c>
      <c r="I216" t="s">
        <v>85</v>
      </c>
      <c r="J216" t="s">
        <v>85</v>
      </c>
      <c r="K216" s="1">
        <v>46144</v>
      </c>
      <c r="L216" s="1" t="str">
        <f>IF(K216&gt;O216,"Valid","Invalid")</f>
        <v>Valid</v>
      </c>
      <c r="M216" s="1" t="b">
        <f>ISNUMBER(K216)</f>
        <v>1</v>
      </c>
      <c r="N216" s="1" t="b">
        <f>ISNUMBER(O216)</f>
        <v>1</v>
      </c>
      <c r="O216" s="1">
        <v>46134</v>
      </c>
      <c r="P216" t="s">
        <v>7111</v>
      </c>
      <c r="Q216" t="str">
        <f>SUBSTITUTE(SUBSTITUTE(SUBSTITUTE(P216," ",""),"-",""),"+","")</f>
        <v>4412299971</v>
      </c>
      <c r="R216" t="str">
        <f t="shared" si="6"/>
        <v>4412299971</v>
      </c>
      <c r="S216" t="str">
        <f>IF(LEN(R216),"Valid","Invalid")</f>
        <v>Valid</v>
      </c>
      <c r="T216" t="s">
        <v>7110</v>
      </c>
      <c r="V216" t="s">
        <v>17</v>
      </c>
      <c r="X216">
        <v>369.39</v>
      </c>
      <c r="Y216" t="s">
        <v>123</v>
      </c>
      <c r="Z216">
        <v>220</v>
      </c>
      <c r="AA216">
        <f t="shared" si="7"/>
        <v>220</v>
      </c>
      <c r="AB216" t="s">
        <v>16</v>
      </c>
    </row>
    <row r="217" spans="1:28" x14ac:dyDescent="0.3">
      <c r="A217" t="s">
        <v>7109</v>
      </c>
      <c r="B217" t="s">
        <v>6020</v>
      </c>
      <c r="C217" t="s">
        <v>6020</v>
      </c>
      <c r="D217" t="s">
        <v>22</v>
      </c>
      <c r="E217">
        <v>43</v>
      </c>
      <c r="F217">
        <v>43</v>
      </c>
      <c r="G217" t="s">
        <v>132</v>
      </c>
      <c r="H217" t="s">
        <v>132</v>
      </c>
      <c r="I217" t="s">
        <v>46</v>
      </c>
      <c r="J217" t="s">
        <v>46</v>
      </c>
      <c r="K217" s="1">
        <v>46045</v>
      </c>
      <c r="L217" s="1" t="str">
        <f>IF(K217&gt;O217,"Valid","Invalid")</f>
        <v>Valid</v>
      </c>
      <c r="M217" s="1" t="b">
        <f>ISNUMBER(K217)</f>
        <v>1</v>
      </c>
      <c r="N217" s="1" t="b">
        <f>ISNUMBER(O217)</f>
        <v>1</v>
      </c>
      <c r="O217" s="1">
        <v>46037</v>
      </c>
      <c r="P217" t="s">
        <v>7108</v>
      </c>
      <c r="Q217" t="str">
        <f>SUBSTITUTE(SUBSTITUTE(SUBSTITUTE(P217," ",""),"-",""),"+","")</f>
        <v>4723597652</v>
      </c>
      <c r="R217" t="str">
        <f t="shared" si="6"/>
        <v>4723597652</v>
      </c>
      <c r="S217" t="str">
        <f>IF(LEN(R217),"Valid","Invalid")</f>
        <v>Valid</v>
      </c>
      <c r="T217" t="s">
        <v>7107</v>
      </c>
      <c r="V217" t="s">
        <v>57</v>
      </c>
      <c r="X217">
        <v>17380.66</v>
      </c>
      <c r="Y217" t="s">
        <v>27</v>
      </c>
      <c r="Z217">
        <v>441</v>
      </c>
      <c r="AA217">
        <f t="shared" si="7"/>
        <v>441</v>
      </c>
      <c r="AB217" t="s">
        <v>77</v>
      </c>
    </row>
    <row r="218" spans="1:28" x14ac:dyDescent="0.3">
      <c r="A218" t="s">
        <v>7106</v>
      </c>
      <c r="B218" t="s">
        <v>7105</v>
      </c>
      <c r="C218" t="s">
        <v>8037</v>
      </c>
      <c r="E218">
        <v>40</v>
      </c>
      <c r="F218">
        <v>40</v>
      </c>
      <c r="G218" t="s">
        <v>39</v>
      </c>
      <c r="H218" t="s">
        <v>39</v>
      </c>
      <c r="I218" t="s">
        <v>90</v>
      </c>
      <c r="J218" t="s">
        <v>67</v>
      </c>
      <c r="K218" s="1">
        <v>46004</v>
      </c>
      <c r="L218" s="1" t="str">
        <f>IF(K218&gt;O218,"Valid","Invalid")</f>
        <v>Valid</v>
      </c>
      <c r="M218" s="1" t="b">
        <f>ISNUMBER(K218)</f>
        <v>1</v>
      </c>
      <c r="N218" s="1" t="b">
        <f>ISNUMBER(O218)</f>
        <v>1</v>
      </c>
      <c r="O218" s="1">
        <v>45983</v>
      </c>
      <c r="P218" t="s">
        <v>7104</v>
      </c>
      <c r="Q218" t="str">
        <f>SUBSTITUTE(SUBSTITUTE(SUBSTITUTE(P218," ",""),"-",""),"+","")</f>
        <v>01971324757</v>
      </c>
      <c r="R218" t="str">
        <f t="shared" si="6"/>
        <v>1971324757</v>
      </c>
      <c r="S218" t="str">
        <f>IF(LEN(R218),"Valid","Invalid")</f>
        <v>Valid</v>
      </c>
      <c r="T218" t="s">
        <v>7103</v>
      </c>
      <c r="V218" t="s">
        <v>26</v>
      </c>
      <c r="X218">
        <v>17319.2</v>
      </c>
      <c r="Y218" t="s">
        <v>63</v>
      </c>
      <c r="Z218">
        <v>288</v>
      </c>
      <c r="AA218">
        <f t="shared" si="7"/>
        <v>288</v>
      </c>
      <c r="AB218" t="s">
        <v>34</v>
      </c>
    </row>
    <row r="219" spans="1:28" x14ac:dyDescent="0.3">
      <c r="A219" t="s">
        <v>7102</v>
      </c>
      <c r="B219" t="s">
        <v>7101</v>
      </c>
      <c r="C219" t="s">
        <v>7101</v>
      </c>
      <c r="D219" t="s">
        <v>1</v>
      </c>
      <c r="E219">
        <v>29</v>
      </c>
      <c r="F219">
        <v>29</v>
      </c>
      <c r="G219" t="s">
        <v>39</v>
      </c>
      <c r="H219" t="s">
        <v>39</v>
      </c>
      <c r="I219" t="s">
        <v>85</v>
      </c>
      <c r="J219" t="s">
        <v>85</v>
      </c>
      <c r="K219" s="1">
        <v>46116</v>
      </c>
      <c r="L219" s="1" t="str">
        <f>IF(K219&gt;O219,"Valid","Invalid")</f>
        <v>Valid</v>
      </c>
      <c r="M219" s="1" t="b">
        <f>ISNUMBER(K219)</f>
        <v>1</v>
      </c>
      <c r="N219" s="1" t="b">
        <f>ISNUMBER(O219)</f>
        <v>1</v>
      </c>
      <c r="O219" s="1">
        <v>46112</v>
      </c>
      <c r="P219" t="s">
        <v>7100</v>
      </c>
      <c r="Q219" t="str">
        <f>SUBSTITUTE(SUBSTITUTE(SUBSTITUTE(P219," ",""),"-",""),"+","")</f>
        <v>07378130371</v>
      </c>
      <c r="R219" t="str">
        <f t="shared" si="6"/>
        <v>7378130371</v>
      </c>
      <c r="S219" t="str">
        <f>IF(LEN(R219),"Valid","Invalid")</f>
        <v>Valid</v>
      </c>
      <c r="T219" t="s">
        <v>7099</v>
      </c>
      <c r="V219" t="s">
        <v>123</v>
      </c>
      <c r="X219">
        <v>18743.82</v>
      </c>
      <c r="Y219" t="s">
        <v>17</v>
      </c>
      <c r="Z219">
        <v>312</v>
      </c>
      <c r="AA219">
        <f t="shared" si="7"/>
        <v>312</v>
      </c>
      <c r="AB219" t="s">
        <v>25</v>
      </c>
    </row>
    <row r="220" spans="1:28" x14ac:dyDescent="0.3">
      <c r="A220" t="s">
        <v>7098</v>
      </c>
      <c r="B220" t="s">
        <v>7097</v>
      </c>
      <c r="C220" t="s">
        <v>7097</v>
      </c>
      <c r="E220">
        <v>69</v>
      </c>
      <c r="F220">
        <v>69</v>
      </c>
      <c r="G220" t="s">
        <v>21</v>
      </c>
      <c r="H220" t="s">
        <v>21</v>
      </c>
      <c r="I220" t="s">
        <v>38</v>
      </c>
      <c r="J220" t="s">
        <v>8077</v>
      </c>
      <c r="K220" s="1">
        <v>46051</v>
      </c>
      <c r="L220" s="1" t="str">
        <f>IF(K220&gt;O220,"Valid","Invalid")</f>
        <v>Valid</v>
      </c>
      <c r="M220" s="1" t="b">
        <f>ISNUMBER(K220)</f>
        <v>1</v>
      </c>
      <c r="N220" s="1" t="b">
        <f>ISNUMBER(O220)</f>
        <v>1</v>
      </c>
      <c r="O220" s="1">
        <v>46030</v>
      </c>
      <c r="P220" t="s">
        <v>7096</v>
      </c>
      <c r="Q220" t="str">
        <f>SUBSTITUTE(SUBSTITUTE(SUBSTITUTE(P220," ",""),"-",""),"+","")</f>
        <v>05180284329</v>
      </c>
      <c r="R220" t="str">
        <f t="shared" si="6"/>
        <v>5180284329</v>
      </c>
      <c r="S220" t="str">
        <f>IF(LEN(R220),"Valid","Invalid")</f>
        <v>Valid</v>
      </c>
      <c r="T220" t="s">
        <v>7095</v>
      </c>
      <c r="V220" t="s">
        <v>64</v>
      </c>
      <c r="X220">
        <v>13232.57</v>
      </c>
      <c r="Y220" t="s">
        <v>17</v>
      </c>
      <c r="Z220">
        <v>139</v>
      </c>
      <c r="AA220">
        <f t="shared" si="7"/>
        <v>139</v>
      </c>
      <c r="AB220" t="s">
        <v>34</v>
      </c>
    </row>
    <row r="221" spans="1:28" x14ac:dyDescent="0.3">
      <c r="A221" t="s">
        <v>7094</v>
      </c>
      <c r="B221" t="s">
        <v>7093</v>
      </c>
      <c r="C221" t="s">
        <v>7093</v>
      </c>
      <c r="D221" t="s">
        <v>74</v>
      </c>
      <c r="E221">
        <v>8</v>
      </c>
      <c r="F221">
        <v>8</v>
      </c>
      <c r="G221" t="s">
        <v>21</v>
      </c>
      <c r="H221" t="s">
        <v>21</v>
      </c>
      <c r="I221" t="s">
        <v>53</v>
      </c>
      <c r="J221" t="s">
        <v>20</v>
      </c>
      <c r="K221" s="1">
        <v>46107</v>
      </c>
      <c r="L221" s="1" t="str">
        <f>IF(K221&gt;O221,"Valid","Invalid")</f>
        <v>Valid</v>
      </c>
      <c r="M221" s="1" t="b">
        <f>ISNUMBER(K221)</f>
        <v>1</v>
      </c>
      <c r="N221" s="1" t="b">
        <f>ISNUMBER(O221)</f>
        <v>1</v>
      </c>
      <c r="O221" s="1">
        <v>46102</v>
      </c>
      <c r="P221" t="s">
        <v>7092</v>
      </c>
      <c r="Q221" t="str">
        <f>SUBSTITUTE(SUBSTITUTE(SUBSTITUTE(P221," ",""),"-",""),"+","")</f>
        <v>8619769872</v>
      </c>
      <c r="R221" t="str">
        <f t="shared" si="6"/>
        <v>8619769872</v>
      </c>
      <c r="S221" t="str">
        <f>IF(LEN(R221),"Valid","Invalid")</f>
        <v>Valid</v>
      </c>
      <c r="T221" t="s">
        <v>7091</v>
      </c>
      <c r="V221" t="s">
        <v>57</v>
      </c>
      <c r="X221">
        <v>21391.25</v>
      </c>
      <c r="Y221" t="s">
        <v>123</v>
      </c>
      <c r="Z221">
        <v>159</v>
      </c>
      <c r="AA221">
        <f t="shared" si="7"/>
        <v>159</v>
      </c>
      <c r="AB221" t="s">
        <v>25</v>
      </c>
    </row>
    <row r="222" spans="1:28" x14ac:dyDescent="0.3">
      <c r="A222" t="s">
        <v>7090</v>
      </c>
      <c r="B222" t="s">
        <v>7089</v>
      </c>
      <c r="C222" t="s">
        <v>7089</v>
      </c>
      <c r="D222" t="s">
        <v>1</v>
      </c>
      <c r="E222">
        <v>75</v>
      </c>
      <c r="F222">
        <v>75</v>
      </c>
      <c r="G222" t="s">
        <v>68</v>
      </c>
      <c r="H222" t="s">
        <v>68</v>
      </c>
      <c r="I222" t="s">
        <v>20</v>
      </c>
      <c r="J222" t="s">
        <v>20</v>
      </c>
      <c r="K222" s="1">
        <v>46125</v>
      </c>
      <c r="L222" s="1" t="str">
        <f>IF(K222&gt;O222,"Valid","Invalid")</f>
        <v>Valid</v>
      </c>
      <c r="M222" s="1" t="b">
        <f>ISNUMBER(K222)</f>
        <v>1</v>
      </c>
      <c r="N222" s="1" t="b">
        <f>ISNUMBER(O222)</f>
        <v>1</v>
      </c>
      <c r="O222" s="1">
        <v>46097</v>
      </c>
      <c r="P222" t="s">
        <v>7088</v>
      </c>
      <c r="Q222" t="str">
        <f>SUBSTITUTE(SUBSTITUTE(SUBSTITUTE(P222," ",""),"-",""),"+","")</f>
        <v>00244031517</v>
      </c>
      <c r="R222" t="str">
        <f t="shared" si="6"/>
        <v>0244031517</v>
      </c>
      <c r="S222" t="str">
        <f>IF(LEN(R222),"Valid","Invalid")</f>
        <v>Valid</v>
      </c>
      <c r="T222" t="s">
        <v>7087</v>
      </c>
      <c r="V222" t="s">
        <v>123</v>
      </c>
      <c r="X222">
        <v>20255.560000000001</v>
      </c>
      <c r="Y222" t="s">
        <v>123</v>
      </c>
      <c r="Z222">
        <v>167</v>
      </c>
      <c r="AA222">
        <f t="shared" si="7"/>
        <v>167</v>
      </c>
      <c r="AB222" t="s">
        <v>34</v>
      </c>
    </row>
    <row r="223" spans="1:28" x14ac:dyDescent="0.3">
      <c r="A223" t="s">
        <v>7086</v>
      </c>
      <c r="B223" t="s">
        <v>7085</v>
      </c>
      <c r="C223" t="s">
        <v>7085</v>
      </c>
      <c r="D223" t="s">
        <v>123</v>
      </c>
      <c r="E223">
        <v>59</v>
      </c>
      <c r="F223">
        <v>59</v>
      </c>
      <c r="G223" t="s">
        <v>47</v>
      </c>
      <c r="H223" t="s">
        <v>47</v>
      </c>
      <c r="I223" t="s">
        <v>85</v>
      </c>
      <c r="J223" t="s">
        <v>85</v>
      </c>
      <c r="K223" s="1">
        <v>46065</v>
      </c>
      <c r="L223" s="1" t="str">
        <f>IF(K223&gt;O223,"Valid","Invalid")</f>
        <v>Valid</v>
      </c>
      <c r="M223" s="1" t="b">
        <f>ISNUMBER(K223)</f>
        <v>1</v>
      </c>
      <c r="N223" s="1" t="b">
        <f>ISNUMBER(O223)</f>
        <v>1</v>
      </c>
      <c r="O223" s="1">
        <v>46044</v>
      </c>
      <c r="P223" t="s">
        <v>7084</v>
      </c>
      <c r="Q223" t="str">
        <f>SUBSTITUTE(SUBSTITUTE(SUBSTITUTE(P223," ",""),"-",""),"+","")</f>
        <v>9509495799</v>
      </c>
      <c r="R223" t="str">
        <f t="shared" si="6"/>
        <v>9509495799</v>
      </c>
      <c r="S223" t="str">
        <f>IF(LEN(R223),"Valid","Invalid")</f>
        <v>Valid</v>
      </c>
      <c r="T223" t="s">
        <v>7083</v>
      </c>
      <c r="V223" t="s">
        <v>26</v>
      </c>
      <c r="X223">
        <v>18137.349999999999</v>
      </c>
      <c r="Y223" t="s">
        <v>123</v>
      </c>
      <c r="Z223">
        <v>230</v>
      </c>
      <c r="AA223">
        <f t="shared" si="7"/>
        <v>230</v>
      </c>
      <c r="AB223" t="s">
        <v>50</v>
      </c>
    </row>
    <row r="224" spans="1:28" x14ac:dyDescent="0.3">
      <c r="A224" t="s">
        <v>7082</v>
      </c>
      <c r="B224" t="s">
        <v>7081</v>
      </c>
      <c r="C224" t="s">
        <v>7081</v>
      </c>
      <c r="D224" t="s">
        <v>40</v>
      </c>
      <c r="E224">
        <v>28</v>
      </c>
      <c r="F224">
        <v>28</v>
      </c>
      <c r="G224" t="s">
        <v>80</v>
      </c>
      <c r="H224" t="s">
        <v>80</v>
      </c>
      <c r="I224" t="s">
        <v>46</v>
      </c>
      <c r="J224" t="s">
        <v>46</v>
      </c>
      <c r="K224" s="1">
        <v>46079</v>
      </c>
      <c r="L224" s="1" t="str">
        <f>IF(K224&gt;O224,"Valid","Invalid")</f>
        <v>Valid</v>
      </c>
      <c r="M224" s="1" t="b">
        <f>ISNUMBER(K224)</f>
        <v>1</v>
      </c>
      <c r="N224" s="1" t="b">
        <f>ISNUMBER(O224)</f>
        <v>1</v>
      </c>
      <c r="O224" s="1">
        <v>46066</v>
      </c>
      <c r="P224" t="s">
        <v>7080</v>
      </c>
      <c r="Q224" t="str">
        <f>SUBSTITUTE(SUBSTITUTE(SUBSTITUTE(P224," ",""),"-",""),"+","")</f>
        <v>0968714637</v>
      </c>
      <c r="R224" t="str">
        <f t="shared" si="6"/>
        <v>0968714637</v>
      </c>
      <c r="S224" t="str">
        <f>IF(LEN(R224),"Valid","Invalid")</f>
        <v>Valid</v>
      </c>
      <c r="T224" t="s">
        <v>7079</v>
      </c>
      <c r="V224" t="s">
        <v>57</v>
      </c>
      <c r="X224">
        <v>17569.54</v>
      </c>
      <c r="Y224" t="s">
        <v>27</v>
      </c>
      <c r="Z224">
        <v>135</v>
      </c>
      <c r="AA224">
        <f t="shared" si="7"/>
        <v>135</v>
      </c>
      <c r="AB224" t="s">
        <v>16</v>
      </c>
    </row>
    <row r="225" spans="1:28" x14ac:dyDescent="0.3">
      <c r="A225" t="s">
        <v>7078</v>
      </c>
      <c r="B225" t="s">
        <v>7077</v>
      </c>
      <c r="C225" t="s">
        <v>7077</v>
      </c>
      <c r="D225" t="s">
        <v>40</v>
      </c>
      <c r="E225">
        <v>37</v>
      </c>
      <c r="F225">
        <v>37</v>
      </c>
      <c r="G225" t="s">
        <v>54</v>
      </c>
      <c r="H225" t="s">
        <v>54</v>
      </c>
      <c r="I225" t="s">
        <v>53</v>
      </c>
      <c r="J225" t="s">
        <v>20</v>
      </c>
      <c r="K225" s="1">
        <v>46134</v>
      </c>
      <c r="L225" s="1" t="str">
        <f>IF(K225&gt;O225,"Valid","Invalid")</f>
        <v>Valid</v>
      </c>
      <c r="M225" s="1" t="b">
        <f>ISNUMBER(K225)</f>
        <v>1</v>
      </c>
      <c r="N225" s="1" t="b">
        <f>ISNUMBER(O225)</f>
        <v>1</v>
      </c>
      <c r="O225" s="1">
        <v>46110</v>
      </c>
      <c r="P225" t="s">
        <v>7076</v>
      </c>
      <c r="Q225" t="str">
        <f>SUBSTITUTE(SUBSTITUTE(SUBSTITUTE(P225," ",""),"-",""),"+","")</f>
        <v>1535927611</v>
      </c>
      <c r="R225" t="str">
        <f t="shared" si="6"/>
        <v>1535927611</v>
      </c>
      <c r="S225" t="str">
        <f>IF(LEN(R225),"Valid","Invalid")</f>
        <v>Valid</v>
      </c>
      <c r="T225" t="s">
        <v>7075</v>
      </c>
      <c r="V225" t="s">
        <v>35</v>
      </c>
      <c r="X225">
        <v>19192.53</v>
      </c>
      <c r="Y225" t="s">
        <v>123</v>
      </c>
      <c r="Z225">
        <v>291</v>
      </c>
      <c r="AA225">
        <f t="shared" si="7"/>
        <v>291</v>
      </c>
      <c r="AB225" t="s">
        <v>16</v>
      </c>
    </row>
    <row r="226" spans="1:28" x14ac:dyDescent="0.3">
      <c r="A226" t="s">
        <v>7074</v>
      </c>
      <c r="B226" t="s">
        <v>7073</v>
      </c>
      <c r="C226" t="s">
        <v>7073</v>
      </c>
      <c r="E226">
        <v>49</v>
      </c>
      <c r="F226">
        <v>49</v>
      </c>
      <c r="G226" t="s">
        <v>54</v>
      </c>
      <c r="H226" t="s">
        <v>54</v>
      </c>
      <c r="I226" t="s">
        <v>20</v>
      </c>
      <c r="J226" t="s">
        <v>20</v>
      </c>
      <c r="K226" s="1">
        <v>46012</v>
      </c>
      <c r="L226" s="1" t="str">
        <f>IF(K226&gt;O226,"Valid","Invalid")</f>
        <v>Valid</v>
      </c>
      <c r="M226" s="1" t="b">
        <f>ISNUMBER(K226)</f>
        <v>1</v>
      </c>
      <c r="N226" s="1" t="b">
        <f>ISNUMBER(O226)</f>
        <v>1</v>
      </c>
      <c r="O226" s="1">
        <v>45991</v>
      </c>
      <c r="P226" t="s">
        <v>7072</v>
      </c>
      <c r="Q226" t="str">
        <f>SUBSTITUTE(SUBSTITUTE(SUBSTITUTE(P226," ",""),"-",""),"+","")</f>
        <v>911661373076</v>
      </c>
      <c r="R226" t="str">
        <f t="shared" si="6"/>
        <v>1661373076</v>
      </c>
      <c r="S226" t="str">
        <f>IF(LEN(R226),"Valid","Invalid")</f>
        <v>Valid</v>
      </c>
      <c r="T226" t="s">
        <v>7071</v>
      </c>
      <c r="V226" t="s">
        <v>35</v>
      </c>
      <c r="X226">
        <v>16407.650000000001</v>
      </c>
      <c r="Y226" t="s">
        <v>17</v>
      </c>
      <c r="Z226">
        <v>160</v>
      </c>
      <c r="AA226">
        <f t="shared" si="7"/>
        <v>160</v>
      </c>
      <c r="AB226" t="s">
        <v>71</v>
      </c>
    </row>
    <row r="227" spans="1:28" x14ac:dyDescent="0.3">
      <c r="A227" t="s">
        <v>7070</v>
      </c>
      <c r="B227" t="s">
        <v>7069</v>
      </c>
      <c r="C227" t="s">
        <v>7069</v>
      </c>
      <c r="D227" t="s">
        <v>123</v>
      </c>
      <c r="E227">
        <v>68</v>
      </c>
      <c r="F227">
        <v>68</v>
      </c>
      <c r="G227" t="s">
        <v>39</v>
      </c>
      <c r="H227" t="s">
        <v>39</v>
      </c>
      <c r="I227" t="s">
        <v>38</v>
      </c>
      <c r="J227" t="s">
        <v>8077</v>
      </c>
      <c r="K227" s="1">
        <v>46012</v>
      </c>
      <c r="L227" s="1" t="str">
        <f>IF(K227&gt;O227,"Valid","Invalid")</f>
        <v>Valid</v>
      </c>
      <c r="M227" s="1" t="b">
        <f>ISNUMBER(K227)</f>
        <v>1</v>
      </c>
      <c r="N227" s="1" t="b">
        <f>ISNUMBER(O227)</f>
        <v>1</v>
      </c>
      <c r="O227" s="1">
        <v>45986</v>
      </c>
      <c r="P227" t="s">
        <v>7068</v>
      </c>
      <c r="Q227" t="str">
        <f>SUBSTITUTE(SUBSTITUTE(SUBSTITUTE(P227," ",""),"-",""),"+","")</f>
        <v>3143326922</v>
      </c>
      <c r="R227" t="str">
        <f t="shared" si="6"/>
        <v>3143326922</v>
      </c>
      <c r="S227" t="str">
        <f>IF(LEN(R227),"Valid","Invalid")</f>
        <v>Valid</v>
      </c>
      <c r="T227" t="s">
        <v>7067</v>
      </c>
      <c r="V227" t="s">
        <v>27</v>
      </c>
      <c r="X227">
        <v>18953.25</v>
      </c>
      <c r="Y227" t="s">
        <v>63</v>
      </c>
      <c r="Z227">
        <v>337</v>
      </c>
      <c r="AA227">
        <f t="shared" si="7"/>
        <v>337</v>
      </c>
      <c r="AB227" t="s">
        <v>25</v>
      </c>
    </row>
    <row r="228" spans="1:28" x14ac:dyDescent="0.3">
      <c r="A228" t="s">
        <v>7066</v>
      </c>
      <c r="B228" t="s">
        <v>7065</v>
      </c>
      <c r="C228" t="s">
        <v>7065</v>
      </c>
      <c r="D228" t="s">
        <v>123</v>
      </c>
      <c r="E228">
        <v>69</v>
      </c>
      <c r="F228">
        <v>69</v>
      </c>
      <c r="G228" t="s">
        <v>54</v>
      </c>
      <c r="H228" t="s">
        <v>54</v>
      </c>
      <c r="I228" t="s">
        <v>38</v>
      </c>
      <c r="J228" t="s">
        <v>8077</v>
      </c>
      <c r="K228" s="1">
        <v>46081</v>
      </c>
      <c r="L228" s="1" t="str">
        <f>IF(K228&gt;O228,"Valid","Invalid")</f>
        <v>Valid</v>
      </c>
      <c r="M228" s="1" t="b">
        <f>ISNUMBER(K228)</f>
        <v>1</v>
      </c>
      <c r="N228" s="1" t="b">
        <f>ISNUMBER(O228)</f>
        <v>1</v>
      </c>
      <c r="O228" s="1">
        <v>46074</v>
      </c>
      <c r="P228" t="s">
        <v>7064</v>
      </c>
      <c r="Q228" t="str">
        <f>SUBSTITUTE(SUBSTITUTE(SUBSTITUTE(P228," ",""),"-",""),"+","")</f>
        <v>00326854779</v>
      </c>
      <c r="R228" t="str">
        <f t="shared" si="6"/>
        <v>0326854779</v>
      </c>
      <c r="S228" t="str">
        <f>IF(LEN(R228),"Valid","Invalid")</f>
        <v>Valid</v>
      </c>
      <c r="T228" t="s">
        <v>7063</v>
      </c>
      <c r="V228" t="s">
        <v>123</v>
      </c>
      <c r="X228">
        <v>8784.76</v>
      </c>
      <c r="Y228" t="s">
        <v>63</v>
      </c>
      <c r="Z228">
        <v>196</v>
      </c>
      <c r="AA228">
        <f t="shared" si="7"/>
        <v>196</v>
      </c>
      <c r="AB228" t="s">
        <v>25</v>
      </c>
    </row>
    <row r="229" spans="1:28" x14ac:dyDescent="0.3">
      <c r="A229" t="s">
        <v>7062</v>
      </c>
      <c r="B229" t="s">
        <v>7061</v>
      </c>
      <c r="C229" t="s">
        <v>7061</v>
      </c>
      <c r="D229" t="s">
        <v>74</v>
      </c>
      <c r="E229">
        <v>5</v>
      </c>
      <c r="F229">
        <v>5</v>
      </c>
      <c r="G229" t="s">
        <v>54</v>
      </c>
      <c r="H229" t="s">
        <v>54</v>
      </c>
      <c r="I229" t="s">
        <v>46</v>
      </c>
      <c r="J229" t="s">
        <v>46</v>
      </c>
      <c r="K229" s="1">
        <v>46156</v>
      </c>
      <c r="L229" s="1" t="str">
        <f>IF(K229&gt;O229,"Valid","Invalid")</f>
        <v>Valid</v>
      </c>
      <c r="M229" s="1" t="b">
        <f>ISNUMBER(K229)</f>
        <v>1</v>
      </c>
      <c r="N229" s="1" t="b">
        <f>ISNUMBER(O229)</f>
        <v>1</v>
      </c>
      <c r="O229" s="1">
        <v>46149</v>
      </c>
      <c r="P229" t="s">
        <v>7060</v>
      </c>
      <c r="Q229" t="str">
        <f>SUBSTITUTE(SUBSTITUTE(SUBSTITUTE(P229," ",""),"-",""),"+","")</f>
        <v>917015548881</v>
      </c>
      <c r="R229" t="str">
        <f t="shared" si="6"/>
        <v>7015548881</v>
      </c>
      <c r="S229" t="str">
        <f>IF(LEN(R229),"Valid","Invalid")</f>
        <v>Valid</v>
      </c>
      <c r="T229" t="s">
        <v>7059</v>
      </c>
      <c r="V229" t="s">
        <v>17</v>
      </c>
      <c r="X229">
        <v>1868.81</v>
      </c>
      <c r="Y229" t="s">
        <v>27</v>
      </c>
      <c r="Z229">
        <v>328</v>
      </c>
      <c r="AA229">
        <f t="shared" si="7"/>
        <v>328</v>
      </c>
      <c r="AB229" t="s">
        <v>34</v>
      </c>
    </row>
    <row r="230" spans="1:28" x14ac:dyDescent="0.3">
      <c r="A230" t="s">
        <v>7058</v>
      </c>
      <c r="B230" t="s">
        <v>7057</v>
      </c>
      <c r="C230" t="s">
        <v>7057</v>
      </c>
      <c r="D230" t="s">
        <v>40</v>
      </c>
      <c r="E230">
        <v>32</v>
      </c>
      <c r="F230">
        <v>32</v>
      </c>
      <c r="G230" t="s">
        <v>47</v>
      </c>
      <c r="H230" t="s">
        <v>47</v>
      </c>
      <c r="I230" t="s">
        <v>90</v>
      </c>
      <c r="J230" t="s">
        <v>67</v>
      </c>
      <c r="K230" s="1">
        <v>46126</v>
      </c>
      <c r="L230" s="1" t="str">
        <f>IF(K230&gt;O230,"Valid","Invalid")</f>
        <v>Valid</v>
      </c>
      <c r="M230" s="1" t="b">
        <f>ISNUMBER(K230)</f>
        <v>1</v>
      </c>
      <c r="N230" s="1" t="b">
        <f>ISNUMBER(O230)</f>
        <v>1</v>
      </c>
      <c r="O230" s="1">
        <v>46112</v>
      </c>
      <c r="P230" t="s">
        <v>7056</v>
      </c>
      <c r="Q230" t="str">
        <f>SUBSTITUTE(SUBSTITUTE(SUBSTITUTE(P230," ",""),"-",""),"+","")</f>
        <v>912130584126</v>
      </c>
      <c r="R230" t="str">
        <f t="shared" si="6"/>
        <v>2130584126</v>
      </c>
      <c r="S230" t="str">
        <f>IF(LEN(R230),"Valid","Invalid")</f>
        <v>Valid</v>
      </c>
      <c r="T230" t="s">
        <v>7055</v>
      </c>
      <c r="V230" t="s">
        <v>17</v>
      </c>
      <c r="X230">
        <v>13586.04</v>
      </c>
      <c r="Y230" t="s">
        <v>27</v>
      </c>
      <c r="Z230">
        <v>171</v>
      </c>
      <c r="AA230">
        <f t="shared" si="7"/>
        <v>171</v>
      </c>
      <c r="AB230" t="s">
        <v>34</v>
      </c>
    </row>
    <row r="231" spans="1:28" x14ac:dyDescent="0.3">
      <c r="A231" t="s">
        <v>7054</v>
      </c>
      <c r="B231" t="s">
        <v>7053</v>
      </c>
      <c r="C231" t="s">
        <v>7053</v>
      </c>
      <c r="D231" t="s">
        <v>22</v>
      </c>
      <c r="E231">
        <v>30</v>
      </c>
      <c r="F231">
        <v>30</v>
      </c>
      <c r="G231" t="s">
        <v>31</v>
      </c>
      <c r="H231" t="s">
        <v>31</v>
      </c>
      <c r="I231" t="s">
        <v>67</v>
      </c>
      <c r="J231" t="s">
        <v>67</v>
      </c>
      <c r="K231" s="1">
        <v>46090</v>
      </c>
      <c r="L231" s="1" t="str">
        <f>IF(K231&gt;O231,"Valid","Invalid")</f>
        <v>Valid</v>
      </c>
      <c r="M231" s="1" t="b">
        <f>ISNUMBER(K231)</f>
        <v>1</v>
      </c>
      <c r="N231" s="1" t="b">
        <f>ISNUMBER(O231)</f>
        <v>1</v>
      </c>
      <c r="O231" s="1">
        <v>46083</v>
      </c>
      <c r="P231" t="s">
        <v>7052</v>
      </c>
      <c r="Q231" t="str">
        <f>SUBSTITUTE(SUBSTITUTE(SUBSTITUTE(P231," ",""),"-",""),"+","")</f>
        <v>914053701473</v>
      </c>
      <c r="R231" t="str">
        <f t="shared" si="6"/>
        <v>4053701473</v>
      </c>
      <c r="S231" t="str">
        <f>IF(LEN(R231),"Valid","Invalid")</f>
        <v>Valid</v>
      </c>
      <c r="T231" t="s">
        <v>7051</v>
      </c>
      <c r="V231" t="s">
        <v>26</v>
      </c>
      <c r="X231">
        <v>21931.21</v>
      </c>
      <c r="Y231" t="s">
        <v>57</v>
      </c>
      <c r="Z231">
        <v>311</v>
      </c>
      <c r="AA231">
        <f t="shared" si="7"/>
        <v>311</v>
      </c>
      <c r="AB231" t="s">
        <v>43</v>
      </c>
    </row>
    <row r="232" spans="1:28" x14ac:dyDescent="0.3">
      <c r="A232" t="s">
        <v>7050</v>
      </c>
      <c r="B232" t="s">
        <v>7049</v>
      </c>
      <c r="C232" t="s">
        <v>7049</v>
      </c>
      <c r="D232" t="s">
        <v>22</v>
      </c>
      <c r="E232">
        <v>8</v>
      </c>
      <c r="F232">
        <v>8</v>
      </c>
      <c r="G232" t="s">
        <v>39</v>
      </c>
      <c r="H232" t="s">
        <v>39</v>
      </c>
      <c r="I232" t="s">
        <v>90</v>
      </c>
      <c r="J232" t="s">
        <v>67</v>
      </c>
      <c r="K232" s="1">
        <v>46166</v>
      </c>
      <c r="L232" s="1" t="str">
        <f>IF(K232&gt;O232,"Valid","Invalid")</f>
        <v>Valid</v>
      </c>
      <c r="M232" s="1" t="b">
        <f>ISNUMBER(K232)</f>
        <v>1</v>
      </c>
      <c r="N232" s="1" t="b">
        <f>ISNUMBER(O232)</f>
        <v>1</v>
      </c>
      <c r="O232" s="1">
        <v>46149</v>
      </c>
      <c r="P232" t="s">
        <v>7048</v>
      </c>
      <c r="Q232" t="str">
        <f>SUBSTITUTE(SUBSTITUTE(SUBSTITUTE(P232," ",""),"-",""),"+","")</f>
        <v>04782387945</v>
      </c>
      <c r="R232" t="str">
        <f t="shared" si="6"/>
        <v>4782387945</v>
      </c>
      <c r="S232" t="str">
        <f>IF(LEN(R232),"Valid","Invalid")</f>
        <v>Valid</v>
      </c>
      <c r="T232" t="s">
        <v>7047</v>
      </c>
      <c r="V232" t="s">
        <v>123</v>
      </c>
      <c r="X232">
        <v>1362.73</v>
      </c>
      <c r="Y232" t="s">
        <v>17</v>
      </c>
      <c r="Z232">
        <v>429</v>
      </c>
      <c r="AA232">
        <f t="shared" si="7"/>
        <v>429</v>
      </c>
      <c r="AB232" t="s">
        <v>25</v>
      </c>
    </row>
    <row r="233" spans="1:28" x14ac:dyDescent="0.3">
      <c r="A233" t="s">
        <v>7046</v>
      </c>
      <c r="B233" t="s">
        <v>7045</v>
      </c>
      <c r="C233" t="s">
        <v>7045</v>
      </c>
      <c r="D233" t="s">
        <v>123</v>
      </c>
      <c r="E233">
        <v>68</v>
      </c>
      <c r="F233">
        <v>68</v>
      </c>
      <c r="G233" t="s">
        <v>31</v>
      </c>
      <c r="H233" t="s">
        <v>31</v>
      </c>
      <c r="I233" t="s">
        <v>90</v>
      </c>
      <c r="J233" t="s">
        <v>67</v>
      </c>
      <c r="K233" s="1">
        <v>46013</v>
      </c>
      <c r="L233" s="1" t="str">
        <f>IF(K233&gt;O233,"Valid","Invalid")</f>
        <v>Valid</v>
      </c>
      <c r="M233" s="1" t="b">
        <f>ISNUMBER(K233)</f>
        <v>1</v>
      </c>
      <c r="N233" s="1" t="b">
        <f>ISNUMBER(O233)</f>
        <v>1</v>
      </c>
      <c r="O233" s="1">
        <v>46000</v>
      </c>
      <c r="P233" t="s">
        <v>7044</v>
      </c>
      <c r="Q233" t="str">
        <f>SUBSTITUTE(SUBSTITUTE(SUBSTITUTE(P233," ",""),"-",""),"+","")</f>
        <v>2206165453</v>
      </c>
      <c r="R233" t="str">
        <f t="shared" si="6"/>
        <v>2206165453</v>
      </c>
      <c r="S233" t="str">
        <f>IF(LEN(R233),"Valid","Invalid")</f>
        <v>Valid</v>
      </c>
      <c r="T233" t="s">
        <v>7043</v>
      </c>
      <c r="V233" t="s">
        <v>35</v>
      </c>
      <c r="X233">
        <v>7637.23</v>
      </c>
      <c r="Y233" t="s">
        <v>26</v>
      </c>
      <c r="Z233">
        <v>486</v>
      </c>
      <c r="AA233">
        <f t="shared" si="7"/>
        <v>486</v>
      </c>
      <c r="AB233" t="s">
        <v>34</v>
      </c>
    </row>
    <row r="234" spans="1:28" x14ac:dyDescent="0.3">
      <c r="A234" t="s">
        <v>7042</v>
      </c>
      <c r="B234" t="s">
        <v>7041</v>
      </c>
      <c r="C234" t="s">
        <v>7041</v>
      </c>
      <c r="E234">
        <v>31</v>
      </c>
      <c r="F234">
        <v>31</v>
      </c>
      <c r="G234" t="s">
        <v>1326</v>
      </c>
      <c r="H234" t="s">
        <v>1326</v>
      </c>
      <c r="I234" t="s">
        <v>30</v>
      </c>
      <c r="J234" t="s">
        <v>30</v>
      </c>
      <c r="K234" s="1">
        <v>46006</v>
      </c>
      <c r="L234" s="1" t="str">
        <f>IF(K234&gt;O234,"Valid","Invalid")</f>
        <v>Valid</v>
      </c>
      <c r="M234" s="1" t="b">
        <f>ISNUMBER(K234)</f>
        <v>1</v>
      </c>
      <c r="N234" s="1" t="b">
        <f>ISNUMBER(O234)</f>
        <v>1</v>
      </c>
      <c r="O234" s="1">
        <v>45979</v>
      </c>
      <c r="P234" t="s">
        <v>7040</v>
      </c>
      <c r="Q234" t="str">
        <f>SUBSTITUTE(SUBSTITUTE(SUBSTITUTE(P234," ",""),"-",""),"+","")</f>
        <v>911971366063</v>
      </c>
      <c r="R234" t="str">
        <f t="shared" si="6"/>
        <v>1971366063</v>
      </c>
      <c r="S234" t="str">
        <f>IF(LEN(R234),"Valid","Invalid")</f>
        <v>Valid</v>
      </c>
      <c r="T234" t="s">
        <v>123</v>
      </c>
      <c r="V234" t="s">
        <v>35</v>
      </c>
      <c r="X234">
        <v>20183.25</v>
      </c>
      <c r="Y234" t="s">
        <v>27</v>
      </c>
      <c r="Z234">
        <v>387</v>
      </c>
      <c r="AA234">
        <f t="shared" si="7"/>
        <v>387</v>
      </c>
      <c r="AB234" t="s">
        <v>16</v>
      </c>
    </row>
    <row r="235" spans="1:28" x14ac:dyDescent="0.3">
      <c r="A235" t="s">
        <v>7039</v>
      </c>
      <c r="B235" t="s">
        <v>7038</v>
      </c>
      <c r="C235" t="s">
        <v>7038</v>
      </c>
      <c r="D235" t="s">
        <v>123</v>
      </c>
      <c r="E235">
        <v>72</v>
      </c>
      <c r="F235">
        <v>72</v>
      </c>
      <c r="G235" t="s">
        <v>39</v>
      </c>
      <c r="H235" t="s">
        <v>39</v>
      </c>
      <c r="I235" t="s">
        <v>90</v>
      </c>
      <c r="J235" t="s">
        <v>67</v>
      </c>
      <c r="K235" s="1">
        <v>46059</v>
      </c>
      <c r="L235" s="1" t="str">
        <f>IF(K235&gt;O235,"Valid","Invalid")</f>
        <v>Valid</v>
      </c>
      <c r="M235" s="1" t="b">
        <f>ISNUMBER(K235)</f>
        <v>1</v>
      </c>
      <c r="N235" s="1" t="b">
        <f>ISNUMBER(O235)</f>
        <v>1</v>
      </c>
      <c r="O235" s="1">
        <v>46052</v>
      </c>
      <c r="P235" t="s">
        <v>7037</v>
      </c>
      <c r="Q235" t="str">
        <f>SUBSTITUTE(SUBSTITUTE(SUBSTITUTE(P235," ",""),"-",""),"+","")</f>
        <v>0589055256</v>
      </c>
      <c r="R235" t="str">
        <f t="shared" si="6"/>
        <v>0589055256</v>
      </c>
      <c r="S235" t="str">
        <f>IF(LEN(R235),"Valid","Invalid")</f>
        <v>Valid</v>
      </c>
      <c r="T235" t="s">
        <v>7036</v>
      </c>
      <c r="V235" t="s">
        <v>26</v>
      </c>
      <c r="X235">
        <v>5242.75</v>
      </c>
      <c r="Y235" t="s">
        <v>64</v>
      </c>
      <c r="Z235">
        <v>330</v>
      </c>
      <c r="AA235">
        <f t="shared" si="7"/>
        <v>330</v>
      </c>
      <c r="AB235" t="s">
        <v>50</v>
      </c>
    </row>
    <row r="236" spans="1:28" x14ac:dyDescent="0.3">
      <c r="A236" t="s">
        <v>7035</v>
      </c>
      <c r="B236" t="s">
        <v>7034</v>
      </c>
      <c r="C236" t="s">
        <v>7034</v>
      </c>
      <c r="D236" t="s">
        <v>60</v>
      </c>
      <c r="E236">
        <v>12</v>
      </c>
      <c r="F236">
        <v>12</v>
      </c>
      <c r="G236" t="s">
        <v>21</v>
      </c>
      <c r="H236" t="s">
        <v>21</v>
      </c>
      <c r="I236" t="s">
        <v>46</v>
      </c>
      <c r="J236" t="s">
        <v>46</v>
      </c>
      <c r="K236" s="1">
        <v>46031</v>
      </c>
      <c r="L236" s="1" t="str">
        <f>IF(K236&gt;O236,"Valid","Invalid")</f>
        <v>Valid</v>
      </c>
      <c r="M236" s="1" t="b">
        <f>ISNUMBER(K236)</f>
        <v>1</v>
      </c>
      <c r="N236" s="1" t="b">
        <f>ISNUMBER(O236)</f>
        <v>1</v>
      </c>
      <c r="O236" s="1">
        <v>46023</v>
      </c>
      <c r="P236" t="s">
        <v>7033</v>
      </c>
      <c r="Q236" t="str">
        <f>SUBSTITUTE(SUBSTITUTE(SUBSTITUTE(P236," ",""),"-",""),"+","")</f>
        <v>08944000285</v>
      </c>
      <c r="R236" t="str">
        <f t="shared" si="6"/>
        <v>8944000285</v>
      </c>
      <c r="S236" t="str">
        <f>IF(LEN(R236),"Valid","Invalid")</f>
        <v>Valid</v>
      </c>
      <c r="T236" t="s">
        <v>7032</v>
      </c>
      <c r="V236" t="s">
        <v>123</v>
      </c>
      <c r="X236">
        <v>16907.060000000001</v>
      </c>
      <c r="Y236" t="s">
        <v>27</v>
      </c>
      <c r="Z236">
        <v>547</v>
      </c>
      <c r="AA236">
        <f t="shared" si="7"/>
        <v>547</v>
      </c>
      <c r="AB236" t="s">
        <v>77</v>
      </c>
    </row>
    <row r="237" spans="1:28" x14ac:dyDescent="0.3">
      <c r="A237" t="s">
        <v>7031</v>
      </c>
      <c r="B237" t="s">
        <v>7030</v>
      </c>
      <c r="C237" t="s">
        <v>7030</v>
      </c>
      <c r="D237" t="s">
        <v>1</v>
      </c>
      <c r="E237">
        <v>76</v>
      </c>
      <c r="F237">
        <v>76</v>
      </c>
      <c r="G237" t="s">
        <v>21</v>
      </c>
      <c r="H237" t="s">
        <v>21</v>
      </c>
      <c r="I237" t="s">
        <v>85</v>
      </c>
      <c r="J237" t="s">
        <v>85</v>
      </c>
      <c r="K237" s="1">
        <v>46042</v>
      </c>
      <c r="L237" s="1" t="str">
        <f>IF(K237&gt;O237,"Valid","Invalid")</f>
        <v>Valid</v>
      </c>
      <c r="M237" s="1" t="b">
        <f>ISNUMBER(K237)</f>
        <v>1</v>
      </c>
      <c r="N237" s="1" t="b">
        <f>ISNUMBER(O237)</f>
        <v>1</v>
      </c>
      <c r="O237" s="1">
        <v>46036</v>
      </c>
      <c r="P237" t="s">
        <v>7029</v>
      </c>
      <c r="Q237" t="str">
        <f>SUBSTITUTE(SUBSTITUTE(SUBSTITUTE(P237," ",""),"-",""),"+","")</f>
        <v>913611572481</v>
      </c>
      <c r="R237" t="str">
        <f t="shared" si="6"/>
        <v>3611572481</v>
      </c>
      <c r="S237" t="str">
        <f>IF(LEN(R237),"Valid","Invalid")</f>
        <v>Valid</v>
      </c>
      <c r="T237" t="s">
        <v>7028</v>
      </c>
      <c r="V237" t="s">
        <v>57</v>
      </c>
      <c r="X237">
        <v>7719.06</v>
      </c>
      <c r="Y237" t="s">
        <v>27</v>
      </c>
      <c r="Z237">
        <v>208</v>
      </c>
      <c r="AA237">
        <f t="shared" si="7"/>
        <v>208</v>
      </c>
      <c r="AB237" t="s">
        <v>71</v>
      </c>
    </row>
    <row r="238" spans="1:28" x14ac:dyDescent="0.3">
      <c r="A238" t="s">
        <v>7027</v>
      </c>
      <c r="B238" t="s">
        <v>7026</v>
      </c>
      <c r="C238" t="s">
        <v>7026</v>
      </c>
      <c r="D238" t="s">
        <v>74</v>
      </c>
      <c r="E238">
        <v>62</v>
      </c>
      <c r="F238">
        <v>62</v>
      </c>
      <c r="G238" t="s">
        <v>21</v>
      </c>
      <c r="H238" t="s">
        <v>21</v>
      </c>
      <c r="I238" t="s">
        <v>38</v>
      </c>
      <c r="J238" t="s">
        <v>8077</v>
      </c>
      <c r="K238" s="1">
        <v>46041</v>
      </c>
      <c r="L238" s="1" t="str">
        <f>IF(K238&gt;O238,"Valid","Invalid")</f>
        <v>Valid</v>
      </c>
      <c r="M238" s="1" t="b">
        <f>ISNUMBER(K238)</f>
        <v>1</v>
      </c>
      <c r="N238" s="1" t="b">
        <f>ISNUMBER(O238)</f>
        <v>1</v>
      </c>
      <c r="O238" s="1">
        <v>46029</v>
      </c>
      <c r="P238" t="s">
        <v>7025</v>
      </c>
      <c r="Q238" t="str">
        <f>SUBSTITUTE(SUBSTITUTE(SUBSTITUTE(P238," ",""),"-",""),"+","")</f>
        <v>2573803590</v>
      </c>
      <c r="R238" t="str">
        <f t="shared" si="6"/>
        <v>2573803590</v>
      </c>
      <c r="S238" t="str">
        <f>IF(LEN(R238),"Valid","Invalid")</f>
        <v>Valid</v>
      </c>
      <c r="T238" t="s">
        <v>7024</v>
      </c>
      <c r="V238" t="s">
        <v>17</v>
      </c>
      <c r="X238">
        <v>13891.57</v>
      </c>
      <c r="Y238" t="s">
        <v>63</v>
      </c>
      <c r="Z238">
        <v>294</v>
      </c>
      <c r="AA238">
        <f t="shared" si="7"/>
        <v>294</v>
      </c>
      <c r="AB238" t="s">
        <v>16</v>
      </c>
    </row>
    <row r="239" spans="1:28" x14ac:dyDescent="0.3">
      <c r="A239" t="s">
        <v>7023</v>
      </c>
      <c r="B239" t="s">
        <v>7022</v>
      </c>
      <c r="C239" t="s">
        <v>7022</v>
      </c>
      <c r="D239" t="s">
        <v>60</v>
      </c>
      <c r="E239">
        <v>40</v>
      </c>
      <c r="F239">
        <v>40</v>
      </c>
      <c r="G239" t="s">
        <v>132</v>
      </c>
      <c r="H239" t="s">
        <v>132</v>
      </c>
      <c r="I239" t="s">
        <v>67</v>
      </c>
      <c r="J239" t="s">
        <v>67</v>
      </c>
      <c r="K239" s="1">
        <v>46116</v>
      </c>
      <c r="L239" s="1" t="str">
        <f>IF(K239&gt;O239,"Valid","Invalid")</f>
        <v>Valid</v>
      </c>
      <c r="M239" s="1" t="b">
        <f>ISNUMBER(K239)</f>
        <v>1</v>
      </c>
      <c r="N239" s="1" t="b">
        <f>ISNUMBER(O239)</f>
        <v>1</v>
      </c>
      <c r="O239" s="1">
        <v>46100</v>
      </c>
      <c r="P239" t="s">
        <v>7021</v>
      </c>
      <c r="Q239" t="str">
        <f>SUBSTITUTE(SUBSTITUTE(SUBSTITUTE(P239," ",""),"-",""),"+","")</f>
        <v>917258524941</v>
      </c>
      <c r="R239" t="str">
        <f t="shared" si="6"/>
        <v>7258524941</v>
      </c>
      <c r="S239" t="str">
        <f>IF(LEN(R239),"Valid","Invalid")</f>
        <v>Valid</v>
      </c>
      <c r="T239" t="s">
        <v>7020</v>
      </c>
      <c r="V239" t="s">
        <v>123</v>
      </c>
      <c r="X239">
        <v>11756.9</v>
      </c>
      <c r="Y239" t="s">
        <v>123</v>
      </c>
      <c r="Z239">
        <v>489</v>
      </c>
      <c r="AA239">
        <f t="shared" si="7"/>
        <v>489</v>
      </c>
      <c r="AB239" t="s">
        <v>50</v>
      </c>
    </row>
    <row r="240" spans="1:28" x14ac:dyDescent="0.3">
      <c r="A240" t="s">
        <v>7019</v>
      </c>
      <c r="B240" t="s">
        <v>7018</v>
      </c>
      <c r="C240" t="s">
        <v>7018</v>
      </c>
      <c r="D240" t="s">
        <v>60</v>
      </c>
      <c r="E240">
        <v>27</v>
      </c>
      <c r="F240">
        <v>27</v>
      </c>
      <c r="G240" t="s">
        <v>31</v>
      </c>
      <c r="H240" t="s">
        <v>31</v>
      </c>
      <c r="I240" t="s">
        <v>67</v>
      </c>
      <c r="J240" t="s">
        <v>67</v>
      </c>
      <c r="K240" s="1">
        <v>46130</v>
      </c>
      <c r="L240" s="1" t="str">
        <f>IF(K240&gt;O240,"Valid","Invalid")</f>
        <v>Valid</v>
      </c>
      <c r="M240" s="1" t="b">
        <f>ISNUMBER(K240)</f>
        <v>1</v>
      </c>
      <c r="N240" s="1" t="b">
        <f>ISNUMBER(O240)</f>
        <v>1</v>
      </c>
      <c r="O240" s="1">
        <v>46117</v>
      </c>
      <c r="P240" t="s">
        <v>7017</v>
      </c>
      <c r="Q240" t="str">
        <f>SUBSTITUTE(SUBSTITUTE(SUBSTITUTE(P240," ",""),"-",""),"+","")</f>
        <v>918846625322</v>
      </c>
      <c r="R240" t="str">
        <f t="shared" si="6"/>
        <v>8846625322</v>
      </c>
      <c r="S240" t="str">
        <f>IF(LEN(R240),"Valid","Invalid")</f>
        <v>Valid</v>
      </c>
      <c r="T240" t="s">
        <v>7016</v>
      </c>
      <c r="V240" t="s">
        <v>27</v>
      </c>
      <c r="X240">
        <v>14150.61</v>
      </c>
      <c r="Y240" t="s">
        <v>57</v>
      </c>
      <c r="Z240">
        <v>479</v>
      </c>
      <c r="AA240">
        <f t="shared" si="7"/>
        <v>479</v>
      </c>
      <c r="AB240" t="s">
        <v>71</v>
      </c>
    </row>
    <row r="241" spans="1:28" x14ac:dyDescent="0.3">
      <c r="A241" t="s">
        <v>7015</v>
      </c>
      <c r="B241" t="s">
        <v>7014</v>
      </c>
      <c r="C241" t="s">
        <v>8038</v>
      </c>
      <c r="D241" t="s">
        <v>40</v>
      </c>
      <c r="E241">
        <v>34</v>
      </c>
      <c r="F241">
        <v>34</v>
      </c>
      <c r="G241" t="s">
        <v>54</v>
      </c>
      <c r="H241" t="s">
        <v>54</v>
      </c>
      <c r="I241" t="s">
        <v>30</v>
      </c>
      <c r="J241" t="s">
        <v>30</v>
      </c>
      <c r="K241" s="1">
        <v>46069</v>
      </c>
      <c r="L241" s="1" t="str">
        <f>IF(K241&gt;O241,"Valid","Invalid")</f>
        <v>Valid</v>
      </c>
      <c r="M241" s="1" t="b">
        <f>ISNUMBER(K241)</f>
        <v>1</v>
      </c>
      <c r="N241" s="1" t="b">
        <f>ISNUMBER(O241)</f>
        <v>1</v>
      </c>
      <c r="O241" s="1">
        <v>46065</v>
      </c>
      <c r="P241" t="s">
        <v>7013</v>
      </c>
      <c r="Q241" t="str">
        <f>SUBSTITUTE(SUBSTITUTE(SUBSTITUTE(P241," ",""),"-",""),"+","")</f>
        <v>913837924185</v>
      </c>
      <c r="R241" t="str">
        <f t="shared" si="6"/>
        <v>3837924185</v>
      </c>
      <c r="S241" t="str">
        <f>IF(LEN(R241),"Valid","Invalid")</f>
        <v>Valid</v>
      </c>
      <c r="T241" t="s">
        <v>7012</v>
      </c>
      <c r="V241" t="s">
        <v>17</v>
      </c>
      <c r="X241">
        <v>8380.66</v>
      </c>
      <c r="Y241" t="s">
        <v>123</v>
      </c>
      <c r="Z241">
        <v>391</v>
      </c>
      <c r="AA241">
        <f t="shared" si="7"/>
        <v>391</v>
      </c>
      <c r="AB241" t="s">
        <v>50</v>
      </c>
    </row>
    <row r="242" spans="1:28" x14ac:dyDescent="0.3">
      <c r="A242" t="s">
        <v>7011</v>
      </c>
      <c r="B242" t="s">
        <v>7010</v>
      </c>
      <c r="C242" t="s">
        <v>7010</v>
      </c>
      <c r="D242" t="s">
        <v>1</v>
      </c>
      <c r="E242">
        <v>64</v>
      </c>
      <c r="F242">
        <v>64</v>
      </c>
      <c r="G242" t="s">
        <v>31</v>
      </c>
      <c r="H242" t="s">
        <v>31</v>
      </c>
      <c r="I242" t="s">
        <v>30</v>
      </c>
      <c r="J242" t="s">
        <v>30</v>
      </c>
      <c r="K242" s="1">
        <v>46132</v>
      </c>
      <c r="L242" s="1" t="str">
        <f>IF(K242&gt;O242,"Valid","Invalid")</f>
        <v>Valid</v>
      </c>
      <c r="M242" s="1" t="b">
        <f>ISNUMBER(K242)</f>
        <v>1</v>
      </c>
      <c r="N242" s="1" t="b">
        <f>ISNUMBER(O242)</f>
        <v>1</v>
      </c>
      <c r="O242" s="1">
        <v>46108</v>
      </c>
      <c r="P242" t="s">
        <v>7009</v>
      </c>
      <c r="Q242" t="str">
        <f>SUBSTITUTE(SUBSTITUTE(SUBSTITUTE(P242," ",""),"-",""),"+","")</f>
        <v>06659863208</v>
      </c>
      <c r="R242" t="str">
        <f t="shared" si="6"/>
        <v>6659863208</v>
      </c>
      <c r="S242" t="str">
        <f>IF(LEN(R242),"Valid","Invalid")</f>
        <v>Valid</v>
      </c>
      <c r="T242" t="s">
        <v>7008</v>
      </c>
      <c r="V242" t="s">
        <v>123</v>
      </c>
      <c r="X242">
        <v>24169.41</v>
      </c>
      <c r="Y242" t="s">
        <v>123</v>
      </c>
      <c r="Z242">
        <v>335</v>
      </c>
      <c r="AA242">
        <f t="shared" si="7"/>
        <v>335</v>
      </c>
      <c r="AB242" t="s">
        <v>71</v>
      </c>
    </row>
    <row r="243" spans="1:28" x14ac:dyDescent="0.3">
      <c r="A243" t="s">
        <v>7007</v>
      </c>
      <c r="B243" t="s">
        <v>7006</v>
      </c>
      <c r="C243" t="s">
        <v>7006</v>
      </c>
      <c r="D243" t="s">
        <v>60</v>
      </c>
      <c r="E243">
        <v>22</v>
      </c>
      <c r="F243">
        <v>22</v>
      </c>
      <c r="G243" t="s">
        <v>39</v>
      </c>
      <c r="H243" t="s">
        <v>39</v>
      </c>
      <c r="I243" t="s">
        <v>85</v>
      </c>
      <c r="J243" t="s">
        <v>85</v>
      </c>
      <c r="K243" s="1">
        <v>46077</v>
      </c>
      <c r="L243" s="1" t="str">
        <f>IF(K243&gt;O243,"Valid","Invalid")</f>
        <v>Valid</v>
      </c>
      <c r="M243" s="1" t="b">
        <f>ISNUMBER(K243)</f>
        <v>1</v>
      </c>
      <c r="N243" s="1" t="b">
        <f>ISNUMBER(O243)</f>
        <v>1</v>
      </c>
      <c r="O243" s="1">
        <v>46072</v>
      </c>
      <c r="P243" t="s">
        <v>7005</v>
      </c>
      <c r="Q243" t="str">
        <f>SUBSTITUTE(SUBSTITUTE(SUBSTITUTE(P243," ",""),"-",""),"+","")</f>
        <v>910857827511</v>
      </c>
      <c r="R243" t="str">
        <f t="shared" si="6"/>
        <v>0857827511</v>
      </c>
      <c r="S243" t="str">
        <f>IF(LEN(R243),"Valid","Invalid")</f>
        <v>Valid</v>
      </c>
      <c r="T243" t="s">
        <v>7004</v>
      </c>
      <c r="V243" t="s">
        <v>27</v>
      </c>
      <c r="X243">
        <v>13193.82</v>
      </c>
      <c r="Y243" t="s">
        <v>64</v>
      </c>
      <c r="Z243">
        <v>518</v>
      </c>
      <c r="AA243">
        <f t="shared" si="7"/>
        <v>518</v>
      </c>
      <c r="AB243" t="s">
        <v>25</v>
      </c>
    </row>
    <row r="244" spans="1:28" x14ac:dyDescent="0.3">
      <c r="A244" t="s">
        <v>7003</v>
      </c>
      <c r="B244" t="s">
        <v>7002</v>
      </c>
      <c r="C244" t="s">
        <v>7002</v>
      </c>
      <c r="D244" t="s">
        <v>40</v>
      </c>
      <c r="E244">
        <v>1</v>
      </c>
      <c r="F244">
        <v>1</v>
      </c>
      <c r="G244" t="s">
        <v>54</v>
      </c>
      <c r="H244" t="s">
        <v>54</v>
      </c>
      <c r="I244" t="s">
        <v>53</v>
      </c>
      <c r="J244" t="s">
        <v>20</v>
      </c>
      <c r="K244" s="1">
        <v>46102</v>
      </c>
      <c r="L244" s="1" t="str">
        <f>IF(K244&gt;O244,"Valid","Invalid")</f>
        <v>Valid</v>
      </c>
      <c r="M244" s="1" t="b">
        <f>ISNUMBER(K244)</f>
        <v>1</v>
      </c>
      <c r="N244" s="1" t="b">
        <f>ISNUMBER(O244)</f>
        <v>1</v>
      </c>
      <c r="O244" s="1">
        <v>46076</v>
      </c>
      <c r="P244" t="s">
        <v>7001</v>
      </c>
      <c r="Q244" t="str">
        <f>SUBSTITUTE(SUBSTITUTE(SUBSTITUTE(P244," ",""),"-",""),"+","")</f>
        <v>02467172791</v>
      </c>
      <c r="R244" t="str">
        <f t="shared" si="6"/>
        <v>2467172791</v>
      </c>
      <c r="S244" t="str">
        <f>IF(LEN(R244),"Valid","Invalid")</f>
        <v>Valid</v>
      </c>
      <c r="T244" t="s">
        <v>7000</v>
      </c>
      <c r="V244" t="s">
        <v>17</v>
      </c>
      <c r="X244">
        <v>1885.6</v>
      </c>
      <c r="Y244" t="s">
        <v>26</v>
      </c>
      <c r="Z244">
        <v>104</v>
      </c>
      <c r="AA244">
        <f t="shared" si="7"/>
        <v>104</v>
      </c>
      <c r="AB244" t="s">
        <v>71</v>
      </c>
    </row>
    <row r="245" spans="1:28" x14ac:dyDescent="0.3">
      <c r="A245" t="s">
        <v>6999</v>
      </c>
      <c r="B245" t="s">
        <v>6998</v>
      </c>
      <c r="C245" t="s">
        <v>6998</v>
      </c>
      <c r="E245">
        <v>48</v>
      </c>
      <c r="F245">
        <v>48</v>
      </c>
      <c r="G245" t="s">
        <v>47</v>
      </c>
      <c r="H245" t="s">
        <v>47</v>
      </c>
      <c r="I245" t="s">
        <v>85</v>
      </c>
      <c r="J245" t="s">
        <v>85</v>
      </c>
      <c r="K245" s="1">
        <v>46075</v>
      </c>
      <c r="L245" s="1" t="str">
        <f>IF(K245&gt;O245,"Valid","Invalid")</f>
        <v>Valid</v>
      </c>
      <c r="M245" s="1" t="b">
        <f>ISNUMBER(K245)</f>
        <v>1</v>
      </c>
      <c r="N245" s="1" t="b">
        <f>ISNUMBER(O245)</f>
        <v>1</v>
      </c>
      <c r="O245" s="1">
        <v>46054</v>
      </c>
      <c r="P245" t="s">
        <v>6997</v>
      </c>
      <c r="Q245" t="str">
        <f>SUBSTITUTE(SUBSTITUTE(SUBSTITUTE(P245," ",""),"-",""),"+","")</f>
        <v>07421451056</v>
      </c>
      <c r="R245" t="str">
        <f t="shared" si="6"/>
        <v>7421451056</v>
      </c>
      <c r="S245" t="str">
        <f>IF(LEN(R245),"Valid","Invalid")</f>
        <v>Valid</v>
      </c>
      <c r="T245" t="s">
        <v>6996</v>
      </c>
      <c r="V245" t="s">
        <v>123</v>
      </c>
      <c r="X245">
        <v>590.15</v>
      </c>
      <c r="Y245" t="s">
        <v>123</v>
      </c>
      <c r="Z245">
        <v>106</v>
      </c>
      <c r="AA245">
        <f t="shared" si="7"/>
        <v>106</v>
      </c>
      <c r="AB245" t="s">
        <v>77</v>
      </c>
    </row>
    <row r="246" spans="1:28" x14ac:dyDescent="0.3">
      <c r="A246" t="s">
        <v>6995</v>
      </c>
      <c r="B246" t="s">
        <v>6994</v>
      </c>
      <c r="C246" t="s">
        <v>6994</v>
      </c>
      <c r="D246" t="s">
        <v>22</v>
      </c>
      <c r="E246">
        <v>69</v>
      </c>
      <c r="F246">
        <v>69</v>
      </c>
      <c r="G246" t="s">
        <v>132</v>
      </c>
      <c r="H246" t="s">
        <v>132</v>
      </c>
      <c r="I246" t="s">
        <v>46</v>
      </c>
      <c r="J246" t="s">
        <v>46</v>
      </c>
      <c r="K246" s="1">
        <v>46093</v>
      </c>
      <c r="L246" s="1" t="str">
        <f>IF(K246&gt;O246,"Valid","Invalid")</f>
        <v>Valid</v>
      </c>
      <c r="M246" s="1" t="b">
        <f>ISNUMBER(K246)</f>
        <v>1</v>
      </c>
      <c r="N246" s="1" t="b">
        <f>ISNUMBER(O246)</f>
        <v>1</v>
      </c>
      <c r="O246" s="1">
        <v>46077</v>
      </c>
      <c r="P246" t="s">
        <v>6993</v>
      </c>
      <c r="Q246" t="str">
        <f>SUBSTITUTE(SUBSTITUTE(SUBSTITUTE(P246," ",""),"-",""),"+","")</f>
        <v>01523066503</v>
      </c>
      <c r="R246" t="str">
        <f t="shared" si="6"/>
        <v>1523066503</v>
      </c>
      <c r="S246" t="str">
        <f>IF(LEN(R246),"Valid","Invalid")</f>
        <v>Valid</v>
      </c>
      <c r="T246" t="s">
        <v>6992</v>
      </c>
      <c r="V246" t="s">
        <v>123</v>
      </c>
      <c r="X246">
        <v>20192.96</v>
      </c>
      <c r="Y246" t="s">
        <v>26</v>
      </c>
      <c r="Z246">
        <v>154</v>
      </c>
      <c r="AA246">
        <f t="shared" si="7"/>
        <v>154</v>
      </c>
      <c r="AB246" t="s">
        <v>77</v>
      </c>
    </row>
    <row r="247" spans="1:28" x14ac:dyDescent="0.3">
      <c r="A247" t="s">
        <v>6991</v>
      </c>
      <c r="B247" t="s">
        <v>6990</v>
      </c>
      <c r="C247" t="s">
        <v>6990</v>
      </c>
      <c r="D247" t="s">
        <v>0</v>
      </c>
      <c r="E247">
        <v>31</v>
      </c>
      <c r="F247">
        <v>31</v>
      </c>
      <c r="G247" t="s">
        <v>21</v>
      </c>
      <c r="H247" t="s">
        <v>21</v>
      </c>
      <c r="I247" t="s">
        <v>30</v>
      </c>
      <c r="J247" t="s">
        <v>30</v>
      </c>
      <c r="K247" s="1">
        <v>46021</v>
      </c>
      <c r="L247" s="1" t="str">
        <f>IF(K247&gt;O247,"Valid","Invalid")</f>
        <v>Valid</v>
      </c>
      <c r="M247" s="1" t="b">
        <f>ISNUMBER(K247)</f>
        <v>1</v>
      </c>
      <c r="N247" s="1" t="b">
        <f>ISNUMBER(O247)</f>
        <v>1</v>
      </c>
      <c r="O247" s="1">
        <v>45995</v>
      </c>
      <c r="P247" t="s">
        <v>6989</v>
      </c>
      <c r="Q247" t="str">
        <f>SUBSTITUTE(SUBSTITUTE(SUBSTITUTE(P247," ",""),"-",""),"+","")</f>
        <v>919237452453</v>
      </c>
      <c r="R247" t="str">
        <f t="shared" si="6"/>
        <v>9237452453</v>
      </c>
      <c r="S247" t="str">
        <f>IF(LEN(R247),"Valid","Invalid")</f>
        <v>Valid</v>
      </c>
      <c r="T247" t="s">
        <v>6988</v>
      </c>
      <c r="V247" t="s">
        <v>57</v>
      </c>
      <c r="X247">
        <v>6829.65</v>
      </c>
      <c r="Y247" t="s">
        <v>123</v>
      </c>
      <c r="Z247">
        <v>140</v>
      </c>
      <c r="AA247">
        <f t="shared" si="7"/>
        <v>140</v>
      </c>
      <c r="AB247" t="s">
        <v>43</v>
      </c>
    </row>
    <row r="248" spans="1:28" x14ac:dyDescent="0.3">
      <c r="A248" t="s">
        <v>6987</v>
      </c>
      <c r="B248" t="s">
        <v>6986</v>
      </c>
      <c r="C248" t="s">
        <v>6986</v>
      </c>
      <c r="D248" t="s">
        <v>123</v>
      </c>
      <c r="E248">
        <v>59</v>
      </c>
      <c r="F248">
        <v>59</v>
      </c>
      <c r="G248" t="s">
        <v>21</v>
      </c>
      <c r="H248" t="s">
        <v>21</v>
      </c>
      <c r="I248" t="s">
        <v>38</v>
      </c>
      <c r="J248" t="s">
        <v>8077</v>
      </c>
      <c r="K248" s="1">
        <v>46058</v>
      </c>
      <c r="L248" s="1" t="str">
        <f>IF(K248&gt;O248,"Valid","Invalid")</f>
        <v>Valid</v>
      </c>
      <c r="M248" s="1" t="b">
        <f>ISNUMBER(K248)</f>
        <v>1</v>
      </c>
      <c r="N248" s="1" t="b">
        <f>ISNUMBER(O248)</f>
        <v>1</v>
      </c>
      <c r="O248" s="1">
        <v>46049</v>
      </c>
      <c r="P248" t="s">
        <v>6985</v>
      </c>
      <c r="Q248" t="str">
        <f>SUBSTITUTE(SUBSTITUTE(SUBSTITUTE(P248," ",""),"-",""),"+","")</f>
        <v>912888492759</v>
      </c>
      <c r="R248" t="str">
        <f t="shared" si="6"/>
        <v>2888492759</v>
      </c>
      <c r="S248" t="str">
        <f>IF(LEN(R248),"Valid","Invalid")</f>
        <v>Valid</v>
      </c>
      <c r="T248" t="s">
        <v>6984</v>
      </c>
      <c r="V248" t="s">
        <v>64</v>
      </c>
      <c r="X248">
        <v>16412.650000000001</v>
      </c>
      <c r="Y248" t="s">
        <v>27</v>
      </c>
      <c r="Z248">
        <v>147</v>
      </c>
      <c r="AA248">
        <f t="shared" si="7"/>
        <v>147</v>
      </c>
      <c r="AB248" t="s">
        <v>16</v>
      </c>
    </row>
    <row r="249" spans="1:28" x14ac:dyDescent="0.3">
      <c r="A249" t="s">
        <v>6983</v>
      </c>
      <c r="B249" t="s">
        <v>6982</v>
      </c>
      <c r="C249" t="s">
        <v>6982</v>
      </c>
      <c r="D249" t="s">
        <v>123</v>
      </c>
      <c r="E249">
        <v>49</v>
      </c>
      <c r="F249">
        <v>49</v>
      </c>
      <c r="G249" t="s">
        <v>68</v>
      </c>
      <c r="H249" t="s">
        <v>68</v>
      </c>
      <c r="I249" t="s">
        <v>46</v>
      </c>
      <c r="J249" t="s">
        <v>46</v>
      </c>
      <c r="K249" s="1">
        <v>46076</v>
      </c>
      <c r="L249" s="1" t="str">
        <f>IF(K249&gt;O249,"Valid","Invalid")</f>
        <v>Valid</v>
      </c>
      <c r="M249" s="1" t="b">
        <f>ISNUMBER(K249)</f>
        <v>1</v>
      </c>
      <c r="N249" s="1" t="b">
        <f>ISNUMBER(O249)</f>
        <v>1</v>
      </c>
      <c r="O249" s="1">
        <v>46056</v>
      </c>
      <c r="P249" t="s">
        <v>6981</v>
      </c>
      <c r="Q249" t="str">
        <f>SUBSTITUTE(SUBSTITUTE(SUBSTITUTE(P249," ",""),"-",""),"+","")</f>
        <v>8319683054</v>
      </c>
      <c r="R249" t="str">
        <f t="shared" si="6"/>
        <v>8319683054</v>
      </c>
      <c r="S249" t="str">
        <f>IF(LEN(R249),"Valid","Invalid")</f>
        <v>Valid</v>
      </c>
      <c r="T249" t="s">
        <v>6980</v>
      </c>
      <c r="V249" t="s">
        <v>27</v>
      </c>
      <c r="X249">
        <v>17630.560000000001</v>
      </c>
      <c r="Y249" t="s">
        <v>64</v>
      </c>
      <c r="Z249">
        <v>355</v>
      </c>
      <c r="AA249">
        <f t="shared" si="7"/>
        <v>355</v>
      </c>
      <c r="AB249" t="s">
        <v>50</v>
      </c>
    </row>
    <row r="250" spans="1:28" x14ac:dyDescent="0.3">
      <c r="A250" t="s">
        <v>6979</v>
      </c>
      <c r="B250" t="s">
        <v>6978</v>
      </c>
      <c r="C250" t="s">
        <v>6978</v>
      </c>
      <c r="D250" t="s">
        <v>123</v>
      </c>
      <c r="E250">
        <v>83</v>
      </c>
      <c r="F250">
        <v>83</v>
      </c>
      <c r="G250" t="s">
        <v>31</v>
      </c>
      <c r="H250" t="s">
        <v>31</v>
      </c>
      <c r="I250" t="s">
        <v>20</v>
      </c>
      <c r="J250" t="s">
        <v>20</v>
      </c>
      <c r="K250" s="1">
        <v>46090</v>
      </c>
      <c r="L250" s="1" t="str">
        <f>IF(K250&gt;O250,"Valid","Invalid")</f>
        <v>Valid</v>
      </c>
      <c r="M250" s="1" t="b">
        <f>ISNUMBER(K250)</f>
        <v>1</v>
      </c>
      <c r="N250" s="1" t="b">
        <f>ISNUMBER(O250)</f>
        <v>1</v>
      </c>
      <c r="O250" s="1">
        <v>46062</v>
      </c>
      <c r="P250" t="s">
        <v>6977</v>
      </c>
      <c r="Q250" t="str">
        <f>SUBSTITUTE(SUBSTITUTE(SUBSTITUTE(P250," ",""),"-",""),"+","")</f>
        <v>03309469965</v>
      </c>
      <c r="R250" t="str">
        <f t="shared" si="6"/>
        <v>3309469965</v>
      </c>
      <c r="S250" t="str">
        <f>IF(LEN(R250),"Valid","Invalid")</f>
        <v>Valid</v>
      </c>
      <c r="T250" t="s">
        <v>6976</v>
      </c>
      <c r="V250" t="s">
        <v>27</v>
      </c>
      <c r="X250">
        <v>5898.21</v>
      </c>
      <c r="Y250" t="s">
        <v>123</v>
      </c>
      <c r="Z250">
        <v>238</v>
      </c>
      <c r="AA250">
        <f t="shared" si="7"/>
        <v>238</v>
      </c>
      <c r="AB250" t="s">
        <v>77</v>
      </c>
    </row>
    <row r="251" spans="1:28" x14ac:dyDescent="0.3">
      <c r="A251" t="s">
        <v>6975</v>
      </c>
      <c r="B251" t="s">
        <v>6974</v>
      </c>
      <c r="C251" t="s">
        <v>6974</v>
      </c>
      <c r="D251" t="s">
        <v>74</v>
      </c>
      <c r="E251">
        <v>88</v>
      </c>
      <c r="F251">
        <v>88</v>
      </c>
      <c r="G251" t="s">
        <v>132</v>
      </c>
      <c r="H251" t="s">
        <v>132</v>
      </c>
      <c r="I251" t="s">
        <v>46</v>
      </c>
      <c r="J251" t="s">
        <v>46</v>
      </c>
      <c r="K251" s="1">
        <v>46075</v>
      </c>
      <c r="L251" s="1" t="str">
        <f>IF(K251&gt;O251,"Valid","Invalid")</f>
        <v>Valid</v>
      </c>
      <c r="M251" s="1" t="b">
        <f>ISNUMBER(K251)</f>
        <v>1</v>
      </c>
      <c r="N251" s="1" t="b">
        <f>ISNUMBER(O251)</f>
        <v>1</v>
      </c>
      <c r="O251" s="1">
        <v>46070</v>
      </c>
      <c r="P251" t="s">
        <v>6973</v>
      </c>
      <c r="Q251" t="str">
        <f>SUBSTITUTE(SUBSTITUTE(SUBSTITUTE(P251," ",""),"-",""),"+","")</f>
        <v>912647025198</v>
      </c>
      <c r="R251" t="str">
        <f t="shared" si="6"/>
        <v>2647025198</v>
      </c>
      <c r="S251" t="str">
        <f>IF(LEN(R251),"Valid","Invalid")</f>
        <v>Valid</v>
      </c>
      <c r="T251" t="s">
        <v>6972</v>
      </c>
      <c r="V251" t="s">
        <v>57</v>
      </c>
      <c r="X251">
        <v>588.32000000000005</v>
      </c>
      <c r="Y251" t="s">
        <v>57</v>
      </c>
      <c r="Z251">
        <v>400</v>
      </c>
      <c r="AA251">
        <f t="shared" si="7"/>
        <v>400</v>
      </c>
      <c r="AB251" t="s">
        <v>71</v>
      </c>
    </row>
    <row r="252" spans="1:28" x14ac:dyDescent="0.3">
      <c r="A252" t="s">
        <v>6971</v>
      </c>
      <c r="B252" t="s">
        <v>6970</v>
      </c>
      <c r="C252" t="s">
        <v>6970</v>
      </c>
      <c r="D252" t="s">
        <v>123</v>
      </c>
      <c r="E252">
        <v>10</v>
      </c>
      <c r="F252">
        <v>10</v>
      </c>
      <c r="G252" t="s">
        <v>132</v>
      </c>
      <c r="H252" t="s">
        <v>132</v>
      </c>
      <c r="I252" t="s">
        <v>53</v>
      </c>
      <c r="J252" t="s">
        <v>20</v>
      </c>
      <c r="K252" s="1">
        <v>46060</v>
      </c>
      <c r="L252" s="1" t="str">
        <f>IF(K252&gt;O252,"Valid","Invalid")</f>
        <v>Valid</v>
      </c>
      <c r="M252" s="1" t="b">
        <f>ISNUMBER(K252)</f>
        <v>1</v>
      </c>
      <c r="N252" s="1" t="b">
        <f>ISNUMBER(O252)</f>
        <v>1</v>
      </c>
      <c r="O252" s="1">
        <v>46042</v>
      </c>
      <c r="P252" t="s">
        <v>6969</v>
      </c>
      <c r="Q252" t="str">
        <f>SUBSTITUTE(SUBSTITUTE(SUBSTITUTE(P252," ",""),"-",""),"+","")</f>
        <v>8718598510</v>
      </c>
      <c r="R252" t="str">
        <f t="shared" si="6"/>
        <v>8718598510</v>
      </c>
      <c r="S252" t="str">
        <f>IF(LEN(R252),"Valid","Invalid")</f>
        <v>Valid</v>
      </c>
      <c r="T252" t="s">
        <v>6968</v>
      </c>
      <c r="V252" t="s">
        <v>17</v>
      </c>
      <c r="X252">
        <v>14254.06</v>
      </c>
      <c r="Y252" t="s">
        <v>123</v>
      </c>
      <c r="Z252">
        <v>446</v>
      </c>
      <c r="AA252">
        <f t="shared" si="7"/>
        <v>446</v>
      </c>
      <c r="AB252" t="s">
        <v>34</v>
      </c>
    </row>
    <row r="253" spans="1:28" x14ac:dyDescent="0.3">
      <c r="A253" t="s">
        <v>6967</v>
      </c>
      <c r="B253" t="s">
        <v>6966</v>
      </c>
      <c r="C253" t="s">
        <v>6966</v>
      </c>
      <c r="D253" t="s">
        <v>60</v>
      </c>
      <c r="E253">
        <v>50</v>
      </c>
      <c r="F253">
        <v>50</v>
      </c>
      <c r="G253" t="s">
        <v>39</v>
      </c>
      <c r="H253" t="s">
        <v>39</v>
      </c>
      <c r="I253" t="s">
        <v>20</v>
      </c>
      <c r="J253" t="s">
        <v>20</v>
      </c>
      <c r="K253" s="1">
        <v>46042</v>
      </c>
      <c r="L253" s="1" t="str">
        <f>IF(K253&gt;O253,"Valid","Invalid")</f>
        <v>Valid</v>
      </c>
      <c r="M253" s="1" t="b">
        <f>ISNUMBER(K253)</f>
        <v>1</v>
      </c>
      <c r="N253" s="1" t="b">
        <f>ISNUMBER(O253)</f>
        <v>1</v>
      </c>
      <c r="O253" s="1">
        <v>46026</v>
      </c>
      <c r="P253" t="s">
        <v>6965</v>
      </c>
      <c r="Q253" t="str">
        <f>SUBSTITUTE(SUBSTITUTE(SUBSTITUTE(P253," ",""),"-",""),"+","")</f>
        <v>8793407308</v>
      </c>
      <c r="R253" t="str">
        <f t="shared" si="6"/>
        <v>8793407308</v>
      </c>
      <c r="S253" t="str">
        <f>IF(LEN(R253),"Valid","Invalid")</f>
        <v>Valid</v>
      </c>
      <c r="T253" t="s">
        <v>6964</v>
      </c>
      <c r="V253" t="s">
        <v>57</v>
      </c>
      <c r="X253">
        <v>1531.67</v>
      </c>
      <c r="Y253" t="s">
        <v>123</v>
      </c>
      <c r="Z253">
        <v>218</v>
      </c>
      <c r="AA253">
        <f t="shared" si="7"/>
        <v>218</v>
      </c>
      <c r="AB253" t="s">
        <v>50</v>
      </c>
    </row>
    <row r="254" spans="1:28" x14ac:dyDescent="0.3">
      <c r="A254" t="s">
        <v>6959</v>
      </c>
      <c r="B254" t="s">
        <v>6958</v>
      </c>
      <c r="C254" t="s">
        <v>6958</v>
      </c>
      <c r="D254" t="s">
        <v>60</v>
      </c>
      <c r="E254">
        <v>71</v>
      </c>
      <c r="F254">
        <v>71</v>
      </c>
      <c r="G254" t="s">
        <v>54</v>
      </c>
      <c r="H254" t="s">
        <v>54</v>
      </c>
      <c r="I254" t="s">
        <v>90</v>
      </c>
      <c r="J254" t="s">
        <v>67</v>
      </c>
      <c r="K254" s="1">
        <v>46034</v>
      </c>
      <c r="L254" s="1" t="str">
        <f>IF(K254&gt;O254,"Valid","Invalid")</f>
        <v>Valid</v>
      </c>
      <c r="M254" s="1" t="b">
        <f>ISNUMBER(K254)</f>
        <v>1</v>
      </c>
      <c r="N254" s="1" t="b">
        <f>ISNUMBER(O254)</f>
        <v>1</v>
      </c>
      <c r="O254" s="1">
        <v>46029</v>
      </c>
      <c r="P254" t="s">
        <v>6957</v>
      </c>
      <c r="Q254" t="str">
        <f>SUBSTITUTE(SUBSTITUTE(SUBSTITUTE(P254," ",""),"-",""),"+","")</f>
        <v>914984337412</v>
      </c>
      <c r="R254" t="str">
        <f t="shared" si="6"/>
        <v>4984337412</v>
      </c>
      <c r="S254" t="str">
        <f>IF(LEN(R254),"Valid","Invalid")</f>
        <v>Valid</v>
      </c>
      <c r="T254" t="s">
        <v>6956</v>
      </c>
      <c r="V254" t="s">
        <v>123</v>
      </c>
      <c r="X254">
        <v>2325.21</v>
      </c>
      <c r="Y254" t="s">
        <v>63</v>
      </c>
      <c r="Z254">
        <v>508</v>
      </c>
      <c r="AA254">
        <f t="shared" si="7"/>
        <v>508</v>
      </c>
      <c r="AB254" t="s">
        <v>71</v>
      </c>
    </row>
    <row r="255" spans="1:28" x14ac:dyDescent="0.3">
      <c r="A255" t="s">
        <v>6955</v>
      </c>
      <c r="B255" t="s">
        <v>6954</v>
      </c>
      <c r="C255" t="s">
        <v>6954</v>
      </c>
      <c r="D255" t="s">
        <v>74</v>
      </c>
      <c r="E255">
        <v>11</v>
      </c>
      <c r="F255">
        <v>11</v>
      </c>
      <c r="G255" t="s">
        <v>132</v>
      </c>
      <c r="H255" t="s">
        <v>132</v>
      </c>
      <c r="I255" t="s">
        <v>53</v>
      </c>
      <c r="J255" t="s">
        <v>20</v>
      </c>
      <c r="K255" s="1">
        <v>46120</v>
      </c>
      <c r="L255" s="1" t="str">
        <f>IF(K255&gt;O255,"Valid","Invalid")</f>
        <v>Valid</v>
      </c>
      <c r="M255" s="1" t="b">
        <f>ISNUMBER(K255)</f>
        <v>1</v>
      </c>
      <c r="N255" s="1" t="b">
        <f>ISNUMBER(O255)</f>
        <v>1</v>
      </c>
      <c r="O255" s="1">
        <v>46108</v>
      </c>
      <c r="P255" t="s">
        <v>6953</v>
      </c>
      <c r="Q255" t="str">
        <f>SUBSTITUTE(SUBSTITUTE(SUBSTITUTE(P255," ",""),"-",""),"+","")</f>
        <v>04133490134</v>
      </c>
      <c r="R255" t="str">
        <f t="shared" si="6"/>
        <v>4133490134</v>
      </c>
      <c r="S255" t="str">
        <f>IF(LEN(R255),"Valid","Invalid")</f>
        <v>Valid</v>
      </c>
      <c r="T255" t="s">
        <v>6952</v>
      </c>
      <c r="V255" t="s">
        <v>35</v>
      </c>
      <c r="X255">
        <v>18543.45</v>
      </c>
      <c r="Y255" t="s">
        <v>17</v>
      </c>
      <c r="Z255">
        <v>284</v>
      </c>
      <c r="AA255">
        <f t="shared" si="7"/>
        <v>284</v>
      </c>
      <c r="AB255" t="s">
        <v>77</v>
      </c>
    </row>
    <row r="256" spans="1:28" x14ac:dyDescent="0.3">
      <c r="A256" t="s">
        <v>6951</v>
      </c>
      <c r="B256" t="s">
        <v>6950</v>
      </c>
      <c r="C256" t="s">
        <v>6950</v>
      </c>
      <c r="D256" t="s">
        <v>74</v>
      </c>
      <c r="E256">
        <v>1</v>
      </c>
      <c r="F256">
        <v>1</v>
      </c>
      <c r="G256" t="s">
        <v>132</v>
      </c>
      <c r="H256" t="s">
        <v>132</v>
      </c>
      <c r="I256" t="s">
        <v>85</v>
      </c>
      <c r="J256" t="s">
        <v>85</v>
      </c>
      <c r="K256" s="1">
        <v>46075</v>
      </c>
      <c r="L256" s="1" t="str">
        <f>IF(K256&gt;O256,"Valid","Invalid")</f>
        <v>Valid</v>
      </c>
      <c r="M256" s="1" t="b">
        <f>ISNUMBER(K256)</f>
        <v>1</v>
      </c>
      <c r="N256" s="1" t="b">
        <f>ISNUMBER(O256)</f>
        <v>1</v>
      </c>
      <c r="O256" s="1">
        <v>46064</v>
      </c>
      <c r="P256" t="s">
        <v>6949</v>
      </c>
      <c r="Q256" t="str">
        <f>SUBSTITUTE(SUBSTITUTE(SUBSTITUTE(P256," ",""),"-",""),"+","")</f>
        <v>03515887417</v>
      </c>
      <c r="R256" t="str">
        <f t="shared" si="6"/>
        <v>3515887417</v>
      </c>
      <c r="S256" t="str">
        <f>IF(LEN(R256),"Valid","Invalid")</f>
        <v>Valid</v>
      </c>
      <c r="T256" t="s">
        <v>6948</v>
      </c>
      <c r="V256" t="s">
        <v>26</v>
      </c>
      <c r="X256">
        <v>2735.34</v>
      </c>
      <c r="Y256" t="s">
        <v>64</v>
      </c>
      <c r="Z256">
        <v>195</v>
      </c>
      <c r="AA256">
        <f t="shared" si="7"/>
        <v>195</v>
      </c>
      <c r="AB256" t="s">
        <v>16</v>
      </c>
    </row>
    <row r="257" spans="1:28" x14ac:dyDescent="0.3">
      <c r="A257" t="s">
        <v>6943</v>
      </c>
      <c r="B257" t="s">
        <v>6942</v>
      </c>
      <c r="C257" t="s">
        <v>6942</v>
      </c>
      <c r="D257" t="s">
        <v>60</v>
      </c>
      <c r="E257">
        <v>50</v>
      </c>
      <c r="F257">
        <v>50</v>
      </c>
      <c r="G257" t="s">
        <v>47</v>
      </c>
      <c r="H257" t="s">
        <v>47</v>
      </c>
      <c r="I257" t="s">
        <v>30</v>
      </c>
      <c r="J257" t="s">
        <v>30</v>
      </c>
      <c r="K257" s="1">
        <v>46071</v>
      </c>
      <c r="L257" s="1" t="str">
        <f>IF(K257&gt;O257,"Valid","Invalid")</f>
        <v>Valid</v>
      </c>
      <c r="M257" s="1" t="b">
        <f>ISNUMBER(K257)</f>
        <v>1</v>
      </c>
      <c r="N257" s="1" t="b">
        <f>ISNUMBER(O257)</f>
        <v>1</v>
      </c>
      <c r="O257" s="1">
        <v>46058</v>
      </c>
      <c r="P257" t="s">
        <v>6941</v>
      </c>
      <c r="Q257" t="str">
        <f>SUBSTITUTE(SUBSTITUTE(SUBSTITUTE(P257," ",""),"-",""),"+","")</f>
        <v>910269483394</v>
      </c>
      <c r="R257" t="str">
        <f t="shared" si="6"/>
        <v>0269483394</v>
      </c>
      <c r="S257" t="str">
        <f>IF(LEN(R257),"Valid","Invalid")</f>
        <v>Valid</v>
      </c>
      <c r="T257" t="s">
        <v>6940</v>
      </c>
      <c r="V257" t="s">
        <v>123</v>
      </c>
      <c r="X257">
        <v>19523.39</v>
      </c>
      <c r="Y257" t="s">
        <v>57</v>
      </c>
      <c r="Z257">
        <v>392</v>
      </c>
      <c r="AA257">
        <f t="shared" si="7"/>
        <v>392</v>
      </c>
      <c r="AB257" t="s">
        <v>34</v>
      </c>
    </row>
    <row r="258" spans="1:28" x14ac:dyDescent="0.3">
      <c r="A258" t="s">
        <v>6939</v>
      </c>
      <c r="B258" t="s">
        <v>6938</v>
      </c>
      <c r="C258" t="s">
        <v>6938</v>
      </c>
      <c r="D258" t="s">
        <v>0</v>
      </c>
      <c r="E258">
        <v>88</v>
      </c>
      <c r="F258">
        <v>88</v>
      </c>
      <c r="G258" t="s">
        <v>54</v>
      </c>
      <c r="H258" t="s">
        <v>54</v>
      </c>
      <c r="I258" t="s">
        <v>53</v>
      </c>
      <c r="J258" t="s">
        <v>20</v>
      </c>
      <c r="K258" s="1">
        <v>46007</v>
      </c>
      <c r="L258" s="1" t="str">
        <f>IF(K258&gt;O258,"Valid","Invalid")</f>
        <v>Valid</v>
      </c>
      <c r="M258" s="1" t="b">
        <f>ISNUMBER(K258)</f>
        <v>1</v>
      </c>
      <c r="N258" s="1" t="b">
        <f>ISNUMBER(O258)</f>
        <v>1</v>
      </c>
      <c r="O258" s="1">
        <v>46003</v>
      </c>
      <c r="P258" t="s">
        <v>6937</v>
      </c>
      <c r="Q258" t="str">
        <f>SUBSTITUTE(SUBSTITUTE(SUBSTITUTE(P258," ",""),"-",""),"+","")</f>
        <v>912737290153</v>
      </c>
      <c r="R258" t="str">
        <f t="shared" si="6"/>
        <v>2737290153</v>
      </c>
      <c r="S258" t="str">
        <f>IF(LEN(R258),"Valid","Invalid")</f>
        <v>Valid</v>
      </c>
      <c r="T258" t="s">
        <v>6936</v>
      </c>
      <c r="V258" t="s">
        <v>26</v>
      </c>
      <c r="X258">
        <v>7668.06</v>
      </c>
      <c r="Y258" t="s">
        <v>123</v>
      </c>
      <c r="Z258">
        <v>174</v>
      </c>
      <c r="AA258">
        <f t="shared" si="7"/>
        <v>174</v>
      </c>
      <c r="AB258" t="s">
        <v>77</v>
      </c>
    </row>
    <row r="259" spans="1:28" x14ac:dyDescent="0.3">
      <c r="A259" t="s">
        <v>6935</v>
      </c>
      <c r="B259" t="s">
        <v>6934</v>
      </c>
      <c r="C259" t="s">
        <v>6934</v>
      </c>
      <c r="D259" t="s">
        <v>0</v>
      </c>
      <c r="E259">
        <v>56</v>
      </c>
      <c r="F259">
        <v>56</v>
      </c>
      <c r="G259" t="s">
        <v>132</v>
      </c>
      <c r="H259" t="s">
        <v>132</v>
      </c>
      <c r="I259" t="s">
        <v>90</v>
      </c>
      <c r="J259" t="s">
        <v>67</v>
      </c>
      <c r="K259" s="1">
        <v>46029</v>
      </c>
      <c r="L259" s="1" t="str">
        <f>IF(K259&gt;O259,"Valid","Invalid")</f>
        <v>Valid</v>
      </c>
      <c r="M259" s="1" t="b">
        <f>ISNUMBER(K259)</f>
        <v>1</v>
      </c>
      <c r="N259" s="1" t="b">
        <f>ISNUMBER(O259)</f>
        <v>1</v>
      </c>
      <c r="O259" s="1">
        <v>46020</v>
      </c>
      <c r="P259" t="s">
        <v>6933</v>
      </c>
      <c r="Q259" t="str">
        <f>SUBSTITUTE(SUBSTITUTE(SUBSTITUTE(P259," ",""),"-",""),"+","")</f>
        <v>911627579286</v>
      </c>
      <c r="R259" t="str">
        <f t="shared" si="6"/>
        <v>1627579286</v>
      </c>
      <c r="S259" t="str">
        <f>IF(LEN(R259),"Valid","Invalid")</f>
        <v>Valid</v>
      </c>
      <c r="T259" t="s">
        <v>6932</v>
      </c>
      <c r="V259" t="s">
        <v>123</v>
      </c>
      <c r="X259">
        <v>19610.13</v>
      </c>
      <c r="Y259" t="s">
        <v>17</v>
      </c>
      <c r="Z259">
        <v>228</v>
      </c>
      <c r="AA259">
        <f t="shared" si="7"/>
        <v>228</v>
      </c>
      <c r="AB259" t="s">
        <v>71</v>
      </c>
    </row>
    <row r="260" spans="1:28" x14ac:dyDescent="0.3">
      <c r="A260" t="s">
        <v>6931</v>
      </c>
      <c r="B260" t="s">
        <v>2918</v>
      </c>
      <c r="C260" t="s">
        <v>2918</v>
      </c>
      <c r="E260">
        <v>77</v>
      </c>
      <c r="F260">
        <v>77</v>
      </c>
      <c r="G260" t="s">
        <v>21</v>
      </c>
      <c r="H260" t="s">
        <v>21</v>
      </c>
      <c r="I260" t="s">
        <v>85</v>
      </c>
      <c r="J260" t="s">
        <v>85</v>
      </c>
      <c r="K260" s="1">
        <v>46034</v>
      </c>
      <c r="L260" s="1" t="str">
        <f>IF(K260&gt;O260,"Valid","Invalid")</f>
        <v>Valid</v>
      </c>
      <c r="M260" s="1" t="b">
        <f>ISNUMBER(K260)</f>
        <v>1</v>
      </c>
      <c r="N260" s="1" t="b">
        <f>ISNUMBER(O260)</f>
        <v>1</v>
      </c>
      <c r="O260" s="1">
        <v>46031</v>
      </c>
      <c r="P260" t="s">
        <v>6930</v>
      </c>
      <c r="Q260" t="str">
        <f>SUBSTITUTE(SUBSTITUTE(SUBSTITUTE(P260," ",""),"-",""),"+","")</f>
        <v>03259802810</v>
      </c>
      <c r="R260" t="str">
        <f t="shared" si="6"/>
        <v>3259802810</v>
      </c>
      <c r="S260" t="str">
        <f>IF(LEN(R260),"Valid","Invalid")</f>
        <v>Valid</v>
      </c>
      <c r="T260" t="s">
        <v>6929</v>
      </c>
      <c r="V260" t="s">
        <v>35</v>
      </c>
      <c r="X260">
        <v>7755.52</v>
      </c>
      <c r="Y260" t="s">
        <v>123</v>
      </c>
      <c r="Z260">
        <v>270</v>
      </c>
      <c r="AA260">
        <f t="shared" si="7"/>
        <v>270</v>
      </c>
      <c r="AB260" t="s">
        <v>50</v>
      </c>
    </row>
    <row r="261" spans="1:28" x14ac:dyDescent="0.3">
      <c r="A261" t="s">
        <v>6928</v>
      </c>
      <c r="B261" t="s">
        <v>6927</v>
      </c>
      <c r="C261" t="s">
        <v>8039</v>
      </c>
      <c r="D261" t="s">
        <v>123</v>
      </c>
      <c r="E261">
        <v>43</v>
      </c>
      <c r="F261">
        <v>43</v>
      </c>
      <c r="G261" t="s">
        <v>68</v>
      </c>
      <c r="H261" t="s">
        <v>68</v>
      </c>
      <c r="I261" t="s">
        <v>67</v>
      </c>
      <c r="J261" t="s">
        <v>67</v>
      </c>
      <c r="K261" s="1">
        <v>46122</v>
      </c>
      <c r="L261" s="1" t="str">
        <f>IF(K261&gt;O261,"Valid","Invalid")</f>
        <v>Valid</v>
      </c>
      <c r="M261" s="1" t="b">
        <f>ISNUMBER(K261)</f>
        <v>1</v>
      </c>
      <c r="N261" s="1" t="b">
        <f>ISNUMBER(O261)</f>
        <v>1</v>
      </c>
      <c r="O261" s="1">
        <v>46109</v>
      </c>
      <c r="P261" t="s">
        <v>6926</v>
      </c>
      <c r="Q261" t="str">
        <f>SUBSTITUTE(SUBSTITUTE(SUBSTITUTE(P261," ",""),"-",""),"+","")</f>
        <v>0132701168</v>
      </c>
      <c r="R261" t="str">
        <f t="shared" ref="R261:R324" si="8">RIGHT(Q261,10)</f>
        <v>0132701168</v>
      </c>
      <c r="S261" t="str">
        <f>IF(LEN(R261),"Valid","Invalid")</f>
        <v>Valid</v>
      </c>
      <c r="T261" t="s">
        <v>6925</v>
      </c>
      <c r="V261" t="s">
        <v>35</v>
      </c>
      <c r="X261">
        <v>7650.8</v>
      </c>
      <c r="Y261" t="s">
        <v>57</v>
      </c>
      <c r="Z261">
        <v>345</v>
      </c>
      <c r="AA261">
        <f t="shared" ref="AA261:AA324" si="9">IF(Z261="Room-x",0,Z261)</f>
        <v>345</v>
      </c>
      <c r="AB261" t="s">
        <v>43</v>
      </c>
    </row>
    <row r="262" spans="1:28" x14ac:dyDescent="0.3">
      <c r="A262" t="s">
        <v>6924</v>
      </c>
      <c r="B262" t="s">
        <v>6923</v>
      </c>
      <c r="C262" t="s">
        <v>8040</v>
      </c>
      <c r="D262" t="s">
        <v>0</v>
      </c>
      <c r="E262">
        <v>51</v>
      </c>
      <c r="F262">
        <v>51</v>
      </c>
      <c r="G262" t="s">
        <v>31</v>
      </c>
      <c r="H262" t="s">
        <v>31</v>
      </c>
      <c r="I262" t="s">
        <v>30</v>
      </c>
      <c r="J262" t="s">
        <v>30</v>
      </c>
      <c r="K262" s="1">
        <v>46018</v>
      </c>
      <c r="L262" s="1" t="str">
        <f>IF(K262&gt;O262,"Valid","Invalid")</f>
        <v>Valid</v>
      </c>
      <c r="M262" s="1" t="b">
        <f>ISNUMBER(K262)</f>
        <v>1</v>
      </c>
      <c r="N262" s="1" t="b">
        <f>ISNUMBER(O262)</f>
        <v>1</v>
      </c>
      <c r="O262" s="1">
        <v>45995</v>
      </c>
      <c r="P262" t="s">
        <v>6922</v>
      </c>
      <c r="Q262" t="str">
        <f>SUBSTITUTE(SUBSTITUTE(SUBSTITUTE(P262," ",""),"-",""),"+","")</f>
        <v>917636069485</v>
      </c>
      <c r="R262" t="str">
        <f t="shared" si="8"/>
        <v>7636069485</v>
      </c>
      <c r="S262" t="str">
        <f>IF(LEN(R262),"Valid","Invalid")</f>
        <v>Valid</v>
      </c>
      <c r="T262" t="s">
        <v>6921</v>
      </c>
      <c r="V262" t="s">
        <v>123</v>
      </c>
      <c r="X262">
        <v>24200.52</v>
      </c>
      <c r="Y262" t="s">
        <v>57</v>
      </c>
      <c r="Z262">
        <v>266</v>
      </c>
      <c r="AA262">
        <f t="shared" si="9"/>
        <v>266</v>
      </c>
      <c r="AB262" t="s">
        <v>16</v>
      </c>
    </row>
    <row r="263" spans="1:28" x14ac:dyDescent="0.3">
      <c r="A263" t="s">
        <v>6920</v>
      </c>
      <c r="B263" t="s">
        <v>6919</v>
      </c>
      <c r="C263" t="s">
        <v>6919</v>
      </c>
      <c r="D263" t="s">
        <v>22</v>
      </c>
      <c r="E263">
        <v>51</v>
      </c>
      <c r="F263">
        <v>51</v>
      </c>
      <c r="G263" t="s">
        <v>31</v>
      </c>
      <c r="H263" t="s">
        <v>31</v>
      </c>
      <c r="I263" t="s">
        <v>20</v>
      </c>
      <c r="J263" t="s">
        <v>20</v>
      </c>
      <c r="K263" s="1">
        <v>46113</v>
      </c>
      <c r="L263" s="1" t="str">
        <f>IF(K263&gt;O263,"Valid","Invalid")</f>
        <v>Valid</v>
      </c>
      <c r="M263" s="1" t="b">
        <f>ISNUMBER(K263)</f>
        <v>1</v>
      </c>
      <c r="N263" s="1" t="b">
        <f>ISNUMBER(O263)</f>
        <v>1</v>
      </c>
      <c r="O263" s="1">
        <v>46084</v>
      </c>
      <c r="P263" t="s">
        <v>6918</v>
      </c>
      <c r="Q263" t="str">
        <f>SUBSTITUTE(SUBSTITUTE(SUBSTITUTE(P263," ",""),"-",""),"+","")</f>
        <v>06793266893</v>
      </c>
      <c r="R263" t="str">
        <f t="shared" si="8"/>
        <v>6793266893</v>
      </c>
      <c r="S263" t="str">
        <f>IF(LEN(R263),"Valid","Invalid")</f>
        <v>Valid</v>
      </c>
      <c r="T263" t="s">
        <v>6917</v>
      </c>
      <c r="V263" t="s">
        <v>17</v>
      </c>
      <c r="X263">
        <v>14887.23</v>
      </c>
      <c r="Y263" t="s">
        <v>26</v>
      </c>
      <c r="Z263">
        <v>449</v>
      </c>
      <c r="AA263">
        <f t="shared" si="9"/>
        <v>449</v>
      </c>
      <c r="AB263" t="s">
        <v>50</v>
      </c>
    </row>
    <row r="264" spans="1:28" x14ac:dyDescent="0.3">
      <c r="A264" t="s">
        <v>6916</v>
      </c>
      <c r="B264" t="s">
        <v>6915</v>
      </c>
      <c r="C264" t="s">
        <v>6915</v>
      </c>
      <c r="D264" t="s">
        <v>40</v>
      </c>
      <c r="E264">
        <v>60</v>
      </c>
      <c r="F264">
        <v>60</v>
      </c>
      <c r="G264" t="s">
        <v>21</v>
      </c>
      <c r="H264" t="s">
        <v>21</v>
      </c>
      <c r="I264" t="s">
        <v>85</v>
      </c>
      <c r="J264" t="s">
        <v>85</v>
      </c>
      <c r="K264" s="1">
        <v>46006</v>
      </c>
      <c r="L264" s="1" t="str">
        <f>IF(K264&gt;O264,"Valid","Invalid")</f>
        <v>Valid</v>
      </c>
      <c r="M264" s="1" t="b">
        <f>ISNUMBER(K264)</f>
        <v>1</v>
      </c>
      <c r="N264" s="1" t="b">
        <f>ISNUMBER(O264)</f>
        <v>1</v>
      </c>
      <c r="O264" s="1">
        <v>45981</v>
      </c>
      <c r="P264" t="s">
        <v>6914</v>
      </c>
      <c r="Q264" t="str">
        <f>SUBSTITUTE(SUBSTITUTE(SUBSTITUTE(P264," ",""),"-",""),"+","")</f>
        <v>08587891860</v>
      </c>
      <c r="R264" t="str">
        <f t="shared" si="8"/>
        <v>8587891860</v>
      </c>
      <c r="S264" t="str">
        <f>IF(LEN(R264),"Valid","Invalid")</f>
        <v>Valid</v>
      </c>
      <c r="T264" t="s">
        <v>6913</v>
      </c>
      <c r="V264" t="s">
        <v>26</v>
      </c>
      <c r="X264">
        <v>20815.79</v>
      </c>
      <c r="Y264" t="s">
        <v>64</v>
      </c>
      <c r="Z264">
        <v>519</v>
      </c>
      <c r="AA264">
        <f t="shared" si="9"/>
        <v>519</v>
      </c>
      <c r="AB264" t="s">
        <v>50</v>
      </c>
    </row>
    <row r="265" spans="1:28" x14ac:dyDescent="0.3">
      <c r="A265" t="s">
        <v>6912</v>
      </c>
      <c r="B265" t="s">
        <v>6911</v>
      </c>
      <c r="C265" t="s">
        <v>6911</v>
      </c>
      <c r="D265" t="s">
        <v>123</v>
      </c>
      <c r="E265">
        <v>87</v>
      </c>
      <c r="F265">
        <v>87</v>
      </c>
      <c r="G265" t="s">
        <v>68</v>
      </c>
      <c r="H265" t="s">
        <v>68</v>
      </c>
      <c r="I265" t="s">
        <v>53</v>
      </c>
      <c r="J265" t="s">
        <v>20</v>
      </c>
      <c r="K265" s="1">
        <v>46100</v>
      </c>
      <c r="L265" s="1" t="str">
        <f>IF(K265&gt;O265,"Valid","Invalid")</f>
        <v>Valid</v>
      </c>
      <c r="M265" s="1" t="b">
        <f>ISNUMBER(K265)</f>
        <v>1</v>
      </c>
      <c r="N265" s="1" t="b">
        <f>ISNUMBER(O265)</f>
        <v>1</v>
      </c>
      <c r="O265" s="1">
        <v>46080</v>
      </c>
      <c r="P265" t="s">
        <v>6910</v>
      </c>
      <c r="Q265" t="str">
        <f>SUBSTITUTE(SUBSTITUTE(SUBSTITUTE(P265," ",""),"-",""),"+","")</f>
        <v>917367919453</v>
      </c>
      <c r="R265" t="str">
        <f t="shared" si="8"/>
        <v>7367919453</v>
      </c>
      <c r="S265" t="str">
        <f>IF(LEN(R265),"Valid","Invalid")</f>
        <v>Valid</v>
      </c>
      <c r="T265" t="s">
        <v>6909</v>
      </c>
      <c r="V265" t="s">
        <v>26</v>
      </c>
      <c r="X265">
        <v>6202.12</v>
      </c>
      <c r="Y265" t="s">
        <v>26</v>
      </c>
      <c r="Z265">
        <v>466</v>
      </c>
      <c r="AA265">
        <f t="shared" si="9"/>
        <v>466</v>
      </c>
      <c r="AB265" t="s">
        <v>16</v>
      </c>
    </row>
    <row r="266" spans="1:28" x14ac:dyDescent="0.3">
      <c r="A266" t="s">
        <v>6908</v>
      </c>
      <c r="B266" t="s">
        <v>6907</v>
      </c>
      <c r="C266" t="s">
        <v>8041</v>
      </c>
      <c r="D266" t="s">
        <v>123</v>
      </c>
      <c r="E266">
        <v>10</v>
      </c>
      <c r="F266">
        <v>10</v>
      </c>
      <c r="G266" t="s">
        <v>68</v>
      </c>
      <c r="H266" t="s">
        <v>68</v>
      </c>
      <c r="I266" t="s">
        <v>85</v>
      </c>
      <c r="J266" t="s">
        <v>85</v>
      </c>
      <c r="K266" s="1">
        <v>46011</v>
      </c>
      <c r="L266" s="1" t="str">
        <f>IF(K266&gt;O266,"Valid","Invalid")</f>
        <v>Valid</v>
      </c>
      <c r="M266" s="1" t="b">
        <f>ISNUMBER(K266)</f>
        <v>1</v>
      </c>
      <c r="N266" s="1" t="b">
        <f>ISNUMBER(O266)</f>
        <v>1</v>
      </c>
      <c r="O266" s="1">
        <v>45993</v>
      </c>
      <c r="P266" t="s">
        <v>6906</v>
      </c>
      <c r="Q266" t="str">
        <f>SUBSTITUTE(SUBSTITUTE(SUBSTITUTE(P266," ",""),"-",""),"+","")</f>
        <v>2777427473</v>
      </c>
      <c r="R266" t="str">
        <f t="shared" si="8"/>
        <v>2777427473</v>
      </c>
      <c r="S266" t="str">
        <f>IF(LEN(R266),"Valid","Invalid")</f>
        <v>Valid</v>
      </c>
      <c r="T266" t="s">
        <v>6905</v>
      </c>
      <c r="V266" t="s">
        <v>123</v>
      </c>
      <c r="X266">
        <v>13452.31</v>
      </c>
      <c r="Y266" t="s">
        <v>123</v>
      </c>
      <c r="Z266">
        <v>378</v>
      </c>
      <c r="AA266">
        <f t="shared" si="9"/>
        <v>378</v>
      </c>
      <c r="AB266" t="s">
        <v>77</v>
      </c>
    </row>
    <row r="267" spans="1:28" x14ac:dyDescent="0.3">
      <c r="A267" t="s">
        <v>6904</v>
      </c>
      <c r="B267" t="s">
        <v>6903</v>
      </c>
      <c r="C267" t="s">
        <v>6903</v>
      </c>
      <c r="D267" t="s">
        <v>60</v>
      </c>
      <c r="E267">
        <v>90</v>
      </c>
      <c r="F267">
        <v>90</v>
      </c>
      <c r="G267" t="s">
        <v>80</v>
      </c>
      <c r="H267" t="s">
        <v>80</v>
      </c>
      <c r="I267" t="s">
        <v>20</v>
      </c>
      <c r="J267" t="s">
        <v>20</v>
      </c>
      <c r="K267" s="1">
        <v>46159</v>
      </c>
      <c r="L267" s="1" t="str">
        <f>IF(K267&gt;O267,"Valid","Invalid")</f>
        <v>Valid</v>
      </c>
      <c r="M267" s="1" t="b">
        <f>ISNUMBER(K267)</f>
        <v>1</v>
      </c>
      <c r="N267" s="1" t="b">
        <f>ISNUMBER(O267)</f>
        <v>1</v>
      </c>
      <c r="O267" s="1">
        <v>46135</v>
      </c>
      <c r="P267" t="s">
        <v>6902</v>
      </c>
      <c r="Q267" t="str">
        <f>SUBSTITUTE(SUBSTITUTE(SUBSTITUTE(P267," ",""),"-",""),"+","")</f>
        <v>07082855283</v>
      </c>
      <c r="R267" t="str">
        <f t="shared" si="8"/>
        <v>7082855283</v>
      </c>
      <c r="S267" t="str">
        <f>IF(LEN(R267),"Valid","Invalid")</f>
        <v>Valid</v>
      </c>
      <c r="T267" t="s">
        <v>6901</v>
      </c>
      <c r="V267" t="s">
        <v>17</v>
      </c>
      <c r="X267">
        <v>16508.52</v>
      </c>
      <c r="Y267" t="s">
        <v>17</v>
      </c>
      <c r="Z267">
        <v>185</v>
      </c>
      <c r="AA267">
        <f t="shared" si="9"/>
        <v>185</v>
      </c>
      <c r="AB267" t="s">
        <v>25</v>
      </c>
    </row>
    <row r="268" spans="1:28" x14ac:dyDescent="0.3">
      <c r="A268" t="s">
        <v>6900</v>
      </c>
      <c r="B268" t="s">
        <v>6899</v>
      </c>
      <c r="C268" t="s">
        <v>6899</v>
      </c>
      <c r="D268" t="s">
        <v>40</v>
      </c>
      <c r="E268">
        <v>73</v>
      </c>
      <c r="F268">
        <v>73</v>
      </c>
      <c r="G268" t="s">
        <v>54</v>
      </c>
      <c r="H268" t="s">
        <v>54</v>
      </c>
      <c r="I268" t="s">
        <v>67</v>
      </c>
      <c r="J268" t="s">
        <v>67</v>
      </c>
      <c r="K268" s="1">
        <v>46038</v>
      </c>
      <c r="L268" s="1" t="str">
        <f>IF(K268&gt;O268,"Valid","Invalid")</f>
        <v>Valid</v>
      </c>
      <c r="M268" s="1" t="b">
        <f>ISNUMBER(K268)</f>
        <v>1</v>
      </c>
      <c r="N268" s="1" t="b">
        <f>ISNUMBER(O268)</f>
        <v>1</v>
      </c>
      <c r="O268" s="1">
        <v>46008</v>
      </c>
      <c r="P268" t="s">
        <v>6898</v>
      </c>
      <c r="Q268" t="str">
        <f>SUBSTITUTE(SUBSTITUTE(SUBSTITUTE(P268," ",""),"-",""),"+","")</f>
        <v>07575398848</v>
      </c>
      <c r="R268" t="str">
        <f t="shared" si="8"/>
        <v>7575398848</v>
      </c>
      <c r="S268" t="str">
        <f>IF(LEN(R268),"Valid","Invalid")</f>
        <v>Valid</v>
      </c>
      <c r="T268" t="s">
        <v>6897</v>
      </c>
      <c r="V268" t="s">
        <v>123</v>
      </c>
      <c r="X268">
        <v>2827.42</v>
      </c>
      <c r="Y268" t="s">
        <v>64</v>
      </c>
      <c r="Z268">
        <v>232</v>
      </c>
      <c r="AA268">
        <f t="shared" si="9"/>
        <v>232</v>
      </c>
      <c r="AB268" t="s">
        <v>71</v>
      </c>
    </row>
    <row r="269" spans="1:28" x14ac:dyDescent="0.3">
      <c r="A269" t="s">
        <v>6896</v>
      </c>
      <c r="B269" t="s">
        <v>6895</v>
      </c>
      <c r="C269" t="s">
        <v>6895</v>
      </c>
      <c r="D269" t="s">
        <v>1</v>
      </c>
      <c r="E269">
        <v>58</v>
      </c>
      <c r="F269">
        <v>58</v>
      </c>
      <c r="G269" t="s">
        <v>31</v>
      </c>
      <c r="H269" t="s">
        <v>31</v>
      </c>
      <c r="I269" t="s">
        <v>90</v>
      </c>
      <c r="J269" t="s">
        <v>67</v>
      </c>
      <c r="K269" s="1">
        <v>46138</v>
      </c>
      <c r="L269" s="1" t="str">
        <f>IF(K269&gt;O269,"Valid","Invalid")</f>
        <v>Valid</v>
      </c>
      <c r="M269" s="1" t="b">
        <f>ISNUMBER(K269)</f>
        <v>1</v>
      </c>
      <c r="N269" s="1" t="b">
        <f>ISNUMBER(O269)</f>
        <v>1</v>
      </c>
      <c r="O269" s="1">
        <v>46124</v>
      </c>
      <c r="P269" t="s">
        <v>6894</v>
      </c>
      <c r="Q269" t="str">
        <f>SUBSTITUTE(SUBSTITUTE(SUBSTITUTE(P269," ",""),"-",""),"+","")</f>
        <v>04949490784</v>
      </c>
      <c r="R269" t="str">
        <f t="shared" si="8"/>
        <v>4949490784</v>
      </c>
      <c r="S269" t="str">
        <f>IF(LEN(R269),"Valid","Invalid")</f>
        <v>Valid</v>
      </c>
      <c r="T269" t="s">
        <v>6893</v>
      </c>
      <c r="V269" t="s">
        <v>35</v>
      </c>
      <c r="X269">
        <v>8755.19</v>
      </c>
      <c r="Y269" t="s">
        <v>27</v>
      </c>
      <c r="Z269">
        <v>347</v>
      </c>
      <c r="AA269">
        <f t="shared" si="9"/>
        <v>347</v>
      </c>
      <c r="AB269" t="s">
        <v>77</v>
      </c>
    </row>
    <row r="270" spans="1:28" x14ac:dyDescent="0.3">
      <c r="A270" t="s">
        <v>6892</v>
      </c>
      <c r="B270" t="s">
        <v>6891</v>
      </c>
      <c r="C270" t="s">
        <v>6891</v>
      </c>
      <c r="D270" t="s">
        <v>22</v>
      </c>
      <c r="E270">
        <v>54</v>
      </c>
      <c r="F270">
        <v>54</v>
      </c>
      <c r="G270" t="s">
        <v>80</v>
      </c>
      <c r="H270" t="s">
        <v>80</v>
      </c>
      <c r="I270" t="s">
        <v>20</v>
      </c>
      <c r="J270" t="s">
        <v>20</v>
      </c>
      <c r="K270" s="1">
        <v>46080</v>
      </c>
      <c r="L270" s="1" t="str">
        <f>IF(K270&gt;O270,"Valid","Invalid")</f>
        <v>Valid</v>
      </c>
      <c r="M270" s="1" t="b">
        <f>ISNUMBER(K270)</f>
        <v>1</v>
      </c>
      <c r="N270" s="1" t="b">
        <f>ISNUMBER(O270)</f>
        <v>1</v>
      </c>
      <c r="O270" s="1">
        <v>46054</v>
      </c>
      <c r="P270" t="s">
        <v>6890</v>
      </c>
      <c r="Q270" t="str">
        <f>SUBSTITUTE(SUBSTITUTE(SUBSTITUTE(P270," ",""),"-",""),"+","")</f>
        <v>05949510501</v>
      </c>
      <c r="R270" t="str">
        <f t="shared" si="8"/>
        <v>5949510501</v>
      </c>
      <c r="S270" t="str">
        <f>IF(LEN(R270),"Valid","Invalid")</f>
        <v>Valid</v>
      </c>
      <c r="T270" t="s">
        <v>6889</v>
      </c>
      <c r="V270" t="s">
        <v>35</v>
      </c>
      <c r="X270">
        <v>8838.5499999999993</v>
      </c>
      <c r="Y270" t="s">
        <v>17</v>
      </c>
      <c r="Z270">
        <v>333</v>
      </c>
      <c r="AA270">
        <f t="shared" si="9"/>
        <v>333</v>
      </c>
      <c r="AB270" t="s">
        <v>50</v>
      </c>
    </row>
    <row r="271" spans="1:28" x14ac:dyDescent="0.3">
      <c r="A271" t="s">
        <v>6888</v>
      </c>
      <c r="B271" t="s">
        <v>6887</v>
      </c>
      <c r="C271" t="s">
        <v>6887</v>
      </c>
      <c r="D271" t="s">
        <v>1</v>
      </c>
      <c r="E271">
        <v>67</v>
      </c>
      <c r="F271">
        <v>67</v>
      </c>
      <c r="G271" t="s">
        <v>68</v>
      </c>
      <c r="H271" t="s">
        <v>68</v>
      </c>
      <c r="I271" t="s">
        <v>67</v>
      </c>
      <c r="J271" t="s">
        <v>67</v>
      </c>
      <c r="K271" s="1">
        <v>46035</v>
      </c>
      <c r="L271" s="1" t="str">
        <f>IF(K271&gt;O271,"Valid","Invalid")</f>
        <v>Valid</v>
      </c>
      <c r="M271" s="1" t="b">
        <f>ISNUMBER(K271)</f>
        <v>1</v>
      </c>
      <c r="N271" s="1" t="b">
        <f>ISNUMBER(O271)</f>
        <v>1</v>
      </c>
      <c r="O271" s="1">
        <v>46020</v>
      </c>
      <c r="P271" t="s">
        <v>6886</v>
      </c>
      <c r="Q271" t="str">
        <f>SUBSTITUTE(SUBSTITUTE(SUBSTITUTE(P271," ",""),"-",""),"+","")</f>
        <v>06144498275</v>
      </c>
      <c r="R271" t="str">
        <f t="shared" si="8"/>
        <v>6144498275</v>
      </c>
      <c r="S271" t="str">
        <f>IF(LEN(R271),"Valid","Invalid")</f>
        <v>Valid</v>
      </c>
      <c r="T271" t="s">
        <v>6885</v>
      </c>
      <c r="V271" t="s">
        <v>64</v>
      </c>
      <c r="X271">
        <v>11066.52</v>
      </c>
      <c r="Y271" t="s">
        <v>123</v>
      </c>
      <c r="Z271">
        <v>263</v>
      </c>
      <c r="AA271">
        <f t="shared" si="9"/>
        <v>263</v>
      </c>
      <c r="AB271" t="s">
        <v>77</v>
      </c>
    </row>
    <row r="272" spans="1:28" x14ac:dyDescent="0.3">
      <c r="A272" t="s">
        <v>6880</v>
      </c>
      <c r="B272" t="s">
        <v>6879</v>
      </c>
      <c r="C272" t="s">
        <v>6879</v>
      </c>
      <c r="D272" t="s">
        <v>0</v>
      </c>
      <c r="E272">
        <v>71</v>
      </c>
      <c r="F272">
        <v>71</v>
      </c>
      <c r="G272" t="s">
        <v>39</v>
      </c>
      <c r="H272" t="s">
        <v>39</v>
      </c>
      <c r="I272" t="s">
        <v>67</v>
      </c>
      <c r="J272" t="s">
        <v>67</v>
      </c>
      <c r="K272" s="1">
        <v>46102</v>
      </c>
      <c r="L272" s="1" t="str">
        <f>IF(K272&gt;O272,"Valid","Invalid")</f>
        <v>Valid</v>
      </c>
      <c r="M272" s="1" t="b">
        <f>ISNUMBER(K272)</f>
        <v>1</v>
      </c>
      <c r="N272" s="1" t="b">
        <f>ISNUMBER(O272)</f>
        <v>1</v>
      </c>
      <c r="O272" s="1">
        <v>46085</v>
      </c>
      <c r="P272" t="s">
        <v>6878</v>
      </c>
      <c r="Q272" t="str">
        <f>SUBSTITUTE(SUBSTITUTE(SUBSTITUTE(P272," ",""),"-",""),"+","")</f>
        <v>7216926155</v>
      </c>
      <c r="R272" t="str">
        <f t="shared" si="8"/>
        <v>7216926155</v>
      </c>
      <c r="S272" t="str">
        <f>IF(LEN(R272),"Valid","Invalid")</f>
        <v>Valid</v>
      </c>
      <c r="T272" t="s">
        <v>6877</v>
      </c>
      <c r="V272" t="s">
        <v>123</v>
      </c>
      <c r="X272">
        <v>23969.87</v>
      </c>
      <c r="Y272" t="s">
        <v>57</v>
      </c>
      <c r="Z272">
        <v>508</v>
      </c>
      <c r="AA272">
        <f t="shared" si="9"/>
        <v>508</v>
      </c>
      <c r="AB272" t="s">
        <v>16</v>
      </c>
    </row>
    <row r="273" spans="1:28" x14ac:dyDescent="0.3">
      <c r="A273" t="s">
        <v>6872</v>
      </c>
      <c r="B273" t="s">
        <v>6871</v>
      </c>
      <c r="C273" t="s">
        <v>6871</v>
      </c>
      <c r="D273" t="s">
        <v>1</v>
      </c>
      <c r="E273">
        <v>27</v>
      </c>
      <c r="F273">
        <v>27</v>
      </c>
      <c r="G273" t="s">
        <v>132</v>
      </c>
      <c r="H273" t="s">
        <v>132</v>
      </c>
      <c r="I273" t="s">
        <v>20</v>
      </c>
      <c r="J273" t="s">
        <v>20</v>
      </c>
      <c r="K273" s="1">
        <v>46082</v>
      </c>
      <c r="L273" s="1" t="str">
        <f>IF(K273&gt;O273,"Valid","Invalid")</f>
        <v>Valid</v>
      </c>
      <c r="M273" s="1" t="b">
        <f>ISNUMBER(K273)</f>
        <v>1</v>
      </c>
      <c r="N273" s="1" t="b">
        <f>ISNUMBER(O273)</f>
        <v>1</v>
      </c>
      <c r="O273" s="1">
        <v>46064</v>
      </c>
      <c r="P273" t="s">
        <v>6870</v>
      </c>
      <c r="Q273" t="str">
        <f>SUBSTITUTE(SUBSTITUTE(SUBSTITUTE(P273," ",""),"-",""),"+","")</f>
        <v>03328381759</v>
      </c>
      <c r="R273" t="str">
        <f t="shared" si="8"/>
        <v>3328381759</v>
      </c>
      <c r="S273" t="str">
        <f>IF(LEN(R273),"Valid","Invalid")</f>
        <v>Valid</v>
      </c>
      <c r="T273" t="s">
        <v>6869</v>
      </c>
      <c r="V273" t="s">
        <v>64</v>
      </c>
      <c r="X273">
        <v>20027.66</v>
      </c>
      <c r="Y273" t="s">
        <v>26</v>
      </c>
      <c r="Z273">
        <v>287</v>
      </c>
      <c r="AA273">
        <f t="shared" si="9"/>
        <v>287</v>
      </c>
      <c r="AB273" t="s">
        <v>43</v>
      </c>
    </row>
    <row r="274" spans="1:28" x14ac:dyDescent="0.3">
      <c r="A274" t="s">
        <v>6868</v>
      </c>
      <c r="B274" t="s">
        <v>6867</v>
      </c>
      <c r="C274" t="s">
        <v>6867</v>
      </c>
      <c r="D274" t="s">
        <v>1</v>
      </c>
      <c r="E274">
        <v>59</v>
      </c>
      <c r="F274">
        <v>59</v>
      </c>
      <c r="G274" t="s">
        <v>80</v>
      </c>
      <c r="H274" t="s">
        <v>80</v>
      </c>
      <c r="I274" t="s">
        <v>30</v>
      </c>
      <c r="J274" t="s">
        <v>30</v>
      </c>
      <c r="K274" s="1">
        <v>46070</v>
      </c>
      <c r="L274" s="1" t="str">
        <f>IF(K274&gt;O274,"Valid","Invalid")</f>
        <v>Valid</v>
      </c>
      <c r="M274" s="1" t="b">
        <f>ISNUMBER(K274)</f>
        <v>1</v>
      </c>
      <c r="N274" s="1" t="b">
        <f>ISNUMBER(O274)</f>
        <v>1</v>
      </c>
      <c r="O274" s="1">
        <v>46049</v>
      </c>
      <c r="P274" t="s">
        <v>6866</v>
      </c>
      <c r="Q274" t="str">
        <f>SUBSTITUTE(SUBSTITUTE(SUBSTITUTE(P274," ",""),"-",""),"+","")</f>
        <v>07914726325</v>
      </c>
      <c r="R274" t="str">
        <f t="shared" si="8"/>
        <v>7914726325</v>
      </c>
      <c r="S274" t="str">
        <f>IF(LEN(R274),"Valid","Invalid")</f>
        <v>Valid</v>
      </c>
      <c r="T274" t="s">
        <v>6865</v>
      </c>
      <c r="V274" t="s">
        <v>123</v>
      </c>
      <c r="X274">
        <v>13287.33</v>
      </c>
      <c r="Y274" t="s">
        <v>17</v>
      </c>
      <c r="Z274">
        <v>405</v>
      </c>
      <c r="AA274">
        <f t="shared" si="9"/>
        <v>405</v>
      </c>
      <c r="AB274" t="s">
        <v>16</v>
      </c>
    </row>
    <row r="275" spans="1:28" x14ac:dyDescent="0.3">
      <c r="A275" t="s">
        <v>6864</v>
      </c>
      <c r="B275" t="s">
        <v>6863</v>
      </c>
      <c r="C275" t="s">
        <v>6863</v>
      </c>
      <c r="D275" t="s">
        <v>123</v>
      </c>
      <c r="E275">
        <v>76</v>
      </c>
      <c r="F275">
        <v>76</v>
      </c>
      <c r="G275" t="s">
        <v>80</v>
      </c>
      <c r="H275" t="s">
        <v>80</v>
      </c>
      <c r="I275" t="s">
        <v>67</v>
      </c>
      <c r="J275" t="s">
        <v>67</v>
      </c>
      <c r="K275" s="1">
        <v>46041</v>
      </c>
      <c r="L275" s="1" t="str">
        <f>IF(K275&gt;O275,"Valid","Invalid")</f>
        <v>Valid</v>
      </c>
      <c r="M275" s="1" t="b">
        <f>ISNUMBER(K275)</f>
        <v>1</v>
      </c>
      <c r="N275" s="1" t="b">
        <f>ISNUMBER(O275)</f>
        <v>1</v>
      </c>
      <c r="O275" s="1">
        <v>46030</v>
      </c>
      <c r="P275" t="s">
        <v>6862</v>
      </c>
      <c r="Q275" t="str">
        <f>SUBSTITUTE(SUBSTITUTE(SUBSTITUTE(P275," ",""),"-",""),"+","")</f>
        <v>912602679654</v>
      </c>
      <c r="R275" t="str">
        <f t="shared" si="8"/>
        <v>2602679654</v>
      </c>
      <c r="S275" t="str">
        <f>IF(LEN(R275),"Valid","Invalid")</f>
        <v>Valid</v>
      </c>
      <c r="T275" t="s">
        <v>6861</v>
      </c>
      <c r="V275" t="s">
        <v>123</v>
      </c>
      <c r="X275">
        <v>15510.59</v>
      </c>
      <c r="Y275" t="s">
        <v>63</v>
      </c>
      <c r="Z275">
        <v>414</v>
      </c>
      <c r="AA275">
        <f t="shared" si="9"/>
        <v>414</v>
      </c>
      <c r="AB275" t="s">
        <v>34</v>
      </c>
    </row>
    <row r="276" spans="1:28" x14ac:dyDescent="0.3">
      <c r="A276" t="s">
        <v>6860</v>
      </c>
      <c r="B276" t="s">
        <v>6859</v>
      </c>
      <c r="C276" t="s">
        <v>8042</v>
      </c>
      <c r="D276" t="s">
        <v>74</v>
      </c>
      <c r="E276">
        <v>87</v>
      </c>
      <c r="F276">
        <v>87</v>
      </c>
      <c r="G276" t="s">
        <v>39</v>
      </c>
      <c r="H276" t="s">
        <v>39</v>
      </c>
      <c r="I276" t="s">
        <v>67</v>
      </c>
      <c r="J276" t="s">
        <v>67</v>
      </c>
      <c r="K276" s="1">
        <v>46087</v>
      </c>
      <c r="L276" s="1" t="str">
        <f>IF(K276&gt;O276,"Valid","Invalid")</f>
        <v>Valid</v>
      </c>
      <c r="M276" s="1" t="b">
        <f>ISNUMBER(K276)</f>
        <v>1</v>
      </c>
      <c r="N276" s="1" t="b">
        <f>ISNUMBER(O276)</f>
        <v>1</v>
      </c>
      <c r="O276" s="1">
        <v>46084</v>
      </c>
      <c r="P276" t="s">
        <v>6858</v>
      </c>
      <c r="Q276" t="str">
        <f>SUBSTITUTE(SUBSTITUTE(SUBSTITUTE(P276," ",""),"-",""),"+","")</f>
        <v>09649137520</v>
      </c>
      <c r="R276" t="str">
        <f t="shared" si="8"/>
        <v>9649137520</v>
      </c>
      <c r="S276" t="str">
        <f>IF(LEN(R276),"Valid","Invalid")</f>
        <v>Valid</v>
      </c>
      <c r="T276" t="s">
        <v>6857</v>
      </c>
      <c r="V276" t="s">
        <v>17</v>
      </c>
      <c r="X276">
        <v>7773.42</v>
      </c>
      <c r="Y276" t="s">
        <v>26</v>
      </c>
      <c r="Z276">
        <v>291</v>
      </c>
      <c r="AA276">
        <f t="shared" si="9"/>
        <v>291</v>
      </c>
      <c r="AB276" t="s">
        <v>25</v>
      </c>
    </row>
    <row r="277" spans="1:28" x14ac:dyDescent="0.3">
      <c r="A277" t="s">
        <v>6856</v>
      </c>
      <c r="B277" t="s">
        <v>6855</v>
      </c>
      <c r="C277" t="s">
        <v>6855</v>
      </c>
      <c r="D277" t="s">
        <v>0</v>
      </c>
      <c r="E277">
        <v>66</v>
      </c>
      <c r="F277">
        <v>66</v>
      </c>
      <c r="G277" t="s">
        <v>54</v>
      </c>
      <c r="H277" t="s">
        <v>54</v>
      </c>
      <c r="I277" t="s">
        <v>90</v>
      </c>
      <c r="J277" t="s">
        <v>67</v>
      </c>
      <c r="K277" s="1">
        <v>46080</v>
      </c>
      <c r="L277" s="1" t="str">
        <f>IF(K277&gt;O277,"Valid","Invalid")</f>
        <v>Valid</v>
      </c>
      <c r="M277" s="1" t="b">
        <f>ISNUMBER(K277)</f>
        <v>1</v>
      </c>
      <c r="N277" s="1" t="b">
        <f>ISNUMBER(O277)</f>
        <v>1</v>
      </c>
      <c r="O277" s="1">
        <v>46061</v>
      </c>
      <c r="P277" t="s">
        <v>6854</v>
      </c>
      <c r="Q277" t="str">
        <f>SUBSTITUTE(SUBSTITUTE(SUBSTITUTE(P277," ",""),"-",""),"+","")</f>
        <v>6547085790</v>
      </c>
      <c r="R277" t="str">
        <f t="shared" si="8"/>
        <v>6547085790</v>
      </c>
      <c r="S277" t="str">
        <f>IF(LEN(R277),"Valid","Invalid")</f>
        <v>Valid</v>
      </c>
      <c r="T277" t="s">
        <v>6853</v>
      </c>
      <c r="V277" t="s">
        <v>35</v>
      </c>
      <c r="X277">
        <v>14455.19</v>
      </c>
      <c r="Y277" t="s">
        <v>123</v>
      </c>
      <c r="Z277">
        <v>195</v>
      </c>
      <c r="AA277">
        <f t="shared" si="9"/>
        <v>195</v>
      </c>
      <c r="AB277" t="s">
        <v>16</v>
      </c>
    </row>
    <row r="278" spans="1:28" x14ac:dyDescent="0.3">
      <c r="A278" t="s">
        <v>6852</v>
      </c>
      <c r="B278" t="s">
        <v>6851</v>
      </c>
      <c r="C278" t="s">
        <v>6851</v>
      </c>
      <c r="D278" t="s">
        <v>0</v>
      </c>
      <c r="E278">
        <v>72</v>
      </c>
      <c r="F278">
        <v>72</v>
      </c>
      <c r="G278" t="s">
        <v>39</v>
      </c>
      <c r="H278" t="s">
        <v>39</v>
      </c>
      <c r="I278" t="s">
        <v>85</v>
      </c>
      <c r="J278" t="s">
        <v>85</v>
      </c>
      <c r="K278" s="1">
        <v>46120</v>
      </c>
      <c r="L278" s="1" t="str">
        <f>IF(K278&gt;O278,"Valid","Invalid")</f>
        <v>Valid</v>
      </c>
      <c r="M278" s="1" t="b">
        <f>ISNUMBER(K278)</f>
        <v>1</v>
      </c>
      <c r="N278" s="1" t="b">
        <f>ISNUMBER(O278)</f>
        <v>1</v>
      </c>
      <c r="O278" s="1">
        <v>46111</v>
      </c>
      <c r="P278" t="s">
        <v>6850</v>
      </c>
      <c r="Q278" t="str">
        <f>SUBSTITUTE(SUBSTITUTE(SUBSTITUTE(P278," ",""),"-",""),"+","")</f>
        <v>915969696681</v>
      </c>
      <c r="R278" t="str">
        <f t="shared" si="8"/>
        <v>5969696681</v>
      </c>
      <c r="S278" t="str">
        <f>IF(LEN(R278),"Valid","Invalid")</f>
        <v>Valid</v>
      </c>
      <c r="T278" t="s">
        <v>6849</v>
      </c>
      <c r="V278" t="s">
        <v>35</v>
      </c>
      <c r="X278">
        <v>4840.04</v>
      </c>
      <c r="Y278" t="s">
        <v>123</v>
      </c>
      <c r="Z278">
        <v>417</v>
      </c>
      <c r="AA278">
        <f t="shared" si="9"/>
        <v>417</v>
      </c>
      <c r="AB278" t="s">
        <v>77</v>
      </c>
    </row>
    <row r="279" spans="1:28" x14ac:dyDescent="0.3">
      <c r="A279" t="s">
        <v>6848</v>
      </c>
      <c r="B279" t="s">
        <v>6847</v>
      </c>
      <c r="C279" t="s">
        <v>6847</v>
      </c>
      <c r="D279" t="s">
        <v>60</v>
      </c>
      <c r="E279">
        <v>2</v>
      </c>
      <c r="F279">
        <v>2</v>
      </c>
      <c r="G279" t="s">
        <v>68</v>
      </c>
      <c r="H279" t="s">
        <v>68</v>
      </c>
      <c r="I279" t="s">
        <v>53</v>
      </c>
      <c r="J279" t="s">
        <v>20</v>
      </c>
      <c r="K279" s="1">
        <v>46103</v>
      </c>
      <c r="L279" s="1" t="str">
        <f>IF(K279&gt;O279,"Valid","Invalid")</f>
        <v>Valid</v>
      </c>
      <c r="M279" s="1" t="b">
        <f>ISNUMBER(K279)</f>
        <v>1</v>
      </c>
      <c r="N279" s="1" t="b">
        <f>ISNUMBER(O279)</f>
        <v>1</v>
      </c>
      <c r="O279" s="1">
        <v>46097</v>
      </c>
      <c r="P279" t="s">
        <v>6846</v>
      </c>
      <c r="Q279" t="str">
        <f>SUBSTITUTE(SUBSTITUTE(SUBSTITUTE(P279," ",""),"-",""),"+","")</f>
        <v>2162695003</v>
      </c>
      <c r="R279" t="str">
        <f t="shared" si="8"/>
        <v>2162695003</v>
      </c>
      <c r="S279" t="str">
        <f>IF(LEN(R279),"Valid","Invalid")</f>
        <v>Valid</v>
      </c>
      <c r="T279" t="s">
        <v>6845</v>
      </c>
      <c r="V279" t="s">
        <v>123</v>
      </c>
      <c r="X279">
        <v>24102.959999999999</v>
      </c>
      <c r="Y279" t="s">
        <v>123</v>
      </c>
      <c r="Z279">
        <v>309</v>
      </c>
      <c r="AA279">
        <f t="shared" si="9"/>
        <v>309</v>
      </c>
      <c r="AB279" t="s">
        <v>25</v>
      </c>
    </row>
    <row r="280" spans="1:28" x14ac:dyDescent="0.3">
      <c r="A280" t="s">
        <v>6844</v>
      </c>
      <c r="B280" t="s">
        <v>6843</v>
      </c>
      <c r="C280" t="s">
        <v>8043</v>
      </c>
      <c r="E280">
        <v>54</v>
      </c>
      <c r="F280">
        <v>54</v>
      </c>
      <c r="G280" t="s">
        <v>68</v>
      </c>
      <c r="H280" t="s">
        <v>68</v>
      </c>
      <c r="I280" t="s">
        <v>85</v>
      </c>
      <c r="J280" t="s">
        <v>85</v>
      </c>
      <c r="K280" s="1">
        <v>46117</v>
      </c>
      <c r="L280" s="1" t="str">
        <f>IF(K280&gt;O280,"Valid","Invalid")</f>
        <v>Valid</v>
      </c>
      <c r="M280" s="1" t="b">
        <f>ISNUMBER(K280)</f>
        <v>1</v>
      </c>
      <c r="N280" s="1" t="b">
        <f>ISNUMBER(O280)</f>
        <v>1</v>
      </c>
      <c r="O280" s="1">
        <v>46112</v>
      </c>
      <c r="P280" t="s">
        <v>510</v>
      </c>
      <c r="Q280" t="str">
        <f>SUBSTITUTE(SUBSTITUTE(SUBSTITUTE(P280," ",""),"-",""),"+","")</f>
        <v>12345</v>
      </c>
      <c r="R280" t="str">
        <f t="shared" si="8"/>
        <v>12345</v>
      </c>
      <c r="S280" t="str">
        <f>IF(LEN(R280),"Valid","Invalid")</f>
        <v>Valid</v>
      </c>
      <c r="T280" t="s">
        <v>6842</v>
      </c>
      <c r="V280" t="s">
        <v>64</v>
      </c>
      <c r="X280">
        <v>14221.87</v>
      </c>
      <c r="Y280" t="s">
        <v>57</v>
      </c>
      <c r="Z280">
        <v>249</v>
      </c>
      <c r="AA280">
        <f t="shared" si="9"/>
        <v>249</v>
      </c>
      <c r="AB280" t="s">
        <v>77</v>
      </c>
    </row>
    <row r="281" spans="1:28" x14ac:dyDescent="0.3">
      <c r="A281" t="s">
        <v>6841</v>
      </c>
      <c r="B281" t="s">
        <v>6840</v>
      </c>
      <c r="C281" t="s">
        <v>6840</v>
      </c>
      <c r="D281" t="s">
        <v>22</v>
      </c>
      <c r="E281">
        <v>29</v>
      </c>
      <c r="F281">
        <v>29</v>
      </c>
      <c r="G281" t="s">
        <v>132</v>
      </c>
      <c r="H281" t="s">
        <v>132</v>
      </c>
      <c r="I281" t="s">
        <v>53</v>
      </c>
      <c r="J281" t="s">
        <v>20</v>
      </c>
      <c r="K281" s="1">
        <v>46078</v>
      </c>
      <c r="L281" s="1" t="str">
        <f>IF(K281&gt;O281,"Valid","Invalid")</f>
        <v>Valid</v>
      </c>
      <c r="M281" s="1" t="b">
        <f>ISNUMBER(K281)</f>
        <v>1</v>
      </c>
      <c r="N281" s="1" t="b">
        <f>ISNUMBER(O281)</f>
        <v>1</v>
      </c>
      <c r="O281" s="1">
        <v>46054</v>
      </c>
      <c r="P281" t="s">
        <v>6839</v>
      </c>
      <c r="Q281" t="str">
        <f>SUBSTITUTE(SUBSTITUTE(SUBSTITUTE(P281," ",""),"-",""),"+","")</f>
        <v>914048007433</v>
      </c>
      <c r="R281" t="str">
        <f t="shared" si="8"/>
        <v>4048007433</v>
      </c>
      <c r="S281" t="str">
        <f>IF(LEN(R281),"Valid","Invalid")</f>
        <v>Valid</v>
      </c>
      <c r="T281" t="s">
        <v>6838</v>
      </c>
      <c r="V281" t="s">
        <v>123</v>
      </c>
      <c r="X281">
        <v>14228.13</v>
      </c>
      <c r="Y281" t="s">
        <v>123</v>
      </c>
      <c r="Z281">
        <v>381</v>
      </c>
      <c r="AA281">
        <f t="shared" si="9"/>
        <v>381</v>
      </c>
      <c r="AB281" t="s">
        <v>34</v>
      </c>
    </row>
    <row r="282" spans="1:28" x14ac:dyDescent="0.3">
      <c r="A282" t="s">
        <v>6837</v>
      </c>
      <c r="B282" t="s">
        <v>6836</v>
      </c>
      <c r="C282" t="s">
        <v>6836</v>
      </c>
      <c r="D282" t="s">
        <v>74</v>
      </c>
      <c r="E282">
        <v>74</v>
      </c>
      <c r="F282">
        <v>74</v>
      </c>
      <c r="G282" t="s">
        <v>80</v>
      </c>
      <c r="H282" t="s">
        <v>80</v>
      </c>
      <c r="I282" t="s">
        <v>30</v>
      </c>
      <c r="J282" t="s">
        <v>30</v>
      </c>
      <c r="K282" s="1">
        <v>46086</v>
      </c>
      <c r="L282" s="1" t="str">
        <f>IF(K282&gt;O282,"Valid","Invalid")</f>
        <v>Valid</v>
      </c>
      <c r="M282" s="1" t="b">
        <f>ISNUMBER(K282)</f>
        <v>1</v>
      </c>
      <c r="N282" s="1" t="b">
        <f>ISNUMBER(O282)</f>
        <v>1</v>
      </c>
      <c r="O282" s="1">
        <v>46062</v>
      </c>
      <c r="P282" t="s">
        <v>6835</v>
      </c>
      <c r="Q282" t="str">
        <f>SUBSTITUTE(SUBSTITUTE(SUBSTITUTE(P282," ",""),"-",""),"+","")</f>
        <v>917529180129</v>
      </c>
      <c r="R282" t="str">
        <f t="shared" si="8"/>
        <v>7529180129</v>
      </c>
      <c r="S282" t="str">
        <f>IF(LEN(R282),"Valid","Invalid")</f>
        <v>Valid</v>
      </c>
      <c r="T282" t="s">
        <v>6834</v>
      </c>
      <c r="V282" t="s">
        <v>57</v>
      </c>
      <c r="X282">
        <v>13642.68</v>
      </c>
      <c r="Y282" t="s">
        <v>27</v>
      </c>
      <c r="Z282">
        <v>489</v>
      </c>
      <c r="AA282">
        <f t="shared" si="9"/>
        <v>489</v>
      </c>
      <c r="AB282" t="s">
        <v>25</v>
      </c>
    </row>
    <row r="283" spans="1:28" x14ac:dyDescent="0.3">
      <c r="A283" t="s">
        <v>6833</v>
      </c>
      <c r="B283" t="s">
        <v>6832</v>
      </c>
      <c r="C283" t="s">
        <v>6832</v>
      </c>
      <c r="E283">
        <v>70</v>
      </c>
      <c r="F283">
        <v>70</v>
      </c>
      <c r="G283" t="s">
        <v>21</v>
      </c>
      <c r="H283" t="s">
        <v>21</v>
      </c>
      <c r="I283" t="s">
        <v>90</v>
      </c>
      <c r="J283" t="s">
        <v>67</v>
      </c>
      <c r="K283" s="1">
        <v>46109</v>
      </c>
      <c r="L283" s="1" t="str">
        <f>IF(K283&gt;O283,"Valid","Invalid")</f>
        <v>Valid</v>
      </c>
      <c r="M283" s="1" t="b">
        <f>ISNUMBER(K283)</f>
        <v>1</v>
      </c>
      <c r="N283" s="1" t="b">
        <f>ISNUMBER(O283)</f>
        <v>1</v>
      </c>
      <c r="O283" s="1">
        <v>46106</v>
      </c>
      <c r="P283" t="s">
        <v>6831</v>
      </c>
      <c r="Q283" t="str">
        <f>SUBSTITUTE(SUBSTITUTE(SUBSTITUTE(P283," ",""),"-",""),"+","")</f>
        <v>02291767374</v>
      </c>
      <c r="R283" t="str">
        <f t="shared" si="8"/>
        <v>2291767374</v>
      </c>
      <c r="S283" t="str">
        <f>IF(LEN(R283),"Valid","Invalid")</f>
        <v>Valid</v>
      </c>
      <c r="T283" t="s">
        <v>6830</v>
      </c>
      <c r="V283" t="s">
        <v>17</v>
      </c>
      <c r="X283">
        <v>7583.18</v>
      </c>
      <c r="Y283" t="s">
        <v>27</v>
      </c>
      <c r="Z283">
        <v>330</v>
      </c>
      <c r="AA283">
        <f t="shared" si="9"/>
        <v>330</v>
      </c>
      <c r="AB283" t="s">
        <v>43</v>
      </c>
    </row>
    <row r="284" spans="1:28" x14ac:dyDescent="0.3">
      <c r="A284" t="s">
        <v>6829</v>
      </c>
      <c r="B284" t="s">
        <v>6828</v>
      </c>
      <c r="C284" t="s">
        <v>6828</v>
      </c>
      <c r="D284" t="s">
        <v>60</v>
      </c>
      <c r="E284">
        <v>12</v>
      </c>
      <c r="F284">
        <v>12</v>
      </c>
      <c r="G284" t="s">
        <v>68</v>
      </c>
      <c r="H284" t="s">
        <v>68</v>
      </c>
      <c r="I284" t="s">
        <v>20</v>
      </c>
      <c r="J284" t="s">
        <v>20</v>
      </c>
      <c r="K284" s="1">
        <v>46074</v>
      </c>
      <c r="L284" s="1" t="str">
        <f>IF(K284&gt;O284,"Valid","Invalid")</f>
        <v>Valid</v>
      </c>
      <c r="M284" s="1" t="b">
        <f>ISNUMBER(K284)</f>
        <v>1</v>
      </c>
      <c r="N284" s="1" t="b">
        <f>ISNUMBER(O284)</f>
        <v>1</v>
      </c>
      <c r="O284" s="1">
        <v>46050</v>
      </c>
      <c r="P284" t="s">
        <v>6827</v>
      </c>
      <c r="Q284" t="str">
        <f>SUBSTITUTE(SUBSTITUTE(SUBSTITUTE(P284," ",""),"-",""),"+","")</f>
        <v>9141141540</v>
      </c>
      <c r="R284" t="str">
        <f t="shared" si="8"/>
        <v>9141141540</v>
      </c>
      <c r="S284" t="str">
        <f>IF(LEN(R284),"Valid","Invalid")</f>
        <v>Valid</v>
      </c>
      <c r="T284" t="s">
        <v>6826</v>
      </c>
      <c r="V284" t="s">
        <v>17</v>
      </c>
      <c r="X284">
        <v>5404.98</v>
      </c>
      <c r="Y284" t="s">
        <v>17</v>
      </c>
      <c r="Z284">
        <v>540</v>
      </c>
      <c r="AA284">
        <f t="shared" si="9"/>
        <v>540</v>
      </c>
      <c r="AB284" t="s">
        <v>25</v>
      </c>
    </row>
    <row r="285" spans="1:28" x14ac:dyDescent="0.3">
      <c r="A285" t="s">
        <v>6825</v>
      </c>
      <c r="B285" t="s">
        <v>6824</v>
      </c>
      <c r="C285" t="s">
        <v>6824</v>
      </c>
      <c r="D285" t="s">
        <v>123</v>
      </c>
      <c r="E285">
        <v>22</v>
      </c>
      <c r="F285">
        <v>22</v>
      </c>
      <c r="G285" t="s">
        <v>39</v>
      </c>
      <c r="H285" t="s">
        <v>39</v>
      </c>
      <c r="I285" t="s">
        <v>38</v>
      </c>
      <c r="J285" t="s">
        <v>8077</v>
      </c>
      <c r="K285" s="1">
        <v>46106</v>
      </c>
      <c r="L285" s="1" t="str">
        <f>IF(K285&gt;O285,"Valid","Invalid")</f>
        <v>Valid</v>
      </c>
      <c r="M285" s="1" t="b">
        <f>ISNUMBER(K285)</f>
        <v>1</v>
      </c>
      <c r="N285" s="1" t="b">
        <f>ISNUMBER(O285)</f>
        <v>1</v>
      </c>
      <c r="O285" s="1">
        <v>46080</v>
      </c>
      <c r="P285" t="s">
        <v>6823</v>
      </c>
      <c r="Q285" t="str">
        <f>SUBSTITUTE(SUBSTITUTE(SUBSTITUTE(P285," ",""),"-",""),"+","")</f>
        <v>00802234114</v>
      </c>
      <c r="R285" t="str">
        <f t="shared" si="8"/>
        <v>0802234114</v>
      </c>
      <c r="S285" t="str">
        <f>IF(LEN(R285),"Valid","Invalid")</f>
        <v>Valid</v>
      </c>
      <c r="T285" t="s">
        <v>6822</v>
      </c>
      <c r="V285" t="s">
        <v>17</v>
      </c>
      <c r="X285">
        <v>20174.919999999998</v>
      </c>
      <c r="Y285" t="s">
        <v>17</v>
      </c>
      <c r="Z285">
        <v>372</v>
      </c>
      <c r="AA285">
        <f t="shared" si="9"/>
        <v>372</v>
      </c>
      <c r="AB285" t="s">
        <v>43</v>
      </c>
    </row>
    <row r="286" spans="1:28" x14ac:dyDescent="0.3">
      <c r="A286" t="s">
        <v>6821</v>
      </c>
      <c r="B286" t="s">
        <v>6820</v>
      </c>
      <c r="C286" t="s">
        <v>6820</v>
      </c>
      <c r="D286" t="s">
        <v>0</v>
      </c>
      <c r="E286">
        <v>42</v>
      </c>
      <c r="F286">
        <v>42</v>
      </c>
      <c r="G286" t="s">
        <v>132</v>
      </c>
      <c r="H286" t="s">
        <v>132</v>
      </c>
      <c r="I286" t="s">
        <v>30</v>
      </c>
      <c r="J286" t="s">
        <v>30</v>
      </c>
      <c r="K286" s="1">
        <v>46148</v>
      </c>
      <c r="L286" s="1" t="str">
        <f>IF(K286&gt;O286,"Valid","Invalid")</f>
        <v>Valid</v>
      </c>
      <c r="M286" s="1" t="b">
        <f>ISNUMBER(K286)</f>
        <v>1</v>
      </c>
      <c r="N286" s="1" t="b">
        <f>ISNUMBER(O286)</f>
        <v>1</v>
      </c>
      <c r="O286" s="1">
        <v>46130</v>
      </c>
      <c r="P286" t="s">
        <v>6819</v>
      </c>
      <c r="Q286" t="str">
        <f>SUBSTITUTE(SUBSTITUTE(SUBSTITUTE(P286," ",""),"-",""),"+","")</f>
        <v>916214411105</v>
      </c>
      <c r="R286" t="str">
        <f t="shared" si="8"/>
        <v>6214411105</v>
      </c>
      <c r="S286" t="str">
        <f>IF(LEN(R286),"Valid","Invalid")</f>
        <v>Valid</v>
      </c>
      <c r="T286" t="s">
        <v>6818</v>
      </c>
      <c r="V286" t="s">
        <v>26</v>
      </c>
      <c r="X286">
        <v>23819.45</v>
      </c>
      <c r="Y286" t="s">
        <v>64</v>
      </c>
      <c r="Z286">
        <v>169</v>
      </c>
      <c r="AA286">
        <f t="shared" si="9"/>
        <v>169</v>
      </c>
      <c r="AB286" t="s">
        <v>50</v>
      </c>
    </row>
    <row r="287" spans="1:28" x14ac:dyDescent="0.3">
      <c r="A287" t="s">
        <v>6817</v>
      </c>
      <c r="B287" t="s">
        <v>6816</v>
      </c>
      <c r="C287" t="s">
        <v>6816</v>
      </c>
      <c r="D287" t="s">
        <v>123</v>
      </c>
      <c r="E287">
        <v>8</v>
      </c>
      <c r="F287">
        <v>8</v>
      </c>
      <c r="G287" t="s">
        <v>132</v>
      </c>
      <c r="H287" t="s">
        <v>132</v>
      </c>
      <c r="I287" t="s">
        <v>53</v>
      </c>
      <c r="J287" t="s">
        <v>20</v>
      </c>
      <c r="K287" s="1">
        <v>46154</v>
      </c>
      <c r="L287" s="1" t="str">
        <f>IF(K287&gt;O287,"Valid","Invalid")</f>
        <v>Valid</v>
      </c>
      <c r="M287" s="1" t="b">
        <f>ISNUMBER(K287)</f>
        <v>1</v>
      </c>
      <c r="N287" s="1" t="b">
        <f>ISNUMBER(O287)</f>
        <v>1</v>
      </c>
      <c r="O287" s="1">
        <v>46132</v>
      </c>
      <c r="P287" t="s">
        <v>6815</v>
      </c>
      <c r="Q287" t="str">
        <f>SUBSTITUTE(SUBSTITUTE(SUBSTITUTE(P287," ",""),"-",""),"+","")</f>
        <v>8961186908</v>
      </c>
      <c r="R287" t="str">
        <f t="shared" si="8"/>
        <v>8961186908</v>
      </c>
      <c r="S287" t="str">
        <f>IF(LEN(R287),"Valid","Invalid")</f>
        <v>Valid</v>
      </c>
      <c r="T287" t="s">
        <v>6814</v>
      </c>
      <c r="V287" t="s">
        <v>35</v>
      </c>
      <c r="X287">
        <v>6392</v>
      </c>
      <c r="Y287" t="s">
        <v>17</v>
      </c>
      <c r="Z287">
        <v>524</v>
      </c>
      <c r="AA287">
        <f t="shared" si="9"/>
        <v>524</v>
      </c>
      <c r="AB287" t="s">
        <v>71</v>
      </c>
    </row>
    <row r="288" spans="1:28" x14ac:dyDescent="0.3">
      <c r="A288" t="s">
        <v>6813</v>
      </c>
      <c r="B288" t="s">
        <v>6812</v>
      </c>
      <c r="C288" t="s">
        <v>6812</v>
      </c>
      <c r="D288" t="s">
        <v>123</v>
      </c>
      <c r="E288">
        <v>63</v>
      </c>
      <c r="F288">
        <v>63</v>
      </c>
      <c r="G288" t="s">
        <v>39</v>
      </c>
      <c r="H288" t="s">
        <v>39</v>
      </c>
      <c r="I288" t="s">
        <v>30</v>
      </c>
      <c r="J288" t="s">
        <v>30</v>
      </c>
      <c r="K288" s="1">
        <v>46116</v>
      </c>
      <c r="L288" s="1" t="str">
        <f>IF(K288&gt;O288,"Valid","Invalid")</f>
        <v>Valid</v>
      </c>
      <c r="M288" s="1" t="b">
        <f>ISNUMBER(K288)</f>
        <v>1</v>
      </c>
      <c r="N288" s="1" t="b">
        <f>ISNUMBER(O288)</f>
        <v>1</v>
      </c>
      <c r="O288" s="1">
        <v>46096</v>
      </c>
      <c r="P288" t="s">
        <v>6811</v>
      </c>
      <c r="Q288" t="str">
        <f>SUBSTITUTE(SUBSTITUTE(SUBSTITUTE(P288," ",""),"-",""),"+","")</f>
        <v>915220065268</v>
      </c>
      <c r="R288" t="str">
        <f t="shared" si="8"/>
        <v>5220065268</v>
      </c>
      <c r="S288" t="str">
        <f>IF(LEN(R288),"Valid","Invalid")</f>
        <v>Valid</v>
      </c>
      <c r="T288" t="s">
        <v>6810</v>
      </c>
      <c r="V288" t="s">
        <v>123</v>
      </c>
      <c r="X288">
        <v>9504.27</v>
      </c>
      <c r="Y288" t="s">
        <v>64</v>
      </c>
      <c r="Z288">
        <v>424</v>
      </c>
      <c r="AA288">
        <f t="shared" si="9"/>
        <v>424</v>
      </c>
      <c r="AB288" t="s">
        <v>50</v>
      </c>
    </row>
    <row r="289" spans="1:28" x14ac:dyDescent="0.3">
      <c r="A289" t="s">
        <v>6809</v>
      </c>
      <c r="B289" t="s">
        <v>6808</v>
      </c>
      <c r="C289" t="s">
        <v>6808</v>
      </c>
      <c r="D289" t="s">
        <v>74</v>
      </c>
      <c r="E289">
        <v>52</v>
      </c>
      <c r="F289">
        <v>52</v>
      </c>
      <c r="G289" t="s">
        <v>132</v>
      </c>
      <c r="H289" t="s">
        <v>132</v>
      </c>
      <c r="I289" t="s">
        <v>67</v>
      </c>
      <c r="J289" t="s">
        <v>67</v>
      </c>
      <c r="K289" s="1">
        <v>46096</v>
      </c>
      <c r="L289" s="1" t="str">
        <f>IF(K289&gt;O289,"Valid","Invalid")</f>
        <v>Valid</v>
      </c>
      <c r="M289" s="1" t="b">
        <f>ISNUMBER(K289)</f>
        <v>1</v>
      </c>
      <c r="N289" s="1" t="b">
        <f>ISNUMBER(O289)</f>
        <v>1</v>
      </c>
      <c r="O289" s="1">
        <v>46082</v>
      </c>
      <c r="P289" t="s">
        <v>6807</v>
      </c>
      <c r="Q289" t="str">
        <f>SUBSTITUTE(SUBSTITUTE(SUBSTITUTE(P289," ",""),"-",""),"+","")</f>
        <v>911821682648</v>
      </c>
      <c r="R289" t="str">
        <f t="shared" si="8"/>
        <v>1821682648</v>
      </c>
      <c r="S289" t="str">
        <f>IF(LEN(R289),"Valid","Invalid")</f>
        <v>Valid</v>
      </c>
      <c r="T289" t="s">
        <v>6806</v>
      </c>
      <c r="V289" t="s">
        <v>123</v>
      </c>
      <c r="X289">
        <v>8316.77</v>
      </c>
      <c r="Y289" t="s">
        <v>27</v>
      </c>
      <c r="Z289">
        <v>544</v>
      </c>
      <c r="AA289">
        <f t="shared" si="9"/>
        <v>544</v>
      </c>
      <c r="AB289" t="s">
        <v>50</v>
      </c>
    </row>
    <row r="290" spans="1:28" x14ac:dyDescent="0.3">
      <c r="A290" t="s">
        <v>6805</v>
      </c>
      <c r="B290" t="s">
        <v>6804</v>
      </c>
      <c r="C290" t="s">
        <v>6804</v>
      </c>
      <c r="D290" t="s">
        <v>74</v>
      </c>
      <c r="E290">
        <v>59</v>
      </c>
      <c r="F290">
        <v>59</v>
      </c>
      <c r="G290" t="s">
        <v>31</v>
      </c>
      <c r="H290" t="s">
        <v>31</v>
      </c>
      <c r="I290" t="s">
        <v>20</v>
      </c>
      <c r="J290" t="s">
        <v>20</v>
      </c>
      <c r="K290" s="1">
        <v>46040</v>
      </c>
      <c r="L290" s="1" t="str">
        <f>IF(K290&gt;O290,"Valid","Invalid")</f>
        <v>Valid</v>
      </c>
      <c r="M290" s="1" t="b">
        <f>ISNUMBER(K290)</f>
        <v>1</v>
      </c>
      <c r="N290" s="1" t="b">
        <f>ISNUMBER(O290)</f>
        <v>1</v>
      </c>
      <c r="O290" s="1">
        <v>46015</v>
      </c>
      <c r="P290" t="s">
        <v>6803</v>
      </c>
      <c r="Q290" t="str">
        <f>SUBSTITUTE(SUBSTITUTE(SUBSTITUTE(P290," ",""),"-",""),"+","")</f>
        <v>03843157191</v>
      </c>
      <c r="R290" t="str">
        <f t="shared" si="8"/>
        <v>3843157191</v>
      </c>
      <c r="S290" t="str">
        <f>IF(LEN(R290),"Valid","Invalid")</f>
        <v>Valid</v>
      </c>
      <c r="T290" t="s">
        <v>6802</v>
      </c>
      <c r="V290" t="s">
        <v>123</v>
      </c>
      <c r="X290">
        <v>5602.18</v>
      </c>
      <c r="Y290" t="s">
        <v>123</v>
      </c>
      <c r="Z290">
        <v>522</v>
      </c>
      <c r="AA290">
        <f t="shared" si="9"/>
        <v>522</v>
      </c>
      <c r="AB290" t="s">
        <v>71</v>
      </c>
    </row>
    <row r="291" spans="1:28" x14ac:dyDescent="0.3">
      <c r="A291" t="s">
        <v>6801</v>
      </c>
      <c r="B291" t="s">
        <v>6800</v>
      </c>
      <c r="C291" t="s">
        <v>6800</v>
      </c>
      <c r="E291">
        <v>35</v>
      </c>
      <c r="F291">
        <v>35</v>
      </c>
      <c r="G291" t="s">
        <v>31</v>
      </c>
      <c r="H291" t="s">
        <v>31</v>
      </c>
      <c r="I291" t="s">
        <v>30</v>
      </c>
      <c r="J291" t="s">
        <v>30</v>
      </c>
      <c r="K291" s="1">
        <v>46014</v>
      </c>
      <c r="L291" s="1" t="str">
        <f>IF(K291&gt;O291,"Valid","Invalid")</f>
        <v>Valid</v>
      </c>
      <c r="M291" s="1" t="b">
        <f>ISNUMBER(K291)</f>
        <v>1</v>
      </c>
      <c r="N291" s="1" t="b">
        <f>ISNUMBER(O291)</f>
        <v>1</v>
      </c>
      <c r="O291" s="1">
        <v>46004</v>
      </c>
      <c r="P291" t="s">
        <v>6799</v>
      </c>
      <c r="Q291" t="str">
        <f>SUBSTITUTE(SUBSTITUTE(SUBSTITUTE(P291," ",""),"-",""),"+","")</f>
        <v>05670004338</v>
      </c>
      <c r="R291" t="str">
        <f t="shared" si="8"/>
        <v>5670004338</v>
      </c>
      <c r="S291" t="str">
        <f>IF(LEN(R291),"Valid","Invalid")</f>
        <v>Valid</v>
      </c>
      <c r="T291" t="s">
        <v>6798</v>
      </c>
      <c r="V291" t="s">
        <v>35</v>
      </c>
      <c r="X291">
        <v>14240.32</v>
      </c>
      <c r="Y291" t="s">
        <v>123</v>
      </c>
      <c r="Z291">
        <v>503</v>
      </c>
      <c r="AA291">
        <f t="shared" si="9"/>
        <v>503</v>
      </c>
      <c r="AB291" t="s">
        <v>43</v>
      </c>
    </row>
    <row r="292" spans="1:28" x14ac:dyDescent="0.3">
      <c r="A292" t="s">
        <v>6793</v>
      </c>
      <c r="B292" t="s">
        <v>6792</v>
      </c>
      <c r="C292" t="s">
        <v>6792</v>
      </c>
      <c r="D292" t="s">
        <v>40</v>
      </c>
      <c r="E292">
        <v>55</v>
      </c>
      <c r="F292">
        <v>55</v>
      </c>
      <c r="G292" t="s">
        <v>21</v>
      </c>
      <c r="H292" t="s">
        <v>21</v>
      </c>
      <c r="I292" t="s">
        <v>53</v>
      </c>
      <c r="J292" t="s">
        <v>20</v>
      </c>
      <c r="K292" s="1">
        <v>46025</v>
      </c>
      <c r="L292" s="1" t="str">
        <f>IF(K292&gt;O292,"Valid","Invalid")</f>
        <v>Valid</v>
      </c>
      <c r="M292" s="1" t="b">
        <f>ISNUMBER(K292)</f>
        <v>1</v>
      </c>
      <c r="N292" s="1" t="b">
        <f>ISNUMBER(O292)</f>
        <v>1</v>
      </c>
      <c r="O292" s="1">
        <v>45997</v>
      </c>
      <c r="P292" t="s">
        <v>6791</v>
      </c>
      <c r="Q292" t="str">
        <f>SUBSTITUTE(SUBSTITUTE(SUBSTITUTE(P292," ",""),"-",""),"+","")</f>
        <v>3923745916</v>
      </c>
      <c r="R292" t="str">
        <f t="shared" si="8"/>
        <v>3923745916</v>
      </c>
      <c r="S292" t="str">
        <f>IF(LEN(R292),"Valid","Invalid")</f>
        <v>Valid</v>
      </c>
      <c r="T292" t="s">
        <v>6790</v>
      </c>
      <c r="V292" t="s">
        <v>26</v>
      </c>
      <c r="X292">
        <v>4142.6400000000003</v>
      </c>
      <c r="Y292" t="s">
        <v>63</v>
      </c>
      <c r="Z292">
        <v>147</v>
      </c>
      <c r="AA292">
        <f t="shared" si="9"/>
        <v>147</v>
      </c>
      <c r="AB292" t="s">
        <v>25</v>
      </c>
    </row>
    <row r="293" spans="1:28" x14ac:dyDescent="0.3">
      <c r="A293" t="s">
        <v>6789</v>
      </c>
      <c r="B293" t="s">
        <v>6788</v>
      </c>
      <c r="C293" t="s">
        <v>6788</v>
      </c>
      <c r="D293" t="s">
        <v>60</v>
      </c>
      <c r="E293">
        <v>33</v>
      </c>
      <c r="F293">
        <v>33</v>
      </c>
      <c r="G293" t="s">
        <v>80</v>
      </c>
      <c r="H293" t="s">
        <v>80</v>
      </c>
      <c r="I293" t="s">
        <v>67</v>
      </c>
      <c r="J293" t="s">
        <v>67</v>
      </c>
      <c r="K293" s="1">
        <v>46064</v>
      </c>
      <c r="L293" s="1" t="str">
        <f>IF(K293&gt;O293,"Valid","Invalid")</f>
        <v>Valid</v>
      </c>
      <c r="M293" s="1" t="b">
        <f>ISNUMBER(K293)</f>
        <v>1</v>
      </c>
      <c r="N293" s="1" t="b">
        <f>ISNUMBER(O293)</f>
        <v>1</v>
      </c>
      <c r="O293" s="1">
        <v>46043</v>
      </c>
      <c r="P293" t="s">
        <v>6787</v>
      </c>
      <c r="Q293" t="str">
        <f>SUBSTITUTE(SUBSTITUTE(SUBSTITUTE(P293," ",""),"-",""),"+","")</f>
        <v>7158084369</v>
      </c>
      <c r="R293" t="str">
        <f t="shared" si="8"/>
        <v>7158084369</v>
      </c>
      <c r="S293" t="str">
        <f>IF(LEN(R293),"Valid","Invalid")</f>
        <v>Valid</v>
      </c>
      <c r="T293" t="s">
        <v>6786</v>
      </c>
      <c r="V293" t="s">
        <v>35</v>
      </c>
      <c r="X293">
        <v>1484.32</v>
      </c>
      <c r="Y293" t="s">
        <v>63</v>
      </c>
      <c r="Z293">
        <v>471</v>
      </c>
      <c r="AA293">
        <f t="shared" si="9"/>
        <v>471</v>
      </c>
      <c r="AB293" t="s">
        <v>25</v>
      </c>
    </row>
    <row r="294" spans="1:28" x14ac:dyDescent="0.3">
      <c r="A294" t="s">
        <v>6781</v>
      </c>
      <c r="B294" t="s">
        <v>6780</v>
      </c>
      <c r="C294" t="s">
        <v>6780</v>
      </c>
      <c r="E294">
        <v>2</v>
      </c>
      <c r="F294">
        <v>2</v>
      </c>
      <c r="G294" t="s">
        <v>47</v>
      </c>
      <c r="H294" t="s">
        <v>47</v>
      </c>
      <c r="I294" t="s">
        <v>67</v>
      </c>
      <c r="J294" t="s">
        <v>67</v>
      </c>
      <c r="K294" s="1">
        <v>46083</v>
      </c>
      <c r="L294" s="1" t="str">
        <f>IF(K294&gt;O294,"Valid","Invalid")</f>
        <v>Valid</v>
      </c>
      <c r="M294" s="1" t="b">
        <f>ISNUMBER(K294)</f>
        <v>1</v>
      </c>
      <c r="N294" s="1" t="b">
        <f>ISNUMBER(O294)</f>
        <v>1</v>
      </c>
      <c r="O294" s="1">
        <v>46057</v>
      </c>
      <c r="P294" t="s">
        <v>6779</v>
      </c>
      <c r="Q294" t="str">
        <f>SUBSTITUTE(SUBSTITUTE(SUBSTITUTE(P294," ",""),"-",""),"+","")</f>
        <v>911625384347</v>
      </c>
      <c r="R294" t="str">
        <f t="shared" si="8"/>
        <v>1625384347</v>
      </c>
      <c r="S294" t="str">
        <f>IF(LEN(R294),"Valid","Invalid")</f>
        <v>Valid</v>
      </c>
      <c r="T294" t="s">
        <v>6778</v>
      </c>
      <c r="V294" t="s">
        <v>64</v>
      </c>
      <c r="X294">
        <v>24706.240000000002</v>
      </c>
      <c r="Y294" t="s">
        <v>123</v>
      </c>
      <c r="Z294">
        <v>455</v>
      </c>
      <c r="AA294">
        <f t="shared" si="9"/>
        <v>455</v>
      </c>
      <c r="AB294" t="s">
        <v>71</v>
      </c>
    </row>
    <row r="295" spans="1:28" x14ac:dyDescent="0.3">
      <c r="A295" t="s">
        <v>6777</v>
      </c>
      <c r="B295" t="s">
        <v>6776</v>
      </c>
      <c r="C295" t="s">
        <v>6776</v>
      </c>
      <c r="E295">
        <v>10</v>
      </c>
      <c r="F295">
        <v>10</v>
      </c>
      <c r="G295" t="s">
        <v>21</v>
      </c>
      <c r="H295" t="s">
        <v>21</v>
      </c>
      <c r="I295" t="s">
        <v>90</v>
      </c>
      <c r="J295" t="s">
        <v>67</v>
      </c>
      <c r="K295" s="1">
        <v>46046</v>
      </c>
      <c r="L295" s="1" t="str">
        <f>IF(K295&gt;O295,"Valid","Invalid")</f>
        <v>Valid</v>
      </c>
      <c r="M295" s="1" t="b">
        <f>ISNUMBER(K295)</f>
        <v>1</v>
      </c>
      <c r="N295" s="1" t="b">
        <f>ISNUMBER(O295)</f>
        <v>1</v>
      </c>
      <c r="O295" s="1">
        <v>46044</v>
      </c>
      <c r="P295" t="s">
        <v>6775</v>
      </c>
      <c r="Q295" t="str">
        <f>SUBSTITUTE(SUBSTITUTE(SUBSTITUTE(P295," ",""),"-",""),"+","")</f>
        <v>918575348711</v>
      </c>
      <c r="R295" t="str">
        <f t="shared" si="8"/>
        <v>8575348711</v>
      </c>
      <c r="S295" t="str">
        <f>IF(LEN(R295),"Valid","Invalid")</f>
        <v>Valid</v>
      </c>
      <c r="T295" t="s">
        <v>6774</v>
      </c>
      <c r="V295" t="s">
        <v>64</v>
      </c>
      <c r="X295">
        <v>2759.4</v>
      </c>
      <c r="Y295" t="s">
        <v>17</v>
      </c>
      <c r="Z295">
        <v>253</v>
      </c>
      <c r="AA295">
        <f t="shared" si="9"/>
        <v>253</v>
      </c>
      <c r="AB295" t="s">
        <v>71</v>
      </c>
    </row>
    <row r="296" spans="1:28" x14ac:dyDescent="0.3">
      <c r="A296" t="s">
        <v>6773</v>
      </c>
      <c r="B296" t="s">
        <v>6772</v>
      </c>
      <c r="C296" t="s">
        <v>6772</v>
      </c>
      <c r="D296" t="s">
        <v>123</v>
      </c>
      <c r="E296">
        <v>18</v>
      </c>
      <c r="F296">
        <v>18</v>
      </c>
      <c r="G296" t="s">
        <v>39</v>
      </c>
      <c r="H296" t="s">
        <v>39</v>
      </c>
      <c r="I296" t="s">
        <v>20</v>
      </c>
      <c r="J296" t="s">
        <v>20</v>
      </c>
      <c r="K296" s="1">
        <v>46036</v>
      </c>
      <c r="L296" s="1" t="str">
        <f>IF(K296&gt;O296,"Valid","Invalid")</f>
        <v>Valid</v>
      </c>
      <c r="M296" s="1" t="b">
        <f>ISNUMBER(K296)</f>
        <v>1</v>
      </c>
      <c r="N296" s="1" t="b">
        <f>ISNUMBER(O296)</f>
        <v>1</v>
      </c>
      <c r="O296" s="1">
        <v>46020</v>
      </c>
      <c r="P296" t="s">
        <v>6771</v>
      </c>
      <c r="Q296" t="str">
        <f>SUBSTITUTE(SUBSTITUTE(SUBSTITUTE(P296," ",""),"-",""),"+","")</f>
        <v>914352771950</v>
      </c>
      <c r="R296" t="str">
        <f t="shared" si="8"/>
        <v>4352771950</v>
      </c>
      <c r="S296" t="str">
        <f>IF(LEN(R296),"Valid","Invalid")</f>
        <v>Valid</v>
      </c>
      <c r="T296" t="s">
        <v>6770</v>
      </c>
      <c r="V296" t="s">
        <v>27</v>
      </c>
      <c r="X296">
        <v>15335.92</v>
      </c>
      <c r="Y296" t="s">
        <v>26</v>
      </c>
      <c r="Z296">
        <v>325</v>
      </c>
      <c r="AA296">
        <f t="shared" si="9"/>
        <v>325</v>
      </c>
      <c r="AB296" t="s">
        <v>43</v>
      </c>
    </row>
    <row r="297" spans="1:28" x14ac:dyDescent="0.3">
      <c r="A297" t="s">
        <v>6769</v>
      </c>
      <c r="B297" t="s">
        <v>6768</v>
      </c>
      <c r="C297" t="s">
        <v>6768</v>
      </c>
      <c r="D297" t="s">
        <v>1</v>
      </c>
      <c r="E297">
        <v>81</v>
      </c>
      <c r="F297">
        <v>81</v>
      </c>
      <c r="G297" t="s">
        <v>39</v>
      </c>
      <c r="H297" t="s">
        <v>39</v>
      </c>
      <c r="I297" t="s">
        <v>90</v>
      </c>
      <c r="J297" t="s">
        <v>67</v>
      </c>
      <c r="K297" s="1">
        <v>46152</v>
      </c>
      <c r="L297" s="1" t="str">
        <f>IF(K297&gt;O297,"Valid","Invalid")</f>
        <v>Valid</v>
      </c>
      <c r="M297" s="1" t="b">
        <f>ISNUMBER(K297)</f>
        <v>1</v>
      </c>
      <c r="N297" s="1" t="b">
        <f>ISNUMBER(O297)</f>
        <v>1</v>
      </c>
      <c r="O297" s="1">
        <v>46133</v>
      </c>
      <c r="P297" t="s">
        <v>6767</v>
      </c>
      <c r="Q297" t="str">
        <f>SUBSTITUTE(SUBSTITUTE(SUBSTITUTE(P297," ",""),"-",""),"+","")</f>
        <v>9541741902</v>
      </c>
      <c r="R297" t="str">
        <f t="shared" si="8"/>
        <v>9541741902</v>
      </c>
      <c r="S297" t="str">
        <f>IF(LEN(R297),"Valid","Invalid")</f>
        <v>Valid</v>
      </c>
      <c r="T297" t="s">
        <v>6766</v>
      </c>
      <c r="V297" t="s">
        <v>123</v>
      </c>
      <c r="X297">
        <v>21527.07</v>
      </c>
      <c r="Y297" t="s">
        <v>64</v>
      </c>
      <c r="Z297">
        <v>151</v>
      </c>
      <c r="AA297">
        <f t="shared" si="9"/>
        <v>151</v>
      </c>
      <c r="AB297" t="s">
        <v>71</v>
      </c>
    </row>
    <row r="298" spans="1:28" x14ac:dyDescent="0.3">
      <c r="A298" t="s">
        <v>6761</v>
      </c>
      <c r="B298" t="s">
        <v>6760</v>
      </c>
      <c r="C298" t="s">
        <v>6760</v>
      </c>
      <c r="D298" t="s">
        <v>74</v>
      </c>
      <c r="E298">
        <v>32</v>
      </c>
      <c r="F298">
        <v>32</v>
      </c>
      <c r="G298" t="s">
        <v>132</v>
      </c>
      <c r="H298" t="s">
        <v>132</v>
      </c>
      <c r="I298" t="s">
        <v>46</v>
      </c>
      <c r="J298" t="s">
        <v>46</v>
      </c>
      <c r="K298" s="1">
        <v>46174</v>
      </c>
      <c r="L298" s="1" t="str">
        <f>IF(K298&gt;O298,"Valid","Invalid")</f>
        <v>Valid</v>
      </c>
      <c r="M298" s="1" t="b">
        <f>ISNUMBER(K298)</f>
        <v>1</v>
      </c>
      <c r="N298" s="1" t="b">
        <f>ISNUMBER(O298)</f>
        <v>1</v>
      </c>
      <c r="O298" s="1">
        <v>46147</v>
      </c>
      <c r="P298" t="s">
        <v>6759</v>
      </c>
      <c r="Q298" t="str">
        <f>SUBSTITUTE(SUBSTITUTE(SUBSTITUTE(P298," ",""),"-",""),"+","")</f>
        <v>04880252954</v>
      </c>
      <c r="R298" t="str">
        <f t="shared" si="8"/>
        <v>4880252954</v>
      </c>
      <c r="S298" t="str">
        <f>IF(LEN(R298),"Valid","Invalid")</f>
        <v>Valid</v>
      </c>
      <c r="T298" t="s">
        <v>6758</v>
      </c>
      <c r="V298" t="s">
        <v>26</v>
      </c>
      <c r="X298">
        <v>5295.05</v>
      </c>
      <c r="Y298" t="s">
        <v>57</v>
      </c>
      <c r="Z298">
        <v>482</v>
      </c>
      <c r="AA298">
        <f t="shared" si="9"/>
        <v>482</v>
      </c>
      <c r="AB298" t="s">
        <v>16</v>
      </c>
    </row>
    <row r="299" spans="1:28" x14ac:dyDescent="0.3">
      <c r="A299" t="s">
        <v>6757</v>
      </c>
      <c r="B299" t="s">
        <v>6756</v>
      </c>
      <c r="C299" t="s">
        <v>6756</v>
      </c>
      <c r="D299" t="s">
        <v>22</v>
      </c>
      <c r="E299">
        <v>83</v>
      </c>
      <c r="F299">
        <v>83</v>
      </c>
      <c r="G299" t="s">
        <v>47</v>
      </c>
      <c r="H299" t="s">
        <v>47</v>
      </c>
      <c r="I299" t="s">
        <v>38</v>
      </c>
      <c r="J299" t="s">
        <v>8077</v>
      </c>
      <c r="K299" s="1">
        <v>46089</v>
      </c>
      <c r="L299" s="1" t="str">
        <f>IF(K299&gt;O299,"Valid","Invalid")</f>
        <v>Valid</v>
      </c>
      <c r="M299" s="1" t="b">
        <f>ISNUMBER(K299)</f>
        <v>1</v>
      </c>
      <c r="N299" s="1" t="b">
        <f>ISNUMBER(O299)</f>
        <v>1</v>
      </c>
      <c r="O299" s="1">
        <v>46074</v>
      </c>
      <c r="P299" t="s">
        <v>6755</v>
      </c>
      <c r="Q299" t="str">
        <f>SUBSTITUTE(SUBSTITUTE(SUBSTITUTE(P299," ",""),"-",""),"+","")</f>
        <v>00258083790</v>
      </c>
      <c r="R299" t="str">
        <f t="shared" si="8"/>
        <v>0258083790</v>
      </c>
      <c r="S299" t="str">
        <f>IF(LEN(R299),"Valid","Invalid")</f>
        <v>Valid</v>
      </c>
      <c r="T299" t="s">
        <v>6754</v>
      </c>
      <c r="V299" t="s">
        <v>123</v>
      </c>
      <c r="X299">
        <v>2996.04</v>
      </c>
      <c r="Y299" t="s">
        <v>123</v>
      </c>
      <c r="Z299">
        <v>426</v>
      </c>
      <c r="AA299">
        <f t="shared" si="9"/>
        <v>426</v>
      </c>
      <c r="AB299" t="s">
        <v>34</v>
      </c>
    </row>
    <row r="300" spans="1:28" x14ac:dyDescent="0.3">
      <c r="A300" t="s">
        <v>6753</v>
      </c>
      <c r="B300" t="s">
        <v>6752</v>
      </c>
      <c r="C300" t="s">
        <v>6752</v>
      </c>
      <c r="D300" t="s">
        <v>74</v>
      </c>
      <c r="E300">
        <v>68</v>
      </c>
      <c r="F300">
        <v>68</v>
      </c>
      <c r="G300" t="s">
        <v>47</v>
      </c>
      <c r="H300" t="s">
        <v>47</v>
      </c>
      <c r="I300" t="s">
        <v>67</v>
      </c>
      <c r="J300" t="s">
        <v>67</v>
      </c>
      <c r="K300" s="1">
        <v>46067</v>
      </c>
      <c r="L300" s="1" t="str">
        <f>IF(K300&gt;O300,"Valid","Invalid")</f>
        <v>Valid</v>
      </c>
      <c r="M300" s="1" t="b">
        <f>ISNUMBER(K300)</f>
        <v>1</v>
      </c>
      <c r="N300" s="1" t="b">
        <f>ISNUMBER(O300)</f>
        <v>1</v>
      </c>
      <c r="O300" s="1">
        <v>46038</v>
      </c>
      <c r="P300" t="s">
        <v>6751</v>
      </c>
      <c r="Q300" t="str">
        <f>SUBSTITUTE(SUBSTITUTE(SUBSTITUTE(P300," ",""),"-",""),"+","")</f>
        <v>09765746637</v>
      </c>
      <c r="R300" t="str">
        <f t="shared" si="8"/>
        <v>9765746637</v>
      </c>
      <c r="S300" t="str">
        <f>IF(LEN(R300),"Valid","Invalid")</f>
        <v>Valid</v>
      </c>
      <c r="T300" t="s">
        <v>6750</v>
      </c>
      <c r="V300" t="s">
        <v>57</v>
      </c>
      <c r="X300">
        <v>3473.18</v>
      </c>
      <c r="Y300" t="s">
        <v>123</v>
      </c>
      <c r="Z300">
        <v>287</v>
      </c>
      <c r="AA300">
        <f t="shared" si="9"/>
        <v>287</v>
      </c>
      <c r="AB300" t="s">
        <v>34</v>
      </c>
    </row>
    <row r="301" spans="1:28" x14ac:dyDescent="0.3">
      <c r="A301" t="s">
        <v>6749</v>
      </c>
      <c r="B301" t="s">
        <v>6748</v>
      </c>
      <c r="C301" t="s">
        <v>6748</v>
      </c>
      <c r="D301" t="s">
        <v>0</v>
      </c>
      <c r="E301">
        <v>61</v>
      </c>
      <c r="F301">
        <v>61</v>
      </c>
      <c r="G301" t="s">
        <v>80</v>
      </c>
      <c r="H301" t="s">
        <v>80</v>
      </c>
      <c r="I301" t="s">
        <v>46</v>
      </c>
      <c r="J301" t="s">
        <v>46</v>
      </c>
      <c r="K301" s="1">
        <v>46067</v>
      </c>
      <c r="L301" s="1" t="str">
        <f>IF(K301&gt;O301,"Valid","Invalid")</f>
        <v>Valid</v>
      </c>
      <c r="M301" s="1" t="b">
        <f>ISNUMBER(K301)</f>
        <v>1</v>
      </c>
      <c r="N301" s="1" t="b">
        <f>ISNUMBER(O301)</f>
        <v>1</v>
      </c>
      <c r="O301" s="1">
        <v>46049</v>
      </c>
      <c r="P301" t="s">
        <v>6747</v>
      </c>
      <c r="Q301" t="str">
        <f>SUBSTITUTE(SUBSTITUTE(SUBSTITUTE(P301," ",""),"-",""),"+","")</f>
        <v>914672213718</v>
      </c>
      <c r="R301" t="str">
        <f t="shared" si="8"/>
        <v>4672213718</v>
      </c>
      <c r="S301" t="str">
        <f>IF(LEN(R301),"Valid","Invalid")</f>
        <v>Valid</v>
      </c>
      <c r="T301" t="s">
        <v>6746</v>
      </c>
      <c r="V301" t="s">
        <v>64</v>
      </c>
      <c r="X301">
        <v>542.08000000000004</v>
      </c>
      <c r="Y301" t="s">
        <v>57</v>
      </c>
      <c r="Z301">
        <v>120</v>
      </c>
      <c r="AA301">
        <f t="shared" si="9"/>
        <v>120</v>
      </c>
      <c r="AB301" t="s">
        <v>77</v>
      </c>
    </row>
    <row r="302" spans="1:28" x14ac:dyDescent="0.3">
      <c r="A302" t="s">
        <v>6745</v>
      </c>
      <c r="B302" t="s">
        <v>6744</v>
      </c>
      <c r="C302" t="s">
        <v>6744</v>
      </c>
      <c r="D302" t="s">
        <v>123</v>
      </c>
      <c r="E302">
        <v>65</v>
      </c>
      <c r="F302">
        <v>65</v>
      </c>
      <c r="G302" t="s">
        <v>132</v>
      </c>
      <c r="H302" t="s">
        <v>132</v>
      </c>
      <c r="I302" t="s">
        <v>90</v>
      </c>
      <c r="J302" t="s">
        <v>67</v>
      </c>
      <c r="K302" s="1">
        <v>46001</v>
      </c>
      <c r="L302" s="1" t="str">
        <f>IF(K302&gt;O302,"Valid","Invalid")</f>
        <v>Valid</v>
      </c>
      <c r="M302" s="1" t="b">
        <f>ISNUMBER(K302)</f>
        <v>1</v>
      </c>
      <c r="N302" s="1" t="b">
        <f>ISNUMBER(O302)</f>
        <v>1</v>
      </c>
      <c r="O302" s="1">
        <v>45988</v>
      </c>
      <c r="P302" t="s">
        <v>6743</v>
      </c>
      <c r="Q302" t="str">
        <f>SUBSTITUTE(SUBSTITUTE(SUBSTITUTE(P302," ",""),"-",""),"+","")</f>
        <v>917654323433</v>
      </c>
      <c r="R302" t="str">
        <f t="shared" si="8"/>
        <v>7654323433</v>
      </c>
      <c r="S302" t="str">
        <f>IF(LEN(R302),"Valid","Invalid")</f>
        <v>Valid</v>
      </c>
      <c r="T302" t="s">
        <v>6742</v>
      </c>
      <c r="V302" t="s">
        <v>123</v>
      </c>
      <c r="X302">
        <v>2244.21</v>
      </c>
      <c r="Y302" t="s">
        <v>26</v>
      </c>
      <c r="Z302">
        <v>242</v>
      </c>
      <c r="AA302">
        <f t="shared" si="9"/>
        <v>242</v>
      </c>
      <c r="AB302" t="s">
        <v>77</v>
      </c>
    </row>
    <row r="303" spans="1:28" x14ac:dyDescent="0.3">
      <c r="A303" t="s">
        <v>6741</v>
      </c>
      <c r="B303" t="s">
        <v>6740</v>
      </c>
      <c r="C303" t="s">
        <v>6740</v>
      </c>
      <c r="D303" t="s">
        <v>22</v>
      </c>
      <c r="E303">
        <v>11</v>
      </c>
      <c r="F303">
        <v>11</v>
      </c>
      <c r="G303" t="s">
        <v>21</v>
      </c>
      <c r="H303" t="s">
        <v>21</v>
      </c>
      <c r="I303" t="s">
        <v>53</v>
      </c>
      <c r="J303" t="s">
        <v>20</v>
      </c>
      <c r="K303" s="1">
        <v>46015</v>
      </c>
      <c r="L303" s="1" t="str">
        <f>IF(K303&gt;O303,"Valid","Invalid")</f>
        <v>Valid</v>
      </c>
      <c r="M303" s="1" t="b">
        <f>ISNUMBER(K303)</f>
        <v>1</v>
      </c>
      <c r="N303" s="1" t="b">
        <f>ISNUMBER(O303)</f>
        <v>1</v>
      </c>
      <c r="O303" s="1">
        <v>45998</v>
      </c>
      <c r="P303" t="s">
        <v>6739</v>
      </c>
      <c r="Q303" t="str">
        <f>SUBSTITUTE(SUBSTITUTE(SUBSTITUTE(P303," ",""),"-",""),"+","")</f>
        <v>914629823559</v>
      </c>
      <c r="R303" t="str">
        <f t="shared" si="8"/>
        <v>4629823559</v>
      </c>
      <c r="S303" t="str">
        <f>IF(LEN(R303),"Valid","Invalid")</f>
        <v>Valid</v>
      </c>
      <c r="T303" t="s">
        <v>6738</v>
      </c>
      <c r="V303" t="s">
        <v>57</v>
      </c>
      <c r="X303">
        <v>9890.14</v>
      </c>
      <c r="Y303" t="s">
        <v>64</v>
      </c>
      <c r="Z303">
        <v>258</v>
      </c>
      <c r="AA303">
        <f t="shared" si="9"/>
        <v>258</v>
      </c>
      <c r="AB303" t="s">
        <v>25</v>
      </c>
    </row>
    <row r="304" spans="1:28" x14ac:dyDescent="0.3">
      <c r="A304" t="s">
        <v>6737</v>
      </c>
      <c r="B304" t="s">
        <v>6736</v>
      </c>
      <c r="C304" t="s">
        <v>6736</v>
      </c>
      <c r="D304" t="s">
        <v>123</v>
      </c>
      <c r="E304">
        <v>31</v>
      </c>
      <c r="F304">
        <v>31</v>
      </c>
      <c r="G304" t="s">
        <v>47</v>
      </c>
      <c r="H304" t="s">
        <v>47</v>
      </c>
      <c r="I304" t="s">
        <v>38</v>
      </c>
      <c r="J304" t="s">
        <v>8077</v>
      </c>
      <c r="K304" s="1">
        <v>46043</v>
      </c>
      <c r="L304" s="1" t="str">
        <f>IF(K304&gt;O304,"Valid","Invalid")</f>
        <v>Valid</v>
      </c>
      <c r="M304" s="1" t="b">
        <f>ISNUMBER(K304)</f>
        <v>1</v>
      </c>
      <c r="N304" s="1" t="b">
        <f>ISNUMBER(O304)</f>
        <v>1</v>
      </c>
      <c r="O304" s="1">
        <v>46041</v>
      </c>
      <c r="P304" t="s">
        <v>6735</v>
      </c>
      <c r="Q304" t="str">
        <f>SUBSTITUTE(SUBSTITUTE(SUBSTITUTE(P304," ",""),"-",""),"+","")</f>
        <v>3399959340</v>
      </c>
      <c r="R304" t="str">
        <f t="shared" si="8"/>
        <v>3399959340</v>
      </c>
      <c r="S304" t="str">
        <f>IF(LEN(R304),"Valid","Invalid")</f>
        <v>Valid</v>
      </c>
      <c r="T304" t="s">
        <v>5239</v>
      </c>
      <c r="V304" t="s">
        <v>123</v>
      </c>
      <c r="X304">
        <v>3076.47</v>
      </c>
      <c r="Y304" t="s">
        <v>27</v>
      </c>
      <c r="Z304">
        <v>258</v>
      </c>
      <c r="AA304">
        <f t="shared" si="9"/>
        <v>258</v>
      </c>
      <c r="AB304" t="s">
        <v>25</v>
      </c>
    </row>
    <row r="305" spans="1:28" x14ac:dyDescent="0.3">
      <c r="A305" t="s">
        <v>6734</v>
      </c>
      <c r="B305" t="s">
        <v>6733</v>
      </c>
      <c r="C305" t="s">
        <v>6733</v>
      </c>
      <c r="D305" t="s">
        <v>0</v>
      </c>
      <c r="E305">
        <v>16</v>
      </c>
      <c r="F305">
        <v>16</v>
      </c>
      <c r="G305" t="s">
        <v>47</v>
      </c>
      <c r="H305" t="s">
        <v>47</v>
      </c>
      <c r="I305" t="s">
        <v>53</v>
      </c>
      <c r="J305" t="s">
        <v>20</v>
      </c>
      <c r="K305" s="1">
        <v>46171</v>
      </c>
      <c r="L305" s="1" t="str">
        <f>IF(K305&gt;O305,"Valid","Invalid")</f>
        <v>Valid</v>
      </c>
      <c r="M305" s="1" t="b">
        <f>ISNUMBER(K305)</f>
        <v>1</v>
      </c>
      <c r="N305" s="1" t="b">
        <f>ISNUMBER(O305)</f>
        <v>1</v>
      </c>
      <c r="O305" s="1">
        <v>46149</v>
      </c>
      <c r="P305" t="s">
        <v>6732</v>
      </c>
      <c r="Q305" t="str">
        <f>SUBSTITUTE(SUBSTITUTE(SUBSTITUTE(P305," ",""),"-",""),"+","")</f>
        <v>0942217073</v>
      </c>
      <c r="R305" t="str">
        <f t="shared" si="8"/>
        <v>0942217073</v>
      </c>
      <c r="S305" t="str">
        <f>IF(LEN(R305),"Valid","Invalid")</f>
        <v>Valid</v>
      </c>
      <c r="T305" t="s">
        <v>6731</v>
      </c>
      <c r="V305" t="s">
        <v>27</v>
      </c>
      <c r="X305">
        <v>4263.05</v>
      </c>
      <c r="Y305" t="s">
        <v>17</v>
      </c>
      <c r="Z305">
        <v>367</v>
      </c>
      <c r="AA305">
        <f t="shared" si="9"/>
        <v>367</v>
      </c>
      <c r="AB305" t="s">
        <v>34</v>
      </c>
    </row>
    <row r="306" spans="1:28" x14ac:dyDescent="0.3">
      <c r="A306" t="s">
        <v>6730</v>
      </c>
      <c r="B306" t="s">
        <v>6729</v>
      </c>
      <c r="C306" t="s">
        <v>6729</v>
      </c>
      <c r="D306" t="s">
        <v>22</v>
      </c>
      <c r="E306">
        <v>22</v>
      </c>
      <c r="F306">
        <v>22</v>
      </c>
      <c r="G306" t="s">
        <v>31</v>
      </c>
      <c r="H306" t="s">
        <v>31</v>
      </c>
      <c r="I306" t="s">
        <v>53</v>
      </c>
      <c r="J306" t="s">
        <v>20</v>
      </c>
      <c r="K306" s="1">
        <v>46159</v>
      </c>
      <c r="L306" s="1" t="str">
        <f>IF(K306&gt;O306,"Valid","Invalid")</f>
        <v>Valid</v>
      </c>
      <c r="M306" s="1" t="b">
        <f>ISNUMBER(K306)</f>
        <v>1</v>
      </c>
      <c r="N306" s="1" t="b">
        <f>ISNUMBER(O306)</f>
        <v>1</v>
      </c>
      <c r="O306" s="1">
        <v>46136</v>
      </c>
      <c r="P306" t="s">
        <v>6728</v>
      </c>
      <c r="Q306" t="str">
        <f>SUBSTITUTE(SUBSTITUTE(SUBSTITUTE(P306," ",""),"-",""),"+","")</f>
        <v>09683420569</v>
      </c>
      <c r="R306" t="str">
        <f t="shared" si="8"/>
        <v>9683420569</v>
      </c>
      <c r="S306" t="str">
        <f>IF(LEN(R306),"Valid","Invalid")</f>
        <v>Valid</v>
      </c>
      <c r="T306" t="s">
        <v>6727</v>
      </c>
      <c r="V306" t="s">
        <v>26</v>
      </c>
      <c r="X306">
        <v>18376.810000000001</v>
      </c>
      <c r="Y306" t="s">
        <v>64</v>
      </c>
      <c r="Z306">
        <v>494</v>
      </c>
      <c r="AA306">
        <f t="shared" si="9"/>
        <v>494</v>
      </c>
      <c r="AB306" t="s">
        <v>77</v>
      </c>
    </row>
    <row r="307" spans="1:28" x14ac:dyDescent="0.3">
      <c r="A307" t="s">
        <v>6726</v>
      </c>
      <c r="B307" t="s">
        <v>6725</v>
      </c>
      <c r="C307" t="s">
        <v>6725</v>
      </c>
      <c r="D307" t="s">
        <v>60</v>
      </c>
      <c r="E307">
        <v>55</v>
      </c>
      <c r="F307">
        <v>55</v>
      </c>
      <c r="G307" t="s">
        <v>132</v>
      </c>
      <c r="H307" t="s">
        <v>132</v>
      </c>
      <c r="I307" t="s">
        <v>20</v>
      </c>
      <c r="J307" t="s">
        <v>20</v>
      </c>
      <c r="K307" s="1">
        <v>45990</v>
      </c>
      <c r="L307" s="1" t="str">
        <f>IF(K307&gt;O307,"Valid","Invalid")</f>
        <v>Valid</v>
      </c>
      <c r="M307" s="1" t="b">
        <f>ISNUMBER(K307)</f>
        <v>1</v>
      </c>
      <c r="N307" s="1" t="b">
        <f>ISNUMBER(O307)</f>
        <v>1</v>
      </c>
      <c r="O307" s="1">
        <v>45982</v>
      </c>
      <c r="P307" t="s">
        <v>6724</v>
      </c>
      <c r="Q307" t="str">
        <f>SUBSTITUTE(SUBSTITUTE(SUBSTITUTE(P307," ",""),"-",""),"+","")</f>
        <v>6550398513</v>
      </c>
      <c r="R307" t="str">
        <f t="shared" si="8"/>
        <v>6550398513</v>
      </c>
      <c r="S307" t="str">
        <f>IF(LEN(R307),"Valid","Invalid")</f>
        <v>Valid</v>
      </c>
      <c r="T307" t="s">
        <v>123</v>
      </c>
      <c r="V307" t="s">
        <v>64</v>
      </c>
      <c r="X307">
        <v>-500</v>
      </c>
      <c r="Y307" t="s">
        <v>17</v>
      </c>
      <c r="Z307">
        <v>128</v>
      </c>
      <c r="AA307">
        <f t="shared" si="9"/>
        <v>128</v>
      </c>
      <c r="AB307" t="s">
        <v>16</v>
      </c>
    </row>
    <row r="308" spans="1:28" x14ac:dyDescent="0.3">
      <c r="A308" t="s">
        <v>6723</v>
      </c>
      <c r="B308" t="s">
        <v>6722</v>
      </c>
      <c r="C308" t="s">
        <v>6722</v>
      </c>
      <c r="D308" t="s">
        <v>0</v>
      </c>
      <c r="E308">
        <v>48</v>
      </c>
      <c r="F308">
        <v>48</v>
      </c>
      <c r="G308" t="s">
        <v>39</v>
      </c>
      <c r="H308" t="s">
        <v>39</v>
      </c>
      <c r="I308" t="s">
        <v>30</v>
      </c>
      <c r="J308" t="s">
        <v>30</v>
      </c>
      <c r="K308" s="1">
        <v>46009</v>
      </c>
      <c r="L308" s="1" t="str">
        <f>IF(K308&gt;O308,"Valid","Invalid")</f>
        <v>Valid</v>
      </c>
      <c r="M308" s="1" t="b">
        <f>ISNUMBER(K308)</f>
        <v>1</v>
      </c>
      <c r="N308" s="1" t="b">
        <f>ISNUMBER(O308)</f>
        <v>1</v>
      </c>
      <c r="O308" s="1">
        <v>45985</v>
      </c>
      <c r="P308" t="s">
        <v>6721</v>
      </c>
      <c r="Q308" t="str">
        <f>SUBSTITUTE(SUBSTITUTE(SUBSTITUTE(P308," ",""),"-",""),"+","")</f>
        <v>05406550610</v>
      </c>
      <c r="R308" t="str">
        <f t="shared" si="8"/>
        <v>5406550610</v>
      </c>
      <c r="S308" t="str">
        <f>IF(LEN(R308),"Valid","Invalid")</f>
        <v>Valid</v>
      </c>
      <c r="T308" t="s">
        <v>6720</v>
      </c>
      <c r="V308" t="s">
        <v>64</v>
      </c>
      <c r="X308">
        <v>22377.86</v>
      </c>
      <c r="Y308" t="s">
        <v>64</v>
      </c>
      <c r="Z308">
        <v>216</v>
      </c>
      <c r="AA308">
        <f t="shared" si="9"/>
        <v>216</v>
      </c>
      <c r="AB308" t="s">
        <v>25</v>
      </c>
    </row>
    <row r="309" spans="1:28" x14ac:dyDescent="0.3">
      <c r="A309" t="s">
        <v>6719</v>
      </c>
      <c r="B309" t="s">
        <v>6718</v>
      </c>
      <c r="C309" t="s">
        <v>6718</v>
      </c>
      <c r="D309" t="s">
        <v>40</v>
      </c>
      <c r="E309">
        <v>6</v>
      </c>
      <c r="F309">
        <v>6</v>
      </c>
      <c r="G309" t="s">
        <v>47</v>
      </c>
      <c r="H309" t="s">
        <v>47</v>
      </c>
      <c r="I309" t="s">
        <v>38</v>
      </c>
      <c r="J309" t="s">
        <v>8077</v>
      </c>
      <c r="K309" s="1">
        <v>46085</v>
      </c>
      <c r="L309" s="1" t="str">
        <f>IF(K309&gt;O309,"Valid","Invalid")</f>
        <v>Valid</v>
      </c>
      <c r="M309" s="1" t="b">
        <f>ISNUMBER(K309)</f>
        <v>1</v>
      </c>
      <c r="N309" s="1" t="b">
        <f>ISNUMBER(O309)</f>
        <v>1</v>
      </c>
      <c r="O309" s="1">
        <v>46084</v>
      </c>
      <c r="P309" t="s">
        <v>6717</v>
      </c>
      <c r="Q309" t="str">
        <f>SUBSTITUTE(SUBSTITUTE(SUBSTITUTE(P309," ",""),"-",""),"+","")</f>
        <v>5184685284</v>
      </c>
      <c r="R309" t="str">
        <f t="shared" si="8"/>
        <v>5184685284</v>
      </c>
      <c r="S309" t="str">
        <f>IF(LEN(R309),"Valid","Invalid")</f>
        <v>Valid</v>
      </c>
      <c r="T309" t="s">
        <v>6716</v>
      </c>
      <c r="V309" t="s">
        <v>123</v>
      </c>
      <c r="X309">
        <v>9226.6200000000008</v>
      </c>
      <c r="Y309" t="s">
        <v>26</v>
      </c>
      <c r="Z309">
        <v>191</v>
      </c>
      <c r="AA309">
        <f t="shared" si="9"/>
        <v>191</v>
      </c>
      <c r="AB309" t="s">
        <v>50</v>
      </c>
    </row>
    <row r="310" spans="1:28" x14ac:dyDescent="0.3">
      <c r="A310" t="s">
        <v>6715</v>
      </c>
      <c r="B310" t="s">
        <v>6714</v>
      </c>
      <c r="C310" t="s">
        <v>6714</v>
      </c>
      <c r="D310" t="s">
        <v>40</v>
      </c>
      <c r="E310">
        <v>71</v>
      </c>
      <c r="F310">
        <v>71</v>
      </c>
      <c r="G310" t="s">
        <v>54</v>
      </c>
      <c r="H310" t="s">
        <v>54</v>
      </c>
      <c r="I310" t="s">
        <v>38</v>
      </c>
      <c r="J310" t="s">
        <v>8077</v>
      </c>
      <c r="K310" s="1">
        <v>46124</v>
      </c>
      <c r="L310" s="1" t="str">
        <f>IF(K310&gt;O310,"Valid","Invalid")</f>
        <v>Valid</v>
      </c>
      <c r="M310" s="1" t="b">
        <f>ISNUMBER(K310)</f>
        <v>1</v>
      </c>
      <c r="N310" s="1" t="b">
        <f>ISNUMBER(O310)</f>
        <v>1</v>
      </c>
      <c r="O310" s="1">
        <v>46114</v>
      </c>
      <c r="P310" t="s">
        <v>6713</v>
      </c>
      <c r="Q310" t="str">
        <f>SUBSTITUTE(SUBSTITUTE(SUBSTITUTE(P310," ",""),"-",""),"+","")</f>
        <v>6215937033</v>
      </c>
      <c r="R310" t="str">
        <f t="shared" si="8"/>
        <v>6215937033</v>
      </c>
      <c r="S310" t="str">
        <f>IF(LEN(R310),"Valid","Invalid")</f>
        <v>Valid</v>
      </c>
      <c r="T310" t="s">
        <v>6712</v>
      </c>
      <c r="V310" t="s">
        <v>17</v>
      </c>
      <c r="X310">
        <v>10523.16</v>
      </c>
      <c r="Y310" t="s">
        <v>17</v>
      </c>
      <c r="Z310">
        <v>238</v>
      </c>
      <c r="AA310">
        <f t="shared" si="9"/>
        <v>238</v>
      </c>
      <c r="AB310" t="s">
        <v>50</v>
      </c>
    </row>
    <row r="311" spans="1:28" x14ac:dyDescent="0.3">
      <c r="A311" t="s">
        <v>6711</v>
      </c>
      <c r="B311" t="s">
        <v>6710</v>
      </c>
      <c r="C311" t="s">
        <v>6710</v>
      </c>
      <c r="D311" t="s">
        <v>74</v>
      </c>
      <c r="E311">
        <v>74</v>
      </c>
      <c r="F311">
        <v>74</v>
      </c>
      <c r="G311" t="s">
        <v>31</v>
      </c>
      <c r="H311" t="s">
        <v>31</v>
      </c>
      <c r="I311" t="s">
        <v>20</v>
      </c>
      <c r="J311" t="s">
        <v>20</v>
      </c>
      <c r="K311" s="1">
        <v>46150</v>
      </c>
      <c r="L311" s="1" t="str">
        <f>IF(K311&gt;O311,"Valid","Invalid")</f>
        <v>Valid</v>
      </c>
      <c r="M311" s="1" t="b">
        <f>ISNUMBER(K311)</f>
        <v>1</v>
      </c>
      <c r="N311" s="1" t="b">
        <f>ISNUMBER(O311)</f>
        <v>1</v>
      </c>
      <c r="O311" s="1">
        <v>46134</v>
      </c>
      <c r="P311" t="s">
        <v>6709</v>
      </c>
      <c r="Q311" t="str">
        <f>SUBSTITUTE(SUBSTITUTE(SUBSTITUTE(P311," ",""),"-",""),"+","")</f>
        <v>07366393373</v>
      </c>
      <c r="R311" t="str">
        <f t="shared" si="8"/>
        <v>7366393373</v>
      </c>
      <c r="S311" t="str">
        <f>IF(LEN(R311),"Valid","Invalid")</f>
        <v>Valid</v>
      </c>
      <c r="T311" t="s">
        <v>6708</v>
      </c>
      <c r="V311" t="s">
        <v>27</v>
      </c>
      <c r="X311">
        <v>4647.74</v>
      </c>
      <c r="Y311" t="s">
        <v>27</v>
      </c>
      <c r="Z311">
        <v>305</v>
      </c>
      <c r="AA311">
        <f t="shared" si="9"/>
        <v>305</v>
      </c>
      <c r="AB311" t="s">
        <v>77</v>
      </c>
    </row>
    <row r="312" spans="1:28" x14ac:dyDescent="0.3">
      <c r="A312" t="s">
        <v>6707</v>
      </c>
      <c r="B312" t="s">
        <v>6706</v>
      </c>
      <c r="C312" t="s">
        <v>6706</v>
      </c>
      <c r="E312">
        <v>37</v>
      </c>
      <c r="F312">
        <v>37</v>
      </c>
      <c r="G312" t="s">
        <v>132</v>
      </c>
      <c r="H312" t="s">
        <v>132</v>
      </c>
      <c r="I312" t="s">
        <v>67</v>
      </c>
      <c r="J312" t="s">
        <v>67</v>
      </c>
      <c r="K312" s="1">
        <v>46115</v>
      </c>
      <c r="L312" s="1" t="str">
        <f>IF(K312&gt;O312,"Valid","Invalid")</f>
        <v>Valid</v>
      </c>
      <c r="M312" s="1" t="b">
        <f>ISNUMBER(K312)</f>
        <v>1</v>
      </c>
      <c r="N312" s="1" t="b">
        <f>ISNUMBER(O312)</f>
        <v>1</v>
      </c>
      <c r="O312" s="1">
        <v>46113</v>
      </c>
      <c r="P312" t="s">
        <v>6705</v>
      </c>
      <c r="Q312" t="str">
        <f>SUBSTITUTE(SUBSTITUTE(SUBSTITUTE(P312," ",""),"-",""),"+","")</f>
        <v>04223004278</v>
      </c>
      <c r="R312" t="str">
        <f t="shared" si="8"/>
        <v>4223004278</v>
      </c>
      <c r="S312" t="str">
        <f>IF(LEN(R312),"Valid","Invalid")</f>
        <v>Valid</v>
      </c>
      <c r="T312" t="s">
        <v>6704</v>
      </c>
      <c r="V312" t="s">
        <v>123</v>
      </c>
      <c r="X312">
        <v>397.64</v>
      </c>
      <c r="Y312" t="s">
        <v>57</v>
      </c>
      <c r="Z312">
        <v>249</v>
      </c>
      <c r="AA312">
        <f t="shared" si="9"/>
        <v>249</v>
      </c>
      <c r="AB312" t="s">
        <v>34</v>
      </c>
    </row>
    <row r="313" spans="1:28" x14ac:dyDescent="0.3">
      <c r="A313" t="s">
        <v>6703</v>
      </c>
      <c r="B313" t="s">
        <v>6702</v>
      </c>
      <c r="C313" t="s">
        <v>6702</v>
      </c>
      <c r="D313" t="s">
        <v>22</v>
      </c>
      <c r="E313">
        <v>80</v>
      </c>
      <c r="F313">
        <v>80</v>
      </c>
      <c r="G313" t="s">
        <v>21</v>
      </c>
      <c r="H313" t="s">
        <v>21</v>
      </c>
      <c r="I313" t="s">
        <v>85</v>
      </c>
      <c r="J313" t="s">
        <v>85</v>
      </c>
      <c r="K313" s="1">
        <v>46067</v>
      </c>
      <c r="L313" s="1" t="str">
        <f>IF(K313&gt;O313,"Valid","Invalid")</f>
        <v>Valid</v>
      </c>
      <c r="M313" s="1" t="b">
        <f>ISNUMBER(K313)</f>
        <v>1</v>
      </c>
      <c r="N313" s="1" t="b">
        <f>ISNUMBER(O313)</f>
        <v>1</v>
      </c>
      <c r="O313" s="1">
        <v>46056</v>
      </c>
      <c r="P313" t="s">
        <v>6701</v>
      </c>
      <c r="Q313" t="str">
        <f>SUBSTITUTE(SUBSTITUTE(SUBSTITUTE(P313," ",""),"-",""),"+","")</f>
        <v>06053384485</v>
      </c>
      <c r="R313" t="str">
        <f t="shared" si="8"/>
        <v>6053384485</v>
      </c>
      <c r="S313" t="str">
        <f>IF(LEN(R313),"Valid","Invalid")</f>
        <v>Valid</v>
      </c>
      <c r="T313" t="s">
        <v>6700</v>
      </c>
      <c r="V313" t="s">
        <v>123</v>
      </c>
      <c r="X313">
        <v>24945.119999999999</v>
      </c>
      <c r="Y313" t="s">
        <v>57</v>
      </c>
      <c r="Z313">
        <v>475</v>
      </c>
      <c r="AA313">
        <f t="shared" si="9"/>
        <v>475</v>
      </c>
      <c r="AB313" t="s">
        <v>34</v>
      </c>
    </row>
    <row r="314" spans="1:28" x14ac:dyDescent="0.3">
      <c r="A314" t="s">
        <v>6695</v>
      </c>
      <c r="B314" t="s">
        <v>6694</v>
      </c>
      <c r="C314" t="s">
        <v>6694</v>
      </c>
      <c r="D314" t="s">
        <v>123</v>
      </c>
      <c r="E314">
        <v>40</v>
      </c>
      <c r="F314">
        <v>40</v>
      </c>
      <c r="G314" t="s">
        <v>80</v>
      </c>
      <c r="H314" t="s">
        <v>80</v>
      </c>
      <c r="I314" t="s">
        <v>38</v>
      </c>
      <c r="J314" t="s">
        <v>8077</v>
      </c>
      <c r="K314" s="1">
        <v>46141</v>
      </c>
      <c r="L314" s="1" t="str">
        <f>IF(K314&gt;O314,"Valid","Invalid")</f>
        <v>Valid</v>
      </c>
      <c r="M314" s="1" t="b">
        <f>ISNUMBER(K314)</f>
        <v>1</v>
      </c>
      <c r="N314" s="1" t="b">
        <f>ISNUMBER(O314)</f>
        <v>1</v>
      </c>
      <c r="O314" s="1">
        <v>46125</v>
      </c>
      <c r="P314" t="s">
        <v>6693</v>
      </c>
      <c r="Q314" t="str">
        <f>SUBSTITUTE(SUBSTITUTE(SUBSTITUTE(P314," ",""),"-",""),"+","")</f>
        <v>05329770579</v>
      </c>
      <c r="R314" t="str">
        <f t="shared" si="8"/>
        <v>5329770579</v>
      </c>
      <c r="S314" t="str">
        <f>IF(LEN(R314),"Valid","Invalid")</f>
        <v>Valid</v>
      </c>
      <c r="T314" t="s">
        <v>6692</v>
      </c>
      <c r="V314" t="s">
        <v>17</v>
      </c>
      <c r="X314">
        <v>10611.43</v>
      </c>
      <c r="Y314" t="s">
        <v>27</v>
      </c>
      <c r="Z314">
        <v>172</v>
      </c>
      <c r="AA314">
        <f t="shared" si="9"/>
        <v>172</v>
      </c>
      <c r="AB314" t="s">
        <v>25</v>
      </c>
    </row>
    <row r="315" spans="1:28" x14ac:dyDescent="0.3">
      <c r="A315" t="s">
        <v>6691</v>
      </c>
      <c r="B315" t="s">
        <v>6690</v>
      </c>
      <c r="C315" t="s">
        <v>6690</v>
      </c>
      <c r="D315" t="s">
        <v>22</v>
      </c>
      <c r="E315">
        <v>12</v>
      </c>
      <c r="F315">
        <v>12</v>
      </c>
      <c r="G315" t="s">
        <v>47</v>
      </c>
      <c r="H315" t="s">
        <v>47</v>
      </c>
      <c r="I315" t="s">
        <v>38</v>
      </c>
      <c r="J315" t="s">
        <v>8077</v>
      </c>
      <c r="K315" s="1">
        <v>46060</v>
      </c>
      <c r="L315" s="1" t="str">
        <f>IF(K315&gt;O315,"Valid","Invalid")</f>
        <v>Valid</v>
      </c>
      <c r="M315" s="1" t="b">
        <f>ISNUMBER(K315)</f>
        <v>1</v>
      </c>
      <c r="N315" s="1" t="b">
        <f>ISNUMBER(O315)</f>
        <v>1</v>
      </c>
      <c r="O315" s="1">
        <v>46032</v>
      </c>
      <c r="P315" t="s">
        <v>6689</v>
      </c>
      <c r="Q315" t="str">
        <f>SUBSTITUTE(SUBSTITUTE(SUBSTITUTE(P315," ",""),"-",""),"+","")</f>
        <v>8012427907</v>
      </c>
      <c r="R315" t="str">
        <f t="shared" si="8"/>
        <v>8012427907</v>
      </c>
      <c r="S315" t="str">
        <f>IF(LEN(R315),"Valid","Invalid")</f>
        <v>Valid</v>
      </c>
      <c r="T315" t="s">
        <v>6688</v>
      </c>
      <c r="V315" t="s">
        <v>123</v>
      </c>
      <c r="X315">
        <v>17581</v>
      </c>
      <c r="Y315" t="s">
        <v>17</v>
      </c>
      <c r="Z315">
        <v>334</v>
      </c>
      <c r="AA315">
        <f t="shared" si="9"/>
        <v>334</v>
      </c>
      <c r="AB315" t="s">
        <v>25</v>
      </c>
    </row>
    <row r="316" spans="1:28" x14ac:dyDescent="0.3">
      <c r="A316" t="s">
        <v>6687</v>
      </c>
      <c r="B316" t="s">
        <v>6686</v>
      </c>
      <c r="C316" t="s">
        <v>6686</v>
      </c>
      <c r="D316" t="s">
        <v>74</v>
      </c>
      <c r="E316">
        <v>75</v>
      </c>
      <c r="F316">
        <v>75</v>
      </c>
      <c r="G316" t="s">
        <v>80</v>
      </c>
      <c r="H316" t="s">
        <v>80</v>
      </c>
      <c r="I316" t="s">
        <v>53</v>
      </c>
      <c r="J316" t="s">
        <v>20</v>
      </c>
      <c r="K316" s="1">
        <v>46167</v>
      </c>
      <c r="L316" s="1" t="str">
        <f>IF(K316&gt;O316,"Valid","Invalid")</f>
        <v>Valid</v>
      </c>
      <c r="M316" s="1" t="b">
        <f>ISNUMBER(K316)</f>
        <v>1</v>
      </c>
      <c r="N316" s="1" t="b">
        <f>ISNUMBER(O316)</f>
        <v>1</v>
      </c>
      <c r="O316" s="1">
        <v>46147</v>
      </c>
      <c r="P316" t="s">
        <v>6685</v>
      </c>
      <c r="Q316" t="str">
        <f>SUBSTITUTE(SUBSTITUTE(SUBSTITUTE(P316," ",""),"-",""),"+","")</f>
        <v>00026783589</v>
      </c>
      <c r="R316" t="str">
        <f t="shared" si="8"/>
        <v>0026783589</v>
      </c>
      <c r="S316" t="str">
        <f>IF(LEN(R316),"Valid","Invalid")</f>
        <v>Valid</v>
      </c>
      <c r="T316" t="s">
        <v>6684</v>
      </c>
      <c r="V316" t="s">
        <v>123</v>
      </c>
      <c r="X316">
        <v>2055.8000000000002</v>
      </c>
      <c r="Y316" t="s">
        <v>27</v>
      </c>
      <c r="Z316">
        <v>322</v>
      </c>
      <c r="AA316">
        <f t="shared" si="9"/>
        <v>322</v>
      </c>
      <c r="AB316" t="s">
        <v>25</v>
      </c>
    </row>
    <row r="317" spans="1:28" x14ac:dyDescent="0.3">
      <c r="A317" t="s">
        <v>6683</v>
      </c>
      <c r="B317" t="s">
        <v>6682</v>
      </c>
      <c r="C317" t="s">
        <v>6682</v>
      </c>
      <c r="D317" t="s">
        <v>0</v>
      </c>
      <c r="E317">
        <v>31</v>
      </c>
      <c r="F317">
        <v>31</v>
      </c>
      <c r="G317" t="s">
        <v>132</v>
      </c>
      <c r="H317" t="s">
        <v>132</v>
      </c>
      <c r="I317" t="s">
        <v>30</v>
      </c>
      <c r="J317" t="s">
        <v>30</v>
      </c>
      <c r="K317" s="1">
        <v>46129</v>
      </c>
      <c r="L317" s="1" t="str">
        <f>IF(K317&gt;O317,"Valid","Invalid")</f>
        <v>Valid</v>
      </c>
      <c r="M317" s="1" t="b">
        <f>ISNUMBER(K317)</f>
        <v>1</v>
      </c>
      <c r="N317" s="1" t="b">
        <f>ISNUMBER(O317)</f>
        <v>1</v>
      </c>
      <c r="O317" s="1">
        <v>46102</v>
      </c>
      <c r="P317" t="s">
        <v>6681</v>
      </c>
      <c r="Q317" t="str">
        <f>SUBSTITUTE(SUBSTITUTE(SUBSTITUTE(P317," ",""),"-",""),"+","")</f>
        <v>0364878893</v>
      </c>
      <c r="R317" t="str">
        <f t="shared" si="8"/>
        <v>0364878893</v>
      </c>
      <c r="S317" t="str">
        <f>IF(LEN(R317),"Valid","Invalid")</f>
        <v>Valid</v>
      </c>
      <c r="T317" t="s">
        <v>6680</v>
      </c>
      <c r="V317" t="s">
        <v>57</v>
      </c>
      <c r="X317">
        <v>23165.84</v>
      </c>
      <c r="Y317" t="s">
        <v>123</v>
      </c>
      <c r="Z317">
        <v>458</v>
      </c>
      <c r="AA317">
        <f t="shared" si="9"/>
        <v>458</v>
      </c>
      <c r="AB317" t="s">
        <v>50</v>
      </c>
    </row>
    <row r="318" spans="1:28" x14ac:dyDescent="0.3">
      <c r="A318" t="s">
        <v>6679</v>
      </c>
      <c r="B318" t="s">
        <v>6678</v>
      </c>
      <c r="C318" t="s">
        <v>6678</v>
      </c>
      <c r="D318" t="s">
        <v>60</v>
      </c>
      <c r="E318">
        <v>41</v>
      </c>
      <c r="F318">
        <v>41</v>
      </c>
      <c r="G318" t="s">
        <v>68</v>
      </c>
      <c r="H318" t="s">
        <v>68</v>
      </c>
      <c r="I318" t="s">
        <v>30</v>
      </c>
      <c r="J318" t="s">
        <v>30</v>
      </c>
      <c r="K318" s="1">
        <v>46105</v>
      </c>
      <c r="L318" s="1" t="str">
        <f>IF(K318&gt;O318,"Valid","Invalid")</f>
        <v>Valid</v>
      </c>
      <c r="M318" s="1" t="b">
        <f>ISNUMBER(K318)</f>
        <v>1</v>
      </c>
      <c r="N318" s="1" t="b">
        <f>ISNUMBER(O318)</f>
        <v>1</v>
      </c>
      <c r="O318" s="1">
        <v>46098</v>
      </c>
      <c r="P318" t="s">
        <v>6677</v>
      </c>
      <c r="Q318" t="str">
        <f>SUBSTITUTE(SUBSTITUTE(SUBSTITUTE(P318," ",""),"-",""),"+","")</f>
        <v>911740463397</v>
      </c>
      <c r="R318" t="str">
        <f t="shared" si="8"/>
        <v>1740463397</v>
      </c>
      <c r="S318" t="str">
        <f>IF(LEN(R318),"Valid","Invalid")</f>
        <v>Valid</v>
      </c>
      <c r="T318" t="s">
        <v>6676</v>
      </c>
      <c r="V318" t="s">
        <v>64</v>
      </c>
      <c r="X318">
        <v>23600.16</v>
      </c>
      <c r="Y318" t="s">
        <v>26</v>
      </c>
      <c r="Z318">
        <v>499</v>
      </c>
      <c r="AA318">
        <f t="shared" si="9"/>
        <v>499</v>
      </c>
      <c r="AB318" t="s">
        <v>50</v>
      </c>
    </row>
    <row r="319" spans="1:28" x14ac:dyDescent="0.3">
      <c r="A319" t="s">
        <v>6675</v>
      </c>
      <c r="B319" t="s">
        <v>6674</v>
      </c>
      <c r="C319" t="s">
        <v>6674</v>
      </c>
      <c r="D319" t="s">
        <v>74</v>
      </c>
      <c r="E319">
        <v>20</v>
      </c>
      <c r="F319">
        <v>20</v>
      </c>
      <c r="G319" t="s">
        <v>80</v>
      </c>
      <c r="H319" t="s">
        <v>80</v>
      </c>
      <c r="I319" t="s">
        <v>53</v>
      </c>
      <c r="J319" t="s">
        <v>20</v>
      </c>
      <c r="K319" s="1">
        <v>46020</v>
      </c>
      <c r="L319" s="1" t="str">
        <f>IF(K319&gt;O319,"Valid","Invalid")</f>
        <v>Valid</v>
      </c>
      <c r="M319" s="1" t="b">
        <f>ISNUMBER(K319)</f>
        <v>1</v>
      </c>
      <c r="N319" s="1" t="b">
        <f>ISNUMBER(O319)</f>
        <v>1</v>
      </c>
      <c r="O319" s="1">
        <v>46006</v>
      </c>
      <c r="P319" t="s">
        <v>6673</v>
      </c>
      <c r="Q319" t="str">
        <f>SUBSTITUTE(SUBSTITUTE(SUBSTITUTE(P319," ",""),"-",""),"+","")</f>
        <v>917878774765</v>
      </c>
      <c r="R319" t="str">
        <f t="shared" si="8"/>
        <v>7878774765</v>
      </c>
      <c r="S319" t="str">
        <f>IF(LEN(R319),"Valid","Invalid")</f>
        <v>Valid</v>
      </c>
      <c r="T319" t="s">
        <v>6672</v>
      </c>
      <c r="V319" t="s">
        <v>123</v>
      </c>
      <c r="X319">
        <v>7988.03</v>
      </c>
      <c r="Y319" t="s">
        <v>64</v>
      </c>
      <c r="Z319">
        <v>374</v>
      </c>
      <c r="AA319">
        <f t="shared" si="9"/>
        <v>374</v>
      </c>
      <c r="AB319" t="s">
        <v>43</v>
      </c>
    </row>
    <row r="320" spans="1:28" x14ac:dyDescent="0.3">
      <c r="A320" t="s">
        <v>6671</v>
      </c>
      <c r="B320" t="s">
        <v>6670</v>
      </c>
      <c r="C320" t="s">
        <v>6670</v>
      </c>
      <c r="D320" t="s">
        <v>1</v>
      </c>
      <c r="E320">
        <v>58</v>
      </c>
      <c r="F320">
        <v>58</v>
      </c>
      <c r="G320" t="s">
        <v>132</v>
      </c>
      <c r="H320" t="s">
        <v>132</v>
      </c>
      <c r="I320" t="s">
        <v>85</v>
      </c>
      <c r="J320" t="s">
        <v>85</v>
      </c>
      <c r="K320" s="1">
        <v>46120</v>
      </c>
      <c r="L320" s="1" t="str">
        <f>IF(K320&gt;O320,"Valid","Invalid")</f>
        <v>Valid</v>
      </c>
      <c r="M320" s="1" t="b">
        <f>ISNUMBER(K320)</f>
        <v>1</v>
      </c>
      <c r="N320" s="1" t="b">
        <f>ISNUMBER(O320)</f>
        <v>1</v>
      </c>
      <c r="O320" s="1">
        <v>46112</v>
      </c>
      <c r="P320" t="s">
        <v>6669</v>
      </c>
      <c r="Q320" t="str">
        <f>SUBSTITUTE(SUBSTITUTE(SUBSTITUTE(P320," ",""),"-",""),"+","")</f>
        <v>919016979923</v>
      </c>
      <c r="R320" t="str">
        <f t="shared" si="8"/>
        <v>9016979923</v>
      </c>
      <c r="S320" t="str">
        <f>IF(LEN(R320),"Valid","Invalid")</f>
        <v>Valid</v>
      </c>
      <c r="T320" t="s">
        <v>6668</v>
      </c>
      <c r="V320" t="s">
        <v>64</v>
      </c>
      <c r="X320">
        <v>2442.44</v>
      </c>
      <c r="Y320" t="s">
        <v>63</v>
      </c>
      <c r="Z320">
        <v>523</v>
      </c>
      <c r="AA320">
        <f t="shared" si="9"/>
        <v>523</v>
      </c>
      <c r="AB320" t="s">
        <v>25</v>
      </c>
    </row>
    <row r="321" spans="1:28" x14ac:dyDescent="0.3">
      <c r="A321" t="s">
        <v>6667</v>
      </c>
      <c r="B321" t="s">
        <v>6666</v>
      </c>
      <c r="C321" t="s">
        <v>6666</v>
      </c>
      <c r="D321" t="s">
        <v>40</v>
      </c>
      <c r="E321">
        <v>28</v>
      </c>
      <c r="F321">
        <v>28</v>
      </c>
      <c r="G321" t="s">
        <v>31</v>
      </c>
      <c r="H321" t="s">
        <v>31</v>
      </c>
      <c r="I321" t="s">
        <v>53</v>
      </c>
      <c r="J321" t="s">
        <v>20</v>
      </c>
      <c r="K321" s="1">
        <v>46014</v>
      </c>
      <c r="L321" s="1" t="str">
        <f>IF(K321&gt;O321,"Valid","Invalid")</f>
        <v>Valid</v>
      </c>
      <c r="M321" s="1" t="b">
        <f>ISNUMBER(K321)</f>
        <v>1</v>
      </c>
      <c r="N321" s="1" t="b">
        <f>ISNUMBER(O321)</f>
        <v>1</v>
      </c>
      <c r="O321" s="1">
        <v>46012</v>
      </c>
      <c r="P321" t="s">
        <v>6665</v>
      </c>
      <c r="Q321" t="str">
        <f>SUBSTITUTE(SUBSTITUTE(SUBSTITUTE(P321," ",""),"-",""),"+","")</f>
        <v>08036381310</v>
      </c>
      <c r="R321" t="str">
        <f t="shared" si="8"/>
        <v>8036381310</v>
      </c>
      <c r="S321" t="str">
        <f>IF(LEN(R321),"Valid","Invalid")</f>
        <v>Valid</v>
      </c>
      <c r="T321" t="s">
        <v>6664</v>
      </c>
      <c r="V321" t="s">
        <v>17</v>
      </c>
      <c r="X321">
        <v>24216.32</v>
      </c>
      <c r="Y321" t="s">
        <v>123</v>
      </c>
      <c r="Z321">
        <v>362</v>
      </c>
      <c r="AA321">
        <f t="shared" si="9"/>
        <v>362</v>
      </c>
      <c r="AB321" t="s">
        <v>77</v>
      </c>
    </row>
    <row r="322" spans="1:28" x14ac:dyDescent="0.3">
      <c r="A322" t="s">
        <v>6663</v>
      </c>
      <c r="B322" t="s">
        <v>6662</v>
      </c>
      <c r="C322" t="s">
        <v>6662</v>
      </c>
      <c r="D322" t="s">
        <v>22</v>
      </c>
      <c r="E322">
        <v>34</v>
      </c>
      <c r="F322">
        <v>34</v>
      </c>
      <c r="G322" t="s">
        <v>39</v>
      </c>
      <c r="H322" t="s">
        <v>39</v>
      </c>
      <c r="I322" t="s">
        <v>46</v>
      </c>
      <c r="J322" t="s">
        <v>46</v>
      </c>
      <c r="K322" s="1">
        <v>46162</v>
      </c>
      <c r="L322" s="1" t="str">
        <f>IF(K322&gt;O322,"Valid","Invalid")</f>
        <v>Valid</v>
      </c>
      <c r="M322" s="1" t="b">
        <f>ISNUMBER(K322)</f>
        <v>1</v>
      </c>
      <c r="N322" s="1" t="b">
        <f>ISNUMBER(O322)</f>
        <v>1</v>
      </c>
      <c r="O322" s="1">
        <v>46132</v>
      </c>
      <c r="P322" t="s">
        <v>6661</v>
      </c>
      <c r="Q322" t="str">
        <f>SUBSTITUTE(SUBSTITUTE(SUBSTITUTE(P322," ",""),"-",""),"+","")</f>
        <v>914648688939</v>
      </c>
      <c r="R322" t="str">
        <f t="shared" si="8"/>
        <v>4648688939</v>
      </c>
      <c r="S322" t="str">
        <f>IF(LEN(R322),"Valid","Invalid")</f>
        <v>Valid</v>
      </c>
      <c r="T322" t="s">
        <v>6660</v>
      </c>
      <c r="V322" t="s">
        <v>123</v>
      </c>
      <c r="X322">
        <v>21394.11</v>
      </c>
      <c r="Y322" t="s">
        <v>57</v>
      </c>
      <c r="Z322">
        <v>148</v>
      </c>
      <c r="AA322">
        <f t="shared" si="9"/>
        <v>148</v>
      </c>
      <c r="AB322" t="s">
        <v>16</v>
      </c>
    </row>
    <row r="323" spans="1:28" x14ac:dyDescent="0.3">
      <c r="A323" t="s">
        <v>6659</v>
      </c>
      <c r="B323" t="s">
        <v>6658</v>
      </c>
      <c r="C323" t="s">
        <v>6658</v>
      </c>
      <c r="D323" t="s">
        <v>74</v>
      </c>
      <c r="E323">
        <v>18</v>
      </c>
      <c r="F323">
        <v>18</v>
      </c>
      <c r="G323" t="s">
        <v>80</v>
      </c>
      <c r="H323" t="s">
        <v>80</v>
      </c>
      <c r="I323" t="s">
        <v>46</v>
      </c>
      <c r="J323" t="s">
        <v>46</v>
      </c>
      <c r="K323" s="1">
        <v>46107</v>
      </c>
      <c r="L323" s="1" t="str">
        <f>IF(K323&gt;O323,"Valid","Invalid")</f>
        <v>Valid</v>
      </c>
      <c r="M323" s="1" t="b">
        <f>ISNUMBER(K323)</f>
        <v>1</v>
      </c>
      <c r="N323" s="1" t="b">
        <f>ISNUMBER(O323)</f>
        <v>1</v>
      </c>
      <c r="O323" s="1">
        <v>46106</v>
      </c>
      <c r="P323" t="s">
        <v>6657</v>
      </c>
      <c r="Q323" t="str">
        <f>SUBSTITUTE(SUBSTITUTE(SUBSTITUTE(P323," ",""),"-",""),"+","")</f>
        <v>08357192862</v>
      </c>
      <c r="R323" t="str">
        <f t="shared" si="8"/>
        <v>8357192862</v>
      </c>
      <c r="S323" t="str">
        <f>IF(LEN(R323),"Valid","Invalid")</f>
        <v>Valid</v>
      </c>
      <c r="T323" t="s">
        <v>6656</v>
      </c>
      <c r="V323" t="s">
        <v>17</v>
      </c>
      <c r="X323">
        <v>3441.74</v>
      </c>
      <c r="Y323" t="s">
        <v>123</v>
      </c>
      <c r="Z323">
        <v>290</v>
      </c>
      <c r="AA323">
        <f t="shared" si="9"/>
        <v>290</v>
      </c>
      <c r="AB323" t="s">
        <v>25</v>
      </c>
    </row>
    <row r="324" spans="1:28" x14ac:dyDescent="0.3">
      <c r="A324" t="s">
        <v>6651</v>
      </c>
      <c r="B324" t="s">
        <v>6650</v>
      </c>
      <c r="C324" t="s">
        <v>6650</v>
      </c>
      <c r="D324" t="s">
        <v>74</v>
      </c>
      <c r="E324">
        <v>43</v>
      </c>
      <c r="F324">
        <v>43</v>
      </c>
      <c r="G324" t="s">
        <v>80</v>
      </c>
      <c r="H324" t="s">
        <v>80</v>
      </c>
      <c r="I324" t="s">
        <v>46</v>
      </c>
      <c r="J324" t="s">
        <v>46</v>
      </c>
      <c r="K324" s="1">
        <v>46020</v>
      </c>
      <c r="L324" s="1" t="str">
        <f>IF(K324&gt;O324,"Valid","Invalid")</f>
        <v>Valid</v>
      </c>
      <c r="M324" s="1" t="b">
        <f>ISNUMBER(K324)</f>
        <v>1</v>
      </c>
      <c r="N324" s="1" t="b">
        <f>ISNUMBER(O324)</f>
        <v>1</v>
      </c>
      <c r="O324" s="1">
        <v>45990</v>
      </c>
      <c r="P324" t="s">
        <v>6649</v>
      </c>
      <c r="Q324" t="str">
        <f>SUBSTITUTE(SUBSTITUTE(SUBSTITUTE(P324," ",""),"-",""),"+","")</f>
        <v>912219014071</v>
      </c>
      <c r="R324" t="str">
        <f t="shared" si="8"/>
        <v>2219014071</v>
      </c>
      <c r="S324" t="str">
        <f>IF(LEN(R324),"Valid","Invalid")</f>
        <v>Valid</v>
      </c>
      <c r="T324" t="s">
        <v>6648</v>
      </c>
      <c r="V324" t="s">
        <v>123</v>
      </c>
      <c r="X324">
        <v>1455.81</v>
      </c>
      <c r="Y324" t="s">
        <v>123</v>
      </c>
      <c r="Z324">
        <v>520</v>
      </c>
      <c r="AA324">
        <f t="shared" si="9"/>
        <v>520</v>
      </c>
      <c r="AB324" t="s">
        <v>25</v>
      </c>
    </row>
    <row r="325" spans="1:28" x14ac:dyDescent="0.3">
      <c r="A325" t="s">
        <v>6644</v>
      </c>
      <c r="B325" t="s">
        <v>6643</v>
      </c>
      <c r="C325" t="s">
        <v>6643</v>
      </c>
      <c r="D325" t="s">
        <v>22</v>
      </c>
      <c r="E325">
        <v>58</v>
      </c>
      <c r="F325">
        <v>58</v>
      </c>
      <c r="G325" t="s">
        <v>39</v>
      </c>
      <c r="H325" t="s">
        <v>39</v>
      </c>
      <c r="I325" t="s">
        <v>46</v>
      </c>
      <c r="J325" t="s">
        <v>46</v>
      </c>
      <c r="K325" s="1">
        <v>46098</v>
      </c>
      <c r="L325" s="1" t="str">
        <f>IF(K325&gt;O325,"Valid","Invalid")</f>
        <v>Valid</v>
      </c>
      <c r="M325" s="1" t="b">
        <f>ISNUMBER(K325)</f>
        <v>1</v>
      </c>
      <c r="N325" s="1" t="b">
        <f>ISNUMBER(O325)</f>
        <v>1</v>
      </c>
      <c r="O325" s="1">
        <v>46079</v>
      </c>
      <c r="P325" t="s">
        <v>6642</v>
      </c>
      <c r="Q325" t="str">
        <f>SUBSTITUTE(SUBSTITUTE(SUBSTITUTE(P325," ",""),"-",""),"+","")</f>
        <v>01206305192</v>
      </c>
      <c r="R325" t="str">
        <f t="shared" ref="R325:R388" si="10">RIGHT(Q325,10)</f>
        <v>1206305192</v>
      </c>
      <c r="S325" t="str">
        <f>IF(LEN(R325),"Valid","Invalid")</f>
        <v>Valid</v>
      </c>
      <c r="T325" t="s">
        <v>6641</v>
      </c>
      <c r="V325" t="s">
        <v>17</v>
      </c>
      <c r="X325">
        <v>16252.5</v>
      </c>
      <c r="Y325" t="s">
        <v>123</v>
      </c>
      <c r="Z325">
        <v>310</v>
      </c>
      <c r="AA325">
        <f t="shared" ref="AA325:AA388" si="11">IF(Z325="Room-x",0,Z325)</f>
        <v>310</v>
      </c>
      <c r="AB325" t="s">
        <v>34</v>
      </c>
    </row>
    <row r="326" spans="1:28" x14ac:dyDescent="0.3">
      <c r="A326" t="s">
        <v>6640</v>
      </c>
      <c r="B326" t="s">
        <v>6639</v>
      </c>
      <c r="C326" t="s">
        <v>6639</v>
      </c>
      <c r="E326">
        <v>8</v>
      </c>
      <c r="F326">
        <v>8</v>
      </c>
      <c r="G326" t="s">
        <v>80</v>
      </c>
      <c r="H326" t="s">
        <v>80</v>
      </c>
      <c r="I326" t="s">
        <v>30</v>
      </c>
      <c r="J326" t="s">
        <v>30</v>
      </c>
      <c r="K326" s="1">
        <v>46103</v>
      </c>
      <c r="L326" s="1" t="str">
        <f>IF(K326&gt;O326,"Valid","Invalid")</f>
        <v>Valid</v>
      </c>
      <c r="M326" s="1" t="b">
        <f>ISNUMBER(K326)</f>
        <v>1</v>
      </c>
      <c r="N326" s="1" t="b">
        <f>ISNUMBER(O326)</f>
        <v>1</v>
      </c>
      <c r="O326" s="1">
        <v>46091</v>
      </c>
      <c r="P326" t="s">
        <v>6638</v>
      </c>
      <c r="Q326" t="str">
        <f>SUBSTITUTE(SUBSTITUTE(SUBSTITUTE(P326," ",""),"-",""),"+","")</f>
        <v>9772245493</v>
      </c>
      <c r="R326" t="str">
        <f t="shared" si="10"/>
        <v>9772245493</v>
      </c>
      <c r="S326" t="str">
        <f>IF(LEN(R326),"Valid","Invalid")</f>
        <v>Valid</v>
      </c>
      <c r="T326" t="s">
        <v>6637</v>
      </c>
      <c r="V326" t="s">
        <v>35</v>
      </c>
      <c r="X326">
        <v>10597.02</v>
      </c>
      <c r="Y326" t="s">
        <v>57</v>
      </c>
      <c r="Z326">
        <v>422</v>
      </c>
      <c r="AA326">
        <f t="shared" si="11"/>
        <v>422</v>
      </c>
      <c r="AB326" t="s">
        <v>50</v>
      </c>
    </row>
    <row r="327" spans="1:28" x14ac:dyDescent="0.3">
      <c r="A327" t="s">
        <v>6636</v>
      </c>
      <c r="B327" t="s">
        <v>6635</v>
      </c>
      <c r="C327" t="s">
        <v>6635</v>
      </c>
      <c r="D327" t="s">
        <v>40</v>
      </c>
      <c r="E327">
        <v>49</v>
      </c>
      <c r="F327">
        <v>49</v>
      </c>
      <c r="G327" t="s">
        <v>31</v>
      </c>
      <c r="H327" t="s">
        <v>31</v>
      </c>
      <c r="I327" t="s">
        <v>85</v>
      </c>
      <c r="J327" t="s">
        <v>85</v>
      </c>
      <c r="K327" s="1">
        <v>46061</v>
      </c>
      <c r="L327" s="1" t="str">
        <f>IF(K327&gt;O327,"Valid","Invalid")</f>
        <v>Valid</v>
      </c>
      <c r="M327" s="1" t="b">
        <f>ISNUMBER(K327)</f>
        <v>1</v>
      </c>
      <c r="N327" s="1" t="b">
        <f>ISNUMBER(O327)</f>
        <v>1</v>
      </c>
      <c r="O327" s="1">
        <v>46044</v>
      </c>
      <c r="P327" t="s">
        <v>6634</v>
      </c>
      <c r="Q327" t="str">
        <f>SUBSTITUTE(SUBSTITUTE(SUBSTITUTE(P327," ",""),"-",""),"+","")</f>
        <v>918634345383</v>
      </c>
      <c r="R327" t="str">
        <f t="shared" si="10"/>
        <v>8634345383</v>
      </c>
      <c r="S327" t="str">
        <f>IF(LEN(R327),"Valid","Invalid")</f>
        <v>Valid</v>
      </c>
      <c r="T327" t="s">
        <v>6633</v>
      </c>
      <c r="V327" t="s">
        <v>123</v>
      </c>
      <c r="X327">
        <v>8732.0499999999993</v>
      </c>
      <c r="Y327" t="s">
        <v>17</v>
      </c>
      <c r="Z327">
        <v>298</v>
      </c>
      <c r="AA327">
        <f t="shared" si="11"/>
        <v>298</v>
      </c>
      <c r="AB327" t="s">
        <v>43</v>
      </c>
    </row>
    <row r="328" spans="1:28" x14ac:dyDescent="0.3">
      <c r="A328" t="s">
        <v>6628</v>
      </c>
      <c r="B328" t="s">
        <v>6627</v>
      </c>
      <c r="C328" t="s">
        <v>6627</v>
      </c>
      <c r="D328" t="s">
        <v>1</v>
      </c>
      <c r="E328">
        <v>21</v>
      </c>
      <c r="F328">
        <v>21</v>
      </c>
      <c r="G328" t="s">
        <v>80</v>
      </c>
      <c r="H328" t="s">
        <v>80</v>
      </c>
      <c r="I328" t="s">
        <v>38</v>
      </c>
      <c r="J328" t="s">
        <v>8077</v>
      </c>
      <c r="K328" s="1">
        <v>46094</v>
      </c>
      <c r="L328" s="1" t="str">
        <f>IF(K328&gt;O328,"Valid","Invalid")</f>
        <v>Valid</v>
      </c>
      <c r="M328" s="1" t="b">
        <f>ISNUMBER(K328)</f>
        <v>1</v>
      </c>
      <c r="N328" s="1" t="b">
        <f>ISNUMBER(O328)</f>
        <v>1</v>
      </c>
      <c r="O328" s="1">
        <v>46073</v>
      </c>
      <c r="P328" t="s">
        <v>6626</v>
      </c>
      <c r="Q328" t="str">
        <f>SUBSTITUTE(SUBSTITUTE(SUBSTITUTE(P328," ",""),"-",""),"+","")</f>
        <v>09378393141</v>
      </c>
      <c r="R328" t="str">
        <f t="shared" si="10"/>
        <v>9378393141</v>
      </c>
      <c r="S328" t="str">
        <f>IF(LEN(R328),"Valid","Invalid")</f>
        <v>Valid</v>
      </c>
      <c r="T328" t="s">
        <v>6625</v>
      </c>
      <c r="V328" t="s">
        <v>17</v>
      </c>
      <c r="X328">
        <v>6809.87</v>
      </c>
      <c r="Y328" t="s">
        <v>27</v>
      </c>
      <c r="Z328">
        <v>491</v>
      </c>
      <c r="AA328">
        <f t="shared" si="11"/>
        <v>491</v>
      </c>
      <c r="AB328" t="s">
        <v>71</v>
      </c>
    </row>
    <row r="329" spans="1:28" x14ac:dyDescent="0.3">
      <c r="A329" t="s">
        <v>6624</v>
      </c>
      <c r="B329" t="s">
        <v>6623</v>
      </c>
      <c r="C329" t="s">
        <v>6623</v>
      </c>
      <c r="D329" t="s">
        <v>123</v>
      </c>
      <c r="E329">
        <v>46</v>
      </c>
      <c r="F329">
        <v>46</v>
      </c>
      <c r="G329" t="s">
        <v>39</v>
      </c>
      <c r="H329" t="s">
        <v>39</v>
      </c>
      <c r="I329" t="s">
        <v>53</v>
      </c>
      <c r="J329" t="s">
        <v>20</v>
      </c>
      <c r="K329" s="1">
        <v>46016</v>
      </c>
      <c r="L329" s="1" t="str">
        <f>IF(K329&gt;O329,"Valid","Invalid")</f>
        <v>Valid</v>
      </c>
      <c r="M329" s="1" t="b">
        <f>ISNUMBER(K329)</f>
        <v>1</v>
      </c>
      <c r="N329" s="1" t="b">
        <f>ISNUMBER(O329)</f>
        <v>1</v>
      </c>
      <c r="O329" s="1">
        <v>46009</v>
      </c>
      <c r="P329" t="s">
        <v>6622</v>
      </c>
      <c r="Q329" t="str">
        <f>SUBSTITUTE(SUBSTITUTE(SUBSTITUTE(P329," ",""),"-",""),"+","")</f>
        <v>3346188331</v>
      </c>
      <c r="R329" t="str">
        <f t="shared" si="10"/>
        <v>3346188331</v>
      </c>
      <c r="S329" t="str">
        <f>IF(LEN(R329),"Valid","Invalid")</f>
        <v>Valid</v>
      </c>
      <c r="T329" t="s">
        <v>6621</v>
      </c>
      <c r="V329" t="s">
        <v>57</v>
      </c>
      <c r="X329">
        <v>20194.009999999998</v>
      </c>
      <c r="Y329" t="s">
        <v>17</v>
      </c>
      <c r="Z329">
        <v>402</v>
      </c>
      <c r="AA329">
        <f t="shared" si="11"/>
        <v>402</v>
      </c>
      <c r="AB329" t="s">
        <v>77</v>
      </c>
    </row>
    <row r="330" spans="1:28" x14ac:dyDescent="0.3">
      <c r="A330" t="s">
        <v>6620</v>
      </c>
      <c r="B330" t="s">
        <v>6619</v>
      </c>
      <c r="C330" t="s">
        <v>6619</v>
      </c>
      <c r="D330" t="s">
        <v>60</v>
      </c>
      <c r="E330">
        <v>73</v>
      </c>
      <c r="F330">
        <v>73</v>
      </c>
      <c r="G330" t="s">
        <v>39</v>
      </c>
      <c r="H330" t="s">
        <v>39</v>
      </c>
      <c r="I330" t="s">
        <v>38</v>
      </c>
      <c r="J330" t="s">
        <v>8077</v>
      </c>
      <c r="K330" s="1">
        <v>46059</v>
      </c>
      <c r="L330" s="1" t="str">
        <f>IF(K330&gt;O330,"Valid","Invalid")</f>
        <v>Valid</v>
      </c>
      <c r="M330" s="1" t="b">
        <f>ISNUMBER(K330)</f>
        <v>1</v>
      </c>
      <c r="N330" s="1" t="b">
        <f>ISNUMBER(O330)</f>
        <v>1</v>
      </c>
      <c r="O330" s="1">
        <v>46033</v>
      </c>
      <c r="P330" t="s">
        <v>6618</v>
      </c>
      <c r="Q330" t="str">
        <f>SUBSTITUTE(SUBSTITUTE(SUBSTITUTE(P330," ",""),"-",""),"+","")</f>
        <v>8323825378</v>
      </c>
      <c r="R330" t="str">
        <f t="shared" si="10"/>
        <v>8323825378</v>
      </c>
      <c r="S330" t="str">
        <f>IF(LEN(R330),"Valid","Invalid")</f>
        <v>Valid</v>
      </c>
      <c r="T330" t="s">
        <v>6617</v>
      </c>
      <c r="V330" t="s">
        <v>123</v>
      </c>
      <c r="X330">
        <v>13644.69</v>
      </c>
      <c r="Y330" t="s">
        <v>26</v>
      </c>
      <c r="Z330">
        <v>351</v>
      </c>
      <c r="AA330">
        <f t="shared" si="11"/>
        <v>351</v>
      </c>
      <c r="AB330" t="s">
        <v>77</v>
      </c>
    </row>
    <row r="331" spans="1:28" x14ac:dyDescent="0.3">
      <c r="A331" t="s">
        <v>6608</v>
      </c>
      <c r="B331" t="s">
        <v>6607</v>
      </c>
      <c r="C331" t="s">
        <v>6607</v>
      </c>
      <c r="D331" t="s">
        <v>60</v>
      </c>
      <c r="E331">
        <v>10</v>
      </c>
      <c r="F331">
        <v>10</v>
      </c>
      <c r="G331" t="s">
        <v>31</v>
      </c>
      <c r="H331" t="s">
        <v>31</v>
      </c>
      <c r="I331" t="s">
        <v>90</v>
      </c>
      <c r="J331" t="s">
        <v>67</v>
      </c>
      <c r="K331" s="1">
        <v>45993</v>
      </c>
      <c r="L331" s="1" t="str">
        <f>IF(K331&gt;O331,"Valid","Invalid")</f>
        <v>Valid</v>
      </c>
      <c r="M331" s="1" t="b">
        <f>ISNUMBER(K331)</f>
        <v>1</v>
      </c>
      <c r="N331" s="1" t="b">
        <f>ISNUMBER(O331)</f>
        <v>1</v>
      </c>
      <c r="O331" s="1">
        <v>45975</v>
      </c>
      <c r="P331" t="s">
        <v>6606</v>
      </c>
      <c r="Q331" t="str">
        <f>SUBSTITUTE(SUBSTITUTE(SUBSTITUTE(P331," ",""),"-",""),"+","")</f>
        <v>915480151740</v>
      </c>
      <c r="R331" t="str">
        <f t="shared" si="10"/>
        <v>5480151740</v>
      </c>
      <c r="S331" t="str">
        <f>IF(LEN(R331),"Valid","Invalid")</f>
        <v>Valid</v>
      </c>
      <c r="T331" t="s">
        <v>6605</v>
      </c>
      <c r="V331" t="s">
        <v>64</v>
      </c>
      <c r="X331">
        <v>8546.7099999999991</v>
      </c>
      <c r="Y331" t="s">
        <v>17</v>
      </c>
      <c r="Z331" t="s">
        <v>347</v>
      </c>
      <c r="AA331">
        <f t="shared" si="11"/>
        <v>0</v>
      </c>
      <c r="AB331" t="s">
        <v>71</v>
      </c>
    </row>
    <row r="332" spans="1:28" x14ac:dyDescent="0.3">
      <c r="A332" t="s">
        <v>6604</v>
      </c>
      <c r="B332" t="s">
        <v>6603</v>
      </c>
      <c r="C332" t="s">
        <v>6603</v>
      </c>
      <c r="D332" t="s">
        <v>123</v>
      </c>
      <c r="E332">
        <v>82</v>
      </c>
      <c r="F332">
        <v>82</v>
      </c>
      <c r="G332" t="s">
        <v>68</v>
      </c>
      <c r="H332" t="s">
        <v>68</v>
      </c>
      <c r="I332" t="s">
        <v>67</v>
      </c>
      <c r="J332" t="s">
        <v>67</v>
      </c>
      <c r="K332" s="1">
        <v>46056</v>
      </c>
      <c r="L332" s="1" t="str">
        <f>IF(K332&gt;O332,"Valid","Invalid")</f>
        <v>Valid</v>
      </c>
      <c r="M332" s="1" t="b">
        <f>ISNUMBER(K332)</f>
        <v>1</v>
      </c>
      <c r="N332" s="1" t="b">
        <f>ISNUMBER(O332)</f>
        <v>1</v>
      </c>
      <c r="O332" s="1">
        <v>46051</v>
      </c>
      <c r="P332" t="s">
        <v>6602</v>
      </c>
      <c r="Q332" t="str">
        <f>SUBSTITUTE(SUBSTITUTE(SUBSTITUTE(P332," ",""),"-",""),"+","")</f>
        <v>02560305329</v>
      </c>
      <c r="R332" t="str">
        <f t="shared" si="10"/>
        <v>2560305329</v>
      </c>
      <c r="S332" t="str">
        <f>IF(LEN(R332),"Valid","Invalid")</f>
        <v>Valid</v>
      </c>
      <c r="T332" t="s">
        <v>6601</v>
      </c>
      <c r="V332" t="s">
        <v>57</v>
      </c>
      <c r="X332">
        <v>5736.28</v>
      </c>
      <c r="Y332" t="s">
        <v>26</v>
      </c>
      <c r="Z332">
        <v>293</v>
      </c>
      <c r="AA332">
        <f t="shared" si="11"/>
        <v>293</v>
      </c>
      <c r="AB332" t="s">
        <v>43</v>
      </c>
    </row>
    <row r="333" spans="1:28" x14ac:dyDescent="0.3">
      <c r="A333" t="s">
        <v>6600</v>
      </c>
      <c r="B333" t="s">
        <v>6599</v>
      </c>
      <c r="C333" t="s">
        <v>6599</v>
      </c>
      <c r="D333" t="s">
        <v>22</v>
      </c>
      <c r="E333">
        <v>17</v>
      </c>
      <c r="F333">
        <v>17</v>
      </c>
      <c r="G333" t="s">
        <v>39</v>
      </c>
      <c r="H333" t="s">
        <v>39</v>
      </c>
      <c r="I333" t="s">
        <v>46</v>
      </c>
      <c r="J333" t="s">
        <v>46</v>
      </c>
      <c r="K333" s="1">
        <v>46087</v>
      </c>
      <c r="L333" s="1" t="str">
        <f>IF(K333&gt;O333,"Valid","Invalid")</f>
        <v>Valid</v>
      </c>
      <c r="M333" s="1" t="b">
        <f>ISNUMBER(K333)</f>
        <v>1</v>
      </c>
      <c r="N333" s="1" t="b">
        <f>ISNUMBER(O333)</f>
        <v>1</v>
      </c>
      <c r="O333" s="1">
        <v>46057</v>
      </c>
      <c r="P333" t="s">
        <v>6598</v>
      </c>
      <c r="Q333" t="str">
        <f>SUBSTITUTE(SUBSTITUTE(SUBSTITUTE(P333," ",""),"-",""),"+","")</f>
        <v>8287499588</v>
      </c>
      <c r="R333" t="str">
        <f t="shared" si="10"/>
        <v>8287499588</v>
      </c>
      <c r="S333" t="str">
        <f>IF(LEN(R333),"Valid","Invalid")</f>
        <v>Valid</v>
      </c>
      <c r="T333" t="s">
        <v>6597</v>
      </c>
      <c r="V333" t="s">
        <v>123</v>
      </c>
      <c r="X333">
        <v>21298.77</v>
      </c>
      <c r="Y333" t="s">
        <v>27</v>
      </c>
      <c r="Z333">
        <v>193</v>
      </c>
      <c r="AA333">
        <f t="shared" si="11"/>
        <v>193</v>
      </c>
      <c r="AB333" t="s">
        <v>34</v>
      </c>
    </row>
    <row r="334" spans="1:28" x14ac:dyDescent="0.3">
      <c r="A334" t="s">
        <v>6596</v>
      </c>
      <c r="B334" t="s">
        <v>6595</v>
      </c>
      <c r="C334" t="s">
        <v>6595</v>
      </c>
      <c r="D334" t="s">
        <v>60</v>
      </c>
      <c r="E334">
        <v>79</v>
      </c>
      <c r="F334">
        <v>79</v>
      </c>
      <c r="G334" t="s">
        <v>21</v>
      </c>
      <c r="H334" t="s">
        <v>21</v>
      </c>
      <c r="I334" t="s">
        <v>20</v>
      </c>
      <c r="J334" t="s">
        <v>20</v>
      </c>
      <c r="K334" s="1">
        <v>46095</v>
      </c>
      <c r="L334" s="1" t="str">
        <f>IF(K334&gt;O334,"Valid","Invalid")</f>
        <v>Valid</v>
      </c>
      <c r="M334" s="1" t="b">
        <f>ISNUMBER(K334)</f>
        <v>1</v>
      </c>
      <c r="N334" s="1" t="b">
        <f>ISNUMBER(O334)</f>
        <v>1</v>
      </c>
      <c r="O334" s="1">
        <v>46066</v>
      </c>
      <c r="P334" t="s">
        <v>6594</v>
      </c>
      <c r="Q334" t="str">
        <f>SUBSTITUTE(SUBSTITUTE(SUBSTITUTE(P334," ",""),"-",""),"+","")</f>
        <v>02557357578</v>
      </c>
      <c r="R334" t="str">
        <f t="shared" si="10"/>
        <v>2557357578</v>
      </c>
      <c r="S334" t="str">
        <f>IF(LEN(R334),"Valid","Invalid")</f>
        <v>Valid</v>
      </c>
      <c r="T334" t="s">
        <v>6593</v>
      </c>
      <c r="V334" t="s">
        <v>123</v>
      </c>
      <c r="X334">
        <v>3687.96</v>
      </c>
      <c r="Y334" t="s">
        <v>64</v>
      </c>
      <c r="Z334">
        <v>221</v>
      </c>
      <c r="AA334">
        <f t="shared" si="11"/>
        <v>221</v>
      </c>
      <c r="AB334" t="s">
        <v>43</v>
      </c>
    </row>
    <row r="335" spans="1:28" x14ac:dyDescent="0.3">
      <c r="A335" t="s">
        <v>6592</v>
      </c>
      <c r="B335" t="s">
        <v>6591</v>
      </c>
      <c r="C335" t="s">
        <v>6591</v>
      </c>
      <c r="D335" t="s">
        <v>60</v>
      </c>
      <c r="E335">
        <v>22</v>
      </c>
      <c r="F335">
        <v>22</v>
      </c>
      <c r="G335" t="s">
        <v>80</v>
      </c>
      <c r="H335" t="s">
        <v>80</v>
      </c>
      <c r="I335" t="s">
        <v>67</v>
      </c>
      <c r="J335" t="s">
        <v>67</v>
      </c>
      <c r="K335" s="1">
        <v>46074</v>
      </c>
      <c r="L335" s="1" t="str">
        <f>IF(K335&gt;O335,"Valid","Invalid")</f>
        <v>Valid</v>
      </c>
      <c r="M335" s="1" t="b">
        <f>ISNUMBER(K335)</f>
        <v>1</v>
      </c>
      <c r="N335" s="1" t="b">
        <f>ISNUMBER(O335)</f>
        <v>1</v>
      </c>
      <c r="O335" s="1">
        <v>46060</v>
      </c>
      <c r="P335" t="s">
        <v>6590</v>
      </c>
      <c r="Q335" t="str">
        <f>SUBSTITUTE(SUBSTITUTE(SUBSTITUTE(P335," ",""),"-",""),"+","")</f>
        <v>0268317392</v>
      </c>
      <c r="R335" t="str">
        <f t="shared" si="10"/>
        <v>0268317392</v>
      </c>
      <c r="S335" t="str">
        <f>IF(LEN(R335),"Valid","Invalid")</f>
        <v>Valid</v>
      </c>
      <c r="T335" t="s">
        <v>6589</v>
      </c>
      <c r="V335" t="s">
        <v>27</v>
      </c>
      <c r="X335">
        <v>6777.27</v>
      </c>
      <c r="Y335" t="s">
        <v>57</v>
      </c>
      <c r="Z335">
        <v>454</v>
      </c>
      <c r="AA335">
        <f t="shared" si="11"/>
        <v>454</v>
      </c>
      <c r="AB335" t="s">
        <v>77</v>
      </c>
    </row>
    <row r="336" spans="1:28" x14ac:dyDescent="0.3">
      <c r="A336" t="s">
        <v>6588</v>
      </c>
      <c r="B336" t="s">
        <v>6587</v>
      </c>
      <c r="C336" t="s">
        <v>6587</v>
      </c>
      <c r="D336" t="s">
        <v>60</v>
      </c>
      <c r="E336">
        <v>33</v>
      </c>
      <c r="F336">
        <v>33</v>
      </c>
      <c r="G336" t="s">
        <v>80</v>
      </c>
      <c r="H336" t="s">
        <v>80</v>
      </c>
      <c r="I336" t="s">
        <v>46</v>
      </c>
      <c r="J336" t="s">
        <v>46</v>
      </c>
      <c r="K336" s="1">
        <v>45986</v>
      </c>
      <c r="L336" s="1" t="str">
        <f>IF(K336&gt;O336,"Valid","Invalid")</f>
        <v>Valid</v>
      </c>
      <c r="M336" s="1" t="b">
        <f>ISNUMBER(K336)</f>
        <v>1</v>
      </c>
      <c r="N336" s="1" t="b">
        <f>ISNUMBER(O336)</f>
        <v>1</v>
      </c>
      <c r="O336" s="1">
        <v>45985</v>
      </c>
      <c r="P336" t="s">
        <v>6586</v>
      </c>
      <c r="Q336" t="str">
        <f>SUBSTITUTE(SUBSTITUTE(SUBSTITUTE(P336," ",""),"-",""),"+","")</f>
        <v>913719904162</v>
      </c>
      <c r="R336" t="str">
        <f t="shared" si="10"/>
        <v>3719904162</v>
      </c>
      <c r="S336" t="str">
        <f>IF(LEN(R336),"Valid","Invalid")</f>
        <v>Valid</v>
      </c>
      <c r="T336" t="s">
        <v>6585</v>
      </c>
      <c r="V336" t="s">
        <v>123</v>
      </c>
      <c r="X336">
        <v>11067.86</v>
      </c>
      <c r="Y336" t="s">
        <v>123</v>
      </c>
      <c r="Z336">
        <v>185</v>
      </c>
      <c r="AA336">
        <f t="shared" si="11"/>
        <v>185</v>
      </c>
      <c r="AB336" t="s">
        <v>16</v>
      </c>
    </row>
    <row r="337" spans="1:28" x14ac:dyDescent="0.3">
      <c r="A337" t="s">
        <v>6584</v>
      </c>
      <c r="B337" t="s">
        <v>6583</v>
      </c>
      <c r="C337" t="s">
        <v>6583</v>
      </c>
      <c r="E337">
        <v>49</v>
      </c>
      <c r="F337">
        <v>49</v>
      </c>
      <c r="G337" t="s">
        <v>31</v>
      </c>
      <c r="H337" t="s">
        <v>31</v>
      </c>
      <c r="I337" t="s">
        <v>90</v>
      </c>
      <c r="J337" t="s">
        <v>67</v>
      </c>
      <c r="K337" s="1">
        <v>46126</v>
      </c>
      <c r="L337" s="1" t="str">
        <f>IF(K337&gt;O337,"Valid","Invalid")</f>
        <v>Valid</v>
      </c>
      <c r="M337" s="1" t="b">
        <f>ISNUMBER(K337)</f>
        <v>1</v>
      </c>
      <c r="N337" s="1" t="b">
        <f>ISNUMBER(O337)</f>
        <v>1</v>
      </c>
      <c r="O337" s="1">
        <v>46123</v>
      </c>
      <c r="P337" t="s">
        <v>6582</v>
      </c>
      <c r="Q337" t="str">
        <f>SUBSTITUTE(SUBSTITUTE(SUBSTITUTE(P337," ",""),"-",""),"+","")</f>
        <v>918411584402</v>
      </c>
      <c r="R337" t="str">
        <f t="shared" si="10"/>
        <v>8411584402</v>
      </c>
      <c r="S337" t="str">
        <f>IF(LEN(R337),"Valid","Invalid")</f>
        <v>Valid</v>
      </c>
      <c r="T337" t="s">
        <v>6581</v>
      </c>
      <c r="V337" t="s">
        <v>123</v>
      </c>
      <c r="X337">
        <v>19760.5</v>
      </c>
      <c r="Y337" t="s">
        <v>57</v>
      </c>
      <c r="Z337">
        <v>183</v>
      </c>
      <c r="AA337">
        <f t="shared" si="11"/>
        <v>183</v>
      </c>
      <c r="AB337" t="s">
        <v>16</v>
      </c>
    </row>
    <row r="338" spans="1:28" x14ac:dyDescent="0.3">
      <c r="A338" t="s">
        <v>6580</v>
      </c>
      <c r="B338" t="s">
        <v>6579</v>
      </c>
      <c r="C338" t="s">
        <v>6579</v>
      </c>
      <c r="D338" t="s">
        <v>74</v>
      </c>
      <c r="E338">
        <v>5</v>
      </c>
      <c r="F338">
        <v>5</v>
      </c>
      <c r="G338" t="s">
        <v>132</v>
      </c>
      <c r="H338" t="s">
        <v>132</v>
      </c>
      <c r="I338" t="s">
        <v>46</v>
      </c>
      <c r="J338" t="s">
        <v>46</v>
      </c>
      <c r="K338" s="1">
        <v>46068</v>
      </c>
      <c r="L338" s="1" t="str">
        <f>IF(K338&gt;O338,"Valid","Invalid")</f>
        <v>Valid</v>
      </c>
      <c r="M338" s="1" t="b">
        <f>ISNUMBER(K338)</f>
        <v>1</v>
      </c>
      <c r="N338" s="1" t="b">
        <f>ISNUMBER(O338)</f>
        <v>1</v>
      </c>
      <c r="O338" s="1">
        <v>46058</v>
      </c>
      <c r="P338" t="s">
        <v>6578</v>
      </c>
      <c r="Q338" t="str">
        <f>SUBSTITUTE(SUBSTITUTE(SUBSTITUTE(P338," ",""),"-",""),"+","")</f>
        <v>03355975188</v>
      </c>
      <c r="R338" t="str">
        <f t="shared" si="10"/>
        <v>3355975188</v>
      </c>
      <c r="S338" t="str">
        <f>IF(LEN(R338),"Valid","Invalid")</f>
        <v>Valid</v>
      </c>
      <c r="T338" t="s">
        <v>6577</v>
      </c>
      <c r="V338" t="s">
        <v>26</v>
      </c>
      <c r="X338">
        <v>23801.22</v>
      </c>
      <c r="Y338" t="s">
        <v>64</v>
      </c>
      <c r="Z338">
        <v>275</v>
      </c>
      <c r="AA338">
        <f t="shared" si="11"/>
        <v>275</v>
      </c>
      <c r="AB338" t="s">
        <v>71</v>
      </c>
    </row>
    <row r="339" spans="1:28" x14ac:dyDescent="0.3">
      <c r="A339" t="s">
        <v>6576</v>
      </c>
      <c r="B339" t="s">
        <v>6575</v>
      </c>
      <c r="C339" t="s">
        <v>6575</v>
      </c>
      <c r="D339" t="s">
        <v>123</v>
      </c>
      <c r="E339">
        <v>21</v>
      </c>
      <c r="F339">
        <v>21</v>
      </c>
      <c r="G339" t="s">
        <v>80</v>
      </c>
      <c r="H339" t="s">
        <v>80</v>
      </c>
      <c r="I339" t="s">
        <v>20</v>
      </c>
      <c r="J339" t="s">
        <v>20</v>
      </c>
      <c r="K339" s="1">
        <v>46151</v>
      </c>
      <c r="L339" s="1" t="str">
        <f>IF(K339&gt;O339,"Valid","Invalid")</f>
        <v>Valid</v>
      </c>
      <c r="M339" s="1" t="b">
        <f>ISNUMBER(K339)</f>
        <v>1</v>
      </c>
      <c r="N339" s="1" t="b">
        <f>ISNUMBER(O339)</f>
        <v>1</v>
      </c>
      <c r="O339" s="1">
        <v>46141</v>
      </c>
      <c r="P339" t="s">
        <v>6574</v>
      </c>
      <c r="Q339" t="str">
        <f>SUBSTITUTE(SUBSTITUTE(SUBSTITUTE(P339," ",""),"-",""),"+","")</f>
        <v>912184300138</v>
      </c>
      <c r="R339" t="str">
        <f t="shared" si="10"/>
        <v>2184300138</v>
      </c>
      <c r="S339" t="str">
        <f>IF(LEN(R339),"Valid","Invalid")</f>
        <v>Valid</v>
      </c>
      <c r="T339" t="s">
        <v>6573</v>
      </c>
      <c r="V339" t="s">
        <v>123</v>
      </c>
      <c r="X339">
        <v>17671.72</v>
      </c>
      <c r="Y339" t="s">
        <v>123</v>
      </c>
      <c r="Z339">
        <v>434</v>
      </c>
      <c r="AA339">
        <f t="shared" si="11"/>
        <v>434</v>
      </c>
      <c r="AB339" t="s">
        <v>71</v>
      </c>
    </row>
    <row r="340" spans="1:28" x14ac:dyDescent="0.3">
      <c r="A340" t="s">
        <v>6572</v>
      </c>
      <c r="B340" t="s">
        <v>6571</v>
      </c>
      <c r="C340" t="s">
        <v>6571</v>
      </c>
      <c r="D340" t="s">
        <v>123</v>
      </c>
      <c r="E340">
        <v>21</v>
      </c>
      <c r="F340">
        <v>21</v>
      </c>
      <c r="G340" t="s">
        <v>47</v>
      </c>
      <c r="H340" t="s">
        <v>47</v>
      </c>
      <c r="I340" t="s">
        <v>20</v>
      </c>
      <c r="J340" t="s">
        <v>20</v>
      </c>
      <c r="K340" s="1">
        <v>46138</v>
      </c>
      <c r="L340" s="1" t="str">
        <f>IF(K340&gt;O340,"Valid","Invalid")</f>
        <v>Valid</v>
      </c>
      <c r="M340" s="1" t="b">
        <f>ISNUMBER(K340)</f>
        <v>1</v>
      </c>
      <c r="N340" s="1" t="b">
        <f>ISNUMBER(O340)</f>
        <v>1</v>
      </c>
      <c r="O340" s="1">
        <v>46128</v>
      </c>
      <c r="P340" t="s">
        <v>6570</v>
      </c>
      <c r="Q340" t="str">
        <f>SUBSTITUTE(SUBSTITUTE(SUBSTITUTE(P340," ",""),"-",""),"+","")</f>
        <v>01291927592</v>
      </c>
      <c r="R340" t="str">
        <f t="shared" si="10"/>
        <v>1291927592</v>
      </c>
      <c r="S340" t="str">
        <f>IF(LEN(R340),"Valid","Invalid")</f>
        <v>Valid</v>
      </c>
      <c r="T340" t="s">
        <v>6569</v>
      </c>
      <c r="V340" t="s">
        <v>17</v>
      </c>
      <c r="X340">
        <v>24365.08</v>
      </c>
      <c r="Y340" t="s">
        <v>123</v>
      </c>
      <c r="Z340">
        <v>456</v>
      </c>
      <c r="AA340">
        <f t="shared" si="11"/>
        <v>456</v>
      </c>
      <c r="AB340" t="s">
        <v>34</v>
      </c>
    </row>
    <row r="341" spans="1:28" x14ac:dyDescent="0.3">
      <c r="A341" t="s">
        <v>6568</v>
      </c>
      <c r="B341" t="s">
        <v>6567</v>
      </c>
      <c r="C341" t="s">
        <v>8044</v>
      </c>
      <c r="D341" t="s">
        <v>22</v>
      </c>
      <c r="E341">
        <v>85</v>
      </c>
      <c r="F341">
        <v>85</v>
      </c>
      <c r="G341" t="s">
        <v>850</v>
      </c>
      <c r="H341" t="s">
        <v>850</v>
      </c>
      <c r="I341" t="s">
        <v>30</v>
      </c>
      <c r="J341" t="s">
        <v>30</v>
      </c>
      <c r="K341" s="1">
        <v>46146</v>
      </c>
      <c r="L341" s="1" t="str">
        <f>IF(K341&gt;O341,"Valid","Invalid")</f>
        <v>Valid</v>
      </c>
      <c r="M341" s="1" t="b">
        <f>ISNUMBER(K341)</f>
        <v>1</v>
      </c>
      <c r="N341" s="1" t="b">
        <f>ISNUMBER(O341)</f>
        <v>1</v>
      </c>
      <c r="O341" s="1">
        <v>46139</v>
      </c>
      <c r="P341" t="s">
        <v>6566</v>
      </c>
      <c r="Q341" t="str">
        <f>SUBSTITUTE(SUBSTITUTE(SUBSTITUTE(P341," ",""),"-",""),"+","")</f>
        <v>910395112787</v>
      </c>
      <c r="R341" t="str">
        <f t="shared" si="10"/>
        <v>0395112787</v>
      </c>
      <c r="S341" t="str">
        <f>IF(LEN(R341),"Valid","Invalid")</f>
        <v>Valid</v>
      </c>
      <c r="T341" t="s">
        <v>6565</v>
      </c>
      <c r="V341" t="s">
        <v>64</v>
      </c>
      <c r="X341">
        <v>1430.96</v>
      </c>
      <c r="Y341" t="s">
        <v>123</v>
      </c>
      <c r="Z341">
        <v>178</v>
      </c>
      <c r="AA341">
        <f t="shared" si="11"/>
        <v>178</v>
      </c>
      <c r="AB341" t="s">
        <v>77</v>
      </c>
    </row>
    <row r="342" spans="1:28" x14ac:dyDescent="0.3">
      <c r="A342" t="s">
        <v>6564</v>
      </c>
      <c r="B342" t="s">
        <v>6563</v>
      </c>
      <c r="C342" t="s">
        <v>6563</v>
      </c>
      <c r="D342" t="s">
        <v>60</v>
      </c>
      <c r="E342">
        <v>1</v>
      </c>
      <c r="F342">
        <v>1</v>
      </c>
      <c r="G342" t="s">
        <v>54</v>
      </c>
      <c r="H342" t="s">
        <v>54</v>
      </c>
      <c r="I342" t="s">
        <v>20</v>
      </c>
      <c r="J342" t="s">
        <v>20</v>
      </c>
      <c r="K342" s="1">
        <v>46126</v>
      </c>
      <c r="L342" s="1" t="str">
        <f>IF(K342&gt;O342,"Valid","Invalid")</f>
        <v>Valid</v>
      </c>
      <c r="M342" s="1" t="b">
        <f>ISNUMBER(K342)</f>
        <v>1</v>
      </c>
      <c r="N342" s="1" t="b">
        <f>ISNUMBER(O342)</f>
        <v>1</v>
      </c>
      <c r="O342" s="1">
        <v>46117</v>
      </c>
      <c r="P342" t="s">
        <v>6562</v>
      </c>
      <c r="Q342" t="str">
        <f>SUBSTITUTE(SUBSTITUTE(SUBSTITUTE(P342," ",""),"-",""),"+","")</f>
        <v>0994399784</v>
      </c>
      <c r="R342" t="str">
        <f t="shared" si="10"/>
        <v>0994399784</v>
      </c>
      <c r="S342" t="str">
        <f>IF(LEN(R342),"Valid","Invalid")</f>
        <v>Valid</v>
      </c>
      <c r="T342" t="s">
        <v>6561</v>
      </c>
      <c r="V342" t="s">
        <v>123</v>
      </c>
      <c r="X342">
        <v>5151.9399999999996</v>
      </c>
      <c r="Y342" t="s">
        <v>27</v>
      </c>
      <c r="Z342">
        <v>205</v>
      </c>
      <c r="AA342">
        <f t="shared" si="11"/>
        <v>205</v>
      </c>
      <c r="AB342" t="s">
        <v>71</v>
      </c>
    </row>
    <row r="343" spans="1:28" x14ac:dyDescent="0.3">
      <c r="A343" t="s">
        <v>6560</v>
      </c>
      <c r="B343" t="s">
        <v>6559</v>
      </c>
      <c r="C343" t="s">
        <v>6559</v>
      </c>
      <c r="D343" t="s">
        <v>22</v>
      </c>
      <c r="E343">
        <v>11</v>
      </c>
      <c r="F343">
        <v>11</v>
      </c>
      <c r="G343" t="s">
        <v>68</v>
      </c>
      <c r="H343" t="s">
        <v>68</v>
      </c>
      <c r="I343" t="s">
        <v>20</v>
      </c>
      <c r="J343" t="s">
        <v>20</v>
      </c>
      <c r="K343" s="1">
        <v>46134</v>
      </c>
      <c r="L343" s="1" t="str">
        <f>IF(K343&gt;O343,"Valid","Invalid")</f>
        <v>Valid</v>
      </c>
      <c r="M343" s="1" t="b">
        <f>ISNUMBER(K343)</f>
        <v>1</v>
      </c>
      <c r="N343" s="1" t="b">
        <f>ISNUMBER(O343)</f>
        <v>1</v>
      </c>
      <c r="O343" s="1">
        <v>46125</v>
      </c>
      <c r="P343" t="s">
        <v>6558</v>
      </c>
      <c r="Q343" t="str">
        <f>SUBSTITUTE(SUBSTITUTE(SUBSTITUTE(P343," ",""),"-",""),"+","")</f>
        <v>6009320958</v>
      </c>
      <c r="R343" t="str">
        <f t="shared" si="10"/>
        <v>6009320958</v>
      </c>
      <c r="S343" t="str">
        <f>IF(LEN(R343),"Valid","Invalid")</f>
        <v>Valid</v>
      </c>
      <c r="T343" t="s">
        <v>6557</v>
      </c>
      <c r="V343" t="s">
        <v>123</v>
      </c>
      <c r="X343">
        <v>11879.42</v>
      </c>
      <c r="Y343" t="s">
        <v>63</v>
      </c>
      <c r="Z343">
        <v>146</v>
      </c>
      <c r="AA343">
        <f t="shared" si="11"/>
        <v>146</v>
      </c>
      <c r="AB343" t="s">
        <v>25</v>
      </c>
    </row>
    <row r="344" spans="1:28" x14ac:dyDescent="0.3">
      <c r="A344" t="s">
        <v>6556</v>
      </c>
      <c r="B344" t="s">
        <v>6555</v>
      </c>
      <c r="C344" t="s">
        <v>6555</v>
      </c>
      <c r="D344" t="s">
        <v>123</v>
      </c>
      <c r="E344">
        <v>24</v>
      </c>
      <c r="F344">
        <v>24</v>
      </c>
      <c r="G344" t="s">
        <v>31</v>
      </c>
      <c r="H344" t="s">
        <v>31</v>
      </c>
      <c r="I344" t="s">
        <v>90</v>
      </c>
      <c r="J344" t="s">
        <v>67</v>
      </c>
      <c r="K344" s="1">
        <v>46060</v>
      </c>
      <c r="L344" s="1" t="str">
        <f>IF(K344&gt;O344,"Valid","Invalid")</f>
        <v>Valid</v>
      </c>
      <c r="M344" s="1" t="b">
        <f>ISNUMBER(K344)</f>
        <v>1</v>
      </c>
      <c r="N344" s="1" t="b">
        <f>ISNUMBER(O344)</f>
        <v>1</v>
      </c>
      <c r="O344" s="1">
        <v>46049</v>
      </c>
      <c r="P344" t="s">
        <v>6554</v>
      </c>
      <c r="Q344" t="str">
        <f>SUBSTITUTE(SUBSTITUTE(SUBSTITUTE(P344," ",""),"-",""),"+","")</f>
        <v>915614450297</v>
      </c>
      <c r="R344" t="str">
        <f t="shared" si="10"/>
        <v>5614450297</v>
      </c>
      <c r="S344" t="str">
        <f>IF(LEN(R344),"Valid","Invalid")</f>
        <v>Valid</v>
      </c>
      <c r="T344" t="s">
        <v>6553</v>
      </c>
      <c r="V344" t="s">
        <v>35</v>
      </c>
      <c r="X344">
        <v>11255.23</v>
      </c>
      <c r="Y344" t="s">
        <v>63</v>
      </c>
      <c r="Z344">
        <v>325</v>
      </c>
      <c r="AA344">
        <f t="shared" si="11"/>
        <v>325</v>
      </c>
      <c r="AB344" t="s">
        <v>16</v>
      </c>
    </row>
    <row r="345" spans="1:28" x14ac:dyDescent="0.3">
      <c r="A345" t="s">
        <v>6552</v>
      </c>
      <c r="B345" t="s">
        <v>6551</v>
      </c>
      <c r="C345" t="s">
        <v>6551</v>
      </c>
      <c r="D345" t="s">
        <v>22</v>
      </c>
      <c r="E345">
        <v>29</v>
      </c>
      <c r="F345">
        <v>29</v>
      </c>
      <c r="G345" t="s">
        <v>132</v>
      </c>
      <c r="H345" t="s">
        <v>132</v>
      </c>
      <c r="I345" t="s">
        <v>46</v>
      </c>
      <c r="J345" t="s">
        <v>46</v>
      </c>
      <c r="K345" s="1">
        <v>46124</v>
      </c>
      <c r="L345" s="1" t="str">
        <f>IF(K345&gt;O345,"Valid","Invalid")</f>
        <v>Valid</v>
      </c>
      <c r="M345" s="1" t="b">
        <f>ISNUMBER(K345)</f>
        <v>1</v>
      </c>
      <c r="N345" s="1" t="b">
        <f>ISNUMBER(O345)</f>
        <v>1</v>
      </c>
      <c r="O345" s="1">
        <v>46120</v>
      </c>
      <c r="P345" t="s">
        <v>6550</v>
      </c>
      <c r="Q345" t="str">
        <f>SUBSTITUTE(SUBSTITUTE(SUBSTITUTE(P345," ",""),"-",""),"+","")</f>
        <v>4213820814</v>
      </c>
      <c r="R345" t="str">
        <f t="shared" si="10"/>
        <v>4213820814</v>
      </c>
      <c r="S345" t="str">
        <f>IF(LEN(R345),"Valid","Invalid")</f>
        <v>Valid</v>
      </c>
      <c r="T345" t="s">
        <v>6549</v>
      </c>
      <c r="V345" t="s">
        <v>64</v>
      </c>
      <c r="X345">
        <v>2325.54</v>
      </c>
      <c r="Y345" t="s">
        <v>17</v>
      </c>
      <c r="Z345">
        <v>513</v>
      </c>
      <c r="AA345">
        <f t="shared" si="11"/>
        <v>513</v>
      </c>
      <c r="AB345" t="s">
        <v>34</v>
      </c>
    </row>
    <row r="346" spans="1:28" x14ac:dyDescent="0.3">
      <c r="A346" t="s">
        <v>6548</v>
      </c>
      <c r="B346" t="s">
        <v>6547</v>
      </c>
      <c r="C346" t="s">
        <v>6547</v>
      </c>
      <c r="D346" t="s">
        <v>123</v>
      </c>
      <c r="E346">
        <v>76</v>
      </c>
      <c r="F346">
        <v>76</v>
      </c>
      <c r="G346" t="s">
        <v>21</v>
      </c>
      <c r="H346" t="s">
        <v>21</v>
      </c>
      <c r="I346" t="s">
        <v>46</v>
      </c>
      <c r="J346" t="s">
        <v>46</v>
      </c>
      <c r="K346" s="1">
        <v>46135</v>
      </c>
      <c r="L346" s="1" t="str">
        <f>IF(K346&gt;O346,"Valid","Invalid")</f>
        <v>Valid</v>
      </c>
      <c r="M346" s="1" t="b">
        <f>ISNUMBER(K346)</f>
        <v>1</v>
      </c>
      <c r="N346" s="1" t="b">
        <f>ISNUMBER(O346)</f>
        <v>1</v>
      </c>
      <c r="O346" s="1">
        <v>46109</v>
      </c>
      <c r="P346" t="s">
        <v>6546</v>
      </c>
      <c r="Q346" t="str">
        <f>SUBSTITUTE(SUBSTITUTE(SUBSTITUTE(P346," ",""),"-",""),"+","")</f>
        <v>9432198720</v>
      </c>
      <c r="R346" t="str">
        <f t="shared" si="10"/>
        <v>9432198720</v>
      </c>
      <c r="S346" t="str">
        <f>IF(LEN(R346),"Valid","Invalid")</f>
        <v>Valid</v>
      </c>
      <c r="T346" t="s">
        <v>6545</v>
      </c>
      <c r="V346" t="s">
        <v>123</v>
      </c>
      <c r="X346">
        <v>20496.45</v>
      </c>
      <c r="Y346" t="s">
        <v>123</v>
      </c>
      <c r="Z346">
        <v>374</v>
      </c>
      <c r="AA346">
        <f t="shared" si="11"/>
        <v>374</v>
      </c>
      <c r="AB346" t="s">
        <v>25</v>
      </c>
    </row>
    <row r="347" spans="1:28" x14ac:dyDescent="0.3">
      <c r="A347" t="s">
        <v>6544</v>
      </c>
      <c r="B347" t="s">
        <v>6543</v>
      </c>
      <c r="C347" t="s">
        <v>6543</v>
      </c>
      <c r="E347">
        <v>74</v>
      </c>
      <c r="F347">
        <v>74</v>
      </c>
      <c r="G347" t="s">
        <v>21</v>
      </c>
      <c r="H347" t="s">
        <v>21</v>
      </c>
      <c r="I347" t="s">
        <v>85</v>
      </c>
      <c r="J347" t="s">
        <v>85</v>
      </c>
      <c r="K347" s="1">
        <v>46103</v>
      </c>
      <c r="L347" s="1" t="str">
        <f>IF(K347&gt;O347,"Valid","Invalid")</f>
        <v>Valid</v>
      </c>
      <c r="M347" s="1" t="b">
        <f>ISNUMBER(K347)</f>
        <v>1</v>
      </c>
      <c r="N347" s="1" t="b">
        <f>ISNUMBER(O347)</f>
        <v>1</v>
      </c>
      <c r="O347" s="1">
        <v>46094</v>
      </c>
      <c r="P347" t="s">
        <v>6542</v>
      </c>
      <c r="Q347" t="str">
        <f>SUBSTITUTE(SUBSTITUTE(SUBSTITUTE(P347," ",""),"-",""),"+","")</f>
        <v>914296721119</v>
      </c>
      <c r="R347" t="str">
        <f t="shared" si="10"/>
        <v>4296721119</v>
      </c>
      <c r="S347" t="str">
        <f>IF(LEN(R347),"Valid","Invalid")</f>
        <v>Valid</v>
      </c>
      <c r="T347" t="s">
        <v>6541</v>
      </c>
      <c r="V347" t="s">
        <v>64</v>
      </c>
      <c r="X347">
        <v>9991.15</v>
      </c>
      <c r="Y347" t="s">
        <v>27</v>
      </c>
      <c r="Z347">
        <v>357</v>
      </c>
      <c r="AA347">
        <f t="shared" si="11"/>
        <v>357</v>
      </c>
      <c r="AB347" t="s">
        <v>34</v>
      </c>
    </row>
    <row r="348" spans="1:28" x14ac:dyDescent="0.3">
      <c r="A348" t="s">
        <v>6540</v>
      </c>
      <c r="B348" t="s">
        <v>6539</v>
      </c>
      <c r="C348" t="s">
        <v>6539</v>
      </c>
      <c r="D348" t="s">
        <v>0</v>
      </c>
      <c r="E348">
        <v>16</v>
      </c>
      <c r="F348">
        <v>16</v>
      </c>
      <c r="G348" t="s">
        <v>68</v>
      </c>
      <c r="H348" t="s">
        <v>68</v>
      </c>
      <c r="I348" t="s">
        <v>53</v>
      </c>
      <c r="J348" t="s">
        <v>20</v>
      </c>
      <c r="K348" s="1">
        <v>46019</v>
      </c>
      <c r="L348" s="1" t="str">
        <f>IF(K348&gt;O348,"Valid","Invalid")</f>
        <v>Valid</v>
      </c>
      <c r="M348" s="1" t="b">
        <f>ISNUMBER(K348)</f>
        <v>1</v>
      </c>
      <c r="N348" s="1" t="b">
        <f>ISNUMBER(O348)</f>
        <v>1</v>
      </c>
      <c r="O348" s="1">
        <v>45989</v>
      </c>
      <c r="P348" t="s">
        <v>6538</v>
      </c>
      <c r="Q348" t="str">
        <f>SUBSTITUTE(SUBSTITUTE(SUBSTITUTE(P348," ",""),"-",""),"+","")</f>
        <v>911199565658</v>
      </c>
      <c r="R348" t="str">
        <f t="shared" si="10"/>
        <v>1199565658</v>
      </c>
      <c r="S348" t="str">
        <f>IF(LEN(R348),"Valid","Invalid")</f>
        <v>Valid</v>
      </c>
      <c r="T348" t="s">
        <v>6537</v>
      </c>
      <c r="V348" t="s">
        <v>35</v>
      </c>
      <c r="X348">
        <v>24309.69</v>
      </c>
      <c r="Y348" t="s">
        <v>57</v>
      </c>
      <c r="Z348">
        <v>164</v>
      </c>
      <c r="AA348">
        <f t="shared" si="11"/>
        <v>164</v>
      </c>
      <c r="AB348" t="s">
        <v>77</v>
      </c>
    </row>
    <row r="349" spans="1:28" x14ac:dyDescent="0.3">
      <c r="A349" t="s">
        <v>6536</v>
      </c>
      <c r="B349" t="s">
        <v>6535</v>
      </c>
      <c r="C349" t="s">
        <v>6535</v>
      </c>
      <c r="D349" t="s">
        <v>123</v>
      </c>
      <c r="E349">
        <v>11</v>
      </c>
      <c r="F349">
        <v>11</v>
      </c>
      <c r="G349" t="s">
        <v>54</v>
      </c>
      <c r="H349" t="s">
        <v>54</v>
      </c>
      <c r="I349" t="s">
        <v>38</v>
      </c>
      <c r="J349" t="s">
        <v>8077</v>
      </c>
      <c r="K349" s="1">
        <v>46153</v>
      </c>
      <c r="L349" s="1" t="str">
        <f>IF(K349&gt;O349,"Valid","Invalid")</f>
        <v>Valid</v>
      </c>
      <c r="M349" s="1" t="b">
        <f>ISNUMBER(K349)</f>
        <v>1</v>
      </c>
      <c r="N349" s="1" t="b">
        <f>ISNUMBER(O349)</f>
        <v>1</v>
      </c>
      <c r="O349" s="1">
        <v>46127</v>
      </c>
      <c r="P349" t="s">
        <v>6534</v>
      </c>
      <c r="Q349" t="str">
        <f>SUBSTITUTE(SUBSTITUTE(SUBSTITUTE(P349," ",""),"-",""),"+","")</f>
        <v>03928903011</v>
      </c>
      <c r="R349" t="str">
        <f t="shared" si="10"/>
        <v>3928903011</v>
      </c>
      <c r="S349" t="str">
        <f>IF(LEN(R349),"Valid","Invalid")</f>
        <v>Valid</v>
      </c>
      <c r="T349" t="s">
        <v>6533</v>
      </c>
      <c r="V349" t="s">
        <v>35</v>
      </c>
      <c r="X349">
        <v>20885.88</v>
      </c>
      <c r="Y349" t="s">
        <v>63</v>
      </c>
      <c r="Z349">
        <v>263</v>
      </c>
      <c r="AA349">
        <f t="shared" si="11"/>
        <v>263</v>
      </c>
      <c r="AB349" t="s">
        <v>25</v>
      </c>
    </row>
    <row r="350" spans="1:28" x14ac:dyDescent="0.3">
      <c r="A350" t="s">
        <v>6532</v>
      </c>
      <c r="B350" t="s">
        <v>6531</v>
      </c>
      <c r="C350" t="s">
        <v>6531</v>
      </c>
      <c r="D350" t="s">
        <v>74</v>
      </c>
      <c r="E350">
        <v>12</v>
      </c>
      <c r="F350">
        <v>12</v>
      </c>
      <c r="G350" t="s">
        <v>54</v>
      </c>
      <c r="H350" t="s">
        <v>54</v>
      </c>
      <c r="I350" t="s">
        <v>90</v>
      </c>
      <c r="J350" t="s">
        <v>67</v>
      </c>
      <c r="K350" s="1">
        <v>46165</v>
      </c>
      <c r="L350" s="1" t="str">
        <f>IF(K350&gt;O350,"Valid","Invalid")</f>
        <v>Valid</v>
      </c>
      <c r="M350" s="1" t="b">
        <f>ISNUMBER(K350)</f>
        <v>1</v>
      </c>
      <c r="N350" s="1" t="b">
        <f>ISNUMBER(O350)</f>
        <v>1</v>
      </c>
      <c r="O350" s="1">
        <v>46148</v>
      </c>
      <c r="P350" t="s">
        <v>6530</v>
      </c>
      <c r="Q350" t="str">
        <f>SUBSTITUTE(SUBSTITUTE(SUBSTITUTE(P350," ",""),"-",""),"+","")</f>
        <v>03476685045</v>
      </c>
      <c r="R350" t="str">
        <f t="shared" si="10"/>
        <v>3476685045</v>
      </c>
      <c r="S350" t="str">
        <f>IF(LEN(R350),"Valid","Invalid")</f>
        <v>Valid</v>
      </c>
      <c r="T350" t="s">
        <v>6529</v>
      </c>
      <c r="V350" t="s">
        <v>57</v>
      </c>
      <c r="X350">
        <v>21444.28</v>
      </c>
      <c r="Y350" t="s">
        <v>123</v>
      </c>
      <c r="Z350">
        <v>547</v>
      </c>
      <c r="AA350">
        <f t="shared" si="11"/>
        <v>547</v>
      </c>
      <c r="AB350" t="s">
        <v>77</v>
      </c>
    </row>
    <row r="351" spans="1:28" x14ac:dyDescent="0.3">
      <c r="A351" t="s">
        <v>6528</v>
      </c>
      <c r="B351" t="s">
        <v>6527</v>
      </c>
      <c r="C351" t="s">
        <v>6527</v>
      </c>
      <c r="D351" t="s">
        <v>123</v>
      </c>
      <c r="E351">
        <v>15</v>
      </c>
      <c r="F351">
        <v>15</v>
      </c>
      <c r="G351" t="s">
        <v>54</v>
      </c>
      <c r="H351" t="s">
        <v>54</v>
      </c>
      <c r="I351" t="s">
        <v>53</v>
      </c>
      <c r="J351" t="s">
        <v>20</v>
      </c>
      <c r="K351" s="1">
        <v>46078</v>
      </c>
      <c r="L351" s="1" t="str">
        <f>IF(K351&gt;O351,"Valid","Invalid")</f>
        <v>Valid</v>
      </c>
      <c r="M351" s="1" t="b">
        <f>ISNUMBER(K351)</f>
        <v>1</v>
      </c>
      <c r="N351" s="1" t="b">
        <f>ISNUMBER(O351)</f>
        <v>1</v>
      </c>
      <c r="O351" s="1">
        <v>46074</v>
      </c>
      <c r="P351" t="s">
        <v>6526</v>
      </c>
      <c r="Q351" t="str">
        <f>SUBSTITUTE(SUBSTITUTE(SUBSTITUTE(P351," ",""),"-",""),"+","")</f>
        <v>02762280077</v>
      </c>
      <c r="R351" t="str">
        <f t="shared" si="10"/>
        <v>2762280077</v>
      </c>
      <c r="S351" t="str">
        <f>IF(LEN(R351),"Valid","Invalid")</f>
        <v>Valid</v>
      </c>
      <c r="T351" t="s">
        <v>6525</v>
      </c>
      <c r="V351" t="s">
        <v>64</v>
      </c>
      <c r="X351">
        <v>23138.22</v>
      </c>
      <c r="Y351" t="s">
        <v>64</v>
      </c>
      <c r="Z351">
        <v>502</v>
      </c>
      <c r="AA351">
        <f t="shared" si="11"/>
        <v>502</v>
      </c>
      <c r="AB351" t="s">
        <v>43</v>
      </c>
    </row>
    <row r="352" spans="1:28" x14ac:dyDescent="0.3">
      <c r="A352" t="s">
        <v>6524</v>
      </c>
      <c r="B352" t="s">
        <v>6523</v>
      </c>
      <c r="C352" t="s">
        <v>6523</v>
      </c>
      <c r="D352" t="s">
        <v>60</v>
      </c>
      <c r="E352">
        <v>53</v>
      </c>
      <c r="F352">
        <v>53</v>
      </c>
      <c r="G352" t="s">
        <v>132</v>
      </c>
      <c r="H352" t="s">
        <v>132</v>
      </c>
      <c r="I352" t="s">
        <v>90</v>
      </c>
      <c r="J352" t="s">
        <v>67</v>
      </c>
      <c r="K352" s="1">
        <v>46142</v>
      </c>
      <c r="L352" s="1" t="str">
        <f>IF(K352&gt;O352,"Valid","Invalid")</f>
        <v>Valid</v>
      </c>
      <c r="M352" s="1" t="b">
        <f>ISNUMBER(K352)</f>
        <v>1</v>
      </c>
      <c r="N352" s="1" t="b">
        <f>ISNUMBER(O352)</f>
        <v>1</v>
      </c>
      <c r="O352" s="1">
        <v>46122</v>
      </c>
      <c r="P352" t="s">
        <v>6522</v>
      </c>
      <c r="Q352" t="str">
        <f>SUBSTITUTE(SUBSTITUTE(SUBSTITUTE(P352," ",""),"-",""),"+","")</f>
        <v>916196152486</v>
      </c>
      <c r="R352" t="str">
        <f t="shared" si="10"/>
        <v>6196152486</v>
      </c>
      <c r="S352" t="str">
        <f>IF(LEN(R352),"Valid","Invalid")</f>
        <v>Valid</v>
      </c>
      <c r="T352" t="s">
        <v>6521</v>
      </c>
      <c r="V352" t="s">
        <v>123</v>
      </c>
      <c r="X352">
        <v>14386.18</v>
      </c>
      <c r="Y352" t="s">
        <v>123</v>
      </c>
      <c r="Z352">
        <v>119</v>
      </c>
      <c r="AA352">
        <f t="shared" si="11"/>
        <v>119</v>
      </c>
      <c r="AB352" t="s">
        <v>71</v>
      </c>
    </row>
    <row r="353" spans="1:28" x14ac:dyDescent="0.3">
      <c r="A353" t="s">
        <v>6520</v>
      </c>
      <c r="B353" t="s">
        <v>6519</v>
      </c>
      <c r="C353" t="s">
        <v>6519</v>
      </c>
      <c r="D353" t="s">
        <v>22</v>
      </c>
      <c r="E353">
        <v>52</v>
      </c>
      <c r="F353">
        <v>52</v>
      </c>
      <c r="G353" t="s">
        <v>39</v>
      </c>
      <c r="H353" t="s">
        <v>39</v>
      </c>
      <c r="I353" t="s">
        <v>90</v>
      </c>
      <c r="J353" t="s">
        <v>67</v>
      </c>
      <c r="K353" s="1">
        <v>46063</v>
      </c>
      <c r="L353" s="1" t="str">
        <f>IF(K353&gt;O353,"Valid","Invalid")</f>
        <v>Valid</v>
      </c>
      <c r="M353" s="1" t="b">
        <f>ISNUMBER(K353)</f>
        <v>1</v>
      </c>
      <c r="N353" s="1" t="b">
        <f>ISNUMBER(O353)</f>
        <v>1</v>
      </c>
      <c r="O353" s="1">
        <v>46062</v>
      </c>
      <c r="P353" t="s">
        <v>6518</v>
      </c>
      <c r="Q353" t="str">
        <f>SUBSTITUTE(SUBSTITUTE(SUBSTITUTE(P353," ",""),"-",""),"+","")</f>
        <v>913126317078</v>
      </c>
      <c r="R353" t="str">
        <f t="shared" si="10"/>
        <v>3126317078</v>
      </c>
      <c r="S353" t="str">
        <f>IF(LEN(R353),"Valid","Invalid")</f>
        <v>Valid</v>
      </c>
      <c r="T353" t="s">
        <v>6517</v>
      </c>
      <c r="V353" t="s">
        <v>123</v>
      </c>
      <c r="X353">
        <v>22261.439999999999</v>
      </c>
      <c r="Y353" t="s">
        <v>17</v>
      </c>
      <c r="Z353">
        <v>453</v>
      </c>
      <c r="AA353">
        <f t="shared" si="11"/>
        <v>453</v>
      </c>
      <c r="AB353" t="s">
        <v>71</v>
      </c>
    </row>
    <row r="354" spans="1:28" x14ac:dyDescent="0.3">
      <c r="A354" t="s">
        <v>6512</v>
      </c>
      <c r="B354" t="s">
        <v>6511</v>
      </c>
      <c r="C354" t="s">
        <v>6511</v>
      </c>
      <c r="E354">
        <v>90</v>
      </c>
      <c r="F354">
        <v>90</v>
      </c>
      <c r="G354" t="s">
        <v>80</v>
      </c>
      <c r="H354" t="s">
        <v>80</v>
      </c>
      <c r="I354" t="s">
        <v>38</v>
      </c>
      <c r="J354" t="s">
        <v>8077</v>
      </c>
      <c r="K354" s="1">
        <v>46133</v>
      </c>
      <c r="L354" s="1" t="str">
        <f>IF(K354&gt;O354,"Valid","Invalid")</f>
        <v>Valid</v>
      </c>
      <c r="M354" s="1" t="b">
        <f>ISNUMBER(K354)</f>
        <v>1</v>
      </c>
      <c r="N354" s="1" t="b">
        <f>ISNUMBER(O354)</f>
        <v>1</v>
      </c>
      <c r="O354" s="1">
        <v>46129</v>
      </c>
      <c r="P354" t="s">
        <v>6510</v>
      </c>
      <c r="Q354" t="str">
        <f>SUBSTITUTE(SUBSTITUTE(SUBSTITUTE(P354," ",""),"-",""),"+","")</f>
        <v>1450566785</v>
      </c>
      <c r="R354" t="str">
        <f t="shared" si="10"/>
        <v>1450566785</v>
      </c>
      <c r="S354" t="str">
        <f>IF(LEN(R354),"Valid","Invalid")</f>
        <v>Valid</v>
      </c>
      <c r="T354" t="s">
        <v>6509</v>
      </c>
      <c r="V354" t="s">
        <v>26</v>
      </c>
      <c r="X354">
        <v>24360.639999999999</v>
      </c>
      <c r="Y354" t="s">
        <v>123</v>
      </c>
      <c r="Z354">
        <v>496</v>
      </c>
      <c r="AA354">
        <f t="shared" si="11"/>
        <v>496</v>
      </c>
      <c r="AB354" t="s">
        <v>50</v>
      </c>
    </row>
    <row r="355" spans="1:28" x14ac:dyDescent="0.3">
      <c r="A355" t="s">
        <v>6508</v>
      </c>
      <c r="B355" t="s">
        <v>6507</v>
      </c>
      <c r="C355" t="s">
        <v>6507</v>
      </c>
      <c r="D355" t="s">
        <v>60</v>
      </c>
      <c r="E355">
        <v>35</v>
      </c>
      <c r="F355">
        <v>35</v>
      </c>
      <c r="G355" t="s">
        <v>54</v>
      </c>
      <c r="H355" t="s">
        <v>54</v>
      </c>
      <c r="I355" t="s">
        <v>20</v>
      </c>
      <c r="J355" t="s">
        <v>20</v>
      </c>
      <c r="K355" s="1">
        <v>46066</v>
      </c>
      <c r="L355" s="1" t="str">
        <f>IF(K355&gt;O355,"Valid","Invalid")</f>
        <v>Valid</v>
      </c>
      <c r="M355" s="1" t="b">
        <f>ISNUMBER(K355)</f>
        <v>1</v>
      </c>
      <c r="N355" s="1" t="b">
        <f>ISNUMBER(O355)</f>
        <v>1</v>
      </c>
      <c r="O355" s="1">
        <v>46060</v>
      </c>
      <c r="P355" t="s">
        <v>6506</v>
      </c>
      <c r="Q355" t="str">
        <f>SUBSTITUTE(SUBSTITUTE(SUBSTITUTE(P355," ",""),"-",""),"+","")</f>
        <v>6645371234</v>
      </c>
      <c r="R355" t="str">
        <f t="shared" si="10"/>
        <v>6645371234</v>
      </c>
      <c r="S355" t="str">
        <f>IF(LEN(R355),"Valid","Invalid")</f>
        <v>Valid</v>
      </c>
      <c r="T355" t="s">
        <v>6505</v>
      </c>
      <c r="V355" t="s">
        <v>123</v>
      </c>
      <c r="X355">
        <v>5442.48</v>
      </c>
      <c r="Y355" t="s">
        <v>123</v>
      </c>
      <c r="Z355">
        <v>479</v>
      </c>
      <c r="AA355">
        <f t="shared" si="11"/>
        <v>479</v>
      </c>
      <c r="AB355" t="s">
        <v>16</v>
      </c>
    </row>
    <row r="356" spans="1:28" x14ac:dyDescent="0.3">
      <c r="A356" t="s">
        <v>6504</v>
      </c>
      <c r="B356" t="s">
        <v>6503</v>
      </c>
      <c r="C356" t="s">
        <v>6503</v>
      </c>
      <c r="D356" t="s">
        <v>60</v>
      </c>
      <c r="E356">
        <v>8</v>
      </c>
      <c r="F356">
        <v>8</v>
      </c>
      <c r="G356" t="s">
        <v>39</v>
      </c>
      <c r="H356" t="s">
        <v>39</v>
      </c>
      <c r="I356" t="s">
        <v>20</v>
      </c>
      <c r="J356" t="s">
        <v>20</v>
      </c>
      <c r="K356" s="1">
        <v>46141</v>
      </c>
      <c r="L356" s="1" t="str">
        <f>IF(K356&gt;O356,"Valid","Invalid")</f>
        <v>Valid</v>
      </c>
      <c r="M356" s="1" t="b">
        <f>ISNUMBER(K356)</f>
        <v>1</v>
      </c>
      <c r="N356" s="1" t="b">
        <f>ISNUMBER(O356)</f>
        <v>1</v>
      </c>
      <c r="O356" s="1">
        <v>46132</v>
      </c>
      <c r="P356" t="s">
        <v>6502</v>
      </c>
      <c r="Q356" t="str">
        <f>SUBSTITUTE(SUBSTITUTE(SUBSTITUTE(P356," ",""),"-",""),"+","")</f>
        <v>913440629609</v>
      </c>
      <c r="R356" t="str">
        <f t="shared" si="10"/>
        <v>3440629609</v>
      </c>
      <c r="S356" t="str">
        <f>IF(LEN(R356),"Valid","Invalid")</f>
        <v>Valid</v>
      </c>
      <c r="T356" t="s">
        <v>6501</v>
      </c>
      <c r="V356" t="s">
        <v>123</v>
      </c>
      <c r="X356">
        <v>3564.12</v>
      </c>
      <c r="Y356" t="s">
        <v>27</v>
      </c>
      <c r="Z356">
        <v>188</v>
      </c>
      <c r="AA356">
        <f t="shared" si="11"/>
        <v>188</v>
      </c>
      <c r="AB356" t="s">
        <v>71</v>
      </c>
    </row>
    <row r="357" spans="1:28" x14ac:dyDescent="0.3">
      <c r="A357" t="s">
        <v>6500</v>
      </c>
      <c r="B357" t="s">
        <v>6499</v>
      </c>
      <c r="C357" t="s">
        <v>6499</v>
      </c>
      <c r="D357" t="s">
        <v>1</v>
      </c>
      <c r="E357">
        <v>8</v>
      </c>
      <c r="F357">
        <v>8</v>
      </c>
      <c r="G357" t="s">
        <v>21</v>
      </c>
      <c r="H357" t="s">
        <v>21</v>
      </c>
      <c r="I357" t="s">
        <v>46</v>
      </c>
      <c r="J357" t="s">
        <v>46</v>
      </c>
      <c r="K357" s="1">
        <v>46081</v>
      </c>
      <c r="L357" s="1" t="str">
        <f>IF(K357&gt;O357,"Valid","Invalid")</f>
        <v>Valid</v>
      </c>
      <c r="M357" s="1" t="b">
        <f>ISNUMBER(K357)</f>
        <v>1</v>
      </c>
      <c r="N357" s="1" t="b">
        <f>ISNUMBER(O357)</f>
        <v>1</v>
      </c>
      <c r="O357" s="1">
        <v>46067</v>
      </c>
      <c r="P357" t="s">
        <v>6498</v>
      </c>
      <c r="Q357" t="str">
        <f>SUBSTITUTE(SUBSTITUTE(SUBSTITUTE(P357," ",""),"-",""),"+","")</f>
        <v>912723461771</v>
      </c>
      <c r="R357" t="str">
        <f t="shared" si="10"/>
        <v>2723461771</v>
      </c>
      <c r="S357" t="str">
        <f>IF(LEN(R357),"Valid","Invalid")</f>
        <v>Valid</v>
      </c>
      <c r="T357" t="s">
        <v>6497</v>
      </c>
      <c r="V357" t="s">
        <v>27</v>
      </c>
      <c r="X357">
        <v>22967.17</v>
      </c>
      <c r="Y357" t="s">
        <v>57</v>
      </c>
      <c r="Z357">
        <v>240</v>
      </c>
      <c r="AA357">
        <f t="shared" si="11"/>
        <v>240</v>
      </c>
      <c r="AB357" t="s">
        <v>43</v>
      </c>
    </row>
    <row r="358" spans="1:28" x14ac:dyDescent="0.3">
      <c r="A358" t="s">
        <v>6496</v>
      </c>
      <c r="B358" t="s">
        <v>6495</v>
      </c>
      <c r="C358" t="s">
        <v>6495</v>
      </c>
      <c r="E358">
        <v>65</v>
      </c>
      <c r="F358">
        <v>65</v>
      </c>
      <c r="G358" t="s">
        <v>54</v>
      </c>
      <c r="H358" t="s">
        <v>54</v>
      </c>
      <c r="I358" t="s">
        <v>20</v>
      </c>
      <c r="J358" t="s">
        <v>20</v>
      </c>
      <c r="K358" s="1">
        <v>46047</v>
      </c>
      <c r="L358" s="1" t="str">
        <f>IF(K358&gt;O358,"Valid","Invalid")</f>
        <v>Valid</v>
      </c>
      <c r="M358" s="1" t="b">
        <f>ISNUMBER(K358)</f>
        <v>1</v>
      </c>
      <c r="N358" s="1" t="b">
        <f>ISNUMBER(O358)</f>
        <v>1</v>
      </c>
      <c r="O358" s="1">
        <v>46026</v>
      </c>
      <c r="P358" t="s">
        <v>6494</v>
      </c>
      <c r="Q358" t="str">
        <f>SUBSTITUTE(SUBSTITUTE(SUBSTITUTE(P358," ",""),"-",""),"+","")</f>
        <v>9614279105</v>
      </c>
      <c r="R358" t="str">
        <f t="shared" si="10"/>
        <v>9614279105</v>
      </c>
      <c r="S358" t="str">
        <f>IF(LEN(R358),"Valid","Invalid")</f>
        <v>Valid</v>
      </c>
      <c r="T358" t="s">
        <v>6493</v>
      </c>
      <c r="V358" t="s">
        <v>27</v>
      </c>
      <c r="X358">
        <v>6200.06</v>
      </c>
      <c r="Y358" t="s">
        <v>123</v>
      </c>
      <c r="Z358">
        <v>404</v>
      </c>
      <c r="AA358">
        <f t="shared" si="11"/>
        <v>404</v>
      </c>
      <c r="AB358" t="s">
        <v>16</v>
      </c>
    </row>
    <row r="359" spans="1:28" x14ac:dyDescent="0.3">
      <c r="A359" t="s">
        <v>6492</v>
      </c>
      <c r="B359" t="s">
        <v>6491</v>
      </c>
      <c r="C359" t="s">
        <v>6491</v>
      </c>
      <c r="D359" t="s">
        <v>0</v>
      </c>
      <c r="E359">
        <v>61</v>
      </c>
      <c r="F359">
        <v>61</v>
      </c>
      <c r="G359" t="s">
        <v>31</v>
      </c>
      <c r="H359" t="s">
        <v>31</v>
      </c>
      <c r="I359" t="s">
        <v>67</v>
      </c>
      <c r="J359" t="s">
        <v>67</v>
      </c>
      <c r="K359" s="1">
        <v>46054</v>
      </c>
      <c r="L359" s="1" t="str">
        <f>IF(K359&gt;O359,"Valid","Invalid")</f>
        <v>Valid</v>
      </c>
      <c r="M359" s="1" t="b">
        <f>ISNUMBER(K359)</f>
        <v>1</v>
      </c>
      <c r="N359" s="1" t="b">
        <f>ISNUMBER(O359)</f>
        <v>1</v>
      </c>
      <c r="O359" s="1">
        <v>46049</v>
      </c>
      <c r="P359" t="s">
        <v>6490</v>
      </c>
      <c r="Q359" t="str">
        <f>SUBSTITUTE(SUBSTITUTE(SUBSTITUTE(P359," ",""),"-",""),"+","")</f>
        <v>4589323732</v>
      </c>
      <c r="R359" t="str">
        <f t="shared" si="10"/>
        <v>4589323732</v>
      </c>
      <c r="S359" t="str">
        <f>IF(LEN(R359),"Valid","Invalid")</f>
        <v>Valid</v>
      </c>
      <c r="T359" t="s">
        <v>6489</v>
      </c>
      <c r="V359" t="s">
        <v>26</v>
      </c>
      <c r="X359">
        <v>18774.240000000002</v>
      </c>
      <c r="Y359" t="s">
        <v>64</v>
      </c>
      <c r="Z359">
        <v>245</v>
      </c>
      <c r="AA359">
        <f t="shared" si="11"/>
        <v>245</v>
      </c>
      <c r="AB359" t="s">
        <v>77</v>
      </c>
    </row>
    <row r="360" spans="1:28" x14ac:dyDescent="0.3">
      <c r="A360" t="s">
        <v>6488</v>
      </c>
      <c r="B360" t="s">
        <v>6487</v>
      </c>
      <c r="C360" t="s">
        <v>6487</v>
      </c>
      <c r="D360" t="s">
        <v>123</v>
      </c>
      <c r="E360">
        <v>7</v>
      </c>
      <c r="F360">
        <v>7</v>
      </c>
      <c r="G360" t="s">
        <v>39</v>
      </c>
      <c r="H360" t="s">
        <v>39</v>
      </c>
      <c r="I360" t="s">
        <v>38</v>
      </c>
      <c r="J360" t="s">
        <v>8077</v>
      </c>
      <c r="K360" s="1">
        <v>46039</v>
      </c>
      <c r="L360" s="1" t="str">
        <f>IF(K360&gt;O360,"Valid","Invalid")</f>
        <v>Valid</v>
      </c>
      <c r="M360" s="1" t="b">
        <f>ISNUMBER(K360)</f>
        <v>1</v>
      </c>
      <c r="N360" s="1" t="b">
        <f>ISNUMBER(O360)</f>
        <v>1</v>
      </c>
      <c r="O360" s="1">
        <v>46012</v>
      </c>
      <c r="P360" t="s">
        <v>6486</v>
      </c>
      <c r="Q360" t="str">
        <f>SUBSTITUTE(SUBSTITUTE(SUBSTITUTE(P360," ",""),"-",""),"+","")</f>
        <v>04375517668</v>
      </c>
      <c r="R360" t="str">
        <f t="shared" si="10"/>
        <v>4375517668</v>
      </c>
      <c r="S360" t="str">
        <f>IF(LEN(R360),"Valid","Invalid")</f>
        <v>Valid</v>
      </c>
      <c r="T360" t="s">
        <v>6485</v>
      </c>
      <c r="V360" t="s">
        <v>17</v>
      </c>
      <c r="X360">
        <v>16255.02</v>
      </c>
      <c r="Y360" t="s">
        <v>57</v>
      </c>
      <c r="Z360">
        <v>237</v>
      </c>
      <c r="AA360">
        <f t="shared" si="11"/>
        <v>237</v>
      </c>
      <c r="AB360" t="s">
        <v>25</v>
      </c>
    </row>
    <row r="361" spans="1:28" x14ac:dyDescent="0.3">
      <c r="A361" t="s">
        <v>6484</v>
      </c>
      <c r="B361" t="s">
        <v>6483</v>
      </c>
      <c r="C361" t="s">
        <v>6483</v>
      </c>
      <c r="D361" t="s">
        <v>123</v>
      </c>
      <c r="E361">
        <v>66</v>
      </c>
      <c r="F361">
        <v>66</v>
      </c>
      <c r="G361" t="s">
        <v>47</v>
      </c>
      <c r="H361" t="s">
        <v>47</v>
      </c>
      <c r="I361" t="s">
        <v>46</v>
      </c>
      <c r="J361" t="s">
        <v>46</v>
      </c>
      <c r="K361" s="1">
        <v>46103</v>
      </c>
      <c r="L361" s="1" t="str">
        <f>IF(K361&gt;O361,"Valid","Invalid")</f>
        <v>Valid</v>
      </c>
      <c r="M361" s="1" t="b">
        <f>ISNUMBER(K361)</f>
        <v>1</v>
      </c>
      <c r="N361" s="1" t="b">
        <f>ISNUMBER(O361)</f>
        <v>1</v>
      </c>
      <c r="O361" s="1">
        <v>46088</v>
      </c>
      <c r="P361" t="s">
        <v>6482</v>
      </c>
      <c r="Q361" t="str">
        <f>SUBSTITUTE(SUBSTITUTE(SUBSTITUTE(P361," ",""),"-",""),"+","")</f>
        <v>914164853166</v>
      </c>
      <c r="R361" t="str">
        <f t="shared" si="10"/>
        <v>4164853166</v>
      </c>
      <c r="S361" t="str">
        <f>IF(LEN(R361),"Valid","Invalid")</f>
        <v>Valid</v>
      </c>
      <c r="T361" t="s">
        <v>6481</v>
      </c>
      <c r="V361" t="s">
        <v>35</v>
      </c>
      <c r="X361">
        <v>16254.81</v>
      </c>
      <c r="Y361" t="s">
        <v>27</v>
      </c>
      <c r="Z361">
        <v>214</v>
      </c>
      <c r="AA361">
        <f t="shared" si="11"/>
        <v>214</v>
      </c>
      <c r="AB361" t="s">
        <v>43</v>
      </c>
    </row>
    <row r="362" spans="1:28" x14ac:dyDescent="0.3">
      <c r="A362" t="s">
        <v>6480</v>
      </c>
      <c r="B362" t="s">
        <v>6479</v>
      </c>
      <c r="C362" t="s">
        <v>6479</v>
      </c>
      <c r="D362" t="s">
        <v>22</v>
      </c>
      <c r="E362">
        <v>83</v>
      </c>
      <c r="F362">
        <v>83</v>
      </c>
      <c r="G362" t="s">
        <v>132</v>
      </c>
      <c r="H362" t="s">
        <v>132</v>
      </c>
      <c r="I362" t="s">
        <v>90</v>
      </c>
      <c r="J362" t="s">
        <v>67</v>
      </c>
      <c r="K362" s="1">
        <v>46101</v>
      </c>
      <c r="L362" s="1" t="str">
        <f>IF(K362&gt;O362,"Valid","Invalid")</f>
        <v>Valid</v>
      </c>
      <c r="M362" s="1" t="b">
        <f>ISNUMBER(K362)</f>
        <v>1</v>
      </c>
      <c r="N362" s="1" t="b">
        <f>ISNUMBER(O362)</f>
        <v>1</v>
      </c>
      <c r="O362" s="1">
        <v>46073</v>
      </c>
      <c r="P362" t="s">
        <v>6478</v>
      </c>
      <c r="Q362" t="str">
        <f>SUBSTITUTE(SUBSTITUTE(SUBSTITUTE(P362," ",""),"-",""),"+","")</f>
        <v>2854495245</v>
      </c>
      <c r="R362" t="str">
        <f t="shared" si="10"/>
        <v>2854495245</v>
      </c>
      <c r="S362" t="str">
        <f>IF(LEN(R362),"Valid","Invalid")</f>
        <v>Valid</v>
      </c>
      <c r="T362" t="s">
        <v>6477</v>
      </c>
      <c r="V362" t="s">
        <v>123</v>
      </c>
      <c r="X362">
        <v>21319.34</v>
      </c>
      <c r="Y362" t="s">
        <v>123</v>
      </c>
      <c r="Z362">
        <v>229</v>
      </c>
      <c r="AA362">
        <f t="shared" si="11"/>
        <v>229</v>
      </c>
      <c r="AB362" t="s">
        <v>71</v>
      </c>
    </row>
    <row r="363" spans="1:28" x14ac:dyDescent="0.3">
      <c r="A363" t="s">
        <v>6472</v>
      </c>
      <c r="B363" t="s">
        <v>6471</v>
      </c>
      <c r="C363" t="s">
        <v>6471</v>
      </c>
      <c r="D363" t="s">
        <v>74</v>
      </c>
      <c r="E363">
        <v>62</v>
      </c>
      <c r="F363">
        <v>62</v>
      </c>
      <c r="G363" t="s">
        <v>80</v>
      </c>
      <c r="H363" t="s">
        <v>80</v>
      </c>
      <c r="I363" t="s">
        <v>67</v>
      </c>
      <c r="J363" t="s">
        <v>67</v>
      </c>
      <c r="K363" s="1">
        <v>46069</v>
      </c>
      <c r="L363" s="1" t="str">
        <f>IF(K363&gt;O363,"Valid","Invalid")</f>
        <v>Valid</v>
      </c>
      <c r="M363" s="1" t="b">
        <f>ISNUMBER(K363)</f>
        <v>1</v>
      </c>
      <c r="N363" s="1" t="b">
        <f>ISNUMBER(O363)</f>
        <v>1</v>
      </c>
      <c r="O363" s="1">
        <v>46061</v>
      </c>
      <c r="P363" t="s">
        <v>6470</v>
      </c>
      <c r="Q363" t="str">
        <f>SUBSTITUTE(SUBSTITUTE(SUBSTITUTE(P363," ",""),"-",""),"+","")</f>
        <v>01574452835</v>
      </c>
      <c r="R363" t="str">
        <f t="shared" si="10"/>
        <v>1574452835</v>
      </c>
      <c r="S363" t="str">
        <f>IF(LEN(R363),"Valid","Invalid")</f>
        <v>Valid</v>
      </c>
      <c r="T363" t="s">
        <v>6469</v>
      </c>
      <c r="V363" t="s">
        <v>57</v>
      </c>
      <c r="X363">
        <v>21564.99</v>
      </c>
      <c r="Y363" t="s">
        <v>63</v>
      </c>
      <c r="Z363">
        <v>435</v>
      </c>
      <c r="AA363">
        <f t="shared" si="11"/>
        <v>435</v>
      </c>
      <c r="AB363" t="s">
        <v>25</v>
      </c>
    </row>
    <row r="364" spans="1:28" x14ac:dyDescent="0.3">
      <c r="A364" t="s">
        <v>6468</v>
      </c>
      <c r="B364" t="s">
        <v>6467</v>
      </c>
      <c r="C364" t="s">
        <v>6467</v>
      </c>
      <c r="D364" t="s">
        <v>22</v>
      </c>
      <c r="E364">
        <v>25</v>
      </c>
      <c r="F364">
        <v>25</v>
      </c>
      <c r="G364" t="s">
        <v>39</v>
      </c>
      <c r="H364" t="s">
        <v>39</v>
      </c>
      <c r="I364" t="s">
        <v>38</v>
      </c>
      <c r="J364" t="s">
        <v>8077</v>
      </c>
      <c r="K364" s="1">
        <v>46116</v>
      </c>
      <c r="L364" s="1" t="str">
        <f>IF(K364&gt;O364,"Valid","Invalid")</f>
        <v>Valid</v>
      </c>
      <c r="M364" s="1" t="b">
        <f>ISNUMBER(K364)</f>
        <v>1</v>
      </c>
      <c r="N364" s="1" t="b">
        <f>ISNUMBER(O364)</f>
        <v>1</v>
      </c>
      <c r="O364" s="1">
        <v>46088</v>
      </c>
      <c r="P364" t="s">
        <v>6466</v>
      </c>
      <c r="Q364" t="str">
        <f>SUBSTITUTE(SUBSTITUTE(SUBSTITUTE(P364," ",""),"-",""),"+","")</f>
        <v>914651604893</v>
      </c>
      <c r="R364" t="str">
        <f t="shared" si="10"/>
        <v>4651604893</v>
      </c>
      <c r="S364" t="str">
        <f>IF(LEN(R364),"Valid","Invalid")</f>
        <v>Valid</v>
      </c>
      <c r="T364" t="s">
        <v>6465</v>
      </c>
      <c r="V364" t="s">
        <v>27</v>
      </c>
      <c r="X364">
        <v>20174.66</v>
      </c>
      <c r="Y364" t="s">
        <v>123</v>
      </c>
      <c r="Z364">
        <v>438</v>
      </c>
      <c r="AA364">
        <f t="shared" si="11"/>
        <v>438</v>
      </c>
      <c r="AB364" t="s">
        <v>43</v>
      </c>
    </row>
    <row r="365" spans="1:28" x14ac:dyDescent="0.3">
      <c r="A365" t="s">
        <v>6464</v>
      </c>
      <c r="B365" t="s">
        <v>6463</v>
      </c>
      <c r="C365" t="s">
        <v>6463</v>
      </c>
      <c r="D365" t="s">
        <v>0</v>
      </c>
      <c r="E365">
        <v>4</v>
      </c>
      <c r="F365">
        <v>4</v>
      </c>
      <c r="G365" t="s">
        <v>68</v>
      </c>
      <c r="H365" t="s">
        <v>68</v>
      </c>
      <c r="I365" t="s">
        <v>30</v>
      </c>
      <c r="J365" t="s">
        <v>30</v>
      </c>
      <c r="K365" s="1">
        <v>46053</v>
      </c>
      <c r="L365" s="1" t="str">
        <f>IF(K365&gt;O365,"Valid","Invalid")</f>
        <v>Valid</v>
      </c>
      <c r="M365" s="1" t="b">
        <f>ISNUMBER(K365)</f>
        <v>1</v>
      </c>
      <c r="N365" s="1" t="b">
        <f>ISNUMBER(O365)</f>
        <v>1</v>
      </c>
      <c r="O365" s="1">
        <v>46045</v>
      </c>
      <c r="P365" t="s">
        <v>6462</v>
      </c>
      <c r="Q365" t="str">
        <f>SUBSTITUTE(SUBSTITUTE(SUBSTITUTE(P365," ",""),"-",""),"+","")</f>
        <v>02216699905</v>
      </c>
      <c r="R365" t="str">
        <f t="shared" si="10"/>
        <v>2216699905</v>
      </c>
      <c r="S365" t="str">
        <f>IF(LEN(R365),"Valid","Invalid")</f>
        <v>Valid</v>
      </c>
      <c r="T365" t="s">
        <v>6461</v>
      </c>
      <c r="V365" t="s">
        <v>123</v>
      </c>
      <c r="X365">
        <v>10234.049999999999</v>
      </c>
      <c r="Y365" t="s">
        <v>27</v>
      </c>
      <c r="Z365">
        <v>398</v>
      </c>
      <c r="AA365">
        <f t="shared" si="11"/>
        <v>398</v>
      </c>
      <c r="AB365" t="s">
        <v>25</v>
      </c>
    </row>
    <row r="366" spans="1:28" x14ac:dyDescent="0.3">
      <c r="A366" t="s">
        <v>6460</v>
      </c>
      <c r="B366" t="s">
        <v>4987</v>
      </c>
      <c r="C366" t="s">
        <v>4987</v>
      </c>
      <c r="D366" t="s">
        <v>1</v>
      </c>
      <c r="E366">
        <v>44</v>
      </c>
      <c r="F366">
        <v>44</v>
      </c>
      <c r="G366" t="s">
        <v>21</v>
      </c>
      <c r="H366" t="s">
        <v>21</v>
      </c>
      <c r="I366" t="s">
        <v>85</v>
      </c>
      <c r="J366" t="s">
        <v>85</v>
      </c>
      <c r="K366" s="1">
        <v>46143</v>
      </c>
      <c r="L366" s="1" t="str">
        <f>IF(K366&gt;O366,"Valid","Invalid")</f>
        <v>Valid</v>
      </c>
      <c r="M366" s="1" t="b">
        <f>ISNUMBER(K366)</f>
        <v>1</v>
      </c>
      <c r="N366" s="1" t="b">
        <f>ISNUMBER(O366)</f>
        <v>1</v>
      </c>
      <c r="O366" s="1">
        <v>46114</v>
      </c>
      <c r="P366" t="s">
        <v>6459</v>
      </c>
      <c r="Q366" t="str">
        <f>SUBSTITUTE(SUBSTITUTE(SUBSTITUTE(P366," ",""),"-",""),"+","")</f>
        <v>01877340514</v>
      </c>
      <c r="R366" t="str">
        <f t="shared" si="10"/>
        <v>1877340514</v>
      </c>
      <c r="S366" t="str">
        <f>IF(LEN(R366),"Valid","Invalid")</f>
        <v>Valid</v>
      </c>
      <c r="T366" t="s">
        <v>6458</v>
      </c>
      <c r="V366" t="s">
        <v>57</v>
      </c>
      <c r="X366">
        <v>12781.41</v>
      </c>
      <c r="Y366" t="s">
        <v>26</v>
      </c>
      <c r="Z366">
        <v>530</v>
      </c>
      <c r="AA366">
        <f t="shared" si="11"/>
        <v>530</v>
      </c>
      <c r="AB366" t="s">
        <v>25</v>
      </c>
    </row>
    <row r="367" spans="1:28" x14ac:dyDescent="0.3">
      <c r="A367" t="s">
        <v>6457</v>
      </c>
      <c r="B367" t="s">
        <v>6456</v>
      </c>
      <c r="C367" t="s">
        <v>6456</v>
      </c>
      <c r="D367" t="s">
        <v>0</v>
      </c>
      <c r="E367">
        <v>38</v>
      </c>
      <c r="F367">
        <v>38</v>
      </c>
      <c r="G367" t="s">
        <v>80</v>
      </c>
      <c r="H367" t="s">
        <v>80</v>
      </c>
      <c r="I367" t="s">
        <v>85</v>
      </c>
      <c r="J367" t="s">
        <v>85</v>
      </c>
      <c r="K367" s="1">
        <v>46011</v>
      </c>
      <c r="L367" s="1" t="str">
        <f>IF(K367&gt;O367,"Valid","Invalid")</f>
        <v>Valid</v>
      </c>
      <c r="M367" s="1" t="b">
        <f>ISNUMBER(K367)</f>
        <v>1</v>
      </c>
      <c r="N367" s="1" t="b">
        <f>ISNUMBER(O367)</f>
        <v>1</v>
      </c>
      <c r="O367" s="1">
        <v>46007</v>
      </c>
      <c r="P367" t="s">
        <v>6455</v>
      </c>
      <c r="Q367" t="str">
        <f>SUBSTITUTE(SUBSTITUTE(SUBSTITUTE(P367," ",""),"-",""),"+","")</f>
        <v>07591783801</v>
      </c>
      <c r="R367" t="str">
        <f t="shared" si="10"/>
        <v>7591783801</v>
      </c>
      <c r="S367" t="str">
        <f>IF(LEN(R367),"Valid","Invalid")</f>
        <v>Valid</v>
      </c>
      <c r="T367" t="s">
        <v>6454</v>
      </c>
      <c r="V367" t="s">
        <v>26</v>
      </c>
      <c r="X367">
        <v>18184.63</v>
      </c>
      <c r="Y367" t="s">
        <v>26</v>
      </c>
      <c r="Z367">
        <v>448</v>
      </c>
      <c r="AA367">
        <f t="shared" si="11"/>
        <v>448</v>
      </c>
      <c r="AB367" t="s">
        <v>43</v>
      </c>
    </row>
    <row r="368" spans="1:28" x14ac:dyDescent="0.3">
      <c r="A368" t="s">
        <v>6453</v>
      </c>
      <c r="B368" t="s">
        <v>6452</v>
      </c>
      <c r="C368" t="s">
        <v>6452</v>
      </c>
      <c r="D368" t="s">
        <v>74</v>
      </c>
      <c r="E368">
        <v>29</v>
      </c>
      <c r="F368">
        <v>29</v>
      </c>
      <c r="G368" t="s">
        <v>31</v>
      </c>
      <c r="H368" t="s">
        <v>31</v>
      </c>
      <c r="I368" t="s">
        <v>38</v>
      </c>
      <c r="J368" t="s">
        <v>8077</v>
      </c>
      <c r="K368" s="1">
        <v>46072</v>
      </c>
      <c r="L368" s="1" t="str">
        <f>IF(K368&gt;O368,"Valid","Invalid")</f>
        <v>Valid</v>
      </c>
      <c r="M368" s="1" t="b">
        <f>ISNUMBER(K368)</f>
        <v>1</v>
      </c>
      <c r="N368" s="1" t="b">
        <f>ISNUMBER(O368)</f>
        <v>1</v>
      </c>
      <c r="O368" s="1">
        <v>46049</v>
      </c>
      <c r="P368" t="s">
        <v>6451</v>
      </c>
      <c r="Q368" t="str">
        <f>SUBSTITUTE(SUBSTITUTE(SUBSTITUTE(P368," ",""),"-",""),"+","")</f>
        <v>3427269489</v>
      </c>
      <c r="R368" t="str">
        <f t="shared" si="10"/>
        <v>3427269489</v>
      </c>
      <c r="S368" t="str">
        <f>IF(LEN(R368),"Valid","Invalid")</f>
        <v>Valid</v>
      </c>
      <c r="T368" t="s">
        <v>6450</v>
      </c>
      <c r="V368" t="s">
        <v>26</v>
      </c>
      <c r="X368">
        <v>10627.72</v>
      </c>
      <c r="Y368" t="s">
        <v>17</v>
      </c>
      <c r="Z368">
        <v>290</v>
      </c>
      <c r="AA368">
        <f t="shared" si="11"/>
        <v>290</v>
      </c>
      <c r="AB368" t="s">
        <v>43</v>
      </c>
    </row>
    <row r="369" spans="1:28" x14ac:dyDescent="0.3">
      <c r="A369" t="s">
        <v>6445</v>
      </c>
      <c r="B369" t="s">
        <v>6444</v>
      </c>
      <c r="C369" t="s">
        <v>6444</v>
      </c>
      <c r="D369" t="s">
        <v>123</v>
      </c>
      <c r="E369">
        <v>68</v>
      </c>
      <c r="F369">
        <v>68</v>
      </c>
      <c r="G369" t="s">
        <v>132</v>
      </c>
      <c r="H369" t="s">
        <v>132</v>
      </c>
      <c r="I369" t="s">
        <v>90</v>
      </c>
      <c r="J369" t="s">
        <v>67</v>
      </c>
      <c r="K369" s="1">
        <v>46046</v>
      </c>
      <c r="L369" s="1" t="str">
        <f>IF(K369&gt;O369,"Valid","Invalid")</f>
        <v>Valid</v>
      </c>
      <c r="M369" s="1" t="b">
        <f>ISNUMBER(K369)</f>
        <v>1</v>
      </c>
      <c r="N369" s="1" t="b">
        <f>ISNUMBER(O369)</f>
        <v>1</v>
      </c>
      <c r="O369" s="1">
        <v>46045</v>
      </c>
      <c r="P369" t="s">
        <v>6443</v>
      </c>
      <c r="Q369" t="str">
        <f>SUBSTITUTE(SUBSTITUTE(SUBSTITUTE(P369," ",""),"-",""),"+","")</f>
        <v>0973924395</v>
      </c>
      <c r="R369" t="str">
        <f t="shared" si="10"/>
        <v>0973924395</v>
      </c>
      <c r="S369" t="str">
        <f>IF(LEN(R369),"Valid","Invalid")</f>
        <v>Valid</v>
      </c>
      <c r="T369" t="s">
        <v>6442</v>
      </c>
      <c r="V369" t="s">
        <v>35</v>
      </c>
      <c r="X369">
        <v>3606.66</v>
      </c>
      <c r="Y369" t="s">
        <v>57</v>
      </c>
      <c r="Z369">
        <v>275</v>
      </c>
      <c r="AA369">
        <f t="shared" si="11"/>
        <v>275</v>
      </c>
      <c r="AB369" t="s">
        <v>16</v>
      </c>
    </row>
    <row r="370" spans="1:28" x14ac:dyDescent="0.3">
      <c r="A370" t="s">
        <v>6441</v>
      </c>
      <c r="B370" t="s">
        <v>6440</v>
      </c>
      <c r="C370" t="s">
        <v>6440</v>
      </c>
      <c r="E370">
        <v>19</v>
      </c>
      <c r="F370">
        <v>19</v>
      </c>
      <c r="G370" t="s">
        <v>31</v>
      </c>
      <c r="H370" t="s">
        <v>31</v>
      </c>
      <c r="I370" t="s">
        <v>53</v>
      </c>
      <c r="J370" t="s">
        <v>20</v>
      </c>
      <c r="K370" s="1">
        <v>46063</v>
      </c>
      <c r="L370" s="1" t="str">
        <f>IF(K370&gt;O370,"Valid","Invalid")</f>
        <v>Valid</v>
      </c>
      <c r="M370" s="1" t="b">
        <f>ISNUMBER(K370)</f>
        <v>1</v>
      </c>
      <c r="N370" s="1" t="b">
        <f>ISNUMBER(O370)</f>
        <v>1</v>
      </c>
      <c r="O370" s="1">
        <v>46039</v>
      </c>
      <c r="P370" t="s">
        <v>6439</v>
      </c>
      <c r="Q370" t="str">
        <f>SUBSTITUTE(SUBSTITUTE(SUBSTITUTE(P370," ",""),"-",""),"+","")</f>
        <v>03431096525</v>
      </c>
      <c r="R370" t="str">
        <f t="shared" si="10"/>
        <v>3431096525</v>
      </c>
      <c r="S370" t="str">
        <f>IF(LEN(R370),"Valid","Invalid")</f>
        <v>Valid</v>
      </c>
      <c r="T370" t="s">
        <v>6438</v>
      </c>
      <c r="V370" t="s">
        <v>64</v>
      </c>
      <c r="X370">
        <v>12292</v>
      </c>
      <c r="Y370" t="s">
        <v>26</v>
      </c>
      <c r="Z370">
        <v>260</v>
      </c>
      <c r="AA370">
        <f t="shared" si="11"/>
        <v>260</v>
      </c>
      <c r="AB370" t="s">
        <v>25</v>
      </c>
    </row>
    <row r="371" spans="1:28" x14ac:dyDescent="0.3">
      <c r="A371" t="s">
        <v>6437</v>
      </c>
      <c r="B371" t="s">
        <v>6436</v>
      </c>
      <c r="C371" t="s">
        <v>6436</v>
      </c>
      <c r="D371" t="s">
        <v>40</v>
      </c>
      <c r="E371">
        <v>1</v>
      </c>
      <c r="F371">
        <v>1</v>
      </c>
      <c r="G371" t="s">
        <v>68</v>
      </c>
      <c r="H371" t="s">
        <v>68</v>
      </c>
      <c r="I371" t="s">
        <v>30</v>
      </c>
      <c r="J371" t="s">
        <v>30</v>
      </c>
      <c r="K371" s="1">
        <v>45984</v>
      </c>
      <c r="L371" s="1" t="str">
        <f>IF(K371&gt;O371,"Valid","Invalid")</f>
        <v>Valid</v>
      </c>
      <c r="M371" s="1" t="b">
        <f>ISNUMBER(K371)</f>
        <v>1</v>
      </c>
      <c r="N371" s="1" t="b">
        <f>ISNUMBER(O371)</f>
        <v>1</v>
      </c>
      <c r="O371" s="1">
        <v>45978</v>
      </c>
      <c r="P371" t="s">
        <v>6435</v>
      </c>
      <c r="Q371" t="str">
        <f>SUBSTITUTE(SUBSTITUTE(SUBSTITUTE(P371," ",""),"-",""),"+","")</f>
        <v>912124262142</v>
      </c>
      <c r="R371" t="str">
        <f t="shared" si="10"/>
        <v>2124262142</v>
      </c>
      <c r="S371" t="str">
        <f>IF(LEN(R371),"Valid","Invalid")</f>
        <v>Valid</v>
      </c>
      <c r="T371" t="s">
        <v>6434</v>
      </c>
      <c r="V371" t="s">
        <v>35</v>
      </c>
      <c r="X371">
        <v>14491.72</v>
      </c>
      <c r="Y371" t="s">
        <v>26</v>
      </c>
      <c r="Z371">
        <v>350</v>
      </c>
      <c r="AA371">
        <f t="shared" si="11"/>
        <v>350</v>
      </c>
      <c r="AB371" t="s">
        <v>50</v>
      </c>
    </row>
    <row r="372" spans="1:28" x14ac:dyDescent="0.3">
      <c r="A372" t="s">
        <v>6433</v>
      </c>
      <c r="B372" t="s">
        <v>6432</v>
      </c>
      <c r="C372" t="s">
        <v>6432</v>
      </c>
      <c r="D372" t="s">
        <v>74</v>
      </c>
      <c r="E372">
        <v>17</v>
      </c>
      <c r="F372">
        <v>17</v>
      </c>
      <c r="G372" t="s">
        <v>54</v>
      </c>
      <c r="H372" t="s">
        <v>54</v>
      </c>
      <c r="I372" t="s">
        <v>90</v>
      </c>
      <c r="J372" t="s">
        <v>67</v>
      </c>
      <c r="K372" s="1">
        <v>46032</v>
      </c>
      <c r="L372" s="1" t="str">
        <f>IF(K372&gt;O372,"Valid","Invalid")</f>
        <v>Valid</v>
      </c>
      <c r="M372" s="1" t="b">
        <f>ISNUMBER(K372)</f>
        <v>1</v>
      </c>
      <c r="N372" s="1" t="b">
        <f>ISNUMBER(O372)</f>
        <v>1</v>
      </c>
      <c r="O372" s="1">
        <v>46020</v>
      </c>
      <c r="P372" t="s">
        <v>6431</v>
      </c>
      <c r="Q372" t="str">
        <f>SUBSTITUTE(SUBSTITUTE(SUBSTITUTE(P372," ",""),"-",""),"+","")</f>
        <v>7827158962</v>
      </c>
      <c r="R372" t="str">
        <f t="shared" si="10"/>
        <v>7827158962</v>
      </c>
      <c r="S372" t="str">
        <f>IF(LEN(R372),"Valid","Invalid")</f>
        <v>Valid</v>
      </c>
      <c r="T372" t="s">
        <v>6430</v>
      </c>
      <c r="V372" t="s">
        <v>123</v>
      </c>
      <c r="X372">
        <v>24140.13</v>
      </c>
      <c r="Y372" t="s">
        <v>123</v>
      </c>
      <c r="Z372">
        <v>102</v>
      </c>
      <c r="AA372">
        <f t="shared" si="11"/>
        <v>102</v>
      </c>
      <c r="AB372" t="s">
        <v>77</v>
      </c>
    </row>
    <row r="373" spans="1:28" x14ac:dyDescent="0.3">
      <c r="A373" t="s">
        <v>6429</v>
      </c>
      <c r="B373" t="s">
        <v>6428</v>
      </c>
      <c r="C373" t="s">
        <v>6428</v>
      </c>
      <c r="D373" t="s">
        <v>1</v>
      </c>
      <c r="E373">
        <v>48</v>
      </c>
      <c r="F373">
        <v>48</v>
      </c>
      <c r="G373" t="s">
        <v>47</v>
      </c>
      <c r="H373" t="s">
        <v>47</v>
      </c>
      <c r="I373" t="s">
        <v>67</v>
      </c>
      <c r="J373" t="s">
        <v>67</v>
      </c>
      <c r="K373" s="1">
        <v>46080</v>
      </c>
      <c r="L373" s="1" t="str">
        <f>IF(K373&gt;O373,"Valid","Invalid")</f>
        <v>Valid</v>
      </c>
      <c r="M373" s="1" t="b">
        <f>ISNUMBER(K373)</f>
        <v>1</v>
      </c>
      <c r="N373" s="1" t="b">
        <f>ISNUMBER(O373)</f>
        <v>1</v>
      </c>
      <c r="O373" s="1">
        <v>46056</v>
      </c>
      <c r="P373" t="s">
        <v>6427</v>
      </c>
      <c r="Q373" t="str">
        <f>SUBSTITUTE(SUBSTITUTE(SUBSTITUTE(P373," ",""),"-",""),"+","")</f>
        <v>914913853344</v>
      </c>
      <c r="R373" t="str">
        <f t="shared" si="10"/>
        <v>4913853344</v>
      </c>
      <c r="S373" t="str">
        <f>IF(LEN(R373),"Valid","Invalid")</f>
        <v>Valid</v>
      </c>
      <c r="T373" t="s">
        <v>6426</v>
      </c>
      <c r="V373" t="s">
        <v>17</v>
      </c>
      <c r="X373">
        <v>644.32000000000005</v>
      </c>
      <c r="Y373" t="s">
        <v>27</v>
      </c>
      <c r="Z373">
        <v>420</v>
      </c>
      <c r="AA373">
        <f t="shared" si="11"/>
        <v>420</v>
      </c>
      <c r="AB373" t="s">
        <v>25</v>
      </c>
    </row>
    <row r="374" spans="1:28" x14ac:dyDescent="0.3">
      <c r="A374" t="s">
        <v>6425</v>
      </c>
      <c r="B374" t="s">
        <v>6424</v>
      </c>
      <c r="C374" t="s">
        <v>6424</v>
      </c>
      <c r="D374" t="s">
        <v>1</v>
      </c>
      <c r="E374">
        <v>29</v>
      </c>
      <c r="F374">
        <v>29</v>
      </c>
      <c r="G374" t="s">
        <v>31</v>
      </c>
      <c r="H374" t="s">
        <v>31</v>
      </c>
      <c r="I374" t="s">
        <v>30</v>
      </c>
      <c r="J374" t="s">
        <v>30</v>
      </c>
      <c r="K374" s="1">
        <v>46077</v>
      </c>
      <c r="L374" s="1" t="str">
        <f>IF(K374&gt;O374,"Valid","Invalid")</f>
        <v>Valid</v>
      </c>
      <c r="M374" s="1" t="b">
        <f>ISNUMBER(K374)</f>
        <v>1</v>
      </c>
      <c r="N374" s="1" t="b">
        <f>ISNUMBER(O374)</f>
        <v>1</v>
      </c>
      <c r="O374" s="1">
        <v>46073</v>
      </c>
      <c r="P374" t="s">
        <v>6423</v>
      </c>
      <c r="Q374" t="str">
        <f>SUBSTITUTE(SUBSTITUTE(SUBSTITUTE(P374," ",""),"-",""),"+","")</f>
        <v>06228975233</v>
      </c>
      <c r="R374" t="str">
        <f t="shared" si="10"/>
        <v>6228975233</v>
      </c>
      <c r="S374" t="str">
        <f>IF(LEN(R374),"Valid","Invalid")</f>
        <v>Valid</v>
      </c>
      <c r="T374" t="s">
        <v>6422</v>
      </c>
      <c r="V374" t="s">
        <v>64</v>
      </c>
      <c r="X374">
        <v>9712.0499999999993</v>
      </c>
      <c r="Y374" t="s">
        <v>63</v>
      </c>
      <c r="Z374">
        <v>185</v>
      </c>
      <c r="AA374">
        <f t="shared" si="11"/>
        <v>185</v>
      </c>
      <c r="AB374" t="s">
        <v>77</v>
      </c>
    </row>
    <row r="375" spans="1:28" x14ac:dyDescent="0.3">
      <c r="A375" t="s">
        <v>6421</v>
      </c>
      <c r="B375" t="s">
        <v>6420</v>
      </c>
      <c r="C375" t="s">
        <v>6420</v>
      </c>
      <c r="D375" t="s">
        <v>40</v>
      </c>
      <c r="E375">
        <v>39</v>
      </c>
      <c r="F375">
        <v>39</v>
      </c>
      <c r="G375" t="s">
        <v>132</v>
      </c>
      <c r="H375" t="s">
        <v>132</v>
      </c>
      <c r="I375" t="s">
        <v>85</v>
      </c>
      <c r="J375" t="s">
        <v>85</v>
      </c>
      <c r="K375" s="1">
        <v>46099</v>
      </c>
      <c r="L375" s="1" t="str">
        <f>IF(K375&gt;O375,"Valid","Invalid")</f>
        <v>Valid</v>
      </c>
      <c r="M375" s="1" t="b">
        <f>ISNUMBER(K375)</f>
        <v>1</v>
      </c>
      <c r="N375" s="1" t="b">
        <f>ISNUMBER(O375)</f>
        <v>1</v>
      </c>
      <c r="O375" s="1">
        <v>46076</v>
      </c>
      <c r="P375" t="s">
        <v>6419</v>
      </c>
      <c r="Q375" t="str">
        <f>SUBSTITUTE(SUBSTITUTE(SUBSTITUTE(P375," ",""),"-",""),"+","")</f>
        <v>0252805653</v>
      </c>
      <c r="R375" t="str">
        <f t="shared" si="10"/>
        <v>0252805653</v>
      </c>
      <c r="S375" t="str">
        <f>IF(LEN(R375),"Valid","Invalid")</f>
        <v>Valid</v>
      </c>
      <c r="T375" t="s">
        <v>6418</v>
      </c>
      <c r="V375" t="s">
        <v>57</v>
      </c>
      <c r="X375">
        <v>10954.9</v>
      </c>
      <c r="Y375" t="s">
        <v>26</v>
      </c>
      <c r="Z375">
        <v>275</v>
      </c>
      <c r="AA375">
        <f t="shared" si="11"/>
        <v>275</v>
      </c>
      <c r="AB375" t="s">
        <v>16</v>
      </c>
    </row>
    <row r="376" spans="1:28" x14ac:dyDescent="0.3">
      <c r="A376" t="s">
        <v>6413</v>
      </c>
      <c r="B376" t="s">
        <v>6412</v>
      </c>
      <c r="C376" t="s">
        <v>6412</v>
      </c>
      <c r="D376" t="s">
        <v>40</v>
      </c>
      <c r="E376">
        <v>76</v>
      </c>
      <c r="F376">
        <v>76</v>
      </c>
      <c r="G376" t="s">
        <v>39</v>
      </c>
      <c r="H376" t="s">
        <v>39</v>
      </c>
      <c r="I376" t="s">
        <v>20</v>
      </c>
      <c r="J376" t="s">
        <v>20</v>
      </c>
      <c r="K376" s="1">
        <v>46107</v>
      </c>
      <c r="L376" s="1" t="str">
        <f>IF(K376&gt;O376,"Valid","Invalid")</f>
        <v>Valid</v>
      </c>
      <c r="M376" s="1" t="b">
        <f>ISNUMBER(K376)</f>
        <v>1</v>
      </c>
      <c r="N376" s="1" t="b">
        <f>ISNUMBER(O376)</f>
        <v>1</v>
      </c>
      <c r="O376" s="1">
        <v>46096</v>
      </c>
      <c r="P376" t="s">
        <v>6411</v>
      </c>
      <c r="Q376" t="str">
        <f>SUBSTITUTE(SUBSTITUTE(SUBSTITUTE(P376," ",""),"-",""),"+","")</f>
        <v>914253377707</v>
      </c>
      <c r="R376" t="str">
        <f t="shared" si="10"/>
        <v>4253377707</v>
      </c>
      <c r="S376" t="str">
        <f>IF(LEN(R376),"Valid","Invalid")</f>
        <v>Valid</v>
      </c>
      <c r="T376" t="s">
        <v>6410</v>
      </c>
      <c r="V376" t="s">
        <v>27</v>
      </c>
      <c r="X376">
        <v>9504.77</v>
      </c>
      <c r="Y376" t="s">
        <v>63</v>
      </c>
      <c r="Z376">
        <v>494</v>
      </c>
      <c r="AA376">
        <f t="shared" si="11"/>
        <v>494</v>
      </c>
      <c r="AB376" t="s">
        <v>34</v>
      </c>
    </row>
    <row r="377" spans="1:28" x14ac:dyDescent="0.3">
      <c r="A377" t="s">
        <v>6409</v>
      </c>
      <c r="B377" t="s">
        <v>6408</v>
      </c>
      <c r="C377" t="s">
        <v>6408</v>
      </c>
      <c r="D377" t="s">
        <v>40</v>
      </c>
      <c r="E377">
        <v>77</v>
      </c>
      <c r="F377">
        <v>77</v>
      </c>
      <c r="G377" t="s">
        <v>47</v>
      </c>
      <c r="H377" t="s">
        <v>47</v>
      </c>
      <c r="I377" t="s">
        <v>20</v>
      </c>
      <c r="J377" t="s">
        <v>20</v>
      </c>
      <c r="K377" s="1">
        <v>46139</v>
      </c>
      <c r="L377" s="1" t="str">
        <f>IF(K377&gt;O377,"Valid","Invalid")</f>
        <v>Valid</v>
      </c>
      <c r="M377" s="1" t="b">
        <f>ISNUMBER(K377)</f>
        <v>1</v>
      </c>
      <c r="N377" s="1" t="b">
        <f>ISNUMBER(O377)</f>
        <v>1</v>
      </c>
      <c r="O377" s="1">
        <v>46119</v>
      </c>
      <c r="P377" t="s">
        <v>6407</v>
      </c>
      <c r="Q377" t="str">
        <f>SUBSTITUTE(SUBSTITUTE(SUBSTITUTE(P377," ",""),"-",""),"+","")</f>
        <v>917272942636</v>
      </c>
      <c r="R377" t="str">
        <f t="shared" si="10"/>
        <v>7272942636</v>
      </c>
      <c r="S377" t="str">
        <f>IF(LEN(R377),"Valid","Invalid")</f>
        <v>Valid</v>
      </c>
      <c r="T377" t="s">
        <v>123</v>
      </c>
      <c r="V377" t="s">
        <v>27</v>
      </c>
      <c r="X377">
        <v>1396.23</v>
      </c>
      <c r="Y377" t="s">
        <v>64</v>
      </c>
      <c r="Z377">
        <v>313</v>
      </c>
      <c r="AA377">
        <f t="shared" si="11"/>
        <v>313</v>
      </c>
      <c r="AB377" t="s">
        <v>16</v>
      </c>
    </row>
    <row r="378" spans="1:28" x14ac:dyDescent="0.3">
      <c r="A378" t="s">
        <v>6406</v>
      </c>
      <c r="B378" t="s">
        <v>6405</v>
      </c>
      <c r="C378" t="s">
        <v>6405</v>
      </c>
      <c r="D378" t="s">
        <v>123</v>
      </c>
      <c r="E378">
        <v>16</v>
      </c>
      <c r="F378">
        <v>16</v>
      </c>
      <c r="G378" t="s">
        <v>132</v>
      </c>
      <c r="H378" t="s">
        <v>132</v>
      </c>
      <c r="I378" t="s">
        <v>85</v>
      </c>
      <c r="J378" t="s">
        <v>85</v>
      </c>
      <c r="K378" s="1">
        <v>46151</v>
      </c>
      <c r="L378" s="1" t="str">
        <f>IF(K378&gt;O378,"Valid","Invalid")</f>
        <v>Valid</v>
      </c>
      <c r="M378" s="1" t="b">
        <f>ISNUMBER(K378)</f>
        <v>1</v>
      </c>
      <c r="N378" s="1" t="b">
        <f>ISNUMBER(O378)</f>
        <v>1</v>
      </c>
      <c r="O378" s="1">
        <v>46129</v>
      </c>
      <c r="P378" t="s">
        <v>6404</v>
      </c>
      <c r="Q378" t="str">
        <f>SUBSTITUTE(SUBSTITUTE(SUBSTITUTE(P378," ",""),"-",""),"+","")</f>
        <v>1121855763</v>
      </c>
      <c r="R378" t="str">
        <f t="shared" si="10"/>
        <v>1121855763</v>
      </c>
      <c r="S378" t="str">
        <f>IF(LEN(R378),"Valid","Invalid")</f>
        <v>Valid</v>
      </c>
      <c r="T378" t="s">
        <v>6403</v>
      </c>
      <c r="V378" t="s">
        <v>35</v>
      </c>
      <c r="X378">
        <v>5296.27</v>
      </c>
      <c r="Y378" t="s">
        <v>27</v>
      </c>
      <c r="Z378">
        <v>254</v>
      </c>
      <c r="AA378">
        <f t="shared" si="11"/>
        <v>254</v>
      </c>
      <c r="AB378" t="s">
        <v>16</v>
      </c>
    </row>
    <row r="379" spans="1:28" x14ac:dyDescent="0.3">
      <c r="A379" t="s">
        <v>6402</v>
      </c>
      <c r="B379" t="s">
        <v>6401</v>
      </c>
      <c r="C379" t="s">
        <v>6401</v>
      </c>
      <c r="D379" t="s">
        <v>74</v>
      </c>
      <c r="E379">
        <v>85</v>
      </c>
      <c r="F379">
        <v>85</v>
      </c>
      <c r="G379" t="s">
        <v>132</v>
      </c>
      <c r="H379" t="s">
        <v>132</v>
      </c>
      <c r="I379" t="s">
        <v>53</v>
      </c>
      <c r="J379" t="s">
        <v>20</v>
      </c>
      <c r="K379" s="1">
        <v>46140</v>
      </c>
      <c r="L379" s="1" t="str">
        <f>IF(K379&gt;O379,"Valid","Invalid")</f>
        <v>Valid</v>
      </c>
      <c r="M379" s="1" t="b">
        <f>ISNUMBER(K379)</f>
        <v>1</v>
      </c>
      <c r="N379" s="1" t="b">
        <f>ISNUMBER(O379)</f>
        <v>1</v>
      </c>
      <c r="O379" s="1">
        <v>46127</v>
      </c>
      <c r="P379" t="s">
        <v>6400</v>
      </c>
      <c r="Q379" t="str">
        <f>SUBSTITUTE(SUBSTITUTE(SUBSTITUTE(P379," ",""),"-",""),"+","")</f>
        <v>919659314229</v>
      </c>
      <c r="R379" t="str">
        <f t="shared" si="10"/>
        <v>9659314229</v>
      </c>
      <c r="S379" t="str">
        <f>IF(LEN(R379),"Valid","Invalid")</f>
        <v>Valid</v>
      </c>
      <c r="T379" t="s">
        <v>6399</v>
      </c>
      <c r="V379" t="s">
        <v>64</v>
      </c>
      <c r="X379">
        <v>12887.3</v>
      </c>
      <c r="Y379" t="s">
        <v>64</v>
      </c>
      <c r="Z379">
        <v>244</v>
      </c>
      <c r="AA379">
        <f t="shared" si="11"/>
        <v>244</v>
      </c>
      <c r="AB379" t="s">
        <v>77</v>
      </c>
    </row>
    <row r="380" spans="1:28" x14ac:dyDescent="0.3">
      <c r="A380" t="s">
        <v>6398</v>
      </c>
      <c r="B380" t="s">
        <v>6397</v>
      </c>
      <c r="C380" t="s">
        <v>6397</v>
      </c>
      <c r="D380" t="s">
        <v>74</v>
      </c>
      <c r="E380">
        <v>64</v>
      </c>
      <c r="F380">
        <v>64</v>
      </c>
      <c r="G380" t="s">
        <v>21</v>
      </c>
      <c r="H380" t="s">
        <v>21</v>
      </c>
      <c r="I380" t="s">
        <v>38</v>
      </c>
      <c r="J380" t="s">
        <v>8077</v>
      </c>
      <c r="K380" s="1">
        <v>46072</v>
      </c>
      <c r="L380" s="1" t="str">
        <f>IF(K380&gt;O380,"Valid","Invalid")</f>
        <v>Valid</v>
      </c>
      <c r="M380" s="1" t="b">
        <f>ISNUMBER(K380)</f>
        <v>1</v>
      </c>
      <c r="N380" s="1" t="b">
        <f>ISNUMBER(O380)</f>
        <v>1</v>
      </c>
      <c r="O380" s="1">
        <v>46048</v>
      </c>
      <c r="P380" t="s">
        <v>6396</v>
      </c>
      <c r="Q380" t="str">
        <f>SUBSTITUTE(SUBSTITUTE(SUBSTITUTE(P380," ",""),"-",""),"+","")</f>
        <v>912151559291</v>
      </c>
      <c r="R380" t="str">
        <f t="shared" si="10"/>
        <v>2151559291</v>
      </c>
      <c r="S380" t="str">
        <f>IF(LEN(R380),"Valid","Invalid")</f>
        <v>Valid</v>
      </c>
      <c r="T380" t="s">
        <v>6395</v>
      </c>
      <c r="V380" t="s">
        <v>26</v>
      </c>
      <c r="X380">
        <v>20821.169999999998</v>
      </c>
      <c r="Y380" t="s">
        <v>57</v>
      </c>
      <c r="Z380">
        <v>283</v>
      </c>
      <c r="AA380">
        <f t="shared" si="11"/>
        <v>283</v>
      </c>
      <c r="AB380" t="s">
        <v>25</v>
      </c>
    </row>
    <row r="381" spans="1:28" x14ac:dyDescent="0.3">
      <c r="A381" t="s">
        <v>6394</v>
      </c>
      <c r="B381" t="s">
        <v>6393</v>
      </c>
      <c r="C381" t="s">
        <v>6393</v>
      </c>
      <c r="D381" t="s">
        <v>123</v>
      </c>
      <c r="E381">
        <v>38</v>
      </c>
      <c r="F381">
        <v>38</v>
      </c>
      <c r="G381" t="s">
        <v>39</v>
      </c>
      <c r="H381" t="s">
        <v>39</v>
      </c>
      <c r="I381" t="s">
        <v>46</v>
      </c>
      <c r="J381" t="s">
        <v>46</v>
      </c>
      <c r="K381" s="1">
        <v>46139</v>
      </c>
      <c r="L381" s="1" t="str">
        <f>IF(K381&gt;O381,"Valid","Invalid")</f>
        <v>Valid</v>
      </c>
      <c r="M381" s="1" t="b">
        <f>ISNUMBER(K381)</f>
        <v>1</v>
      </c>
      <c r="N381" s="1" t="b">
        <f>ISNUMBER(O381)</f>
        <v>1</v>
      </c>
      <c r="O381" s="1">
        <v>46122</v>
      </c>
      <c r="P381" t="s">
        <v>6392</v>
      </c>
      <c r="Q381" t="str">
        <f>SUBSTITUTE(SUBSTITUTE(SUBSTITUTE(P381," ",""),"-",""),"+","")</f>
        <v>915965817721</v>
      </c>
      <c r="R381" t="str">
        <f t="shared" si="10"/>
        <v>5965817721</v>
      </c>
      <c r="S381" t="str">
        <f>IF(LEN(R381),"Valid","Invalid")</f>
        <v>Valid</v>
      </c>
      <c r="T381" t="s">
        <v>6391</v>
      </c>
      <c r="V381" t="s">
        <v>123</v>
      </c>
      <c r="X381">
        <v>22776.84</v>
      </c>
      <c r="Y381" t="s">
        <v>123</v>
      </c>
      <c r="Z381">
        <v>269</v>
      </c>
      <c r="AA381">
        <f t="shared" si="11"/>
        <v>269</v>
      </c>
      <c r="AB381" t="s">
        <v>71</v>
      </c>
    </row>
    <row r="382" spans="1:28" x14ac:dyDescent="0.3">
      <c r="A382" t="s">
        <v>6390</v>
      </c>
      <c r="B382" t="s">
        <v>6389</v>
      </c>
      <c r="C382" t="s">
        <v>6389</v>
      </c>
      <c r="D382" t="s">
        <v>40</v>
      </c>
      <c r="E382">
        <v>2</v>
      </c>
      <c r="F382">
        <v>2</v>
      </c>
      <c r="G382" t="s">
        <v>80</v>
      </c>
      <c r="H382" t="s">
        <v>80</v>
      </c>
      <c r="I382" t="s">
        <v>20</v>
      </c>
      <c r="J382" t="s">
        <v>20</v>
      </c>
      <c r="K382" s="1">
        <v>46061</v>
      </c>
      <c r="L382" s="1" t="str">
        <f>IF(K382&gt;O382,"Valid","Invalid")</f>
        <v>Valid</v>
      </c>
      <c r="M382" s="1" t="b">
        <f>ISNUMBER(K382)</f>
        <v>1</v>
      </c>
      <c r="N382" s="1" t="b">
        <f>ISNUMBER(O382)</f>
        <v>1</v>
      </c>
      <c r="O382" s="1">
        <v>46035</v>
      </c>
      <c r="P382" t="s">
        <v>6388</v>
      </c>
      <c r="Q382" t="str">
        <f>SUBSTITUTE(SUBSTITUTE(SUBSTITUTE(P382," ",""),"-",""),"+","")</f>
        <v>916276994902</v>
      </c>
      <c r="R382" t="str">
        <f t="shared" si="10"/>
        <v>6276994902</v>
      </c>
      <c r="S382" t="str">
        <f>IF(LEN(R382),"Valid","Invalid")</f>
        <v>Valid</v>
      </c>
      <c r="T382" t="s">
        <v>6387</v>
      </c>
      <c r="V382" t="s">
        <v>123</v>
      </c>
      <c r="X382">
        <v>3898.78</v>
      </c>
      <c r="Y382" t="s">
        <v>64</v>
      </c>
      <c r="Z382">
        <v>499</v>
      </c>
      <c r="AA382">
        <f t="shared" si="11"/>
        <v>499</v>
      </c>
      <c r="AB382" t="s">
        <v>34</v>
      </c>
    </row>
    <row r="383" spans="1:28" x14ac:dyDescent="0.3">
      <c r="A383" t="s">
        <v>6386</v>
      </c>
      <c r="B383" t="s">
        <v>6385</v>
      </c>
      <c r="C383" t="s">
        <v>6385</v>
      </c>
      <c r="D383" t="s">
        <v>74</v>
      </c>
      <c r="E383">
        <v>13</v>
      </c>
      <c r="F383">
        <v>13</v>
      </c>
      <c r="G383" t="s">
        <v>132</v>
      </c>
      <c r="H383" t="s">
        <v>132</v>
      </c>
      <c r="I383" t="s">
        <v>38</v>
      </c>
      <c r="J383" t="s">
        <v>8077</v>
      </c>
      <c r="K383" s="1">
        <v>46113</v>
      </c>
      <c r="L383" s="1" t="str">
        <f>IF(K383&gt;O383,"Valid","Invalid")</f>
        <v>Valid</v>
      </c>
      <c r="M383" s="1" t="b">
        <f>ISNUMBER(K383)</f>
        <v>1</v>
      </c>
      <c r="N383" s="1" t="b">
        <f>ISNUMBER(O383)</f>
        <v>1</v>
      </c>
      <c r="O383" s="1">
        <v>46099</v>
      </c>
      <c r="P383" t="s">
        <v>6384</v>
      </c>
      <c r="Q383" t="str">
        <f>SUBSTITUTE(SUBSTITUTE(SUBSTITUTE(P383," ",""),"-",""),"+","")</f>
        <v>1323264848</v>
      </c>
      <c r="R383" t="str">
        <f t="shared" si="10"/>
        <v>1323264848</v>
      </c>
      <c r="S383" t="str">
        <f>IF(LEN(R383),"Valid","Invalid")</f>
        <v>Valid</v>
      </c>
      <c r="T383" t="s">
        <v>6383</v>
      </c>
      <c r="V383" t="s">
        <v>26</v>
      </c>
      <c r="X383">
        <v>6750.3</v>
      </c>
      <c r="Y383" t="s">
        <v>27</v>
      </c>
      <c r="Z383">
        <v>151</v>
      </c>
      <c r="AA383">
        <f t="shared" si="11"/>
        <v>151</v>
      </c>
      <c r="AB383" t="s">
        <v>50</v>
      </c>
    </row>
    <row r="384" spans="1:28" x14ac:dyDescent="0.3">
      <c r="A384" t="s">
        <v>6382</v>
      </c>
      <c r="B384" t="s">
        <v>6381</v>
      </c>
      <c r="C384" t="s">
        <v>6381</v>
      </c>
      <c r="D384" t="s">
        <v>0</v>
      </c>
      <c r="E384">
        <v>6</v>
      </c>
      <c r="F384">
        <v>6</v>
      </c>
      <c r="G384" t="s">
        <v>132</v>
      </c>
      <c r="H384" t="s">
        <v>132</v>
      </c>
      <c r="I384" t="s">
        <v>67</v>
      </c>
      <c r="J384" t="s">
        <v>67</v>
      </c>
      <c r="K384" s="1">
        <v>46036</v>
      </c>
      <c r="L384" s="1" t="str">
        <f>IF(K384&gt;O384,"Valid","Invalid")</f>
        <v>Valid</v>
      </c>
      <c r="M384" s="1" t="b">
        <f>ISNUMBER(K384)</f>
        <v>1</v>
      </c>
      <c r="N384" s="1" t="b">
        <f>ISNUMBER(O384)</f>
        <v>1</v>
      </c>
      <c r="O384" s="1">
        <v>46011</v>
      </c>
      <c r="P384" t="s">
        <v>6380</v>
      </c>
      <c r="Q384" t="str">
        <f>SUBSTITUTE(SUBSTITUTE(SUBSTITUTE(P384," ",""),"-",""),"+","")</f>
        <v>5067729864</v>
      </c>
      <c r="R384" t="str">
        <f t="shared" si="10"/>
        <v>5067729864</v>
      </c>
      <c r="S384" t="str">
        <f>IF(LEN(R384),"Valid","Invalid")</f>
        <v>Valid</v>
      </c>
      <c r="T384" t="s">
        <v>6379</v>
      </c>
      <c r="V384" t="s">
        <v>57</v>
      </c>
      <c r="X384">
        <v>10764.68</v>
      </c>
      <c r="Y384" t="s">
        <v>64</v>
      </c>
      <c r="Z384">
        <v>148</v>
      </c>
      <c r="AA384">
        <f t="shared" si="11"/>
        <v>148</v>
      </c>
      <c r="AB384" t="s">
        <v>50</v>
      </c>
    </row>
    <row r="385" spans="1:28" x14ac:dyDescent="0.3">
      <c r="A385" t="s">
        <v>6378</v>
      </c>
      <c r="B385" t="s">
        <v>6377</v>
      </c>
      <c r="C385" t="s">
        <v>6377</v>
      </c>
      <c r="D385" t="s">
        <v>40</v>
      </c>
      <c r="E385">
        <v>2</v>
      </c>
      <c r="F385">
        <v>2</v>
      </c>
      <c r="G385" t="s">
        <v>39</v>
      </c>
      <c r="H385" t="s">
        <v>39</v>
      </c>
      <c r="I385" t="s">
        <v>53</v>
      </c>
      <c r="J385" t="s">
        <v>20</v>
      </c>
      <c r="K385" s="1">
        <v>45991</v>
      </c>
      <c r="L385" s="1" t="str">
        <f>IF(K385&gt;O385,"Valid","Invalid")</f>
        <v>Valid</v>
      </c>
      <c r="M385" s="1" t="b">
        <f>ISNUMBER(K385)</f>
        <v>1</v>
      </c>
      <c r="N385" s="1" t="b">
        <f>ISNUMBER(O385)</f>
        <v>1</v>
      </c>
      <c r="O385" s="1">
        <v>45981</v>
      </c>
      <c r="P385" t="s">
        <v>6376</v>
      </c>
      <c r="Q385" t="str">
        <f>SUBSTITUTE(SUBSTITUTE(SUBSTITUTE(P385," ",""),"-",""),"+","")</f>
        <v>1061932262</v>
      </c>
      <c r="R385" t="str">
        <f t="shared" si="10"/>
        <v>1061932262</v>
      </c>
      <c r="S385" t="str">
        <f>IF(LEN(R385),"Valid","Invalid")</f>
        <v>Valid</v>
      </c>
      <c r="T385" t="s">
        <v>6375</v>
      </c>
      <c r="V385" t="s">
        <v>57</v>
      </c>
      <c r="X385">
        <v>22384.28</v>
      </c>
      <c r="Y385" t="s">
        <v>63</v>
      </c>
      <c r="Z385">
        <v>549</v>
      </c>
      <c r="AA385">
        <f t="shared" si="11"/>
        <v>549</v>
      </c>
      <c r="AB385" t="s">
        <v>25</v>
      </c>
    </row>
    <row r="386" spans="1:28" x14ac:dyDescent="0.3">
      <c r="A386" t="s">
        <v>6374</v>
      </c>
      <c r="B386" t="s">
        <v>6373</v>
      </c>
      <c r="C386" t="s">
        <v>6373</v>
      </c>
      <c r="D386" t="s">
        <v>74</v>
      </c>
      <c r="E386">
        <v>48</v>
      </c>
      <c r="F386">
        <v>48</v>
      </c>
      <c r="G386" t="s">
        <v>31</v>
      </c>
      <c r="H386" t="s">
        <v>31</v>
      </c>
      <c r="I386" t="s">
        <v>53</v>
      </c>
      <c r="J386" t="s">
        <v>20</v>
      </c>
      <c r="K386" s="1">
        <v>46059</v>
      </c>
      <c r="L386" s="1" t="str">
        <f>IF(K386&gt;O386,"Valid","Invalid")</f>
        <v>Valid</v>
      </c>
      <c r="M386" s="1" t="b">
        <f>ISNUMBER(K386)</f>
        <v>1</v>
      </c>
      <c r="N386" s="1" t="b">
        <f>ISNUMBER(O386)</f>
        <v>1</v>
      </c>
      <c r="O386" s="1">
        <v>46056</v>
      </c>
      <c r="P386" t="s">
        <v>6372</v>
      </c>
      <c r="Q386" t="str">
        <f>SUBSTITUTE(SUBSTITUTE(SUBSTITUTE(P386," ",""),"-",""),"+","")</f>
        <v>910659782552</v>
      </c>
      <c r="R386" t="str">
        <f t="shared" si="10"/>
        <v>0659782552</v>
      </c>
      <c r="S386" t="str">
        <f>IF(LEN(R386),"Valid","Invalid")</f>
        <v>Valid</v>
      </c>
      <c r="T386" t="s">
        <v>6371</v>
      </c>
      <c r="V386" t="s">
        <v>123</v>
      </c>
      <c r="X386">
        <v>10126.209999999999</v>
      </c>
      <c r="Y386" t="s">
        <v>123</v>
      </c>
      <c r="Z386">
        <v>239</v>
      </c>
      <c r="AA386">
        <f t="shared" si="11"/>
        <v>239</v>
      </c>
      <c r="AB386" t="s">
        <v>50</v>
      </c>
    </row>
    <row r="387" spans="1:28" x14ac:dyDescent="0.3">
      <c r="A387" t="s">
        <v>6370</v>
      </c>
      <c r="B387" t="s">
        <v>6369</v>
      </c>
      <c r="C387" t="s">
        <v>6369</v>
      </c>
      <c r="D387" t="s">
        <v>123</v>
      </c>
      <c r="E387">
        <v>89</v>
      </c>
      <c r="F387">
        <v>89</v>
      </c>
      <c r="G387" t="s">
        <v>68</v>
      </c>
      <c r="H387" t="s">
        <v>68</v>
      </c>
      <c r="I387" t="s">
        <v>90</v>
      </c>
      <c r="J387" t="s">
        <v>67</v>
      </c>
      <c r="K387" s="1">
        <v>46103</v>
      </c>
      <c r="L387" s="1" t="str">
        <f>IF(K387&gt;O387,"Valid","Invalid")</f>
        <v>Valid</v>
      </c>
      <c r="M387" s="1" t="b">
        <f>ISNUMBER(K387)</f>
        <v>1</v>
      </c>
      <c r="N387" s="1" t="b">
        <f>ISNUMBER(O387)</f>
        <v>1</v>
      </c>
      <c r="O387" s="1">
        <v>46083</v>
      </c>
      <c r="P387" t="s">
        <v>6368</v>
      </c>
      <c r="Q387" t="str">
        <f>SUBSTITUTE(SUBSTITUTE(SUBSTITUTE(P387," ",""),"-",""),"+","")</f>
        <v>8302590967</v>
      </c>
      <c r="R387" t="str">
        <f t="shared" si="10"/>
        <v>8302590967</v>
      </c>
      <c r="S387" t="str">
        <f>IF(LEN(R387),"Valid","Invalid")</f>
        <v>Valid</v>
      </c>
      <c r="T387" t="s">
        <v>6367</v>
      </c>
      <c r="V387" t="s">
        <v>35</v>
      </c>
      <c r="X387">
        <v>3003.8</v>
      </c>
      <c r="Y387" t="s">
        <v>27</v>
      </c>
      <c r="Z387">
        <v>532</v>
      </c>
      <c r="AA387">
        <f t="shared" si="11"/>
        <v>532</v>
      </c>
      <c r="AB387" t="s">
        <v>71</v>
      </c>
    </row>
    <row r="388" spans="1:28" x14ac:dyDescent="0.3">
      <c r="A388" t="s">
        <v>6366</v>
      </c>
      <c r="B388" t="s">
        <v>6365</v>
      </c>
      <c r="C388" t="s">
        <v>6365</v>
      </c>
      <c r="D388" t="s">
        <v>74</v>
      </c>
      <c r="E388">
        <v>54</v>
      </c>
      <c r="F388">
        <v>54</v>
      </c>
      <c r="G388" t="s">
        <v>68</v>
      </c>
      <c r="H388" t="s">
        <v>68</v>
      </c>
      <c r="I388" t="s">
        <v>85</v>
      </c>
      <c r="J388" t="s">
        <v>85</v>
      </c>
      <c r="K388" s="1">
        <v>46021</v>
      </c>
      <c r="L388" s="1" t="str">
        <f>IF(K388&gt;O388,"Valid","Invalid")</f>
        <v>Valid</v>
      </c>
      <c r="M388" s="1" t="b">
        <f>ISNUMBER(K388)</f>
        <v>1</v>
      </c>
      <c r="N388" s="1" t="b">
        <f>ISNUMBER(O388)</f>
        <v>1</v>
      </c>
      <c r="O388" s="1">
        <v>46016</v>
      </c>
      <c r="P388" t="s">
        <v>6364</v>
      </c>
      <c r="Q388" t="str">
        <f>SUBSTITUTE(SUBSTITUTE(SUBSTITUTE(P388," ",""),"-",""),"+","")</f>
        <v>6421091151</v>
      </c>
      <c r="R388" t="str">
        <f t="shared" si="10"/>
        <v>6421091151</v>
      </c>
      <c r="S388" t="str">
        <f>IF(LEN(R388),"Valid","Invalid")</f>
        <v>Valid</v>
      </c>
      <c r="T388" t="s">
        <v>6363</v>
      </c>
      <c r="V388" t="s">
        <v>123</v>
      </c>
      <c r="X388">
        <v>19523.27</v>
      </c>
      <c r="Y388" t="s">
        <v>27</v>
      </c>
      <c r="Z388">
        <v>541</v>
      </c>
      <c r="AA388">
        <f t="shared" si="11"/>
        <v>541</v>
      </c>
      <c r="AB388" t="s">
        <v>25</v>
      </c>
    </row>
    <row r="389" spans="1:28" x14ac:dyDescent="0.3">
      <c r="A389" t="s">
        <v>6362</v>
      </c>
      <c r="B389" t="s">
        <v>6361</v>
      </c>
      <c r="C389" t="s">
        <v>6361</v>
      </c>
      <c r="D389" t="s">
        <v>0</v>
      </c>
      <c r="E389">
        <v>62</v>
      </c>
      <c r="F389">
        <v>62</v>
      </c>
      <c r="G389" t="s">
        <v>68</v>
      </c>
      <c r="H389" t="s">
        <v>68</v>
      </c>
      <c r="I389" t="s">
        <v>20</v>
      </c>
      <c r="J389" t="s">
        <v>20</v>
      </c>
      <c r="K389" s="1">
        <v>46016</v>
      </c>
      <c r="L389" s="1" t="str">
        <f>IF(K389&gt;O389,"Valid","Invalid")</f>
        <v>Valid</v>
      </c>
      <c r="M389" s="1" t="b">
        <f>ISNUMBER(K389)</f>
        <v>1</v>
      </c>
      <c r="N389" s="1" t="b">
        <f>ISNUMBER(O389)</f>
        <v>1</v>
      </c>
      <c r="O389" s="1">
        <v>45988</v>
      </c>
      <c r="P389" t="s">
        <v>6360</v>
      </c>
      <c r="Q389" t="str">
        <f>SUBSTITUTE(SUBSTITUTE(SUBSTITUTE(P389," ",""),"-",""),"+","")</f>
        <v>03933501505</v>
      </c>
      <c r="R389" t="str">
        <f t="shared" ref="R389:R452" si="12">RIGHT(Q389,10)</f>
        <v>3933501505</v>
      </c>
      <c r="S389" t="str">
        <f>IF(LEN(R389),"Valid","Invalid")</f>
        <v>Valid</v>
      </c>
      <c r="T389" t="s">
        <v>6359</v>
      </c>
      <c r="V389" t="s">
        <v>123</v>
      </c>
      <c r="X389">
        <v>11129.06</v>
      </c>
      <c r="Y389" t="s">
        <v>64</v>
      </c>
      <c r="Z389">
        <v>233</v>
      </c>
      <c r="AA389">
        <f t="shared" ref="AA389:AA452" si="13">IF(Z389="Room-x",0,Z389)</f>
        <v>233</v>
      </c>
      <c r="AB389" t="s">
        <v>25</v>
      </c>
    </row>
    <row r="390" spans="1:28" x14ac:dyDescent="0.3">
      <c r="A390" t="s">
        <v>6358</v>
      </c>
      <c r="B390" t="s">
        <v>6357</v>
      </c>
      <c r="C390" t="s">
        <v>6357</v>
      </c>
      <c r="D390" t="s">
        <v>60</v>
      </c>
      <c r="E390">
        <v>2</v>
      </c>
      <c r="F390">
        <v>2</v>
      </c>
      <c r="G390" t="s">
        <v>21</v>
      </c>
      <c r="H390" t="s">
        <v>21</v>
      </c>
      <c r="I390" t="s">
        <v>67</v>
      </c>
      <c r="J390" t="s">
        <v>67</v>
      </c>
      <c r="K390" s="1">
        <v>46109</v>
      </c>
      <c r="L390" s="1" t="str">
        <f>IF(K390&gt;O390,"Valid","Invalid")</f>
        <v>Valid</v>
      </c>
      <c r="M390" s="1" t="b">
        <f>ISNUMBER(K390)</f>
        <v>1</v>
      </c>
      <c r="N390" s="1" t="b">
        <f>ISNUMBER(O390)</f>
        <v>1</v>
      </c>
      <c r="O390" s="1">
        <v>46093</v>
      </c>
      <c r="P390" t="s">
        <v>6356</v>
      </c>
      <c r="Q390" t="str">
        <f>SUBSTITUTE(SUBSTITUTE(SUBSTITUTE(P390," ",""),"-",""),"+","")</f>
        <v>02988978995</v>
      </c>
      <c r="R390" t="str">
        <f t="shared" si="12"/>
        <v>2988978995</v>
      </c>
      <c r="S390" t="str">
        <f>IF(LEN(R390),"Valid","Invalid")</f>
        <v>Valid</v>
      </c>
      <c r="T390" t="s">
        <v>6355</v>
      </c>
      <c r="V390" t="s">
        <v>64</v>
      </c>
      <c r="X390">
        <v>10934.63</v>
      </c>
      <c r="Y390" t="s">
        <v>57</v>
      </c>
      <c r="Z390">
        <v>346</v>
      </c>
      <c r="AA390">
        <f t="shared" si="13"/>
        <v>346</v>
      </c>
      <c r="AB390" t="s">
        <v>43</v>
      </c>
    </row>
    <row r="391" spans="1:28" x14ac:dyDescent="0.3">
      <c r="A391" t="s">
        <v>6354</v>
      </c>
      <c r="B391" t="s">
        <v>6353</v>
      </c>
      <c r="C391" t="s">
        <v>6353</v>
      </c>
      <c r="D391" t="s">
        <v>123</v>
      </c>
      <c r="E391">
        <v>20</v>
      </c>
      <c r="F391">
        <v>20</v>
      </c>
      <c r="G391" t="s">
        <v>47</v>
      </c>
      <c r="H391" t="s">
        <v>47</v>
      </c>
      <c r="I391" t="s">
        <v>46</v>
      </c>
      <c r="J391" t="s">
        <v>46</v>
      </c>
      <c r="K391" s="1">
        <v>46089</v>
      </c>
      <c r="L391" s="1" t="str">
        <f>IF(K391&gt;O391,"Valid","Invalid")</f>
        <v>Valid</v>
      </c>
      <c r="M391" s="1" t="b">
        <f>ISNUMBER(K391)</f>
        <v>1</v>
      </c>
      <c r="N391" s="1" t="b">
        <f>ISNUMBER(O391)</f>
        <v>1</v>
      </c>
      <c r="O391" s="1">
        <v>46069</v>
      </c>
      <c r="P391" t="s">
        <v>6352</v>
      </c>
      <c r="Q391" t="str">
        <f>SUBSTITUTE(SUBSTITUTE(SUBSTITUTE(P391," ",""),"-",""),"+","")</f>
        <v>918757489777</v>
      </c>
      <c r="R391" t="str">
        <f t="shared" si="12"/>
        <v>8757489777</v>
      </c>
      <c r="S391" t="str">
        <f>IF(LEN(R391),"Valid","Invalid")</f>
        <v>Valid</v>
      </c>
      <c r="T391" t="s">
        <v>6351</v>
      </c>
      <c r="V391" t="s">
        <v>35</v>
      </c>
      <c r="X391">
        <v>12738.08</v>
      </c>
      <c r="Y391" t="s">
        <v>123</v>
      </c>
      <c r="Z391">
        <v>536</v>
      </c>
      <c r="AA391">
        <f t="shared" si="13"/>
        <v>536</v>
      </c>
      <c r="AB391" t="s">
        <v>16</v>
      </c>
    </row>
    <row r="392" spans="1:28" x14ac:dyDescent="0.3">
      <c r="A392" t="s">
        <v>6350</v>
      </c>
      <c r="B392" t="s">
        <v>6349</v>
      </c>
      <c r="C392" t="s">
        <v>6349</v>
      </c>
      <c r="D392" t="s">
        <v>0</v>
      </c>
      <c r="E392">
        <v>10</v>
      </c>
      <c r="F392">
        <v>10</v>
      </c>
      <c r="G392" t="s">
        <v>68</v>
      </c>
      <c r="H392" t="s">
        <v>68</v>
      </c>
      <c r="I392" t="s">
        <v>67</v>
      </c>
      <c r="J392" t="s">
        <v>67</v>
      </c>
      <c r="K392" s="1">
        <v>46034</v>
      </c>
      <c r="L392" s="1" t="str">
        <f>IF(K392&gt;O392,"Valid","Invalid")</f>
        <v>Valid</v>
      </c>
      <c r="M392" s="1" t="b">
        <f>ISNUMBER(K392)</f>
        <v>1</v>
      </c>
      <c r="N392" s="1" t="b">
        <f>ISNUMBER(O392)</f>
        <v>1</v>
      </c>
      <c r="O392" s="1">
        <v>46027</v>
      </c>
      <c r="P392" t="s">
        <v>6348</v>
      </c>
      <c r="Q392" t="str">
        <f>SUBSTITUTE(SUBSTITUTE(SUBSTITUTE(P392," ",""),"-",""),"+","")</f>
        <v>0824909914</v>
      </c>
      <c r="R392" t="str">
        <f t="shared" si="12"/>
        <v>0824909914</v>
      </c>
      <c r="S392" t="str">
        <f>IF(LEN(R392),"Valid","Invalid")</f>
        <v>Valid</v>
      </c>
      <c r="T392" t="s">
        <v>6347</v>
      </c>
      <c r="V392" t="s">
        <v>57</v>
      </c>
      <c r="X392">
        <v>24259.599999999999</v>
      </c>
      <c r="Y392" t="s">
        <v>27</v>
      </c>
      <c r="Z392">
        <v>359</v>
      </c>
      <c r="AA392">
        <f t="shared" si="13"/>
        <v>359</v>
      </c>
      <c r="AB392" t="s">
        <v>71</v>
      </c>
    </row>
    <row r="393" spans="1:28" x14ac:dyDescent="0.3">
      <c r="A393" t="s">
        <v>6346</v>
      </c>
      <c r="B393" t="s">
        <v>6345</v>
      </c>
      <c r="C393" t="s">
        <v>6345</v>
      </c>
      <c r="D393" t="s">
        <v>123</v>
      </c>
      <c r="E393">
        <v>52</v>
      </c>
      <c r="F393">
        <v>52</v>
      </c>
      <c r="G393" t="s">
        <v>21</v>
      </c>
      <c r="H393" t="s">
        <v>21</v>
      </c>
      <c r="I393" t="s">
        <v>20</v>
      </c>
      <c r="J393" t="s">
        <v>20</v>
      </c>
      <c r="K393" s="1">
        <v>46108</v>
      </c>
      <c r="L393" s="1" t="str">
        <f>IF(K393&gt;O393,"Valid","Invalid")</f>
        <v>Valid</v>
      </c>
      <c r="M393" s="1" t="b">
        <f>ISNUMBER(K393)</f>
        <v>1</v>
      </c>
      <c r="N393" s="1" t="b">
        <f>ISNUMBER(O393)</f>
        <v>1</v>
      </c>
      <c r="O393" s="1">
        <v>46094</v>
      </c>
      <c r="P393" t="s">
        <v>6344</v>
      </c>
      <c r="Q393" t="str">
        <f>SUBSTITUTE(SUBSTITUTE(SUBSTITUTE(P393," ",""),"-",""),"+","")</f>
        <v>05121265419</v>
      </c>
      <c r="R393" t="str">
        <f t="shared" si="12"/>
        <v>5121265419</v>
      </c>
      <c r="S393" t="str">
        <f>IF(LEN(R393),"Valid","Invalid")</f>
        <v>Valid</v>
      </c>
      <c r="T393" t="s">
        <v>6343</v>
      </c>
      <c r="V393" t="s">
        <v>123</v>
      </c>
      <c r="X393">
        <v>20071.28</v>
      </c>
      <c r="Y393" t="s">
        <v>123</v>
      </c>
      <c r="Z393">
        <v>145</v>
      </c>
      <c r="AA393">
        <f t="shared" si="13"/>
        <v>145</v>
      </c>
      <c r="AB393" t="s">
        <v>50</v>
      </c>
    </row>
    <row r="394" spans="1:28" x14ac:dyDescent="0.3">
      <c r="A394" t="s">
        <v>6342</v>
      </c>
      <c r="B394" t="s">
        <v>6341</v>
      </c>
      <c r="C394" t="s">
        <v>6341</v>
      </c>
      <c r="E394">
        <v>58</v>
      </c>
      <c r="F394">
        <v>58</v>
      </c>
      <c r="G394" t="s">
        <v>31</v>
      </c>
      <c r="H394" t="s">
        <v>31</v>
      </c>
      <c r="I394" t="s">
        <v>20</v>
      </c>
      <c r="J394" t="s">
        <v>20</v>
      </c>
      <c r="K394" s="1">
        <v>46082</v>
      </c>
      <c r="L394" s="1" t="str">
        <f>IF(K394&gt;O394,"Valid","Invalid")</f>
        <v>Valid</v>
      </c>
      <c r="M394" s="1" t="b">
        <f>ISNUMBER(K394)</f>
        <v>1</v>
      </c>
      <c r="N394" s="1" t="b">
        <f>ISNUMBER(O394)</f>
        <v>1</v>
      </c>
      <c r="O394" s="1">
        <v>46067</v>
      </c>
      <c r="P394" t="s">
        <v>6340</v>
      </c>
      <c r="Q394" t="str">
        <f>SUBSTITUTE(SUBSTITUTE(SUBSTITUTE(P394," ",""),"-",""),"+","")</f>
        <v>8792067432</v>
      </c>
      <c r="R394" t="str">
        <f t="shared" si="12"/>
        <v>8792067432</v>
      </c>
      <c r="S394" t="str">
        <f>IF(LEN(R394),"Valid","Invalid")</f>
        <v>Valid</v>
      </c>
      <c r="T394" t="s">
        <v>6339</v>
      </c>
      <c r="V394" t="s">
        <v>27</v>
      </c>
      <c r="X394">
        <v>2745.55</v>
      </c>
      <c r="Y394" t="s">
        <v>123</v>
      </c>
      <c r="Z394">
        <v>118</v>
      </c>
      <c r="AA394">
        <f t="shared" si="13"/>
        <v>118</v>
      </c>
      <c r="AB394" t="s">
        <v>34</v>
      </c>
    </row>
    <row r="395" spans="1:28" x14ac:dyDescent="0.3">
      <c r="A395" t="s">
        <v>6338</v>
      </c>
      <c r="B395" t="s">
        <v>6337</v>
      </c>
      <c r="C395" t="s">
        <v>6337</v>
      </c>
      <c r="D395" t="s">
        <v>40</v>
      </c>
      <c r="E395">
        <v>12</v>
      </c>
      <c r="F395">
        <v>12</v>
      </c>
      <c r="G395" t="s">
        <v>132</v>
      </c>
      <c r="H395" t="s">
        <v>132</v>
      </c>
      <c r="I395" t="s">
        <v>38</v>
      </c>
      <c r="J395" t="s">
        <v>8077</v>
      </c>
      <c r="K395" s="1">
        <v>46156</v>
      </c>
      <c r="L395" s="1" t="str">
        <f>IF(K395&gt;O395,"Valid","Invalid")</f>
        <v>Valid</v>
      </c>
      <c r="M395" s="1" t="b">
        <f>ISNUMBER(K395)</f>
        <v>1</v>
      </c>
      <c r="N395" s="1" t="b">
        <f>ISNUMBER(O395)</f>
        <v>1</v>
      </c>
      <c r="O395" s="1">
        <v>46136</v>
      </c>
      <c r="P395" t="s">
        <v>6336</v>
      </c>
      <c r="Q395" t="str">
        <f>SUBSTITUTE(SUBSTITUTE(SUBSTITUTE(P395," ",""),"-",""),"+","")</f>
        <v>05456212839</v>
      </c>
      <c r="R395" t="str">
        <f t="shared" si="12"/>
        <v>5456212839</v>
      </c>
      <c r="S395" t="str">
        <f>IF(LEN(R395),"Valid","Invalid")</f>
        <v>Valid</v>
      </c>
      <c r="T395" t="s">
        <v>6335</v>
      </c>
      <c r="V395" t="s">
        <v>123</v>
      </c>
      <c r="X395">
        <v>23768.81</v>
      </c>
      <c r="Y395" t="s">
        <v>17</v>
      </c>
      <c r="Z395">
        <v>522</v>
      </c>
      <c r="AA395">
        <f t="shared" si="13"/>
        <v>522</v>
      </c>
      <c r="AB395" t="s">
        <v>77</v>
      </c>
    </row>
    <row r="396" spans="1:28" x14ac:dyDescent="0.3">
      <c r="A396" t="s">
        <v>6334</v>
      </c>
      <c r="B396" t="s">
        <v>6333</v>
      </c>
      <c r="C396" t="s">
        <v>6333</v>
      </c>
      <c r="D396" t="s">
        <v>1</v>
      </c>
      <c r="E396">
        <v>59</v>
      </c>
      <c r="F396">
        <v>59</v>
      </c>
      <c r="G396" t="s">
        <v>31</v>
      </c>
      <c r="H396" t="s">
        <v>31</v>
      </c>
      <c r="I396" t="s">
        <v>85</v>
      </c>
      <c r="J396" t="s">
        <v>85</v>
      </c>
      <c r="K396" s="1">
        <v>45997</v>
      </c>
      <c r="L396" s="1" t="str">
        <f>IF(K396&gt;O396,"Valid","Invalid")</f>
        <v>Valid</v>
      </c>
      <c r="M396" s="1" t="b">
        <f>ISNUMBER(K396)</f>
        <v>1</v>
      </c>
      <c r="N396" s="1" t="b">
        <f>ISNUMBER(O396)</f>
        <v>1</v>
      </c>
      <c r="O396" s="1">
        <v>45975</v>
      </c>
      <c r="P396" t="s">
        <v>6332</v>
      </c>
      <c r="Q396" t="str">
        <f>SUBSTITUTE(SUBSTITUTE(SUBSTITUTE(P396," ",""),"-",""),"+","")</f>
        <v>918434498242</v>
      </c>
      <c r="R396" t="str">
        <f t="shared" si="12"/>
        <v>8434498242</v>
      </c>
      <c r="S396" t="str">
        <f>IF(LEN(R396),"Valid","Invalid")</f>
        <v>Valid</v>
      </c>
      <c r="T396" t="s">
        <v>6331</v>
      </c>
      <c r="V396" t="s">
        <v>57</v>
      </c>
      <c r="X396">
        <v>17954.650000000001</v>
      </c>
      <c r="Y396" t="s">
        <v>64</v>
      </c>
      <c r="Z396">
        <v>149</v>
      </c>
      <c r="AA396">
        <f t="shared" si="13"/>
        <v>149</v>
      </c>
      <c r="AB396" t="s">
        <v>50</v>
      </c>
    </row>
    <row r="397" spans="1:28" x14ac:dyDescent="0.3">
      <c r="A397" t="s">
        <v>6326</v>
      </c>
      <c r="B397" t="s">
        <v>6325</v>
      </c>
      <c r="C397" t="s">
        <v>6325</v>
      </c>
      <c r="D397" t="s">
        <v>40</v>
      </c>
      <c r="E397">
        <v>22</v>
      </c>
      <c r="F397">
        <v>22</v>
      </c>
      <c r="G397" t="s">
        <v>68</v>
      </c>
      <c r="H397" t="s">
        <v>68</v>
      </c>
      <c r="I397" t="s">
        <v>53</v>
      </c>
      <c r="J397" t="s">
        <v>20</v>
      </c>
      <c r="K397" s="1">
        <v>46032</v>
      </c>
      <c r="L397" s="1" t="str">
        <f>IF(K397&gt;O397,"Valid","Invalid")</f>
        <v>Valid</v>
      </c>
      <c r="M397" s="1" t="b">
        <f>ISNUMBER(K397)</f>
        <v>1</v>
      </c>
      <c r="N397" s="1" t="b">
        <f>ISNUMBER(O397)</f>
        <v>1</v>
      </c>
      <c r="O397" s="1">
        <v>46006</v>
      </c>
      <c r="P397" t="s">
        <v>6324</v>
      </c>
      <c r="Q397" t="str">
        <f>SUBSTITUTE(SUBSTITUTE(SUBSTITUTE(P397," ",""),"-",""),"+","")</f>
        <v>915399839019</v>
      </c>
      <c r="R397" t="str">
        <f t="shared" si="12"/>
        <v>5399839019</v>
      </c>
      <c r="S397" t="str">
        <f>IF(LEN(R397),"Valid","Invalid")</f>
        <v>Valid</v>
      </c>
      <c r="T397" t="s">
        <v>6323</v>
      </c>
      <c r="V397" t="s">
        <v>123</v>
      </c>
      <c r="X397">
        <v>2852.65</v>
      </c>
      <c r="Y397" t="s">
        <v>57</v>
      </c>
      <c r="Z397">
        <v>196</v>
      </c>
      <c r="AA397">
        <f t="shared" si="13"/>
        <v>196</v>
      </c>
      <c r="AB397" t="s">
        <v>77</v>
      </c>
    </row>
    <row r="398" spans="1:28" x14ac:dyDescent="0.3">
      <c r="A398" t="s">
        <v>6322</v>
      </c>
      <c r="B398" t="s">
        <v>6321</v>
      </c>
      <c r="C398" t="s">
        <v>6321</v>
      </c>
      <c r="D398" t="s">
        <v>123</v>
      </c>
      <c r="E398">
        <v>28</v>
      </c>
      <c r="F398">
        <v>28</v>
      </c>
      <c r="G398" t="s">
        <v>68</v>
      </c>
      <c r="H398" t="s">
        <v>68</v>
      </c>
      <c r="I398" t="s">
        <v>38</v>
      </c>
      <c r="J398" t="s">
        <v>8077</v>
      </c>
      <c r="K398" s="1">
        <v>46037</v>
      </c>
      <c r="L398" s="1" t="str">
        <f>IF(K398&gt;O398,"Valid","Invalid")</f>
        <v>Valid</v>
      </c>
      <c r="M398" s="1" t="b">
        <f>ISNUMBER(K398)</f>
        <v>1</v>
      </c>
      <c r="N398" s="1" t="b">
        <f>ISNUMBER(O398)</f>
        <v>1</v>
      </c>
      <c r="O398" s="1">
        <v>46015</v>
      </c>
      <c r="P398" t="s">
        <v>6320</v>
      </c>
      <c r="Q398" t="str">
        <f>SUBSTITUTE(SUBSTITUTE(SUBSTITUTE(P398," ",""),"-",""),"+","")</f>
        <v>915116212319</v>
      </c>
      <c r="R398" t="str">
        <f t="shared" si="12"/>
        <v>5116212319</v>
      </c>
      <c r="S398" t="str">
        <f>IF(LEN(R398),"Valid","Invalid")</f>
        <v>Valid</v>
      </c>
      <c r="T398" t="s">
        <v>6319</v>
      </c>
      <c r="V398" t="s">
        <v>57</v>
      </c>
      <c r="X398">
        <v>2872.59</v>
      </c>
      <c r="Y398" t="s">
        <v>123</v>
      </c>
      <c r="Z398">
        <v>123</v>
      </c>
      <c r="AA398">
        <f t="shared" si="13"/>
        <v>123</v>
      </c>
      <c r="AB398" t="s">
        <v>25</v>
      </c>
    </row>
    <row r="399" spans="1:28" x14ac:dyDescent="0.3">
      <c r="A399" t="s">
        <v>6318</v>
      </c>
      <c r="B399" t="s">
        <v>6317</v>
      </c>
      <c r="C399" t="s">
        <v>6317</v>
      </c>
      <c r="D399" t="s">
        <v>74</v>
      </c>
      <c r="E399">
        <v>58</v>
      </c>
      <c r="F399">
        <v>58</v>
      </c>
      <c r="G399" t="s">
        <v>68</v>
      </c>
      <c r="H399" t="s">
        <v>68</v>
      </c>
      <c r="I399" t="s">
        <v>53</v>
      </c>
      <c r="J399" t="s">
        <v>20</v>
      </c>
      <c r="K399" s="1">
        <v>46111</v>
      </c>
      <c r="L399" s="1" t="str">
        <f>IF(K399&gt;O399,"Valid","Invalid")</f>
        <v>Valid</v>
      </c>
      <c r="M399" s="1" t="b">
        <f>ISNUMBER(K399)</f>
        <v>1</v>
      </c>
      <c r="N399" s="1" t="b">
        <f>ISNUMBER(O399)</f>
        <v>1</v>
      </c>
      <c r="O399" s="1">
        <v>46081</v>
      </c>
      <c r="P399" t="s">
        <v>6316</v>
      </c>
      <c r="Q399" t="str">
        <f>SUBSTITUTE(SUBSTITUTE(SUBSTITUTE(P399," ",""),"-",""),"+","")</f>
        <v>911931770464</v>
      </c>
      <c r="R399" t="str">
        <f t="shared" si="12"/>
        <v>1931770464</v>
      </c>
      <c r="S399" t="str">
        <f>IF(LEN(R399),"Valid","Invalid")</f>
        <v>Valid</v>
      </c>
      <c r="T399" t="s">
        <v>6315</v>
      </c>
      <c r="V399" t="s">
        <v>123</v>
      </c>
      <c r="X399">
        <v>307.57</v>
      </c>
      <c r="Y399" t="s">
        <v>27</v>
      </c>
      <c r="Z399">
        <v>383</v>
      </c>
      <c r="AA399">
        <f t="shared" si="13"/>
        <v>383</v>
      </c>
      <c r="AB399" t="s">
        <v>16</v>
      </c>
    </row>
    <row r="400" spans="1:28" x14ac:dyDescent="0.3">
      <c r="A400" t="s">
        <v>6314</v>
      </c>
      <c r="B400" t="s">
        <v>6313</v>
      </c>
      <c r="C400" t="s">
        <v>6313</v>
      </c>
      <c r="E400">
        <v>66</v>
      </c>
      <c r="F400">
        <v>66</v>
      </c>
      <c r="G400" t="s">
        <v>39</v>
      </c>
      <c r="H400" t="s">
        <v>39</v>
      </c>
      <c r="I400" t="s">
        <v>53</v>
      </c>
      <c r="J400" t="s">
        <v>20</v>
      </c>
      <c r="K400" s="1">
        <v>46160</v>
      </c>
      <c r="L400" s="1" t="str">
        <f>IF(K400&gt;O400,"Valid","Invalid")</f>
        <v>Valid</v>
      </c>
      <c r="M400" s="1" t="b">
        <f>ISNUMBER(K400)</f>
        <v>1</v>
      </c>
      <c r="N400" s="1" t="b">
        <f>ISNUMBER(O400)</f>
        <v>1</v>
      </c>
      <c r="O400" s="1">
        <v>46137</v>
      </c>
      <c r="P400" t="s">
        <v>6312</v>
      </c>
      <c r="Q400" t="str">
        <f>SUBSTITUTE(SUBSTITUTE(SUBSTITUTE(P400," ",""),"-",""),"+","")</f>
        <v>01851501730</v>
      </c>
      <c r="R400" t="str">
        <f t="shared" si="12"/>
        <v>1851501730</v>
      </c>
      <c r="S400" t="str">
        <f>IF(LEN(R400),"Valid","Invalid")</f>
        <v>Valid</v>
      </c>
      <c r="T400" t="s">
        <v>6311</v>
      </c>
      <c r="V400" t="s">
        <v>35</v>
      </c>
      <c r="X400">
        <v>2768.14</v>
      </c>
      <c r="Y400" t="s">
        <v>17</v>
      </c>
      <c r="Z400">
        <v>358</v>
      </c>
      <c r="AA400">
        <f t="shared" si="13"/>
        <v>358</v>
      </c>
      <c r="AB400" t="s">
        <v>16</v>
      </c>
    </row>
    <row r="401" spans="1:28" x14ac:dyDescent="0.3">
      <c r="A401" t="s">
        <v>6310</v>
      </c>
      <c r="B401" t="s">
        <v>6309</v>
      </c>
      <c r="C401" t="s">
        <v>6309</v>
      </c>
      <c r="D401" t="s">
        <v>123</v>
      </c>
      <c r="E401">
        <v>78</v>
      </c>
      <c r="F401">
        <v>78</v>
      </c>
      <c r="G401" t="s">
        <v>21</v>
      </c>
      <c r="H401" t="s">
        <v>21</v>
      </c>
      <c r="I401" t="s">
        <v>30</v>
      </c>
      <c r="J401" t="s">
        <v>30</v>
      </c>
      <c r="K401" s="1">
        <v>46057</v>
      </c>
      <c r="L401" s="1" t="str">
        <f>IF(K401&gt;O401,"Valid","Invalid")</f>
        <v>Valid</v>
      </c>
      <c r="M401" s="1" t="b">
        <f>ISNUMBER(K401)</f>
        <v>1</v>
      </c>
      <c r="N401" s="1" t="b">
        <f>ISNUMBER(O401)</f>
        <v>1</v>
      </c>
      <c r="O401" s="1">
        <v>46045</v>
      </c>
      <c r="P401" t="s">
        <v>6308</v>
      </c>
      <c r="Q401" t="str">
        <f>SUBSTITUTE(SUBSTITUTE(SUBSTITUTE(P401," ",""),"-",""),"+","")</f>
        <v>2899970931</v>
      </c>
      <c r="R401" t="str">
        <f t="shared" si="12"/>
        <v>2899970931</v>
      </c>
      <c r="S401" t="str">
        <f>IF(LEN(R401),"Valid","Invalid")</f>
        <v>Valid</v>
      </c>
      <c r="T401" t="s">
        <v>6307</v>
      </c>
      <c r="V401" t="s">
        <v>57</v>
      </c>
      <c r="X401">
        <v>24268.19</v>
      </c>
      <c r="Y401" t="s">
        <v>123</v>
      </c>
      <c r="Z401">
        <v>512</v>
      </c>
      <c r="AA401">
        <f t="shared" si="13"/>
        <v>512</v>
      </c>
      <c r="AB401" t="s">
        <v>71</v>
      </c>
    </row>
    <row r="402" spans="1:28" x14ac:dyDescent="0.3">
      <c r="A402" t="s">
        <v>6306</v>
      </c>
      <c r="B402" t="s">
        <v>6305</v>
      </c>
      <c r="C402" t="s">
        <v>6305</v>
      </c>
      <c r="D402" t="s">
        <v>0</v>
      </c>
      <c r="E402">
        <v>53</v>
      </c>
      <c r="F402">
        <v>53</v>
      </c>
      <c r="G402" t="s">
        <v>132</v>
      </c>
      <c r="H402" t="s">
        <v>132</v>
      </c>
      <c r="I402" t="s">
        <v>67</v>
      </c>
      <c r="J402" t="s">
        <v>67</v>
      </c>
      <c r="K402" s="1">
        <v>46166</v>
      </c>
      <c r="L402" s="1" t="str">
        <f>IF(K402&gt;O402,"Valid","Invalid")</f>
        <v>Valid</v>
      </c>
      <c r="M402" s="1" t="b">
        <f>ISNUMBER(K402)</f>
        <v>1</v>
      </c>
      <c r="N402" s="1" t="b">
        <f>ISNUMBER(O402)</f>
        <v>1</v>
      </c>
      <c r="O402" s="1">
        <v>46144</v>
      </c>
      <c r="P402" t="s">
        <v>6304</v>
      </c>
      <c r="Q402" t="str">
        <f>SUBSTITUTE(SUBSTITUTE(SUBSTITUTE(P402," ",""),"-",""),"+","")</f>
        <v>910383558120</v>
      </c>
      <c r="R402" t="str">
        <f t="shared" si="12"/>
        <v>0383558120</v>
      </c>
      <c r="S402" t="str">
        <f>IF(LEN(R402),"Valid","Invalid")</f>
        <v>Valid</v>
      </c>
      <c r="T402" t="s">
        <v>6303</v>
      </c>
      <c r="V402" t="s">
        <v>17</v>
      </c>
      <c r="X402">
        <v>5182.05</v>
      </c>
      <c r="Y402" t="s">
        <v>63</v>
      </c>
      <c r="Z402">
        <v>451</v>
      </c>
      <c r="AA402">
        <f t="shared" si="13"/>
        <v>451</v>
      </c>
      <c r="AB402" t="s">
        <v>43</v>
      </c>
    </row>
    <row r="403" spans="1:28" x14ac:dyDescent="0.3">
      <c r="A403" t="s">
        <v>6302</v>
      </c>
      <c r="B403" t="s">
        <v>6301</v>
      </c>
      <c r="C403" t="s">
        <v>6301</v>
      </c>
      <c r="D403" t="s">
        <v>0</v>
      </c>
      <c r="E403">
        <v>84</v>
      </c>
      <c r="F403">
        <v>84</v>
      </c>
      <c r="G403" t="s">
        <v>39</v>
      </c>
      <c r="H403" t="s">
        <v>39</v>
      </c>
      <c r="I403" t="s">
        <v>67</v>
      </c>
      <c r="J403" t="s">
        <v>67</v>
      </c>
      <c r="K403" s="1">
        <v>46111</v>
      </c>
      <c r="L403" s="1" t="str">
        <f>IF(K403&gt;O403,"Valid","Invalid")</f>
        <v>Valid</v>
      </c>
      <c r="M403" s="1" t="b">
        <f>ISNUMBER(K403)</f>
        <v>1</v>
      </c>
      <c r="N403" s="1" t="b">
        <f>ISNUMBER(O403)</f>
        <v>1</v>
      </c>
      <c r="O403" s="1">
        <v>46089</v>
      </c>
      <c r="P403" t="s">
        <v>6300</v>
      </c>
      <c r="Q403" t="str">
        <f>SUBSTITUTE(SUBSTITUTE(SUBSTITUTE(P403," ",""),"-",""),"+","")</f>
        <v>916785119353</v>
      </c>
      <c r="R403" t="str">
        <f t="shared" si="12"/>
        <v>6785119353</v>
      </c>
      <c r="S403" t="str">
        <f>IF(LEN(R403),"Valid","Invalid")</f>
        <v>Valid</v>
      </c>
      <c r="T403" t="s">
        <v>6299</v>
      </c>
      <c r="V403" t="s">
        <v>64</v>
      </c>
      <c r="X403">
        <v>19067.22</v>
      </c>
      <c r="Y403" t="s">
        <v>123</v>
      </c>
      <c r="Z403">
        <v>398</v>
      </c>
      <c r="AA403">
        <f t="shared" si="13"/>
        <v>398</v>
      </c>
      <c r="AB403" t="s">
        <v>34</v>
      </c>
    </row>
    <row r="404" spans="1:28" x14ac:dyDescent="0.3">
      <c r="A404" t="s">
        <v>6298</v>
      </c>
      <c r="B404" t="s">
        <v>6297</v>
      </c>
      <c r="C404" t="s">
        <v>6297</v>
      </c>
      <c r="D404" t="s">
        <v>123</v>
      </c>
      <c r="E404">
        <v>87</v>
      </c>
      <c r="F404">
        <v>87</v>
      </c>
      <c r="G404" t="s">
        <v>132</v>
      </c>
      <c r="H404" t="s">
        <v>132</v>
      </c>
      <c r="I404" t="s">
        <v>90</v>
      </c>
      <c r="J404" t="s">
        <v>67</v>
      </c>
      <c r="K404" s="1">
        <v>46114</v>
      </c>
      <c r="L404" s="1" t="str">
        <f>IF(K404&gt;O404,"Valid","Invalid")</f>
        <v>Valid</v>
      </c>
      <c r="M404" s="1" t="b">
        <f>ISNUMBER(K404)</f>
        <v>1</v>
      </c>
      <c r="N404" s="1" t="b">
        <f>ISNUMBER(O404)</f>
        <v>1</v>
      </c>
      <c r="O404" s="1">
        <v>46089</v>
      </c>
      <c r="P404" t="s">
        <v>6296</v>
      </c>
      <c r="Q404" t="str">
        <f>SUBSTITUTE(SUBSTITUTE(SUBSTITUTE(P404," ",""),"-",""),"+","")</f>
        <v>2094147594</v>
      </c>
      <c r="R404" t="str">
        <f t="shared" si="12"/>
        <v>2094147594</v>
      </c>
      <c r="S404" t="str">
        <f>IF(LEN(R404),"Valid","Invalid")</f>
        <v>Valid</v>
      </c>
      <c r="T404" t="s">
        <v>6295</v>
      </c>
      <c r="V404" t="s">
        <v>27</v>
      </c>
      <c r="X404">
        <v>13163.7</v>
      </c>
      <c r="Y404" t="s">
        <v>27</v>
      </c>
      <c r="Z404">
        <v>295</v>
      </c>
      <c r="AA404">
        <f t="shared" si="13"/>
        <v>295</v>
      </c>
      <c r="AB404" t="s">
        <v>71</v>
      </c>
    </row>
    <row r="405" spans="1:28" x14ac:dyDescent="0.3">
      <c r="A405" t="s">
        <v>6294</v>
      </c>
      <c r="B405" t="s">
        <v>6293</v>
      </c>
      <c r="C405" t="s">
        <v>6293</v>
      </c>
      <c r="D405" t="s">
        <v>40</v>
      </c>
      <c r="E405">
        <v>86</v>
      </c>
      <c r="F405">
        <v>86</v>
      </c>
      <c r="G405" t="s">
        <v>47</v>
      </c>
      <c r="H405" t="s">
        <v>47</v>
      </c>
      <c r="I405" t="s">
        <v>38</v>
      </c>
      <c r="J405" t="s">
        <v>8077</v>
      </c>
      <c r="K405" s="1">
        <v>46133</v>
      </c>
      <c r="L405" s="1" t="str">
        <f>IF(K405&gt;O405,"Valid","Invalid")</f>
        <v>Valid</v>
      </c>
      <c r="M405" s="1" t="b">
        <f>ISNUMBER(K405)</f>
        <v>1</v>
      </c>
      <c r="N405" s="1" t="b">
        <f>ISNUMBER(O405)</f>
        <v>1</v>
      </c>
      <c r="O405" s="1">
        <v>46125</v>
      </c>
      <c r="P405" t="s">
        <v>6292</v>
      </c>
      <c r="Q405" t="str">
        <f>SUBSTITUTE(SUBSTITUTE(SUBSTITUTE(P405," ",""),"-",""),"+","")</f>
        <v>911511350776</v>
      </c>
      <c r="R405" t="str">
        <f t="shared" si="12"/>
        <v>1511350776</v>
      </c>
      <c r="S405" t="str">
        <f>IF(LEN(R405),"Valid","Invalid")</f>
        <v>Valid</v>
      </c>
      <c r="T405" t="s">
        <v>6291</v>
      </c>
      <c r="V405" t="s">
        <v>35</v>
      </c>
      <c r="X405">
        <v>24591.599999999999</v>
      </c>
      <c r="Y405" t="s">
        <v>63</v>
      </c>
      <c r="Z405">
        <v>174</v>
      </c>
      <c r="AA405">
        <f t="shared" si="13"/>
        <v>174</v>
      </c>
      <c r="AB405" t="s">
        <v>50</v>
      </c>
    </row>
    <row r="406" spans="1:28" x14ac:dyDescent="0.3">
      <c r="A406" t="s">
        <v>6290</v>
      </c>
      <c r="B406" t="s">
        <v>6289</v>
      </c>
      <c r="C406" t="s">
        <v>6289</v>
      </c>
      <c r="D406" t="s">
        <v>40</v>
      </c>
      <c r="E406">
        <v>89</v>
      </c>
      <c r="F406">
        <v>89</v>
      </c>
      <c r="G406" t="s">
        <v>132</v>
      </c>
      <c r="H406" t="s">
        <v>132</v>
      </c>
      <c r="I406" t="s">
        <v>38</v>
      </c>
      <c r="J406" t="s">
        <v>8077</v>
      </c>
      <c r="K406" s="1">
        <v>46018</v>
      </c>
      <c r="L406" s="1" t="str">
        <f>IF(K406&gt;O406,"Valid","Invalid")</f>
        <v>Valid</v>
      </c>
      <c r="M406" s="1" t="b">
        <f>ISNUMBER(K406)</f>
        <v>1</v>
      </c>
      <c r="N406" s="1" t="b">
        <f>ISNUMBER(O406)</f>
        <v>1</v>
      </c>
      <c r="O406" s="1">
        <v>45994</v>
      </c>
      <c r="P406" t="s">
        <v>6288</v>
      </c>
      <c r="Q406" t="str">
        <f>SUBSTITUTE(SUBSTITUTE(SUBSTITUTE(P406," ",""),"-",""),"+","")</f>
        <v>01502687785</v>
      </c>
      <c r="R406" t="str">
        <f t="shared" si="12"/>
        <v>1502687785</v>
      </c>
      <c r="S406" t="str">
        <f>IF(LEN(R406),"Valid","Invalid")</f>
        <v>Valid</v>
      </c>
      <c r="T406" t="s">
        <v>6287</v>
      </c>
      <c r="V406" t="s">
        <v>27</v>
      </c>
      <c r="X406">
        <v>9095.32</v>
      </c>
      <c r="Y406" t="s">
        <v>123</v>
      </c>
      <c r="Z406">
        <v>152</v>
      </c>
      <c r="AA406">
        <f t="shared" si="13"/>
        <v>152</v>
      </c>
      <c r="AB406" t="s">
        <v>34</v>
      </c>
    </row>
    <row r="407" spans="1:28" x14ac:dyDescent="0.3">
      <c r="A407" t="s">
        <v>6286</v>
      </c>
      <c r="B407" t="s">
        <v>6285</v>
      </c>
      <c r="C407" t="s">
        <v>6285</v>
      </c>
      <c r="D407" t="s">
        <v>1</v>
      </c>
      <c r="E407">
        <v>83</v>
      </c>
      <c r="F407">
        <v>83</v>
      </c>
      <c r="G407" t="s">
        <v>54</v>
      </c>
      <c r="H407" t="s">
        <v>54</v>
      </c>
      <c r="I407" t="s">
        <v>38</v>
      </c>
      <c r="J407" t="s">
        <v>8077</v>
      </c>
      <c r="K407" s="1">
        <v>46158</v>
      </c>
      <c r="L407" s="1" t="str">
        <f>IF(K407&gt;O407,"Valid","Invalid")</f>
        <v>Valid</v>
      </c>
      <c r="M407" s="1" t="b">
        <f>ISNUMBER(K407)</f>
        <v>1</v>
      </c>
      <c r="N407" s="1" t="b">
        <f>ISNUMBER(O407)</f>
        <v>1</v>
      </c>
      <c r="O407" s="1">
        <v>46142</v>
      </c>
      <c r="P407" t="s">
        <v>6284</v>
      </c>
      <c r="Q407" t="str">
        <f>SUBSTITUTE(SUBSTITUTE(SUBSTITUTE(P407," ",""),"-",""),"+","")</f>
        <v>5319467966</v>
      </c>
      <c r="R407" t="str">
        <f t="shared" si="12"/>
        <v>5319467966</v>
      </c>
      <c r="S407" t="str">
        <f>IF(LEN(R407),"Valid","Invalid")</f>
        <v>Valid</v>
      </c>
      <c r="T407" t="s">
        <v>6283</v>
      </c>
      <c r="V407" t="s">
        <v>26</v>
      </c>
      <c r="X407">
        <v>17384.810000000001</v>
      </c>
      <c r="Y407" t="s">
        <v>27</v>
      </c>
      <c r="Z407">
        <v>295</v>
      </c>
      <c r="AA407">
        <f t="shared" si="13"/>
        <v>295</v>
      </c>
      <c r="AB407" t="s">
        <v>16</v>
      </c>
    </row>
    <row r="408" spans="1:28" x14ac:dyDescent="0.3">
      <c r="A408" t="s">
        <v>6278</v>
      </c>
      <c r="B408" t="s">
        <v>6277</v>
      </c>
      <c r="C408" t="s">
        <v>6277</v>
      </c>
      <c r="D408" t="s">
        <v>60</v>
      </c>
      <c r="E408">
        <v>76</v>
      </c>
      <c r="F408">
        <v>76</v>
      </c>
      <c r="G408" t="s">
        <v>21</v>
      </c>
      <c r="H408" t="s">
        <v>21</v>
      </c>
      <c r="I408" t="s">
        <v>38</v>
      </c>
      <c r="J408" t="s">
        <v>8077</v>
      </c>
      <c r="K408" s="1">
        <v>46115</v>
      </c>
      <c r="L408" s="1" t="str">
        <f>IF(K408&gt;O408,"Valid","Invalid")</f>
        <v>Valid</v>
      </c>
      <c r="M408" s="1" t="b">
        <f>ISNUMBER(K408)</f>
        <v>1</v>
      </c>
      <c r="N408" s="1" t="b">
        <f>ISNUMBER(O408)</f>
        <v>1</v>
      </c>
      <c r="O408" s="1">
        <v>46106</v>
      </c>
      <c r="P408" t="s">
        <v>6276</v>
      </c>
      <c r="Q408" t="str">
        <f>SUBSTITUTE(SUBSTITUTE(SUBSTITUTE(P408," ",""),"-",""),"+","")</f>
        <v>3968161330</v>
      </c>
      <c r="R408" t="str">
        <f t="shared" si="12"/>
        <v>3968161330</v>
      </c>
      <c r="S408" t="str">
        <f>IF(LEN(R408),"Valid","Invalid")</f>
        <v>Valid</v>
      </c>
      <c r="T408" t="s">
        <v>6275</v>
      </c>
      <c r="V408" t="s">
        <v>123</v>
      </c>
      <c r="X408">
        <v>4600.16</v>
      </c>
      <c r="Y408" t="s">
        <v>64</v>
      </c>
      <c r="Z408">
        <v>195</v>
      </c>
      <c r="AA408">
        <f t="shared" si="13"/>
        <v>195</v>
      </c>
      <c r="AB408" t="s">
        <v>71</v>
      </c>
    </row>
    <row r="409" spans="1:28" x14ac:dyDescent="0.3">
      <c r="A409" t="s">
        <v>6274</v>
      </c>
      <c r="B409" t="s">
        <v>6273</v>
      </c>
      <c r="C409" t="s">
        <v>6273</v>
      </c>
      <c r="D409" t="s">
        <v>74</v>
      </c>
      <c r="E409">
        <v>49</v>
      </c>
      <c r="F409">
        <v>49</v>
      </c>
      <c r="G409" t="s">
        <v>47</v>
      </c>
      <c r="H409" t="s">
        <v>47</v>
      </c>
      <c r="I409" t="s">
        <v>90</v>
      </c>
      <c r="J409" t="s">
        <v>67</v>
      </c>
      <c r="K409" s="1">
        <v>46089</v>
      </c>
      <c r="L409" s="1" t="str">
        <f>IF(K409&gt;O409,"Valid","Invalid")</f>
        <v>Valid</v>
      </c>
      <c r="M409" s="1" t="b">
        <f>ISNUMBER(K409)</f>
        <v>1</v>
      </c>
      <c r="N409" s="1" t="b">
        <f>ISNUMBER(O409)</f>
        <v>1</v>
      </c>
      <c r="O409" s="1">
        <v>46081</v>
      </c>
      <c r="P409" t="s">
        <v>6272</v>
      </c>
      <c r="Q409" t="str">
        <f>SUBSTITUTE(SUBSTITUTE(SUBSTITUTE(P409," ",""),"-",""),"+","")</f>
        <v>914720389574</v>
      </c>
      <c r="R409" t="str">
        <f t="shared" si="12"/>
        <v>4720389574</v>
      </c>
      <c r="S409" t="str">
        <f>IF(LEN(R409),"Valid","Invalid")</f>
        <v>Valid</v>
      </c>
      <c r="T409" t="s">
        <v>6271</v>
      </c>
      <c r="V409" t="s">
        <v>26</v>
      </c>
      <c r="X409">
        <v>3425.65</v>
      </c>
      <c r="Y409" t="s">
        <v>63</v>
      </c>
      <c r="Z409">
        <v>102</v>
      </c>
      <c r="AA409">
        <f t="shared" si="13"/>
        <v>102</v>
      </c>
      <c r="AB409" t="s">
        <v>43</v>
      </c>
    </row>
    <row r="410" spans="1:28" x14ac:dyDescent="0.3">
      <c r="A410" t="s">
        <v>6270</v>
      </c>
      <c r="B410" t="s">
        <v>6269</v>
      </c>
      <c r="C410" t="s">
        <v>6269</v>
      </c>
      <c r="E410">
        <v>20</v>
      </c>
      <c r="F410">
        <v>20</v>
      </c>
      <c r="G410" t="s">
        <v>47</v>
      </c>
      <c r="H410" t="s">
        <v>47</v>
      </c>
      <c r="I410" t="s">
        <v>53</v>
      </c>
      <c r="J410" t="s">
        <v>20</v>
      </c>
      <c r="K410" s="1">
        <v>46070</v>
      </c>
      <c r="L410" s="1" t="str">
        <f>IF(K410&gt;O410,"Valid","Invalid")</f>
        <v>Valid</v>
      </c>
      <c r="M410" s="1" t="b">
        <f>ISNUMBER(K410)</f>
        <v>1</v>
      </c>
      <c r="N410" s="1" t="b">
        <f>ISNUMBER(O410)</f>
        <v>1</v>
      </c>
      <c r="O410" s="1">
        <v>46041</v>
      </c>
      <c r="P410" t="s">
        <v>510</v>
      </c>
      <c r="Q410" t="str">
        <f>SUBSTITUTE(SUBSTITUTE(SUBSTITUTE(P410," ",""),"-",""),"+","")</f>
        <v>12345</v>
      </c>
      <c r="R410" t="str">
        <f t="shared" si="12"/>
        <v>12345</v>
      </c>
      <c r="S410" t="str">
        <f>IF(LEN(R410),"Valid","Invalid")</f>
        <v>Valid</v>
      </c>
      <c r="T410" t="s">
        <v>6268</v>
      </c>
      <c r="V410" t="s">
        <v>57</v>
      </c>
      <c r="X410">
        <v>15002.63</v>
      </c>
      <c r="Y410" t="s">
        <v>63</v>
      </c>
      <c r="Z410">
        <v>351</v>
      </c>
      <c r="AA410">
        <f t="shared" si="13"/>
        <v>351</v>
      </c>
      <c r="AB410" t="s">
        <v>50</v>
      </c>
    </row>
    <row r="411" spans="1:28" x14ac:dyDescent="0.3">
      <c r="A411" t="s">
        <v>6267</v>
      </c>
      <c r="B411" t="s">
        <v>6266</v>
      </c>
      <c r="C411" t="s">
        <v>6266</v>
      </c>
      <c r="D411" t="s">
        <v>60</v>
      </c>
      <c r="E411">
        <v>10</v>
      </c>
      <c r="F411">
        <v>10</v>
      </c>
      <c r="G411" t="s">
        <v>31</v>
      </c>
      <c r="H411" t="s">
        <v>31</v>
      </c>
      <c r="I411" t="s">
        <v>38</v>
      </c>
      <c r="J411" t="s">
        <v>8077</v>
      </c>
      <c r="K411" s="1">
        <v>46046</v>
      </c>
      <c r="L411" s="1" t="str">
        <f>IF(K411&gt;O411,"Valid","Invalid")</f>
        <v>Valid</v>
      </c>
      <c r="M411" s="1" t="b">
        <f>ISNUMBER(K411)</f>
        <v>1</v>
      </c>
      <c r="N411" s="1" t="b">
        <f>ISNUMBER(O411)</f>
        <v>1</v>
      </c>
      <c r="O411" s="1">
        <v>46016</v>
      </c>
      <c r="P411" t="s">
        <v>6265</v>
      </c>
      <c r="Q411" t="str">
        <f>SUBSTITUTE(SUBSTITUTE(SUBSTITUTE(P411," ",""),"-",""),"+","")</f>
        <v>03953587351</v>
      </c>
      <c r="R411" t="str">
        <f t="shared" si="12"/>
        <v>3953587351</v>
      </c>
      <c r="S411" t="str">
        <f>IF(LEN(R411),"Valid","Invalid")</f>
        <v>Valid</v>
      </c>
      <c r="T411" t="s">
        <v>6264</v>
      </c>
      <c r="V411" t="s">
        <v>35</v>
      </c>
      <c r="X411">
        <v>13111.04</v>
      </c>
      <c r="Y411" t="s">
        <v>26</v>
      </c>
      <c r="Z411">
        <v>312</v>
      </c>
      <c r="AA411">
        <f t="shared" si="13"/>
        <v>312</v>
      </c>
      <c r="AB411" t="s">
        <v>34</v>
      </c>
    </row>
    <row r="412" spans="1:28" x14ac:dyDescent="0.3">
      <c r="A412" t="s">
        <v>6263</v>
      </c>
      <c r="B412" t="s">
        <v>6262</v>
      </c>
      <c r="C412" t="s">
        <v>6262</v>
      </c>
      <c r="D412" t="s">
        <v>123</v>
      </c>
      <c r="E412">
        <v>12</v>
      </c>
      <c r="F412">
        <v>12</v>
      </c>
      <c r="G412" t="s">
        <v>31</v>
      </c>
      <c r="H412" t="s">
        <v>31</v>
      </c>
      <c r="I412" t="s">
        <v>38</v>
      </c>
      <c r="J412" t="s">
        <v>8077</v>
      </c>
      <c r="K412" s="1">
        <v>46163</v>
      </c>
      <c r="L412" s="1" t="str">
        <f>IF(K412&gt;O412,"Valid","Invalid")</f>
        <v>Valid</v>
      </c>
      <c r="M412" s="1" t="b">
        <f>ISNUMBER(K412)</f>
        <v>1</v>
      </c>
      <c r="N412" s="1" t="b">
        <f>ISNUMBER(O412)</f>
        <v>1</v>
      </c>
      <c r="O412" s="1">
        <v>46135</v>
      </c>
      <c r="P412" t="s">
        <v>6261</v>
      </c>
      <c r="Q412" t="str">
        <f>SUBSTITUTE(SUBSTITUTE(SUBSTITUTE(P412," ",""),"-",""),"+","")</f>
        <v>04683092693</v>
      </c>
      <c r="R412" t="str">
        <f t="shared" si="12"/>
        <v>4683092693</v>
      </c>
      <c r="S412" t="str">
        <f>IF(LEN(R412),"Valid","Invalid")</f>
        <v>Valid</v>
      </c>
      <c r="T412" t="s">
        <v>6260</v>
      </c>
      <c r="V412" t="s">
        <v>17</v>
      </c>
      <c r="X412">
        <v>16650.7</v>
      </c>
      <c r="Y412" t="s">
        <v>17</v>
      </c>
      <c r="Z412">
        <v>284</v>
      </c>
      <c r="AA412">
        <f t="shared" si="13"/>
        <v>284</v>
      </c>
      <c r="AB412" t="s">
        <v>43</v>
      </c>
    </row>
    <row r="413" spans="1:28" x14ac:dyDescent="0.3">
      <c r="A413" t="s">
        <v>6259</v>
      </c>
      <c r="B413" t="s">
        <v>6258</v>
      </c>
      <c r="C413" t="s">
        <v>6258</v>
      </c>
      <c r="D413" t="s">
        <v>1</v>
      </c>
      <c r="E413">
        <v>80</v>
      </c>
      <c r="F413">
        <v>80</v>
      </c>
      <c r="G413" t="s">
        <v>68</v>
      </c>
      <c r="H413" t="s">
        <v>68</v>
      </c>
      <c r="I413" t="s">
        <v>46</v>
      </c>
      <c r="J413" t="s">
        <v>46</v>
      </c>
      <c r="K413" s="1">
        <v>46121</v>
      </c>
      <c r="L413" s="1" t="str">
        <f>IF(K413&gt;O413,"Valid","Invalid")</f>
        <v>Valid</v>
      </c>
      <c r="M413" s="1" t="b">
        <f>ISNUMBER(K413)</f>
        <v>1</v>
      </c>
      <c r="N413" s="1" t="b">
        <f>ISNUMBER(O413)</f>
        <v>1</v>
      </c>
      <c r="O413" s="1">
        <v>46118</v>
      </c>
      <c r="P413" t="s">
        <v>6257</v>
      </c>
      <c r="Q413" t="str">
        <f>SUBSTITUTE(SUBSTITUTE(SUBSTITUTE(P413," ",""),"-",""),"+","")</f>
        <v>8340361184</v>
      </c>
      <c r="R413" t="str">
        <f t="shared" si="12"/>
        <v>8340361184</v>
      </c>
      <c r="S413" t="str">
        <f>IF(LEN(R413),"Valid","Invalid")</f>
        <v>Valid</v>
      </c>
      <c r="T413" t="s">
        <v>6256</v>
      </c>
      <c r="V413" t="s">
        <v>57</v>
      </c>
      <c r="X413">
        <v>11252.55</v>
      </c>
      <c r="Y413" t="s">
        <v>57</v>
      </c>
      <c r="Z413">
        <v>120</v>
      </c>
      <c r="AA413">
        <f t="shared" si="13"/>
        <v>120</v>
      </c>
      <c r="AB413" t="s">
        <v>25</v>
      </c>
    </row>
    <row r="414" spans="1:28" x14ac:dyDescent="0.3">
      <c r="A414" t="s">
        <v>6255</v>
      </c>
      <c r="B414" t="s">
        <v>6254</v>
      </c>
      <c r="C414" t="s">
        <v>6254</v>
      </c>
      <c r="D414" t="s">
        <v>60</v>
      </c>
      <c r="E414">
        <v>49</v>
      </c>
      <c r="F414">
        <v>49</v>
      </c>
      <c r="G414" t="s">
        <v>80</v>
      </c>
      <c r="H414" t="s">
        <v>80</v>
      </c>
      <c r="I414" t="s">
        <v>90</v>
      </c>
      <c r="J414" t="s">
        <v>67</v>
      </c>
      <c r="K414" s="1">
        <v>46101</v>
      </c>
      <c r="L414" s="1" t="str">
        <f>IF(K414&gt;O414,"Valid","Invalid")</f>
        <v>Valid</v>
      </c>
      <c r="M414" s="1" t="b">
        <f>ISNUMBER(K414)</f>
        <v>1</v>
      </c>
      <c r="N414" s="1" t="b">
        <f>ISNUMBER(O414)</f>
        <v>1</v>
      </c>
      <c r="O414" s="1">
        <v>46093</v>
      </c>
      <c r="P414" t="s">
        <v>6253</v>
      </c>
      <c r="Q414" t="str">
        <f>SUBSTITUTE(SUBSTITUTE(SUBSTITUTE(P414," ",""),"-",""),"+","")</f>
        <v>6641348799</v>
      </c>
      <c r="R414" t="str">
        <f t="shared" si="12"/>
        <v>6641348799</v>
      </c>
      <c r="S414" t="str">
        <f>IF(LEN(R414),"Valid","Invalid")</f>
        <v>Valid</v>
      </c>
      <c r="T414" t="s">
        <v>6252</v>
      </c>
      <c r="V414" t="s">
        <v>26</v>
      </c>
      <c r="X414">
        <v>812.7</v>
      </c>
      <c r="Y414" t="s">
        <v>17</v>
      </c>
      <c r="Z414">
        <v>363</v>
      </c>
      <c r="AA414">
        <f t="shared" si="13"/>
        <v>363</v>
      </c>
      <c r="AB414" t="s">
        <v>50</v>
      </c>
    </row>
    <row r="415" spans="1:28" x14ac:dyDescent="0.3">
      <c r="A415" t="s">
        <v>6251</v>
      </c>
      <c r="B415" t="s">
        <v>6250</v>
      </c>
      <c r="C415" t="s">
        <v>6250</v>
      </c>
      <c r="E415">
        <v>63</v>
      </c>
      <c r="F415">
        <v>63</v>
      </c>
      <c r="G415" t="s">
        <v>47</v>
      </c>
      <c r="H415" t="s">
        <v>47</v>
      </c>
      <c r="I415" t="s">
        <v>30</v>
      </c>
      <c r="J415" t="s">
        <v>30</v>
      </c>
      <c r="K415" s="1">
        <v>46134</v>
      </c>
      <c r="L415" s="1" t="str">
        <f>IF(K415&gt;O415,"Valid","Invalid")</f>
        <v>Valid</v>
      </c>
      <c r="M415" s="1" t="b">
        <f>ISNUMBER(K415)</f>
        <v>1</v>
      </c>
      <c r="N415" s="1" t="b">
        <f>ISNUMBER(O415)</f>
        <v>1</v>
      </c>
      <c r="O415" s="1">
        <v>46106</v>
      </c>
      <c r="P415" t="s">
        <v>6249</v>
      </c>
      <c r="Q415" t="str">
        <f>SUBSTITUTE(SUBSTITUTE(SUBSTITUTE(P415," ",""),"-",""),"+","")</f>
        <v>2668098652</v>
      </c>
      <c r="R415" t="str">
        <f t="shared" si="12"/>
        <v>2668098652</v>
      </c>
      <c r="S415" t="str">
        <f>IF(LEN(R415),"Valid","Invalid")</f>
        <v>Valid</v>
      </c>
      <c r="T415" t="s">
        <v>6248</v>
      </c>
      <c r="V415" t="s">
        <v>17</v>
      </c>
      <c r="X415">
        <v>8143.76</v>
      </c>
      <c r="Y415" t="s">
        <v>64</v>
      </c>
      <c r="Z415">
        <v>149</v>
      </c>
      <c r="AA415">
        <f t="shared" si="13"/>
        <v>149</v>
      </c>
      <c r="AB415" t="s">
        <v>71</v>
      </c>
    </row>
    <row r="416" spans="1:28" x14ac:dyDescent="0.3">
      <c r="A416" t="s">
        <v>6247</v>
      </c>
      <c r="B416" t="s">
        <v>6246</v>
      </c>
      <c r="C416" t="s">
        <v>6246</v>
      </c>
      <c r="D416" t="s">
        <v>40</v>
      </c>
      <c r="E416">
        <v>81</v>
      </c>
      <c r="F416">
        <v>81</v>
      </c>
      <c r="G416" t="s">
        <v>80</v>
      </c>
      <c r="H416" t="s">
        <v>80</v>
      </c>
      <c r="I416" t="s">
        <v>38</v>
      </c>
      <c r="J416" t="s">
        <v>8077</v>
      </c>
      <c r="K416" s="1">
        <v>46029</v>
      </c>
      <c r="L416" s="1" t="str">
        <f>IF(K416&gt;O416,"Valid","Invalid")</f>
        <v>Valid</v>
      </c>
      <c r="M416" s="1" t="b">
        <f>ISNUMBER(K416)</f>
        <v>1</v>
      </c>
      <c r="N416" s="1" t="b">
        <f>ISNUMBER(O416)</f>
        <v>1</v>
      </c>
      <c r="O416" s="1">
        <v>46008</v>
      </c>
      <c r="P416" t="s">
        <v>6245</v>
      </c>
      <c r="Q416" t="str">
        <f>SUBSTITUTE(SUBSTITUTE(SUBSTITUTE(P416," ",""),"-",""),"+","")</f>
        <v>7437264714</v>
      </c>
      <c r="R416" t="str">
        <f t="shared" si="12"/>
        <v>7437264714</v>
      </c>
      <c r="S416" t="str">
        <f>IF(LEN(R416),"Valid","Invalid")</f>
        <v>Valid</v>
      </c>
      <c r="T416" t="s">
        <v>6244</v>
      </c>
      <c r="V416" t="s">
        <v>17</v>
      </c>
      <c r="X416">
        <v>21650.78</v>
      </c>
      <c r="Y416" t="s">
        <v>123</v>
      </c>
      <c r="Z416">
        <v>527</v>
      </c>
      <c r="AA416">
        <f t="shared" si="13"/>
        <v>527</v>
      </c>
      <c r="AB416" t="s">
        <v>77</v>
      </c>
    </row>
    <row r="417" spans="1:28" x14ac:dyDescent="0.3">
      <c r="A417" t="s">
        <v>6243</v>
      </c>
      <c r="B417" t="s">
        <v>6242</v>
      </c>
      <c r="C417" t="s">
        <v>6242</v>
      </c>
      <c r="D417" t="s">
        <v>1</v>
      </c>
      <c r="E417">
        <v>69</v>
      </c>
      <c r="F417">
        <v>69</v>
      </c>
      <c r="G417" t="s">
        <v>54</v>
      </c>
      <c r="H417" t="s">
        <v>54</v>
      </c>
      <c r="I417" t="s">
        <v>20</v>
      </c>
      <c r="J417" t="s">
        <v>20</v>
      </c>
      <c r="K417" s="1">
        <v>46006</v>
      </c>
      <c r="L417" s="1" t="str">
        <f>IF(K417&gt;O417,"Valid","Invalid")</f>
        <v>Valid</v>
      </c>
      <c r="M417" s="1" t="b">
        <f>ISNUMBER(K417)</f>
        <v>1</v>
      </c>
      <c r="N417" s="1" t="b">
        <f>ISNUMBER(O417)</f>
        <v>1</v>
      </c>
      <c r="O417" s="1">
        <v>45983</v>
      </c>
      <c r="P417" t="s">
        <v>6241</v>
      </c>
      <c r="Q417" t="str">
        <f>SUBSTITUTE(SUBSTITUTE(SUBSTITUTE(P417," ",""),"-",""),"+","")</f>
        <v>01579416904</v>
      </c>
      <c r="R417" t="str">
        <f t="shared" si="12"/>
        <v>1579416904</v>
      </c>
      <c r="S417" t="str">
        <f>IF(LEN(R417),"Valid","Invalid")</f>
        <v>Valid</v>
      </c>
      <c r="T417" t="s">
        <v>6240</v>
      </c>
      <c r="V417" t="s">
        <v>35</v>
      </c>
      <c r="X417">
        <v>789.07</v>
      </c>
      <c r="Y417" t="s">
        <v>17</v>
      </c>
      <c r="Z417">
        <v>119</v>
      </c>
      <c r="AA417">
        <f t="shared" si="13"/>
        <v>119</v>
      </c>
      <c r="AB417" t="s">
        <v>77</v>
      </c>
    </row>
    <row r="418" spans="1:28" x14ac:dyDescent="0.3">
      <c r="A418" t="s">
        <v>6239</v>
      </c>
      <c r="B418" t="s">
        <v>6238</v>
      </c>
      <c r="C418" t="s">
        <v>6238</v>
      </c>
      <c r="D418" t="s">
        <v>74</v>
      </c>
      <c r="E418">
        <v>7</v>
      </c>
      <c r="F418">
        <v>7</v>
      </c>
      <c r="G418" t="s">
        <v>39</v>
      </c>
      <c r="H418" t="s">
        <v>39</v>
      </c>
      <c r="I418" t="s">
        <v>30</v>
      </c>
      <c r="J418" t="s">
        <v>30</v>
      </c>
      <c r="K418" s="1">
        <v>46077</v>
      </c>
      <c r="L418" s="1" t="str">
        <f>IF(K418&gt;O418,"Valid","Invalid")</f>
        <v>Valid</v>
      </c>
      <c r="M418" s="1" t="b">
        <f>ISNUMBER(K418)</f>
        <v>1</v>
      </c>
      <c r="N418" s="1" t="b">
        <f>ISNUMBER(O418)</f>
        <v>1</v>
      </c>
      <c r="O418" s="1">
        <v>46060</v>
      </c>
      <c r="P418" t="s">
        <v>6237</v>
      </c>
      <c r="Q418" t="str">
        <f>SUBSTITUTE(SUBSTITUTE(SUBSTITUTE(P418," ",""),"-",""),"+","")</f>
        <v>915921332258</v>
      </c>
      <c r="R418" t="str">
        <f t="shared" si="12"/>
        <v>5921332258</v>
      </c>
      <c r="S418" t="str">
        <f>IF(LEN(R418),"Valid","Invalid")</f>
        <v>Valid</v>
      </c>
      <c r="T418" t="s">
        <v>6236</v>
      </c>
      <c r="V418" t="s">
        <v>64</v>
      </c>
      <c r="X418">
        <v>14459.06</v>
      </c>
      <c r="Y418" t="s">
        <v>57</v>
      </c>
      <c r="Z418">
        <v>232</v>
      </c>
      <c r="AA418">
        <f t="shared" si="13"/>
        <v>232</v>
      </c>
      <c r="AB418" t="s">
        <v>16</v>
      </c>
    </row>
    <row r="419" spans="1:28" x14ac:dyDescent="0.3">
      <c r="A419" t="s">
        <v>6235</v>
      </c>
      <c r="B419" t="s">
        <v>6234</v>
      </c>
      <c r="C419" t="s">
        <v>6234</v>
      </c>
      <c r="D419" t="s">
        <v>123</v>
      </c>
      <c r="E419">
        <v>58</v>
      </c>
      <c r="F419">
        <v>58</v>
      </c>
      <c r="G419" t="s">
        <v>54</v>
      </c>
      <c r="H419" t="s">
        <v>54</v>
      </c>
      <c r="I419" t="s">
        <v>90</v>
      </c>
      <c r="J419" t="s">
        <v>67</v>
      </c>
      <c r="K419" s="1">
        <v>46030</v>
      </c>
      <c r="L419" s="1" t="str">
        <f>IF(K419&gt;O419,"Valid","Invalid")</f>
        <v>Valid</v>
      </c>
      <c r="M419" s="1" t="b">
        <f>ISNUMBER(K419)</f>
        <v>1</v>
      </c>
      <c r="N419" s="1" t="b">
        <f>ISNUMBER(O419)</f>
        <v>1</v>
      </c>
      <c r="O419" s="1">
        <v>46020</v>
      </c>
      <c r="P419" t="s">
        <v>6233</v>
      </c>
      <c r="Q419" t="str">
        <f>SUBSTITUTE(SUBSTITUTE(SUBSTITUTE(P419," ",""),"-",""),"+","")</f>
        <v>4623596451</v>
      </c>
      <c r="R419" t="str">
        <f t="shared" si="12"/>
        <v>4623596451</v>
      </c>
      <c r="S419" t="str">
        <f>IF(LEN(R419),"Valid","Invalid")</f>
        <v>Valid</v>
      </c>
      <c r="T419" t="s">
        <v>6232</v>
      </c>
      <c r="V419" t="s">
        <v>27</v>
      </c>
      <c r="X419">
        <v>9859.65</v>
      </c>
      <c r="Y419" t="s">
        <v>64</v>
      </c>
      <c r="Z419">
        <v>373</v>
      </c>
      <c r="AA419">
        <f t="shared" si="13"/>
        <v>373</v>
      </c>
      <c r="AB419" t="s">
        <v>77</v>
      </c>
    </row>
    <row r="420" spans="1:28" x14ac:dyDescent="0.3">
      <c r="A420" t="s">
        <v>6231</v>
      </c>
      <c r="B420" t="s">
        <v>6230</v>
      </c>
      <c r="C420" t="s">
        <v>6230</v>
      </c>
      <c r="D420" t="s">
        <v>74</v>
      </c>
      <c r="E420">
        <v>75</v>
      </c>
      <c r="F420">
        <v>75</v>
      </c>
      <c r="G420" t="s">
        <v>47</v>
      </c>
      <c r="H420" t="s">
        <v>47</v>
      </c>
      <c r="I420" t="s">
        <v>20</v>
      </c>
      <c r="J420" t="s">
        <v>20</v>
      </c>
      <c r="K420" s="1">
        <v>46091</v>
      </c>
      <c r="L420" s="1" t="str">
        <f>IF(K420&gt;O420,"Valid","Invalid")</f>
        <v>Valid</v>
      </c>
      <c r="M420" s="1" t="b">
        <f>ISNUMBER(K420)</f>
        <v>1</v>
      </c>
      <c r="N420" s="1" t="b">
        <f>ISNUMBER(O420)</f>
        <v>1</v>
      </c>
      <c r="O420" s="1">
        <v>46080</v>
      </c>
      <c r="P420" t="s">
        <v>6229</v>
      </c>
      <c r="Q420" t="str">
        <f>SUBSTITUTE(SUBSTITUTE(SUBSTITUTE(P420," ",""),"-",""),"+","")</f>
        <v>919391315794</v>
      </c>
      <c r="R420" t="str">
        <f t="shared" si="12"/>
        <v>9391315794</v>
      </c>
      <c r="S420" t="str">
        <f>IF(LEN(R420),"Valid","Invalid")</f>
        <v>Valid</v>
      </c>
      <c r="T420" t="s">
        <v>6228</v>
      </c>
      <c r="V420" t="s">
        <v>64</v>
      </c>
      <c r="X420">
        <v>7387.95</v>
      </c>
      <c r="Y420" t="s">
        <v>63</v>
      </c>
      <c r="Z420">
        <v>410</v>
      </c>
      <c r="AA420">
        <f t="shared" si="13"/>
        <v>410</v>
      </c>
      <c r="AB420" t="s">
        <v>77</v>
      </c>
    </row>
    <row r="421" spans="1:28" x14ac:dyDescent="0.3">
      <c r="A421" t="s">
        <v>6227</v>
      </c>
      <c r="B421" t="s">
        <v>6226</v>
      </c>
      <c r="C421" t="s">
        <v>6226</v>
      </c>
      <c r="D421" t="s">
        <v>22</v>
      </c>
      <c r="E421">
        <v>57</v>
      </c>
      <c r="F421">
        <v>57</v>
      </c>
      <c r="G421" t="s">
        <v>54</v>
      </c>
      <c r="H421" t="s">
        <v>54</v>
      </c>
      <c r="I421" t="s">
        <v>90</v>
      </c>
      <c r="J421" t="s">
        <v>67</v>
      </c>
      <c r="K421" s="1">
        <v>46151</v>
      </c>
      <c r="L421" s="1" t="str">
        <f>IF(K421&gt;O421,"Valid","Invalid")</f>
        <v>Valid</v>
      </c>
      <c r="M421" s="1" t="b">
        <f>ISNUMBER(K421)</f>
        <v>1</v>
      </c>
      <c r="N421" s="1" t="b">
        <f>ISNUMBER(O421)</f>
        <v>1</v>
      </c>
      <c r="O421" s="1">
        <v>46125</v>
      </c>
      <c r="P421" t="s">
        <v>6225</v>
      </c>
      <c r="Q421" t="str">
        <f>SUBSTITUTE(SUBSTITUTE(SUBSTITUTE(P421," ",""),"-",""),"+","")</f>
        <v>916208091542</v>
      </c>
      <c r="R421" t="str">
        <f t="shared" si="12"/>
        <v>6208091542</v>
      </c>
      <c r="S421" t="str">
        <f>IF(LEN(R421),"Valid","Invalid")</f>
        <v>Valid</v>
      </c>
      <c r="T421" t="s">
        <v>6224</v>
      </c>
      <c r="V421" t="s">
        <v>27</v>
      </c>
      <c r="X421">
        <v>11954.89</v>
      </c>
      <c r="Y421" t="s">
        <v>57</v>
      </c>
      <c r="Z421">
        <v>169</v>
      </c>
      <c r="AA421">
        <f t="shared" si="13"/>
        <v>169</v>
      </c>
      <c r="AB421" t="s">
        <v>25</v>
      </c>
    </row>
    <row r="422" spans="1:28" x14ac:dyDescent="0.3">
      <c r="A422" t="s">
        <v>6223</v>
      </c>
      <c r="B422" t="s">
        <v>4868</v>
      </c>
      <c r="C422" t="s">
        <v>4868</v>
      </c>
      <c r="D422" t="s">
        <v>123</v>
      </c>
      <c r="E422">
        <v>70</v>
      </c>
      <c r="F422">
        <v>70</v>
      </c>
      <c r="G422" t="s">
        <v>132</v>
      </c>
      <c r="H422" t="s">
        <v>132</v>
      </c>
      <c r="I422" t="s">
        <v>53</v>
      </c>
      <c r="J422" t="s">
        <v>20</v>
      </c>
      <c r="K422" s="1">
        <v>46140</v>
      </c>
      <c r="L422" s="1" t="str">
        <f>IF(K422&gt;O422,"Valid","Invalid")</f>
        <v>Valid</v>
      </c>
      <c r="M422" s="1" t="b">
        <f>ISNUMBER(K422)</f>
        <v>1</v>
      </c>
      <c r="N422" s="1" t="b">
        <f>ISNUMBER(O422)</f>
        <v>1</v>
      </c>
      <c r="O422" s="1">
        <v>46131</v>
      </c>
      <c r="P422" t="s">
        <v>6222</v>
      </c>
      <c r="Q422" t="str">
        <f>SUBSTITUTE(SUBSTITUTE(SUBSTITUTE(P422," ",""),"-",""),"+","")</f>
        <v>3068185990</v>
      </c>
      <c r="R422" t="str">
        <f t="shared" si="12"/>
        <v>3068185990</v>
      </c>
      <c r="S422" t="str">
        <f>IF(LEN(R422),"Valid","Invalid")</f>
        <v>Valid</v>
      </c>
      <c r="T422" t="s">
        <v>6221</v>
      </c>
      <c r="V422" t="s">
        <v>57</v>
      </c>
      <c r="X422">
        <v>23943.31</v>
      </c>
      <c r="Y422" t="s">
        <v>27</v>
      </c>
      <c r="Z422">
        <v>383</v>
      </c>
      <c r="AA422">
        <f t="shared" si="13"/>
        <v>383</v>
      </c>
      <c r="AB422" t="s">
        <v>50</v>
      </c>
    </row>
    <row r="423" spans="1:28" x14ac:dyDescent="0.3">
      <c r="A423" t="s">
        <v>6220</v>
      </c>
      <c r="B423" t="s">
        <v>6219</v>
      </c>
      <c r="C423" t="s">
        <v>6219</v>
      </c>
      <c r="D423" t="s">
        <v>0</v>
      </c>
      <c r="E423">
        <v>16</v>
      </c>
      <c r="F423">
        <v>16</v>
      </c>
      <c r="G423" t="s">
        <v>47</v>
      </c>
      <c r="H423" t="s">
        <v>47</v>
      </c>
      <c r="I423" t="s">
        <v>46</v>
      </c>
      <c r="J423" t="s">
        <v>46</v>
      </c>
      <c r="K423" s="1">
        <v>46139</v>
      </c>
      <c r="L423" s="1" t="str">
        <f>IF(K423&gt;O423,"Valid","Invalid")</f>
        <v>Valid</v>
      </c>
      <c r="M423" s="1" t="b">
        <f>ISNUMBER(K423)</f>
        <v>1</v>
      </c>
      <c r="N423" s="1" t="b">
        <f>ISNUMBER(O423)</f>
        <v>1</v>
      </c>
      <c r="O423" s="1">
        <v>46121</v>
      </c>
      <c r="P423" t="s">
        <v>6218</v>
      </c>
      <c r="Q423" t="str">
        <f>SUBSTITUTE(SUBSTITUTE(SUBSTITUTE(P423," ",""),"-",""),"+","")</f>
        <v>2166907922</v>
      </c>
      <c r="R423" t="str">
        <f t="shared" si="12"/>
        <v>2166907922</v>
      </c>
      <c r="S423" t="str">
        <f>IF(LEN(R423),"Valid","Invalid")</f>
        <v>Valid</v>
      </c>
      <c r="T423" t="s">
        <v>6217</v>
      </c>
      <c r="V423" t="s">
        <v>123</v>
      </c>
      <c r="X423">
        <v>13521.37</v>
      </c>
      <c r="Y423" t="s">
        <v>64</v>
      </c>
      <c r="Z423">
        <v>256</v>
      </c>
      <c r="AA423">
        <f t="shared" si="13"/>
        <v>256</v>
      </c>
      <c r="AB423" t="s">
        <v>71</v>
      </c>
    </row>
    <row r="424" spans="1:28" x14ac:dyDescent="0.3">
      <c r="A424" t="s">
        <v>6216</v>
      </c>
      <c r="B424" t="s">
        <v>6215</v>
      </c>
      <c r="C424" t="s">
        <v>6215</v>
      </c>
      <c r="D424" t="s">
        <v>60</v>
      </c>
      <c r="E424">
        <v>28</v>
      </c>
      <c r="F424">
        <v>28</v>
      </c>
      <c r="G424" t="s">
        <v>54</v>
      </c>
      <c r="H424" t="s">
        <v>54</v>
      </c>
      <c r="I424" t="s">
        <v>53</v>
      </c>
      <c r="J424" t="s">
        <v>20</v>
      </c>
      <c r="K424" s="1">
        <v>46050</v>
      </c>
      <c r="L424" s="1" t="str">
        <f>IF(K424&gt;O424,"Valid","Invalid")</f>
        <v>Valid</v>
      </c>
      <c r="M424" s="1" t="b">
        <f>ISNUMBER(K424)</f>
        <v>1</v>
      </c>
      <c r="N424" s="1" t="b">
        <f>ISNUMBER(O424)</f>
        <v>1</v>
      </c>
      <c r="O424" s="1">
        <v>46045</v>
      </c>
      <c r="P424" t="s">
        <v>6214</v>
      </c>
      <c r="Q424" t="str">
        <f>SUBSTITUTE(SUBSTITUTE(SUBSTITUTE(P424," ",""),"-",""),"+","")</f>
        <v>00737221594</v>
      </c>
      <c r="R424" t="str">
        <f t="shared" si="12"/>
        <v>0737221594</v>
      </c>
      <c r="S424" t="str">
        <f>IF(LEN(R424),"Valid","Invalid")</f>
        <v>Valid</v>
      </c>
      <c r="T424" t="s">
        <v>6213</v>
      </c>
      <c r="V424" t="s">
        <v>35</v>
      </c>
      <c r="X424">
        <v>5675.54</v>
      </c>
      <c r="Y424" t="s">
        <v>63</v>
      </c>
      <c r="Z424">
        <v>199</v>
      </c>
      <c r="AA424">
        <f t="shared" si="13"/>
        <v>199</v>
      </c>
      <c r="AB424" t="s">
        <v>77</v>
      </c>
    </row>
    <row r="425" spans="1:28" x14ac:dyDescent="0.3">
      <c r="A425" t="s">
        <v>6212</v>
      </c>
      <c r="B425" t="s">
        <v>6211</v>
      </c>
      <c r="C425" t="s">
        <v>8045</v>
      </c>
      <c r="D425" t="s">
        <v>0</v>
      </c>
      <c r="E425">
        <v>86</v>
      </c>
      <c r="F425">
        <v>86</v>
      </c>
      <c r="G425" t="s">
        <v>47</v>
      </c>
      <c r="H425" t="s">
        <v>47</v>
      </c>
      <c r="I425" t="s">
        <v>85</v>
      </c>
      <c r="J425" t="s">
        <v>85</v>
      </c>
      <c r="K425" s="1">
        <v>46134</v>
      </c>
      <c r="L425" s="1" t="str">
        <f>IF(K425&gt;O425,"Valid","Invalid")</f>
        <v>Valid</v>
      </c>
      <c r="M425" s="1" t="b">
        <f>ISNUMBER(K425)</f>
        <v>1</v>
      </c>
      <c r="N425" s="1" t="b">
        <f>ISNUMBER(O425)</f>
        <v>1</v>
      </c>
      <c r="O425" s="1">
        <v>46114</v>
      </c>
      <c r="P425" t="s">
        <v>6210</v>
      </c>
      <c r="Q425" t="str">
        <f>SUBSTITUTE(SUBSTITUTE(SUBSTITUTE(P425," ",""),"-",""),"+","")</f>
        <v>06764856398</v>
      </c>
      <c r="R425" t="str">
        <f t="shared" si="12"/>
        <v>6764856398</v>
      </c>
      <c r="S425" t="str">
        <f>IF(LEN(R425),"Valid","Invalid")</f>
        <v>Valid</v>
      </c>
      <c r="T425" t="s">
        <v>6209</v>
      </c>
      <c r="V425" t="s">
        <v>64</v>
      </c>
      <c r="X425">
        <v>7408.19</v>
      </c>
      <c r="Y425" t="s">
        <v>64</v>
      </c>
      <c r="Z425">
        <v>228</v>
      </c>
      <c r="AA425">
        <f t="shared" si="13"/>
        <v>228</v>
      </c>
      <c r="AB425" t="s">
        <v>77</v>
      </c>
    </row>
    <row r="426" spans="1:28" x14ac:dyDescent="0.3">
      <c r="A426" t="s">
        <v>6208</v>
      </c>
      <c r="B426" t="s">
        <v>6207</v>
      </c>
      <c r="C426" t="s">
        <v>6207</v>
      </c>
      <c r="D426" t="s">
        <v>1</v>
      </c>
      <c r="E426">
        <v>75</v>
      </c>
      <c r="F426">
        <v>75</v>
      </c>
      <c r="G426" t="s">
        <v>68</v>
      </c>
      <c r="H426" t="s">
        <v>68</v>
      </c>
      <c r="I426" t="s">
        <v>67</v>
      </c>
      <c r="J426" t="s">
        <v>67</v>
      </c>
      <c r="K426" s="1">
        <v>46143</v>
      </c>
      <c r="L426" s="1" t="str">
        <f>IF(K426&gt;O426,"Valid","Invalid")</f>
        <v>Valid</v>
      </c>
      <c r="M426" s="1" t="b">
        <f>ISNUMBER(K426)</f>
        <v>1</v>
      </c>
      <c r="N426" s="1" t="b">
        <f>ISNUMBER(O426)</f>
        <v>1</v>
      </c>
      <c r="O426" s="1">
        <v>46132</v>
      </c>
      <c r="P426" t="s">
        <v>6206</v>
      </c>
      <c r="Q426" t="str">
        <f>SUBSTITUTE(SUBSTITUTE(SUBSTITUTE(P426," ",""),"-",""),"+","")</f>
        <v>03309263740</v>
      </c>
      <c r="R426" t="str">
        <f t="shared" si="12"/>
        <v>3309263740</v>
      </c>
      <c r="S426" t="str">
        <f>IF(LEN(R426),"Valid","Invalid")</f>
        <v>Valid</v>
      </c>
      <c r="T426" t="s">
        <v>6205</v>
      </c>
      <c r="V426" t="s">
        <v>35</v>
      </c>
      <c r="X426">
        <v>16848.13</v>
      </c>
      <c r="Y426" t="s">
        <v>57</v>
      </c>
      <c r="Z426">
        <v>151</v>
      </c>
      <c r="AA426">
        <f t="shared" si="13"/>
        <v>151</v>
      </c>
      <c r="AB426" t="s">
        <v>43</v>
      </c>
    </row>
    <row r="427" spans="1:28" x14ac:dyDescent="0.3">
      <c r="A427" t="s">
        <v>6204</v>
      </c>
      <c r="B427" t="s">
        <v>6203</v>
      </c>
      <c r="C427" t="s">
        <v>6203</v>
      </c>
      <c r="D427" t="s">
        <v>74</v>
      </c>
      <c r="E427">
        <v>25</v>
      </c>
      <c r="F427">
        <v>25</v>
      </c>
      <c r="G427" t="s">
        <v>31</v>
      </c>
      <c r="H427" t="s">
        <v>31</v>
      </c>
      <c r="I427" t="s">
        <v>85</v>
      </c>
      <c r="J427" t="s">
        <v>85</v>
      </c>
      <c r="K427" s="1">
        <v>46119</v>
      </c>
      <c r="L427" s="1" t="str">
        <f>IF(K427&gt;O427,"Valid","Invalid")</f>
        <v>Valid</v>
      </c>
      <c r="M427" s="1" t="b">
        <f>ISNUMBER(K427)</f>
        <v>1</v>
      </c>
      <c r="N427" s="1" t="b">
        <f>ISNUMBER(O427)</f>
        <v>1</v>
      </c>
      <c r="O427" s="1">
        <v>46105</v>
      </c>
      <c r="P427" t="s">
        <v>6202</v>
      </c>
      <c r="Q427" t="str">
        <f>SUBSTITUTE(SUBSTITUTE(SUBSTITUTE(P427," ",""),"-",""),"+","")</f>
        <v>5845630641</v>
      </c>
      <c r="R427" t="str">
        <f t="shared" si="12"/>
        <v>5845630641</v>
      </c>
      <c r="S427" t="str">
        <f>IF(LEN(R427),"Valid","Invalid")</f>
        <v>Valid</v>
      </c>
      <c r="T427" t="s">
        <v>6201</v>
      </c>
      <c r="V427" t="s">
        <v>57</v>
      </c>
      <c r="X427">
        <v>15485.29</v>
      </c>
      <c r="Y427" t="s">
        <v>63</v>
      </c>
      <c r="Z427">
        <v>455</v>
      </c>
      <c r="AA427">
        <f t="shared" si="13"/>
        <v>455</v>
      </c>
      <c r="AB427" t="s">
        <v>34</v>
      </c>
    </row>
    <row r="428" spans="1:28" x14ac:dyDescent="0.3">
      <c r="A428" t="s">
        <v>6200</v>
      </c>
      <c r="B428" t="s">
        <v>6199</v>
      </c>
      <c r="C428" t="s">
        <v>6199</v>
      </c>
      <c r="D428" t="s">
        <v>0</v>
      </c>
      <c r="E428">
        <v>73</v>
      </c>
      <c r="F428">
        <v>73</v>
      </c>
      <c r="G428" t="s">
        <v>31</v>
      </c>
      <c r="H428" t="s">
        <v>31</v>
      </c>
      <c r="I428" t="s">
        <v>67</v>
      </c>
      <c r="J428" t="s">
        <v>67</v>
      </c>
      <c r="K428" s="1">
        <v>46171</v>
      </c>
      <c r="L428" s="1" t="str">
        <f>IF(K428&gt;O428,"Valid","Invalid")</f>
        <v>Valid</v>
      </c>
      <c r="M428" s="1" t="b">
        <f>ISNUMBER(K428)</f>
        <v>1</v>
      </c>
      <c r="N428" s="1" t="b">
        <f>ISNUMBER(O428)</f>
        <v>1</v>
      </c>
      <c r="O428" s="1">
        <v>46141</v>
      </c>
      <c r="P428" t="s">
        <v>6198</v>
      </c>
      <c r="Q428" t="str">
        <f>SUBSTITUTE(SUBSTITUTE(SUBSTITUTE(P428," ",""),"-",""),"+","")</f>
        <v>0057106183</v>
      </c>
      <c r="R428" t="str">
        <f t="shared" si="12"/>
        <v>0057106183</v>
      </c>
      <c r="S428" t="str">
        <f>IF(LEN(R428),"Valid","Invalid")</f>
        <v>Valid</v>
      </c>
      <c r="T428" t="s">
        <v>6197</v>
      </c>
      <c r="V428" t="s">
        <v>123</v>
      </c>
      <c r="X428">
        <v>4382.26</v>
      </c>
      <c r="Y428" t="s">
        <v>17</v>
      </c>
      <c r="Z428">
        <v>226</v>
      </c>
      <c r="AA428">
        <f t="shared" si="13"/>
        <v>226</v>
      </c>
      <c r="AB428" t="s">
        <v>50</v>
      </c>
    </row>
    <row r="429" spans="1:28" x14ac:dyDescent="0.3">
      <c r="A429" t="s">
        <v>6196</v>
      </c>
      <c r="B429" t="s">
        <v>6195</v>
      </c>
      <c r="C429" t="s">
        <v>6195</v>
      </c>
      <c r="D429" t="s">
        <v>1</v>
      </c>
      <c r="E429">
        <v>83</v>
      </c>
      <c r="F429">
        <v>83</v>
      </c>
      <c r="G429" t="s">
        <v>54</v>
      </c>
      <c r="H429" t="s">
        <v>54</v>
      </c>
      <c r="I429" t="s">
        <v>30</v>
      </c>
      <c r="J429" t="s">
        <v>30</v>
      </c>
      <c r="K429" s="1">
        <v>46065</v>
      </c>
      <c r="L429" s="1" t="str">
        <f>IF(K429&gt;O429,"Valid","Invalid")</f>
        <v>Valid</v>
      </c>
      <c r="M429" s="1" t="b">
        <f>ISNUMBER(K429)</f>
        <v>1</v>
      </c>
      <c r="N429" s="1" t="b">
        <f>ISNUMBER(O429)</f>
        <v>1</v>
      </c>
      <c r="O429" s="1">
        <v>46039</v>
      </c>
      <c r="P429" t="s">
        <v>6194</v>
      </c>
      <c r="Q429" t="str">
        <f>SUBSTITUTE(SUBSTITUTE(SUBSTITUTE(P429," ",""),"-",""),"+","")</f>
        <v>918938085081</v>
      </c>
      <c r="R429" t="str">
        <f t="shared" si="12"/>
        <v>8938085081</v>
      </c>
      <c r="S429" t="str">
        <f>IF(LEN(R429),"Valid","Invalid")</f>
        <v>Valid</v>
      </c>
      <c r="T429" t="s">
        <v>6193</v>
      </c>
      <c r="V429" t="s">
        <v>57</v>
      </c>
      <c r="X429">
        <v>3530.78</v>
      </c>
      <c r="Y429" t="s">
        <v>17</v>
      </c>
      <c r="Z429">
        <v>549</v>
      </c>
      <c r="AA429">
        <f t="shared" si="13"/>
        <v>549</v>
      </c>
      <c r="AB429" t="s">
        <v>16</v>
      </c>
    </row>
    <row r="430" spans="1:28" x14ac:dyDescent="0.3">
      <c r="A430" t="s">
        <v>6192</v>
      </c>
      <c r="B430" t="s">
        <v>6191</v>
      </c>
      <c r="C430" t="s">
        <v>6191</v>
      </c>
      <c r="E430">
        <v>58</v>
      </c>
      <c r="F430">
        <v>58</v>
      </c>
      <c r="G430" t="s">
        <v>31</v>
      </c>
      <c r="H430" t="s">
        <v>31</v>
      </c>
      <c r="I430" t="s">
        <v>30</v>
      </c>
      <c r="J430" t="s">
        <v>30</v>
      </c>
      <c r="K430" s="1">
        <v>46091</v>
      </c>
      <c r="L430" s="1" t="str">
        <f>IF(K430&gt;O430,"Valid","Invalid")</f>
        <v>Valid</v>
      </c>
      <c r="M430" s="1" t="b">
        <f>ISNUMBER(K430)</f>
        <v>1</v>
      </c>
      <c r="N430" s="1" t="b">
        <f>ISNUMBER(O430)</f>
        <v>1</v>
      </c>
      <c r="O430" s="1">
        <v>46076</v>
      </c>
      <c r="P430" t="s">
        <v>6190</v>
      </c>
      <c r="Q430" t="str">
        <f>SUBSTITUTE(SUBSTITUTE(SUBSTITUTE(P430," ",""),"-",""),"+","")</f>
        <v>911362296128</v>
      </c>
      <c r="R430" t="str">
        <f t="shared" si="12"/>
        <v>1362296128</v>
      </c>
      <c r="S430" t="str">
        <f>IF(LEN(R430),"Valid","Invalid")</f>
        <v>Valid</v>
      </c>
      <c r="T430" t="s">
        <v>6189</v>
      </c>
      <c r="V430" t="s">
        <v>64</v>
      </c>
      <c r="X430">
        <v>4559.1000000000004</v>
      </c>
      <c r="Y430" t="s">
        <v>64</v>
      </c>
      <c r="Z430">
        <v>530</v>
      </c>
      <c r="AA430">
        <f t="shared" si="13"/>
        <v>530</v>
      </c>
      <c r="AB430" t="s">
        <v>43</v>
      </c>
    </row>
    <row r="431" spans="1:28" x14ac:dyDescent="0.3">
      <c r="A431" t="s">
        <v>6188</v>
      </c>
      <c r="B431" t="s">
        <v>6187</v>
      </c>
      <c r="C431" t="s">
        <v>6187</v>
      </c>
      <c r="D431" t="s">
        <v>0</v>
      </c>
      <c r="E431">
        <v>69</v>
      </c>
      <c r="F431">
        <v>69</v>
      </c>
      <c r="G431" t="s">
        <v>21</v>
      </c>
      <c r="H431" t="s">
        <v>21</v>
      </c>
      <c r="I431" t="s">
        <v>30</v>
      </c>
      <c r="J431" t="s">
        <v>30</v>
      </c>
      <c r="K431" s="1">
        <v>46070</v>
      </c>
      <c r="L431" s="1" t="str">
        <f>IF(K431&gt;O431,"Valid","Invalid")</f>
        <v>Valid</v>
      </c>
      <c r="M431" s="1" t="b">
        <f>ISNUMBER(K431)</f>
        <v>1</v>
      </c>
      <c r="N431" s="1" t="b">
        <f>ISNUMBER(O431)</f>
        <v>1</v>
      </c>
      <c r="O431" s="1">
        <v>46047</v>
      </c>
      <c r="P431" t="s">
        <v>6186</v>
      </c>
      <c r="Q431" t="str">
        <f>SUBSTITUTE(SUBSTITUTE(SUBSTITUTE(P431," ",""),"-",""),"+","")</f>
        <v>7857385223</v>
      </c>
      <c r="R431" t="str">
        <f t="shared" si="12"/>
        <v>7857385223</v>
      </c>
      <c r="S431" t="str">
        <f>IF(LEN(R431),"Valid","Invalid")</f>
        <v>Valid</v>
      </c>
      <c r="T431" t="s">
        <v>6185</v>
      </c>
      <c r="V431" t="s">
        <v>64</v>
      </c>
      <c r="X431">
        <v>18240.150000000001</v>
      </c>
      <c r="Y431" t="s">
        <v>27</v>
      </c>
      <c r="Z431">
        <v>534</v>
      </c>
      <c r="AA431">
        <f t="shared" si="13"/>
        <v>534</v>
      </c>
      <c r="AB431" t="s">
        <v>34</v>
      </c>
    </row>
    <row r="432" spans="1:28" x14ac:dyDescent="0.3">
      <c r="A432" t="s">
        <v>6184</v>
      </c>
      <c r="B432" t="s">
        <v>6183</v>
      </c>
      <c r="C432" t="s">
        <v>6183</v>
      </c>
      <c r="D432" t="s">
        <v>40</v>
      </c>
      <c r="E432">
        <v>75</v>
      </c>
      <c r="F432">
        <v>75</v>
      </c>
      <c r="G432" t="s">
        <v>54</v>
      </c>
      <c r="H432" t="s">
        <v>54</v>
      </c>
      <c r="I432" t="s">
        <v>38</v>
      </c>
      <c r="J432" t="s">
        <v>8077</v>
      </c>
      <c r="K432" s="1">
        <v>46150</v>
      </c>
      <c r="L432" s="1" t="str">
        <f>IF(K432&gt;O432,"Valid","Invalid")</f>
        <v>Valid</v>
      </c>
      <c r="M432" s="1" t="b">
        <f>ISNUMBER(K432)</f>
        <v>1</v>
      </c>
      <c r="N432" s="1" t="b">
        <f>ISNUMBER(O432)</f>
        <v>1</v>
      </c>
      <c r="O432" s="1">
        <v>46121</v>
      </c>
      <c r="P432" t="s">
        <v>6182</v>
      </c>
      <c r="Q432" t="str">
        <f>SUBSTITUTE(SUBSTITUTE(SUBSTITUTE(P432," ",""),"-",""),"+","")</f>
        <v>1346286956</v>
      </c>
      <c r="R432" t="str">
        <f t="shared" si="12"/>
        <v>1346286956</v>
      </c>
      <c r="S432" t="str">
        <f>IF(LEN(R432),"Valid","Invalid")</f>
        <v>Valid</v>
      </c>
      <c r="T432" t="s">
        <v>6181</v>
      </c>
      <c r="V432" t="s">
        <v>27</v>
      </c>
      <c r="X432">
        <v>13879.53</v>
      </c>
      <c r="Y432" t="s">
        <v>123</v>
      </c>
      <c r="Z432">
        <v>434</v>
      </c>
      <c r="AA432">
        <f t="shared" si="13"/>
        <v>434</v>
      </c>
      <c r="AB432" t="s">
        <v>50</v>
      </c>
    </row>
    <row r="433" spans="1:28" x14ac:dyDescent="0.3">
      <c r="A433" t="s">
        <v>6180</v>
      </c>
      <c r="B433" t="s">
        <v>6179</v>
      </c>
      <c r="C433" t="s">
        <v>6179</v>
      </c>
      <c r="D433" t="s">
        <v>0</v>
      </c>
      <c r="E433">
        <v>47</v>
      </c>
      <c r="F433">
        <v>47</v>
      </c>
      <c r="G433" t="s">
        <v>54</v>
      </c>
      <c r="H433" t="s">
        <v>54</v>
      </c>
      <c r="I433" t="s">
        <v>38</v>
      </c>
      <c r="J433" t="s">
        <v>8077</v>
      </c>
      <c r="K433" s="1">
        <v>46129</v>
      </c>
      <c r="L433" s="1" t="str">
        <f>IF(K433&gt;O433,"Valid","Invalid")</f>
        <v>Valid</v>
      </c>
      <c r="M433" s="1" t="b">
        <f>ISNUMBER(K433)</f>
        <v>1</v>
      </c>
      <c r="N433" s="1" t="b">
        <f>ISNUMBER(O433)</f>
        <v>1</v>
      </c>
      <c r="O433" s="1">
        <v>46101</v>
      </c>
      <c r="P433" t="s">
        <v>6178</v>
      </c>
      <c r="Q433" t="str">
        <f>SUBSTITUTE(SUBSTITUTE(SUBSTITUTE(P433," ",""),"-",""),"+","")</f>
        <v>919349765702</v>
      </c>
      <c r="R433" t="str">
        <f t="shared" si="12"/>
        <v>9349765702</v>
      </c>
      <c r="S433" t="str">
        <f>IF(LEN(R433),"Valid","Invalid")</f>
        <v>Valid</v>
      </c>
      <c r="T433" t="s">
        <v>6177</v>
      </c>
      <c r="V433" t="s">
        <v>26</v>
      </c>
      <c r="X433">
        <v>3520.26</v>
      </c>
      <c r="Y433" t="s">
        <v>64</v>
      </c>
      <c r="Z433">
        <v>303</v>
      </c>
      <c r="AA433">
        <f t="shared" si="13"/>
        <v>303</v>
      </c>
      <c r="AB433" t="s">
        <v>43</v>
      </c>
    </row>
    <row r="434" spans="1:28" x14ac:dyDescent="0.3">
      <c r="A434" t="s">
        <v>6176</v>
      </c>
      <c r="B434" t="s">
        <v>6175</v>
      </c>
      <c r="C434" t="s">
        <v>6175</v>
      </c>
      <c r="D434" t="s">
        <v>40</v>
      </c>
      <c r="E434">
        <v>85</v>
      </c>
      <c r="F434">
        <v>85</v>
      </c>
      <c r="G434" t="s">
        <v>21</v>
      </c>
      <c r="H434" t="s">
        <v>21</v>
      </c>
      <c r="I434" t="s">
        <v>53</v>
      </c>
      <c r="J434" t="s">
        <v>20</v>
      </c>
      <c r="K434" s="1">
        <v>46152</v>
      </c>
      <c r="L434" s="1" t="str">
        <f>IF(K434&gt;O434,"Valid","Invalid")</f>
        <v>Valid</v>
      </c>
      <c r="M434" s="1" t="b">
        <f>ISNUMBER(K434)</f>
        <v>1</v>
      </c>
      <c r="N434" s="1" t="b">
        <f>ISNUMBER(O434)</f>
        <v>1</v>
      </c>
      <c r="O434" s="1">
        <v>46128</v>
      </c>
      <c r="P434" t="s">
        <v>6174</v>
      </c>
      <c r="Q434" t="str">
        <f>SUBSTITUTE(SUBSTITUTE(SUBSTITUTE(P434," ",""),"-",""),"+","")</f>
        <v>918599779866</v>
      </c>
      <c r="R434" t="str">
        <f t="shared" si="12"/>
        <v>8599779866</v>
      </c>
      <c r="S434" t="str">
        <f>IF(LEN(R434),"Valid","Invalid")</f>
        <v>Valid</v>
      </c>
      <c r="T434" t="s">
        <v>6173</v>
      </c>
      <c r="V434" t="s">
        <v>35</v>
      </c>
      <c r="X434">
        <v>11266.27</v>
      </c>
      <c r="Y434" t="s">
        <v>26</v>
      </c>
      <c r="Z434">
        <v>389</v>
      </c>
      <c r="AA434">
        <f t="shared" si="13"/>
        <v>389</v>
      </c>
      <c r="AB434" t="s">
        <v>34</v>
      </c>
    </row>
    <row r="435" spans="1:28" x14ac:dyDescent="0.3">
      <c r="A435" t="s">
        <v>6172</v>
      </c>
      <c r="B435" t="s">
        <v>6171</v>
      </c>
      <c r="C435" t="s">
        <v>6171</v>
      </c>
      <c r="D435" t="s">
        <v>0</v>
      </c>
      <c r="E435">
        <v>62</v>
      </c>
      <c r="F435">
        <v>62</v>
      </c>
      <c r="G435" t="s">
        <v>31</v>
      </c>
      <c r="H435" t="s">
        <v>31</v>
      </c>
      <c r="I435" t="s">
        <v>46</v>
      </c>
      <c r="J435" t="s">
        <v>46</v>
      </c>
      <c r="K435" s="1">
        <v>46136</v>
      </c>
      <c r="L435" s="1" t="str">
        <f>IF(K435&gt;O435,"Valid","Invalid")</f>
        <v>Valid</v>
      </c>
      <c r="M435" s="1" t="b">
        <f>ISNUMBER(K435)</f>
        <v>1</v>
      </c>
      <c r="N435" s="1" t="b">
        <f>ISNUMBER(O435)</f>
        <v>1</v>
      </c>
      <c r="O435" s="1">
        <v>46129</v>
      </c>
      <c r="P435" t="s">
        <v>6170</v>
      </c>
      <c r="Q435" t="str">
        <f>SUBSTITUTE(SUBSTITUTE(SUBSTITUTE(P435," ",""),"-",""),"+","")</f>
        <v>0496493863</v>
      </c>
      <c r="R435" t="str">
        <f t="shared" si="12"/>
        <v>0496493863</v>
      </c>
      <c r="S435" t="str">
        <f>IF(LEN(R435),"Valid","Invalid")</f>
        <v>Valid</v>
      </c>
      <c r="T435" t="s">
        <v>6169</v>
      </c>
      <c r="V435" t="s">
        <v>123</v>
      </c>
      <c r="X435">
        <v>5947.4</v>
      </c>
      <c r="Y435" t="s">
        <v>63</v>
      </c>
      <c r="Z435">
        <v>289</v>
      </c>
      <c r="AA435">
        <f t="shared" si="13"/>
        <v>289</v>
      </c>
      <c r="AB435" t="s">
        <v>71</v>
      </c>
    </row>
    <row r="436" spans="1:28" x14ac:dyDescent="0.3">
      <c r="A436" t="s">
        <v>6168</v>
      </c>
      <c r="B436" t="s">
        <v>6167</v>
      </c>
      <c r="C436" t="s">
        <v>6167</v>
      </c>
      <c r="D436" t="s">
        <v>40</v>
      </c>
      <c r="E436">
        <v>86</v>
      </c>
      <c r="F436">
        <v>86</v>
      </c>
      <c r="G436" t="s">
        <v>21</v>
      </c>
      <c r="H436" t="s">
        <v>21</v>
      </c>
      <c r="I436" t="s">
        <v>67</v>
      </c>
      <c r="J436" t="s">
        <v>67</v>
      </c>
      <c r="K436" s="1">
        <v>45997</v>
      </c>
      <c r="L436" s="1" t="str">
        <f>IF(K436&gt;O436,"Valid","Invalid")</f>
        <v>Valid</v>
      </c>
      <c r="M436" s="1" t="b">
        <f>ISNUMBER(K436)</f>
        <v>1</v>
      </c>
      <c r="N436" s="1" t="b">
        <f>ISNUMBER(O436)</f>
        <v>1</v>
      </c>
      <c r="O436" s="1">
        <v>45985</v>
      </c>
      <c r="P436" t="s">
        <v>6166</v>
      </c>
      <c r="Q436" t="str">
        <f>SUBSTITUTE(SUBSTITUTE(SUBSTITUTE(P436," ",""),"-",""),"+","")</f>
        <v>06361967487</v>
      </c>
      <c r="R436" t="str">
        <f t="shared" si="12"/>
        <v>6361967487</v>
      </c>
      <c r="S436" t="str">
        <f>IF(LEN(R436),"Valid","Invalid")</f>
        <v>Valid</v>
      </c>
      <c r="T436" t="s">
        <v>6165</v>
      </c>
      <c r="V436" t="s">
        <v>123</v>
      </c>
      <c r="X436">
        <v>22963.97</v>
      </c>
      <c r="Y436" t="s">
        <v>27</v>
      </c>
      <c r="Z436">
        <v>120</v>
      </c>
      <c r="AA436">
        <f t="shared" si="13"/>
        <v>120</v>
      </c>
      <c r="AB436" t="s">
        <v>25</v>
      </c>
    </row>
    <row r="437" spans="1:28" x14ac:dyDescent="0.3">
      <c r="A437" t="s">
        <v>6164</v>
      </c>
      <c r="B437" t="s">
        <v>6163</v>
      </c>
      <c r="C437" t="s">
        <v>6163</v>
      </c>
      <c r="D437" t="s">
        <v>60</v>
      </c>
      <c r="E437">
        <v>14</v>
      </c>
      <c r="F437">
        <v>14</v>
      </c>
      <c r="G437" t="s">
        <v>132</v>
      </c>
      <c r="H437" t="s">
        <v>132</v>
      </c>
      <c r="I437" t="s">
        <v>30</v>
      </c>
      <c r="J437" t="s">
        <v>30</v>
      </c>
      <c r="K437" s="1">
        <v>45995</v>
      </c>
      <c r="L437" s="1" t="str">
        <f>IF(K437&gt;O437,"Valid","Invalid")</f>
        <v>Valid</v>
      </c>
      <c r="M437" s="1" t="b">
        <f>ISNUMBER(K437)</f>
        <v>1</v>
      </c>
      <c r="N437" s="1" t="b">
        <f>ISNUMBER(O437)</f>
        <v>1</v>
      </c>
      <c r="O437" s="1">
        <v>45977</v>
      </c>
      <c r="P437" t="s">
        <v>6162</v>
      </c>
      <c r="Q437" t="str">
        <f>SUBSTITUTE(SUBSTITUTE(SUBSTITUTE(P437," ",""),"-",""),"+","")</f>
        <v>2575819035</v>
      </c>
      <c r="R437" t="str">
        <f t="shared" si="12"/>
        <v>2575819035</v>
      </c>
      <c r="S437" t="str">
        <f>IF(LEN(R437),"Valid","Invalid")</f>
        <v>Valid</v>
      </c>
      <c r="T437" t="s">
        <v>6161</v>
      </c>
      <c r="V437" t="s">
        <v>35</v>
      </c>
      <c r="X437">
        <v>9541.16</v>
      </c>
      <c r="Y437" t="s">
        <v>123</v>
      </c>
      <c r="Z437">
        <v>287</v>
      </c>
      <c r="AA437">
        <f t="shared" si="13"/>
        <v>287</v>
      </c>
      <c r="AB437" t="s">
        <v>34</v>
      </c>
    </row>
    <row r="438" spans="1:28" x14ac:dyDescent="0.3">
      <c r="A438" t="s">
        <v>6160</v>
      </c>
      <c r="B438" t="s">
        <v>6159</v>
      </c>
      <c r="C438" t="s">
        <v>6159</v>
      </c>
      <c r="D438" t="s">
        <v>74</v>
      </c>
      <c r="E438">
        <v>67</v>
      </c>
      <c r="F438">
        <v>67</v>
      </c>
      <c r="G438" t="s">
        <v>132</v>
      </c>
      <c r="H438" t="s">
        <v>132</v>
      </c>
      <c r="I438" t="s">
        <v>90</v>
      </c>
      <c r="J438" t="s">
        <v>67</v>
      </c>
      <c r="K438" s="1">
        <v>46105</v>
      </c>
      <c r="L438" s="1" t="str">
        <f>IF(K438&gt;O438,"Valid","Invalid")</f>
        <v>Valid</v>
      </c>
      <c r="M438" s="1" t="b">
        <f>ISNUMBER(K438)</f>
        <v>1</v>
      </c>
      <c r="N438" s="1" t="b">
        <f>ISNUMBER(O438)</f>
        <v>1</v>
      </c>
      <c r="O438" s="1">
        <v>46076</v>
      </c>
      <c r="P438" t="s">
        <v>6158</v>
      </c>
      <c r="Q438" t="str">
        <f>SUBSTITUTE(SUBSTITUTE(SUBSTITUTE(P438," ",""),"-",""),"+","")</f>
        <v>07042642313</v>
      </c>
      <c r="R438" t="str">
        <f t="shared" si="12"/>
        <v>7042642313</v>
      </c>
      <c r="S438" t="str">
        <f>IF(LEN(R438),"Valid","Invalid")</f>
        <v>Valid</v>
      </c>
      <c r="T438" t="s">
        <v>6157</v>
      </c>
      <c r="V438" t="s">
        <v>17</v>
      </c>
      <c r="X438">
        <v>13006.02</v>
      </c>
      <c r="Y438" t="s">
        <v>17</v>
      </c>
      <c r="Z438">
        <v>518</v>
      </c>
      <c r="AA438">
        <f t="shared" si="13"/>
        <v>518</v>
      </c>
      <c r="AB438" t="s">
        <v>50</v>
      </c>
    </row>
    <row r="439" spans="1:28" x14ac:dyDescent="0.3">
      <c r="A439" t="s">
        <v>6156</v>
      </c>
      <c r="B439" t="s">
        <v>6155</v>
      </c>
      <c r="C439" t="s">
        <v>6155</v>
      </c>
      <c r="D439" t="s">
        <v>60</v>
      </c>
      <c r="E439">
        <v>63</v>
      </c>
      <c r="F439">
        <v>63</v>
      </c>
      <c r="G439" t="s">
        <v>68</v>
      </c>
      <c r="H439" t="s">
        <v>68</v>
      </c>
      <c r="I439" t="s">
        <v>46</v>
      </c>
      <c r="J439" t="s">
        <v>46</v>
      </c>
      <c r="K439" s="1">
        <v>46020</v>
      </c>
      <c r="L439" s="1" t="str">
        <f>IF(K439&gt;O439,"Valid","Invalid")</f>
        <v>Valid</v>
      </c>
      <c r="M439" s="1" t="b">
        <f>ISNUMBER(K439)</f>
        <v>1</v>
      </c>
      <c r="N439" s="1" t="b">
        <f>ISNUMBER(O439)</f>
        <v>1</v>
      </c>
      <c r="O439" s="1">
        <v>46004</v>
      </c>
      <c r="P439" t="s">
        <v>6154</v>
      </c>
      <c r="Q439" t="str">
        <f>SUBSTITUTE(SUBSTITUTE(SUBSTITUTE(P439," ",""),"-",""),"+","")</f>
        <v>06122437716</v>
      </c>
      <c r="R439" t="str">
        <f t="shared" si="12"/>
        <v>6122437716</v>
      </c>
      <c r="S439" t="str">
        <f>IF(LEN(R439),"Valid","Invalid")</f>
        <v>Valid</v>
      </c>
      <c r="T439" t="s">
        <v>6153</v>
      </c>
      <c r="V439" t="s">
        <v>35</v>
      </c>
      <c r="X439">
        <v>11109.49</v>
      </c>
      <c r="Y439" t="s">
        <v>57</v>
      </c>
      <c r="Z439">
        <v>139</v>
      </c>
      <c r="AA439">
        <f t="shared" si="13"/>
        <v>139</v>
      </c>
      <c r="AB439" t="s">
        <v>34</v>
      </c>
    </row>
    <row r="440" spans="1:28" x14ac:dyDescent="0.3">
      <c r="A440" t="s">
        <v>6148</v>
      </c>
      <c r="B440" t="s">
        <v>6147</v>
      </c>
      <c r="C440" t="s">
        <v>6147</v>
      </c>
      <c r="D440" t="s">
        <v>123</v>
      </c>
      <c r="E440">
        <v>43</v>
      </c>
      <c r="F440">
        <v>43</v>
      </c>
      <c r="G440" t="s">
        <v>80</v>
      </c>
      <c r="H440" t="s">
        <v>80</v>
      </c>
      <c r="I440" t="s">
        <v>85</v>
      </c>
      <c r="J440" t="s">
        <v>85</v>
      </c>
      <c r="K440" s="1">
        <v>46034</v>
      </c>
      <c r="L440" s="1" t="str">
        <f>IF(K440&gt;O440,"Valid","Invalid")</f>
        <v>Valid</v>
      </c>
      <c r="M440" s="1" t="b">
        <f>ISNUMBER(K440)</f>
        <v>1</v>
      </c>
      <c r="N440" s="1" t="b">
        <f>ISNUMBER(O440)</f>
        <v>1</v>
      </c>
      <c r="O440" s="1">
        <v>46013</v>
      </c>
      <c r="P440" t="s">
        <v>6146</v>
      </c>
      <c r="Q440" t="str">
        <f>SUBSTITUTE(SUBSTITUTE(SUBSTITUTE(P440," ",""),"-",""),"+","")</f>
        <v>916329452858</v>
      </c>
      <c r="R440" t="str">
        <f t="shared" si="12"/>
        <v>6329452858</v>
      </c>
      <c r="S440" t="str">
        <f>IF(LEN(R440),"Valid","Invalid")</f>
        <v>Valid</v>
      </c>
      <c r="T440" t="s">
        <v>6145</v>
      </c>
      <c r="V440" t="s">
        <v>123</v>
      </c>
      <c r="X440">
        <v>12079.72</v>
      </c>
      <c r="Y440" t="s">
        <v>26</v>
      </c>
      <c r="Z440">
        <v>431</v>
      </c>
      <c r="AA440">
        <f t="shared" si="13"/>
        <v>431</v>
      </c>
      <c r="AB440" t="s">
        <v>50</v>
      </c>
    </row>
    <row r="441" spans="1:28" x14ac:dyDescent="0.3">
      <c r="A441" t="s">
        <v>6144</v>
      </c>
      <c r="B441" t="s">
        <v>6143</v>
      </c>
      <c r="C441" t="s">
        <v>6143</v>
      </c>
      <c r="D441" t="s">
        <v>123</v>
      </c>
      <c r="E441">
        <v>3</v>
      </c>
      <c r="F441">
        <v>3</v>
      </c>
      <c r="G441" t="s">
        <v>21</v>
      </c>
      <c r="H441" t="s">
        <v>21</v>
      </c>
      <c r="I441" t="s">
        <v>46</v>
      </c>
      <c r="J441" t="s">
        <v>46</v>
      </c>
      <c r="K441" s="1">
        <v>46094</v>
      </c>
      <c r="L441" s="1" t="str">
        <f>IF(K441&gt;O441,"Valid","Invalid")</f>
        <v>Valid</v>
      </c>
      <c r="M441" s="1" t="b">
        <f>ISNUMBER(K441)</f>
        <v>1</v>
      </c>
      <c r="N441" s="1" t="b">
        <f>ISNUMBER(O441)</f>
        <v>1</v>
      </c>
      <c r="O441" s="1">
        <v>46090</v>
      </c>
      <c r="P441" t="s">
        <v>6142</v>
      </c>
      <c r="Q441" t="str">
        <f>SUBSTITUTE(SUBSTITUTE(SUBSTITUTE(P441," ",""),"-",""),"+","")</f>
        <v>9331044836</v>
      </c>
      <c r="R441" t="str">
        <f t="shared" si="12"/>
        <v>9331044836</v>
      </c>
      <c r="S441" t="str">
        <f>IF(LEN(R441),"Valid","Invalid")</f>
        <v>Valid</v>
      </c>
      <c r="T441" t="s">
        <v>6141</v>
      </c>
      <c r="V441" t="s">
        <v>35</v>
      </c>
      <c r="X441">
        <v>3541.16</v>
      </c>
      <c r="Y441" t="s">
        <v>27</v>
      </c>
      <c r="Z441">
        <v>393</v>
      </c>
      <c r="AA441">
        <f t="shared" si="13"/>
        <v>393</v>
      </c>
      <c r="AB441" t="s">
        <v>71</v>
      </c>
    </row>
    <row r="442" spans="1:28" x14ac:dyDescent="0.3">
      <c r="A442" t="s">
        <v>6140</v>
      </c>
      <c r="B442" t="s">
        <v>6139</v>
      </c>
      <c r="C442" t="s">
        <v>6139</v>
      </c>
      <c r="D442" t="s">
        <v>40</v>
      </c>
      <c r="E442">
        <v>22</v>
      </c>
      <c r="F442">
        <v>22</v>
      </c>
      <c r="G442" t="s">
        <v>132</v>
      </c>
      <c r="H442" t="s">
        <v>132</v>
      </c>
      <c r="I442" t="s">
        <v>53</v>
      </c>
      <c r="J442" t="s">
        <v>20</v>
      </c>
      <c r="K442" s="1">
        <v>46029</v>
      </c>
      <c r="L442" s="1" t="str">
        <f>IF(K442&gt;O442,"Valid","Invalid")</f>
        <v>Valid</v>
      </c>
      <c r="M442" s="1" t="b">
        <f>ISNUMBER(K442)</f>
        <v>1</v>
      </c>
      <c r="N442" s="1" t="b">
        <f>ISNUMBER(O442)</f>
        <v>1</v>
      </c>
      <c r="O442" s="1">
        <v>46013</v>
      </c>
      <c r="P442" t="s">
        <v>6138</v>
      </c>
      <c r="Q442" t="str">
        <f>SUBSTITUTE(SUBSTITUTE(SUBSTITUTE(P442," ",""),"-",""),"+","")</f>
        <v>8251295586</v>
      </c>
      <c r="R442" t="str">
        <f t="shared" si="12"/>
        <v>8251295586</v>
      </c>
      <c r="S442" t="str">
        <f>IF(LEN(R442),"Valid","Invalid")</f>
        <v>Valid</v>
      </c>
      <c r="T442" t="s">
        <v>6137</v>
      </c>
      <c r="V442" t="s">
        <v>123</v>
      </c>
      <c r="X442">
        <v>15064.07</v>
      </c>
      <c r="Y442" t="s">
        <v>27</v>
      </c>
      <c r="Z442">
        <v>549</v>
      </c>
      <c r="AA442">
        <f t="shared" si="13"/>
        <v>549</v>
      </c>
      <c r="AB442" t="s">
        <v>25</v>
      </c>
    </row>
    <row r="443" spans="1:28" x14ac:dyDescent="0.3">
      <c r="A443" t="s">
        <v>6136</v>
      </c>
      <c r="B443" t="s">
        <v>6135</v>
      </c>
      <c r="C443" t="s">
        <v>6135</v>
      </c>
      <c r="D443" t="s">
        <v>22</v>
      </c>
      <c r="E443">
        <v>11</v>
      </c>
      <c r="F443">
        <v>11</v>
      </c>
      <c r="G443" t="s">
        <v>21</v>
      </c>
      <c r="H443" t="s">
        <v>21</v>
      </c>
      <c r="I443" t="s">
        <v>85</v>
      </c>
      <c r="J443" t="s">
        <v>85</v>
      </c>
      <c r="K443" s="1">
        <v>46046</v>
      </c>
      <c r="L443" s="1" t="str">
        <f>IF(K443&gt;O443,"Valid","Invalid")</f>
        <v>Valid</v>
      </c>
      <c r="M443" s="1" t="b">
        <f>ISNUMBER(K443)</f>
        <v>1</v>
      </c>
      <c r="N443" s="1" t="b">
        <f>ISNUMBER(O443)</f>
        <v>1</v>
      </c>
      <c r="O443" s="1">
        <v>46027</v>
      </c>
      <c r="P443" t="s">
        <v>6134</v>
      </c>
      <c r="Q443" t="str">
        <f>SUBSTITUTE(SUBSTITUTE(SUBSTITUTE(P443," ",""),"-",""),"+","")</f>
        <v>919459529958</v>
      </c>
      <c r="R443" t="str">
        <f t="shared" si="12"/>
        <v>9459529958</v>
      </c>
      <c r="S443" t="str">
        <f>IF(LEN(R443),"Valid","Invalid")</f>
        <v>Valid</v>
      </c>
      <c r="T443" t="s">
        <v>6133</v>
      </c>
      <c r="V443" t="s">
        <v>123</v>
      </c>
      <c r="X443">
        <v>21709.1</v>
      </c>
      <c r="Y443" t="s">
        <v>26</v>
      </c>
      <c r="Z443">
        <v>212</v>
      </c>
      <c r="AA443">
        <f t="shared" si="13"/>
        <v>212</v>
      </c>
      <c r="AB443" t="s">
        <v>50</v>
      </c>
    </row>
    <row r="444" spans="1:28" x14ac:dyDescent="0.3">
      <c r="A444" t="s">
        <v>6132</v>
      </c>
      <c r="B444" t="s">
        <v>6131</v>
      </c>
      <c r="C444" t="s">
        <v>6131</v>
      </c>
      <c r="D444" t="s">
        <v>123</v>
      </c>
      <c r="E444">
        <v>77</v>
      </c>
      <c r="F444">
        <v>77</v>
      </c>
      <c r="G444" t="s">
        <v>39</v>
      </c>
      <c r="H444" t="s">
        <v>39</v>
      </c>
      <c r="I444" t="s">
        <v>53</v>
      </c>
      <c r="J444" t="s">
        <v>20</v>
      </c>
      <c r="K444" s="1">
        <v>46037</v>
      </c>
      <c r="L444" s="1" t="str">
        <f>IF(K444&gt;O444,"Valid","Invalid")</f>
        <v>Valid</v>
      </c>
      <c r="M444" s="1" t="b">
        <f>ISNUMBER(K444)</f>
        <v>1</v>
      </c>
      <c r="N444" s="1" t="b">
        <f>ISNUMBER(O444)</f>
        <v>1</v>
      </c>
      <c r="O444" s="1">
        <v>46018</v>
      </c>
      <c r="P444" t="s">
        <v>6130</v>
      </c>
      <c r="Q444" t="str">
        <f>SUBSTITUTE(SUBSTITUTE(SUBSTITUTE(P444," ",""),"-",""),"+","")</f>
        <v>918843970463</v>
      </c>
      <c r="R444" t="str">
        <f t="shared" si="12"/>
        <v>8843970463</v>
      </c>
      <c r="S444" t="str">
        <f>IF(LEN(R444),"Valid","Invalid")</f>
        <v>Valid</v>
      </c>
      <c r="T444" t="s">
        <v>6129</v>
      </c>
      <c r="V444" t="s">
        <v>26</v>
      </c>
      <c r="X444">
        <v>4359.5</v>
      </c>
      <c r="Y444" t="s">
        <v>17</v>
      </c>
      <c r="Z444">
        <v>332</v>
      </c>
      <c r="AA444">
        <f t="shared" si="13"/>
        <v>332</v>
      </c>
      <c r="AB444" t="s">
        <v>34</v>
      </c>
    </row>
    <row r="445" spans="1:28" x14ac:dyDescent="0.3">
      <c r="A445" t="s">
        <v>6128</v>
      </c>
      <c r="B445" t="s">
        <v>6127</v>
      </c>
      <c r="C445" t="s">
        <v>6127</v>
      </c>
      <c r="D445" t="s">
        <v>74</v>
      </c>
      <c r="E445">
        <v>30</v>
      </c>
      <c r="F445">
        <v>30</v>
      </c>
      <c r="G445" t="s">
        <v>54</v>
      </c>
      <c r="H445" t="s">
        <v>54</v>
      </c>
      <c r="I445" t="s">
        <v>90</v>
      </c>
      <c r="J445" t="s">
        <v>67</v>
      </c>
      <c r="K445" s="1">
        <v>45988</v>
      </c>
      <c r="L445" s="1" t="str">
        <f>IF(K445&gt;O445,"Valid","Invalid")</f>
        <v>Valid</v>
      </c>
      <c r="M445" s="1" t="b">
        <f>ISNUMBER(K445)</f>
        <v>1</v>
      </c>
      <c r="N445" s="1" t="b">
        <f>ISNUMBER(O445)</f>
        <v>1</v>
      </c>
      <c r="O445" s="1">
        <v>45984</v>
      </c>
      <c r="P445" t="s">
        <v>6126</v>
      </c>
      <c r="Q445" t="str">
        <f>SUBSTITUTE(SUBSTITUTE(SUBSTITUTE(P445," ",""),"-",""),"+","")</f>
        <v>910321585457</v>
      </c>
      <c r="R445" t="str">
        <f t="shared" si="12"/>
        <v>0321585457</v>
      </c>
      <c r="S445" t="str">
        <f>IF(LEN(R445),"Valid","Invalid")</f>
        <v>Valid</v>
      </c>
      <c r="T445" t="s">
        <v>6125</v>
      </c>
      <c r="V445" t="s">
        <v>64</v>
      </c>
      <c r="X445">
        <v>610.75</v>
      </c>
      <c r="Y445" t="s">
        <v>123</v>
      </c>
      <c r="Z445">
        <v>523</v>
      </c>
      <c r="AA445">
        <f t="shared" si="13"/>
        <v>523</v>
      </c>
      <c r="AB445" t="s">
        <v>71</v>
      </c>
    </row>
    <row r="446" spans="1:28" x14ac:dyDescent="0.3">
      <c r="A446" t="s">
        <v>6124</v>
      </c>
      <c r="B446" t="s">
        <v>6123</v>
      </c>
      <c r="C446" t="s">
        <v>6123</v>
      </c>
      <c r="D446" t="s">
        <v>74</v>
      </c>
      <c r="E446">
        <v>23</v>
      </c>
      <c r="F446">
        <v>23</v>
      </c>
      <c r="G446" t="s">
        <v>68</v>
      </c>
      <c r="H446" t="s">
        <v>68</v>
      </c>
      <c r="I446" t="s">
        <v>46</v>
      </c>
      <c r="J446" t="s">
        <v>46</v>
      </c>
      <c r="K446" s="1">
        <v>46011</v>
      </c>
      <c r="L446" s="1" t="str">
        <f>IF(K446&gt;O446,"Valid","Invalid")</f>
        <v>Valid</v>
      </c>
      <c r="M446" s="1" t="b">
        <f>ISNUMBER(K446)</f>
        <v>1</v>
      </c>
      <c r="N446" s="1" t="b">
        <f>ISNUMBER(O446)</f>
        <v>1</v>
      </c>
      <c r="O446" s="1">
        <v>45983</v>
      </c>
      <c r="P446" t="s">
        <v>6122</v>
      </c>
      <c r="Q446" t="str">
        <f>SUBSTITUTE(SUBSTITUTE(SUBSTITUTE(P446," ",""),"-",""),"+","")</f>
        <v>0093678500</v>
      </c>
      <c r="R446" t="str">
        <f t="shared" si="12"/>
        <v>0093678500</v>
      </c>
      <c r="S446" t="str">
        <f>IF(LEN(R446),"Valid","Invalid")</f>
        <v>Valid</v>
      </c>
      <c r="T446" t="s">
        <v>6121</v>
      </c>
      <c r="V446" t="s">
        <v>64</v>
      </c>
      <c r="X446">
        <v>2511.11</v>
      </c>
      <c r="Y446" t="s">
        <v>26</v>
      </c>
      <c r="Z446">
        <v>408</v>
      </c>
      <c r="AA446">
        <f t="shared" si="13"/>
        <v>408</v>
      </c>
      <c r="AB446" t="s">
        <v>34</v>
      </c>
    </row>
    <row r="447" spans="1:28" x14ac:dyDescent="0.3">
      <c r="A447" t="s">
        <v>6120</v>
      </c>
      <c r="B447" t="s">
        <v>6119</v>
      </c>
      <c r="C447" t="s">
        <v>6119</v>
      </c>
      <c r="D447" t="s">
        <v>40</v>
      </c>
      <c r="E447">
        <v>87</v>
      </c>
      <c r="F447">
        <v>87</v>
      </c>
      <c r="G447" t="s">
        <v>54</v>
      </c>
      <c r="H447" t="s">
        <v>54</v>
      </c>
      <c r="I447" t="s">
        <v>90</v>
      </c>
      <c r="J447" t="s">
        <v>67</v>
      </c>
      <c r="K447" s="1">
        <v>46036</v>
      </c>
      <c r="L447" s="1" t="str">
        <f>IF(K447&gt;O447,"Valid","Invalid")</f>
        <v>Valid</v>
      </c>
      <c r="M447" s="1" t="b">
        <f>ISNUMBER(K447)</f>
        <v>1</v>
      </c>
      <c r="N447" s="1" t="b">
        <f>ISNUMBER(O447)</f>
        <v>1</v>
      </c>
      <c r="O447" s="1">
        <v>46025</v>
      </c>
      <c r="P447" t="s">
        <v>6118</v>
      </c>
      <c r="Q447" t="str">
        <f>SUBSTITUTE(SUBSTITUTE(SUBSTITUTE(P447," ",""),"-",""),"+","")</f>
        <v>07619473581</v>
      </c>
      <c r="R447" t="str">
        <f t="shared" si="12"/>
        <v>7619473581</v>
      </c>
      <c r="S447" t="str">
        <f>IF(LEN(R447),"Valid","Invalid")</f>
        <v>Valid</v>
      </c>
      <c r="T447" t="s">
        <v>6117</v>
      </c>
      <c r="V447" t="s">
        <v>27</v>
      </c>
      <c r="X447">
        <v>17501.54</v>
      </c>
      <c r="Y447" t="s">
        <v>123</v>
      </c>
      <c r="Z447">
        <v>217</v>
      </c>
      <c r="AA447">
        <f t="shared" si="13"/>
        <v>217</v>
      </c>
      <c r="AB447" t="s">
        <v>50</v>
      </c>
    </row>
    <row r="448" spans="1:28" x14ac:dyDescent="0.3">
      <c r="A448" t="s">
        <v>6116</v>
      </c>
      <c r="B448" t="s">
        <v>6115</v>
      </c>
      <c r="C448" t="s">
        <v>6115</v>
      </c>
      <c r="E448">
        <v>49</v>
      </c>
      <c r="F448">
        <v>49</v>
      </c>
      <c r="G448" t="s">
        <v>31</v>
      </c>
      <c r="H448" t="s">
        <v>31</v>
      </c>
      <c r="I448" t="s">
        <v>20</v>
      </c>
      <c r="J448" t="s">
        <v>20</v>
      </c>
      <c r="K448" s="1">
        <v>45989</v>
      </c>
      <c r="L448" s="1" t="str">
        <f>IF(K448&gt;O448,"Valid","Invalid")</f>
        <v>Valid</v>
      </c>
      <c r="M448" s="1" t="b">
        <f>ISNUMBER(K448)</f>
        <v>1</v>
      </c>
      <c r="N448" s="1" t="b">
        <f>ISNUMBER(O448)</f>
        <v>1</v>
      </c>
      <c r="O448" s="1">
        <v>45976</v>
      </c>
      <c r="P448" t="s">
        <v>6114</v>
      </c>
      <c r="Q448" t="str">
        <f>SUBSTITUTE(SUBSTITUTE(SUBSTITUTE(P448," ",""),"-",""),"+","")</f>
        <v>7575736139</v>
      </c>
      <c r="R448" t="str">
        <f t="shared" si="12"/>
        <v>7575736139</v>
      </c>
      <c r="S448" t="str">
        <f>IF(LEN(R448),"Valid","Invalid")</f>
        <v>Valid</v>
      </c>
      <c r="T448" t="s">
        <v>6113</v>
      </c>
      <c r="V448" t="s">
        <v>35</v>
      </c>
      <c r="X448">
        <v>6512.05</v>
      </c>
      <c r="Y448" t="s">
        <v>57</v>
      </c>
      <c r="Z448">
        <v>539</v>
      </c>
      <c r="AA448">
        <f t="shared" si="13"/>
        <v>539</v>
      </c>
      <c r="AB448" t="s">
        <v>77</v>
      </c>
    </row>
    <row r="449" spans="1:28" x14ac:dyDescent="0.3">
      <c r="A449" t="s">
        <v>6112</v>
      </c>
      <c r="B449" t="s">
        <v>6111</v>
      </c>
      <c r="C449" t="s">
        <v>6111</v>
      </c>
      <c r="D449" t="s">
        <v>22</v>
      </c>
      <c r="E449">
        <v>77</v>
      </c>
      <c r="F449">
        <v>77</v>
      </c>
      <c r="G449" t="s">
        <v>54</v>
      </c>
      <c r="H449" t="s">
        <v>54</v>
      </c>
      <c r="I449" t="s">
        <v>30</v>
      </c>
      <c r="J449" t="s">
        <v>30</v>
      </c>
      <c r="K449" s="1">
        <v>46125</v>
      </c>
      <c r="L449" s="1" t="str">
        <f>IF(K449&gt;O449,"Valid","Invalid")</f>
        <v>Valid</v>
      </c>
      <c r="M449" s="1" t="b">
        <f>ISNUMBER(K449)</f>
        <v>1</v>
      </c>
      <c r="N449" s="1" t="b">
        <f>ISNUMBER(O449)</f>
        <v>1</v>
      </c>
      <c r="O449" s="1">
        <v>46119</v>
      </c>
      <c r="P449" t="s">
        <v>6110</v>
      </c>
      <c r="Q449" t="str">
        <f>SUBSTITUTE(SUBSTITUTE(SUBSTITUTE(P449," ",""),"-",""),"+","")</f>
        <v>1481876103</v>
      </c>
      <c r="R449" t="str">
        <f t="shared" si="12"/>
        <v>1481876103</v>
      </c>
      <c r="S449" t="str">
        <f>IF(LEN(R449),"Valid","Invalid")</f>
        <v>Valid</v>
      </c>
      <c r="T449" t="s">
        <v>6109</v>
      </c>
      <c r="V449" t="s">
        <v>27</v>
      </c>
      <c r="X449">
        <v>17786.89</v>
      </c>
      <c r="Y449" t="s">
        <v>27</v>
      </c>
      <c r="Z449">
        <v>395</v>
      </c>
      <c r="AA449">
        <f t="shared" si="13"/>
        <v>395</v>
      </c>
      <c r="AB449" t="s">
        <v>34</v>
      </c>
    </row>
    <row r="450" spans="1:28" x14ac:dyDescent="0.3">
      <c r="A450" t="s">
        <v>6108</v>
      </c>
      <c r="B450" t="s">
        <v>6107</v>
      </c>
      <c r="C450" t="s">
        <v>6107</v>
      </c>
      <c r="D450" t="s">
        <v>74</v>
      </c>
      <c r="E450">
        <v>67</v>
      </c>
      <c r="F450">
        <v>67</v>
      </c>
      <c r="G450" t="s">
        <v>47</v>
      </c>
      <c r="H450" t="s">
        <v>47</v>
      </c>
      <c r="I450" t="s">
        <v>90</v>
      </c>
      <c r="J450" t="s">
        <v>67</v>
      </c>
      <c r="K450" s="1">
        <v>46062</v>
      </c>
      <c r="L450" s="1" t="str">
        <f>IF(K450&gt;O450,"Valid","Invalid")</f>
        <v>Valid</v>
      </c>
      <c r="M450" s="1" t="b">
        <f>ISNUMBER(K450)</f>
        <v>1</v>
      </c>
      <c r="N450" s="1" t="b">
        <f>ISNUMBER(O450)</f>
        <v>1</v>
      </c>
      <c r="O450" s="1">
        <v>46042</v>
      </c>
      <c r="P450" t="s">
        <v>6106</v>
      </c>
      <c r="Q450" t="str">
        <f>SUBSTITUTE(SUBSTITUTE(SUBSTITUTE(P450," ",""),"-",""),"+","")</f>
        <v>0459197491</v>
      </c>
      <c r="R450" t="str">
        <f t="shared" si="12"/>
        <v>0459197491</v>
      </c>
      <c r="S450" t="str">
        <f>IF(LEN(R450),"Valid","Invalid")</f>
        <v>Valid</v>
      </c>
      <c r="T450" t="s">
        <v>6105</v>
      </c>
      <c r="V450" t="s">
        <v>17</v>
      </c>
      <c r="X450">
        <v>17256.62</v>
      </c>
      <c r="Y450" t="s">
        <v>17</v>
      </c>
      <c r="Z450">
        <v>309</v>
      </c>
      <c r="AA450">
        <f t="shared" si="13"/>
        <v>309</v>
      </c>
      <c r="AB450" t="s">
        <v>43</v>
      </c>
    </row>
    <row r="451" spans="1:28" x14ac:dyDescent="0.3">
      <c r="A451" t="s">
        <v>6104</v>
      </c>
      <c r="B451" t="s">
        <v>6103</v>
      </c>
      <c r="C451" t="s">
        <v>6103</v>
      </c>
      <c r="D451" t="s">
        <v>74</v>
      </c>
      <c r="E451">
        <v>20</v>
      </c>
      <c r="F451">
        <v>20</v>
      </c>
      <c r="G451" t="s">
        <v>54</v>
      </c>
      <c r="H451" t="s">
        <v>54</v>
      </c>
      <c r="I451" t="s">
        <v>30</v>
      </c>
      <c r="J451" t="s">
        <v>30</v>
      </c>
      <c r="K451" s="1">
        <v>46035</v>
      </c>
      <c r="L451" s="1" t="str">
        <f>IF(K451&gt;O451,"Valid","Invalid")</f>
        <v>Valid</v>
      </c>
      <c r="M451" s="1" t="b">
        <f>ISNUMBER(K451)</f>
        <v>1</v>
      </c>
      <c r="N451" s="1" t="b">
        <f>ISNUMBER(O451)</f>
        <v>1</v>
      </c>
      <c r="O451" s="1">
        <v>46027</v>
      </c>
      <c r="P451" t="s">
        <v>6102</v>
      </c>
      <c r="Q451" t="str">
        <f>SUBSTITUTE(SUBSTITUTE(SUBSTITUTE(P451," ",""),"-",""),"+","")</f>
        <v>07643043161</v>
      </c>
      <c r="R451" t="str">
        <f t="shared" si="12"/>
        <v>7643043161</v>
      </c>
      <c r="S451" t="str">
        <f>IF(LEN(R451),"Valid","Invalid")</f>
        <v>Valid</v>
      </c>
      <c r="T451" t="s">
        <v>6101</v>
      </c>
      <c r="V451" t="s">
        <v>123</v>
      </c>
      <c r="X451">
        <v>14203.82</v>
      </c>
      <c r="Y451" t="s">
        <v>63</v>
      </c>
      <c r="Z451">
        <v>448</v>
      </c>
      <c r="AA451">
        <f t="shared" si="13"/>
        <v>448</v>
      </c>
      <c r="AB451" t="s">
        <v>16</v>
      </c>
    </row>
    <row r="452" spans="1:28" x14ac:dyDescent="0.3">
      <c r="A452" t="s">
        <v>6100</v>
      </c>
      <c r="B452" t="s">
        <v>6099</v>
      </c>
      <c r="C452" t="s">
        <v>6099</v>
      </c>
      <c r="D452" t="s">
        <v>1</v>
      </c>
      <c r="E452">
        <v>53</v>
      </c>
      <c r="F452">
        <v>53</v>
      </c>
      <c r="G452" t="s">
        <v>68</v>
      </c>
      <c r="H452" t="s">
        <v>68</v>
      </c>
      <c r="I452" t="s">
        <v>53</v>
      </c>
      <c r="J452" t="s">
        <v>20</v>
      </c>
      <c r="K452" s="1">
        <v>46007</v>
      </c>
      <c r="L452" s="1" t="str">
        <f>IF(K452&gt;O452,"Valid","Invalid")</f>
        <v>Valid</v>
      </c>
      <c r="M452" s="1" t="b">
        <f>ISNUMBER(K452)</f>
        <v>1</v>
      </c>
      <c r="N452" s="1" t="b">
        <f>ISNUMBER(O452)</f>
        <v>1</v>
      </c>
      <c r="O452" s="1">
        <v>45996</v>
      </c>
      <c r="P452" t="s">
        <v>6098</v>
      </c>
      <c r="Q452" t="str">
        <f>SUBSTITUTE(SUBSTITUTE(SUBSTITUTE(P452," ",""),"-",""),"+","")</f>
        <v>02672346003</v>
      </c>
      <c r="R452" t="str">
        <f t="shared" si="12"/>
        <v>2672346003</v>
      </c>
      <c r="S452" t="str">
        <f>IF(LEN(R452),"Valid","Invalid")</f>
        <v>Valid</v>
      </c>
      <c r="T452" t="s">
        <v>6097</v>
      </c>
      <c r="V452" t="s">
        <v>123</v>
      </c>
      <c r="X452">
        <v>6493.69</v>
      </c>
      <c r="Y452" t="s">
        <v>63</v>
      </c>
      <c r="Z452">
        <v>395</v>
      </c>
      <c r="AA452">
        <f t="shared" si="13"/>
        <v>395</v>
      </c>
      <c r="AB452" t="s">
        <v>43</v>
      </c>
    </row>
    <row r="453" spans="1:28" x14ac:dyDescent="0.3">
      <c r="A453" t="s">
        <v>6096</v>
      </c>
      <c r="B453" t="s">
        <v>6095</v>
      </c>
      <c r="C453" t="s">
        <v>6095</v>
      </c>
      <c r="D453" t="s">
        <v>123</v>
      </c>
      <c r="E453">
        <v>18</v>
      </c>
      <c r="F453">
        <v>18</v>
      </c>
      <c r="G453" t="s">
        <v>80</v>
      </c>
      <c r="H453" t="s">
        <v>80</v>
      </c>
      <c r="I453" t="s">
        <v>38</v>
      </c>
      <c r="J453" t="s">
        <v>8077</v>
      </c>
      <c r="K453" s="1">
        <v>46112</v>
      </c>
      <c r="L453" s="1" t="str">
        <f>IF(K453&gt;O453,"Valid","Invalid")</f>
        <v>Valid</v>
      </c>
      <c r="M453" s="1" t="b">
        <f>ISNUMBER(K453)</f>
        <v>1</v>
      </c>
      <c r="N453" s="1" t="b">
        <f>ISNUMBER(O453)</f>
        <v>1</v>
      </c>
      <c r="O453" s="1">
        <v>46098</v>
      </c>
      <c r="P453" t="s">
        <v>6094</v>
      </c>
      <c r="Q453" t="str">
        <f>SUBSTITUTE(SUBSTITUTE(SUBSTITUTE(P453," ",""),"-",""),"+","")</f>
        <v>913828098285</v>
      </c>
      <c r="R453" t="str">
        <f t="shared" ref="R453:R516" si="14">RIGHT(Q453,10)</f>
        <v>3828098285</v>
      </c>
      <c r="S453" t="str">
        <f>IF(LEN(R453),"Valid","Invalid")</f>
        <v>Valid</v>
      </c>
      <c r="T453" t="s">
        <v>6093</v>
      </c>
      <c r="V453" t="s">
        <v>35</v>
      </c>
      <c r="X453">
        <v>2686.91</v>
      </c>
      <c r="Y453" t="s">
        <v>123</v>
      </c>
      <c r="Z453">
        <v>502</v>
      </c>
      <c r="AA453">
        <f t="shared" ref="AA453:AA516" si="15">IF(Z453="Room-x",0,Z453)</f>
        <v>502</v>
      </c>
      <c r="AB453" t="s">
        <v>43</v>
      </c>
    </row>
    <row r="454" spans="1:28" x14ac:dyDescent="0.3">
      <c r="A454" t="s">
        <v>6092</v>
      </c>
      <c r="B454" t="s">
        <v>6091</v>
      </c>
      <c r="C454" t="s">
        <v>6091</v>
      </c>
      <c r="D454" t="s">
        <v>40</v>
      </c>
      <c r="E454">
        <v>21</v>
      </c>
      <c r="F454">
        <v>21</v>
      </c>
      <c r="G454" t="s">
        <v>369</v>
      </c>
      <c r="H454" t="s">
        <v>369</v>
      </c>
      <c r="I454" t="s">
        <v>46</v>
      </c>
      <c r="J454" t="s">
        <v>46</v>
      </c>
      <c r="K454" s="1">
        <v>46010</v>
      </c>
      <c r="L454" s="1" t="str">
        <f>IF(K454&gt;O454,"Valid","Invalid")</f>
        <v>Valid</v>
      </c>
      <c r="M454" s="1" t="b">
        <f>ISNUMBER(K454)</f>
        <v>1</v>
      </c>
      <c r="N454" s="1" t="b">
        <f>ISNUMBER(O454)</f>
        <v>1</v>
      </c>
      <c r="O454" s="1">
        <v>45985</v>
      </c>
      <c r="P454" t="s">
        <v>6090</v>
      </c>
      <c r="Q454" t="str">
        <f>SUBSTITUTE(SUBSTITUTE(SUBSTITUTE(P454," ",""),"-",""),"+","")</f>
        <v>910502654694</v>
      </c>
      <c r="R454" t="str">
        <f t="shared" si="14"/>
        <v>0502654694</v>
      </c>
      <c r="S454" t="str">
        <f>IF(LEN(R454),"Valid","Invalid")</f>
        <v>Valid</v>
      </c>
      <c r="T454" t="s">
        <v>123</v>
      </c>
      <c r="V454" t="s">
        <v>64</v>
      </c>
      <c r="X454">
        <v>-500</v>
      </c>
      <c r="Y454" t="s">
        <v>123</v>
      </c>
      <c r="Z454">
        <v>407</v>
      </c>
      <c r="AA454">
        <f t="shared" si="15"/>
        <v>407</v>
      </c>
      <c r="AB454" t="s">
        <v>16</v>
      </c>
    </row>
    <row r="455" spans="1:28" x14ac:dyDescent="0.3">
      <c r="A455" t="s">
        <v>6089</v>
      </c>
      <c r="B455" t="s">
        <v>6088</v>
      </c>
      <c r="C455" t="s">
        <v>6088</v>
      </c>
      <c r="D455" t="s">
        <v>74</v>
      </c>
      <c r="E455">
        <v>9</v>
      </c>
      <c r="F455">
        <v>9</v>
      </c>
      <c r="G455" t="s">
        <v>132</v>
      </c>
      <c r="H455" t="s">
        <v>132</v>
      </c>
      <c r="I455" t="s">
        <v>38</v>
      </c>
      <c r="J455" t="s">
        <v>8077</v>
      </c>
      <c r="K455" s="1">
        <v>46112</v>
      </c>
      <c r="L455" s="1" t="str">
        <f>IF(K455&gt;O455,"Valid","Invalid")</f>
        <v>Valid</v>
      </c>
      <c r="M455" s="1" t="b">
        <f>ISNUMBER(K455)</f>
        <v>1</v>
      </c>
      <c r="N455" s="1" t="b">
        <f>ISNUMBER(O455)</f>
        <v>1</v>
      </c>
      <c r="O455" s="1">
        <v>46101</v>
      </c>
      <c r="P455" t="s">
        <v>6087</v>
      </c>
      <c r="Q455" t="str">
        <f>SUBSTITUTE(SUBSTITUTE(SUBSTITUTE(P455," ",""),"-",""),"+","")</f>
        <v>4631037681</v>
      </c>
      <c r="R455" t="str">
        <f t="shared" si="14"/>
        <v>4631037681</v>
      </c>
      <c r="S455" t="str">
        <f>IF(LEN(R455),"Valid","Invalid")</f>
        <v>Valid</v>
      </c>
      <c r="T455" t="s">
        <v>6086</v>
      </c>
      <c r="V455" t="s">
        <v>64</v>
      </c>
      <c r="X455">
        <v>15303.92</v>
      </c>
      <c r="Y455" t="s">
        <v>123</v>
      </c>
      <c r="Z455">
        <v>305</v>
      </c>
      <c r="AA455">
        <f t="shared" si="15"/>
        <v>305</v>
      </c>
      <c r="AB455" t="s">
        <v>34</v>
      </c>
    </row>
    <row r="456" spans="1:28" x14ac:dyDescent="0.3">
      <c r="A456" t="s">
        <v>6085</v>
      </c>
      <c r="B456" t="s">
        <v>6084</v>
      </c>
      <c r="C456" t="s">
        <v>6084</v>
      </c>
      <c r="D456" t="s">
        <v>22</v>
      </c>
      <c r="E456">
        <v>77</v>
      </c>
      <c r="F456">
        <v>77</v>
      </c>
      <c r="G456" t="s">
        <v>47</v>
      </c>
      <c r="H456" t="s">
        <v>47</v>
      </c>
      <c r="I456" t="s">
        <v>53</v>
      </c>
      <c r="J456" t="s">
        <v>20</v>
      </c>
      <c r="K456" s="1">
        <v>46126</v>
      </c>
      <c r="L456" s="1" t="str">
        <f>IF(K456&gt;O456,"Valid","Invalid")</f>
        <v>Valid</v>
      </c>
      <c r="M456" s="1" t="b">
        <f>ISNUMBER(K456)</f>
        <v>1</v>
      </c>
      <c r="N456" s="1" t="b">
        <f>ISNUMBER(O456)</f>
        <v>1</v>
      </c>
      <c r="O456" s="1">
        <v>46106</v>
      </c>
      <c r="P456" t="s">
        <v>6083</v>
      </c>
      <c r="Q456" t="str">
        <f>SUBSTITUTE(SUBSTITUTE(SUBSTITUTE(P456," ",""),"-",""),"+","")</f>
        <v>3637258525</v>
      </c>
      <c r="R456" t="str">
        <f t="shared" si="14"/>
        <v>3637258525</v>
      </c>
      <c r="S456" t="str">
        <f>IF(LEN(R456),"Valid","Invalid")</f>
        <v>Valid</v>
      </c>
      <c r="T456" t="s">
        <v>6082</v>
      </c>
      <c r="V456" t="s">
        <v>123</v>
      </c>
      <c r="X456">
        <v>11086.51</v>
      </c>
      <c r="Y456" t="s">
        <v>57</v>
      </c>
      <c r="Z456">
        <v>535</v>
      </c>
      <c r="AA456">
        <f t="shared" si="15"/>
        <v>535</v>
      </c>
      <c r="AB456" t="s">
        <v>25</v>
      </c>
    </row>
    <row r="457" spans="1:28" x14ac:dyDescent="0.3">
      <c r="A457" t="s">
        <v>6081</v>
      </c>
      <c r="B457" t="s">
        <v>6080</v>
      </c>
      <c r="C457" t="s">
        <v>6080</v>
      </c>
      <c r="D457" t="s">
        <v>22</v>
      </c>
      <c r="E457">
        <v>25</v>
      </c>
      <c r="F457">
        <v>25</v>
      </c>
      <c r="G457" t="s">
        <v>47</v>
      </c>
      <c r="H457" t="s">
        <v>47</v>
      </c>
      <c r="I457" t="s">
        <v>38</v>
      </c>
      <c r="J457" t="s">
        <v>8077</v>
      </c>
      <c r="K457" s="1">
        <v>46020</v>
      </c>
      <c r="L457" s="1" t="str">
        <f>IF(K457&gt;O457,"Valid","Invalid")</f>
        <v>Valid</v>
      </c>
      <c r="M457" s="1" t="b">
        <f>ISNUMBER(K457)</f>
        <v>1</v>
      </c>
      <c r="N457" s="1" t="b">
        <f>ISNUMBER(O457)</f>
        <v>1</v>
      </c>
      <c r="O457" s="1">
        <v>46001</v>
      </c>
      <c r="P457" t="s">
        <v>6079</v>
      </c>
      <c r="Q457" t="str">
        <f>SUBSTITUTE(SUBSTITUTE(SUBSTITUTE(P457," ",""),"-",""),"+","")</f>
        <v>1958490211</v>
      </c>
      <c r="R457" t="str">
        <f t="shared" si="14"/>
        <v>1958490211</v>
      </c>
      <c r="S457" t="str">
        <f>IF(LEN(R457),"Valid","Invalid")</f>
        <v>Valid</v>
      </c>
      <c r="T457" t="s">
        <v>6078</v>
      </c>
      <c r="V457" t="s">
        <v>35</v>
      </c>
      <c r="X457">
        <v>16915.8</v>
      </c>
      <c r="Y457" t="s">
        <v>17</v>
      </c>
      <c r="Z457">
        <v>222</v>
      </c>
      <c r="AA457">
        <f t="shared" si="15"/>
        <v>222</v>
      </c>
      <c r="AB457" t="s">
        <v>25</v>
      </c>
    </row>
    <row r="458" spans="1:28" x14ac:dyDescent="0.3">
      <c r="A458" t="s">
        <v>6077</v>
      </c>
      <c r="B458" t="s">
        <v>6076</v>
      </c>
      <c r="C458" t="s">
        <v>6076</v>
      </c>
      <c r="D458" t="s">
        <v>40</v>
      </c>
      <c r="E458">
        <v>21</v>
      </c>
      <c r="F458">
        <v>21</v>
      </c>
      <c r="G458" t="s">
        <v>80</v>
      </c>
      <c r="H458" t="s">
        <v>80</v>
      </c>
      <c r="I458" t="s">
        <v>30</v>
      </c>
      <c r="J458" t="s">
        <v>30</v>
      </c>
      <c r="K458" s="1">
        <v>46148</v>
      </c>
      <c r="L458" s="1" t="str">
        <f>IF(K458&gt;O458,"Valid","Invalid")</f>
        <v>Valid</v>
      </c>
      <c r="M458" s="1" t="b">
        <f>ISNUMBER(K458)</f>
        <v>1</v>
      </c>
      <c r="N458" s="1" t="b">
        <f>ISNUMBER(O458)</f>
        <v>1</v>
      </c>
      <c r="O458" s="1">
        <v>46124</v>
      </c>
      <c r="P458" t="s">
        <v>6075</v>
      </c>
      <c r="Q458" t="str">
        <f>SUBSTITUTE(SUBSTITUTE(SUBSTITUTE(P458," ",""),"-",""),"+","")</f>
        <v>918224377042</v>
      </c>
      <c r="R458" t="str">
        <f t="shared" si="14"/>
        <v>8224377042</v>
      </c>
      <c r="S458" t="str">
        <f>IF(LEN(R458),"Valid","Invalid")</f>
        <v>Valid</v>
      </c>
      <c r="T458" t="s">
        <v>6074</v>
      </c>
      <c r="V458" t="s">
        <v>123</v>
      </c>
      <c r="X458">
        <v>8957.57</v>
      </c>
      <c r="Y458" t="s">
        <v>123</v>
      </c>
      <c r="Z458">
        <v>307</v>
      </c>
      <c r="AA458">
        <f t="shared" si="15"/>
        <v>307</v>
      </c>
      <c r="AB458" t="s">
        <v>34</v>
      </c>
    </row>
    <row r="459" spans="1:28" x14ac:dyDescent="0.3">
      <c r="A459" t="s">
        <v>6073</v>
      </c>
      <c r="B459" t="s">
        <v>6072</v>
      </c>
      <c r="C459" t="s">
        <v>6072</v>
      </c>
      <c r="D459" t="s">
        <v>1</v>
      </c>
      <c r="E459">
        <v>67</v>
      </c>
      <c r="F459">
        <v>67</v>
      </c>
      <c r="G459" t="s">
        <v>47</v>
      </c>
      <c r="H459" t="s">
        <v>47</v>
      </c>
      <c r="I459" t="s">
        <v>20</v>
      </c>
      <c r="J459" t="s">
        <v>20</v>
      </c>
      <c r="K459" s="1">
        <v>46044</v>
      </c>
      <c r="L459" s="1" t="str">
        <f>IF(K459&gt;O459,"Valid","Invalid")</f>
        <v>Valid</v>
      </c>
      <c r="M459" s="1" t="b">
        <f>ISNUMBER(K459)</f>
        <v>1</v>
      </c>
      <c r="N459" s="1" t="b">
        <f>ISNUMBER(O459)</f>
        <v>1</v>
      </c>
      <c r="O459" s="1">
        <v>46015</v>
      </c>
      <c r="P459" t="s">
        <v>6071</v>
      </c>
      <c r="Q459" t="str">
        <f>SUBSTITUTE(SUBSTITUTE(SUBSTITUTE(P459," ",""),"-",""),"+","")</f>
        <v>2475540622</v>
      </c>
      <c r="R459" t="str">
        <f t="shared" si="14"/>
        <v>2475540622</v>
      </c>
      <c r="S459" t="str">
        <f>IF(LEN(R459),"Valid","Invalid")</f>
        <v>Valid</v>
      </c>
      <c r="T459" t="s">
        <v>6070</v>
      </c>
      <c r="V459" t="s">
        <v>64</v>
      </c>
      <c r="X459">
        <v>13829.9</v>
      </c>
      <c r="Y459" t="s">
        <v>17</v>
      </c>
      <c r="Z459">
        <v>277</v>
      </c>
      <c r="AA459">
        <f t="shared" si="15"/>
        <v>277</v>
      </c>
      <c r="AB459" t="s">
        <v>50</v>
      </c>
    </row>
    <row r="460" spans="1:28" x14ac:dyDescent="0.3">
      <c r="A460" t="s">
        <v>6069</v>
      </c>
      <c r="B460" t="s">
        <v>6068</v>
      </c>
      <c r="C460" t="s">
        <v>6068</v>
      </c>
      <c r="D460" t="s">
        <v>22</v>
      </c>
      <c r="E460">
        <v>29</v>
      </c>
      <c r="F460">
        <v>29</v>
      </c>
      <c r="G460" t="s">
        <v>21</v>
      </c>
      <c r="H460" t="s">
        <v>21</v>
      </c>
      <c r="I460" t="s">
        <v>85</v>
      </c>
      <c r="J460" t="s">
        <v>85</v>
      </c>
      <c r="K460" s="1">
        <v>46124</v>
      </c>
      <c r="L460" s="1" t="str">
        <f>IF(K460&gt;O460,"Valid","Invalid")</f>
        <v>Valid</v>
      </c>
      <c r="M460" s="1" t="b">
        <f>ISNUMBER(K460)</f>
        <v>1</v>
      </c>
      <c r="N460" s="1" t="b">
        <f>ISNUMBER(O460)</f>
        <v>1</v>
      </c>
      <c r="O460" s="1">
        <v>46095</v>
      </c>
      <c r="P460" t="s">
        <v>6067</v>
      </c>
      <c r="Q460" t="str">
        <f>SUBSTITUTE(SUBSTITUTE(SUBSTITUTE(P460," ",""),"-",""),"+","")</f>
        <v>0641077145</v>
      </c>
      <c r="R460" t="str">
        <f t="shared" si="14"/>
        <v>0641077145</v>
      </c>
      <c r="S460" t="str">
        <f>IF(LEN(R460),"Valid","Invalid")</f>
        <v>Valid</v>
      </c>
      <c r="T460" t="s">
        <v>6066</v>
      </c>
      <c r="V460" t="s">
        <v>123</v>
      </c>
      <c r="X460">
        <v>14457.69</v>
      </c>
      <c r="Y460" t="s">
        <v>63</v>
      </c>
      <c r="Z460">
        <v>189</v>
      </c>
      <c r="AA460">
        <f t="shared" si="15"/>
        <v>189</v>
      </c>
      <c r="AB460" t="s">
        <v>16</v>
      </c>
    </row>
    <row r="461" spans="1:28" x14ac:dyDescent="0.3">
      <c r="A461" t="s">
        <v>6065</v>
      </c>
      <c r="B461" t="s">
        <v>6064</v>
      </c>
      <c r="C461" t="s">
        <v>8046</v>
      </c>
      <c r="D461" t="s">
        <v>74</v>
      </c>
      <c r="E461">
        <v>72</v>
      </c>
      <c r="F461">
        <v>72</v>
      </c>
      <c r="G461" t="s">
        <v>80</v>
      </c>
      <c r="H461" t="s">
        <v>80</v>
      </c>
      <c r="I461" t="s">
        <v>30</v>
      </c>
      <c r="J461" t="s">
        <v>30</v>
      </c>
      <c r="K461" s="1">
        <v>46016</v>
      </c>
      <c r="L461" s="1" t="str">
        <f>IF(K461&gt;O461,"Valid","Invalid")</f>
        <v>Valid</v>
      </c>
      <c r="M461" s="1" t="b">
        <f>ISNUMBER(K461)</f>
        <v>1</v>
      </c>
      <c r="N461" s="1" t="b">
        <f>ISNUMBER(O461)</f>
        <v>1</v>
      </c>
      <c r="O461" s="1">
        <v>46006</v>
      </c>
      <c r="P461" t="s">
        <v>6063</v>
      </c>
      <c r="Q461" t="str">
        <f>SUBSTITUTE(SUBSTITUTE(SUBSTITUTE(P461," ",""),"-",""),"+","")</f>
        <v>00246806804</v>
      </c>
      <c r="R461" t="str">
        <f t="shared" si="14"/>
        <v>0246806804</v>
      </c>
      <c r="S461" t="str">
        <f>IF(LEN(R461),"Valid","Invalid")</f>
        <v>Valid</v>
      </c>
      <c r="T461" t="s">
        <v>6062</v>
      </c>
      <c r="V461" t="s">
        <v>64</v>
      </c>
      <c r="X461">
        <v>20112.97</v>
      </c>
      <c r="Y461" t="s">
        <v>63</v>
      </c>
      <c r="Z461">
        <v>548</v>
      </c>
      <c r="AA461">
        <f t="shared" si="15"/>
        <v>548</v>
      </c>
      <c r="AB461" t="s">
        <v>34</v>
      </c>
    </row>
    <row r="462" spans="1:28" x14ac:dyDescent="0.3">
      <c r="A462" t="s">
        <v>6061</v>
      </c>
      <c r="B462" t="s">
        <v>6060</v>
      </c>
      <c r="C462" t="s">
        <v>6060</v>
      </c>
      <c r="D462" t="s">
        <v>22</v>
      </c>
      <c r="E462">
        <v>89</v>
      </c>
      <c r="F462">
        <v>89</v>
      </c>
      <c r="G462" t="s">
        <v>68</v>
      </c>
      <c r="H462" t="s">
        <v>68</v>
      </c>
      <c r="I462" t="s">
        <v>90</v>
      </c>
      <c r="J462" t="s">
        <v>67</v>
      </c>
      <c r="K462" s="1">
        <v>46074</v>
      </c>
      <c r="L462" s="1" t="str">
        <f>IF(K462&gt;O462,"Valid","Invalid")</f>
        <v>Valid</v>
      </c>
      <c r="M462" s="1" t="b">
        <f>ISNUMBER(K462)</f>
        <v>1</v>
      </c>
      <c r="N462" s="1" t="b">
        <f>ISNUMBER(O462)</f>
        <v>1</v>
      </c>
      <c r="O462" s="1">
        <v>46056</v>
      </c>
      <c r="P462" t="s">
        <v>6059</v>
      </c>
      <c r="Q462" t="str">
        <f>SUBSTITUTE(SUBSTITUTE(SUBSTITUTE(P462," ",""),"-",""),"+","")</f>
        <v>912390568744</v>
      </c>
      <c r="R462" t="str">
        <f t="shared" si="14"/>
        <v>2390568744</v>
      </c>
      <c r="S462" t="str">
        <f>IF(LEN(R462),"Valid","Invalid")</f>
        <v>Valid</v>
      </c>
      <c r="T462" t="s">
        <v>6058</v>
      </c>
      <c r="V462" t="s">
        <v>123</v>
      </c>
      <c r="X462">
        <v>19295.189999999999</v>
      </c>
      <c r="Y462" t="s">
        <v>17</v>
      </c>
      <c r="Z462">
        <v>497</v>
      </c>
      <c r="AA462">
        <f t="shared" si="15"/>
        <v>497</v>
      </c>
      <c r="AB462" t="s">
        <v>16</v>
      </c>
    </row>
    <row r="463" spans="1:28" x14ac:dyDescent="0.3">
      <c r="A463" t="s">
        <v>6057</v>
      </c>
      <c r="B463" t="s">
        <v>6056</v>
      </c>
      <c r="C463" t="s">
        <v>6056</v>
      </c>
      <c r="E463">
        <v>76</v>
      </c>
      <c r="F463">
        <v>76</v>
      </c>
      <c r="G463" t="s">
        <v>47</v>
      </c>
      <c r="H463" t="s">
        <v>47</v>
      </c>
      <c r="I463" t="s">
        <v>85</v>
      </c>
      <c r="J463" t="s">
        <v>85</v>
      </c>
      <c r="K463" s="1">
        <v>46065</v>
      </c>
      <c r="L463" s="1" t="str">
        <f>IF(K463&gt;O463,"Valid","Invalid")</f>
        <v>Valid</v>
      </c>
      <c r="M463" s="1" t="b">
        <f>ISNUMBER(K463)</f>
        <v>1</v>
      </c>
      <c r="N463" s="1" t="b">
        <f>ISNUMBER(O463)</f>
        <v>1</v>
      </c>
      <c r="O463" s="1">
        <v>46062</v>
      </c>
      <c r="P463" t="s">
        <v>6055</v>
      </c>
      <c r="Q463" t="str">
        <f>SUBSTITUTE(SUBSTITUTE(SUBSTITUTE(P463," ",""),"-",""),"+","")</f>
        <v>2671129164</v>
      </c>
      <c r="R463" t="str">
        <f t="shared" si="14"/>
        <v>2671129164</v>
      </c>
      <c r="S463" t="str">
        <f>IF(LEN(R463),"Valid","Invalid")</f>
        <v>Valid</v>
      </c>
      <c r="T463" t="s">
        <v>6054</v>
      </c>
      <c r="V463" t="s">
        <v>26</v>
      </c>
      <c r="X463">
        <v>1875.35</v>
      </c>
      <c r="Y463" t="s">
        <v>57</v>
      </c>
      <c r="Z463">
        <v>446</v>
      </c>
      <c r="AA463">
        <f t="shared" si="15"/>
        <v>446</v>
      </c>
      <c r="AB463" t="s">
        <v>25</v>
      </c>
    </row>
    <row r="464" spans="1:28" x14ac:dyDescent="0.3">
      <c r="A464" t="s">
        <v>6053</v>
      </c>
      <c r="B464" t="s">
        <v>6052</v>
      </c>
      <c r="C464" t="s">
        <v>6052</v>
      </c>
      <c r="D464" t="s">
        <v>1</v>
      </c>
      <c r="E464">
        <v>41</v>
      </c>
      <c r="F464">
        <v>41</v>
      </c>
      <c r="G464" t="s">
        <v>54</v>
      </c>
      <c r="H464" t="s">
        <v>54</v>
      </c>
      <c r="I464" t="s">
        <v>67</v>
      </c>
      <c r="J464" t="s">
        <v>67</v>
      </c>
      <c r="K464" s="1">
        <v>46106</v>
      </c>
      <c r="L464" s="1" t="str">
        <f>IF(K464&gt;O464,"Valid","Invalid")</f>
        <v>Valid</v>
      </c>
      <c r="M464" s="1" t="b">
        <f>ISNUMBER(K464)</f>
        <v>1</v>
      </c>
      <c r="N464" s="1" t="b">
        <f>ISNUMBER(O464)</f>
        <v>1</v>
      </c>
      <c r="O464" s="1">
        <v>46090</v>
      </c>
      <c r="P464" t="s">
        <v>6051</v>
      </c>
      <c r="Q464" t="str">
        <f>SUBSTITUTE(SUBSTITUTE(SUBSTITUTE(P464," ",""),"-",""),"+","")</f>
        <v>5562320699</v>
      </c>
      <c r="R464" t="str">
        <f t="shared" si="14"/>
        <v>5562320699</v>
      </c>
      <c r="S464" t="str">
        <f>IF(LEN(R464),"Valid","Invalid")</f>
        <v>Valid</v>
      </c>
      <c r="T464" t="s">
        <v>6050</v>
      </c>
      <c r="V464" t="s">
        <v>27</v>
      </c>
      <c r="X464">
        <v>17580.3</v>
      </c>
      <c r="Y464" t="s">
        <v>63</v>
      </c>
      <c r="Z464">
        <v>227</v>
      </c>
      <c r="AA464">
        <f t="shared" si="15"/>
        <v>227</v>
      </c>
      <c r="AB464" t="s">
        <v>43</v>
      </c>
    </row>
    <row r="465" spans="1:28" x14ac:dyDescent="0.3">
      <c r="A465" t="s">
        <v>6049</v>
      </c>
      <c r="B465" t="s">
        <v>6048</v>
      </c>
      <c r="C465" t="s">
        <v>6048</v>
      </c>
      <c r="D465" t="s">
        <v>74</v>
      </c>
      <c r="E465">
        <v>52</v>
      </c>
      <c r="F465">
        <v>52</v>
      </c>
      <c r="G465" t="s">
        <v>31</v>
      </c>
      <c r="H465" t="s">
        <v>31</v>
      </c>
      <c r="I465" t="s">
        <v>20</v>
      </c>
      <c r="J465" t="s">
        <v>20</v>
      </c>
      <c r="K465" s="1">
        <v>46082</v>
      </c>
      <c r="L465" s="1" t="str">
        <f>IF(K465&gt;O465,"Valid","Invalid")</f>
        <v>Valid</v>
      </c>
      <c r="M465" s="1" t="b">
        <f>ISNUMBER(K465)</f>
        <v>1</v>
      </c>
      <c r="N465" s="1" t="b">
        <f>ISNUMBER(O465)</f>
        <v>1</v>
      </c>
      <c r="O465" s="1">
        <v>46065</v>
      </c>
      <c r="P465" t="s">
        <v>6047</v>
      </c>
      <c r="Q465" t="str">
        <f>SUBSTITUTE(SUBSTITUTE(SUBSTITUTE(P465," ",""),"-",""),"+","")</f>
        <v>915566958380</v>
      </c>
      <c r="R465" t="str">
        <f t="shared" si="14"/>
        <v>5566958380</v>
      </c>
      <c r="S465" t="str">
        <f>IF(LEN(R465),"Valid","Invalid")</f>
        <v>Valid</v>
      </c>
      <c r="T465" t="s">
        <v>6046</v>
      </c>
      <c r="V465" t="s">
        <v>35</v>
      </c>
      <c r="X465">
        <v>12018.58</v>
      </c>
      <c r="Y465" t="s">
        <v>17</v>
      </c>
      <c r="Z465">
        <v>211</v>
      </c>
      <c r="AA465">
        <f t="shared" si="15"/>
        <v>211</v>
      </c>
      <c r="AB465" t="s">
        <v>34</v>
      </c>
    </row>
    <row r="466" spans="1:28" x14ac:dyDescent="0.3">
      <c r="A466" t="s">
        <v>6045</v>
      </c>
      <c r="B466" t="s">
        <v>6044</v>
      </c>
      <c r="C466" t="s">
        <v>6044</v>
      </c>
      <c r="D466" t="s">
        <v>22</v>
      </c>
      <c r="E466">
        <v>24</v>
      </c>
      <c r="F466">
        <v>24</v>
      </c>
      <c r="G466" t="s">
        <v>21</v>
      </c>
      <c r="H466" t="s">
        <v>21</v>
      </c>
      <c r="I466" t="s">
        <v>85</v>
      </c>
      <c r="J466" t="s">
        <v>85</v>
      </c>
      <c r="K466" s="1">
        <v>46120</v>
      </c>
      <c r="L466" s="1" t="str">
        <f>IF(K466&gt;O466,"Valid","Invalid")</f>
        <v>Valid</v>
      </c>
      <c r="M466" s="1" t="b">
        <f>ISNUMBER(K466)</f>
        <v>1</v>
      </c>
      <c r="N466" s="1" t="b">
        <f>ISNUMBER(O466)</f>
        <v>1</v>
      </c>
      <c r="O466" s="1">
        <v>46097</v>
      </c>
      <c r="P466" t="s">
        <v>6043</v>
      </c>
      <c r="Q466" t="str">
        <f>SUBSTITUTE(SUBSTITUTE(SUBSTITUTE(P466," ",""),"-",""),"+","")</f>
        <v>918851479634</v>
      </c>
      <c r="R466" t="str">
        <f t="shared" si="14"/>
        <v>8851479634</v>
      </c>
      <c r="S466" t="str">
        <f>IF(LEN(R466),"Valid","Invalid")</f>
        <v>Valid</v>
      </c>
      <c r="T466" t="s">
        <v>6042</v>
      </c>
      <c r="V466" t="s">
        <v>17</v>
      </c>
      <c r="X466">
        <v>6024.56</v>
      </c>
      <c r="Y466" t="s">
        <v>57</v>
      </c>
      <c r="Z466">
        <v>546</v>
      </c>
      <c r="AA466">
        <f t="shared" si="15"/>
        <v>546</v>
      </c>
      <c r="AB466" t="s">
        <v>43</v>
      </c>
    </row>
    <row r="467" spans="1:28" x14ac:dyDescent="0.3">
      <c r="A467" t="s">
        <v>6041</v>
      </c>
      <c r="B467" t="s">
        <v>6040</v>
      </c>
      <c r="C467" t="s">
        <v>6040</v>
      </c>
      <c r="D467" t="s">
        <v>1</v>
      </c>
      <c r="E467">
        <v>30</v>
      </c>
      <c r="F467">
        <v>30</v>
      </c>
      <c r="G467" t="s">
        <v>21</v>
      </c>
      <c r="H467" t="s">
        <v>21</v>
      </c>
      <c r="I467" t="s">
        <v>38</v>
      </c>
      <c r="J467" t="s">
        <v>8077</v>
      </c>
      <c r="K467" s="1">
        <v>46127</v>
      </c>
      <c r="L467" s="1" t="str">
        <f>IF(K467&gt;O467,"Valid","Invalid")</f>
        <v>Valid</v>
      </c>
      <c r="M467" s="1" t="b">
        <f>ISNUMBER(K467)</f>
        <v>1</v>
      </c>
      <c r="N467" s="1" t="b">
        <f>ISNUMBER(O467)</f>
        <v>1</v>
      </c>
      <c r="O467" s="1">
        <v>46101</v>
      </c>
      <c r="P467" t="s">
        <v>6039</v>
      </c>
      <c r="Q467" t="str">
        <f>SUBSTITUTE(SUBSTITUTE(SUBSTITUTE(P467," ",""),"-",""),"+","")</f>
        <v>918990442021</v>
      </c>
      <c r="R467" t="str">
        <f t="shared" si="14"/>
        <v>8990442021</v>
      </c>
      <c r="S467" t="str">
        <f>IF(LEN(R467),"Valid","Invalid")</f>
        <v>Valid</v>
      </c>
      <c r="T467" t="s">
        <v>6038</v>
      </c>
      <c r="V467" t="s">
        <v>57</v>
      </c>
      <c r="X467">
        <v>4068.69</v>
      </c>
      <c r="Y467" t="s">
        <v>64</v>
      </c>
      <c r="Z467">
        <v>161</v>
      </c>
      <c r="AA467">
        <f t="shared" si="15"/>
        <v>161</v>
      </c>
      <c r="AB467" t="s">
        <v>77</v>
      </c>
    </row>
    <row r="468" spans="1:28" x14ac:dyDescent="0.3">
      <c r="A468" t="s">
        <v>6037</v>
      </c>
      <c r="B468" t="s">
        <v>6036</v>
      </c>
      <c r="C468" t="s">
        <v>6036</v>
      </c>
      <c r="E468">
        <v>79</v>
      </c>
      <c r="F468">
        <v>79</v>
      </c>
      <c r="G468" t="s">
        <v>47</v>
      </c>
      <c r="H468" t="s">
        <v>47</v>
      </c>
      <c r="I468" t="s">
        <v>46</v>
      </c>
      <c r="J468" t="s">
        <v>46</v>
      </c>
      <c r="K468" s="1">
        <v>46133</v>
      </c>
      <c r="L468" s="1" t="str">
        <f>IF(K468&gt;O468,"Valid","Invalid")</f>
        <v>Valid</v>
      </c>
      <c r="M468" s="1" t="b">
        <f>ISNUMBER(K468)</f>
        <v>1</v>
      </c>
      <c r="N468" s="1" t="b">
        <f>ISNUMBER(O468)</f>
        <v>1</v>
      </c>
      <c r="O468" s="1">
        <v>46106</v>
      </c>
      <c r="P468" t="s">
        <v>6035</v>
      </c>
      <c r="Q468" t="str">
        <f>SUBSTITUTE(SUBSTITUTE(SUBSTITUTE(P468," ",""),"-",""),"+","")</f>
        <v>917500010140</v>
      </c>
      <c r="R468" t="str">
        <f t="shared" si="14"/>
        <v>7500010140</v>
      </c>
      <c r="S468" t="str">
        <f>IF(LEN(R468),"Valid","Invalid")</f>
        <v>Valid</v>
      </c>
      <c r="T468" t="s">
        <v>6034</v>
      </c>
      <c r="V468" t="s">
        <v>123</v>
      </c>
      <c r="X468">
        <v>9405.67</v>
      </c>
      <c r="Y468" t="s">
        <v>17</v>
      </c>
      <c r="Z468">
        <v>352</v>
      </c>
      <c r="AA468">
        <f t="shared" si="15"/>
        <v>352</v>
      </c>
      <c r="AB468" t="s">
        <v>34</v>
      </c>
    </row>
    <row r="469" spans="1:28" x14ac:dyDescent="0.3">
      <c r="A469" t="s">
        <v>6033</v>
      </c>
      <c r="B469" t="s">
        <v>6032</v>
      </c>
      <c r="C469" t="s">
        <v>6032</v>
      </c>
      <c r="D469" t="s">
        <v>22</v>
      </c>
      <c r="E469">
        <v>63</v>
      </c>
      <c r="F469">
        <v>63</v>
      </c>
      <c r="G469" t="s">
        <v>39</v>
      </c>
      <c r="H469" t="s">
        <v>39</v>
      </c>
      <c r="I469" t="s">
        <v>30</v>
      </c>
      <c r="J469" t="s">
        <v>30</v>
      </c>
      <c r="K469" s="1">
        <v>46078</v>
      </c>
      <c r="L469" s="1" t="str">
        <f>IF(K469&gt;O469,"Valid","Invalid")</f>
        <v>Valid</v>
      </c>
      <c r="M469" s="1" t="b">
        <f>ISNUMBER(K469)</f>
        <v>1</v>
      </c>
      <c r="N469" s="1" t="b">
        <f>ISNUMBER(O469)</f>
        <v>1</v>
      </c>
      <c r="O469" s="1">
        <v>46066</v>
      </c>
      <c r="P469" t="s">
        <v>6031</v>
      </c>
      <c r="Q469" t="str">
        <f>SUBSTITUTE(SUBSTITUTE(SUBSTITUTE(P469," ",""),"-",""),"+","")</f>
        <v>6760532267</v>
      </c>
      <c r="R469" t="str">
        <f t="shared" si="14"/>
        <v>6760532267</v>
      </c>
      <c r="S469" t="str">
        <f>IF(LEN(R469),"Valid","Invalid")</f>
        <v>Valid</v>
      </c>
      <c r="T469" t="s">
        <v>6030</v>
      </c>
      <c r="V469" t="s">
        <v>17</v>
      </c>
      <c r="X469">
        <v>18804.2</v>
      </c>
      <c r="Y469" t="s">
        <v>26</v>
      </c>
      <c r="Z469">
        <v>127</v>
      </c>
      <c r="AA469">
        <f t="shared" si="15"/>
        <v>127</v>
      </c>
      <c r="AB469" t="s">
        <v>34</v>
      </c>
    </row>
    <row r="470" spans="1:28" x14ac:dyDescent="0.3">
      <c r="A470" t="s">
        <v>6029</v>
      </c>
      <c r="B470" t="s">
        <v>6028</v>
      </c>
      <c r="C470" t="s">
        <v>6028</v>
      </c>
      <c r="D470" t="s">
        <v>123</v>
      </c>
      <c r="E470">
        <v>62</v>
      </c>
      <c r="F470">
        <v>62</v>
      </c>
      <c r="G470" t="s">
        <v>47</v>
      </c>
      <c r="H470" t="s">
        <v>47</v>
      </c>
      <c r="I470" t="s">
        <v>67</v>
      </c>
      <c r="J470" t="s">
        <v>67</v>
      </c>
      <c r="K470" s="1">
        <v>46056</v>
      </c>
      <c r="L470" s="1" t="str">
        <f>IF(K470&gt;O470,"Valid","Invalid")</f>
        <v>Valid</v>
      </c>
      <c r="M470" s="1" t="b">
        <f>ISNUMBER(K470)</f>
        <v>1</v>
      </c>
      <c r="N470" s="1" t="b">
        <f>ISNUMBER(O470)</f>
        <v>1</v>
      </c>
      <c r="O470" s="1">
        <v>46044</v>
      </c>
      <c r="P470" t="s">
        <v>6027</v>
      </c>
      <c r="Q470" t="str">
        <f>SUBSTITUTE(SUBSTITUTE(SUBSTITUTE(P470," ",""),"-",""),"+","")</f>
        <v>912802959986</v>
      </c>
      <c r="R470" t="str">
        <f t="shared" si="14"/>
        <v>2802959986</v>
      </c>
      <c r="S470" t="str">
        <f>IF(LEN(R470),"Valid","Invalid")</f>
        <v>Valid</v>
      </c>
      <c r="T470" t="s">
        <v>6026</v>
      </c>
      <c r="V470" t="s">
        <v>35</v>
      </c>
      <c r="X470">
        <v>11538.46</v>
      </c>
      <c r="Y470" t="s">
        <v>64</v>
      </c>
      <c r="Z470">
        <v>457</v>
      </c>
      <c r="AA470">
        <f t="shared" si="15"/>
        <v>457</v>
      </c>
      <c r="AB470" t="s">
        <v>34</v>
      </c>
    </row>
    <row r="471" spans="1:28" x14ac:dyDescent="0.3">
      <c r="A471" t="s">
        <v>6025</v>
      </c>
      <c r="B471" t="s">
        <v>6024</v>
      </c>
      <c r="C471" t="s">
        <v>6024</v>
      </c>
      <c r="E471">
        <v>41</v>
      </c>
      <c r="F471">
        <v>41</v>
      </c>
      <c r="G471" t="s">
        <v>47</v>
      </c>
      <c r="H471" t="s">
        <v>47</v>
      </c>
      <c r="I471" t="s">
        <v>46</v>
      </c>
      <c r="J471" t="s">
        <v>46</v>
      </c>
      <c r="K471" s="1">
        <v>46070</v>
      </c>
      <c r="L471" s="1" t="str">
        <f>IF(K471&gt;O471,"Valid","Invalid")</f>
        <v>Valid</v>
      </c>
      <c r="M471" s="1" t="b">
        <f>ISNUMBER(K471)</f>
        <v>1</v>
      </c>
      <c r="N471" s="1" t="b">
        <f>ISNUMBER(O471)</f>
        <v>1</v>
      </c>
      <c r="O471" s="1">
        <v>46049</v>
      </c>
      <c r="P471" t="s">
        <v>6023</v>
      </c>
      <c r="Q471" t="str">
        <f>SUBSTITUTE(SUBSTITUTE(SUBSTITUTE(P471," ",""),"-",""),"+","")</f>
        <v>6229984938</v>
      </c>
      <c r="R471" t="str">
        <f t="shared" si="14"/>
        <v>6229984938</v>
      </c>
      <c r="S471" t="str">
        <f>IF(LEN(R471),"Valid","Invalid")</f>
        <v>Valid</v>
      </c>
      <c r="T471" t="s">
        <v>6022</v>
      </c>
      <c r="V471" t="s">
        <v>17</v>
      </c>
      <c r="X471">
        <v>9609.81</v>
      </c>
      <c r="Y471" t="s">
        <v>64</v>
      </c>
      <c r="Z471">
        <v>266</v>
      </c>
      <c r="AA471">
        <f t="shared" si="15"/>
        <v>266</v>
      </c>
      <c r="AB471" t="s">
        <v>43</v>
      </c>
    </row>
    <row r="472" spans="1:28" x14ac:dyDescent="0.3">
      <c r="A472" t="s">
        <v>6021</v>
      </c>
      <c r="B472" t="s">
        <v>6020</v>
      </c>
      <c r="C472" t="s">
        <v>6020</v>
      </c>
      <c r="D472" t="s">
        <v>22</v>
      </c>
      <c r="E472">
        <v>24</v>
      </c>
      <c r="F472">
        <v>24</v>
      </c>
      <c r="G472" t="s">
        <v>132</v>
      </c>
      <c r="H472" t="s">
        <v>132</v>
      </c>
      <c r="I472" t="s">
        <v>38</v>
      </c>
      <c r="J472" t="s">
        <v>8077</v>
      </c>
      <c r="K472" s="1">
        <v>45984</v>
      </c>
      <c r="L472" s="1" t="str">
        <f>IF(K472&gt;O472,"Valid","Invalid")</f>
        <v>Valid</v>
      </c>
      <c r="M472" s="1" t="b">
        <f>ISNUMBER(K472)</f>
        <v>1</v>
      </c>
      <c r="N472" s="1" t="b">
        <f>ISNUMBER(O472)</f>
        <v>1</v>
      </c>
      <c r="O472" s="1">
        <v>45976</v>
      </c>
      <c r="P472" t="s">
        <v>6019</v>
      </c>
      <c r="Q472" t="str">
        <f>SUBSTITUTE(SUBSTITUTE(SUBSTITUTE(P472," ",""),"-",""),"+","")</f>
        <v>05624058615</v>
      </c>
      <c r="R472" t="str">
        <f t="shared" si="14"/>
        <v>5624058615</v>
      </c>
      <c r="S472" t="str">
        <f>IF(LEN(R472),"Valid","Invalid")</f>
        <v>Valid</v>
      </c>
      <c r="T472" t="s">
        <v>6018</v>
      </c>
      <c r="V472" t="s">
        <v>123</v>
      </c>
      <c r="X472">
        <v>23971.47</v>
      </c>
      <c r="Y472" t="s">
        <v>17</v>
      </c>
      <c r="Z472">
        <v>287</v>
      </c>
      <c r="AA472">
        <f t="shared" si="15"/>
        <v>287</v>
      </c>
      <c r="AB472" t="s">
        <v>71</v>
      </c>
    </row>
    <row r="473" spans="1:28" x14ac:dyDescent="0.3">
      <c r="A473" t="s">
        <v>6017</v>
      </c>
      <c r="B473" t="s">
        <v>6016</v>
      </c>
      <c r="C473" t="s">
        <v>6016</v>
      </c>
      <c r="E473">
        <v>55</v>
      </c>
      <c r="F473">
        <v>55</v>
      </c>
      <c r="G473" t="s">
        <v>21</v>
      </c>
      <c r="H473" t="s">
        <v>21</v>
      </c>
      <c r="I473" t="s">
        <v>90</v>
      </c>
      <c r="J473" t="s">
        <v>67</v>
      </c>
      <c r="K473" s="1">
        <v>46122</v>
      </c>
      <c r="L473" s="1" t="str">
        <f>IF(K473&gt;O473,"Valid","Invalid")</f>
        <v>Valid</v>
      </c>
      <c r="M473" s="1" t="b">
        <f>ISNUMBER(K473)</f>
        <v>1</v>
      </c>
      <c r="N473" s="1" t="b">
        <f>ISNUMBER(O473)</f>
        <v>1</v>
      </c>
      <c r="O473" s="1">
        <v>46100</v>
      </c>
      <c r="P473" t="s">
        <v>6015</v>
      </c>
      <c r="Q473" t="str">
        <f>SUBSTITUTE(SUBSTITUTE(SUBSTITUTE(P473," ",""),"-",""),"+","")</f>
        <v>03158210896</v>
      </c>
      <c r="R473" t="str">
        <f t="shared" si="14"/>
        <v>3158210896</v>
      </c>
      <c r="S473" t="str">
        <f>IF(LEN(R473),"Valid","Invalid")</f>
        <v>Valid</v>
      </c>
      <c r="T473" t="s">
        <v>6014</v>
      </c>
      <c r="V473" t="s">
        <v>57</v>
      </c>
      <c r="X473">
        <v>9253.93</v>
      </c>
      <c r="Y473" t="s">
        <v>123</v>
      </c>
      <c r="Z473">
        <v>243</v>
      </c>
      <c r="AA473">
        <f t="shared" si="15"/>
        <v>243</v>
      </c>
      <c r="AB473" t="s">
        <v>16</v>
      </c>
    </row>
    <row r="474" spans="1:28" x14ac:dyDescent="0.3">
      <c r="A474" t="s">
        <v>6013</v>
      </c>
      <c r="B474" t="s">
        <v>6012</v>
      </c>
      <c r="C474" t="s">
        <v>6012</v>
      </c>
      <c r="D474" t="s">
        <v>0</v>
      </c>
      <c r="E474">
        <v>74</v>
      </c>
      <c r="F474">
        <v>74</v>
      </c>
      <c r="G474" t="s">
        <v>39</v>
      </c>
      <c r="H474" t="s">
        <v>39</v>
      </c>
      <c r="I474" t="s">
        <v>38</v>
      </c>
      <c r="J474" t="s">
        <v>8077</v>
      </c>
      <c r="K474" s="1">
        <v>46012</v>
      </c>
      <c r="L474" s="1" t="str">
        <f>IF(K474&gt;O474,"Valid","Invalid")</f>
        <v>Valid</v>
      </c>
      <c r="M474" s="1" t="b">
        <f>ISNUMBER(K474)</f>
        <v>1</v>
      </c>
      <c r="N474" s="1" t="b">
        <f>ISNUMBER(O474)</f>
        <v>1</v>
      </c>
      <c r="O474" s="1">
        <v>45986</v>
      </c>
      <c r="P474" t="s">
        <v>6011</v>
      </c>
      <c r="Q474" t="str">
        <f>SUBSTITUTE(SUBSTITUTE(SUBSTITUTE(P474," ",""),"-",""),"+","")</f>
        <v>5021628471</v>
      </c>
      <c r="R474" t="str">
        <f t="shared" si="14"/>
        <v>5021628471</v>
      </c>
      <c r="S474" t="str">
        <f>IF(LEN(R474),"Valid","Invalid")</f>
        <v>Valid</v>
      </c>
      <c r="T474" t="s">
        <v>6010</v>
      </c>
      <c r="V474" t="s">
        <v>64</v>
      </c>
      <c r="X474">
        <v>18076.22</v>
      </c>
      <c r="Y474" t="s">
        <v>57</v>
      </c>
      <c r="Z474">
        <v>384</v>
      </c>
      <c r="AA474">
        <f t="shared" si="15"/>
        <v>384</v>
      </c>
      <c r="AB474" t="s">
        <v>16</v>
      </c>
    </row>
    <row r="475" spans="1:28" x14ac:dyDescent="0.3">
      <c r="A475" t="s">
        <v>6009</v>
      </c>
      <c r="B475" t="s">
        <v>6008</v>
      </c>
      <c r="C475" t="s">
        <v>6008</v>
      </c>
      <c r="D475" t="s">
        <v>123</v>
      </c>
      <c r="E475">
        <v>26</v>
      </c>
      <c r="F475">
        <v>26</v>
      </c>
      <c r="G475" t="s">
        <v>39</v>
      </c>
      <c r="H475" t="s">
        <v>39</v>
      </c>
      <c r="I475" t="s">
        <v>53</v>
      </c>
      <c r="J475" t="s">
        <v>20</v>
      </c>
      <c r="K475" s="1">
        <v>46123</v>
      </c>
      <c r="L475" s="1" t="str">
        <f>IF(K475&gt;O475,"Valid","Invalid")</f>
        <v>Valid</v>
      </c>
      <c r="M475" s="1" t="b">
        <f>ISNUMBER(K475)</f>
        <v>1</v>
      </c>
      <c r="N475" s="1" t="b">
        <f>ISNUMBER(O475)</f>
        <v>1</v>
      </c>
      <c r="O475" s="1">
        <v>46108</v>
      </c>
      <c r="P475" t="s">
        <v>6007</v>
      </c>
      <c r="Q475" t="str">
        <f>SUBSTITUTE(SUBSTITUTE(SUBSTITUTE(P475," ",""),"-",""),"+","")</f>
        <v>09440606159</v>
      </c>
      <c r="R475" t="str">
        <f t="shared" si="14"/>
        <v>9440606159</v>
      </c>
      <c r="S475" t="str">
        <f>IF(LEN(R475),"Valid","Invalid")</f>
        <v>Valid</v>
      </c>
      <c r="T475" t="s">
        <v>6006</v>
      </c>
      <c r="V475" t="s">
        <v>27</v>
      </c>
      <c r="X475">
        <v>4579.8599999999997</v>
      </c>
      <c r="Y475" t="s">
        <v>123</v>
      </c>
      <c r="Z475">
        <v>168</v>
      </c>
      <c r="AA475">
        <f t="shared" si="15"/>
        <v>168</v>
      </c>
      <c r="AB475" t="s">
        <v>50</v>
      </c>
    </row>
    <row r="476" spans="1:28" x14ac:dyDescent="0.3">
      <c r="A476" t="s">
        <v>6005</v>
      </c>
      <c r="B476" t="s">
        <v>6004</v>
      </c>
      <c r="C476" t="s">
        <v>6004</v>
      </c>
      <c r="D476" t="s">
        <v>60</v>
      </c>
      <c r="E476">
        <v>63</v>
      </c>
      <c r="F476">
        <v>63</v>
      </c>
      <c r="G476" t="s">
        <v>132</v>
      </c>
      <c r="H476" t="s">
        <v>132</v>
      </c>
      <c r="I476" t="s">
        <v>30</v>
      </c>
      <c r="J476" t="s">
        <v>30</v>
      </c>
      <c r="K476" s="1">
        <v>46143</v>
      </c>
      <c r="L476" s="1" t="str">
        <f>IF(K476&gt;O476,"Valid","Invalid")</f>
        <v>Valid</v>
      </c>
      <c r="M476" s="1" t="b">
        <f>ISNUMBER(K476)</f>
        <v>1</v>
      </c>
      <c r="N476" s="1" t="b">
        <f>ISNUMBER(O476)</f>
        <v>1</v>
      </c>
      <c r="O476" s="1">
        <v>46126</v>
      </c>
      <c r="P476" t="s">
        <v>6003</v>
      </c>
      <c r="Q476" t="str">
        <f>SUBSTITUTE(SUBSTITUTE(SUBSTITUTE(P476," ",""),"-",""),"+","")</f>
        <v>02426420685</v>
      </c>
      <c r="R476" t="str">
        <f t="shared" si="14"/>
        <v>2426420685</v>
      </c>
      <c r="S476" t="str">
        <f>IF(LEN(R476),"Valid","Invalid")</f>
        <v>Valid</v>
      </c>
      <c r="T476" t="s">
        <v>6002</v>
      </c>
      <c r="V476" t="s">
        <v>27</v>
      </c>
      <c r="X476">
        <v>10080.370000000001</v>
      </c>
      <c r="Y476" t="s">
        <v>26</v>
      </c>
      <c r="Z476">
        <v>130</v>
      </c>
      <c r="AA476">
        <f t="shared" si="15"/>
        <v>130</v>
      </c>
      <c r="AB476" t="s">
        <v>71</v>
      </c>
    </row>
    <row r="477" spans="1:28" x14ac:dyDescent="0.3">
      <c r="A477" t="s">
        <v>6001</v>
      </c>
      <c r="B477" t="s">
        <v>6000</v>
      </c>
      <c r="C477" t="s">
        <v>6000</v>
      </c>
      <c r="D477" t="s">
        <v>22</v>
      </c>
      <c r="E477">
        <v>61</v>
      </c>
      <c r="F477">
        <v>61</v>
      </c>
      <c r="G477" t="s">
        <v>80</v>
      </c>
      <c r="H477" t="s">
        <v>80</v>
      </c>
      <c r="I477" t="s">
        <v>85</v>
      </c>
      <c r="J477" t="s">
        <v>85</v>
      </c>
      <c r="K477" s="1">
        <v>46031</v>
      </c>
      <c r="L477" s="1" t="str">
        <f>IF(K477&gt;O477,"Valid","Invalid")</f>
        <v>Valid</v>
      </c>
      <c r="M477" s="1" t="b">
        <f>ISNUMBER(K477)</f>
        <v>1</v>
      </c>
      <c r="N477" s="1" t="b">
        <f>ISNUMBER(O477)</f>
        <v>1</v>
      </c>
      <c r="O477" s="1">
        <v>46008</v>
      </c>
      <c r="P477" t="s">
        <v>5999</v>
      </c>
      <c r="Q477" t="str">
        <f>SUBSTITUTE(SUBSTITUTE(SUBSTITUTE(P477," ",""),"-",""),"+","")</f>
        <v>0272859578</v>
      </c>
      <c r="R477" t="str">
        <f t="shared" si="14"/>
        <v>0272859578</v>
      </c>
      <c r="S477" t="str">
        <f>IF(LEN(R477),"Valid","Invalid")</f>
        <v>Valid</v>
      </c>
      <c r="T477" t="s">
        <v>5998</v>
      </c>
      <c r="V477" t="s">
        <v>57</v>
      </c>
      <c r="X477">
        <v>6642.27</v>
      </c>
      <c r="Y477" t="s">
        <v>17</v>
      </c>
      <c r="Z477">
        <v>386</v>
      </c>
      <c r="AA477">
        <f t="shared" si="15"/>
        <v>386</v>
      </c>
      <c r="AB477" t="s">
        <v>34</v>
      </c>
    </row>
    <row r="478" spans="1:28" x14ac:dyDescent="0.3">
      <c r="A478" t="s">
        <v>5997</v>
      </c>
      <c r="B478" t="s">
        <v>5996</v>
      </c>
      <c r="C478" t="s">
        <v>5996</v>
      </c>
      <c r="D478" t="s">
        <v>22</v>
      </c>
      <c r="E478">
        <v>45</v>
      </c>
      <c r="F478">
        <v>45</v>
      </c>
      <c r="G478" t="s">
        <v>47</v>
      </c>
      <c r="H478" t="s">
        <v>47</v>
      </c>
      <c r="I478" t="s">
        <v>90</v>
      </c>
      <c r="J478" t="s">
        <v>67</v>
      </c>
      <c r="K478" s="1">
        <v>46076</v>
      </c>
      <c r="L478" s="1" t="str">
        <f>IF(K478&gt;O478,"Valid","Invalid")</f>
        <v>Valid</v>
      </c>
      <c r="M478" s="1" t="b">
        <f>ISNUMBER(K478)</f>
        <v>1</v>
      </c>
      <c r="N478" s="1" t="b">
        <f>ISNUMBER(O478)</f>
        <v>1</v>
      </c>
      <c r="O478" s="1">
        <v>46073</v>
      </c>
      <c r="P478" t="s">
        <v>5995</v>
      </c>
      <c r="Q478" t="str">
        <f>SUBSTITUTE(SUBSTITUTE(SUBSTITUTE(P478," ",""),"-",""),"+","")</f>
        <v>5320277098</v>
      </c>
      <c r="R478" t="str">
        <f t="shared" si="14"/>
        <v>5320277098</v>
      </c>
      <c r="S478" t="str">
        <f>IF(LEN(R478),"Valid","Invalid")</f>
        <v>Valid</v>
      </c>
      <c r="T478" t="s">
        <v>5994</v>
      </c>
      <c r="V478" t="s">
        <v>57</v>
      </c>
      <c r="X478">
        <v>21710.74</v>
      </c>
      <c r="Y478" t="s">
        <v>57</v>
      </c>
      <c r="Z478">
        <v>395</v>
      </c>
      <c r="AA478">
        <f t="shared" si="15"/>
        <v>395</v>
      </c>
      <c r="AB478" t="s">
        <v>34</v>
      </c>
    </row>
    <row r="479" spans="1:28" x14ac:dyDescent="0.3">
      <c r="A479" t="s">
        <v>5993</v>
      </c>
      <c r="B479" t="s">
        <v>5992</v>
      </c>
      <c r="C479" t="s">
        <v>5992</v>
      </c>
      <c r="D479" t="s">
        <v>0</v>
      </c>
      <c r="E479">
        <v>37</v>
      </c>
      <c r="F479">
        <v>37</v>
      </c>
      <c r="G479" t="s">
        <v>31</v>
      </c>
      <c r="H479" t="s">
        <v>31</v>
      </c>
      <c r="I479" t="s">
        <v>67</v>
      </c>
      <c r="J479" t="s">
        <v>67</v>
      </c>
      <c r="K479" s="1">
        <v>46155</v>
      </c>
      <c r="L479" s="1" t="str">
        <f>IF(K479&gt;O479,"Valid","Invalid")</f>
        <v>Valid</v>
      </c>
      <c r="M479" s="1" t="b">
        <f>ISNUMBER(K479)</f>
        <v>1</v>
      </c>
      <c r="N479" s="1" t="b">
        <f>ISNUMBER(O479)</f>
        <v>1</v>
      </c>
      <c r="O479" s="1">
        <v>46134</v>
      </c>
      <c r="P479" t="s">
        <v>5991</v>
      </c>
      <c r="Q479" t="str">
        <f>SUBSTITUTE(SUBSTITUTE(SUBSTITUTE(P479," ",""),"-",""),"+","")</f>
        <v>6226816263</v>
      </c>
      <c r="R479" t="str">
        <f t="shared" si="14"/>
        <v>6226816263</v>
      </c>
      <c r="S479" t="str">
        <f>IF(LEN(R479),"Valid","Invalid")</f>
        <v>Valid</v>
      </c>
      <c r="T479" t="s">
        <v>5990</v>
      </c>
      <c r="V479" t="s">
        <v>123</v>
      </c>
      <c r="X479">
        <v>19413.66</v>
      </c>
      <c r="Y479" t="s">
        <v>123</v>
      </c>
      <c r="Z479">
        <v>140</v>
      </c>
      <c r="AA479">
        <f t="shared" si="15"/>
        <v>140</v>
      </c>
      <c r="AB479" t="s">
        <v>16</v>
      </c>
    </row>
    <row r="480" spans="1:28" x14ac:dyDescent="0.3">
      <c r="A480" t="s">
        <v>5989</v>
      </c>
      <c r="B480" t="s">
        <v>5988</v>
      </c>
      <c r="C480" t="s">
        <v>5988</v>
      </c>
      <c r="D480" t="s">
        <v>22</v>
      </c>
      <c r="E480">
        <v>60</v>
      </c>
      <c r="F480">
        <v>60</v>
      </c>
      <c r="G480" t="s">
        <v>39</v>
      </c>
      <c r="H480" t="s">
        <v>39</v>
      </c>
      <c r="I480" t="s">
        <v>53</v>
      </c>
      <c r="J480" t="s">
        <v>20</v>
      </c>
      <c r="K480" s="1">
        <v>46004</v>
      </c>
      <c r="L480" s="1" t="str">
        <f>IF(K480&gt;O480,"Valid","Invalid")</f>
        <v>Valid</v>
      </c>
      <c r="M480" s="1" t="b">
        <f>ISNUMBER(K480)</f>
        <v>1</v>
      </c>
      <c r="N480" s="1" t="b">
        <f>ISNUMBER(O480)</f>
        <v>1</v>
      </c>
      <c r="O480" s="1">
        <v>45984</v>
      </c>
      <c r="P480" t="s">
        <v>5987</v>
      </c>
      <c r="Q480" t="str">
        <f>SUBSTITUTE(SUBSTITUTE(SUBSTITUTE(P480," ",""),"-",""),"+","")</f>
        <v>02939697367</v>
      </c>
      <c r="R480" t="str">
        <f t="shared" si="14"/>
        <v>2939697367</v>
      </c>
      <c r="S480" t="str">
        <f>IF(LEN(R480),"Valid","Invalid")</f>
        <v>Valid</v>
      </c>
      <c r="T480" t="s">
        <v>5986</v>
      </c>
      <c r="V480" t="s">
        <v>57</v>
      </c>
      <c r="X480">
        <v>10661.05</v>
      </c>
      <c r="Y480" t="s">
        <v>123</v>
      </c>
      <c r="Z480">
        <v>534</v>
      </c>
      <c r="AA480">
        <f t="shared" si="15"/>
        <v>534</v>
      </c>
      <c r="AB480" t="s">
        <v>77</v>
      </c>
    </row>
    <row r="481" spans="1:28" x14ac:dyDescent="0.3">
      <c r="A481" t="s">
        <v>5985</v>
      </c>
      <c r="B481" t="s">
        <v>5984</v>
      </c>
      <c r="C481" t="s">
        <v>5984</v>
      </c>
      <c r="D481" t="s">
        <v>74</v>
      </c>
      <c r="E481">
        <v>21</v>
      </c>
      <c r="F481">
        <v>21</v>
      </c>
      <c r="G481" t="s">
        <v>31</v>
      </c>
      <c r="H481" t="s">
        <v>31</v>
      </c>
      <c r="I481" t="s">
        <v>38</v>
      </c>
      <c r="J481" t="s">
        <v>8077</v>
      </c>
      <c r="K481" s="1">
        <v>46072</v>
      </c>
      <c r="L481" s="1" t="str">
        <f>IF(K481&gt;O481,"Valid","Invalid")</f>
        <v>Valid</v>
      </c>
      <c r="M481" s="1" t="b">
        <f>ISNUMBER(K481)</f>
        <v>1</v>
      </c>
      <c r="N481" s="1" t="b">
        <f>ISNUMBER(O481)</f>
        <v>1</v>
      </c>
      <c r="O481" s="1">
        <v>46062</v>
      </c>
      <c r="P481" t="s">
        <v>5983</v>
      </c>
      <c r="Q481" t="str">
        <f>SUBSTITUTE(SUBSTITUTE(SUBSTITUTE(P481," ",""),"-",""),"+","")</f>
        <v>02643145276</v>
      </c>
      <c r="R481" t="str">
        <f t="shared" si="14"/>
        <v>2643145276</v>
      </c>
      <c r="S481" t="str">
        <f>IF(LEN(R481),"Valid","Invalid")</f>
        <v>Valid</v>
      </c>
      <c r="T481" t="s">
        <v>5982</v>
      </c>
      <c r="V481" t="s">
        <v>57</v>
      </c>
      <c r="X481">
        <v>16394.72</v>
      </c>
      <c r="Y481" t="s">
        <v>63</v>
      </c>
      <c r="Z481">
        <v>409</v>
      </c>
      <c r="AA481">
        <f t="shared" si="15"/>
        <v>409</v>
      </c>
      <c r="AB481" t="s">
        <v>25</v>
      </c>
    </row>
    <row r="482" spans="1:28" x14ac:dyDescent="0.3">
      <c r="A482" t="s">
        <v>5981</v>
      </c>
      <c r="B482" t="s">
        <v>5980</v>
      </c>
      <c r="C482" t="s">
        <v>5980</v>
      </c>
      <c r="D482" t="s">
        <v>123</v>
      </c>
      <c r="E482">
        <v>35</v>
      </c>
      <c r="F482">
        <v>35</v>
      </c>
      <c r="G482" t="s">
        <v>68</v>
      </c>
      <c r="H482" t="s">
        <v>68</v>
      </c>
      <c r="I482" t="s">
        <v>67</v>
      </c>
      <c r="J482" t="s">
        <v>67</v>
      </c>
      <c r="K482" s="1">
        <v>46076</v>
      </c>
      <c r="L482" s="1" t="str">
        <f>IF(K482&gt;O482,"Valid","Invalid")</f>
        <v>Valid</v>
      </c>
      <c r="M482" s="1" t="b">
        <f>ISNUMBER(K482)</f>
        <v>1</v>
      </c>
      <c r="N482" s="1" t="b">
        <f>ISNUMBER(O482)</f>
        <v>1</v>
      </c>
      <c r="O482" s="1">
        <v>46053</v>
      </c>
      <c r="P482" t="s">
        <v>5979</v>
      </c>
      <c r="Q482" t="str">
        <f>SUBSTITUTE(SUBSTITUTE(SUBSTITUTE(P482," ",""),"-",""),"+","")</f>
        <v>917459719648</v>
      </c>
      <c r="R482" t="str">
        <f t="shared" si="14"/>
        <v>7459719648</v>
      </c>
      <c r="S482" t="str">
        <f>IF(LEN(R482),"Valid","Invalid")</f>
        <v>Valid</v>
      </c>
      <c r="T482" t="s">
        <v>5978</v>
      </c>
      <c r="V482" t="s">
        <v>123</v>
      </c>
      <c r="X482">
        <v>10466.93</v>
      </c>
      <c r="Y482" t="s">
        <v>26</v>
      </c>
      <c r="Z482">
        <v>537</v>
      </c>
      <c r="AA482">
        <f t="shared" si="15"/>
        <v>537</v>
      </c>
      <c r="AB482" t="s">
        <v>77</v>
      </c>
    </row>
    <row r="483" spans="1:28" x14ac:dyDescent="0.3">
      <c r="A483" t="s">
        <v>5977</v>
      </c>
      <c r="B483" t="s">
        <v>5976</v>
      </c>
      <c r="C483" t="s">
        <v>5976</v>
      </c>
      <c r="D483" t="s">
        <v>0</v>
      </c>
      <c r="E483">
        <v>31</v>
      </c>
      <c r="F483">
        <v>31</v>
      </c>
      <c r="G483" t="s">
        <v>132</v>
      </c>
      <c r="H483" t="s">
        <v>132</v>
      </c>
      <c r="I483" t="s">
        <v>20</v>
      </c>
      <c r="J483" t="s">
        <v>20</v>
      </c>
      <c r="K483" s="1">
        <v>46011</v>
      </c>
      <c r="L483" s="1" t="str">
        <f>IF(K483&gt;O483,"Valid","Invalid")</f>
        <v>Valid</v>
      </c>
      <c r="M483" s="1" t="b">
        <f>ISNUMBER(K483)</f>
        <v>1</v>
      </c>
      <c r="N483" s="1" t="b">
        <f>ISNUMBER(O483)</f>
        <v>1</v>
      </c>
      <c r="O483" s="1">
        <v>46005</v>
      </c>
      <c r="P483" t="s">
        <v>5975</v>
      </c>
      <c r="Q483" t="str">
        <f>SUBSTITUTE(SUBSTITUTE(SUBSTITUTE(P483," ",""),"-",""),"+","")</f>
        <v>1606991987</v>
      </c>
      <c r="R483" t="str">
        <f t="shared" si="14"/>
        <v>1606991987</v>
      </c>
      <c r="S483" t="str">
        <f>IF(LEN(R483),"Valid","Invalid")</f>
        <v>Valid</v>
      </c>
      <c r="T483" t="s">
        <v>5974</v>
      </c>
      <c r="V483" t="s">
        <v>35</v>
      </c>
      <c r="X483">
        <v>10046.73</v>
      </c>
      <c r="Y483" t="s">
        <v>64</v>
      </c>
      <c r="Z483">
        <v>132</v>
      </c>
      <c r="AA483">
        <f t="shared" si="15"/>
        <v>132</v>
      </c>
      <c r="AB483" t="s">
        <v>16</v>
      </c>
    </row>
    <row r="484" spans="1:28" x14ac:dyDescent="0.3">
      <c r="A484" t="s">
        <v>5970</v>
      </c>
      <c r="B484" t="s">
        <v>5969</v>
      </c>
      <c r="C484" t="s">
        <v>5969</v>
      </c>
      <c r="D484" t="s">
        <v>22</v>
      </c>
      <c r="E484">
        <v>30</v>
      </c>
      <c r="F484">
        <v>30</v>
      </c>
      <c r="G484" t="s">
        <v>21</v>
      </c>
      <c r="H484" t="s">
        <v>21</v>
      </c>
      <c r="I484" t="s">
        <v>30</v>
      </c>
      <c r="J484" t="s">
        <v>30</v>
      </c>
      <c r="K484" s="1">
        <v>46103</v>
      </c>
      <c r="L484" s="1" t="str">
        <f>IF(K484&gt;O484,"Valid","Invalid")</f>
        <v>Valid</v>
      </c>
      <c r="M484" s="1" t="b">
        <f>ISNUMBER(K484)</f>
        <v>1</v>
      </c>
      <c r="N484" s="1" t="b">
        <f>ISNUMBER(O484)</f>
        <v>1</v>
      </c>
      <c r="O484" s="1">
        <v>46089</v>
      </c>
      <c r="P484" t="s">
        <v>5968</v>
      </c>
      <c r="Q484" t="str">
        <f>SUBSTITUTE(SUBSTITUTE(SUBSTITUTE(P484," ",""),"-",""),"+","")</f>
        <v>2469705179</v>
      </c>
      <c r="R484" t="str">
        <f t="shared" si="14"/>
        <v>2469705179</v>
      </c>
      <c r="S484" t="str">
        <f>IF(LEN(R484),"Valid","Invalid")</f>
        <v>Valid</v>
      </c>
      <c r="T484" t="s">
        <v>5967</v>
      </c>
      <c r="V484" t="s">
        <v>35</v>
      </c>
      <c r="X484">
        <v>3455.67</v>
      </c>
      <c r="Y484" t="s">
        <v>26</v>
      </c>
      <c r="Z484">
        <v>114</v>
      </c>
      <c r="AA484">
        <f t="shared" si="15"/>
        <v>114</v>
      </c>
      <c r="AB484" t="s">
        <v>77</v>
      </c>
    </row>
    <row r="485" spans="1:28" x14ac:dyDescent="0.3">
      <c r="A485" t="s">
        <v>5966</v>
      </c>
      <c r="B485" t="s">
        <v>5965</v>
      </c>
      <c r="C485" t="s">
        <v>5965</v>
      </c>
      <c r="D485" t="s">
        <v>60</v>
      </c>
      <c r="E485">
        <v>42</v>
      </c>
      <c r="F485">
        <v>42</v>
      </c>
      <c r="G485" t="s">
        <v>68</v>
      </c>
      <c r="H485" t="s">
        <v>68</v>
      </c>
      <c r="I485" t="s">
        <v>85</v>
      </c>
      <c r="J485" t="s">
        <v>85</v>
      </c>
      <c r="K485" s="1">
        <v>46067</v>
      </c>
      <c r="L485" s="1" t="str">
        <f>IF(K485&gt;O485,"Valid","Invalid")</f>
        <v>Valid</v>
      </c>
      <c r="M485" s="1" t="b">
        <f>ISNUMBER(K485)</f>
        <v>1</v>
      </c>
      <c r="N485" s="1" t="b">
        <f>ISNUMBER(O485)</f>
        <v>1</v>
      </c>
      <c r="O485" s="1">
        <v>46040</v>
      </c>
      <c r="P485" t="s">
        <v>5964</v>
      </c>
      <c r="Q485" t="str">
        <f>SUBSTITUTE(SUBSTITUTE(SUBSTITUTE(P485," ",""),"-",""),"+","")</f>
        <v>07969254343</v>
      </c>
      <c r="R485" t="str">
        <f t="shared" si="14"/>
        <v>7969254343</v>
      </c>
      <c r="S485" t="str">
        <f>IF(LEN(R485),"Valid","Invalid")</f>
        <v>Valid</v>
      </c>
      <c r="T485" t="s">
        <v>5963</v>
      </c>
      <c r="V485" t="s">
        <v>26</v>
      </c>
      <c r="X485">
        <v>13803.92</v>
      </c>
      <c r="Y485" t="s">
        <v>26</v>
      </c>
      <c r="Z485">
        <v>457</v>
      </c>
      <c r="AA485">
        <f t="shared" si="15"/>
        <v>457</v>
      </c>
      <c r="AB485" t="s">
        <v>34</v>
      </c>
    </row>
    <row r="486" spans="1:28" x14ac:dyDescent="0.3">
      <c r="A486" t="s">
        <v>5962</v>
      </c>
      <c r="B486" t="s">
        <v>5961</v>
      </c>
      <c r="C486" t="s">
        <v>5961</v>
      </c>
      <c r="D486" t="s">
        <v>0</v>
      </c>
      <c r="E486">
        <v>76</v>
      </c>
      <c r="F486">
        <v>76</v>
      </c>
      <c r="G486" t="s">
        <v>68</v>
      </c>
      <c r="H486" t="s">
        <v>68</v>
      </c>
      <c r="I486" t="s">
        <v>90</v>
      </c>
      <c r="J486" t="s">
        <v>67</v>
      </c>
      <c r="K486" s="1">
        <v>46131</v>
      </c>
      <c r="L486" s="1" t="str">
        <f>IF(K486&gt;O486,"Valid","Invalid")</f>
        <v>Valid</v>
      </c>
      <c r="M486" s="1" t="b">
        <f>ISNUMBER(K486)</f>
        <v>1</v>
      </c>
      <c r="N486" s="1" t="b">
        <f>ISNUMBER(O486)</f>
        <v>1</v>
      </c>
      <c r="O486" s="1">
        <v>46115</v>
      </c>
      <c r="P486" t="s">
        <v>5960</v>
      </c>
      <c r="Q486" t="str">
        <f>SUBSTITUTE(SUBSTITUTE(SUBSTITUTE(P486," ",""),"-",""),"+","")</f>
        <v>01003551778</v>
      </c>
      <c r="R486" t="str">
        <f t="shared" si="14"/>
        <v>1003551778</v>
      </c>
      <c r="S486" t="str">
        <f>IF(LEN(R486),"Valid","Invalid")</f>
        <v>Valid</v>
      </c>
      <c r="T486" t="s">
        <v>5959</v>
      </c>
      <c r="V486" t="s">
        <v>26</v>
      </c>
      <c r="X486">
        <v>22741.29</v>
      </c>
      <c r="Y486" t="s">
        <v>123</v>
      </c>
      <c r="Z486">
        <v>376</v>
      </c>
      <c r="AA486">
        <f t="shared" si="15"/>
        <v>376</v>
      </c>
      <c r="AB486" t="s">
        <v>71</v>
      </c>
    </row>
    <row r="487" spans="1:28" x14ac:dyDescent="0.3">
      <c r="A487" t="s">
        <v>5958</v>
      </c>
      <c r="B487" t="s">
        <v>5957</v>
      </c>
      <c r="C487" t="s">
        <v>5957</v>
      </c>
      <c r="D487" t="s">
        <v>74</v>
      </c>
      <c r="E487">
        <v>57</v>
      </c>
      <c r="F487">
        <v>57</v>
      </c>
      <c r="G487" t="s">
        <v>132</v>
      </c>
      <c r="H487" t="s">
        <v>132</v>
      </c>
      <c r="I487" t="s">
        <v>67</v>
      </c>
      <c r="J487" t="s">
        <v>67</v>
      </c>
      <c r="K487" s="1">
        <v>46057</v>
      </c>
      <c r="L487" s="1" t="str">
        <f>IF(K487&gt;O487,"Valid","Invalid")</f>
        <v>Valid</v>
      </c>
      <c r="M487" s="1" t="b">
        <f>ISNUMBER(K487)</f>
        <v>1</v>
      </c>
      <c r="N487" s="1" t="b">
        <f>ISNUMBER(O487)</f>
        <v>1</v>
      </c>
      <c r="O487" s="1">
        <v>46044</v>
      </c>
      <c r="P487" t="s">
        <v>5956</v>
      </c>
      <c r="Q487" t="str">
        <f>SUBSTITUTE(SUBSTITUTE(SUBSTITUTE(P487," ",""),"-",""),"+","")</f>
        <v>06834324057</v>
      </c>
      <c r="R487" t="str">
        <f t="shared" si="14"/>
        <v>6834324057</v>
      </c>
      <c r="S487" t="str">
        <f>IF(LEN(R487),"Valid","Invalid")</f>
        <v>Valid</v>
      </c>
      <c r="T487" t="s">
        <v>5955</v>
      </c>
      <c r="V487" t="s">
        <v>26</v>
      </c>
      <c r="X487">
        <v>4061.79</v>
      </c>
      <c r="Y487" t="s">
        <v>27</v>
      </c>
      <c r="Z487">
        <v>100</v>
      </c>
      <c r="AA487">
        <f t="shared" si="15"/>
        <v>100</v>
      </c>
      <c r="AB487" t="s">
        <v>34</v>
      </c>
    </row>
    <row r="488" spans="1:28" x14ac:dyDescent="0.3">
      <c r="A488" t="s">
        <v>5954</v>
      </c>
      <c r="B488" t="s">
        <v>5953</v>
      </c>
      <c r="C488" t="s">
        <v>5953</v>
      </c>
      <c r="D488" t="s">
        <v>0</v>
      </c>
      <c r="E488">
        <v>45</v>
      </c>
      <c r="F488">
        <v>45</v>
      </c>
      <c r="G488" t="s">
        <v>132</v>
      </c>
      <c r="H488" t="s">
        <v>132</v>
      </c>
      <c r="I488" t="s">
        <v>85</v>
      </c>
      <c r="J488" t="s">
        <v>85</v>
      </c>
      <c r="K488" s="1">
        <v>46125</v>
      </c>
      <c r="L488" s="1" t="str">
        <f>IF(K488&gt;O488,"Valid","Invalid")</f>
        <v>Valid</v>
      </c>
      <c r="M488" s="1" t="b">
        <f>ISNUMBER(K488)</f>
        <v>1</v>
      </c>
      <c r="N488" s="1" t="b">
        <f>ISNUMBER(O488)</f>
        <v>1</v>
      </c>
      <c r="O488" s="1">
        <v>46108</v>
      </c>
      <c r="P488" t="s">
        <v>5952</v>
      </c>
      <c r="Q488" t="str">
        <f>SUBSTITUTE(SUBSTITUTE(SUBSTITUTE(P488," ",""),"-",""),"+","")</f>
        <v>1599461982</v>
      </c>
      <c r="R488" t="str">
        <f t="shared" si="14"/>
        <v>1599461982</v>
      </c>
      <c r="S488" t="str">
        <f>IF(LEN(R488),"Valid","Invalid")</f>
        <v>Valid</v>
      </c>
      <c r="T488" t="s">
        <v>5951</v>
      </c>
      <c r="V488" t="s">
        <v>27</v>
      </c>
      <c r="X488">
        <v>17256.7</v>
      </c>
      <c r="Y488" t="s">
        <v>123</v>
      </c>
      <c r="Z488">
        <v>486</v>
      </c>
      <c r="AA488">
        <f t="shared" si="15"/>
        <v>486</v>
      </c>
      <c r="AB488" t="s">
        <v>16</v>
      </c>
    </row>
    <row r="489" spans="1:28" x14ac:dyDescent="0.3">
      <c r="A489" t="s">
        <v>5950</v>
      </c>
      <c r="B489" t="s">
        <v>5949</v>
      </c>
      <c r="C489" t="s">
        <v>5949</v>
      </c>
      <c r="D489" t="s">
        <v>22</v>
      </c>
      <c r="E489">
        <v>2</v>
      </c>
      <c r="F489">
        <v>2</v>
      </c>
      <c r="G489" t="s">
        <v>54</v>
      </c>
      <c r="H489" t="s">
        <v>54</v>
      </c>
      <c r="I489" t="s">
        <v>30</v>
      </c>
      <c r="J489" t="s">
        <v>30</v>
      </c>
      <c r="K489" s="1">
        <v>46086</v>
      </c>
      <c r="L489" s="1" t="str">
        <f>IF(K489&gt;O489,"Valid","Invalid")</f>
        <v>Valid</v>
      </c>
      <c r="M489" s="1" t="b">
        <f>ISNUMBER(K489)</f>
        <v>1</v>
      </c>
      <c r="N489" s="1" t="b">
        <f>ISNUMBER(O489)</f>
        <v>1</v>
      </c>
      <c r="O489" s="1">
        <v>46067</v>
      </c>
      <c r="P489" t="s">
        <v>5948</v>
      </c>
      <c r="Q489" t="str">
        <f>SUBSTITUTE(SUBSTITUTE(SUBSTITUTE(P489," ",""),"-",""),"+","")</f>
        <v>8788329182</v>
      </c>
      <c r="R489" t="str">
        <f t="shared" si="14"/>
        <v>8788329182</v>
      </c>
      <c r="S489" t="str">
        <f>IF(LEN(R489),"Valid","Invalid")</f>
        <v>Valid</v>
      </c>
      <c r="T489" t="s">
        <v>5947</v>
      </c>
      <c r="V489" t="s">
        <v>17</v>
      </c>
      <c r="X489">
        <v>19959.830000000002</v>
      </c>
      <c r="Y489" t="s">
        <v>17</v>
      </c>
      <c r="Z489">
        <v>196</v>
      </c>
      <c r="AA489">
        <f t="shared" si="15"/>
        <v>196</v>
      </c>
      <c r="AB489" t="s">
        <v>16</v>
      </c>
    </row>
    <row r="490" spans="1:28" x14ac:dyDescent="0.3">
      <c r="A490" t="s">
        <v>5946</v>
      </c>
      <c r="B490" t="s">
        <v>5945</v>
      </c>
      <c r="C490" t="s">
        <v>5945</v>
      </c>
      <c r="D490" t="s">
        <v>123</v>
      </c>
      <c r="E490">
        <v>51</v>
      </c>
      <c r="F490">
        <v>51</v>
      </c>
      <c r="G490" t="s">
        <v>21</v>
      </c>
      <c r="H490" t="s">
        <v>21</v>
      </c>
      <c r="I490" t="s">
        <v>53</v>
      </c>
      <c r="J490" t="s">
        <v>20</v>
      </c>
      <c r="K490" s="1">
        <v>46003</v>
      </c>
      <c r="L490" s="1" t="str">
        <f>IF(K490&gt;O490,"Valid","Invalid")</f>
        <v>Valid</v>
      </c>
      <c r="M490" s="1" t="b">
        <f>ISNUMBER(K490)</f>
        <v>1</v>
      </c>
      <c r="N490" s="1" t="b">
        <f>ISNUMBER(O490)</f>
        <v>1</v>
      </c>
      <c r="O490" s="1">
        <v>45981</v>
      </c>
      <c r="P490" t="s">
        <v>5944</v>
      </c>
      <c r="Q490" t="str">
        <f>SUBSTITUTE(SUBSTITUTE(SUBSTITUTE(P490," ",""),"-",""),"+","")</f>
        <v>06314488383</v>
      </c>
      <c r="R490" t="str">
        <f t="shared" si="14"/>
        <v>6314488383</v>
      </c>
      <c r="S490" t="str">
        <f>IF(LEN(R490),"Valid","Invalid")</f>
        <v>Valid</v>
      </c>
      <c r="T490" t="s">
        <v>5943</v>
      </c>
      <c r="V490" t="s">
        <v>123</v>
      </c>
      <c r="X490">
        <v>20744.990000000002</v>
      </c>
      <c r="Y490" t="s">
        <v>57</v>
      </c>
      <c r="Z490">
        <v>234</v>
      </c>
      <c r="AA490">
        <f t="shared" si="15"/>
        <v>234</v>
      </c>
      <c r="AB490" t="s">
        <v>77</v>
      </c>
    </row>
    <row r="491" spans="1:28" x14ac:dyDescent="0.3">
      <c r="A491" t="s">
        <v>5942</v>
      </c>
      <c r="B491" t="s">
        <v>5941</v>
      </c>
      <c r="C491" t="s">
        <v>5941</v>
      </c>
      <c r="D491" t="s">
        <v>123</v>
      </c>
      <c r="E491">
        <v>81</v>
      </c>
      <c r="F491">
        <v>81</v>
      </c>
      <c r="G491" t="s">
        <v>21</v>
      </c>
      <c r="H491" t="s">
        <v>21</v>
      </c>
      <c r="I491" t="s">
        <v>30</v>
      </c>
      <c r="J491" t="s">
        <v>30</v>
      </c>
      <c r="K491" s="1">
        <v>46074</v>
      </c>
      <c r="L491" s="1" t="str">
        <f>IF(K491&gt;O491,"Valid","Invalid")</f>
        <v>Valid</v>
      </c>
      <c r="M491" s="1" t="b">
        <f>ISNUMBER(K491)</f>
        <v>1</v>
      </c>
      <c r="N491" s="1" t="b">
        <f>ISNUMBER(O491)</f>
        <v>1</v>
      </c>
      <c r="O491" s="1">
        <v>46065</v>
      </c>
      <c r="P491" t="s">
        <v>5940</v>
      </c>
      <c r="Q491" t="str">
        <f>SUBSTITUTE(SUBSTITUTE(SUBSTITUTE(P491," ",""),"-",""),"+","")</f>
        <v>916490709471</v>
      </c>
      <c r="R491" t="str">
        <f t="shared" si="14"/>
        <v>6490709471</v>
      </c>
      <c r="S491" t="str">
        <f>IF(LEN(R491),"Valid","Invalid")</f>
        <v>Valid</v>
      </c>
      <c r="T491" t="s">
        <v>5939</v>
      </c>
      <c r="V491" t="s">
        <v>26</v>
      </c>
      <c r="X491">
        <v>10440.02</v>
      </c>
      <c r="Y491" t="s">
        <v>64</v>
      </c>
      <c r="Z491">
        <v>193</v>
      </c>
      <c r="AA491">
        <f t="shared" si="15"/>
        <v>193</v>
      </c>
      <c r="AB491" t="s">
        <v>71</v>
      </c>
    </row>
    <row r="492" spans="1:28" x14ac:dyDescent="0.3">
      <c r="A492" t="s">
        <v>5938</v>
      </c>
      <c r="B492" t="s">
        <v>5937</v>
      </c>
      <c r="C492" t="s">
        <v>5937</v>
      </c>
      <c r="D492" t="s">
        <v>22</v>
      </c>
      <c r="E492">
        <v>15</v>
      </c>
      <c r="F492">
        <v>15</v>
      </c>
      <c r="G492" t="s">
        <v>68</v>
      </c>
      <c r="H492" t="s">
        <v>68</v>
      </c>
      <c r="I492" t="s">
        <v>85</v>
      </c>
      <c r="J492" t="s">
        <v>85</v>
      </c>
      <c r="K492" s="1">
        <v>46046</v>
      </c>
      <c r="L492" s="1" t="str">
        <f>IF(K492&gt;O492,"Valid","Invalid")</f>
        <v>Valid</v>
      </c>
      <c r="M492" s="1" t="b">
        <f>ISNUMBER(K492)</f>
        <v>1</v>
      </c>
      <c r="N492" s="1" t="b">
        <f>ISNUMBER(O492)</f>
        <v>1</v>
      </c>
      <c r="O492" s="1">
        <v>46038</v>
      </c>
      <c r="P492" t="s">
        <v>5936</v>
      </c>
      <c r="Q492" t="str">
        <f>SUBSTITUTE(SUBSTITUTE(SUBSTITUTE(P492," ",""),"-",""),"+","")</f>
        <v>913352603090</v>
      </c>
      <c r="R492" t="str">
        <f t="shared" si="14"/>
        <v>3352603090</v>
      </c>
      <c r="S492" t="str">
        <f>IF(LEN(R492),"Valid","Invalid")</f>
        <v>Valid</v>
      </c>
      <c r="T492" t="s">
        <v>5935</v>
      </c>
      <c r="V492" t="s">
        <v>123</v>
      </c>
      <c r="X492">
        <v>4857.18</v>
      </c>
      <c r="Y492" t="s">
        <v>27</v>
      </c>
      <c r="Z492">
        <v>177</v>
      </c>
      <c r="AA492">
        <f t="shared" si="15"/>
        <v>177</v>
      </c>
      <c r="AB492" t="s">
        <v>77</v>
      </c>
    </row>
    <row r="493" spans="1:28" x14ac:dyDescent="0.3">
      <c r="A493" t="s">
        <v>5930</v>
      </c>
      <c r="B493" t="s">
        <v>5929</v>
      </c>
      <c r="C493" t="s">
        <v>5929</v>
      </c>
      <c r="D493" t="s">
        <v>0</v>
      </c>
      <c r="E493">
        <v>2</v>
      </c>
      <c r="F493">
        <v>2</v>
      </c>
      <c r="G493" t="s">
        <v>68</v>
      </c>
      <c r="H493" t="s">
        <v>68</v>
      </c>
      <c r="I493" t="s">
        <v>38</v>
      </c>
      <c r="J493" t="s">
        <v>8077</v>
      </c>
      <c r="K493" s="1">
        <v>46012</v>
      </c>
      <c r="L493" s="1" t="str">
        <f>IF(K493&gt;O493,"Valid","Invalid")</f>
        <v>Valid</v>
      </c>
      <c r="M493" s="1" t="b">
        <f>ISNUMBER(K493)</f>
        <v>1</v>
      </c>
      <c r="N493" s="1" t="b">
        <f>ISNUMBER(O493)</f>
        <v>1</v>
      </c>
      <c r="O493" s="1">
        <v>46002</v>
      </c>
      <c r="P493" t="s">
        <v>5928</v>
      </c>
      <c r="Q493" t="str">
        <f>SUBSTITUTE(SUBSTITUTE(SUBSTITUTE(P493," ",""),"-",""),"+","")</f>
        <v>0490303941</v>
      </c>
      <c r="R493" t="str">
        <f t="shared" si="14"/>
        <v>0490303941</v>
      </c>
      <c r="S493" t="str">
        <f>IF(LEN(R493),"Valid","Invalid")</f>
        <v>Valid</v>
      </c>
      <c r="T493" t="s">
        <v>5927</v>
      </c>
      <c r="V493" t="s">
        <v>123</v>
      </c>
      <c r="X493">
        <v>7927.1</v>
      </c>
      <c r="Y493" t="s">
        <v>123</v>
      </c>
      <c r="Z493">
        <v>290</v>
      </c>
      <c r="AA493">
        <f t="shared" si="15"/>
        <v>290</v>
      </c>
      <c r="AB493" t="s">
        <v>16</v>
      </c>
    </row>
    <row r="494" spans="1:28" x14ac:dyDescent="0.3">
      <c r="A494" t="s">
        <v>5926</v>
      </c>
      <c r="B494" t="s">
        <v>5925</v>
      </c>
      <c r="C494" t="s">
        <v>5925</v>
      </c>
      <c r="D494" t="s">
        <v>40</v>
      </c>
      <c r="E494">
        <v>43</v>
      </c>
      <c r="F494">
        <v>43</v>
      </c>
      <c r="G494" t="s">
        <v>80</v>
      </c>
      <c r="H494" t="s">
        <v>80</v>
      </c>
      <c r="I494" t="s">
        <v>53</v>
      </c>
      <c r="J494" t="s">
        <v>20</v>
      </c>
      <c r="K494" s="1">
        <v>46013</v>
      </c>
      <c r="L494" s="1" t="str">
        <f>IF(K494&gt;O494,"Valid","Invalid")</f>
        <v>Valid</v>
      </c>
      <c r="M494" s="1" t="b">
        <f>ISNUMBER(K494)</f>
        <v>1</v>
      </c>
      <c r="N494" s="1" t="b">
        <f>ISNUMBER(O494)</f>
        <v>1</v>
      </c>
      <c r="O494" s="1">
        <v>46012</v>
      </c>
      <c r="P494" t="s">
        <v>5924</v>
      </c>
      <c r="Q494" t="str">
        <f>SUBSTITUTE(SUBSTITUTE(SUBSTITUTE(P494," ",""),"-",""),"+","")</f>
        <v>04499908490</v>
      </c>
      <c r="R494" t="str">
        <f t="shared" si="14"/>
        <v>4499908490</v>
      </c>
      <c r="S494" t="str">
        <f>IF(LEN(R494),"Valid","Invalid")</f>
        <v>Valid</v>
      </c>
      <c r="T494" t="s">
        <v>5923</v>
      </c>
      <c r="V494" t="s">
        <v>26</v>
      </c>
      <c r="X494">
        <v>19436.189999999999</v>
      </c>
      <c r="Y494" t="s">
        <v>64</v>
      </c>
      <c r="Z494">
        <v>378</v>
      </c>
      <c r="AA494">
        <f t="shared" si="15"/>
        <v>378</v>
      </c>
      <c r="AB494" t="s">
        <v>16</v>
      </c>
    </row>
    <row r="495" spans="1:28" x14ac:dyDescent="0.3">
      <c r="A495" t="s">
        <v>5922</v>
      </c>
      <c r="B495" t="s">
        <v>5921</v>
      </c>
      <c r="C495" t="s">
        <v>5921</v>
      </c>
      <c r="D495" t="s">
        <v>0</v>
      </c>
      <c r="E495">
        <v>25</v>
      </c>
      <c r="F495">
        <v>25</v>
      </c>
      <c r="G495" t="s">
        <v>132</v>
      </c>
      <c r="H495" t="s">
        <v>132</v>
      </c>
      <c r="I495" t="s">
        <v>90</v>
      </c>
      <c r="J495" t="s">
        <v>67</v>
      </c>
      <c r="K495" s="1">
        <v>46025</v>
      </c>
      <c r="L495" s="1" t="str">
        <f>IF(K495&gt;O495,"Valid","Invalid")</f>
        <v>Valid</v>
      </c>
      <c r="M495" s="1" t="b">
        <f>ISNUMBER(K495)</f>
        <v>1</v>
      </c>
      <c r="N495" s="1" t="b">
        <f>ISNUMBER(O495)</f>
        <v>1</v>
      </c>
      <c r="O495" s="1">
        <v>45999</v>
      </c>
      <c r="P495" t="s">
        <v>5920</v>
      </c>
      <c r="Q495" t="str">
        <f>SUBSTITUTE(SUBSTITUTE(SUBSTITUTE(P495," ",""),"-",""),"+","")</f>
        <v>6283916268</v>
      </c>
      <c r="R495" t="str">
        <f t="shared" si="14"/>
        <v>6283916268</v>
      </c>
      <c r="S495" t="str">
        <f>IF(LEN(R495),"Valid","Invalid")</f>
        <v>Valid</v>
      </c>
      <c r="T495" t="s">
        <v>5919</v>
      </c>
      <c r="V495" t="s">
        <v>27</v>
      </c>
      <c r="X495">
        <v>3224.65</v>
      </c>
      <c r="Y495" t="s">
        <v>57</v>
      </c>
      <c r="Z495">
        <v>297</v>
      </c>
      <c r="AA495">
        <f t="shared" si="15"/>
        <v>297</v>
      </c>
      <c r="AB495" t="s">
        <v>50</v>
      </c>
    </row>
    <row r="496" spans="1:28" x14ac:dyDescent="0.3">
      <c r="A496" t="s">
        <v>5918</v>
      </c>
      <c r="B496" t="s">
        <v>5917</v>
      </c>
      <c r="C496" t="s">
        <v>5917</v>
      </c>
      <c r="E496">
        <v>32</v>
      </c>
      <c r="F496">
        <v>32</v>
      </c>
      <c r="G496" t="s">
        <v>47</v>
      </c>
      <c r="H496" t="s">
        <v>47</v>
      </c>
      <c r="I496" t="s">
        <v>38</v>
      </c>
      <c r="J496" t="s">
        <v>8077</v>
      </c>
      <c r="K496" s="1">
        <v>45991</v>
      </c>
      <c r="L496" s="1" t="str">
        <f>IF(K496&gt;O496,"Valid","Invalid")</f>
        <v>Valid</v>
      </c>
      <c r="M496" s="1" t="b">
        <f>ISNUMBER(K496)</f>
        <v>1</v>
      </c>
      <c r="N496" s="1" t="b">
        <f>ISNUMBER(O496)</f>
        <v>1</v>
      </c>
      <c r="O496" s="1">
        <v>45977</v>
      </c>
      <c r="P496" t="s">
        <v>5916</v>
      </c>
      <c r="Q496" t="str">
        <f>SUBSTITUTE(SUBSTITUTE(SUBSTITUTE(P496," ",""),"-",""),"+","")</f>
        <v>3638095149</v>
      </c>
      <c r="R496" t="str">
        <f t="shared" si="14"/>
        <v>3638095149</v>
      </c>
      <c r="S496" t="str">
        <f>IF(LEN(R496),"Valid","Invalid")</f>
        <v>Valid</v>
      </c>
      <c r="T496" t="s">
        <v>5915</v>
      </c>
      <c r="V496" t="s">
        <v>64</v>
      </c>
      <c r="X496">
        <v>13124.25</v>
      </c>
      <c r="Y496" t="s">
        <v>57</v>
      </c>
      <c r="Z496">
        <v>342</v>
      </c>
      <c r="AA496">
        <f t="shared" si="15"/>
        <v>342</v>
      </c>
      <c r="AB496" t="s">
        <v>16</v>
      </c>
    </row>
    <row r="497" spans="1:28" x14ac:dyDescent="0.3">
      <c r="A497" t="s">
        <v>5914</v>
      </c>
      <c r="B497" t="s">
        <v>5913</v>
      </c>
      <c r="C497" t="s">
        <v>5913</v>
      </c>
      <c r="D497" t="s">
        <v>22</v>
      </c>
      <c r="E497">
        <v>42</v>
      </c>
      <c r="F497">
        <v>42</v>
      </c>
      <c r="G497" t="s">
        <v>39</v>
      </c>
      <c r="H497" t="s">
        <v>39</v>
      </c>
      <c r="I497" t="s">
        <v>46</v>
      </c>
      <c r="J497" t="s">
        <v>46</v>
      </c>
      <c r="K497" s="1">
        <v>46036</v>
      </c>
      <c r="L497" s="1" t="str">
        <f>IF(K497&gt;O497,"Valid","Invalid")</f>
        <v>Valid</v>
      </c>
      <c r="M497" s="1" t="b">
        <f>ISNUMBER(K497)</f>
        <v>1</v>
      </c>
      <c r="N497" s="1" t="b">
        <f>ISNUMBER(O497)</f>
        <v>1</v>
      </c>
      <c r="O497" s="1">
        <v>46013</v>
      </c>
      <c r="P497" t="s">
        <v>5912</v>
      </c>
      <c r="Q497" t="str">
        <f>SUBSTITUTE(SUBSTITUTE(SUBSTITUTE(P497," ",""),"-",""),"+","")</f>
        <v>911610937484</v>
      </c>
      <c r="R497" t="str">
        <f t="shared" si="14"/>
        <v>1610937484</v>
      </c>
      <c r="S497" t="str">
        <f>IF(LEN(R497),"Valid","Invalid")</f>
        <v>Valid</v>
      </c>
      <c r="T497" t="s">
        <v>5911</v>
      </c>
      <c r="V497" t="s">
        <v>64</v>
      </c>
      <c r="X497">
        <v>6482.16</v>
      </c>
      <c r="Y497" t="s">
        <v>63</v>
      </c>
      <c r="Z497" t="s">
        <v>347</v>
      </c>
      <c r="AA497">
        <f t="shared" si="15"/>
        <v>0</v>
      </c>
      <c r="AB497" t="s">
        <v>43</v>
      </c>
    </row>
    <row r="498" spans="1:28" x14ac:dyDescent="0.3">
      <c r="A498" t="s">
        <v>5910</v>
      </c>
      <c r="B498" t="s">
        <v>5909</v>
      </c>
      <c r="C498" t="s">
        <v>5909</v>
      </c>
      <c r="D498" t="s">
        <v>40</v>
      </c>
      <c r="E498">
        <v>86</v>
      </c>
      <c r="F498">
        <v>86</v>
      </c>
      <c r="G498" t="s">
        <v>21</v>
      </c>
      <c r="H498" t="s">
        <v>21</v>
      </c>
      <c r="I498" t="s">
        <v>20</v>
      </c>
      <c r="J498" t="s">
        <v>20</v>
      </c>
      <c r="K498" s="1">
        <v>46023</v>
      </c>
      <c r="L498" s="1" t="str">
        <f>IF(K498&gt;O498,"Valid","Invalid")</f>
        <v>Valid</v>
      </c>
      <c r="M498" s="1" t="b">
        <f>ISNUMBER(K498)</f>
        <v>1</v>
      </c>
      <c r="N498" s="1" t="b">
        <f>ISNUMBER(O498)</f>
        <v>1</v>
      </c>
      <c r="O498" s="1">
        <v>46016</v>
      </c>
      <c r="P498" t="s">
        <v>5908</v>
      </c>
      <c r="Q498" t="str">
        <f>SUBSTITUTE(SUBSTITUTE(SUBSTITUTE(P498," ",""),"-",""),"+","")</f>
        <v>02223767089</v>
      </c>
      <c r="R498" t="str">
        <f t="shared" si="14"/>
        <v>2223767089</v>
      </c>
      <c r="S498" t="str">
        <f>IF(LEN(R498),"Valid","Invalid")</f>
        <v>Valid</v>
      </c>
      <c r="T498" t="s">
        <v>5907</v>
      </c>
      <c r="V498" t="s">
        <v>123</v>
      </c>
      <c r="X498">
        <v>8247.93</v>
      </c>
      <c r="Y498" t="s">
        <v>26</v>
      </c>
      <c r="Z498">
        <v>506</v>
      </c>
      <c r="AA498">
        <f t="shared" si="15"/>
        <v>506</v>
      </c>
      <c r="AB498" t="s">
        <v>43</v>
      </c>
    </row>
    <row r="499" spans="1:28" x14ac:dyDescent="0.3">
      <c r="A499" t="s">
        <v>5906</v>
      </c>
      <c r="B499" t="s">
        <v>5905</v>
      </c>
      <c r="C499" t="s">
        <v>5905</v>
      </c>
      <c r="D499" t="s">
        <v>74</v>
      </c>
      <c r="E499">
        <v>51</v>
      </c>
      <c r="F499">
        <v>51</v>
      </c>
      <c r="G499" t="s">
        <v>21</v>
      </c>
      <c r="H499" t="s">
        <v>21</v>
      </c>
      <c r="I499" t="s">
        <v>46</v>
      </c>
      <c r="J499" t="s">
        <v>46</v>
      </c>
      <c r="K499" s="1">
        <v>45981</v>
      </c>
      <c r="L499" s="1" t="str">
        <f>IF(K499&gt;O499,"Valid","Invalid")</f>
        <v>Valid</v>
      </c>
      <c r="M499" s="1" t="b">
        <f>ISNUMBER(K499)</f>
        <v>1</v>
      </c>
      <c r="N499" s="1" t="b">
        <f>ISNUMBER(O499)</f>
        <v>1</v>
      </c>
      <c r="O499" s="1">
        <v>45980</v>
      </c>
      <c r="P499" t="s">
        <v>5904</v>
      </c>
      <c r="Q499" t="str">
        <f>SUBSTITUTE(SUBSTITUTE(SUBSTITUTE(P499," ",""),"-",""),"+","")</f>
        <v>912963359451</v>
      </c>
      <c r="R499" t="str">
        <f t="shared" si="14"/>
        <v>2963359451</v>
      </c>
      <c r="S499" t="str">
        <f>IF(LEN(R499),"Valid","Invalid")</f>
        <v>Valid</v>
      </c>
      <c r="T499" t="s">
        <v>5903</v>
      </c>
      <c r="V499" t="s">
        <v>123</v>
      </c>
      <c r="X499">
        <v>17272.48</v>
      </c>
      <c r="Y499" t="s">
        <v>26</v>
      </c>
      <c r="Z499">
        <v>290</v>
      </c>
      <c r="AA499">
        <f t="shared" si="15"/>
        <v>290</v>
      </c>
      <c r="AB499" t="s">
        <v>50</v>
      </c>
    </row>
    <row r="500" spans="1:28" x14ac:dyDescent="0.3">
      <c r="A500" t="s">
        <v>5902</v>
      </c>
      <c r="B500" t="s">
        <v>5901</v>
      </c>
      <c r="C500" t="s">
        <v>5901</v>
      </c>
      <c r="D500" t="s">
        <v>74</v>
      </c>
      <c r="E500">
        <v>32</v>
      </c>
      <c r="F500">
        <v>32</v>
      </c>
      <c r="G500" t="s">
        <v>39</v>
      </c>
      <c r="H500" t="s">
        <v>39</v>
      </c>
      <c r="I500" t="s">
        <v>85</v>
      </c>
      <c r="J500" t="s">
        <v>85</v>
      </c>
      <c r="K500" s="1">
        <v>45988</v>
      </c>
      <c r="L500" s="1" t="str">
        <f>IF(K500&gt;O500,"Valid","Invalid")</f>
        <v>Valid</v>
      </c>
      <c r="M500" s="1" t="b">
        <f>ISNUMBER(K500)</f>
        <v>1</v>
      </c>
      <c r="N500" s="1" t="b">
        <f>ISNUMBER(O500)</f>
        <v>1</v>
      </c>
      <c r="O500" s="1">
        <v>45986</v>
      </c>
      <c r="P500" t="s">
        <v>5900</v>
      </c>
      <c r="Q500" t="str">
        <f>SUBSTITUTE(SUBSTITUTE(SUBSTITUTE(P500," ",""),"-",""),"+","")</f>
        <v>01506889564</v>
      </c>
      <c r="R500" t="str">
        <f t="shared" si="14"/>
        <v>1506889564</v>
      </c>
      <c r="S500" t="str">
        <f>IF(LEN(R500),"Valid","Invalid")</f>
        <v>Valid</v>
      </c>
      <c r="T500" t="s">
        <v>5899</v>
      </c>
      <c r="V500" t="s">
        <v>57</v>
      </c>
      <c r="X500">
        <v>23285.05</v>
      </c>
      <c r="Y500" t="s">
        <v>27</v>
      </c>
      <c r="Z500">
        <v>130</v>
      </c>
      <c r="AA500">
        <f t="shared" si="15"/>
        <v>130</v>
      </c>
      <c r="AB500" t="s">
        <v>43</v>
      </c>
    </row>
    <row r="501" spans="1:28" x14ac:dyDescent="0.3">
      <c r="A501" t="s">
        <v>5898</v>
      </c>
      <c r="B501" t="s">
        <v>5897</v>
      </c>
      <c r="C501" t="s">
        <v>5897</v>
      </c>
      <c r="D501" t="s">
        <v>0</v>
      </c>
      <c r="E501">
        <v>90</v>
      </c>
      <c r="F501">
        <v>90</v>
      </c>
      <c r="G501" t="s">
        <v>80</v>
      </c>
      <c r="H501" t="s">
        <v>80</v>
      </c>
      <c r="I501" t="s">
        <v>53</v>
      </c>
      <c r="J501" t="s">
        <v>20</v>
      </c>
      <c r="K501" s="1">
        <v>46051</v>
      </c>
      <c r="L501" s="1" t="str">
        <f>IF(K501&gt;O501,"Valid","Invalid")</f>
        <v>Valid</v>
      </c>
      <c r="M501" s="1" t="b">
        <f>ISNUMBER(K501)</f>
        <v>1</v>
      </c>
      <c r="N501" s="1" t="b">
        <f>ISNUMBER(O501)</f>
        <v>1</v>
      </c>
      <c r="O501" s="1">
        <v>46036</v>
      </c>
      <c r="P501" t="s">
        <v>5896</v>
      </c>
      <c r="Q501" t="str">
        <f>SUBSTITUTE(SUBSTITUTE(SUBSTITUTE(P501," ",""),"-",""),"+","")</f>
        <v>911949561580</v>
      </c>
      <c r="R501" t="str">
        <f t="shared" si="14"/>
        <v>1949561580</v>
      </c>
      <c r="S501" t="str">
        <f>IF(LEN(R501),"Valid","Invalid")</f>
        <v>Valid</v>
      </c>
      <c r="T501" t="s">
        <v>5895</v>
      </c>
      <c r="V501" t="s">
        <v>17</v>
      </c>
      <c r="X501">
        <v>8055.14</v>
      </c>
      <c r="Y501" t="s">
        <v>17</v>
      </c>
      <c r="Z501">
        <v>512</v>
      </c>
      <c r="AA501">
        <f t="shared" si="15"/>
        <v>512</v>
      </c>
      <c r="AB501" t="s">
        <v>16</v>
      </c>
    </row>
    <row r="502" spans="1:28" x14ac:dyDescent="0.3">
      <c r="A502" t="s">
        <v>5894</v>
      </c>
      <c r="B502" t="s">
        <v>5893</v>
      </c>
      <c r="C502" t="s">
        <v>5893</v>
      </c>
      <c r="D502" t="s">
        <v>1</v>
      </c>
      <c r="E502">
        <v>3</v>
      </c>
      <c r="F502">
        <v>3</v>
      </c>
      <c r="G502" t="s">
        <v>54</v>
      </c>
      <c r="H502" t="s">
        <v>54</v>
      </c>
      <c r="I502" t="s">
        <v>67</v>
      </c>
      <c r="J502" t="s">
        <v>67</v>
      </c>
      <c r="K502" s="1">
        <v>46107</v>
      </c>
      <c r="L502" s="1" t="str">
        <f>IF(K502&gt;O502,"Valid","Invalid")</f>
        <v>Valid</v>
      </c>
      <c r="M502" s="1" t="b">
        <f>ISNUMBER(K502)</f>
        <v>1</v>
      </c>
      <c r="N502" s="1" t="b">
        <f>ISNUMBER(O502)</f>
        <v>1</v>
      </c>
      <c r="O502" s="1">
        <v>46084</v>
      </c>
      <c r="P502" t="s">
        <v>5892</v>
      </c>
      <c r="Q502" t="str">
        <f>SUBSTITUTE(SUBSTITUTE(SUBSTITUTE(P502," ",""),"-",""),"+","")</f>
        <v>02064944788</v>
      </c>
      <c r="R502" t="str">
        <f t="shared" si="14"/>
        <v>2064944788</v>
      </c>
      <c r="S502" t="str">
        <f>IF(LEN(R502),"Valid","Invalid")</f>
        <v>Valid</v>
      </c>
      <c r="T502" t="s">
        <v>5891</v>
      </c>
      <c r="V502" t="s">
        <v>35</v>
      </c>
      <c r="X502">
        <v>6417.27</v>
      </c>
      <c r="Y502" t="s">
        <v>27</v>
      </c>
      <c r="Z502">
        <v>348</v>
      </c>
      <c r="AA502">
        <f t="shared" si="15"/>
        <v>348</v>
      </c>
      <c r="AB502" t="s">
        <v>25</v>
      </c>
    </row>
    <row r="503" spans="1:28" x14ac:dyDescent="0.3">
      <c r="A503" t="s">
        <v>5890</v>
      </c>
      <c r="B503" t="s">
        <v>5889</v>
      </c>
      <c r="C503" t="s">
        <v>5889</v>
      </c>
      <c r="E503">
        <v>72</v>
      </c>
      <c r="F503">
        <v>72</v>
      </c>
      <c r="G503" t="s">
        <v>132</v>
      </c>
      <c r="H503" t="s">
        <v>132</v>
      </c>
      <c r="I503" t="s">
        <v>85</v>
      </c>
      <c r="J503" t="s">
        <v>85</v>
      </c>
      <c r="K503" s="1">
        <v>46034</v>
      </c>
      <c r="L503" s="1" t="str">
        <f>IF(K503&gt;O503,"Valid","Invalid")</f>
        <v>Valid</v>
      </c>
      <c r="M503" s="1" t="b">
        <f>ISNUMBER(K503)</f>
        <v>1</v>
      </c>
      <c r="N503" s="1" t="b">
        <f>ISNUMBER(O503)</f>
        <v>1</v>
      </c>
      <c r="O503" s="1">
        <v>46028</v>
      </c>
      <c r="P503" t="s">
        <v>5888</v>
      </c>
      <c r="Q503" t="str">
        <f>SUBSTITUTE(SUBSTITUTE(SUBSTITUTE(P503," ",""),"-",""),"+","")</f>
        <v>912937382808</v>
      </c>
      <c r="R503" t="str">
        <f t="shared" si="14"/>
        <v>2937382808</v>
      </c>
      <c r="S503" t="str">
        <f>IF(LEN(R503),"Valid","Invalid")</f>
        <v>Valid</v>
      </c>
      <c r="T503" t="s">
        <v>5887</v>
      </c>
      <c r="V503" t="s">
        <v>35</v>
      </c>
      <c r="X503">
        <v>13681.79</v>
      </c>
      <c r="Y503" t="s">
        <v>17</v>
      </c>
      <c r="Z503">
        <v>474</v>
      </c>
      <c r="AA503">
        <f t="shared" si="15"/>
        <v>474</v>
      </c>
      <c r="AB503" t="s">
        <v>16</v>
      </c>
    </row>
    <row r="504" spans="1:28" x14ac:dyDescent="0.3">
      <c r="A504" t="s">
        <v>5886</v>
      </c>
      <c r="B504" t="s">
        <v>5885</v>
      </c>
      <c r="C504" t="s">
        <v>5885</v>
      </c>
      <c r="D504" t="s">
        <v>22</v>
      </c>
      <c r="E504">
        <v>77</v>
      </c>
      <c r="F504">
        <v>77</v>
      </c>
      <c r="G504" t="s">
        <v>39</v>
      </c>
      <c r="H504" t="s">
        <v>39</v>
      </c>
      <c r="I504" t="s">
        <v>20</v>
      </c>
      <c r="J504" t="s">
        <v>20</v>
      </c>
      <c r="K504" s="1">
        <v>45997</v>
      </c>
      <c r="L504" s="1" t="str">
        <f>IF(K504&gt;O504,"Valid","Invalid")</f>
        <v>Valid</v>
      </c>
      <c r="M504" s="1" t="b">
        <f>ISNUMBER(K504)</f>
        <v>1</v>
      </c>
      <c r="N504" s="1" t="b">
        <f>ISNUMBER(O504)</f>
        <v>1</v>
      </c>
      <c r="O504" s="1">
        <v>45981</v>
      </c>
      <c r="P504" t="s">
        <v>5884</v>
      </c>
      <c r="Q504" t="str">
        <f>SUBSTITUTE(SUBSTITUTE(SUBSTITUTE(P504," ",""),"-",""),"+","")</f>
        <v>0807279837</v>
      </c>
      <c r="R504" t="str">
        <f t="shared" si="14"/>
        <v>0807279837</v>
      </c>
      <c r="S504" t="str">
        <f>IF(LEN(R504),"Valid","Invalid")</f>
        <v>Valid</v>
      </c>
      <c r="T504" t="s">
        <v>5883</v>
      </c>
      <c r="V504" t="s">
        <v>35</v>
      </c>
      <c r="X504">
        <v>11344.73</v>
      </c>
      <c r="Y504" t="s">
        <v>63</v>
      </c>
      <c r="Z504">
        <v>377</v>
      </c>
      <c r="AA504">
        <f t="shared" si="15"/>
        <v>377</v>
      </c>
      <c r="AB504" t="s">
        <v>43</v>
      </c>
    </row>
    <row r="505" spans="1:28" x14ac:dyDescent="0.3">
      <c r="A505" t="s">
        <v>5882</v>
      </c>
      <c r="B505" t="s">
        <v>5881</v>
      </c>
      <c r="C505" t="s">
        <v>5881</v>
      </c>
      <c r="E505">
        <v>1</v>
      </c>
      <c r="F505">
        <v>1</v>
      </c>
      <c r="G505" t="s">
        <v>54</v>
      </c>
      <c r="H505" t="s">
        <v>54</v>
      </c>
      <c r="I505" t="s">
        <v>53</v>
      </c>
      <c r="J505" t="s">
        <v>20</v>
      </c>
      <c r="K505" s="1">
        <v>46025</v>
      </c>
      <c r="L505" s="1" t="str">
        <f>IF(K505&gt;O505,"Valid","Invalid")</f>
        <v>Valid</v>
      </c>
      <c r="M505" s="1" t="b">
        <f>ISNUMBER(K505)</f>
        <v>1</v>
      </c>
      <c r="N505" s="1" t="b">
        <f>ISNUMBER(O505)</f>
        <v>1</v>
      </c>
      <c r="O505" s="1">
        <v>45997</v>
      </c>
      <c r="P505" t="s">
        <v>5880</v>
      </c>
      <c r="Q505" t="str">
        <f>SUBSTITUTE(SUBSTITUTE(SUBSTITUTE(P505," ",""),"-",""),"+","")</f>
        <v>9166349906</v>
      </c>
      <c r="R505" t="str">
        <f t="shared" si="14"/>
        <v>9166349906</v>
      </c>
      <c r="S505" t="str">
        <f>IF(LEN(R505),"Valid","Invalid")</f>
        <v>Valid</v>
      </c>
      <c r="T505" t="s">
        <v>5879</v>
      </c>
      <c r="V505" t="s">
        <v>27</v>
      </c>
      <c r="X505">
        <v>15569.42</v>
      </c>
      <c r="Y505" t="s">
        <v>17</v>
      </c>
      <c r="Z505">
        <v>497</v>
      </c>
      <c r="AA505">
        <f t="shared" si="15"/>
        <v>497</v>
      </c>
      <c r="AB505" t="s">
        <v>34</v>
      </c>
    </row>
    <row r="506" spans="1:28" x14ac:dyDescent="0.3">
      <c r="A506" t="s">
        <v>5878</v>
      </c>
      <c r="B506" t="s">
        <v>5877</v>
      </c>
      <c r="C506" t="s">
        <v>5877</v>
      </c>
      <c r="D506" t="s">
        <v>1</v>
      </c>
      <c r="E506">
        <v>42</v>
      </c>
      <c r="F506">
        <v>42</v>
      </c>
      <c r="G506" t="s">
        <v>80</v>
      </c>
      <c r="H506" t="s">
        <v>80</v>
      </c>
      <c r="I506" t="s">
        <v>90</v>
      </c>
      <c r="J506" t="s">
        <v>67</v>
      </c>
      <c r="K506" s="1">
        <v>46107</v>
      </c>
      <c r="L506" s="1" t="str">
        <f>IF(K506&gt;O506,"Valid","Invalid")</f>
        <v>Valid</v>
      </c>
      <c r="M506" s="1" t="b">
        <f>ISNUMBER(K506)</f>
        <v>1</v>
      </c>
      <c r="N506" s="1" t="b">
        <f>ISNUMBER(O506)</f>
        <v>1</v>
      </c>
      <c r="O506" s="1">
        <v>46101</v>
      </c>
      <c r="P506" t="s">
        <v>5876</v>
      </c>
      <c r="Q506" t="str">
        <f>SUBSTITUTE(SUBSTITUTE(SUBSTITUTE(P506," ",""),"-",""),"+","")</f>
        <v>07509241138</v>
      </c>
      <c r="R506" t="str">
        <f t="shared" si="14"/>
        <v>7509241138</v>
      </c>
      <c r="S506" t="str">
        <f>IF(LEN(R506),"Valid","Invalid")</f>
        <v>Valid</v>
      </c>
      <c r="T506" t="s">
        <v>5875</v>
      </c>
      <c r="V506" t="s">
        <v>123</v>
      </c>
      <c r="X506">
        <v>19190.21</v>
      </c>
      <c r="Y506" t="s">
        <v>26</v>
      </c>
      <c r="Z506">
        <v>413</v>
      </c>
      <c r="AA506">
        <f t="shared" si="15"/>
        <v>413</v>
      </c>
      <c r="AB506" t="s">
        <v>43</v>
      </c>
    </row>
    <row r="507" spans="1:28" x14ac:dyDescent="0.3">
      <c r="A507" t="s">
        <v>5874</v>
      </c>
      <c r="B507" t="s">
        <v>5873</v>
      </c>
      <c r="C507" t="s">
        <v>5873</v>
      </c>
      <c r="D507" t="s">
        <v>60</v>
      </c>
      <c r="E507">
        <v>53</v>
      </c>
      <c r="F507">
        <v>53</v>
      </c>
      <c r="G507" t="s">
        <v>31</v>
      </c>
      <c r="H507" t="s">
        <v>31</v>
      </c>
      <c r="I507" t="s">
        <v>20</v>
      </c>
      <c r="J507" t="s">
        <v>20</v>
      </c>
      <c r="K507" s="1">
        <v>46097</v>
      </c>
      <c r="L507" s="1" t="str">
        <f>IF(K507&gt;O507,"Valid","Invalid")</f>
        <v>Valid</v>
      </c>
      <c r="M507" s="1" t="b">
        <f>ISNUMBER(K507)</f>
        <v>1</v>
      </c>
      <c r="N507" s="1" t="b">
        <f>ISNUMBER(O507)</f>
        <v>1</v>
      </c>
      <c r="O507" s="1">
        <v>46094</v>
      </c>
      <c r="P507" t="s">
        <v>5872</v>
      </c>
      <c r="Q507" t="str">
        <f>SUBSTITUTE(SUBSTITUTE(SUBSTITUTE(P507," ",""),"-",""),"+","")</f>
        <v>918089114581</v>
      </c>
      <c r="R507" t="str">
        <f t="shared" si="14"/>
        <v>8089114581</v>
      </c>
      <c r="S507" t="str">
        <f>IF(LEN(R507),"Valid","Invalid")</f>
        <v>Valid</v>
      </c>
      <c r="T507" t="s">
        <v>5871</v>
      </c>
      <c r="V507" t="s">
        <v>64</v>
      </c>
      <c r="X507">
        <v>1285.68</v>
      </c>
      <c r="Y507" t="s">
        <v>26</v>
      </c>
      <c r="Z507">
        <v>191</v>
      </c>
      <c r="AA507">
        <f t="shared" si="15"/>
        <v>191</v>
      </c>
      <c r="AB507" t="s">
        <v>50</v>
      </c>
    </row>
    <row r="508" spans="1:28" x14ac:dyDescent="0.3">
      <c r="A508" t="s">
        <v>5870</v>
      </c>
      <c r="B508" t="s">
        <v>5869</v>
      </c>
      <c r="C508" t="s">
        <v>5869</v>
      </c>
      <c r="D508" t="s">
        <v>40</v>
      </c>
      <c r="E508">
        <v>26</v>
      </c>
      <c r="F508">
        <v>26</v>
      </c>
      <c r="G508" t="s">
        <v>80</v>
      </c>
      <c r="H508" t="s">
        <v>80</v>
      </c>
      <c r="I508" t="s">
        <v>85</v>
      </c>
      <c r="J508" t="s">
        <v>85</v>
      </c>
      <c r="K508" s="1">
        <v>46075</v>
      </c>
      <c r="L508" s="1" t="str">
        <f>IF(K508&gt;O508,"Valid","Invalid")</f>
        <v>Valid</v>
      </c>
      <c r="M508" s="1" t="b">
        <f>ISNUMBER(K508)</f>
        <v>1</v>
      </c>
      <c r="N508" s="1" t="b">
        <f>ISNUMBER(O508)</f>
        <v>1</v>
      </c>
      <c r="O508" s="1">
        <v>46069</v>
      </c>
      <c r="P508" t="s">
        <v>5868</v>
      </c>
      <c r="Q508" t="str">
        <f>SUBSTITUTE(SUBSTITUTE(SUBSTITUTE(P508," ",""),"-",""),"+","")</f>
        <v>07544551849</v>
      </c>
      <c r="R508" t="str">
        <f t="shared" si="14"/>
        <v>7544551849</v>
      </c>
      <c r="S508" t="str">
        <f>IF(LEN(R508),"Valid","Invalid")</f>
        <v>Valid</v>
      </c>
      <c r="T508" t="s">
        <v>5867</v>
      </c>
      <c r="V508" t="s">
        <v>64</v>
      </c>
      <c r="X508">
        <v>989.07</v>
      </c>
      <c r="Y508" t="s">
        <v>123</v>
      </c>
      <c r="Z508">
        <v>436</v>
      </c>
      <c r="AA508">
        <f t="shared" si="15"/>
        <v>436</v>
      </c>
      <c r="AB508" t="s">
        <v>16</v>
      </c>
    </row>
    <row r="509" spans="1:28" x14ac:dyDescent="0.3">
      <c r="A509" t="s">
        <v>5866</v>
      </c>
      <c r="B509" t="s">
        <v>5865</v>
      </c>
      <c r="C509" t="s">
        <v>5865</v>
      </c>
      <c r="D509" t="s">
        <v>22</v>
      </c>
      <c r="E509">
        <v>7</v>
      </c>
      <c r="F509">
        <v>7</v>
      </c>
      <c r="G509" t="s">
        <v>31</v>
      </c>
      <c r="H509" t="s">
        <v>31</v>
      </c>
      <c r="I509" t="s">
        <v>38</v>
      </c>
      <c r="J509" t="s">
        <v>8077</v>
      </c>
      <c r="K509" s="1">
        <v>46161</v>
      </c>
      <c r="L509" s="1" t="str">
        <f>IF(K509&gt;O509,"Valid","Invalid")</f>
        <v>Valid</v>
      </c>
      <c r="M509" s="1" t="b">
        <f>ISNUMBER(K509)</f>
        <v>1</v>
      </c>
      <c r="N509" s="1" t="b">
        <f>ISNUMBER(O509)</f>
        <v>1</v>
      </c>
      <c r="O509" s="1">
        <v>46142</v>
      </c>
      <c r="P509" t="s">
        <v>5864</v>
      </c>
      <c r="Q509" t="str">
        <f>SUBSTITUTE(SUBSTITUTE(SUBSTITUTE(P509," ",""),"-",""),"+","")</f>
        <v>5299036837</v>
      </c>
      <c r="R509" t="str">
        <f t="shared" si="14"/>
        <v>5299036837</v>
      </c>
      <c r="S509" t="str">
        <f>IF(LEN(R509),"Valid","Invalid")</f>
        <v>Valid</v>
      </c>
      <c r="T509" t="s">
        <v>5863</v>
      </c>
      <c r="V509" t="s">
        <v>64</v>
      </c>
      <c r="X509">
        <v>524.54</v>
      </c>
      <c r="Y509" t="s">
        <v>57</v>
      </c>
      <c r="Z509">
        <v>435</v>
      </c>
      <c r="AA509">
        <f t="shared" si="15"/>
        <v>435</v>
      </c>
      <c r="AB509" t="s">
        <v>16</v>
      </c>
    </row>
    <row r="510" spans="1:28" x14ac:dyDescent="0.3">
      <c r="A510" t="s">
        <v>5862</v>
      </c>
      <c r="B510" t="s">
        <v>5861</v>
      </c>
      <c r="C510" t="s">
        <v>5861</v>
      </c>
      <c r="D510" t="s">
        <v>74</v>
      </c>
      <c r="E510">
        <v>60</v>
      </c>
      <c r="F510">
        <v>60</v>
      </c>
      <c r="G510" t="s">
        <v>47</v>
      </c>
      <c r="H510" t="s">
        <v>47</v>
      </c>
      <c r="I510" t="s">
        <v>67</v>
      </c>
      <c r="J510" t="s">
        <v>67</v>
      </c>
      <c r="K510" s="1">
        <v>46061</v>
      </c>
      <c r="L510" s="1" t="str">
        <f>IF(K510&gt;O510,"Valid","Invalid")</f>
        <v>Valid</v>
      </c>
      <c r="M510" s="1" t="b">
        <f>ISNUMBER(K510)</f>
        <v>1</v>
      </c>
      <c r="N510" s="1" t="b">
        <f>ISNUMBER(O510)</f>
        <v>1</v>
      </c>
      <c r="O510" s="1">
        <v>46044</v>
      </c>
      <c r="P510" t="s">
        <v>5860</v>
      </c>
      <c r="Q510" t="str">
        <f>SUBSTITUTE(SUBSTITUTE(SUBSTITUTE(P510," ",""),"-",""),"+","")</f>
        <v>912253983711</v>
      </c>
      <c r="R510" t="str">
        <f t="shared" si="14"/>
        <v>2253983711</v>
      </c>
      <c r="S510" t="str">
        <f>IF(LEN(R510),"Valid","Invalid")</f>
        <v>Valid</v>
      </c>
      <c r="T510" t="s">
        <v>5859</v>
      </c>
      <c r="V510" t="s">
        <v>123</v>
      </c>
      <c r="X510">
        <v>20586.259999999998</v>
      </c>
      <c r="Y510" t="s">
        <v>27</v>
      </c>
      <c r="Z510">
        <v>521</v>
      </c>
      <c r="AA510">
        <f t="shared" si="15"/>
        <v>521</v>
      </c>
      <c r="AB510" t="s">
        <v>34</v>
      </c>
    </row>
    <row r="511" spans="1:28" x14ac:dyDescent="0.3">
      <c r="A511" t="s">
        <v>5858</v>
      </c>
      <c r="B511" t="s">
        <v>5857</v>
      </c>
      <c r="C511" t="s">
        <v>5857</v>
      </c>
      <c r="D511" t="s">
        <v>22</v>
      </c>
      <c r="E511">
        <v>68</v>
      </c>
      <c r="F511">
        <v>68</v>
      </c>
      <c r="G511" t="s">
        <v>47</v>
      </c>
      <c r="H511" t="s">
        <v>47</v>
      </c>
      <c r="I511" t="s">
        <v>20</v>
      </c>
      <c r="J511" t="s">
        <v>20</v>
      </c>
      <c r="K511" s="1">
        <v>46079</v>
      </c>
      <c r="L511" s="1" t="str">
        <f>IF(K511&gt;O511,"Valid","Invalid")</f>
        <v>Valid</v>
      </c>
      <c r="M511" s="1" t="b">
        <f>ISNUMBER(K511)</f>
        <v>1</v>
      </c>
      <c r="N511" s="1" t="b">
        <f>ISNUMBER(O511)</f>
        <v>1</v>
      </c>
      <c r="O511" s="1">
        <v>46053</v>
      </c>
      <c r="P511" t="s">
        <v>5856</v>
      </c>
      <c r="Q511" t="str">
        <f>SUBSTITUTE(SUBSTITUTE(SUBSTITUTE(P511," ",""),"-",""),"+","")</f>
        <v>915286717185</v>
      </c>
      <c r="R511" t="str">
        <f t="shared" si="14"/>
        <v>5286717185</v>
      </c>
      <c r="S511" t="str">
        <f>IF(LEN(R511),"Valid","Invalid")</f>
        <v>Valid</v>
      </c>
      <c r="T511" t="s">
        <v>5855</v>
      </c>
      <c r="V511" t="s">
        <v>26</v>
      </c>
      <c r="X511">
        <v>2132.8000000000002</v>
      </c>
      <c r="Y511" t="s">
        <v>57</v>
      </c>
      <c r="Z511">
        <v>365</v>
      </c>
      <c r="AA511">
        <f t="shared" si="15"/>
        <v>365</v>
      </c>
      <c r="AB511" t="s">
        <v>77</v>
      </c>
    </row>
    <row r="512" spans="1:28" x14ac:dyDescent="0.3">
      <c r="A512" t="s">
        <v>5854</v>
      </c>
      <c r="B512" t="s">
        <v>5853</v>
      </c>
      <c r="C512" t="s">
        <v>8047</v>
      </c>
      <c r="D512" t="s">
        <v>74</v>
      </c>
      <c r="E512">
        <v>30</v>
      </c>
      <c r="F512">
        <v>30</v>
      </c>
      <c r="G512" t="s">
        <v>54</v>
      </c>
      <c r="H512" t="s">
        <v>54</v>
      </c>
      <c r="I512" t="s">
        <v>38</v>
      </c>
      <c r="J512" t="s">
        <v>8077</v>
      </c>
      <c r="K512" s="1">
        <v>45999</v>
      </c>
      <c r="L512" s="1" t="str">
        <f>IF(K512&gt;O512,"Valid","Invalid")</f>
        <v>Valid</v>
      </c>
      <c r="M512" s="1" t="b">
        <f>ISNUMBER(K512)</f>
        <v>1</v>
      </c>
      <c r="N512" s="1" t="b">
        <f>ISNUMBER(O512)</f>
        <v>1</v>
      </c>
      <c r="O512" s="1">
        <v>45993</v>
      </c>
      <c r="P512" t="s">
        <v>5852</v>
      </c>
      <c r="Q512" t="str">
        <f>SUBSTITUTE(SUBSTITUTE(SUBSTITUTE(P512," ",""),"-",""),"+","")</f>
        <v>07682249268</v>
      </c>
      <c r="R512" t="str">
        <f t="shared" si="14"/>
        <v>7682249268</v>
      </c>
      <c r="S512" t="str">
        <f>IF(LEN(R512),"Valid","Invalid")</f>
        <v>Valid</v>
      </c>
      <c r="T512" t="s">
        <v>5851</v>
      </c>
      <c r="V512" t="s">
        <v>17</v>
      </c>
      <c r="X512">
        <v>14336.69</v>
      </c>
      <c r="Y512" t="s">
        <v>26</v>
      </c>
      <c r="Z512">
        <v>385</v>
      </c>
      <c r="AA512">
        <f t="shared" si="15"/>
        <v>385</v>
      </c>
      <c r="AB512" t="s">
        <v>25</v>
      </c>
    </row>
    <row r="513" spans="1:28" x14ac:dyDescent="0.3">
      <c r="A513" t="s">
        <v>5850</v>
      </c>
      <c r="B513" t="s">
        <v>5849</v>
      </c>
      <c r="C513" t="s">
        <v>5849</v>
      </c>
      <c r="D513" t="s">
        <v>123</v>
      </c>
      <c r="E513">
        <v>14</v>
      </c>
      <c r="F513">
        <v>14</v>
      </c>
      <c r="G513" t="s">
        <v>31</v>
      </c>
      <c r="H513" t="s">
        <v>31</v>
      </c>
      <c r="I513" t="s">
        <v>85</v>
      </c>
      <c r="J513" t="s">
        <v>85</v>
      </c>
      <c r="K513" s="1">
        <v>46146</v>
      </c>
      <c r="L513" s="1" t="str">
        <f>IF(K513&gt;O513,"Valid","Invalid")</f>
        <v>Valid</v>
      </c>
      <c r="M513" s="1" t="b">
        <f>ISNUMBER(K513)</f>
        <v>1</v>
      </c>
      <c r="N513" s="1" t="b">
        <f>ISNUMBER(O513)</f>
        <v>1</v>
      </c>
      <c r="O513" s="1">
        <v>46124</v>
      </c>
      <c r="P513" t="s">
        <v>5848</v>
      </c>
      <c r="Q513" t="str">
        <f>SUBSTITUTE(SUBSTITUTE(SUBSTITUTE(P513," ",""),"-",""),"+","")</f>
        <v>0704174767</v>
      </c>
      <c r="R513" t="str">
        <f t="shared" si="14"/>
        <v>0704174767</v>
      </c>
      <c r="S513" t="str">
        <f>IF(LEN(R513),"Valid","Invalid")</f>
        <v>Valid</v>
      </c>
      <c r="T513" t="s">
        <v>5847</v>
      </c>
      <c r="V513" t="s">
        <v>123</v>
      </c>
      <c r="X513">
        <v>22094.04</v>
      </c>
      <c r="Y513" t="s">
        <v>26</v>
      </c>
      <c r="Z513">
        <v>505</v>
      </c>
      <c r="AA513">
        <f t="shared" si="15"/>
        <v>505</v>
      </c>
      <c r="AB513" t="s">
        <v>71</v>
      </c>
    </row>
    <row r="514" spans="1:28" x14ac:dyDescent="0.3">
      <c r="A514" t="s">
        <v>5846</v>
      </c>
      <c r="B514" t="s">
        <v>5845</v>
      </c>
      <c r="C514" t="s">
        <v>5845</v>
      </c>
      <c r="D514" t="s">
        <v>123</v>
      </c>
      <c r="E514">
        <v>65</v>
      </c>
      <c r="F514">
        <v>65</v>
      </c>
      <c r="G514" t="s">
        <v>31</v>
      </c>
      <c r="H514" t="s">
        <v>31</v>
      </c>
      <c r="I514" t="s">
        <v>53</v>
      </c>
      <c r="J514" t="s">
        <v>20</v>
      </c>
      <c r="K514" s="1">
        <v>46029</v>
      </c>
      <c r="L514" s="1" t="str">
        <f>IF(K514&gt;O514,"Valid","Invalid")</f>
        <v>Valid</v>
      </c>
      <c r="M514" s="1" t="b">
        <f>ISNUMBER(K514)</f>
        <v>1</v>
      </c>
      <c r="N514" s="1" t="b">
        <f>ISNUMBER(O514)</f>
        <v>1</v>
      </c>
      <c r="O514" s="1">
        <v>46012</v>
      </c>
      <c r="P514" t="s">
        <v>5844</v>
      </c>
      <c r="Q514" t="str">
        <f>SUBSTITUTE(SUBSTITUTE(SUBSTITUTE(P514," ",""),"-",""),"+","")</f>
        <v>9316897415</v>
      </c>
      <c r="R514" t="str">
        <f t="shared" si="14"/>
        <v>9316897415</v>
      </c>
      <c r="S514" t="str">
        <f>IF(LEN(R514),"Valid","Invalid")</f>
        <v>Valid</v>
      </c>
      <c r="T514" t="s">
        <v>5843</v>
      </c>
      <c r="V514" t="s">
        <v>123</v>
      </c>
      <c r="X514">
        <v>23351.3</v>
      </c>
      <c r="Y514" t="s">
        <v>17</v>
      </c>
      <c r="Z514">
        <v>381</v>
      </c>
      <c r="AA514">
        <f t="shared" si="15"/>
        <v>381</v>
      </c>
      <c r="AB514" t="s">
        <v>43</v>
      </c>
    </row>
    <row r="515" spans="1:28" x14ac:dyDescent="0.3">
      <c r="A515" t="s">
        <v>5842</v>
      </c>
      <c r="B515" t="s">
        <v>5841</v>
      </c>
      <c r="C515" t="s">
        <v>5841</v>
      </c>
      <c r="D515" t="s">
        <v>60</v>
      </c>
      <c r="E515">
        <v>53</v>
      </c>
      <c r="F515">
        <v>53</v>
      </c>
      <c r="G515" t="s">
        <v>54</v>
      </c>
      <c r="H515" t="s">
        <v>54</v>
      </c>
      <c r="I515" t="s">
        <v>67</v>
      </c>
      <c r="J515" t="s">
        <v>67</v>
      </c>
      <c r="K515" s="1">
        <v>46154</v>
      </c>
      <c r="L515" s="1" t="str">
        <f>IF(K515&gt;O515,"Valid","Invalid")</f>
        <v>Valid</v>
      </c>
      <c r="M515" s="1" t="b">
        <f>ISNUMBER(K515)</f>
        <v>1</v>
      </c>
      <c r="N515" s="1" t="b">
        <f>ISNUMBER(O515)</f>
        <v>1</v>
      </c>
      <c r="O515" s="1">
        <v>46135</v>
      </c>
      <c r="P515" t="s">
        <v>5840</v>
      </c>
      <c r="Q515" t="str">
        <f>SUBSTITUTE(SUBSTITUTE(SUBSTITUTE(P515," ",""),"-",""),"+","")</f>
        <v>08776564589</v>
      </c>
      <c r="R515" t="str">
        <f t="shared" si="14"/>
        <v>8776564589</v>
      </c>
      <c r="S515" t="str">
        <f>IF(LEN(R515),"Valid","Invalid")</f>
        <v>Valid</v>
      </c>
      <c r="T515" t="s">
        <v>5839</v>
      </c>
      <c r="V515" t="s">
        <v>17</v>
      </c>
      <c r="X515">
        <v>14165.99</v>
      </c>
      <c r="Y515" t="s">
        <v>57</v>
      </c>
      <c r="Z515">
        <v>292</v>
      </c>
      <c r="AA515">
        <f t="shared" si="15"/>
        <v>292</v>
      </c>
      <c r="AB515" t="s">
        <v>50</v>
      </c>
    </row>
    <row r="516" spans="1:28" x14ac:dyDescent="0.3">
      <c r="A516" t="s">
        <v>5838</v>
      </c>
      <c r="B516" t="s">
        <v>5837</v>
      </c>
      <c r="C516" t="s">
        <v>5837</v>
      </c>
      <c r="D516" t="s">
        <v>22</v>
      </c>
      <c r="E516">
        <v>47</v>
      </c>
      <c r="F516">
        <v>47</v>
      </c>
      <c r="G516" t="s">
        <v>68</v>
      </c>
      <c r="H516" t="s">
        <v>68</v>
      </c>
      <c r="I516" t="s">
        <v>85</v>
      </c>
      <c r="J516" t="s">
        <v>85</v>
      </c>
      <c r="K516" s="1">
        <v>46164</v>
      </c>
      <c r="L516" s="1" t="str">
        <f>IF(K516&gt;O516,"Valid","Invalid")</f>
        <v>Valid</v>
      </c>
      <c r="M516" s="1" t="b">
        <f>ISNUMBER(K516)</f>
        <v>1</v>
      </c>
      <c r="N516" s="1" t="b">
        <f>ISNUMBER(O516)</f>
        <v>1</v>
      </c>
      <c r="O516" s="1">
        <v>46134</v>
      </c>
      <c r="P516" t="s">
        <v>5836</v>
      </c>
      <c r="Q516" t="str">
        <f>SUBSTITUTE(SUBSTITUTE(SUBSTITUTE(P516," ",""),"-",""),"+","")</f>
        <v>9426249338</v>
      </c>
      <c r="R516" t="str">
        <f t="shared" si="14"/>
        <v>9426249338</v>
      </c>
      <c r="S516" t="str">
        <f>IF(LEN(R516),"Valid","Invalid")</f>
        <v>Valid</v>
      </c>
      <c r="T516" t="s">
        <v>5835</v>
      </c>
      <c r="V516" t="s">
        <v>123</v>
      </c>
      <c r="X516">
        <v>204.85</v>
      </c>
      <c r="Y516" t="s">
        <v>27</v>
      </c>
      <c r="Z516">
        <v>245</v>
      </c>
      <c r="AA516">
        <f t="shared" si="15"/>
        <v>245</v>
      </c>
      <c r="AB516" t="s">
        <v>34</v>
      </c>
    </row>
    <row r="517" spans="1:28" x14ac:dyDescent="0.3">
      <c r="A517" t="s">
        <v>5830</v>
      </c>
      <c r="B517" t="s">
        <v>5829</v>
      </c>
      <c r="C517" t="s">
        <v>5829</v>
      </c>
      <c r="D517" t="s">
        <v>40</v>
      </c>
      <c r="E517">
        <v>89</v>
      </c>
      <c r="F517">
        <v>89</v>
      </c>
      <c r="G517" t="s">
        <v>132</v>
      </c>
      <c r="H517" t="s">
        <v>132</v>
      </c>
      <c r="I517" t="s">
        <v>53</v>
      </c>
      <c r="J517" t="s">
        <v>20</v>
      </c>
      <c r="K517" s="1">
        <v>46080</v>
      </c>
      <c r="L517" s="1" t="str">
        <f>IF(K517&gt;O517,"Valid","Invalid")</f>
        <v>Valid</v>
      </c>
      <c r="M517" s="1" t="b">
        <f>ISNUMBER(K517)</f>
        <v>1</v>
      </c>
      <c r="N517" s="1" t="b">
        <f>ISNUMBER(O517)</f>
        <v>1</v>
      </c>
      <c r="O517" s="1">
        <v>46077</v>
      </c>
      <c r="P517" t="s">
        <v>5828</v>
      </c>
      <c r="Q517" t="str">
        <f>SUBSTITUTE(SUBSTITUTE(SUBSTITUTE(P517," ",""),"-",""),"+","")</f>
        <v>09831831424</v>
      </c>
      <c r="R517" t="str">
        <f t="shared" ref="R517:R580" si="16">RIGHT(Q517,10)</f>
        <v>9831831424</v>
      </c>
      <c r="S517" t="str">
        <f>IF(LEN(R517),"Valid","Invalid")</f>
        <v>Valid</v>
      </c>
      <c r="T517" t="s">
        <v>5827</v>
      </c>
      <c r="V517" t="s">
        <v>27</v>
      </c>
      <c r="X517">
        <v>11617.17</v>
      </c>
      <c r="Y517" t="s">
        <v>26</v>
      </c>
      <c r="Z517">
        <v>170</v>
      </c>
      <c r="AA517">
        <f t="shared" ref="AA517:AA580" si="17">IF(Z517="Room-x",0,Z517)</f>
        <v>170</v>
      </c>
      <c r="AB517" t="s">
        <v>43</v>
      </c>
    </row>
    <row r="518" spans="1:28" x14ac:dyDescent="0.3">
      <c r="A518" t="s">
        <v>5826</v>
      </c>
      <c r="B518" t="s">
        <v>5825</v>
      </c>
      <c r="C518" t="s">
        <v>5825</v>
      </c>
      <c r="D518" t="s">
        <v>60</v>
      </c>
      <c r="E518">
        <v>75</v>
      </c>
      <c r="F518">
        <v>75</v>
      </c>
      <c r="G518" t="s">
        <v>21</v>
      </c>
      <c r="H518" t="s">
        <v>21</v>
      </c>
      <c r="I518" t="s">
        <v>38</v>
      </c>
      <c r="J518" t="s">
        <v>8077</v>
      </c>
      <c r="K518" s="1">
        <v>46078</v>
      </c>
      <c r="L518" s="1" t="str">
        <f>IF(K518&gt;O518,"Valid","Invalid")</f>
        <v>Valid</v>
      </c>
      <c r="M518" s="1" t="b">
        <f>ISNUMBER(K518)</f>
        <v>1</v>
      </c>
      <c r="N518" s="1" t="b">
        <f>ISNUMBER(O518)</f>
        <v>1</v>
      </c>
      <c r="O518" s="1">
        <v>46070</v>
      </c>
      <c r="P518" t="s">
        <v>5824</v>
      </c>
      <c r="Q518" t="str">
        <f>SUBSTITUTE(SUBSTITUTE(SUBSTITUTE(P518," ",""),"-",""),"+","")</f>
        <v>919652515373</v>
      </c>
      <c r="R518" t="str">
        <f t="shared" si="16"/>
        <v>9652515373</v>
      </c>
      <c r="S518" t="str">
        <f>IF(LEN(R518),"Valid","Invalid")</f>
        <v>Valid</v>
      </c>
      <c r="T518" t="s">
        <v>5823</v>
      </c>
      <c r="V518" t="s">
        <v>26</v>
      </c>
      <c r="X518">
        <v>2479.25</v>
      </c>
      <c r="Y518" t="s">
        <v>123</v>
      </c>
      <c r="Z518">
        <v>391</v>
      </c>
      <c r="AA518">
        <f t="shared" si="17"/>
        <v>391</v>
      </c>
      <c r="AB518" t="s">
        <v>71</v>
      </c>
    </row>
    <row r="519" spans="1:28" x14ac:dyDescent="0.3">
      <c r="A519" t="s">
        <v>5822</v>
      </c>
      <c r="B519" t="s">
        <v>5821</v>
      </c>
      <c r="C519" t="s">
        <v>5821</v>
      </c>
      <c r="D519" t="s">
        <v>74</v>
      </c>
      <c r="E519">
        <v>42</v>
      </c>
      <c r="F519">
        <v>42</v>
      </c>
      <c r="G519" t="s">
        <v>68</v>
      </c>
      <c r="H519" t="s">
        <v>68</v>
      </c>
      <c r="I519" t="s">
        <v>53</v>
      </c>
      <c r="J519" t="s">
        <v>20</v>
      </c>
      <c r="K519" s="1">
        <v>46148</v>
      </c>
      <c r="L519" s="1" t="str">
        <f>IF(K519&gt;O519,"Valid","Invalid")</f>
        <v>Valid</v>
      </c>
      <c r="M519" s="1" t="b">
        <f>ISNUMBER(K519)</f>
        <v>1</v>
      </c>
      <c r="N519" s="1" t="b">
        <f>ISNUMBER(O519)</f>
        <v>1</v>
      </c>
      <c r="O519" s="1">
        <v>46133</v>
      </c>
      <c r="P519" t="s">
        <v>5820</v>
      </c>
      <c r="Q519" t="str">
        <f>SUBSTITUTE(SUBSTITUTE(SUBSTITUTE(P519," ",""),"-",""),"+","")</f>
        <v>06815743886</v>
      </c>
      <c r="R519" t="str">
        <f t="shared" si="16"/>
        <v>6815743886</v>
      </c>
      <c r="S519" t="str">
        <f>IF(LEN(R519),"Valid","Invalid")</f>
        <v>Valid</v>
      </c>
      <c r="T519" t="s">
        <v>5819</v>
      </c>
      <c r="V519" t="s">
        <v>64</v>
      </c>
      <c r="X519">
        <v>14961.73</v>
      </c>
      <c r="Y519" t="s">
        <v>63</v>
      </c>
      <c r="Z519">
        <v>119</v>
      </c>
      <c r="AA519">
        <f t="shared" si="17"/>
        <v>119</v>
      </c>
      <c r="AB519" t="s">
        <v>25</v>
      </c>
    </row>
    <row r="520" spans="1:28" x14ac:dyDescent="0.3">
      <c r="A520" t="s">
        <v>5818</v>
      </c>
      <c r="B520" t="s">
        <v>5817</v>
      </c>
      <c r="C520" t="s">
        <v>8048</v>
      </c>
      <c r="D520" t="s">
        <v>123</v>
      </c>
      <c r="E520">
        <v>11</v>
      </c>
      <c r="F520">
        <v>11</v>
      </c>
      <c r="G520" t="s">
        <v>47</v>
      </c>
      <c r="H520" t="s">
        <v>47</v>
      </c>
      <c r="I520" t="s">
        <v>67</v>
      </c>
      <c r="J520" t="s">
        <v>67</v>
      </c>
      <c r="K520" s="1">
        <v>46129</v>
      </c>
      <c r="L520" s="1" t="str">
        <f>IF(K520&gt;O520,"Valid","Invalid")</f>
        <v>Valid</v>
      </c>
      <c r="M520" s="1" t="b">
        <f>ISNUMBER(K520)</f>
        <v>1</v>
      </c>
      <c r="N520" s="1" t="b">
        <f>ISNUMBER(O520)</f>
        <v>1</v>
      </c>
      <c r="O520" s="1">
        <v>46118</v>
      </c>
      <c r="P520" t="s">
        <v>5816</v>
      </c>
      <c r="Q520" t="str">
        <f>SUBSTITUTE(SUBSTITUTE(SUBSTITUTE(P520," ",""),"-",""),"+","")</f>
        <v>00744900381</v>
      </c>
      <c r="R520" t="str">
        <f t="shared" si="16"/>
        <v>0744900381</v>
      </c>
      <c r="S520" t="str">
        <f>IF(LEN(R520),"Valid","Invalid")</f>
        <v>Valid</v>
      </c>
      <c r="T520" t="s">
        <v>5815</v>
      </c>
      <c r="V520" t="s">
        <v>123</v>
      </c>
      <c r="X520">
        <v>10529.74</v>
      </c>
      <c r="Y520" t="s">
        <v>64</v>
      </c>
      <c r="Z520">
        <v>545</v>
      </c>
      <c r="AA520">
        <f t="shared" si="17"/>
        <v>545</v>
      </c>
      <c r="AB520" t="s">
        <v>50</v>
      </c>
    </row>
    <row r="521" spans="1:28" x14ac:dyDescent="0.3">
      <c r="A521" t="s">
        <v>5814</v>
      </c>
      <c r="B521" t="s">
        <v>5813</v>
      </c>
      <c r="C521" t="s">
        <v>5813</v>
      </c>
      <c r="D521" t="s">
        <v>1</v>
      </c>
      <c r="E521">
        <v>84</v>
      </c>
      <c r="F521">
        <v>84</v>
      </c>
      <c r="G521" t="s">
        <v>47</v>
      </c>
      <c r="H521" t="s">
        <v>47</v>
      </c>
      <c r="I521" t="s">
        <v>90</v>
      </c>
      <c r="J521" t="s">
        <v>67</v>
      </c>
      <c r="K521" s="1">
        <v>46062</v>
      </c>
      <c r="L521" s="1" t="str">
        <f>IF(K521&gt;O521,"Valid","Invalid")</f>
        <v>Valid</v>
      </c>
      <c r="M521" s="1" t="b">
        <f>ISNUMBER(K521)</f>
        <v>1</v>
      </c>
      <c r="N521" s="1" t="b">
        <f>ISNUMBER(O521)</f>
        <v>1</v>
      </c>
      <c r="O521" s="1">
        <v>46061</v>
      </c>
      <c r="P521" t="s">
        <v>5812</v>
      </c>
      <c r="Q521" t="str">
        <f>SUBSTITUTE(SUBSTITUTE(SUBSTITUTE(P521," ",""),"-",""),"+","")</f>
        <v>02076356431</v>
      </c>
      <c r="R521" t="str">
        <f t="shared" si="16"/>
        <v>2076356431</v>
      </c>
      <c r="S521" t="str">
        <f>IF(LEN(R521),"Valid","Invalid")</f>
        <v>Valid</v>
      </c>
      <c r="T521" t="s">
        <v>5811</v>
      </c>
      <c r="V521" t="s">
        <v>26</v>
      </c>
      <c r="X521">
        <v>13204.71</v>
      </c>
      <c r="Y521" t="s">
        <v>17</v>
      </c>
      <c r="Z521">
        <v>376</v>
      </c>
      <c r="AA521">
        <f t="shared" si="17"/>
        <v>376</v>
      </c>
      <c r="AB521" t="s">
        <v>34</v>
      </c>
    </row>
    <row r="522" spans="1:28" x14ac:dyDescent="0.3">
      <c r="A522" t="s">
        <v>5810</v>
      </c>
      <c r="B522" t="s">
        <v>5809</v>
      </c>
      <c r="C522" t="s">
        <v>5809</v>
      </c>
      <c r="D522" t="s">
        <v>0</v>
      </c>
      <c r="E522">
        <v>42</v>
      </c>
      <c r="F522">
        <v>42</v>
      </c>
      <c r="G522" t="s">
        <v>21</v>
      </c>
      <c r="H522" t="s">
        <v>21</v>
      </c>
      <c r="I522" t="s">
        <v>53</v>
      </c>
      <c r="J522" t="s">
        <v>20</v>
      </c>
      <c r="K522" s="1">
        <v>46076</v>
      </c>
      <c r="L522" s="1" t="str">
        <f>IF(K522&gt;O522,"Valid","Invalid")</f>
        <v>Valid</v>
      </c>
      <c r="M522" s="1" t="b">
        <f>ISNUMBER(K522)</f>
        <v>1</v>
      </c>
      <c r="N522" s="1" t="b">
        <f>ISNUMBER(O522)</f>
        <v>1</v>
      </c>
      <c r="O522" s="1">
        <v>46075</v>
      </c>
      <c r="P522" t="s">
        <v>5808</v>
      </c>
      <c r="Q522" t="str">
        <f>SUBSTITUTE(SUBSTITUTE(SUBSTITUTE(P522," ",""),"-",""),"+","")</f>
        <v>911996779616</v>
      </c>
      <c r="R522" t="str">
        <f t="shared" si="16"/>
        <v>1996779616</v>
      </c>
      <c r="S522" t="str">
        <f>IF(LEN(R522),"Valid","Invalid")</f>
        <v>Valid</v>
      </c>
      <c r="T522" t="s">
        <v>5807</v>
      </c>
      <c r="V522" t="s">
        <v>123</v>
      </c>
      <c r="X522">
        <v>24281.8</v>
      </c>
      <c r="Y522" t="s">
        <v>64</v>
      </c>
      <c r="Z522">
        <v>213</v>
      </c>
      <c r="AA522">
        <f t="shared" si="17"/>
        <v>213</v>
      </c>
      <c r="AB522" t="s">
        <v>16</v>
      </c>
    </row>
    <row r="523" spans="1:28" x14ac:dyDescent="0.3">
      <c r="A523" t="s">
        <v>5806</v>
      </c>
      <c r="B523" t="s">
        <v>5805</v>
      </c>
      <c r="C523" t="s">
        <v>5805</v>
      </c>
      <c r="D523" t="s">
        <v>22</v>
      </c>
      <c r="E523">
        <v>51</v>
      </c>
      <c r="F523">
        <v>51</v>
      </c>
      <c r="G523" t="s">
        <v>39</v>
      </c>
      <c r="H523" t="s">
        <v>39</v>
      </c>
      <c r="I523" t="s">
        <v>53</v>
      </c>
      <c r="J523" t="s">
        <v>20</v>
      </c>
      <c r="K523" s="1">
        <v>46108</v>
      </c>
      <c r="L523" s="1" t="str">
        <f>IF(K523&gt;O523,"Valid","Invalid")</f>
        <v>Valid</v>
      </c>
      <c r="M523" s="1" t="b">
        <f>ISNUMBER(K523)</f>
        <v>1</v>
      </c>
      <c r="N523" s="1" t="b">
        <f>ISNUMBER(O523)</f>
        <v>1</v>
      </c>
      <c r="O523" s="1">
        <v>46098</v>
      </c>
      <c r="P523" t="s">
        <v>5804</v>
      </c>
      <c r="Q523" t="str">
        <f>SUBSTITUTE(SUBSTITUTE(SUBSTITUTE(P523," ",""),"-",""),"+","")</f>
        <v>5353229217</v>
      </c>
      <c r="R523" t="str">
        <f t="shared" si="16"/>
        <v>5353229217</v>
      </c>
      <c r="S523" t="str">
        <f>IF(LEN(R523),"Valid","Invalid")</f>
        <v>Valid</v>
      </c>
      <c r="T523" t="s">
        <v>5803</v>
      </c>
      <c r="V523" t="s">
        <v>64</v>
      </c>
      <c r="X523">
        <v>12001.2</v>
      </c>
      <c r="Y523" t="s">
        <v>27</v>
      </c>
      <c r="Z523">
        <v>380</v>
      </c>
      <c r="AA523">
        <f t="shared" si="17"/>
        <v>380</v>
      </c>
      <c r="AB523" t="s">
        <v>16</v>
      </c>
    </row>
    <row r="524" spans="1:28" x14ac:dyDescent="0.3">
      <c r="A524" t="s">
        <v>5802</v>
      </c>
      <c r="B524" t="s">
        <v>5801</v>
      </c>
      <c r="C524" t="s">
        <v>5801</v>
      </c>
      <c r="D524" t="s">
        <v>22</v>
      </c>
      <c r="E524">
        <v>11</v>
      </c>
      <c r="F524">
        <v>11</v>
      </c>
      <c r="G524" t="s">
        <v>54</v>
      </c>
      <c r="H524" t="s">
        <v>54</v>
      </c>
      <c r="I524" t="s">
        <v>90</v>
      </c>
      <c r="J524" t="s">
        <v>67</v>
      </c>
      <c r="K524" s="1">
        <v>46106</v>
      </c>
      <c r="L524" s="1" t="str">
        <f>IF(K524&gt;O524,"Valid","Invalid")</f>
        <v>Valid</v>
      </c>
      <c r="M524" s="1" t="b">
        <f>ISNUMBER(K524)</f>
        <v>1</v>
      </c>
      <c r="N524" s="1" t="b">
        <f>ISNUMBER(O524)</f>
        <v>1</v>
      </c>
      <c r="O524" s="1">
        <v>46082</v>
      </c>
      <c r="P524" t="s">
        <v>5800</v>
      </c>
      <c r="Q524" t="str">
        <f>SUBSTITUTE(SUBSTITUTE(SUBSTITUTE(P524," ",""),"-",""),"+","")</f>
        <v>02532710802</v>
      </c>
      <c r="R524" t="str">
        <f t="shared" si="16"/>
        <v>2532710802</v>
      </c>
      <c r="S524" t="str">
        <f>IF(LEN(R524),"Valid","Invalid")</f>
        <v>Valid</v>
      </c>
      <c r="T524" t="s">
        <v>5799</v>
      </c>
      <c r="V524" t="s">
        <v>35</v>
      </c>
      <c r="X524">
        <v>19098.419999999998</v>
      </c>
      <c r="Y524" t="s">
        <v>123</v>
      </c>
      <c r="Z524">
        <v>386</v>
      </c>
      <c r="AA524">
        <f t="shared" si="17"/>
        <v>386</v>
      </c>
      <c r="AB524" t="s">
        <v>71</v>
      </c>
    </row>
    <row r="525" spans="1:28" x14ac:dyDescent="0.3">
      <c r="A525" t="s">
        <v>5798</v>
      </c>
      <c r="B525" t="s">
        <v>5797</v>
      </c>
      <c r="C525" t="s">
        <v>5797</v>
      </c>
      <c r="E525">
        <v>51</v>
      </c>
      <c r="F525">
        <v>51</v>
      </c>
      <c r="G525" t="s">
        <v>21</v>
      </c>
      <c r="H525" t="s">
        <v>21</v>
      </c>
      <c r="I525" t="s">
        <v>38</v>
      </c>
      <c r="J525" t="s">
        <v>8077</v>
      </c>
      <c r="K525" s="1">
        <v>46028</v>
      </c>
      <c r="L525" s="1" t="str">
        <f>IF(K525&gt;O525,"Valid","Invalid")</f>
        <v>Valid</v>
      </c>
      <c r="M525" s="1" t="b">
        <f>ISNUMBER(K525)</f>
        <v>1</v>
      </c>
      <c r="N525" s="1" t="b">
        <f>ISNUMBER(O525)</f>
        <v>1</v>
      </c>
      <c r="O525" s="1">
        <v>46021</v>
      </c>
      <c r="P525" t="s">
        <v>5796</v>
      </c>
      <c r="Q525" t="str">
        <f>SUBSTITUTE(SUBSTITUTE(SUBSTITUTE(P525," ",""),"-",""),"+","")</f>
        <v>01249042649</v>
      </c>
      <c r="R525" t="str">
        <f t="shared" si="16"/>
        <v>1249042649</v>
      </c>
      <c r="S525" t="str">
        <f>IF(LEN(R525),"Valid","Invalid")</f>
        <v>Valid</v>
      </c>
      <c r="T525" t="s">
        <v>5795</v>
      </c>
      <c r="V525" t="s">
        <v>64</v>
      </c>
      <c r="X525">
        <v>6803.18</v>
      </c>
      <c r="Y525" t="s">
        <v>123</v>
      </c>
      <c r="Z525">
        <v>265</v>
      </c>
      <c r="AA525">
        <f t="shared" si="17"/>
        <v>265</v>
      </c>
      <c r="AB525" t="s">
        <v>25</v>
      </c>
    </row>
    <row r="526" spans="1:28" x14ac:dyDescent="0.3">
      <c r="A526" t="s">
        <v>5794</v>
      </c>
      <c r="B526" t="s">
        <v>5793</v>
      </c>
      <c r="C526" t="s">
        <v>5793</v>
      </c>
      <c r="D526" t="s">
        <v>74</v>
      </c>
      <c r="E526">
        <v>15</v>
      </c>
      <c r="F526">
        <v>15</v>
      </c>
      <c r="G526" t="s">
        <v>54</v>
      </c>
      <c r="H526" t="s">
        <v>54</v>
      </c>
      <c r="I526" t="s">
        <v>90</v>
      </c>
      <c r="J526" t="s">
        <v>67</v>
      </c>
      <c r="K526" s="1">
        <v>46102</v>
      </c>
      <c r="L526" s="1" t="str">
        <f>IF(K526&gt;O526,"Valid","Invalid")</f>
        <v>Valid</v>
      </c>
      <c r="M526" s="1" t="b">
        <f>ISNUMBER(K526)</f>
        <v>1</v>
      </c>
      <c r="N526" s="1" t="b">
        <f>ISNUMBER(O526)</f>
        <v>1</v>
      </c>
      <c r="O526" s="1">
        <v>46091</v>
      </c>
      <c r="P526" t="s">
        <v>5792</v>
      </c>
      <c r="Q526" t="str">
        <f>SUBSTITUTE(SUBSTITUTE(SUBSTITUTE(P526," ",""),"-",""),"+","")</f>
        <v>08153290362</v>
      </c>
      <c r="R526" t="str">
        <f t="shared" si="16"/>
        <v>8153290362</v>
      </c>
      <c r="S526" t="str">
        <f>IF(LEN(R526),"Valid","Invalid")</f>
        <v>Valid</v>
      </c>
      <c r="T526" t="s">
        <v>5791</v>
      </c>
      <c r="V526" t="s">
        <v>57</v>
      </c>
      <c r="X526">
        <v>4924.1499999999996</v>
      </c>
      <c r="Y526" t="s">
        <v>17</v>
      </c>
      <c r="Z526">
        <v>404</v>
      </c>
      <c r="AA526">
        <f t="shared" si="17"/>
        <v>404</v>
      </c>
      <c r="AB526" t="s">
        <v>25</v>
      </c>
    </row>
    <row r="527" spans="1:28" x14ac:dyDescent="0.3">
      <c r="A527" t="s">
        <v>5790</v>
      </c>
      <c r="B527" t="s">
        <v>5789</v>
      </c>
      <c r="C527" t="s">
        <v>5789</v>
      </c>
      <c r="D527" t="s">
        <v>40</v>
      </c>
      <c r="E527">
        <v>40</v>
      </c>
      <c r="F527">
        <v>40</v>
      </c>
      <c r="G527" t="s">
        <v>39</v>
      </c>
      <c r="H527" t="s">
        <v>39</v>
      </c>
      <c r="I527" t="s">
        <v>67</v>
      </c>
      <c r="J527" t="s">
        <v>67</v>
      </c>
      <c r="K527" s="1">
        <v>46165</v>
      </c>
      <c r="L527" s="1" t="str">
        <f>IF(K527&gt;O527,"Valid","Invalid")</f>
        <v>Valid</v>
      </c>
      <c r="M527" s="1" t="b">
        <f>ISNUMBER(K527)</f>
        <v>1</v>
      </c>
      <c r="N527" s="1" t="b">
        <f>ISNUMBER(O527)</f>
        <v>1</v>
      </c>
      <c r="O527" s="1">
        <v>46146</v>
      </c>
      <c r="P527" t="s">
        <v>5788</v>
      </c>
      <c r="Q527" t="str">
        <f>SUBSTITUTE(SUBSTITUTE(SUBSTITUTE(P527," ",""),"-",""),"+","")</f>
        <v>2709643199</v>
      </c>
      <c r="R527" t="str">
        <f t="shared" si="16"/>
        <v>2709643199</v>
      </c>
      <c r="S527" t="str">
        <f>IF(LEN(R527),"Valid","Invalid")</f>
        <v>Valid</v>
      </c>
      <c r="T527" t="s">
        <v>5787</v>
      </c>
      <c r="V527" t="s">
        <v>123</v>
      </c>
      <c r="X527">
        <v>15654.92</v>
      </c>
      <c r="Y527" t="s">
        <v>123</v>
      </c>
      <c r="Z527">
        <v>122</v>
      </c>
      <c r="AA527">
        <f t="shared" si="17"/>
        <v>122</v>
      </c>
      <c r="AB527" t="s">
        <v>50</v>
      </c>
    </row>
    <row r="528" spans="1:28" x14ac:dyDescent="0.3">
      <c r="A528" t="s">
        <v>5786</v>
      </c>
      <c r="B528" t="s">
        <v>5785</v>
      </c>
      <c r="C528" t="s">
        <v>5785</v>
      </c>
      <c r="D528" t="s">
        <v>1</v>
      </c>
      <c r="E528">
        <v>26</v>
      </c>
      <c r="F528">
        <v>26</v>
      </c>
      <c r="G528" t="s">
        <v>31</v>
      </c>
      <c r="H528" t="s">
        <v>31</v>
      </c>
      <c r="I528" t="s">
        <v>53</v>
      </c>
      <c r="J528" t="s">
        <v>20</v>
      </c>
      <c r="K528" s="1">
        <v>46120</v>
      </c>
      <c r="L528" s="1" t="str">
        <f>IF(K528&gt;O528,"Valid","Invalid")</f>
        <v>Valid</v>
      </c>
      <c r="M528" s="1" t="b">
        <f>ISNUMBER(K528)</f>
        <v>1</v>
      </c>
      <c r="N528" s="1" t="b">
        <f>ISNUMBER(O528)</f>
        <v>1</v>
      </c>
      <c r="O528" s="1">
        <v>46096</v>
      </c>
      <c r="P528" t="s">
        <v>5784</v>
      </c>
      <c r="Q528" t="str">
        <f>SUBSTITUTE(SUBSTITUTE(SUBSTITUTE(P528," ",""),"-",""),"+","")</f>
        <v>917356016707</v>
      </c>
      <c r="R528" t="str">
        <f t="shared" si="16"/>
        <v>7356016707</v>
      </c>
      <c r="S528" t="str">
        <f>IF(LEN(R528),"Valid","Invalid")</f>
        <v>Valid</v>
      </c>
      <c r="T528" t="s">
        <v>5783</v>
      </c>
      <c r="V528" t="s">
        <v>64</v>
      </c>
      <c r="X528">
        <v>2986.82</v>
      </c>
      <c r="Y528" t="s">
        <v>27</v>
      </c>
      <c r="Z528">
        <v>224</v>
      </c>
      <c r="AA528">
        <f t="shared" si="17"/>
        <v>224</v>
      </c>
      <c r="AB528" t="s">
        <v>34</v>
      </c>
    </row>
    <row r="529" spans="1:28" x14ac:dyDescent="0.3">
      <c r="A529" t="s">
        <v>5782</v>
      </c>
      <c r="B529" t="s">
        <v>5781</v>
      </c>
      <c r="C529" t="s">
        <v>5781</v>
      </c>
      <c r="D529" t="s">
        <v>0</v>
      </c>
      <c r="E529">
        <v>37</v>
      </c>
      <c r="F529">
        <v>37</v>
      </c>
      <c r="G529" t="s">
        <v>47</v>
      </c>
      <c r="H529" t="s">
        <v>47</v>
      </c>
      <c r="I529" t="s">
        <v>67</v>
      </c>
      <c r="J529" t="s">
        <v>67</v>
      </c>
      <c r="K529" s="1">
        <v>46099</v>
      </c>
      <c r="L529" s="1" t="str">
        <f>IF(K529&gt;O529,"Valid","Invalid")</f>
        <v>Valid</v>
      </c>
      <c r="M529" s="1" t="b">
        <f>ISNUMBER(K529)</f>
        <v>1</v>
      </c>
      <c r="N529" s="1" t="b">
        <f>ISNUMBER(O529)</f>
        <v>1</v>
      </c>
      <c r="O529" s="1">
        <v>46077</v>
      </c>
      <c r="P529" t="s">
        <v>5780</v>
      </c>
      <c r="Q529" t="str">
        <f>SUBSTITUTE(SUBSTITUTE(SUBSTITUTE(P529," ",""),"-",""),"+","")</f>
        <v>913844591134</v>
      </c>
      <c r="R529" t="str">
        <f t="shared" si="16"/>
        <v>3844591134</v>
      </c>
      <c r="S529" t="str">
        <f>IF(LEN(R529),"Valid","Invalid")</f>
        <v>Valid</v>
      </c>
      <c r="T529" t="s">
        <v>5779</v>
      </c>
      <c r="V529" t="s">
        <v>64</v>
      </c>
      <c r="X529">
        <v>7766.93</v>
      </c>
      <c r="Y529" t="s">
        <v>123</v>
      </c>
      <c r="Z529">
        <v>111</v>
      </c>
      <c r="AA529">
        <f t="shared" si="17"/>
        <v>111</v>
      </c>
      <c r="AB529" t="s">
        <v>43</v>
      </c>
    </row>
    <row r="530" spans="1:28" x14ac:dyDescent="0.3">
      <c r="A530" t="s">
        <v>5778</v>
      </c>
      <c r="B530" t="s">
        <v>5777</v>
      </c>
      <c r="C530" t="s">
        <v>5777</v>
      </c>
      <c r="D530" t="s">
        <v>1</v>
      </c>
      <c r="E530">
        <v>69</v>
      </c>
      <c r="F530">
        <v>69</v>
      </c>
      <c r="G530" t="s">
        <v>21</v>
      </c>
      <c r="H530" t="s">
        <v>21</v>
      </c>
      <c r="I530" t="s">
        <v>38</v>
      </c>
      <c r="J530" t="s">
        <v>8077</v>
      </c>
      <c r="K530" s="1">
        <v>46029</v>
      </c>
      <c r="L530" s="1" t="str">
        <f>IF(K530&gt;O530,"Valid","Invalid")</f>
        <v>Valid</v>
      </c>
      <c r="M530" s="1" t="b">
        <f>ISNUMBER(K530)</f>
        <v>1</v>
      </c>
      <c r="N530" s="1" t="b">
        <f>ISNUMBER(O530)</f>
        <v>1</v>
      </c>
      <c r="O530" s="1">
        <v>46012</v>
      </c>
      <c r="P530" t="s">
        <v>5776</v>
      </c>
      <c r="Q530" t="str">
        <f>SUBSTITUTE(SUBSTITUTE(SUBSTITUTE(P530," ",""),"-",""),"+","")</f>
        <v>3963573855</v>
      </c>
      <c r="R530" t="str">
        <f t="shared" si="16"/>
        <v>3963573855</v>
      </c>
      <c r="S530" t="str">
        <f>IF(LEN(R530),"Valid","Invalid")</f>
        <v>Valid</v>
      </c>
      <c r="T530" t="s">
        <v>5775</v>
      </c>
      <c r="V530" t="s">
        <v>26</v>
      </c>
      <c r="X530">
        <v>13810.24</v>
      </c>
      <c r="Y530" t="s">
        <v>26</v>
      </c>
      <c r="Z530">
        <v>455</v>
      </c>
      <c r="AA530">
        <f t="shared" si="17"/>
        <v>455</v>
      </c>
      <c r="AB530" t="s">
        <v>25</v>
      </c>
    </row>
    <row r="531" spans="1:28" x14ac:dyDescent="0.3">
      <c r="A531" t="s">
        <v>5771</v>
      </c>
      <c r="B531" t="s">
        <v>5770</v>
      </c>
      <c r="C531" t="s">
        <v>5770</v>
      </c>
      <c r="D531" t="s">
        <v>40</v>
      </c>
      <c r="E531">
        <v>9</v>
      </c>
      <c r="F531">
        <v>9</v>
      </c>
      <c r="G531" t="s">
        <v>54</v>
      </c>
      <c r="H531" t="s">
        <v>54</v>
      </c>
      <c r="I531" t="s">
        <v>30</v>
      </c>
      <c r="J531" t="s">
        <v>30</v>
      </c>
      <c r="K531" s="1">
        <v>46118</v>
      </c>
      <c r="L531" s="1" t="str">
        <f>IF(K531&gt;O531,"Valid","Invalid")</f>
        <v>Valid</v>
      </c>
      <c r="M531" s="1" t="b">
        <f>ISNUMBER(K531)</f>
        <v>1</v>
      </c>
      <c r="N531" s="1" t="b">
        <f>ISNUMBER(O531)</f>
        <v>1</v>
      </c>
      <c r="O531" s="1">
        <v>46097</v>
      </c>
      <c r="P531" t="s">
        <v>5769</v>
      </c>
      <c r="Q531" t="str">
        <f>SUBSTITUTE(SUBSTITUTE(SUBSTITUTE(P531," ",""),"-",""),"+","")</f>
        <v>02593585625</v>
      </c>
      <c r="R531" t="str">
        <f t="shared" si="16"/>
        <v>2593585625</v>
      </c>
      <c r="S531" t="str">
        <f>IF(LEN(R531),"Valid","Invalid")</f>
        <v>Valid</v>
      </c>
      <c r="T531" t="s">
        <v>5768</v>
      </c>
      <c r="V531" t="s">
        <v>57</v>
      </c>
      <c r="X531">
        <v>21634.2</v>
      </c>
      <c r="Y531" t="s">
        <v>27</v>
      </c>
      <c r="Z531">
        <v>249</v>
      </c>
      <c r="AA531">
        <f t="shared" si="17"/>
        <v>249</v>
      </c>
      <c r="AB531" t="s">
        <v>50</v>
      </c>
    </row>
    <row r="532" spans="1:28" x14ac:dyDescent="0.3">
      <c r="A532" t="s">
        <v>5767</v>
      </c>
      <c r="B532" t="s">
        <v>5766</v>
      </c>
      <c r="C532" t="s">
        <v>5766</v>
      </c>
      <c r="D532" t="s">
        <v>123</v>
      </c>
      <c r="E532">
        <v>30</v>
      </c>
      <c r="F532">
        <v>30</v>
      </c>
      <c r="G532" t="s">
        <v>54</v>
      </c>
      <c r="H532" t="s">
        <v>54</v>
      </c>
      <c r="I532" t="s">
        <v>20</v>
      </c>
      <c r="J532" t="s">
        <v>20</v>
      </c>
      <c r="K532" s="1">
        <v>46061</v>
      </c>
      <c r="L532" s="1" t="str">
        <f>IF(K532&gt;O532,"Valid","Invalid")</f>
        <v>Valid</v>
      </c>
      <c r="M532" s="1" t="b">
        <f>ISNUMBER(K532)</f>
        <v>1</v>
      </c>
      <c r="N532" s="1" t="b">
        <f>ISNUMBER(O532)</f>
        <v>1</v>
      </c>
      <c r="O532" s="1">
        <v>46033</v>
      </c>
      <c r="P532" t="s">
        <v>5765</v>
      </c>
      <c r="Q532" t="str">
        <f>SUBSTITUTE(SUBSTITUTE(SUBSTITUTE(P532," ",""),"-",""),"+","")</f>
        <v>09044822262</v>
      </c>
      <c r="R532" t="str">
        <f t="shared" si="16"/>
        <v>9044822262</v>
      </c>
      <c r="S532" t="str">
        <f>IF(LEN(R532),"Valid","Invalid")</f>
        <v>Valid</v>
      </c>
      <c r="T532" t="s">
        <v>5764</v>
      </c>
      <c r="V532" t="s">
        <v>57</v>
      </c>
      <c r="X532">
        <v>12219.62</v>
      </c>
      <c r="Y532" t="s">
        <v>64</v>
      </c>
      <c r="Z532">
        <v>195</v>
      </c>
      <c r="AA532">
        <f t="shared" si="17"/>
        <v>195</v>
      </c>
      <c r="AB532" t="s">
        <v>71</v>
      </c>
    </row>
    <row r="533" spans="1:28" x14ac:dyDescent="0.3">
      <c r="A533" t="s">
        <v>5763</v>
      </c>
      <c r="B533" t="s">
        <v>5762</v>
      </c>
      <c r="C533" t="s">
        <v>5762</v>
      </c>
      <c r="E533">
        <v>72</v>
      </c>
      <c r="F533">
        <v>72</v>
      </c>
      <c r="G533" t="s">
        <v>47</v>
      </c>
      <c r="H533" t="s">
        <v>47</v>
      </c>
      <c r="I533" t="s">
        <v>46</v>
      </c>
      <c r="J533" t="s">
        <v>46</v>
      </c>
      <c r="K533" s="1">
        <v>46113</v>
      </c>
      <c r="L533" s="1" t="str">
        <f>IF(K533&gt;O533,"Valid","Invalid")</f>
        <v>Valid</v>
      </c>
      <c r="M533" s="1" t="b">
        <f>ISNUMBER(K533)</f>
        <v>1</v>
      </c>
      <c r="N533" s="1" t="b">
        <f>ISNUMBER(O533)</f>
        <v>1</v>
      </c>
      <c r="O533" s="1">
        <v>46106</v>
      </c>
      <c r="P533" t="s">
        <v>5761</v>
      </c>
      <c r="Q533" t="str">
        <f>SUBSTITUTE(SUBSTITUTE(SUBSTITUTE(P533," ",""),"-",""),"+","")</f>
        <v>08549422301</v>
      </c>
      <c r="R533" t="str">
        <f t="shared" si="16"/>
        <v>8549422301</v>
      </c>
      <c r="S533" t="str">
        <f>IF(LEN(R533),"Valid","Invalid")</f>
        <v>Valid</v>
      </c>
      <c r="T533" t="s">
        <v>5760</v>
      </c>
      <c r="V533" t="s">
        <v>26</v>
      </c>
      <c r="X533">
        <v>8472.5300000000007</v>
      </c>
      <c r="Y533" t="s">
        <v>123</v>
      </c>
      <c r="Z533">
        <v>481</v>
      </c>
      <c r="AA533">
        <f t="shared" si="17"/>
        <v>481</v>
      </c>
      <c r="AB533" t="s">
        <v>71</v>
      </c>
    </row>
    <row r="534" spans="1:28" x14ac:dyDescent="0.3">
      <c r="A534" t="s">
        <v>5759</v>
      </c>
      <c r="B534" t="s">
        <v>5758</v>
      </c>
      <c r="C534" t="s">
        <v>5758</v>
      </c>
      <c r="D534" t="s">
        <v>40</v>
      </c>
      <c r="E534">
        <v>45</v>
      </c>
      <c r="F534">
        <v>45</v>
      </c>
      <c r="G534" t="s">
        <v>31</v>
      </c>
      <c r="H534" t="s">
        <v>31</v>
      </c>
      <c r="I534" t="s">
        <v>67</v>
      </c>
      <c r="J534" t="s">
        <v>67</v>
      </c>
      <c r="K534" s="1">
        <v>46169</v>
      </c>
      <c r="L534" s="1" t="str">
        <f>IF(K534&gt;O534,"Valid","Invalid")</f>
        <v>Valid</v>
      </c>
      <c r="M534" s="1" t="b">
        <f>ISNUMBER(K534)</f>
        <v>1</v>
      </c>
      <c r="N534" s="1" t="b">
        <f>ISNUMBER(O534)</f>
        <v>1</v>
      </c>
      <c r="O534" s="1">
        <v>46149</v>
      </c>
      <c r="P534" t="s">
        <v>5757</v>
      </c>
      <c r="Q534" t="str">
        <f>SUBSTITUTE(SUBSTITUTE(SUBSTITUTE(P534," ",""),"-",""),"+","")</f>
        <v>914986112227</v>
      </c>
      <c r="R534" t="str">
        <f t="shared" si="16"/>
        <v>4986112227</v>
      </c>
      <c r="S534" t="str">
        <f>IF(LEN(R534),"Valid","Invalid")</f>
        <v>Valid</v>
      </c>
      <c r="T534" t="s">
        <v>5756</v>
      </c>
      <c r="V534" t="s">
        <v>26</v>
      </c>
      <c r="X534">
        <v>6057.88</v>
      </c>
      <c r="Y534" t="s">
        <v>63</v>
      </c>
      <c r="Z534">
        <v>515</v>
      </c>
      <c r="AA534">
        <f t="shared" si="17"/>
        <v>515</v>
      </c>
      <c r="AB534" t="s">
        <v>77</v>
      </c>
    </row>
    <row r="535" spans="1:28" x14ac:dyDescent="0.3">
      <c r="A535" t="s">
        <v>5755</v>
      </c>
      <c r="B535" t="s">
        <v>5754</v>
      </c>
      <c r="C535" t="s">
        <v>5754</v>
      </c>
      <c r="D535" t="s">
        <v>22</v>
      </c>
      <c r="E535">
        <v>50</v>
      </c>
      <c r="F535">
        <v>50</v>
      </c>
      <c r="G535" t="s">
        <v>47</v>
      </c>
      <c r="H535" t="s">
        <v>47</v>
      </c>
      <c r="I535" t="s">
        <v>30</v>
      </c>
      <c r="J535" t="s">
        <v>30</v>
      </c>
      <c r="K535" s="1">
        <v>46030</v>
      </c>
      <c r="L535" s="1" t="str">
        <f>IF(K535&gt;O535,"Valid","Invalid")</f>
        <v>Valid</v>
      </c>
      <c r="M535" s="1" t="b">
        <f>ISNUMBER(K535)</f>
        <v>1</v>
      </c>
      <c r="N535" s="1" t="b">
        <f>ISNUMBER(O535)</f>
        <v>1</v>
      </c>
      <c r="O535" s="1">
        <v>46023</v>
      </c>
      <c r="P535" t="s">
        <v>5753</v>
      </c>
      <c r="Q535" t="str">
        <f>SUBSTITUTE(SUBSTITUTE(SUBSTITUTE(P535," ",""),"-",""),"+","")</f>
        <v>913715550136</v>
      </c>
      <c r="R535" t="str">
        <f t="shared" si="16"/>
        <v>3715550136</v>
      </c>
      <c r="S535" t="str">
        <f>IF(LEN(R535),"Valid","Invalid")</f>
        <v>Valid</v>
      </c>
      <c r="T535" t="s">
        <v>5752</v>
      </c>
      <c r="V535" t="s">
        <v>35</v>
      </c>
      <c r="X535">
        <v>8676.2999999999993</v>
      </c>
      <c r="Y535" t="s">
        <v>123</v>
      </c>
      <c r="Z535">
        <v>436</v>
      </c>
      <c r="AA535">
        <f t="shared" si="17"/>
        <v>436</v>
      </c>
      <c r="AB535" t="s">
        <v>71</v>
      </c>
    </row>
    <row r="536" spans="1:28" x14ac:dyDescent="0.3">
      <c r="A536" t="s">
        <v>5751</v>
      </c>
      <c r="B536" t="s">
        <v>5750</v>
      </c>
      <c r="C536" t="s">
        <v>5750</v>
      </c>
      <c r="D536" t="s">
        <v>74</v>
      </c>
      <c r="E536">
        <v>49</v>
      </c>
      <c r="F536">
        <v>49</v>
      </c>
      <c r="G536" t="s">
        <v>21</v>
      </c>
      <c r="H536" t="s">
        <v>21</v>
      </c>
      <c r="I536" t="s">
        <v>90</v>
      </c>
      <c r="J536" t="s">
        <v>67</v>
      </c>
      <c r="K536" s="1">
        <v>46038</v>
      </c>
      <c r="L536" s="1" t="str">
        <f>IF(K536&gt;O536,"Valid","Invalid")</f>
        <v>Valid</v>
      </c>
      <c r="M536" s="1" t="b">
        <f>ISNUMBER(K536)</f>
        <v>1</v>
      </c>
      <c r="N536" s="1" t="b">
        <f>ISNUMBER(O536)</f>
        <v>1</v>
      </c>
      <c r="O536" s="1">
        <v>46031</v>
      </c>
      <c r="P536" t="s">
        <v>5749</v>
      </c>
      <c r="Q536" t="str">
        <f>SUBSTITUTE(SUBSTITUTE(SUBSTITUTE(P536," ",""),"-",""),"+","")</f>
        <v>09169264434</v>
      </c>
      <c r="R536" t="str">
        <f t="shared" si="16"/>
        <v>9169264434</v>
      </c>
      <c r="S536" t="str">
        <f>IF(LEN(R536),"Valid","Invalid")</f>
        <v>Valid</v>
      </c>
      <c r="T536" t="s">
        <v>5748</v>
      </c>
      <c r="V536" t="s">
        <v>35</v>
      </c>
      <c r="X536">
        <v>10776.33</v>
      </c>
      <c r="Y536" t="s">
        <v>63</v>
      </c>
      <c r="Z536">
        <v>409</v>
      </c>
      <c r="AA536">
        <f t="shared" si="17"/>
        <v>409</v>
      </c>
      <c r="AB536" t="s">
        <v>43</v>
      </c>
    </row>
    <row r="537" spans="1:28" x14ac:dyDescent="0.3">
      <c r="A537" t="s">
        <v>5747</v>
      </c>
      <c r="B537" t="s">
        <v>5746</v>
      </c>
      <c r="C537" t="s">
        <v>5746</v>
      </c>
      <c r="E537">
        <v>70</v>
      </c>
      <c r="F537">
        <v>70</v>
      </c>
      <c r="G537" t="s">
        <v>39</v>
      </c>
      <c r="H537" t="s">
        <v>39</v>
      </c>
      <c r="I537" t="s">
        <v>38</v>
      </c>
      <c r="J537" t="s">
        <v>8077</v>
      </c>
      <c r="K537" s="1">
        <v>46139</v>
      </c>
      <c r="L537" s="1" t="str">
        <f>IF(K537&gt;O537,"Valid","Invalid")</f>
        <v>Valid</v>
      </c>
      <c r="M537" s="1" t="b">
        <f>ISNUMBER(K537)</f>
        <v>1</v>
      </c>
      <c r="N537" s="1" t="b">
        <f>ISNUMBER(O537)</f>
        <v>1</v>
      </c>
      <c r="O537" s="1">
        <v>46119</v>
      </c>
      <c r="P537" t="s">
        <v>5745</v>
      </c>
      <c r="Q537" t="str">
        <f>SUBSTITUTE(SUBSTITUTE(SUBSTITUTE(P537," ",""),"-",""),"+","")</f>
        <v>03702858179</v>
      </c>
      <c r="R537" t="str">
        <f t="shared" si="16"/>
        <v>3702858179</v>
      </c>
      <c r="S537" t="str">
        <f>IF(LEN(R537),"Valid","Invalid")</f>
        <v>Valid</v>
      </c>
      <c r="T537" t="s">
        <v>5744</v>
      </c>
      <c r="V537" t="s">
        <v>35</v>
      </c>
      <c r="X537">
        <v>14609.56</v>
      </c>
      <c r="Y537" t="s">
        <v>57</v>
      </c>
      <c r="Z537">
        <v>541</v>
      </c>
      <c r="AA537">
        <f t="shared" si="17"/>
        <v>541</v>
      </c>
      <c r="AB537" t="s">
        <v>71</v>
      </c>
    </row>
    <row r="538" spans="1:28" x14ac:dyDescent="0.3">
      <c r="A538" t="s">
        <v>5743</v>
      </c>
      <c r="B538" t="s">
        <v>5742</v>
      </c>
      <c r="C538" t="s">
        <v>5742</v>
      </c>
      <c r="D538" t="s">
        <v>22</v>
      </c>
      <c r="E538">
        <v>89</v>
      </c>
      <c r="F538">
        <v>89</v>
      </c>
      <c r="G538" t="s">
        <v>39</v>
      </c>
      <c r="H538" t="s">
        <v>39</v>
      </c>
      <c r="I538" t="s">
        <v>90</v>
      </c>
      <c r="J538" t="s">
        <v>67</v>
      </c>
      <c r="K538" s="1">
        <v>46141</v>
      </c>
      <c r="L538" s="1" t="str">
        <f>IF(K538&gt;O538,"Valid","Invalid")</f>
        <v>Valid</v>
      </c>
      <c r="M538" s="1" t="b">
        <f>ISNUMBER(K538)</f>
        <v>1</v>
      </c>
      <c r="N538" s="1" t="b">
        <f>ISNUMBER(O538)</f>
        <v>1</v>
      </c>
      <c r="O538" s="1">
        <v>46112</v>
      </c>
      <c r="P538" t="s">
        <v>5741</v>
      </c>
      <c r="Q538" t="str">
        <f>SUBSTITUTE(SUBSTITUTE(SUBSTITUTE(P538," ",""),"-",""),"+","")</f>
        <v>4853876298</v>
      </c>
      <c r="R538" t="str">
        <f t="shared" si="16"/>
        <v>4853876298</v>
      </c>
      <c r="S538" t="str">
        <f>IF(LEN(R538),"Valid","Invalid")</f>
        <v>Valid</v>
      </c>
      <c r="T538" t="s">
        <v>5740</v>
      </c>
      <c r="V538" t="s">
        <v>35</v>
      </c>
      <c r="X538">
        <v>16474.55</v>
      </c>
      <c r="Y538" t="s">
        <v>26</v>
      </c>
      <c r="Z538">
        <v>262</v>
      </c>
      <c r="AA538">
        <f t="shared" si="17"/>
        <v>262</v>
      </c>
      <c r="AB538" t="s">
        <v>77</v>
      </c>
    </row>
    <row r="539" spans="1:28" x14ac:dyDescent="0.3">
      <c r="A539" t="s">
        <v>5739</v>
      </c>
      <c r="B539" t="s">
        <v>5738</v>
      </c>
      <c r="C539" t="s">
        <v>8049</v>
      </c>
      <c r="D539" t="s">
        <v>74</v>
      </c>
      <c r="E539">
        <v>24</v>
      </c>
      <c r="F539">
        <v>24</v>
      </c>
      <c r="G539" t="s">
        <v>31</v>
      </c>
      <c r="H539" t="s">
        <v>31</v>
      </c>
      <c r="I539" t="s">
        <v>53</v>
      </c>
      <c r="J539" t="s">
        <v>20</v>
      </c>
      <c r="K539" s="1">
        <v>46065</v>
      </c>
      <c r="L539" s="1" t="str">
        <f>IF(K539&gt;O539,"Valid","Invalid")</f>
        <v>Valid</v>
      </c>
      <c r="M539" s="1" t="b">
        <f>ISNUMBER(K539)</f>
        <v>1</v>
      </c>
      <c r="N539" s="1" t="b">
        <f>ISNUMBER(O539)</f>
        <v>1</v>
      </c>
      <c r="O539" s="1">
        <v>46042</v>
      </c>
      <c r="P539" t="s">
        <v>5737</v>
      </c>
      <c r="Q539" t="str">
        <f>SUBSTITUTE(SUBSTITUTE(SUBSTITUTE(P539," ",""),"-",""),"+","")</f>
        <v>05677026638</v>
      </c>
      <c r="R539" t="str">
        <f t="shared" si="16"/>
        <v>5677026638</v>
      </c>
      <c r="S539" t="str">
        <f>IF(LEN(R539),"Valid","Invalid")</f>
        <v>Valid</v>
      </c>
      <c r="T539" t="s">
        <v>5736</v>
      </c>
      <c r="V539" t="s">
        <v>27</v>
      </c>
      <c r="X539">
        <v>19182.79</v>
      </c>
      <c r="Y539" t="s">
        <v>123</v>
      </c>
      <c r="Z539">
        <v>310</v>
      </c>
      <c r="AA539">
        <f t="shared" si="17"/>
        <v>310</v>
      </c>
      <c r="AB539" t="s">
        <v>43</v>
      </c>
    </row>
    <row r="540" spans="1:28" x14ac:dyDescent="0.3">
      <c r="A540" t="s">
        <v>5735</v>
      </c>
      <c r="B540" t="s">
        <v>5734</v>
      </c>
      <c r="C540" t="s">
        <v>5734</v>
      </c>
      <c r="E540">
        <v>82</v>
      </c>
      <c r="F540">
        <v>82</v>
      </c>
      <c r="G540" t="s">
        <v>132</v>
      </c>
      <c r="H540" t="s">
        <v>132</v>
      </c>
      <c r="I540" t="s">
        <v>53</v>
      </c>
      <c r="J540" t="s">
        <v>20</v>
      </c>
      <c r="K540" s="1">
        <v>46053</v>
      </c>
      <c r="L540" s="1" t="str">
        <f>IF(K540&gt;O540,"Valid","Invalid")</f>
        <v>Valid</v>
      </c>
      <c r="M540" s="1" t="b">
        <f>ISNUMBER(K540)</f>
        <v>1</v>
      </c>
      <c r="N540" s="1" t="b">
        <f>ISNUMBER(O540)</f>
        <v>1</v>
      </c>
      <c r="O540" s="1">
        <v>46029</v>
      </c>
      <c r="P540" t="s">
        <v>5733</v>
      </c>
      <c r="Q540" t="str">
        <f>SUBSTITUTE(SUBSTITUTE(SUBSTITUTE(P540," ",""),"-",""),"+","")</f>
        <v>5495113845</v>
      </c>
      <c r="R540" t="str">
        <f t="shared" si="16"/>
        <v>5495113845</v>
      </c>
      <c r="S540" t="str">
        <f>IF(LEN(R540),"Valid","Invalid")</f>
        <v>Valid</v>
      </c>
      <c r="T540" t="s">
        <v>5732</v>
      </c>
      <c r="V540" t="s">
        <v>17</v>
      </c>
      <c r="X540">
        <v>2847.93</v>
      </c>
      <c r="Y540" t="s">
        <v>26</v>
      </c>
      <c r="Z540">
        <v>113</v>
      </c>
      <c r="AA540">
        <f t="shared" si="17"/>
        <v>113</v>
      </c>
      <c r="AB540" t="s">
        <v>50</v>
      </c>
    </row>
    <row r="541" spans="1:28" x14ac:dyDescent="0.3">
      <c r="A541" t="s">
        <v>5731</v>
      </c>
      <c r="B541" t="s">
        <v>5730</v>
      </c>
      <c r="C541" t="s">
        <v>5730</v>
      </c>
      <c r="D541" t="s">
        <v>22</v>
      </c>
      <c r="E541">
        <v>78</v>
      </c>
      <c r="F541">
        <v>78</v>
      </c>
      <c r="G541" t="s">
        <v>21</v>
      </c>
      <c r="H541" t="s">
        <v>21</v>
      </c>
      <c r="I541" t="s">
        <v>38</v>
      </c>
      <c r="J541" t="s">
        <v>8077</v>
      </c>
      <c r="K541" s="1">
        <v>46072</v>
      </c>
      <c r="L541" s="1" t="str">
        <f>IF(K541&gt;O541,"Valid","Invalid")</f>
        <v>Valid</v>
      </c>
      <c r="M541" s="1" t="b">
        <f>ISNUMBER(K541)</f>
        <v>1</v>
      </c>
      <c r="N541" s="1" t="b">
        <f>ISNUMBER(O541)</f>
        <v>1</v>
      </c>
      <c r="O541" s="1">
        <v>46065</v>
      </c>
      <c r="P541" t="s">
        <v>5729</v>
      </c>
      <c r="Q541" t="str">
        <f>SUBSTITUTE(SUBSTITUTE(SUBSTITUTE(P541," ",""),"-",""),"+","")</f>
        <v>03109277249</v>
      </c>
      <c r="R541" t="str">
        <f t="shared" si="16"/>
        <v>3109277249</v>
      </c>
      <c r="S541" t="str">
        <f>IF(LEN(R541),"Valid","Invalid")</f>
        <v>Valid</v>
      </c>
      <c r="T541" t="s">
        <v>5728</v>
      </c>
      <c r="V541" t="s">
        <v>27</v>
      </c>
      <c r="X541">
        <v>9109.68</v>
      </c>
      <c r="Y541" t="s">
        <v>123</v>
      </c>
      <c r="Z541">
        <v>168</v>
      </c>
      <c r="AA541">
        <f t="shared" si="17"/>
        <v>168</v>
      </c>
      <c r="AB541" t="s">
        <v>34</v>
      </c>
    </row>
    <row r="542" spans="1:28" x14ac:dyDescent="0.3">
      <c r="A542" t="s">
        <v>5727</v>
      </c>
      <c r="B542" t="s">
        <v>5726</v>
      </c>
      <c r="C542" t="s">
        <v>5726</v>
      </c>
      <c r="E542">
        <v>84</v>
      </c>
      <c r="F542">
        <v>84</v>
      </c>
      <c r="G542" t="s">
        <v>31</v>
      </c>
      <c r="H542" t="s">
        <v>31</v>
      </c>
      <c r="I542" t="s">
        <v>53</v>
      </c>
      <c r="J542" t="s">
        <v>20</v>
      </c>
      <c r="K542" s="1">
        <v>46102</v>
      </c>
      <c r="L542" s="1" t="str">
        <f>IF(K542&gt;O542,"Valid","Invalid")</f>
        <v>Valid</v>
      </c>
      <c r="M542" s="1" t="b">
        <f>ISNUMBER(K542)</f>
        <v>1</v>
      </c>
      <c r="N542" s="1" t="b">
        <f>ISNUMBER(O542)</f>
        <v>1</v>
      </c>
      <c r="O542" s="1">
        <v>46075</v>
      </c>
      <c r="P542" t="s">
        <v>5725</v>
      </c>
      <c r="Q542" t="str">
        <f>SUBSTITUTE(SUBSTITUTE(SUBSTITUTE(P542," ",""),"-",""),"+","")</f>
        <v>7020252660</v>
      </c>
      <c r="R542" t="str">
        <f t="shared" si="16"/>
        <v>7020252660</v>
      </c>
      <c r="S542" t="str">
        <f>IF(LEN(R542),"Valid","Invalid")</f>
        <v>Valid</v>
      </c>
      <c r="T542" t="s">
        <v>5724</v>
      </c>
      <c r="V542" t="s">
        <v>123</v>
      </c>
      <c r="X542">
        <v>12387.85</v>
      </c>
      <c r="Y542" t="s">
        <v>26</v>
      </c>
      <c r="Z542">
        <v>183</v>
      </c>
      <c r="AA542">
        <f t="shared" si="17"/>
        <v>183</v>
      </c>
      <c r="AB542" t="s">
        <v>71</v>
      </c>
    </row>
    <row r="543" spans="1:28" x14ac:dyDescent="0.3">
      <c r="A543" t="s">
        <v>5723</v>
      </c>
      <c r="B543" t="s">
        <v>5722</v>
      </c>
      <c r="C543" t="s">
        <v>5722</v>
      </c>
      <c r="D543" t="s">
        <v>1</v>
      </c>
      <c r="E543">
        <v>5</v>
      </c>
      <c r="F543">
        <v>5</v>
      </c>
      <c r="G543" t="s">
        <v>54</v>
      </c>
      <c r="H543" t="s">
        <v>54</v>
      </c>
      <c r="I543" t="s">
        <v>46</v>
      </c>
      <c r="J543" t="s">
        <v>46</v>
      </c>
      <c r="K543" s="1">
        <v>46021</v>
      </c>
      <c r="L543" s="1" t="str">
        <f>IF(K543&gt;O543,"Valid","Invalid")</f>
        <v>Valid</v>
      </c>
      <c r="M543" s="1" t="b">
        <f>ISNUMBER(K543)</f>
        <v>1</v>
      </c>
      <c r="N543" s="1" t="b">
        <f>ISNUMBER(O543)</f>
        <v>1</v>
      </c>
      <c r="O543" s="1">
        <v>45992</v>
      </c>
      <c r="P543" t="s">
        <v>5721</v>
      </c>
      <c r="Q543" t="str">
        <f>SUBSTITUTE(SUBSTITUTE(SUBSTITUTE(P543," ",""),"-",""),"+","")</f>
        <v>910252409711</v>
      </c>
      <c r="R543" t="str">
        <f t="shared" si="16"/>
        <v>0252409711</v>
      </c>
      <c r="S543" t="str">
        <f>IF(LEN(R543),"Valid","Invalid")</f>
        <v>Valid</v>
      </c>
      <c r="T543" t="s">
        <v>5720</v>
      </c>
      <c r="V543" t="s">
        <v>26</v>
      </c>
      <c r="X543">
        <v>23764.91</v>
      </c>
      <c r="Y543" t="s">
        <v>57</v>
      </c>
      <c r="Z543">
        <v>480</v>
      </c>
      <c r="AA543">
        <f t="shared" si="17"/>
        <v>480</v>
      </c>
      <c r="AB543" t="s">
        <v>25</v>
      </c>
    </row>
    <row r="544" spans="1:28" x14ac:dyDescent="0.3">
      <c r="A544" t="s">
        <v>5719</v>
      </c>
      <c r="B544" t="s">
        <v>5718</v>
      </c>
      <c r="C544" t="s">
        <v>5718</v>
      </c>
      <c r="D544" t="s">
        <v>1</v>
      </c>
      <c r="E544">
        <v>27</v>
      </c>
      <c r="F544">
        <v>27</v>
      </c>
      <c r="G544" t="s">
        <v>80</v>
      </c>
      <c r="H544" t="s">
        <v>80</v>
      </c>
      <c r="I544" t="s">
        <v>53</v>
      </c>
      <c r="J544" t="s">
        <v>20</v>
      </c>
      <c r="K544" s="1">
        <v>46164</v>
      </c>
      <c r="L544" s="1" t="str">
        <f>IF(K544&gt;O544,"Valid","Invalid")</f>
        <v>Valid</v>
      </c>
      <c r="M544" s="1" t="b">
        <f>ISNUMBER(K544)</f>
        <v>1</v>
      </c>
      <c r="N544" s="1" t="b">
        <f>ISNUMBER(O544)</f>
        <v>1</v>
      </c>
      <c r="O544" s="1">
        <v>46135</v>
      </c>
      <c r="P544" t="s">
        <v>5717</v>
      </c>
      <c r="Q544" t="str">
        <f>SUBSTITUTE(SUBSTITUTE(SUBSTITUTE(P544," ",""),"-",""),"+","")</f>
        <v>8886476818</v>
      </c>
      <c r="R544" t="str">
        <f t="shared" si="16"/>
        <v>8886476818</v>
      </c>
      <c r="S544" t="str">
        <f>IF(LEN(R544),"Valid","Invalid")</f>
        <v>Valid</v>
      </c>
      <c r="T544" t="s">
        <v>5716</v>
      </c>
      <c r="V544" t="s">
        <v>123</v>
      </c>
      <c r="X544">
        <v>21704.799999999999</v>
      </c>
      <c r="Y544" t="s">
        <v>123</v>
      </c>
      <c r="Z544">
        <v>452</v>
      </c>
      <c r="AA544">
        <f t="shared" si="17"/>
        <v>452</v>
      </c>
      <c r="AB544" t="s">
        <v>43</v>
      </c>
    </row>
    <row r="545" spans="1:28" x14ac:dyDescent="0.3">
      <c r="A545" t="s">
        <v>5715</v>
      </c>
      <c r="B545" t="s">
        <v>5714</v>
      </c>
      <c r="C545" t="s">
        <v>5714</v>
      </c>
      <c r="E545">
        <v>32</v>
      </c>
      <c r="F545">
        <v>32</v>
      </c>
      <c r="G545" t="s">
        <v>54</v>
      </c>
      <c r="H545" t="s">
        <v>54</v>
      </c>
      <c r="I545" t="s">
        <v>90</v>
      </c>
      <c r="J545" t="s">
        <v>67</v>
      </c>
      <c r="K545" s="1">
        <v>46037</v>
      </c>
      <c r="L545" s="1" t="str">
        <f>IF(K545&gt;O545,"Valid","Invalid")</f>
        <v>Valid</v>
      </c>
      <c r="M545" s="1" t="b">
        <f>ISNUMBER(K545)</f>
        <v>1</v>
      </c>
      <c r="N545" s="1" t="b">
        <f>ISNUMBER(O545)</f>
        <v>1</v>
      </c>
      <c r="O545" s="1">
        <v>46013</v>
      </c>
      <c r="P545" t="s">
        <v>5713</v>
      </c>
      <c r="Q545" t="str">
        <f>SUBSTITUTE(SUBSTITUTE(SUBSTITUTE(P545," ",""),"-",""),"+","")</f>
        <v>916565657259</v>
      </c>
      <c r="R545" t="str">
        <f t="shared" si="16"/>
        <v>6565657259</v>
      </c>
      <c r="S545" t="str">
        <f>IF(LEN(R545),"Valid","Invalid")</f>
        <v>Valid</v>
      </c>
      <c r="T545" t="s">
        <v>5712</v>
      </c>
      <c r="V545" t="s">
        <v>27</v>
      </c>
      <c r="X545">
        <v>15276.66</v>
      </c>
      <c r="Y545" t="s">
        <v>123</v>
      </c>
      <c r="Z545">
        <v>468</v>
      </c>
      <c r="AA545">
        <f t="shared" si="17"/>
        <v>468</v>
      </c>
      <c r="AB545" t="s">
        <v>43</v>
      </c>
    </row>
    <row r="546" spans="1:28" x14ac:dyDescent="0.3">
      <c r="A546" t="s">
        <v>5711</v>
      </c>
      <c r="B546" t="s">
        <v>5710</v>
      </c>
      <c r="C546" t="s">
        <v>5710</v>
      </c>
      <c r="D546" t="s">
        <v>123</v>
      </c>
      <c r="E546">
        <v>79</v>
      </c>
      <c r="F546">
        <v>79</v>
      </c>
      <c r="G546" t="s">
        <v>47</v>
      </c>
      <c r="H546" t="s">
        <v>47</v>
      </c>
      <c r="I546" t="s">
        <v>20</v>
      </c>
      <c r="J546" t="s">
        <v>20</v>
      </c>
      <c r="K546" s="1">
        <v>46000</v>
      </c>
      <c r="L546" s="1" t="str">
        <f>IF(K546&gt;O546,"Valid","Invalid")</f>
        <v>Valid</v>
      </c>
      <c r="M546" s="1" t="b">
        <f>ISNUMBER(K546)</f>
        <v>1</v>
      </c>
      <c r="N546" s="1" t="b">
        <f>ISNUMBER(O546)</f>
        <v>1</v>
      </c>
      <c r="O546" s="1">
        <v>45986</v>
      </c>
      <c r="P546" t="s">
        <v>5709</v>
      </c>
      <c r="Q546" t="str">
        <f>SUBSTITUTE(SUBSTITUTE(SUBSTITUTE(P546," ",""),"-",""),"+","")</f>
        <v>917679878147</v>
      </c>
      <c r="R546" t="str">
        <f t="shared" si="16"/>
        <v>7679878147</v>
      </c>
      <c r="S546" t="str">
        <f>IF(LEN(R546),"Valid","Invalid")</f>
        <v>Valid</v>
      </c>
      <c r="T546" t="s">
        <v>5708</v>
      </c>
      <c r="V546" t="s">
        <v>123</v>
      </c>
      <c r="X546">
        <v>20709.849999999999</v>
      </c>
      <c r="Y546" t="s">
        <v>27</v>
      </c>
      <c r="Z546">
        <v>549</v>
      </c>
      <c r="AA546">
        <f t="shared" si="17"/>
        <v>549</v>
      </c>
      <c r="AB546" t="s">
        <v>71</v>
      </c>
    </row>
    <row r="547" spans="1:28" x14ac:dyDescent="0.3">
      <c r="A547" t="s">
        <v>5707</v>
      </c>
      <c r="B547" t="s">
        <v>5706</v>
      </c>
      <c r="C547" t="s">
        <v>5706</v>
      </c>
      <c r="D547" t="s">
        <v>123</v>
      </c>
      <c r="E547">
        <v>6</v>
      </c>
      <c r="F547">
        <v>6</v>
      </c>
      <c r="G547" t="s">
        <v>54</v>
      </c>
      <c r="H547" t="s">
        <v>54</v>
      </c>
      <c r="I547" t="s">
        <v>46</v>
      </c>
      <c r="J547" t="s">
        <v>46</v>
      </c>
      <c r="K547" s="1">
        <v>46037</v>
      </c>
      <c r="L547" s="1" t="str">
        <f>IF(K547&gt;O547,"Valid","Invalid")</f>
        <v>Valid</v>
      </c>
      <c r="M547" s="1" t="b">
        <f>ISNUMBER(K547)</f>
        <v>1</v>
      </c>
      <c r="N547" s="1" t="b">
        <f>ISNUMBER(O547)</f>
        <v>1</v>
      </c>
      <c r="O547" s="1">
        <v>46031</v>
      </c>
      <c r="P547" t="s">
        <v>5705</v>
      </c>
      <c r="Q547" t="str">
        <f>SUBSTITUTE(SUBSTITUTE(SUBSTITUTE(P547," ",""),"-",""),"+","")</f>
        <v>910755059860</v>
      </c>
      <c r="R547" t="str">
        <f t="shared" si="16"/>
        <v>0755059860</v>
      </c>
      <c r="S547" t="str">
        <f>IF(LEN(R547),"Valid","Invalid")</f>
        <v>Valid</v>
      </c>
      <c r="T547" t="s">
        <v>5704</v>
      </c>
      <c r="V547" t="s">
        <v>26</v>
      </c>
      <c r="X547">
        <v>11100.94</v>
      </c>
      <c r="Y547" t="s">
        <v>63</v>
      </c>
      <c r="Z547">
        <v>496</v>
      </c>
      <c r="AA547">
        <f t="shared" si="17"/>
        <v>496</v>
      </c>
      <c r="AB547" t="s">
        <v>50</v>
      </c>
    </row>
    <row r="548" spans="1:28" x14ac:dyDescent="0.3">
      <c r="A548" t="s">
        <v>5703</v>
      </c>
      <c r="B548" t="s">
        <v>5702</v>
      </c>
      <c r="C548" t="s">
        <v>5702</v>
      </c>
      <c r="D548" t="s">
        <v>22</v>
      </c>
      <c r="E548">
        <v>60</v>
      </c>
      <c r="F548">
        <v>60</v>
      </c>
      <c r="G548" t="s">
        <v>39</v>
      </c>
      <c r="H548" t="s">
        <v>39</v>
      </c>
      <c r="I548" t="s">
        <v>90</v>
      </c>
      <c r="J548" t="s">
        <v>67</v>
      </c>
      <c r="K548" s="1">
        <v>46035</v>
      </c>
      <c r="L548" s="1" t="str">
        <f>IF(K548&gt;O548,"Valid","Invalid")</f>
        <v>Valid</v>
      </c>
      <c r="M548" s="1" t="b">
        <f>ISNUMBER(K548)</f>
        <v>1</v>
      </c>
      <c r="N548" s="1" t="b">
        <f>ISNUMBER(O548)</f>
        <v>1</v>
      </c>
      <c r="O548" s="1">
        <v>46026</v>
      </c>
      <c r="P548" t="s">
        <v>5701</v>
      </c>
      <c r="Q548" t="str">
        <f>SUBSTITUTE(SUBSTITUTE(SUBSTITUTE(P548," ",""),"-",""),"+","")</f>
        <v>919339541497</v>
      </c>
      <c r="R548" t="str">
        <f t="shared" si="16"/>
        <v>9339541497</v>
      </c>
      <c r="S548" t="str">
        <f>IF(LEN(R548),"Valid","Invalid")</f>
        <v>Valid</v>
      </c>
      <c r="T548" t="s">
        <v>5700</v>
      </c>
      <c r="V548" t="s">
        <v>27</v>
      </c>
      <c r="X548">
        <v>17310.830000000002</v>
      </c>
      <c r="Y548" t="s">
        <v>26</v>
      </c>
      <c r="Z548">
        <v>337</v>
      </c>
      <c r="AA548">
        <f t="shared" si="17"/>
        <v>337</v>
      </c>
      <c r="AB548" t="s">
        <v>50</v>
      </c>
    </row>
    <row r="549" spans="1:28" x14ac:dyDescent="0.3">
      <c r="A549" t="s">
        <v>5699</v>
      </c>
      <c r="B549" t="s">
        <v>5698</v>
      </c>
      <c r="C549" t="s">
        <v>5698</v>
      </c>
      <c r="E549">
        <v>12</v>
      </c>
      <c r="F549">
        <v>12</v>
      </c>
      <c r="G549" t="s">
        <v>80</v>
      </c>
      <c r="H549" t="s">
        <v>80</v>
      </c>
      <c r="I549" t="s">
        <v>53</v>
      </c>
      <c r="J549" t="s">
        <v>20</v>
      </c>
      <c r="K549" s="1">
        <v>46145</v>
      </c>
      <c r="L549" s="1" t="str">
        <f>IF(K549&gt;O549,"Valid","Invalid")</f>
        <v>Valid</v>
      </c>
      <c r="M549" s="1" t="b">
        <f>ISNUMBER(K549)</f>
        <v>1</v>
      </c>
      <c r="N549" s="1" t="b">
        <f>ISNUMBER(O549)</f>
        <v>1</v>
      </c>
      <c r="O549" s="1">
        <v>46121</v>
      </c>
      <c r="P549" t="s">
        <v>5697</v>
      </c>
      <c r="Q549" t="str">
        <f>SUBSTITUTE(SUBSTITUTE(SUBSTITUTE(P549," ",""),"-",""),"+","")</f>
        <v>03017046569</v>
      </c>
      <c r="R549" t="str">
        <f t="shared" si="16"/>
        <v>3017046569</v>
      </c>
      <c r="S549" t="str">
        <f>IF(LEN(R549),"Valid","Invalid")</f>
        <v>Valid</v>
      </c>
      <c r="T549" t="s">
        <v>5696</v>
      </c>
      <c r="V549" t="s">
        <v>35</v>
      </c>
      <c r="X549">
        <v>9948.0499999999993</v>
      </c>
      <c r="Y549" t="s">
        <v>17</v>
      </c>
      <c r="Z549">
        <v>330</v>
      </c>
      <c r="AA549">
        <f t="shared" si="17"/>
        <v>330</v>
      </c>
      <c r="AB549" t="s">
        <v>77</v>
      </c>
    </row>
    <row r="550" spans="1:28" x14ac:dyDescent="0.3">
      <c r="A550" t="s">
        <v>5695</v>
      </c>
      <c r="B550" t="s">
        <v>5694</v>
      </c>
      <c r="C550" t="s">
        <v>5694</v>
      </c>
      <c r="D550" t="s">
        <v>0</v>
      </c>
      <c r="E550">
        <v>59</v>
      </c>
      <c r="F550">
        <v>59</v>
      </c>
      <c r="G550" t="s">
        <v>21</v>
      </c>
      <c r="H550" t="s">
        <v>21</v>
      </c>
      <c r="I550" t="s">
        <v>85</v>
      </c>
      <c r="J550" t="s">
        <v>85</v>
      </c>
      <c r="K550" s="1">
        <v>45985</v>
      </c>
      <c r="L550" s="1" t="str">
        <f>IF(K550&gt;O550,"Valid","Invalid")</f>
        <v>Valid</v>
      </c>
      <c r="M550" s="1" t="b">
        <f>ISNUMBER(K550)</f>
        <v>1</v>
      </c>
      <c r="N550" s="1" t="b">
        <f>ISNUMBER(O550)</f>
        <v>1</v>
      </c>
      <c r="O550" s="1">
        <v>45983</v>
      </c>
      <c r="P550" t="s">
        <v>510</v>
      </c>
      <c r="Q550" t="str">
        <f>SUBSTITUTE(SUBSTITUTE(SUBSTITUTE(P550," ",""),"-",""),"+","")</f>
        <v>12345</v>
      </c>
      <c r="R550" t="str">
        <f t="shared" si="16"/>
        <v>12345</v>
      </c>
      <c r="S550" t="str">
        <f>IF(LEN(R550),"Valid","Invalid")</f>
        <v>Valid</v>
      </c>
      <c r="T550" t="s">
        <v>5693</v>
      </c>
      <c r="V550" t="s">
        <v>26</v>
      </c>
      <c r="X550">
        <v>8237.0499999999993</v>
      </c>
      <c r="Y550" t="s">
        <v>26</v>
      </c>
      <c r="Z550">
        <v>467</v>
      </c>
      <c r="AA550">
        <f t="shared" si="17"/>
        <v>467</v>
      </c>
      <c r="AB550" t="s">
        <v>25</v>
      </c>
    </row>
    <row r="551" spans="1:28" x14ac:dyDescent="0.3">
      <c r="A551" t="s">
        <v>5692</v>
      </c>
      <c r="B551" t="s">
        <v>5691</v>
      </c>
      <c r="C551" t="s">
        <v>5691</v>
      </c>
      <c r="D551" t="s">
        <v>74</v>
      </c>
      <c r="E551">
        <v>12</v>
      </c>
      <c r="F551">
        <v>12</v>
      </c>
      <c r="G551" t="s">
        <v>80</v>
      </c>
      <c r="H551" t="s">
        <v>80</v>
      </c>
      <c r="I551" t="s">
        <v>85</v>
      </c>
      <c r="J551" t="s">
        <v>85</v>
      </c>
      <c r="K551" s="1">
        <v>46082</v>
      </c>
      <c r="L551" s="1" t="str">
        <f>IF(K551&gt;O551,"Valid","Invalid")</f>
        <v>Valid</v>
      </c>
      <c r="M551" s="1" t="b">
        <f>ISNUMBER(K551)</f>
        <v>1</v>
      </c>
      <c r="N551" s="1" t="b">
        <f>ISNUMBER(O551)</f>
        <v>1</v>
      </c>
      <c r="O551" s="1">
        <v>46062</v>
      </c>
      <c r="P551" t="s">
        <v>5690</v>
      </c>
      <c r="Q551" t="str">
        <f>SUBSTITUTE(SUBSTITUTE(SUBSTITUTE(P551," ",""),"-",""),"+","")</f>
        <v>910494759904</v>
      </c>
      <c r="R551" t="str">
        <f t="shared" si="16"/>
        <v>0494759904</v>
      </c>
      <c r="S551" t="str">
        <f>IF(LEN(R551),"Valid","Invalid")</f>
        <v>Valid</v>
      </c>
      <c r="T551" t="s">
        <v>5689</v>
      </c>
      <c r="V551" t="s">
        <v>57</v>
      </c>
      <c r="X551">
        <v>2315.6</v>
      </c>
      <c r="Y551" t="s">
        <v>123</v>
      </c>
      <c r="Z551">
        <v>472</v>
      </c>
      <c r="AA551">
        <f t="shared" si="17"/>
        <v>472</v>
      </c>
      <c r="AB551" t="s">
        <v>50</v>
      </c>
    </row>
    <row r="552" spans="1:28" x14ac:dyDescent="0.3">
      <c r="A552" t="s">
        <v>5688</v>
      </c>
      <c r="B552" t="s">
        <v>5687</v>
      </c>
      <c r="C552" t="s">
        <v>5687</v>
      </c>
      <c r="D552" t="s">
        <v>0</v>
      </c>
      <c r="E552">
        <v>49</v>
      </c>
      <c r="F552">
        <v>49</v>
      </c>
      <c r="G552" t="s">
        <v>54</v>
      </c>
      <c r="H552" t="s">
        <v>54</v>
      </c>
      <c r="I552" t="s">
        <v>46</v>
      </c>
      <c r="J552" t="s">
        <v>46</v>
      </c>
      <c r="K552" s="1">
        <v>46090</v>
      </c>
      <c r="L552" s="1" t="str">
        <f>IF(K552&gt;O552,"Valid","Invalid")</f>
        <v>Valid</v>
      </c>
      <c r="M552" s="1" t="b">
        <f>ISNUMBER(K552)</f>
        <v>1</v>
      </c>
      <c r="N552" s="1" t="b">
        <f>ISNUMBER(O552)</f>
        <v>1</v>
      </c>
      <c r="O552" s="1">
        <v>46066</v>
      </c>
      <c r="P552" t="s">
        <v>5686</v>
      </c>
      <c r="Q552" t="str">
        <f>SUBSTITUTE(SUBSTITUTE(SUBSTITUTE(P552," ",""),"-",""),"+","")</f>
        <v>910506932900</v>
      </c>
      <c r="R552" t="str">
        <f t="shared" si="16"/>
        <v>0506932900</v>
      </c>
      <c r="S552" t="str">
        <f>IF(LEN(R552),"Valid","Invalid")</f>
        <v>Valid</v>
      </c>
      <c r="T552" t="s">
        <v>5685</v>
      </c>
      <c r="V552" t="s">
        <v>35</v>
      </c>
      <c r="X552">
        <v>22823.87</v>
      </c>
      <c r="Y552" t="s">
        <v>26</v>
      </c>
      <c r="Z552">
        <v>183</v>
      </c>
      <c r="AA552">
        <f t="shared" si="17"/>
        <v>183</v>
      </c>
      <c r="AB552" t="s">
        <v>50</v>
      </c>
    </row>
    <row r="553" spans="1:28" x14ac:dyDescent="0.3">
      <c r="A553" t="s">
        <v>5684</v>
      </c>
      <c r="B553" t="s">
        <v>5683</v>
      </c>
      <c r="C553" t="s">
        <v>5683</v>
      </c>
      <c r="D553" t="s">
        <v>0</v>
      </c>
      <c r="E553">
        <v>23</v>
      </c>
      <c r="F553">
        <v>23</v>
      </c>
      <c r="G553" t="s">
        <v>47</v>
      </c>
      <c r="H553" t="s">
        <v>47</v>
      </c>
      <c r="I553" t="s">
        <v>90</v>
      </c>
      <c r="J553" t="s">
        <v>67</v>
      </c>
      <c r="K553" s="1">
        <v>46090</v>
      </c>
      <c r="L553" s="1" t="str">
        <f>IF(K553&gt;O553,"Valid","Invalid")</f>
        <v>Valid</v>
      </c>
      <c r="M553" s="1" t="b">
        <f>ISNUMBER(K553)</f>
        <v>1</v>
      </c>
      <c r="N553" s="1" t="b">
        <f>ISNUMBER(O553)</f>
        <v>1</v>
      </c>
      <c r="O553" s="1">
        <v>46081</v>
      </c>
      <c r="P553" t="s">
        <v>5682</v>
      </c>
      <c r="Q553" t="str">
        <f>SUBSTITUTE(SUBSTITUTE(SUBSTITUTE(P553," ",""),"-",""),"+","")</f>
        <v>6922698095</v>
      </c>
      <c r="R553" t="str">
        <f t="shared" si="16"/>
        <v>6922698095</v>
      </c>
      <c r="S553" t="str">
        <f>IF(LEN(R553),"Valid","Invalid")</f>
        <v>Valid</v>
      </c>
      <c r="T553" t="s">
        <v>5681</v>
      </c>
      <c r="V553" t="s">
        <v>26</v>
      </c>
      <c r="X553">
        <v>18308.009999999998</v>
      </c>
      <c r="Y553" t="s">
        <v>123</v>
      </c>
      <c r="Z553">
        <v>247</v>
      </c>
      <c r="AA553">
        <f t="shared" si="17"/>
        <v>247</v>
      </c>
      <c r="AB553" t="s">
        <v>25</v>
      </c>
    </row>
    <row r="554" spans="1:28" x14ac:dyDescent="0.3">
      <c r="A554" t="s">
        <v>5676</v>
      </c>
      <c r="B554" t="s">
        <v>5675</v>
      </c>
      <c r="C554" t="s">
        <v>5675</v>
      </c>
      <c r="D554" t="s">
        <v>40</v>
      </c>
      <c r="E554">
        <v>78</v>
      </c>
      <c r="F554">
        <v>78</v>
      </c>
      <c r="G554" t="s">
        <v>68</v>
      </c>
      <c r="H554" t="s">
        <v>68</v>
      </c>
      <c r="I554" t="s">
        <v>38</v>
      </c>
      <c r="J554" t="s">
        <v>8077</v>
      </c>
      <c r="K554" s="1">
        <v>46112</v>
      </c>
      <c r="L554" s="1" t="str">
        <f>IF(K554&gt;O554,"Valid","Invalid")</f>
        <v>Valid</v>
      </c>
      <c r="M554" s="1" t="b">
        <f>ISNUMBER(K554)</f>
        <v>1</v>
      </c>
      <c r="N554" s="1" t="b">
        <f>ISNUMBER(O554)</f>
        <v>1</v>
      </c>
      <c r="O554" s="1">
        <v>46106</v>
      </c>
      <c r="P554" t="s">
        <v>5674</v>
      </c>
      <c r="Q554" t="str">
        <f>SUBSTITUTE(SUBSTITUTE(SUBSTITUTE(P554," ",""),"-",""),"+","")</f>
        <v>06016875929</v>
      </c>
      <c r="R554" t="str">
        <f t="shared" si="16"/>
        <v>6016875929</v>
      </c>
      <c r="S554" t="str">
        <f>IF(LEN(R554),"Valid","Invalid")</f>
        <v>Valid</v>
      </c>
      <c r="T554" t="s">
        <v>5673</v>
      </c>
      <c r="V554" t="s">
        <v>123</v>
      </c>
      <c r="X554">
        <v>11452.71</v>
      </c>
      <c r="Y554" t="s">
        <v>123</v>
      </c>
      <c r="Z554">
        <v>140</v>
      </c>
      <c r="AA554">
        <f t="shared" si="17"/>
        <v>140</v>
      </c>
      <c r="AB554" t="s">
        <v>34</v>
      </c>
    </row>
    <row r="555" spans="1:28" x14ac:dyDescent="0.3">
      <c r="A555" t="s">
        <v>5672</v>
      </c>
      <c r="B555" t="s">
        <v>5671</v>
      </c>
      <c r="C555" t="s">
        <v>5671</v>
      </c>
      <c r="D555" t="s">
        <v>40</v>
      </c>
      <c r="E555">
        <v>32</v>
      </c>
      <c r="F555">
        <v>32</v>
      </c>
      <c r="G555" t="s">
        <v>132</v>
      </c>
      <c r="H555" t="s">
        <v>132</v>
      </c>
      <c r="I555" t="s">
        <v>38</v>
      </c>
      <c r="J555" t="s">
        <v>8077</v>
      </c>
      <c r="K555" s="1">
        <v>45982</v>
      </c>
      <c r="L555" s="1" t="str">
        <f>IF(K555&gt;O555,"Valid","Invalid")</f>
        <v>Valid</v>
      </c>
      <c r="M555" s="1" t="b">
        <f>ISNUMBER(K555)</f>
        <v>1</v>
      </c>
      <c r="N555" s="1" t="b">
        <f>ISNUMBER(O555)</f>
        <v>1</v>
      </c>
      <c r="O555" s="1">
        <v>45981</v>
      </c>
      <c r="P555" t="s">
        <v>5670</v>
      </c>
      <c r="Q555" t="str">
        <f>SUBSTITUTE(SUBSTITUTE(SUBSTITUTE(P555," ",""),"-",""),"+","")</f>
        <v>9225318464</v>
      </c>
      <c r="R555" t="str">
        <f t="shared" si="16"/>
        <v>9225318464</v>
      </c>
      <c r="S555" t="str">
        <f>IF(LEN(R555),"Valid","Invalid")</f>
        <v>Valid</v>
      </c>
      <c r="T555" t="s">
        <v>5669</v>
      </c>
      <c r="V555" t="s">
        <v>35</v>
      </c>
      <c r="X555">
        <v>3876.75</v>
      </c>
      <c r="Y555" t="s">
        <v>17</v>
      </c>
      <c r="Z555">
        <v>118</v>
      </c>
      <c r="AA555">
        <f t="shared" si="17"/>
        <v>118</v>
      </c>
      <c r="AB555" t="s">
        <v>71</v>
      </c>
    </row>
    <row r="556" spans="1:28" x14ac:dyDescent="0.3">
      <c r="A556" t="s">
        <v>5668</v>
      </c>
      <c r="B556" t="s">
        <v>5667</v>
      </c>
      <c r="C556" t="s">
        <v>5667</v>
      </c>
      <c r="D556" t="s">
        <v>40</v>
      </c>
      <c r="E556">
        <v>86</v>
      </c>
      <c r="F556">
        <v>86</v>
      </c>
      <c r="G556" t="s">
        <v>132</v>
      </c>
      <c r="H556" t="s">
        <v>132</v>
      </c>
      <c r="I556" t="s">
        <v>67</v>
      </c>
      <c r="J556" t="s">
        <v>67</v>
      </c>
      <c r="K556" s="1">
        <v>46043</v>
      </c>
      <c r="L556" s="1" t="str">
        <f>IF(K556&gt;O556,"Valid","Invalid")</f>
        <v>Valid</v>
      </c>
      <c r="M556" s="1" t="b">
        <f>ISNUMBER(K556)</f>
        <v>1</v>
      </c>
      <c r="N556" s="1" t="b">
        <f>ISNUMBER(O556)</f>
        <v>1</v>
      </c>
      <c r="O556" s="1">
        <v>46014</v>
      </c>
      <c r="P556" t="s">
        <v>5666</v>
      </c>
      <c r="Q556" t="str">
        <f>SUBSTITUTE(SUBSTITUTE(SUBSTITUTE(P556," ",""),"-",""),"+","")</f>
        <v>917409877545</v>
      </c>
      <c r="R556" t="str">
        <f t="shared" si="16"/>
        <v>7409877545</v>
      </c>
      <c r="S556" t="str">
        <f>IF(LEN(R556),"Valid","Invalid")</f>
        <v>Valid</v>
      </c>
      <c r="T556" t="s">
        <v>5665</v>
      </c>
      <c r="V556" t="s">
        <v>64</v>
      </c>
      <c r="X556">
        <v>1415.98</v>
      </c>
      <c r="Y556" t="s">
        <v>123</v>
      </c>
      <c r="Z556">
        <v>191</v>
      </c>
      <c r="AA556">
        <f t="shared" si="17"/>
        <v>191</v>
      </c>
      <c r="AB556" t="s">
        <v>71</v>
      </c>
    </row>
    <row r="557" spans="1:28" x14ac:dyDescent="0.3">
      <c r="A557" t="s">
        <v>5664</v>
      </c>
      <c r="B557" t="s">
        <v>5663</v>
      </c>
      <c r="C557" t="s">
        <v>5663</v>
      </c>
      <c r="D557" t="s">
        <v>22</v>
      </c>
      <c r="E557">
        <v>79</v>
      </c>
      <c r="F557">
        <v>79</v>
      </c>
      <c r="G557" t="s">
        <v>39</v>
      </c>
      <c r="H557" t="s">
        <v>39</v>
      </c>
      <c r="I557" t="s">
        <v>85</v>
      </c>
      <c r="J557" t="s">
        <v>85</v>
      </c>
      <c r="K557" s="1">
        <v>46125</v>
      </c>
      <c r="L557" s="1" t="str">
        <f>IF(K557&gt;O557,"Valid","Invalid")</f>
        <v>Valid</v>
      </c>
      <c r="M557" s="1" t="b">
        <f>ISNUMBER(K557)</f>
        <v>1</v>
      </c>
      <c r="N557" s="1" t="b">
        <f>ISNUMBER(O557)</f>
        <v>1</v>
      </c>
      <c r="O557" s="1">
        <v>46102</v>
      </c>
      <c r="P557" t="s">
        <v>5662</v>
      </c>
      <c r="Q557" t="str">
        <f>SUBSTITUTE(SUBSTITUTE(SUBSTITUTE(P557," ",""),"-",""),"+","")</f>
        <v>911502199480</v>
      </c>
      <c r="R557" t="str">
        <f t="shared" si="16"/>
        <v>1502199480</v>
      </c>
      <c r="S557" t="str">
        <f>IF(LEN(R557),"Valid","Invalid")</f>
        <v>Valid</v>
      </c>
      <c r="T557" t="s">
        <v>5661</v>
      </c>
      <c r="V557" t="s">
        <v>57</v>
      </c>
      <c r="X557">
        <v>23300.7</v>
      </c>
      <c r="Y557" t="s">
        <v>64</v>
      </c>
      <c r="Z557">
        <v>493</v>
      </c>
      <c r="AA557">
        <f t="shared" si="17"/>
        <v>493</v>
      </c>
      <c r="AB557" t="s">
        <v>43</v>
      </c>
    </row>
    <row r="558" spans="1:28" x14ac:dyDescent="0.3">
      <c r="A558" t="s">
        <v>5660</v>
      </c>
      <c r="B558" t="s">
        <v>5659</v>
      </c>
      <c r="C558" t="s">
        <v>5659</v>
      </c>
      <c r="D558" t="s">
        <v>60</v>
      </c>
      <c r="E558">
        <v>48</v>
      </c>
      <c r="F558">
        <v>48</v>
      </c>
      <c r="G558" t="s">
        <v>54</v>
      </c>
      <c r="H558" t="s">
        <v>54</v>
      </c>
      <c r="I558" t="s">
        <v>20</v>
      </c>
      <c r="J558" t="s">
        <v>20</v>
      </c>
      <c r="K558" s="1">
        <v>46033</v>
      </c>
      <c r="L558" s="1" t="str">
        <f>IF(K558&gt;O558,"Valid","Invalid")</f>
        <v>Valid</v>
      </c>
      <c r="M558" s="1" t="b">
        <f>ISNUMBER(K558)</f>
        <v>1</v>
      </c>
      <c r="N558" s="1" t="b">
        <f>ISNUMBER(O558)</f>
        <v>1</v>
      </c>
      <c r="O558" s="1">
        <v>46009</v>
      </c>
      <c r="P558" t="s">
        <v>5658</v>
      </c>
      <c r="Q558" t="str">
        <f>SUBSTITUTE(SUBSTITUTE(SUBSTITUTE(P558," ",""),"-",""),"+","")</f>
        <v>0084751488</v>
      </c>
      <c r="R558" t="str">
        <f t="shared" si="16"/>
        <v>0084751488</v>
      </c>
      <c r="S558" t="str">
        <f>IF(LEN(R558),"Valid","Invalid")</f>
        <v>Valid</v>
      </c>
      <c r="T558" t="s">
        <v>5657</v>
      </c>
      <c r="V558" t="s">
        <v>123</v>
      </c>
      <c r="X558">
        <v>21114.080000000002</v>
      </c>
      <c r="Y558" t="s">
        <v>64</v>
      </c>
      <c r="Z558">
        <v>249</v>
      </c>
      <c r="AA558">
        <f t="shared" si="17"/>
        <v>249</v>
      </c>
      <c r="AB558" t="s">
        <v>16</v>
      </c>
    </row>
    <row r="559" spans="1:28" x14ac:dyDescent="0.3">
      <c r="A559" t="s">
        <v>5656</v>
      </c>
      <c r="B559" t="s">
        <v>5655</v>
      </c>
      <c r="C559" t="s">
        <v>5655</v>
      </c>
      <c r="D559" t="s">
        <v>0</v>
      </c>
      <c r="E559">
        <v>16</v>
      </c>
      <c r="F559">
        <v>16</v>
      </c>
      <c r="G559" t="s">
        <v>132</v>
      </c>
      <c r="H559" t="s">
        <v>132</v>
      </c>
      <c r="I559" t="s">
        <v>67</v>
      </c>
      <c r="J559" t="s">
        <v>67</v>
      </c>
      <c r="K559" s="1">
        <v>45991</v>
      </c>
      <c r="L559" s="1" t="str">
        <f>IF(K559&gt;O559,"Valid","Invalid")</f>
        <v>Valid</v>
      </c>
      <c r="M559" s="1" t="b">
        <f>ISNUMBER(K559)</f>
        <v>1</v>
      </c>
      <c r="N559" s="1" t="b">
        <f>ISNUMBER(O559)</f>
        <v>1</v>
      </c>
      <c r="O559" s="1">
        <v>45975</v>
      </c>
      <c r="P559" t="s">
        <v>5654</v>
      </c>
      <c r="Q559" t="str">
        <f>SUBSTITUTE(SUBSTITUTE(SUBSTITUTE(P559," ",""),"-",""),"+","")</f>
        <v>2007232347</v>
      </c>
      <c r="R559" t="str">
        <f t="shared" si="16"/>
        <v>2007232347</v>
      </c>
      <c r="S559" t="str">
        <f>IF(LEN(R559),"Valid","Invalid")</f>
        <v>Valid</v>
      </c>
      <c r="T559" t="s">
        <v>5653</v>
      </c>
      <c r="V559" t="s">
        <v>123</v>
      </c>
      <c r="X559">
        <v>13211.23</v>
      </c>
      <c r="Y559" t="s">
        <v>57</v>
      </c>
      <c r="Z559">
        <v>413</v>
      </c>
      <c r="AA559">
        <f t="shared" si="17"/>
        <v>413</v>
      </c>
      <c r="AB559" t="s">
        <v>77</v>
      </c>
    </row>
    <row r="560" spans="1:28" x14ac:dyDescent="0.3">
      <c r="A560" t="s">
        <v>5652</v>
      </c>
      <c r="B560" t="s">
        <v>5651</v>
      </c>
      <c r="C560" t="s">
        <v>8050</v>
      </c>
      <c r="D560" t="s">
        <v>74</v>
      </c>
      <c r="E560">
        <v>74</v>
      </c>
      <c r="F560">
        <v>74</v>
      </c>
      <c r="G560" t="s">
        <v>80</v>
      </c>
      <c r="H560" t="s">
        <v>80</v>
      </c>
      <c r="I560" t="s">
        <v>85</v>
      </c>
      <c r="J560" t="s">
        <v>85</v>
      </c>
      <c r="K560" s="1">
        <v>46047</v>
      </c>
      <c r="L560" s="1" t="str">
        <f>IF(K560&gt;O560,"Valid","Invalid")</f>
        <v>Valid</v>
      </c>
      <c r="M560" s="1" t="b">
        <f>ISNUMBER(K560)</f>
        <v>1</v>
      </c>
      <c r="N560" s="1" t="b">
        <f>ISNUMBER(O560)</f>
        <v>1</v>
      </c>
      <c r="O560" s="1">
        <v>46024</v>
      </c>
      <c r="P560" t="s">
        <v>5650</v>
      </c>
      <c r="Q560" t="str">
        <f>SUBSTITUTE(SUBSTITUTE(SUBSTITUTE(P560," ",""),"-",""),"+","")</f>
        <v>01418637790</v>
      </c>
      <c r="R560" t="str">
        <f t="shared" si="16"/>
        <v>1418637790</v>
      </c>
      <c r="S560" t="str">
        <f>IF(LEN(R560),"Valid","Invalid")</f>
        <v>Valid</v>
      </c>
      <c r="T560" t="s">
        <v>5649</v>
      </c>
      <c r="V560" t="s">
        <v>26</v>
      </c>
      <c r="X560">
        <v>10790.93</v>
      </c>
      <c r="Y560" t="s">
        <v>17</v>
      </c>
      <c r="Z560">
        <v>232</v>
      </c>
      <c r="AA560">
        <f t="shared" si="17"/>
        <v>232</v>
      </c>
      <c r="AB560" t="s">
        <v>34</v>
      </c>
    </row>
    <row r="561" spans="1:28" x14ac:dyDescent="0.3">
      <c r="A561" t="s">
        <v>5648</v>
      </c>
      <c r="B561" t="s">
        <v>5647</v>
      </c>
      <c r="C561" t="s">
        <v>5647</v>
      </c>
      <c r="D561" t="s">
        <v>60</v>
      </c>
      <c r="E561">
        <v>17</v>
      </c>
      <c r="F561">
        <v>17</v>
      </c>
      <c r="G561" t="s">
        <v>68</v>
      </c>
      <c r="H561" t="s">
        <v>68</v>
      </c>
      <c r="I561" t="s">
        <v>85</v>
      </c>
      <c r="J561" t="s">
        <v>85</v>
      </c>
      <c r="K561" s="1">
        <v>46161</v>
      </c>
      <c r="L561" s="1" t="str">
        <f>IF(K561&gt;O561,"Valid","Invalid")</f>
        <v>Valid</v>
      </c>
      <c r="M561" s="1" t="b">
        <f>ISNUMBER(K561)</f>
        <v>1</v>
      </c>
      <c r="N561" s="1" t="b">
        <f>ISNUMBER(O561)</f>
        <v>1</v>
      </c>
      <c r="O561" s="1">
        <v>46146</v>
      </c>
      <c r="P561" t="s">
        <v>5646</v>
      </c>
      <c r="Q561" t="str">
        <f>SUBSTITUTE(SUBSTITUTE(SUBSTITUTE(P561," ",""),"-",""),"+","")</f>
        <v>912452121480</v>
      </c>
      <c r="R561" t="str">
        <f t="shared" si="16"/>
        <v>2452121480</v>
      </c>
      <c r="S561" t="str">
        <f>IF(LEN(R561),"Valid","Invalid")</f>
        <v>Valid</v>
      </c>
      <c r="T561" t="s">
        <v>5645</v>
      </c>
      <c r="V561" t="s">
        <v>35</v>
      </c>
      <c r="X561">
        <v>22114.86</v>
      </c>
      <c r="Y561" t="s">
        <v>57</v>
      </c>
      <c r="Z561">
        <v>462</v>
      </c>
      <c r="AA561">
        <f t="shared" si="17"/>
        <v>462</v>
      </c>
      <c r="AB561" t="s">
        <v>43</v>
      </c>
    </row>
    <row r="562" spans="1:28" x14ac:dyDescent="0.3">
      <c r="A562" t="s">
        <v>5644</v>
      </c>
      <c r="B562" t="s">
        <v>5643</v>
      </c>
      <c r="C562" t="s">
        <v>5643</v>
      </c>
      <c r="D562" t="s">
        <v>1</v>
      </c>
      <c r="E562">
        <v>1</v>
      </c>
      <c r="F562">
        <v>1</v>
      </c>
      <c r="G562" t="s">
        <v>80</v>
      </c>
      <c r="H562" t="s">
        <v>80</v>
      </c>
      <c r="I562" t="s">
        <v>46</v>
      </c>
      <c r="J562" t="s">
        <v>46</v>
      </c>
      <c r="K562" s="1">
        <v>46116</v>
      </c>
      <c r="L562" s="1" t="str">
        <f>IF(K562&gt;O562,"Valid","Invalid")</f>
        <v>Valid</v>
      </c>
      <c r="M562" s="1" t="b">
        <f>ISNUMBER(K562)</f>
        <v>1</v>
      </c>
      <c r="N562" s="1" t="b">
        <f>ISNUMBER(O562)</f>
        <v>1</v>
      </c>
      <c r="O562" s="1">
        <v>46102</v>
      </c>
      <c r="P562" t="s">
        <v>5642</v>
      </c>
      <c r="Q562" t="str">
        <f>SUBSTITUTE(SUBSTITUTE(SUBSTITUTE(P562," ",""),"-",""),"+","")</f>
        <v>919349695596</v>
      </c>
      <c r="R562" t="str">
        <f t="shared" si="16"/>
        <v>9349695596</v>
      </c>
      <c r="S562" t="str">
        <f>IF(LEN(R562),"Valid","Invalid")</f>
        <v>Valid</v>
      </c>
      <c r="T562" t="s">
        <v>5641</v>
      </c>
      <c r="V562" t="s">
        <v>64</v>
      </c>
      <c r="X562">
        <v>18489.22</v>
      </c>
      <c r="Y562" t="s">
        <v>57</v>
      </c>
      <c r="Z562">
        <v>509</v>
      </c>
      <c r="AA562">
        <f t="shared" si="17"/>
        <v>509</v>
      </c>
      <c r="AB562" t="s">
        <v>34</v>
      </c>
    </row>
    <row r="563" spans="1:28" x14ac:dyDescent="0.3">
      <c r="A563" t="s">
        <v>5640</v>
      </c>
      <c r="B563" t="s">
        <v>5639</v>
      </c>
      <c r="C563" t="s">
        <v>5639</v>
      </c>
      <c r="D563" t="s">
        <v>123</v>
      </c>
      <c r="E563">
        <v>53</v>
      </c>
      <c r="F563">
        <v>53</v>
      </c>
      <c r="G563" t="s">
        <v>47</v>
      </c>
      <c r="H563" t="s">
        <v>47</v>
      </c>
      <c r="I563" t="s">
        <v>67</v>
      </c>
      <c r="J563" t="s">
        <v>67</v>
      </c>
      <c r="K563" s="1">
        <v>46107</v>
      </c>
      <c r="L563" s="1" t="str">
        <f>IF(K563&gt;O563,"Valid","Invalid")</f>
        <v>Valid</v>
      </c>
      <c r="M563" s="1" t="b">
        <f>ISNUMBER(K563)</f>
        <v>1</v>
      </c>
      <c r="N563" s="1" t="b">
        <f>ISNUMBER(O563)</f>
        <v>1</v>
      </c>
      <c r="O563" s="1">
        <v>46096</v>
      </c>
      <c r="P563" t="s">
        <v>5638</v>
      </c>
      <c r="Q563" t="str">
        <f>SUBSTITUTE(SUBSTITUTE(SUBSTITUTE(P563," ",""),"-",""),"+","")</f>
        <v>9901575300</v>
      </c>
      <c r="R563" t="str">
        <f t="shared" si="16"/>
        <v>9901575300</v>
      </c>
      <c r="S563" t="str">
        <f>IF(LEN(R563),"Valid","Invalid")</f>
        <v>Valid</v>
      </c>
      <c r="T563" t="s">
        <v>5637</v>
      </c>
      <c r="V563" t="s">
        <v>17</v>
      </c>
      <c r="X563">
        <v>480.17</v>
      </c>
      <c r="Y563" t="s">
        <v>57</v>
      </c>
      <c r="Z563">
        <v>453</v>
      </c>
      <c r="AA563">
        <f t="shared" si="17"/>
        <v>453</v>
      </c>
      <c r="AB563" t="s">
        <v>43</v>
      </c>
    </row>
    <row r="564" spans="1:28" x14ac:dyDescent="0.3">
      <c r="A564" t="s">
        <v>5636</v>
      </c>
      <c r="B564" t="s">
        <v>5635</v>
      </c>
      <c r="C564" t="s">
        <v>5635</v>
      </c>
      <c r="D564" t="s">
        <v>22</v>
      </c>
      <c r="E564">
        <v>9</v>
      </c>
      <c r="F564">
        <v>9</v>
      </c>
      <c r="G564" t="s">
        <v>132</v>
      </c>
      <c r="H564" t="s">
        <v>132</v>
      </c>
      <c r="I564" t="s">
        <v>30</v>
      </c>
      <c r="J564" t="s">
        <v>30</v>
      </c>
      <c r="K564" s="1">
        <v>46087</v>
      </c>
      <c r="L564" s="1" t="str">
        <f>IF(K564&gt;O564,"Valid","Invalid")</f>
        <v>Valid</v>
      </c>
      <c r="M564" s="1" t="b">
        <f>ISNUMBER(K564)</f>
        <v>1</v>
      </c>
      <c r="N564" s="1" t="b">
        <f>ISNUMBER(O564)</f>
        <v>1</v>
      </c>
      <c r="O564" s="1">
        <v>46071</v>
      </c>
      <c r="P564" t="s">
        <v>5634</v>
      </c>
      <c r="Q564" t="str">
        <f>SUBSTITUTE(SUBSTITUTE(SUBSTITUTE(P564," ",""),"-",""),"+","")</f>
        <v>913300860892</v>
      </c>
      <c r="R564" t="str">
        <f t="shared" si="16"/>
        <v>3300860892</v>
      </c>
      <c r="S564" t="str">
        <f>IF(LEN(R564),"Valid","Invalid")</f>
        <v>Valid</v>
      </c>
      <c r="T564" t="s">
        <v>5633</v>
      </c>
      <c r="V564" t="s">
        <v>57</v>
      </c>
      <c r="X564">
        <v>19222.41</v>
      </c>
      <c r="Y564" t="s">
        <v>64</v>
      </c>
      <c r="Z564">
        <v>451</v>
      </c>
      <c r="AA564">
        <f t="shared" si="17"/>
        <v>451</v>
      </c>
      <c r="AB564" t="s">
        <v>43</v>
      </c>
    </row>
    <row r="565" spans="1:28" x14ac:dyDescent="0.3">
      <c r="A565" t="s">
        <v>5632</v>
      </c>
      <c r="B565" t="s">
        <v>5631</v>
      </c>
      <c r="C565" t="s">
        <v>5631</v>
      </c>
      <c r="D565" t="s">
        <v>60</v>
      </c>
      <c r="E565">
        <v>51</v>
      </c>
      <c r="F565">
        <v>51</v>
      </c>
      <c r="G565" t="s">
        <v>47</v>
      </c>
      <c r="H565" t="s">
        <v>47</v>
      </c>
      <c r="I565" t="s">
        <v>53</v>
      </c>
      <c r="J565" t="s">
        <v>20</v>
      </c>
      <c r="K565" s="1">
        <v>46087</v>
      </c>
      <c r="L565" s="1" t="str">
        <f>IF(K565&gt;O565,"Valid","Invalid")</f>
        <v>Valid</v>
      </c>
      <c r="M565" s="1" t="b">
        <f>ISNUMBER(K565)</f>
        <v>1</v>
      </c>
      <c r="N565" s="1" t="b">
        <f>ISNUMBER(O565)</f>
        <v>1</v>
      </c>
      <c r="O565" s="1">
        <v>46081</v>
      </c>
      <c r="P565" t="s">
        <v>5630</v>
      </c>
      <c r="Q565" t="str">
        <f>SUBSTITUTE(SUBSTITUTE(SUBSTITUTE(P565," ",""),"-",""),"+","")</f>
        <v>07399139877</v>
      </c>
      <c r="R565" t="str">
        <f t="shared" si="16"/>
        <v>7399139877</v>
      </c>
      <c r="S565" t="str">
        <f>IF(LEN(R565),"Valid","Invalid")</f>
        <v>Valid</v>
      </c>
      <c r="T565" t="s">
        <v>5629</v>
      </c>
      <c r="V565" t="s">
        <v>57</v>
      </c>
      <c r="X565">
        <v>20878.87</v>
      </c>
      <c r="Y565" t="s">
        <v>123</v>
      </c>
      <c r="Z565">
        <v>342</v>
      </c>
      <c r="AA565">
        <f t="shared" si="17"/>
        <v>342</v>
      </c>
      <c r="AB565" t="s">
        <v>50</v>
      </c>
    </row>
    <row r="566" spans="1:28" x14ac:dyDescent="0.3">
      <c r="A566" t="s">
        <v>5628</v>
      </c>
      <c r="B566" t="s">
        <v>5627</v>
      </c>
      <c r="C566" t="s">
        <v>5627</v>
      </c>
      <c r="D566" t="s">
        <v>40</v>
      </c>
      <c r="E566">
        <v>83</v>
      </c>
      <c r="F566">
        <v>83</v>
      </c>
      <c r="G566" t="s">
        <v>39</v>
      </c>
      <c r="H566" t="s">
        <v>39</v>
      </c>
      <c r="I566" t="s">
        <v>85</v>
      </c>
      <c r="J566" t="s">
        <v>85</v>
      </c>
      <c r="K566" s="1">
        <v>46094</v>
      </c>
      <c r="L566" s="1" t="str">
        <f>IF(K566&gt;O566,"Valid","Invalid")</f>
        <v>Valid</v>
      </c>
      <c r="M566" s="1" t="b">
        <f>ISNUMBER(K566)</f>
        <v>1</v>
      </c>
      <c r="N566" s="1" t="b">
        <f>ISNUMBER(O566)</f>
        <v>1</v>
      </c>
      <c r="O566" s="1">
        <v>46090</v>
      </c>
      <c r="P566" t="s">
        <v>5626</v>
      </c>
      <c r="Q566" t="str">
        <f>SUBSTITUTE(SUBSTITUTE(SUBSTITUTE(P566," ",""),"-",""),"+","")</f>
        <v>914379019888</v>
      </c>
      <c r="R566" t="str">
        <f t="shared" si="16"/>
        <v>4379019888</v>
      </c>
      <c r="S566" t="str">
        <f>IF(LEN(R566),"Valid","Invalid")</f>
        <v>Valid</v>
      </c>
      <c r="T566" t="s">
        <v>5625</v>
      </c>
      <c r="V566" t="s">
        <v>123</v>
      </c>
      <c r="X566">
        <v>22323.05</v>
      </c>
      <c r="Y566" t="s">
        <v>17</v>
      </c>
      <c r="Z566">
        <v>336</v>
      </c>
      <c r="AA566">
        <f t="shared" si="17"/>
        <v>336</v>
      </c>
      <c r="AB566" t="s">
        <v>50</v>
      </c>
    </row>
    <row r="567" spans="1:28" x14ac:dyDescent="0.3">
      <c r="A567" t="s">
        <v>5624</v>
      </c>
      <c r="B567" t="s">
        <v>5623</v>
      </c>
      <c r="C567" t="s">
        <v>5623</v>
      </c>
      <c r="D567" t="s">
        <v>123</v>
      </c>
      <c r="E567">
        <v>8</v>
      </c>
      <c r="F567">
        <v>8</v>
      </c>
      <c r="G567" t="s">
        <v>132</v>
      </c>
      <c r="H567" t="s">
        <v>132</v>
      </c>
      <c r="I567" t="s">
        <v>67</v>
      </c>
      <c r="J567" t="s">
        <v>67</v>
      </c>
      <c r="K567" s="1">
        <v>46104</v>
      </c>
      <c r="L567" s="1" t="str">
        <f>IF(K567&gt;O567,"Valid","Invalid")</f>
        <v>Valid</v>
      </c>
      <c r="M567" s="1" t="b">
        <f>ISNUMBER(K567)</f>
        <v>1</v>
      </c>
      <c r="N567" s="1" t="b">
        <f>ISNUMBER(O567)</f>
        <v>1</v>
      </c>
      <c r="O567" s="1">
        <v>46087</v>
      </c>
      <c r="P567" t="s">
        <v>5622</v>
      </c>
      <c r="Q567" t="str">
        <f>SUBSTITUTE(SUBSTITUTE(SUBSTITUTE(P567," ",""),"-",""),"+","")</f>
        <v>2038078476</v>
      </c>
      <c r="R567" t="str">
        <f t="shared" si="16"/>
        <v>2038078476</v>
      </c>
      <c r="S567" t="str">
        <f>IF(LEN(R567),"Valid","Invalid")</f>
        <v>Valid</v>
      </c>
      <c r="T567" t="s">
        <v>5621</v>
      </c>
      <c r="V567" t="s">
        <v>27</v>
      </c>
      <c r="X567">
        <v>5364.91</v>
      </c>
      <c r="Y567" t="s">
        <v>17</v>
      </c>
      <c r="Z567">
        <v>509</v>
      </c>
      <c r="AA567">
        <f t="shared" si="17"/>
        <v>509</v>
      </c>
      <c r="AB567" t="s">
        <v>50</v>
      </c>
    </row>
    <row r="568" spans="1:28" x14ac:dyDescent="0.3">
      <c r="A568" t="s">
        <v>5620</v>
      </c>
      <c r="B568" t="s">
        <v>5619</v>
      </c>
      <c r="C568" t="s">
        <v>5619</v>
      </c>
      <c r="D568" t="s">
        <v>60</v>
      </c>
      <c r="E568">
        <v>9</v>
      </c>
      <c r="F568">
        <v>9</v>
      </c>
      <c r="G568" t="s">
        <v>39</v>
      </c>
      <c r="H568" t="s">
        <v>39</v>
      </c>
      <c r="I568" t="s">
        <v>30</v>
      </c>
      <c r="J568" t="s">
        <v>30</v>
      </c>
      <c r="K568" s="1">
        <v>46059</v>
      </c>
      <c r="L568" s="1" t="str">
        <f>IF(K568&gt;O568,"Valid","Invalid")</f>
        <v>Valid</v>
      </c>
      <c r="M568" s="1" t="b">
        <f>ISNUMBER(K568)</f>
        <v>1</v>
      </c>
      <c r="N568" s="1" t="b">
        <f>ISNUMBER(O568)</f>
        <v>1</v>
      </c>
      <c r="O568" s="1">
        <v>46033</v>
      </c>
      <c r="P568" t="s">
        <v>5618</v>
      </c>
      <c r="Q568" t="str">
        <f>SUBSTITUTE(SUBSTITUTE(SUBSTITUTE(P568," ",""),"-",""),"+","")</f>
        <v>911278101704</v>
      </c>
      <c r="R568" t="str">
        <f t="shared" si="16"/>
        <v>1278101704</v>
      </c>
      <c r="S568" t="str">
        <f>IF(LEN(R568),"Valid","Invalid")</f>
        <v>Valid</v>
      </c>
      <c r="T568" t="s">
        <v>5617</v>
      </c>
      <c r="V568" t="s">
        <v>27</v>
      </c>
      <c r="X568">
        <v>8610.98</v>
      </c>
      <c r="Y568" t="s">
        <v>123</v>
      </c>
      <c r="Z568">
        <v>420</v>
      </c>
      <c r="AA568">
        <f t="shared" si="17"/>
        <v>420</v>
      </c>
      <c r="AB568" t="s">
        <v>34</v>
      </c>
    </row>
    <row r="569" spans="1:28" x14ac:dyDescent="0.3">
      <c r="A569" t="s">
        <v>5616</v>
      </c>
      <c r="B569" t="s">
        <v>5615</v>
      </c>
      <c r="C569" t="s">
        <v>5615</v>
      </c>
      <c r="D569" t="s">
        <v>0</v>
      </c>
      <c r="E569">
        <v>74</v>
      </c>
      <c r="F569">
        <v>74</v>
      </c>
      <c r="G569" t="s">
        <v>369</v>
      </c>
      <c r="H569" t="s">
        <v>369</v>
      </c>
      <c r="I569" t="s">
        <v>53</v>
      </c>
      <c r="J569" t="s">
        <v>20</v>
      </c>
      <c r="K569" s="1">
        <v>46045</v>
      </c>
      <c r="L569" s="1" t="str">
        <f>IF(K569&gt;O569,"Valid","Invalid")</f>
        <v>Valid</v>
      </c>
      <c r="M569" s="1" t="b">
        <f>ISNUMBER(K569)</f>
        <v>1</v>
      </c>
      <c r="N569" s="1" t="b">
        <f>ISNUMBER(O569)</f>
        <v>1</v>
      </c>
      <c r="O569" s="1">
        <v>46026</v>
      </c>
      <c r="P569" t="s">
        <v>5614</v>
      </c>
      <c r="Q569" t="str">
        <f>SUBSTITUTE(SUBSTITUTE(SUBSTITUTE(P569," ",""),"-",""),"+","")</f>
        <v>8327630591</v>
      </c>
      <c r="R569" t="str">
        <f t="shared" si="16"/>
        <v>8327630591</v>
      </c>
      <c r="S569" t="str">
        <f>IF(LEN(R569),"Valid","Invalid")</f>
        <v>Valid</v>
      </c>
      <c r="T569" t="s">
        <v>5613</v>
      </c>
      <c r="V569" t="s">
        <v>64</v>
      </c>
      <c r="X569">
        <v>21641.919999999998</v>
      </c>
      <c r="Y569" t="s">
        <v>63</v>
      </c>
      <c r="Z569">
        <v>461</v>
      </c>
      <c r="AA569">
        <f t="shared" si="17"/>
        <v>461</v>
      </c>
      <c r="AB569" t="s">
        <v>50</v>
      </c>
    </row>
    <row r="570" spans="1:28" x14ac:dyDescent="0.3">
      <c r="A570" t="s">
        <v>5612</v>
      </c>
      <c r="B570" t="s">
        <v>5611</v>
      </c>
      <c r="C570" t="s">
        <v>5611</v>
      </c>
      <c r="D570" t="s">
        <v>60</v>
      </c>
      <c r="E570">
        <v>5</v>
      </c>
      <c r="F570">
        <v>5</v>
      </c>
      <c r="G570" t="s">
        <v>132</v>
      </c>
      <c r="H570" t="s">
        <v>132</v>
      </c>
      <c r="I570" t="s">
        <v>90</v>
      </c>
      <c r="J570" t="s">
        <v>67</v>
      </c>
      <c r="K570" s="1">
        <v>46151</v>
      </c>
      <c r="L570" s="1" t="str">
        <f>IF(K570&gt;O570,"Valid","Invalid")</f>
        <v>Valid</v>
      </c>
      <c r="M570" s="1" t="b">
        <f>ISNUMBER(K570)</f>
        <v>1</v>
      </c>
      <c r="N570" s="1" t="b">
        <f>ISNUMBER(O570)</f>
        <v>1</v>
      </c>
      <c r="O570" s="1">
        <v>46149</v>
      </c>
      <c r="P570" t="s">
        <v>5610</v>
      </c>
      <c r="Q570" t="str">
        <f>SUBSTITUTE(SUBSTITUTE(SUBSTITUTE(P570," ",""),"-",""),"+","")</f>
        <v>911511349999</v>
      </c>
      <c r="R570" t="str">
        <f t="shared" si="16"/>
        <v>1511349999</v>
      </c>
      <c r="S570" t="str">
        <f>IF(LEN(R570),"Valid","Invalid")</f>
        <v>Valid</v>
      </c>
      <c r="T570" t="s">
        <v>5609</v>
      </c>
      <c r="V570" t="s">
        <v>123</v>
      </c>
      <c r="X570">
        <v>21950.81</v>
      </c>
      <c r="Y570" t="s">
        <v>17</v>
      </c>
      <c r="Z570">
        <v>331</v>
      </c>
      <c r="AA570">
        <f t="shared" si="17"/>
        <v>331</v>
      </c>
      <c r="AB570" t="s">
        <v>50</v>
      </c>
    </row>
    <row r="571" spans="1:28" x14ac:dyDescent="0.3">
      <c r="A571" t="s">
        <v>5608</v>
      </c>
      <c r="B571" t="s">
        <v>5607</v>
      </c>
      <c r="C571" t="s">
        <v>5607</v>
      </c>
      <c r="D571" t="s">
        <v>22</v>
      </c>
      <c r="E571">
        <v>28</v>
      </c>
      <c r="F571">
        <v>28</v>
      </c>
      <c r="G571" t="s">
        <v>132</v>
      </c>
      <c r="H571" t="s">
        <v>132</v>
      </c>
      <c r="I571" t="s">
        <v>53</v>
      </c>
      <c r="J571" t="s">
        <v>20</v>
      </c>
      <c r="K571" s="1">
        <v>46051</v>
      </c>
      <c r="L571" s="1" t="str">
        <f>IF(K571&gt;O571,"Valid","Invalid")</f>
        <v>Valid</v>
      </c>
      <c r="M571" s="1" t="b">
        <f>ISNUMBER(K571)</f>
        <v>1</v>
      </c>
      <c r="N571" s="1" t="b">
        <f>ISNUMBER(O571)</f>
        <v>1</v>
      </c>
      <c r="O571" s="1">
        <v>46048</v>
      </c>
      <c r="P571" t="s">
        <v>5606</v>
      </c>
      <c r="Q571" t="str">
        <f>SUBSTITUTE(SUBSTITUTE(SUBSTITUTE(P571," ",""),"-",""),"+","")</f>
        <v>07906651888</v>
      </c>
      <c r="R571" t="str">
        <f t="shared" si="16"/>
        <v>7906651888</v>
      </c>
      <c r="S571" t="str">
        <f>IF(LEN(R571),"Valid","Invalid")</f>
        <v>Valid</v>
      </c>
      <c r="T571" t="s">
        <v>5605</v>
      </c>
      <c r="V571" t="s">
        <v>57</v>
      </c>
      <c r="X571">
        <v>19666.61</v>
      </c>
      <c r="Y571" t="s">
        <v>57</v>
      </c>
      <c r="Z571">
        <v>147</v>
      </c>
      <c r="AA571">
        <f t="shared" si="17"/>
        <v>147</v>
      </c>
      <c r="AB571" t="s">
        <v>16</v>
      </c>
    </row>
    <row r="572" spans="1:28" x14ac:dyDescent="0.3">
      <c r="A572" t="s">
        <v>5604</v>
      </c>
      <c r="B572" t="s">
        <v>5603</v>
      </c>
      <c r="C572" t="s">
        <v>5603</v>
      </c>
      <c r="D572" t="s">
        <v>40</v>
      </c>
      <c r="E572">
        <v>62</v>
      </c>
      <c r="F572">
        <v>62</v>
      </c>
      <c r="G572" t="s">
        <v>39</v>
      </c>
      <c r="H572" t="s">
        <v>39</v>
      </c>
      <c r="I572" t="s">
        <v>38</v>
      </c>
      <c r="J572" t="s">
        <v>8077</v>
      </c>
      <c r="K572" s="1">
        <v>46030</v>
      </c>
      <c r="L572" s="1" t="str">
        <f>IF(K572&gt;O572,"Valid","Invalid")</f>
        <v>Valid</v>
      </c>
      <c r="M572" s="1" t="b">
        <f>ISNUMBER(K572)</f>
        <v>1</v>
      </c>
      <c r="N572" s="1" t="b">
        <f>ISNUMBER(O572)</f>
        <v>1</v>
      </c>
      <c r="O572" s="1">
        <v>46020</v>
      </c>
      <c r="P572" t="s">
        <v>5602</v>
      </c>
      <c r="Q572" t="str">
        <f>SUBSTITUTE(SUBSTITUTE(SUBSTITUTE(P572," ",""),"-",""),"+","")</f>
        <v>4450563997</v>
      </c>
      <c r="R572" t="str">
        <f t="shared" si="16"/>
        <v>4450563997</v>
      </c>
      <c r="S572" t="str">
        <f>IF(LEN(R572),"Valid","Invalid")</f>
        <v>Valid</v>
      </c>
      <c r="T572" t="s">
        <v>5601</v>
      </c>
      <c r="V572" t="s">
        <v>123</v>
      </c>
      <c r="X572">
        <v>18364.54</v>
      </c>
      <c r="Y572" t="s">
        <v>63</v>
      </c>
      <c r="Z572">
        <v>497</v>
      </c>
      <c r="AA572">
        <f t="shared" si="17"/>
        <v>497</v>
      </c>
      <c r="AB572" t="s">
        <v>43</v>
      </c>
    </row>
    <row r="573" spans="1:28" x14ac:dyDescent="0.3">
      <c r="A573" t="s">
        <v>5600</v>
      </c>
      <c r="B573" t="s">
        <v>5599</v>
      </c>
      <c r="C573" t="s">
        <v>5599</v>
      </c>
      <c r="D573" t="s">
        <v>0</v>
      </c>
      <c r="E573">
        <v>13</v>
      </c>
      <c r="F573">
        <v>13</v>
      </c>
      <c r="G573" t="s">
        <v>39</v>
      </c>
      <c r="H573" t="s">
        <v>39</v>
      </c>
      <c r="I573" t="s">
        <v>38</v>
      </c>
      <c r="J573" t="s">
        <v>8077</v>
      </c>
      <c r="K573" s="1">
        <v>46042</v>
      </c>
      <c r="L573" s="1" t="str">
        <f>IF(K573&gt;O573,"Valid","Invalid")</f>
        <v>Valid</v>
      </c>
      <c r="M573" s="1" t="b">
        <f>ISNUMBER(K573)</f>
        <v>1</v>
      </c>
      <c r="N573" s="1" t="b">
        <f>ISNUMBER(O573)</f>
        <v>1</v>
      </c>
      <c r="O573" s="1">
        <v>46019</v>
      </c>
      <c r="P573" t="s">
        <v>5598</v>
      </c>
      <c r="Q573" t="str">
        <f>SUBSTITUTE(SUBSTITUTE(SUBSTITUTE(P573," ",""),"-",""),"+","")</f>
        <v>919935328568</v>
      </c>
      <c r="R573" t="str">
        <f t="shared" si="16"/>
        <v>9935328568</v>
      </c>
      <c r="S573" t="str">
        <f>IF(LEN(R573),"Valid","Invalid")</f>
        <v>Valid</v>
      </c>
      <c r="T573" t="s">
        <v>5597</v>
      </c>
      <c r="V573" t="s">
        <v>27</v>
      </c>
      <c r="X573">
        <v>11592.34</v>
      </c>
      <c r="Y573" t="s">
        <v>64</v>
      </c>
      <c r="Z573">
        <v>102</v>
      </c>
      <c r="AA573">
        <f t="shared" si="17"/>
        <v>102</v>
      </c>
      <c r="AB573" t="s">
        <v>43</v>
      </c>
    </row>
    <row r="574" spans="1:28" x14ac:dyDescent="0.3">
      <c r="A574" t="s">
        <v>5596</v>
      </c>
      <c r="B574" t="s">
        <v>5595</v>
      </c>
      <c r="C574" t="s">
        <v>5595</v>
      </c>
      <c r="D574" t="s">
        <v>40</v>
      </c>
      <c r="E574">
        <v>88</v>
      </c>
      <c r="F574">
        <v>88</v>
      </c>
      <c r="G574" t="s">
        <v>80</v>
      </c>
      <c r="H574" t="s">
        <v>80</v>
      </c>
      <c r="I574" t="s">
        <v>67</v>
      </c>
      <c r="J574" t="s">
        <v>67</v>
      </c>
      <c r="K574" s="1">
        <v>46002</v>
      </c>
      <c r="L574" s="1" t="str">
        <f>IF(K574&gt;O574,"Valid","Invalid")</f>
        <v>Valid</v>
      </c>
      <c r="M574" s="1" t="b">
        <f>ISNUMBER(K574)</f>
        <v>1</v>
      </c>
      <c r="N574" s="1" t="b">
        <f>ISNUMBER(O574)</f>
        <v>1</v>
      </c>
      <c r="O574" s="1">
        <v>45988</v>
      </c>
      <c r="P574" t="s">
        <v>5594</v>
      </c>
      <c r="Q574" t="str">
        <f>SUBSTITUTE(SUBSTITUTE(SUBSTITUTE(P574," ",""),"-",""),"+","")</f>
        <v>2188897979</v>
      </c>
      <c r="R574" t="str">
        <f t="shared" si="16"/>
        <v>2188897979</v>
      </c>
      <c r="S574" t="str">
        <f>IF(LEN(R574),"Valid","Invalid")</f>
        <v>Valid</v>
      </c>
      <c r="T574" t="s">
        <v>5593</v>
      </c>
      <c r="V574" t="s">
        <v>27</v>
      </c>
      <c r="X574">
        <v>2756.95</v>
      </c>
      <c r="Y574" t="s">
        <v>63</v>
      </c>
      <c r="Z574">
        <v>111</v>
      </c>
      <c r="AA574">
        <f t="shared" si="17"/>
        <v>111</v>
      </c>
      <c r="AB574" t="s">
        <v>34</v>
      </c>
    </row>
    <row r="575" spans="1:28" x14ac:dyDescent="0.3">
      <c r="A575" t="s">
        <v>5592</v>
      </c>
      <c r="B575" t="s">
        <v>5591</v>
      </c>
      <c r="C575" t="s">
        <v>5591</v>
      </c>
      <c r="D575" t="s">
        <v>22</v>
      </c>
      <c r="E575">
        <v>82</v>
      </c>
      <c r="F575">
        <v>82</v>
      </c>
      <c r="G575" t="s">
        <v>21</v>
      </c>
      <c r="H575" t="s">
        <v>21</v>
      </c>
      <c r="I575" t="s">
        <v>67</v>
      </c>
      <c r="J575" t="s">
        <v>67</v>
      </c>
      <c r="K575" s="1">
        <v>46003</v>
      </c>
      <c r="L575" s="1" t="str">
        <f>IF(K575&gt;O575,"Valid","Invalid")</f>
        <v>Valid</v>
      </c>
      <c r="M575" s="1" t="b">
        <f>ISNUMBER(K575)</f>
        <v>1</v>
      </c>
      <c r="N575" s="1" t="b">
        <f>ISNUMBER(O575)</f>
        <v>1</v>
      </c>
      <c r="O575" s="1">
        <v>45997</v>
      </c>
      <c r="P575" t="s">
        <v>5590</v>
      </c>
      <c r="Q575" t="str">
        <f>SUBSTITUTE(SUBSTITUTE(SUBSTITUTE(P575," ",""),"-",""),"+","")</f>
        <v>913264403739</v>
      </c>
      <c r="R575" t="str">
        <f t="shared" si="16"/>
        <v>3264403739</v>
      </c>
      <c r="S575" t="str">
        <f>IF(LEN(R575),"Valid","Invalid")</f>
        <v>Valid</v>
      </c>
      <c r="T575" t="s">
        <v>5589</v>
      </c>
      <c r="V575" t="s">
        <v>17</v>
      </c>
      <c r="X575">
        <v>7306.87</v>
      </c>
      <c r="Y575" t="s">
        <v>17</v>
      </c>
      <c r="Z575">
        <v>495</v>
      </c>
      <c r="AA575">
        <f t="shared" si="17"/>
        <v>495</v>
      </c>
      <c r="AB575" t="s">
        <v>16</v>
      </c>
    </row>
    <row r="576" spans="1:28" x14ac:dyDescent="0.3">
      <c r="A576" t="s">
        <v>5588</v>
      </c>
      <c r="B576" t="s">
        <v>5587</v>
      </c>
      <c r="C576" t="s">
        <v>5587</v>
      </c>
      <c r="D576" t="s">
        <v>74</v>
      </c>
      <c r="E576">
        <v>35</v>
      </c>
      <c r="F576">
        <v>35</v>
      </c>
      <c r="G576" t="s">
        <v>39</v>
      </c>
      <c r="H576" t="s">
        <v>39</v>
      </c>
      <c r="I576" t="s">
        <v>53</v>
      </c>
      <c r="J576" t="s">
        <v>20</v>
      </c>
      <c r="K576" s="1">
        <v>45994</v>
      </c>
      <c r="L576" s="1" t="str">
        <f>IF(K576&gt;O576,"Valid","Invalid")</f>
        <v>Valid</v>
      </c>
      <c r="M576" s="1" t="b">
        <f>ISNUMBER(K576)</f>
        <v>1</v>
      </c>
      <c r="N576" s="1" t="b">
        <f>ISNUMBER(O576)</f>
        <v>1</v>
      </c>
      <c r="O576" s="1">
        <v>45986</v>
      </c>
      <c r="P576" t="s">
        <v>5586</v>
      </c>
      <c r="Q576" t="str">
        <f>SUBSTITUTE(SUBSTITUTE(SUBSTITUTE(P576," ",""),"-",""),"+","")</f>
        <v>5049558708</v>
      </c>
      <c r="R576" t="str">
        <f t="shared" si="16"/>
        <v>5049558708</v>
      </c>
      <c r="S576" t="str">
        <f>IF(LEN(R576),"Valid","Invalid")</f>
        <v>Valid</v>
      </c>
      <c r="T576" t="s">
        <v>5585</v>
      </c>
      <c r="V576" t="s">
        <v>64</v>
      </c>
      <c r="X576">
        <v>578.37</v>
      </c>
      <c r="Y576" t="s">
        <v>64</v>
      </c>
      <c r="Z576">
        <v>205</v>
      </c>
      <c r="AA576">
        <f t="shared" si="17"/>
        <v>205</v>
      </c>
      <c r="AB576" t="s">
        <v>34</v>
      </c>
    </row>
    <row r="577" spans="1:28" x14ac:dyDescent="0.3">
      <c r="A577" t="s">
        <v>5584</v>
      </c>
      <c r="B577" t="s">
        <v>5583</v>
      </c>
      <c r="C577" t="s">
        <v>5583</v>
      </c>
      <c r="D577" t="s">
        <v>60</v>
      </c>
      <c r="E577">
        <v>71</v>
      </c>
      <c r="F577">
        <v>71</v>
      </c>
      <c r="G577" t="s">
        <v>31</v>
      </c>
      <c r="H577" t="s">
        <v>31</v>
      </c>
      <c r="I577" t="s">
        <v>30</v>
      </c>
      <c r="J577" t="s">
        <v>30</v>
      </c>
      <c r="K577" s="1">
        <v>46068</v>
      </c>
      <c r="L577" s="1" t="str">
        <f>IF(K577&gt;O577,"Valid","Invalid")</f>
        <v>Valid</v>
      </c>
      <c r="M577" s="1" t="b">
        <f>ISNUMBER(K577)</f>
        <v>1</v>
      </c>
      <c r="N577" s="1" t="b">
        <f>ISNUMBER(O577)</f>
        <v>1</v>
      </c>
      <c r="O577" s="1">
        <v>46064</v>
      </c>
      <c r="P577" t="s">
        <v>5582</v>
      </c>
      <c r="Q577" t="str">
        <f>SUBSTITUTE(SUBSTITUTE(SUBSTITUTE(P577," ",""),"-",""),"+","")</f>
        <v>8529975901</v>
      </c>
      <c r="R577" t="str">
        <f t="shared" si="16"/>
        <v>8529975901</v>
      </c>
      <c r="S577" t="str">
        <f>IF(LEN(R577),"Valid","Invalid")</f>
        <v>Valid</v>
      </c>
      <c r="T577" t="s">
        <v>5581</v>
      </c>
      <c r="V577" t="s">
        <v>26</v>
      </c>
      <c r="X577">
        <v>14437.26</v>
      </c>
      <c r="Y577" t="s">
        <v>26</v>
      </c>
      <c r="Z577">
        <v>136</v>
      </c>
      <c r="AA577">
        <f t="shared" si="17"/>
        <v>136</v>
      </c>
      <c r="AB577" t="s">
        <v>43</v>
      </c>
    </row>
    <row r="578" spans="1:28" x14ac:dyDescent="0.3">
      <c r="A578" t="s">
        <v>5580</v>
      </c>
      <c r="B578" t="s">
        <v>5579</v>
      </c>
      <c r="C578" t="s">
        <v>5579</v>
      </c>
      <c r="D578" t="s">
        <v>60</v>
      </c>
      <c r="E578">
        <v>70</v>
      </c>
      <c r="F578">
        <v>70</v>
      </c>
      <c r="G578" t="s">
        <v>68</v>
      </c>
      <c r="H578" t="s">
        <v>68</v>
      </c>
      <c r="I578" t="s">
        <v>46</v>
      </c>
      <c r="J578" t="s">
        <v>46</v>
      </c>
      <c r="K578" s="1">
        <v>45984</v>
      </c>
      <c r="L578" s="1" t="str">
        <f>IF(K578&gt;O578,"Valid","Invalid")</f>
        <v>Valid</v>
      </c>
      <c r="M578" s="1" t="b">
        <f>ISNUMBER(K578)</f>
        <v>1</v>
      </c>
      <c r="N578" s="1" t="b">
        <f>ISNUMBER(O578)</f>
        <v>1</v>
      </c>
      <c r="O578" s="1">
        <v>45980</v>
      </c>
      <c r="P578" t="s">
        <v>5578</v>
      </c>
      <c r="Q578" t="str">
        <f>SUBSTITUTE(SUBSTITUTE(SUBSTITUTE(P578," ",""),"-",""),"+","")</f>
        <v>0216370988</v>
      </c>
      <c r="R578" t="str">
        <f t="shared" si="16"/>
        <v>0216370988</v>
      </c>
      <c r="S578" t="str">
        <f>IF(LEN(R578),"Valid","Invalid")</f>
        <v>Valid</v>
      </c>
      <c r="T578" t="s">
        <v>5577</v>
      </c>
      <c r="V578" t="s">
        <v>27</v>
      </c>
      <c r="X578">
        <v>11874.24</v>
      </c>
      <c r="Y578" t="s">
        <v>27</v>
      </c>
      <c r="Z578">
        <v>154</v>
      </c>
      <c r="AA578">
        <f t="shared" si="17"/>
        <v>154</v>
      </c>
      <c r="AB578" t="s">
        <v>16</v>
      </c>
    </row>
    <row r="579" spans="1:28" x14ac:dyDescent="0.3">
      <c r="A579" t="s">
        <v>5576</v>
      </c>
      <c r="B579" t="s">
        <v>5575</v>
      </c>
      <c r="C579" t="s">
        <v>5575</v>
      </c>
      <c r="D579" t="s">
        <v>40</v>
      </c>
      <c r="E579">
        <v>12</v>
      </c>
      <c r="F579">
        <v>12</v>
      </c>
      <c r="G579" t="s">
        <v>54</v>
      </c>
      <c r="H579" t="s">
        <v>54</v>
      </c>
      <c r="I579" t="s">
        <v>90</v>
      </c>
      <c r="J579" t="s">
        <v>67</v>
      </c>
      <c r="K579" s="1">
        <v>46121</v>
      </c>
      <c r="L579" s="1" t="str">
        <f>IF(K579&gt;O579,"Valid","Invalid")</f>
        <v>Valid</v>
      </c>
      <c r="M579" s="1" t="b">
        <f>ISNUMBER(K579)</f>
        <v>1</v>
      </c>
      <c r="N579" s="1" t="b">
        <f>ISNUMBER(O579)</f>
        <v>1</v>
      </c>
      <c r="O579" s="1">
        <v>46116</v>
      </c>
      <c r="P579" t="s">
        <v>5574</v>
      </c>
      <c r="Q579" t="str">
        <f>SUBSTITUTE(SUBSTITUTE(SUBSTITUTE(P579," ",""),"-",""),"+","")</f>
        <v>00816126031</v>
      </c>
      <c r="R579" t="str">
        <f t="shared" si="16"/>
        <v>0816126031</v>
      </c>
      <c r="S579" t="str">
        <f>IF(LEN(R579),"Valid","Invalid")</f>
        <v>Valid</v>
      </c>
      <c r="T579" t="s">
        <v>5573</v>
      </c>
      <c r="V579" t="s">
        <v>123</v>
      </c>
      <c r="X579">
        <v>15484.62</v>
      </c>
      <c r="Y579" t="s">
        <v>63</v>
      </c>
      <c r="Z579">
        <v>270</v>
      </c>
      <c r="AA579">
        <f t="shared" si="17"/>
        <v>270</v>
      </c>
      <c r="AB579" t="s">
        <v>50</v>
      </c>
    </row>
    <row r="580" spans="1:28" x14ac:dyDescent="0.3">
      <c r="A580" t="s">
        <v>5572</v>
      </c>
      <c r="B580" t="s">
        <v>5571</v>
      </c>
      <c r="C580" t="s">
        <v>5571</v>
      </c>
      <c r="D580" t="s">
        <v>1</v>
      </c>
      <c r="E580">
        <v>86</v>
      </c>
      <c r="F580">
        <v>86</v>
      </c>
      <c r="G580" t="s">
        <v>80</v>
      </c>
      <c r="H580" t="s">
        <v>80</v>
      </c>
      <c r="I580" t="s">
        <v>85</v>
      </c>
      <c r="J580" t="s">
        <v>85</v>
      </c>
      <c r="K580" s="1">
        <v>46025</v>
      </c>
      <c r="L580" s="1" t="str">
        <f>IF(K580&gt;O580,"Valid","Invalid")</f>
        <v>Valid</v>
      </c>
      <c r="M580" s="1" t="b">
        <f>ISNUMBER(K580)</f>
        <v>1</v>
      </c>
      <c r="N580" s="1" t="b">
        <f>ISNUMBER(O580)</f>
        <v>1</v>
      </c>
      <c r="O580" s="1">
        <v>46007</v>
      </c>
      <c r="P580" t="s">
        <v>5570</v>
      </c>
      <c r="Q580" t="str">
        <f>SUBSTITUTE(SUBSTITUTE(SUBSTITUTE(P580," ",""),"-",""),"+","")</f>
        <v>05651981992</v>
      </c>
      <c r="R580" t="str">
        <f t="shared" si="16"/>
        <v>5651981992</v>
      </c>
      <c r="S580" t="str">
        <f>IF(LEN(R580),"Valid","Invalid")</f>
        <v>Valid</v>
      </c>
      <c r="T580" t="s">
        <v>5569</v>
      </c>
      <c r="V580" t="s">
        <v>35</v>
      </c>
      <c r="X580">
        <v>2504.3200000000002</v>
      </c>
      <c r="Y580" t="s">
        <v>123</v>
      </c>
      <c r="Z580">
        <v>149</v>
      </c>
      <c r="AA580">
        <f t="shared" si="17"/>
        <v>149</v>
      </c>
      <c r="AB580" t="s">
        <v>16</v>
      </c>
    </row>
    <row r="581" spans="1:28" x14ac:dyDescent="0.3">
      <c r="A581" t="s">
        <v>5568</v>
      </c>
      <c r="B581" t="s">
        <v>5567</v>
      </c>
      <c r="C581" t="s">
        <v>5567</v>
      </c>
      <c r="D581" t="s">
        <v>22</v>
      </c>
      <c r="E581">
        <v>88</v>
      </c>
      <c r="F581">
        <v>88</v>
      </c>
      <c r="G581" t="s">
        <v>68</v>
      </c>
      <c r="H581" t="s">
        <v>68</v>
      </c>
      <c r="I581" t="s">
        <v>85</v>
      </c>
      <c r="J581" t="s">
        <v>85</v>
      </c>
      <c r="K581" s="1">
        <v>46102</v>
      </c>
      <c r="L581" s="1" t="str">
        <f>IF(K581&gt;O581,"Valid","Invalid")</f>
        <v>Valid</v>
      </c>
      <c r="M581" s="1" t="b">
        <f>ISNUMBER(K581)</f>
        <v>1</v>
      </c>
      <c r="N581" s="1" t="b">
        <f>ISNUMBER(O581)</f>
        <v>1</v>
      </c>
      <c r="O581" s="1">
        <v>46095</v>
      </c>
      <c r="P581" t="s">
        <v>5566</v>
      </c>
      <c r="Q581" t="str">
        <f>SUBSTITUTE(SUBSTITUTE(SUBSTITUTE(P581," ",""),"-",""),"+","")</f>
        <v>7521751800</v>
      </c>
      <c r="R581" t="str">
        <f t="shared" ref="R581:R644" si="18">RIGHT(Q581,10)</f>
        <v>7521751800</v>
      </c>
      <c r="S581" t="str">
        <f>IF(LEN(R581),"Valid","Invalid")</f>
        <v>Valid</v>
      </c>
      <c r="T581" t="s">
        <v>5565</v>
      </c>
      <c r="V581" t="s">
        <v>17</v>
      </c>
      <c r="X581">
        <v>3764.3</v>
      </c>
      <c r="Y581" t="s">
        <v>63</v>
      </c>
      <c r="Z581">
        <v>286</v>
      </c>
      <c r="AA581">
        <f t="shared" ref="AA581:AA644" si="19">IF(Z581="Room-x",0,Z581)</f>
        <v>286</v>
      </c>
      <c r="AB581" t="s">
        <v>16</v>
      </c>
    </row>
    <row r="582" spans="1:28" x14ac:dyDescent="0.3">
      <c r="A582" t="s">
        <v>5564</v>
      </c>
      <c r="B582" t="s">
        <v>5563</v>
      </c>
      <c r="C582" t="s">
        <v>5563</v>
      </c>
      <c r="D582" t="s">
        <v>0</v>
      </c>
      <c r="E582">
        <v>90</v>
      </c>
      <c r="F582">
        <v>90</v>
      </c>
      <c r="G582" t="s">
        <v>31</v>
      </c>
      <c r="H582" t="s">
        <v>31</v>
      </c>
      <c r="I582" t="s">
        <v>67</v>
      </c>
      <c r="J582" t="s">
        <v>67</v>
      </c>
      <c r="K582" s="1">
        <v>46058</v>
      </c>
      <c r="L582" s="1" t="str">
        <f>IF(K582&gt;O582,"Valid","Invalid")</f>
        <v>Valid</v>
      </c>
      <c r="M582" s="1" t="b">
        <f>ISNUMBER(K582)</f>
        <v>1</v>
      </c>
      <c r="N582" s="1" t="b">
        <f>ISNUMBER(O582)</f>
        <v>1</v>
      </c>
      <c r="O582" s="1">
        <v>46044</v>
      </c>
      <c r="P582" t="s">
        <v>5562</v>
      </c>
      <c r="Q582" t="str">
        <f>SUBSTITUTE(SUBSTITUTE(SUBSTITUTE(P582," ",""),"-",""),"+","")</f>
        <v>1790420894</v>
      </c>
      <c r="R582" t="str">
        <f t="shared" si="18"/>
        <v>1790420894</v>
      </c>
      <c r="S582" t="str">
        <f>IF(LEN(R582),"Valid","Invalid")</f>
        <v>Valid</v>
      </c>
      <c r="T582" t="s">
        <v>5561</v>
      </c>
      <c r="V582" t="s">
        <v>123</v>
      </c>
      <c r="X582">
        <v>950.55</v>
      </c>
      <c r="Y582" t="s">
        <v>123</v>
      </c>
      <c r="Z582">
        <v>157</v>
      </c>
      <c r="AA582">
        <f t="shared" si="19"/>
        <v>157</v>
      </c>
      <c r="AB582" t="s">
        <v>43</v>
      </c>
    </row>
    <row r="583" spans="1:28" x14ac:dyDescent="0.3">
      <c r="A583" t="s">
        <v>5560</v>
      </c>
      <c r="B583" t="s">
        <v>5559</v>
      </c>
      <c r="C583" t="s">
        <v>5559</v>
      </c>
      <c r="E583">
        <v>60</v>
      </c>
      <c r="F583">
        <v>60</v>
      </c>
      <c r="G583" t="s">
        <v>39</v>
      </c>
      <c r="H583" t="s">
        <v>39</v>
      </c>
      <c r="I583" t="s">
        <v>30</v>
      </c>
      <c r="J583" t="s">
        <v>30</v>
      </c>
      <c r="K583" s="1">
        <v>46113</v>
      </c>
      <c r="L583" s="1" t="str">
        <f>IF(K583&gt;O583,"Valid","Invalid")</f>
        <v>Valid</v>
      </c>
      <c r="M583" s="1" t="b">
        <f>ISNUMBER(K583)</f>
        <v>1</v>
      </c>
      <c r="N583" s="1" t="b">
        <f>ISNUMBER(O583)</f>
        <v>1</v>
      </c>
      <c r="O583" s="1">
        <v>46089</v>
      </c>
      <c r="P583" t="s">
        <v>5558</v>
      </c>
      <c r="Q583" t="str">
        <f>SUBSTITUTE(SUBSTITUTE(SUBSTITUTE(P583," ",""),"-",""),"+","")</f>
        <v>07071738415</v>
      </c>
      <c r="R583" t="str">
        <f t="shared" si="18"/>
        <v>7071738415</v>
      </c>
      <c r="S583" t="str">
        <f>IF(LEN(R583),"Valid","Invalid")</f>
        <v>Valid</v>
      </c>
      <c r="T583" t="s">
        <v>5557</v>
      </c>
      <c r="V583" t="s">
        <v>57</v>
      </c>
      <c r="X583">
        <v>15190.12</v>
      </c>
      <c r="Y583" t="s">
        <v>26</v>
      </c>
      <c r="Z583">
        <v>360</v>
      </c>
      <c r="AA583">
        <f t="shared" si="19"/>
        <v>360</v>
      </c>
      <c r="AB583" t="s">
        <v>77</v>
      </c>
    </row>
    <row r="584" spans="1:28" x14ac:dyDescent="0.3">
      <c r="A584" t="s">
        <v>5556</v>
      </c>
      <c r="B584" t="s">
        <v>5555</v>
      </c>
      <c r="C584" t="s">
        <v>5555</v>
      </c>
      <c r="D584" t="s">
        <v>123</v>
      </c>
      <c r="E584">
        <v>14</v>
      </c>
      <c r="F584">
        <v>14</v>
      </c>
      <c r="G584" t="s">
        <v>31</v>
      </c>
      <c r="H584" t="s">
        <v>31</v>
      </c>
      <c r="I584" t="s">
        <v>20</v>
      </c>
      <c r="J584" t="s">
        <v>20</v>
      </c>
      <c r="K584" s="1">
        <v>46135</v>
      </c>
      <c r="L584" s="1" t="str">
        <f>IF(K584&gt;O584,"Valid","Invalid")</f>
        <v>Valid</v>
      </c>
      <c r="M584" s="1" t="b">
        <f>ISNUMBER(K584)</f>
        <v>1</v>
      </c>
      <c r="N584" s="1" t="b">
        <f>ISNUMBER(O584)</f>
        <v>1</v>
      </c>
      <c r="O584" s="1">
        <v>46110</v>
      </c>
      <c r="P584" t="s">
        <v>5554</v>
      </c>
      <c r="Q584" t="str">
        <f>SUBSTITUTE(SUBSTITUTE(SUBSTITUTE(P584," ",""),"-",""),"+","")</f>
        <v>08883761158</v>
      </c>
      <c r="R584" t="str">
        <f t="shared" si="18"/>
        <v>8883761158</v>
      </c>
      <c r="S584" t="str">
        <f>IF(LEN(R584),"Valid","Invalid")</f>
        <v>Valid</v>
      </c>
      <c r="T584" t="s">
        <v>5553</v>
      </c>
      <c r="V584" t="s">
        <v>26</v>
      </c>
      <c r="X584">
        <v>13412.09</v>
      </c>
      <c r="Y584" t="s">
        <v>123</v>
      </c>
      <c r="Z584">
        <v>402</v>
      </c>
      <c r="AA584">
        <f t="shared" si="19"/>
        <v>402</v>
      </c>
      <c r="AB584" t="s">
        <v>16</v>
      </c>
    </row>
    <row r="585" spans="1:28" x14ac:dyDescent="0.3">
      <c r="A585" t="s">
        <v>5552</v>
      </c>
      <c r="B585" t="s">
        <v>5551</v>
      </c>
      <c r="C585" t="s">
        <v>5551</v>
      </c>
      <c r="D585" t="s">
        <v>1</v>
      </c>
      <c r="E585">
        <v>80</v>
      </c>
      <c r="F585">
        <v>80</v>
      </c>
      <c r="G585" t="s">
        <v>21</v>
      </c>
      <c r="H585" t="s">
        <v>21</v>
      </c>
      <c r="I585" t="s">
        <v>53</v>
      </c>
      <c r="J585" t="s">
        <v>20</v>
      </c>
      <c r="K585" s="1">
        <v>46015</v>
      </c>
      <c r="L585" s="1" t="str">
        <f>IF(K585&gt;O585,"Valid","Invalid")</f>
        <v>Valid</v>
      </c>
      <c r="M585" s="1" t="b">
        <f>ISNUMBER(K585)</f>
        <v>1</v>
      </c>
      <c r="N585" s="1" t="b">
        <f>ISNUMBER(O585)</f>
        <v>1</v>
      </c>
      <c r="O585" s="1">
        <v>46000</v>
      </c>
      <c r="P585" t="s">
        <v>5550</v>
      </c>
      <c r="Q585" t="str">
        <f>SUBSTITUTE(SUBSTITUTE(SUBSTITUTE(P585," ",""),"-",""),"+","")</f>
        <v>05697892374</v>
      </c>
      <c r="R585" t="str">
        <f t="shared" si="18"/>
        <v>5697892374</v>
      </c>
      <c r="S585" t="str">
        <f>IF(LEN(R585),"Valid","Invalid")</f>
        <v>Valid</v>
      </c>
      <c r="T585" t="s">
        <v>5549</v>
      </c>
      <c r="V585" t="s">
        <v>123</v>
      </c>
      <c r="X585">
        <v>1838.29</v>
      </c>
      <c r="Y585" t="s">
        <v>57</v>
      </c>
      <c r="Z585">
        <v>516</v>
      </c>
      <c r="AA585">
        <f t="shared" si="19"/>
        <v>516</v>
      </c>
      <c r="AB585" t="s">
        <v>25</v>
      </c>
    </row>
    <row r="586" spans="1:28" x14ac:dyDescent="0.3">
      <c r="A586" t="s">
        <v>5548</v>
      </c>
      <c r="B586" t="s">
        <v>5547</v>
      </c>
      <c r="C586" t="s">
        <v>5547</v>
      </c>
      <c r="D586" t="s">
        <v>123</v>
      </c>
      <c r="E586">
        <v>56</v>
      </c>
      <c r="F586">
        <v>56</v>
      </c>
      <c r="G586" t="s">
        <v>31</v>
      </c>
      <c r="H586" t="s">
        <v>31</v>
      </c>
      <c r="I586" t="s">
        <v>38</v>
      </c>
      <c r="J586" t="s">
        <v>8077</v>
      </c>
      <c r="K586" s="1">
        <v>46138</v>
      </c>
      <c r="L586" s="1" t="str">
        <f>IF(K586&gt;O586,"Valid","Invalid")</f>
        <v>Valid</v>
      </c>
      <c r="M586" s="1" t="b">
        <f>ISNUMBER(K586)</f>
        <v>1</v>
      </c>
      <c r="N586" s="1" t="b">
        <f>ISNUMBER(O586)</f>
        <v>1</v>
      </c>
      <c r="O586" s="1">
        <v>46133</v>
      </c>
      <c r="P586" t="s">
        <v>5546</v>
      </c>
      <c r="Q586" t="str">
        <f>SUBSTITUTE(SUBSTITUTE(SUBSTITUTE(P586," ",""),"-",""),"+","")</f>
        <v>03462368808</v>
      </c>
      <c r="R586" t="str">
        <f t="shared" si="18"/>
        <v>3462368808</v>
      </c>
      <c r="S586" t="str">
        <f>IF(LEN(R586),"Valid","Invalid")</f>
        <v>Valid</v>
      </c>
      <c r="T586" t="s">
        <v>5545</v>
      </c>
      <c r="V586" t="s">
        <v>64</v>
      </c>
      <c r="X586">
        <v>18536.3</v>
      </c>
      <c r="Y586" t="s">
        <v>123</v>
      </c>
      <c r="Z586">
        <v>158</v>
      </c>
      <c r="AA586">
        <f t="shared" si="19"/>
        <v>158</v>
      </c>
      <c r="AB586" t="s">
        <v>34</v>
      </c>
    </row>
    <row r="587" spans="1:28" x14ac:dyDescent="0.3">
      <c r="A587" t="s">
        <v>5544</v>
      </c>
      <c r="B587" t="s">
        <v>5543</v>
      </c>
      <c r="C587" t="s">
        <v>5543</v>
      </c>
      <c r="E587">
        <v>42</v>
      </c>
      <c r="F587">
        <v>42</v>
      </c>
      <c r="G587" t="s">
        <v>80</v>
      </c>
      <c r="H587" t="s">
        <v>80</v>
      </c>
      <c r="I587" t="s">
        <v>85</v>
      </c>
      <c r="J587" t="s">
        <v>85</v>
      </c>
      <c r="K587" s="1">
        <v>46072</v>
      </c>
      <c r="L587" s="1" t="str">
        <f>IF(K587&gt;O587,"Valid","Invalid")</f>
        <v>Valid</v>
      </c>
      <c r="M587" s="1" t="b">
        <f>ISNUMBER(K587)</f>
        <v>1</v>
      </c>
      <c r="N587" s="1" t="b">
        <f>ISNUMBER(O587)</f>
        <v>1</v>
      </c>
      <c r="O587" s="1">
        <v>46067</v>
      </c>
      <c r="P587" t="s">
        <v>5542</v>
      </c>
      <c r="Q587" t="str">
        <f>SUBSTITUTE(SUBSTITUTE(SUBSTITUTE(P587," ",""),"-",""),"+","")</f>
        <v>3484058625</v>
      </c>
      <c r="R587" t="str">
        <f t="shared" si="18"/>
        <v>3484058625</v>
      </c>
      <c r="S587" t="str">
        <f>IF(LEN(R587),"Valid","Invalid")</f>
        <v>Valid</v>
      </c>
      <c r="T587" t="s">
        <v>5541</v>
      </c>
      <c r="V587" t="s">
        <v>26</v>
      </c>
      <c r="X587">
        <v>23905.91</v>
      </c>
      <c r="Y587" t="s">
        <v>64</v>
      </c>
      <c r="Z587">
        <v>406</v>
      </c>
      <c r="AA587">
        <f t="shared" si="19"/>
        <v>406</v>
      </c>
      <c r="AB587" t="s">
        <v>77</v>
      </c>
    </row>
    <row r="588" spans="1:28" x14ac:dyDescent="0.3">
      <c r="A588" t="s">
        <v>5540</v>
      </c>
      <c r="B588" t="s">
        <v>5539</v>
      </c>
      <c r="C588" t="s">
        <v>5539</v>
      </c>
      <c r="D588" t="s">
        <v>123</v>
      </c>
      <c r="E588">
        <v>42</v>
      </c>
      <c r="F588">
        <v>42</v>
      </c>
      <c r="G588" t="s">
        <v>68</v>
      </c>
      <c r="H588" t="s">
        <v>68</v>
      </c>
      <c r="I588" t="s">
        <v>46</v>
      </c>
      <c r="J588" t="s">
        <v>46</v>
      </c>
      <c r="K588" s="1">
        <v>46091</v>
      </c>
      <c r="L588" s="1" t="str">
        <f>IF(K588&gt;O588,"Valid","Invalid")</f>
        <v>Valid</v>
      </c>
      <c r="M588" s="1" t="b">
        <f>ISNUMBER(K588)</f>
        <v>1</v>
      </c>
      <c r="N588" s="1" t="b">
        <f>ISNUMBER(O588)</f>
        <v>1</v>
      </c>
      <c r="O588" s="1">
        <v>46089</v>
      </c>
      <c r="P588" t="s">
        <v>5538</v>
      </c>
      <c r="Q588" t="str">
        <f>SUBSTITUTE(SUBSTITUTE(SUBSTITUTE(P588," ",""),"-",""),"+","")</f>
        <v>0186910345</v>
      </c>
      <c r="R588" t="str">
        <f t="shared" si="18"/>
        <v>0186910345</v>
      </c>
      <c r="S588" t="str">
        <f>IF(LEN(R588),"Valid","Invalid")</f>
        <v>Valid</v>
      </c>
      <c r="T588" t="s">
        <v>5537</v>
      </c>
      <c r="V588" t="s">
        <v>17</v>
      </c>
      <c r="X588">
        <v>20462.43</v>
      </c>
      <c r="Y588" t="s">
        <v>27</v>
      </c>
      <c r="Z588">
        <v>487</v>
      </c>
      <c r="AA588">
        <f t="shared" si="19"/>
        <v>487</v>
      </c>
      <c r="AB588" t="s">
        <v>71</v>
      </c>
    </row>
    <row r="589" spans="1:28" x14ac:dyDescent="0.3">
      <c r="A589" t="s">
        <v>5532</v>
      </c>
      <c r="B589" t="s">
        <v>5531</v>
      </c>
      <c r="C589" t="s">
        <v>5531</v>
      </c>
      <c r="D589" t="s">
        <v>22</v>
      </c>
      <c r="E589">
        <v>56</v>
      </c>
      <c r="F589">
        <v>56</v>
      </c>
      <c r="G589" t="s">
        <v>31</v>
      </c>
      <c r="H589" t="s">
        <v>31</v>
      </c>
      <c r="I589" t="s">
        <v>20</v>
      </c>
      <c r="J589" t="s">
        <v>20</v>
      </c>
      <c r="K589" s="1">
        <v>46068</v>
      </c>
      <c r="L589" s="1" t="str">
        <f>IF(K589&gt;O589,"Valid","Invalid")</f>
        <v>Valid</v>
      </c>
      <c r="M589" s="1" t="b">
        <f>ISNUMBER(K589)</f>
        <v>1</v>
      </c>
      <c r="N589" s="1" t="b">
        <f>ISNUMBER(O589)</f>
        <v>1</v>
      </c>
      <c r="O589" s="1">
        <v>46050</v>
      </c>
      <c r="P589" t="s">
        <v>5530</v>
      </c>
      <c r="Q589" t="str">
        <f>SUBSTITUTE(SUBSTITUTE(SUBSTITUTE(P589," ",""),"-",""),"+","")</f>
        <v>914024422127</v>
      </c>
      <c r="R589" t="str">
        <f t="shared" si="18"/>
        <v>4024422127</v>
      </c>
      <c r="S589" t="str">
        <f>IF(LEN(R589),"Valid","Invalid")</f>
        <v>Valid</v>
      </c>
      <c r="T589" t="s">
        <v>5529</v>
      </c>
      <c r="V589" t="s">
        <v>27</v>
      </c>
      <c r="X589">
        <v>15364.97</v>
      </c>
      <c r="Y589" t="s">
        <v>123</v>
      </c>
      <c r="Z589">
        <v>533</v>
      </c>
      <c r="AA589">
        <f t="shared" si="19"/>
        <v>533</v>
      </c>
      <c r="AB589" t="s">
        <v>71</v>
      </c>
    </row>
    <row r="590" spans="1:28" x14ac:dyDescent="0.3">
      <c r="A590" t="s">
        <v>5524</v>
      </c>
      <c r="B590" t="s">
        <v>5523</v>
      </c>
      <c r="C590" t="s">
        <v>5523</v>
      </c>
      <c r="D590" t="s">
        <v>1</v>
      </c>
      <c r="E590">
        <v>56</v>
      </c>
      <c r="F590">
        <v>56</v>
      </c>
      <c r="G590" t="s">
        <v>54</v>
      </c>
      <c r="H590" t="s">
        <v>54</v>
      </c>
      <c r="I590" t="s">
        <v>67</v>
      </c>
      <c r="J590" t="s">
        <v>67</v>
      </c>
      <c r="K590" s="1">
        <v>46038</v>
      </c>
      <c r="L590" s="1" t="str">
        <f>IF(K590&gt;O590,"Valid","Invalid")</f>
        <v>Valid</v>
      </c>
      <c r="M590" s="1" t="b">
        <f>ISNUMBER(K590)</f>
        <v>1</v>
      </c>
      <c r="N590" s="1" t="b">
        <f>ISNUMBER(O590)</f>
        <v>1</v>
      </c>
      <c r="O590" s="1">
        <v>46016</v>
      </c>
      <c r="P590" t="s">
        <v>5522</v>
      </c>
      <c r="Q590" t="str">
        <f>SUBSTITUTE(SUBSTITUTE(SUBSTITUTE(P590," ",""),"-",""),"+","")</f>
        <v>8458453288</v>
      </c>
      <c r="R590" t="str">
        <f t="shared" si="18"/>
        <v>8458453288</v>
      </c>
      <c r="S590" t="str">
        <f>IF(LEN(R590),"Valid","Invalid")</f>
        <v>Valid</v>
      </c>
      <c r="T590" t="s">
        <v>5521</v>
      </c>
      <c r="V590" t="s">
        <v>123</v>
      </c>
      <c r="X590">
        <v>10269.61</v>
      </c>
      <c r="Y590" t="s">
        <v>123</v>
      </c>
      <c r="Z590">
        <v>379</v>
      </c>
      <c r="AA590">
        <f t="shared" si="19"/>
        <v>379</v>
      </c>
      <c r="AB590" t="s">
        <v>71</v>
      </c>
    </row>
    <row r="591" spans="1:28" x14ac:dyDescent="0.3">
      <c r="A591" t="s">
        <v>5520</v>
      </c>
      <c r="B591" t="s">
        <v>5519</v>
      </c>
      <c r="C591" t="s">
        <v>5519</v>
      </c>
      <c r="D591" t="s">
        <v>0</v>
      </c>
      <c r="E591">
        <v>61</v>
      </c>
      <c r="F591">
        <v>61</v>
      </c>
      <c r="G591" t="s">
        <v>39</v>
      </c>
      <c r="H591" t="s">
        <v>39</v>
      </c>
      <c r="I591" t="s">
        <v>38</v>
      </c>
      <c r="J591" t="s">
        <v>8077</v>
      </c>
      <c r="K591" s="1">
        <v>46049</v>
      </c>
      <c r="L591" s="1" t="str">
        <f>IF(K591&gt;O591,"Valid","Invalid")</f>
        <v>Valid</v>
      </c>
      <c r="M591" s="1" t="b">
        <f>ISNUMBER(K591)</f>
        <v>1</v>
      </c>
      <c r="N591" s="1" t="b">
        <f>ISNUMBER(O591)</f>
        <v>1</v>
      </c>
      <c r="O591" s="1">
        <v>46032</v>
      </c>
      <c r="P591" t="s">
        <v>5518</v>
      </c>
      <c r="Q591" t="str">
        <f>SUBSTITUTE(SUBSTITUTE(SUBSTITUTE(P591," ",""),"-",""),"+","")</f>
        <v>915752072077</v>
      </c>
      <c r="R591" t="str">
        <f t="shared" si="18"/>
        <v>5752072077</v>
      </c>
      <c r="S591" t="str">
        <f>IF(LEN(R591),"Valid","Invalid")</f>
        <v>Valid</v>
      </c>
      <c r="T591" t="s">
        <v>5517</v>
      </c>
      <c r="V591" t="s">
        <v>123</v>
      </c>
      <c r="X591">
        <v>21114.53</v>
      </c>
      <c r="Y591" t="s">
        <v>17</v>
      </c>
      <c r="Z591">
        <v>530</v>
      </c>
      <c r="AA591">
        <f t="shared" si="19"/>
        <v>530</v>
      </c>
      <c r="AB591" t="s">
        <v>16</v>
      </c>
    </row>
    <row r="592" spans="1:28" x14ac:dyDescent="0.3">
      <c r="A592" t="s">
        <v>5512</v>
      </c>
      <c r="B592" t="s">
        <v>5511</v>
      </c>
      <c r="C592" t="s">
        <v>5511</v>
      </c>
      <c r="D592" t="s">
        <v>123</v>
      </c>
      <c r="E592">
        <v>18</v>
      </c>
      <c r="F592">
        <v>18</v>
      </c>
      <c r="G592" t="s">
        <v>80</v>
      </c>
      <c r="H592" t="s">
        <v>80</v>
      </c>
      <c r="I592" t="s">
        <v>53</v>
      </c>
      <c r="J592" t="s">
        <v>20</v>
      </c>
      <c r="K592" s="1">
        <v>46150</v>
      </c>
      <c r="L592" s="1" t="str">
        <f>IF(K592&gt;O592,"Valid","Invalid")</f>
        <v>Valid</v>
      </c>
      <c r="M592" s="1" t="b">
        <f>ISNUMBER(K592)</f>
        <v>1</v>
      </c>
      <c r="N592" s="1" t="b">
        <f>ISNUMBER(O592)</f>
        <v>1</v>
      </c>
      <c r="O592" s="1">
        <v>46130</v>
      </c>
      <c r="P592" t="s">
        <v>5510</v>
      </c>
      <c r="Q592" t="str">
        <f>SUBSTITUTE(SUBSTITUTE(SUBSTITUTE(P592," ",""),"-",""),"+","")</f>
        <v>07839878858</v>
      </c>
      <c r="R592" t="str">
        <f t="shared" si="18"/>
        <v>7839878858</v>
      </c>
      <c r="S592" t="str">
        <f>IF(LEN(R592),"Valid","Invalid")</f>
        <v>Valid</v>
      </c>
      <c r="T592" t="s">
        <v>5509</v>
      </c>
      <c r="V592" t="s">
        <v>123</v>
      </c>
      <c r="X592">
        <v>21531.79</v>
      </c>
      <c r="Y592" t="s">
        <v>123</v>
      </c>
      <c r="Z592">
        <v>419</v>
      </c>
      <c r="AA592">
        <f t="shared" si="19"/>
        <v>419</v>
      </c>
      <c r="AB592" t="s">
        <v>71</v>
      </c>
    </row>
    <row r="593" spans="1:28" x14ac:dyDescent="0.3">
      <c r="A593" t="s">
        <v>5508</v>
      </c>
      <c r="B593" t="s">
        <v>5507</v>
      </c>
      <c r="C593" t="s">
        <v>5507</v>
      </c>
      <c r="E593">
        <v>66</v>
      </c>
      <c r="F593">
        <v>66</v>
      </c>
      <c r="G593" t="s">
        <v>54</v>
      </c>
      <c r="H593" t="s">
        <v>54</v>
      </c>
      <c r="I593" t="s">
        <v>85</v>
      </c>
      <c r="J593" t="s">
        <v>85</v>
      </c>
      <c r="K593" s="1">
        <v>46061</v>
      </c>
      <c r="L593" s="1" t="str">
        <f>IF(K593&gt;O593,"Valid","Invalid")</f>
        <v>Valid</v>
      </c>
      <c r="M593" s="1" t="b">
        <f>ISNUMBER(K593)</f>
        <v>1</v>
      </c>
      <c r="N593" s="1" t="b">
        <f>ISNUMBER(O593)</f>
        <v>1</v>
      </c>
      <c r="O593" s="1">
        <v>46049</v>
      </c>
      <c r="P593" t="s">
        <v>5506</v>
      </c>
      <c r="Q593" t="str">
        <f>SUBSTITUTE(SUBSTITUTE(SUBSTITUTE(P593," ",""),"-",""),"+","")</f>
        <v>00497495991</v>
      </c>
      <c r="R593" t="str">
        <f t="shared" si="18"/>
        <v>0497495991</v>
      </c>
      <c r="S593" t="str">
        <f>IF(LEN(R593),"Valid","Invalid")</f>
        <v>Valid</v>
      </c>
      <c r="T593" t="s">
        <v>5505</v>
      </c>
      <c r="V593" t="s">
        <v>57</v>
      </c>
      <c r="X593">
        <v>5798.37</v>
      </c>
      <c r="Y593" t="s">
        <v>123</v>
      </c>
      <c r="Z593">
        <v>409</v>
      </c>
      <c r="AA593">
        <f t="shared" si="19"/>
        <v>409</v>
      </c>
      <c r="AB593" t="s">
        <v>77</v>
      </c>
    </row>
    <row r="594" spans="1:28" x14ac:dyDescent="0.3">
      <c r="A594" t="s">
        <v>5504</v>
      </c>
      <c r="B594" t="s">
        <v>5503</v>
      </c>
      <c r="C594" t="s">
        <v>5503</v>
      </c>
      <c r="E594">
        <v>31</v>
      </c>
      <c r="F594">
        <v>31</v>
      </c>
      <c r="G594" t="s">
        <v>132</v>
      </c>
      <c r="H594" t="s">
        <v>132</v>
      </c>
      <c r="I594" t="s">
        <v>90</v>
      </c>
      <c r="J594" t="s">
        <v>67</v>
      </c>
      <c r="K594" s="1">
        <v>46162</v>
      </c>
      <c r="L594" s="1" t="str">
        <f>IF(K594&gt;O594,"Valid","Invalid")</f>
        <v>Valid</v>
      </c>
      <c r="M594" s="1" t="b">
        <f>ISNUMBER(K594)</f>
        <v>1</v>
      </c>
      <c r="N594" s="1" t="b">
        <f>ISNUMBER(O594)</f>
        <v>1</v>
      </c>
      <c r="O594" s="1">
        <v>46133</v>
      </c>
      <c r="P594" t="s">
        <v>5502</v>
      </c>
      <c r="Q594" t="str">
        <f>SUBSTITUTE(SUBSTITUTE(SUBSTITUTE(P594," ",""),"-",""),"+","")</f>
        <v>09968333692</v>
      </c>
      <c r="R594" t="str">
        <f t="shared" si="18"/>
        <v>9968333692</v>
      </c>
      <c r="S594" t="str">
        <f>IF(LEN(R594),"Valid","Invalid")</f>
        <v>Valid</v>
      </c>
      <c r="T594" t="s">
        <v>5501</v>
      </c>
      <c r="V594" t="s">
        <v>57</v>
      </c>
      <c r="X594">
        <v>1029.8499999999999</v>
      </c>
      <c r="Y594" t="s">
        <v>27</v>
      </c>
      <c r="Z594">
        <v>390</v>
      </c>
      <c r="AA594">
        <f t="shared" si="19"/>
        <v>390</v>
      </c>
      <c r="AB594" t="s">
        <v>16</v>
      </c>
    </row>
    <row r="595" spans="1:28" x14ac:dyDescent="0.3">
      <c r="A595" t="s">
        <v>5500</v>
      </c>
      <c r="B595" t="s">
        <v>5499</v>
      </c>
      <c r="C595" t="s">
        <v>5499</v>
      </c>
      <c r="D595" t="s">
        <v>60</v>
      </c>
      <c r="E595">
        <v>15</v>
      </c>
      <c r="F595">
        <v>15</v>
      </c>
      <c r="G595" t="s">
        <v>68</v>
      </c>
      <c r="H595" t="s">
        <v>68</v>
      </c>
      <c r="I595" t="s">
        <v>20</v>
      </c>
      <c r="J595" t="s">
        <v>20</v>
      </c>
      <c r="K595" s="1">
        <v>46029</v>
      </c>
      <c r="L595" s="1" t="str">
        <f>IF(K595&gt;O595,"Valid","Invalid")</f>
        <v>Valid</v>
      </c>
      <c r="M595" s="1" t="b">
        <f>ISNUMBER(K595)</f>
        <v>1</v>
      </c>
      <c r="N595" s="1" t="b">
        <f>ISNUMBER(O595)</f>
        <v>1</v>
      </c>
      <c r="O595" s="1">
        <v>46025</v>
      </c>
      <c r="P595" t="s">
        <v>5498</v>
      </c>
      <c r="Q595" t="str">
        <f>SUBSTITUTE(SUBSTITUTE(SUBSTITUTE(P595," ",""),"-",""),"+","")</f>
        <v>09330395176</v>
      </c>
      <c r="R595" t="str">
        <f t="shared" si="18"/>
        <v>9330395176</v>
      </c>
      <c r="S595" t="str">
        <f>IF(LEN(R595),"Valid","Invalid")</f>
        <v>Valid</v>
      </c>
      <c r="T595" t="s">
        <v>5497</v>
      </c>
      <c r="V595" t="s">
        <v>26</v>
      </c>
      <c r="X595">
        <v>11730.42</v>
      </c>
      <c r="Y595" t="s">
        <v>64</v>
      </c>
      <c r="Z595">
        <v>367</v>
      </c>
      <c r="AA595">
        <f t="shared" si="19"/>
        <v>367</v>
      </c>
      <c r="AB595" t="s">
        <v>34</v>
      </c>
    </row>
    <row r="596" spans="1:28" x14ac:dyDescent="0.3">
      <c r="A596" t="s">
        <v>5496</v>
      </c>
      <c r="B596" t="s">
        <v>5495</v>
      </c>
      <c r="C596" t="s">
        <v>8051</v>
      </c>
      <c r="D596" t="s">
        <v>74</v>
      </c>
      <c r="E596">
        <v>32</v>
      </c>
      <c r="F596">
        <v>32</v>
      </c>
      <c r="G596" t="s">
        <v>68</v>
      </c>
      <c r="H596" t="s">
        <v>68</v>
      </c>
      <c r="I596" t="s">
        <v>20</v>
      </c>
      <c r="J596" t="s">
        <v>20</v>
      </c>
      <c r="K596" s="1">
        <v>46016</v>
      </c>
      <c r="L596" s="1" t="str">
        <f>IF(K596&gt;O596,"Valid","Invalid")</f>
        <v>Valid</v>
      </c>
      <c r="M596" s="1" t="b">
        <f>ISNUMBER(K596)</f>
        <v>1</v>
      </c>
      <c r="N596" s="1" t="b">
        <f>ISNUMBER(O596)</f>
        <v>1</v>
      </c>
      <c r="O596" s="1">
        <v>45995</v>
      </c>
      <c r="P596" t="s">
        <v>5494</v>
      </c>
      <c r="Q596" t="str">
        <f>SUBSTITUTE(SUBSTITUTE(SUBSTITUTE(P596," ",""),"-",""),"+","")</f>
        <v>09903478868</v>
      </c>
      <c r="R596" t="str">
        <f t="shared" si="18"/>
        <v>9903478868</v>
      </c>
      <c r="S596" t="str">
        <f>IF(LEN(R596),"Valid","Invalid")</f>
        <v>Valid</v>
      </c>
      <c r="T596" t="s">
        <v>5493</v>
      </c>
      <c r="V596" t="s">
        <v>26</v>
      </c>
      <c r="X596" t="s">
        <v>488</v>
      </c>
      <c r="Y596" t="s">
        <v>17</v>
      </c>
      <c r="Z596">
        <v>373</v>
      </c>
      <c r="AA596">
        <f t="shared" si="19"/>
        <v>373</v>
      </c>
      <c r="AB596" t="s">
        <v>50</v>
      </c>
    </row>
    <row r="597" spans="1:28" x14ac:dyDescent="0.3">
      <c r="A597" t="s">
        <v>5492</v>
      </c>
      <c r="B597" t="s">
        <v>5491</v>
      </c>
      <c r="C597" t="s">
        <v>5491</v>
      </c>
      <c r="D597" t="s">
        <v>40</v>
      </c>
      <c r="E597">
        <v>61</v>
      </c>
      <c r="F597">
        <v>61</v>
      </c>
      <c r="G597" t="s">
        <v>68</v>
      </c>
      <c r="H597" t="s">
        <v>68</v>
      </c>
      <c r="I597" t="s">
        <v>85</v>
      </c>
      <c r="J597" t="s">
        <v>85</v>
      </c>
      <c r="K597" s="1">
        <v>46070</v>
      </c>
      <c r="L597" s="1" t="str">
        <f>IF(K597&gt;O597,"Valid","Invalid")</f>
        <v>Valid</v>
      </c>
      <c r="M597" s="1" t="b">
        <f>ISNUMBER(K597)</f>
        <v>1</v>
      </c>
      <c r="N597" s="1" t="b">
        <f>ISNUMBER(O597)</f>
        <v>1</v>
      </c>
      <c r="O597" s="1">
        <v>46052</v>
      </c>
      <c r="P597" t="s">
        <v>5490</v>
      </c>
      <c r="Q597" t="str">
        <f>SUBSTITUTE(SUBSTITUTE(SUBSTITUTE(P597," ",""),"-",""),"+","")</f>
        <v>1470359032</v>
      </c>
      <c r="R597" t="str">
        <f t="shared" si="18"/>
        <v>1470359032</v>
      </c>
      <c r="S597" t="str">
        <f>IF(LEN(R597),"Valid","Invalid")</f>
        <v>Valid</v>
      </c>
      <c r="T597" t="s">
        <v>5489</v>
      </c>
      <c r="V597" t="s">
        <v>57</v>
      </c>
      <c r="X597">
        <v>10641.2</v>
      </c>
      <c r="Y597" t="s">
        <v>63</v>
      </c>
      <c r="Z597">
        <v>248</v>
      </c>
      <c r="AA597">
        <f t="shared" si="19"/>
        <v>248</v>
      </c>
      <c r="AB597" t="s">
        <v>71</v>
      </c>
    </row>
    <row r="598" spans="1:28" x14ac:dyDescent="0.3">
      <c r="A598" t="s">
        <v>5488</v>
      </c>
      <c r="B598" t="s">
        <v>5487</v>
      </c>
      <c r="C598" t="s">
        <v>5487</v>
      </c>
      <c r="D598" t="s">
        <v>40</v>
      </c>
      <c r="E598">
        <v>89</v>
      </c>
      <c r="F598">
        <v>89</v>
      </c>
      <c r="G598" t="s">
        <v>132</v>
      </c>
      <c r="H598" t="s">
        <v>132</v>
      </c>
      <c r="I598" t="s">
        <v>30</v>
      </c>
      <c r="J598" t="s">
        <v>30</v>
      </c>
      <c r="K598" s="1">
        <v>46016</v>
      </c>
      <c r="L598" s="1" t="str">
        <f>IF(K598&gt;O598,"Valid","Invalid")</f>
        <v>Valid</v>
      </c>
      <c r="M598" s="1" t="b">
        <f>ISNUMBER(K598)</f>
        <v>1</v>
      </c>
      <c r="N598" s="1" t="b">
        <f>ISNUMBER(O598)</f>
        <v>1</v>
      </c>
      <c r="O598" s="1">
        <v>46015</v>
      </c>
      <c r="P598" t="s">
        <v>5486</v>
      </c>
      <c r="Q598" t="str">
        <f>SUBSTITUTE(SUBSTITUTE(SUBSTITUTE(P598," ",""),"-",""),"+","")</f>
        <v>910225631558</v>
      </c>
      <c r="R598" t="str">
        <f t="shared" si="18"/>
        <v>0225631558</v>
      </c>
      <c r="S598" t="str">
        <f>IF(LEN(R598),"Valid","Invalid")</f>
        <v>Valid</v>
      </c>
      <c r="T598" t="s">
        <v>5485</v>
      </c>
      <c r="V598" t="s">
        <v>123</v>
      </c>
      <c r="X598">
        <v>14537.9</v>
      </c>
      <c r="Y598" t="s">
        <v>27</v>
      </c>
      <c r="Z598">
        <v>436</v>
      </c>
      <c r="AA598">
        <f t="shared" si="19"/>
        <v>436</v>
      </c>
      <c r="AB598" t="s">
        <v>43</v>
      </c>
    </row>
    <row r="599" spans="1:28" x14ac:dyDescent="0.3">
      <c r="A599" t="s">
        <v>5484</v>
      </c>
      <c r="B599" t="s">
        <v>5483</v>
      </c>
      <c r="C599" t="s">
        <v>5483</v>
      </c>
      <c r="D599" t="s">
        <v>40</v>
      </c>
      <c r="E599">
        <v>37</v>
      </c>
      <c r="F599">
        <v>37</v>
      </c>
      <c r="G599" t="s">
        <v>68</v>
      </c>
      <c r="H599" t="s">
        <v>68</v>
      </c>
      <c r="I599" t="s">
        <v>20</v>
      </c>
      <c r="J599" t="s">
        <v>20</v>
      </c>
      <c r="K599" s="1">
        <v>46092</v>
      </c>
      <c r="L599" s="1" t="str">
        <f>IF(K599&gt;O599,"Valid","Invalid")</f>
        <v>Valid</v>
      </c>
      <c r="M599" s="1" t="b">
        <f>ISNUMBER(K599)</f>
        <v>1</v>
      </c>
      <c r="N599" s="1" t="b">
        <f>ISNUMBER(O599)</f>
        <v>1</v>
      </c>
      <c r="O599" s="1">
        <v>46088</v>
      </c>
      <c r="P599" t="s">
        <v>5482</v>
      </c>
      <c r="Q599" t="str">
        <f>SUBSTITUTE(SUBSTITUTE(SUBSTITUTE(P599," ",""),"-",""),"+","")</f>
        <v>7914903042</v>
      </c>
      <c r="R599" t="str">
        <f t="shared" si="18"/>
        <v>7914903042</v>
      </c>
      <c r="S599" t="str">
        <f>IF(LEN(R599),"Valid","Invalid")</f>
        <v>Valid</v>
      </c>
      <c r="T599" t="s">
        <v>5481</v>
      </c>
      <c r="V599" t="s">
        <v>64</v>
      </c>
      <c r="X599">
        <v>21315.84</v>
      </c>
      <c r="Y599" t="s">
        <v>63</v>
      </c>
      <c r="Z599">
        <v>229</v>
      </c>
      <c r="AA599">
        <f t="shared" si="19"/>
        <v>229</v>
      </c>
      <c r="AB599" t="s">
        <v>71</v>
      </c>
    </row>
    <row r="600" spans="1:28" x14ac:dyDescent="0.3">
      <c r="A600" t="s">
        <v>5480</v>
      </c>
      <c r="B600" t="s">
        <v>5479</v>
      </c>
      <c r="C600" t="s">
        <v>5479</v>
      </c>
      <c r="D600" t="s">
        <v>22</v>
      </c>
      <c r="E600">
        <v>36</v>
      </c>
      <c r="F600">
        <v>36</v>
      </c>
      <c r="G600" t="s">
        <v>132</v>
      </c>
      <c r="H600" t="s">
        <v>132</v>
      </c>
      <c r="I600" t="s">
        <v>46</v>
      </c>
      <c r="J600" t="s">
        <v>46</v>
      </c>
      <c r="K600" s="1">
        <v>46119</v>
      </c>
      <c r="L600" s="1" t="str">
        <f>IF(K600&gt;O600,"Valid","Invalid")</f>
        <v>Valid</v>
      </c>
      <c r="M600" s="1" t="b">
        <f>ISNUMBER(K600)</f>
        <v>1</v>
      </c>
      <c r="N600" s="1" t="b">
        <f>ISNUMBER(O600)</f>
        <v>1</v>
      </c>
      <c r="O600" s="1">
        <v>46096</v>
      </c>
      <c r="P600" t="s">
        <v>5478</v>
      </c>
      <c r="Q600" t="str">
        <f>SUBSTITUTE(SUBSTITUTE(SUBSTITUTE(P600," ",""),"-",""),"+","")</f>
        <v>09003166455</v>
      </c>
      <c r="R600" t="str">
        <f t="shared" si="18"/>
        <v>9003166455</v>
      </c>
      <c r="S600" t="str">
        <f>IF(LEN(R600),"Valid","Invalid")</f>
        <v>Valid</v>
      </c>
      <c r="T600" t="s">
        <v>5477</v>
      </c>
      <c r="V600" t="s">
        <v>64</v>
      </c>
      <c r="X600">
        <v>15174.77</v>
      </c>
      <c r="Y600" t="s">
        <v>26</v>
      </c>
      <c r="Z600">
        <v>437</v>
      </c>
      <c r="AA600">
        <f t="shared" si="19"/>
        <v>437</v>
      </c>
      <c r="AB600" t="s">
        <v>16</v>
      </c>
    </row>
    <row r="601" spans="1:28" x14ac:dyDescent="0.3">
      <c r="A601" t="s">
        <v>5476</v>
      </c>
      <c r="B601" t="s">
        <v>5475</v>
      </c>
      <c r="C601" t="s">
        <v>5475</v>
      </c>
      <c r="D601" t="s">
        <v>60</v>
      </c>
      <c r="E601">
        <v>23</v>
      </c>
      <c r="F601">
        <v>23</v>
      </c>
      <c r="G601" t="s">
        <v>132</v>
      </c>
      <c r="H601" t="s">
        <v>132</v>
      </c>
      <c r="I601" t="s">
        <v>38</v>
      </c>
      <c r="J601" t="s">
        <v>8077</v>
      </c>
      <c r="K601" s="1">
        <v>46082</v>
      </c>
      <c r="L601" s="1" t="str">
        <f>IF(K601&gt;O601,"Valid","Invalid")</f>
        <v>Valid</v>
      </c>
      <c r="M601" s="1" t="b">
        <f>ISNUMBER(K601)</f>
        <v>1</v>
      </c>
      <c r="N601" s="1" t="b">
        <f>ISNUMBER(O601)</f>
        <v>1</v>
      </c>
      <c r="O601" s="1">
        <v>46067</v>
      </c>
      <c r="P601" t="s">
        <v>5474</v>
      </c>
      <c r="Q601" t="str">
        <f>SUBSTITUTE(SUBSTITUTE(SUBSTITUTE(P601," ",""),"-",""),"+","")</f>
        <v>5977216758</v>
      </c>
      <c r="R601" t="str">
        <f t="shared" si="18"/>
        <v>5977216758</v>
      </c>
      <c r="S601" t="str">
        <f>IF(LEN(R601),"Valid","Invalid")</f>
        <v>Valid</v>
      </c>
      <c r="T601" t="s">
        <v>5473</v>
      </c>
      <c r="V601" t="s">
        <v>35</v>
      </c>
      <c r="X601">
        <v>20024.43</v>
      </c>
      <c r="Y601" t="s">
        <v>27</v>
      </c>
      <c r="Z601">
        <v>275</v>
      </c>
      <c r="AA601">
        <f t="shared" si="19"/>
        <v>275</v>
      </c>
      <c r="AB601" t="s">
        <v>77</v>
      </c>
    </row>
    <row r="602" spans="1:28" x14ac:dyDescent="0.3">
      <c r="A602" t="s">
        <v>5472</v>
      </c>
      <c r="B602" t="s">
        <v>5471</v>
      </c>
      <c r="C602" t="s">
        <v>5471</v>
      </c>
      <c r="D602" t="s">
        <v>0</v>
      </c>
      <c r="E602">
        <v>77</v>
      </c>
      <c r="F602">
        <v>77</v>
      </c>
      <c r="G602" t="s">
        <v>39</v>
      </c>
      <c r="H602" t="s">
        <v>39</v>
      </c>
      <c r="I602" t="s">
        <v>85</v>
      </c>
      <c r="J602" t="s">
        <v>85</v>
      </c>
      <c r="K602" s="1">
        <v>46060</v>
      </c>
      <c r="L602" s="1" t="str">
        <f>IF(K602&gt;O602,"Valid","Invalid")</f>
        <v>Valid</v>
      </c>
      <c r="M602" s="1" t="b">
        <f>ISNUMBER(K602)</f>
        <v>1</v>
      </c>
      <c r="N602" s="1" t="b">
        <f>ISNUMBER(O602)</f>
        <v>1</v>
      </c>
      <c r="O602" s="1">
        <v>46036</v>
      </c>
      <c r="P602" t="s">
        <v>5470</v>
      </c>
      <c r="Q602" t="str">
        <f>SUBSTITUTE(SUBSTITUTE(SUBSTITUTE(P602," ",""),"-",""),"+","")</f>
        <v>04371956553</v>
      </c>
      <c r="R602" t="str">
        <f t="shared" si="18"/>
        <v>4371956553</v>
      </c>
      <c r="S602" t="str">
        <f>IF(LEN(R602),"Valid","Invalid")</f>
        <v>Valid</v>
      </c>
      <c r="T602" t="s">
        <v>5469</v>
      </c>
      <c r="V602" t="s">
        <v>123</v>
      </c>
      <c r="X602">
        <v>19305.12</v>
      </c>
      <c r="Y602" t="s">
        <v>57</v>
      </c>
      <c r="Z602">
        <v>438</v>
      </c>
      <c r="AA602">
        <f t="shared" si="19"/>
        <v>438</v>
      </c>
      <c r="AB602" t="s">
        <v>16</v>
      </c>
    </row>
    <row r="603" spans="1:28" x14ac:dyDescent="0.3">
      <c r="A603" t="s">
        <v>5468</v>
      </c>
      <c r="B603" t="s">
        <v>5467</v>
      </c>
      <c r="C603" t="s">
        <v>5467</v>
      </c>
      <c r="D603" t="s">
        <v>0</v>
      </c>
      <c r="E603">
        <v>27</v>
      </c>
      <c r="F603">
        <v>27</v>
      </c>
      <c r="G603" t="s">
        <v>31</v>
      </c>
      <c r="H603" t="s">
        <v>31</v>
      </c>
      <c r="I603" t="s">
        <v>46</v>
      </c>
      <c r="J603" t="s">
        <v>46</v>
      </c>
      <c r="K603" s="1">
        <v>46139</v>
      </c>
      <c r="L603" s="1" t="str">
        <f>IF(K603&gt;O603,"Valid","Invalid")</f>
        <v>Valid</v>
      </c>
      <c r="M603" s="1" t="b">
        <f>ISNUMBER(K603)</f>
        <v>1</v>
      </c>
      <c r="N603" s="1" t="b">
        <f>ISNUMBER(O603)</f>
        <v>1</v>
      </c>
      <c r="O603" s="1">
        <v>46119</v>
      </c>
      <c r="P603" t="s">
        <v>5466</v>
      </c>
      <c r="Q603" t="str">
        <f>SUBSTITUTE(SUBSTITUTE(SUBSTITUTE(P603," ",""),"-",""),"+","")</f>
        <v>09065135599</v>
      </c>
      <c r="R603" t="str">
        <f t="shared" si="18"/>
        <v>9065135599</v>
      </c>
      <c r="S603" t="str">
        <f>IF(LEN(R603),"Valid","Invalid")</f>
        <v>Valid</v>
      </c>
      <c r="T603" t="s">
        <v>5465</v>
      </c>
      <c r="V603" t="s">
        <v>26</v>
      </c>
      <c r="X603">
        <v>18936</v>
      </c>
      <c r="Y603" t="s">
        <v>64</v>
      </c>
      <c r="Z603">
        <v>126</v>
      </c>
      <c r="AA603">
        <f t="shared" si="19"/>
        <v>126</v>
      </c>
      <c r="AB603" t="s">
        <v>71</v>
      </c>
    </row>
    <row r="604" spans="1:28" x14ac:dyDescent="0.3">
      <c r="A604" t="s">
        <v>5464</v>
      </c>
      <c r="B604" t="s">
        <v>5463</v>
      </c>
      <c r="C604" t="s">
        <v>5463</v>
      </c>
      <c r="E604">
        <v>52</v>
      </c>
      <c r="F604">
        <v>52</v>
      </c>
      <c r="G604" t="s">
        <v>68</v>
      </c>
      <c r="H604" t="s">
        <v>68</v>
      </c>
      <c r="I604" t="s">
        <v>30</v>
      </c>
      <c r="J604" t="s">
        <v>30</v>
      </c>
      <c r="K604" s="1">
        <v>46113</v>
      </c>
      <c r="L604" s="1" t="str">
        <f>IF(K604&gt;O604,"Valid","Invalid")</f>
        <v>Valid</v>
      </c>
      <c r="M604" s="1" t="b">
        <f>ISNUMBER(K604)</f>
        <v>1</v>
      </c>
      <c r="N604" s="1" t="b">
        <f>ISNUMBER(O604)</f>
        <v>1</v>
      </c>
      <c r="O604" s="1">
        <v>46098</v>
      </c>
      <c r="P604" t="s">
        <v>5462</v>
      </c>
      <c r="Q604" t="str">
        <f>SUBSTITUTE(SUBSTITUTE(SUBSTITUTE(P604," ",""),"-",""),"+","")</f>
        <v>9301211896</v>
      </c>
      <c r="R604" t="str">
        <f t="shared" si="18"/>
        <v>9301211896</v>
      </c>
      <c r="S604" t="str">
        <f>IF(LEN(R604),"Valid","Invalid")</f>
        <v>Valid</v>
      </c>
      <c r="T604" t="s">
        <v>5461</v>
      </c>
      <c r="V604" t="s">
        <v>17</v>
      </c>
      <c r="X604">
        <v>9619.06</v>
      </c>
      <c r="Y604" t="s">
        <v>123</v>
      </c>
      <c r="Z604">
        <v>342</v>
      </c>
      <c r="AA604">
        <f t="shared" si="19"/>
        <v>342</v>
      </c>
      <c r="AB604" t="s">
        <v>43</v>
      </c>
    </row>
    <row r="605" spans="1:28" x14ac:dyDescent="0.3">
      <c r="A605" t="s">
        <v>5460</v>
      </c>
      <c r="B605" t="s">
        <v>5459</v>
      </c>
      <c r="C605" t="s">
        <v>5459</v>
      </c>
      <c r="D605" t="s">
        <v>0</v>
      </c>
      <c r="E605">
        <v>68</v>
      </c>
      <c r="F605">
        <v>68</v>
      </c>
      <c r="G605" t="s">
        <v>54</v>
      </c>
      <c r="H605" t="s">
        <v>54</v>
      </c>
      <c r="I605" t="s">
        <v>46</v>
      </c>
      <c r="J605" t="s">
        <v>46</v>
      </c>
      <c r="K605" s="1">
        <v>46080</v>
      </c>
      <c r="L605" s="1" t="str">
        <f>IF(K605&gt;O605,"Valid","Invalid")</f>
        <v>Valid</v>
      </c>
      <c r="M605" s="1" t="b">
        <f>ISNUMBER(K605)</f>
        <v>1</v>
      </c>
      <c r="N605" s="1" t="b">
        <f>ISNUMBER(O605)</f>
        <v>1</v>
      </c>
      <c r="O605" s="1">
        <v>46071</v>
      </c>
      <c r="P605" t="s">
        <v>5458</v>
      </c>
      <c r="Q605" t="str">
        <f>SUBSTITUTE(SUBSTITUTE(SUBSTITUTE(P605," ",""),"-",""),"+","")</f>
        <v>910356130310</v>
      </c>
      <c r="R605" t="str">
        <f t="shared" si="18"/>
        <v>0356130310</v>
      </c>
      <c r="S605" t="str">
        <f>IF(LEN(R605),"Valid","Invalid")</f>
        <v>Valid</v>
      </c>
      <c r="T605" t="s">
        <v>5457</v>
      </c>
      <c r="V605" t="s">
        <v>123</v>
      </c>
      <c r="X605">
        <v>9673.7000000000007</v>
      </c>
      <c r="Y605" t="s">
        <v>17</v>
      </c>
      <c r="Z605">
        <v>371</v>
      </c>
      <c r="AA605">
        <f t="shared" si="19"/>
        <v>371</v>
      </c>
      <c r="AB605" t="s">
        <v>25</v>
      </c>
    </row>
    <row r="606" spans="1:28" x14ac:dyDescent="0.3">
      <c r="A606" t="s">
        <v>5456</v>
      </c>
      <c r="B606" t="s">
        <v>5455</v>
      </c>
      <c r="C606" t="s">
        <v>5455</v>
      </c>
      <c r="D606" t="s">
        <v>40</v>
      </c>
      <c r="E606">
        <v>13</v>
      </c>
      <c r="F606">
        <v>13</v>
      </c>
      <c r="G606" t="s">
        <v>31</v>
      </c>
      <c r="H606" t="s">
        <v>31</v>
      </c>
      <c r="I606" t="s">
        <v>90</v>
      </c>
      <c r="J606" t="s">
        <v>67</v>
      </c>
      <c r="K606" s="1">
        <v>46164</v>
      </c>
      <c r="L606" s="1" t="str">
        <f>IF(K606&gt;O606,"Valid","Invalid")</f>
        <v>Valid</v>
      </c>
      <c r="M606" s="1" t="b">
        <f>ISNUMBER(K606)</f>
        <v>1</v>
      </c>
      <c r="N606" s="1" t="b">
        <f>ISNUMBER(O606)</f>
        <v>1</v>
      </c>
      <c r="O606" s="1">
        <v>46145</v>
      </c>
      <c r="P606" t="s">
        <v>5454</v>
      </c>
      <c r="Q606" t="str">
        <f>SUBSTITUTE(SUBSTITUTE(SUBSTITUTE(P606," ",""),"-",""),"+","")</f>
        <v>910162802018</v>
      </c>
      <c r="R606" t="str">
        <f t="shared" si="18"/>
        <v>0162802018</v>
      </c>
      <c r="S606" t="str">
        <f>IF(LEN(R606),"Valid","Invalid")</f>
        <v>Valid</v>
      </c>
      <c r="T606" t="s">
        <v>123</v>
      </c>
      <c r="V606" t="s">
        <v>26</v>
      </c>
      <c r="X606">
        <v>-500</v>
      </c>
      <c r="Y606" t="s">
        <v>63</v>
      </c>
      <c r="Z606">
        <v>510</v>
      </c>
      <c r="AA606">
        <f t="shared" si="19"/>
        <v>510</v>
      </c>
      <c r="AB606" t="s">
        <v>77</v>
      </c>
    </row>
    <row r="607" spans="1:28" x14ac:dyDescent="0.3">
      <c r="A607" t="s">
        <v>5453</v>
      </c>
      <c r="B607" t="s">
        <v>5452</v>
      </c>
      <c r="C607" t="s">
        <v>5452</v>
      </c>
      <c r="D607" t="s">
        <v>22</v>
      </c>
      <c r="E607">
        <v>84</v>
      </c>
      <c r="F607">
        <v>84</v>
      </c>
      <c r="G607" t="s">
        <v>54</v>
      </c>
      <c r="H607" t="s">
        <v>54</v>
      </c>
      <c r="I607" t="s">
        <v>85</v>
      </c>
      <c r="J607" t="s">
        <v>85</v>
      </c>
      <c r="K607" s="1">
        <v>46106</v>
      </c>
      <c r="L607" s="1" t="str">
        <f>IF(K607&gt;O607,"Valid","Invalid")</f>
        <v>Valid</v>
      </c>
      <c r="M607" s="1" t="b">
        <f>ISNUMBER(K607)</f>
        <v>1</v>
      </c>
      <c r="N607" s="1" t="b">
        <f>ISNUMBER(O607)</f>
        <v>1</v>
      </c>
      <c r="O607" s="1">
        <v>46082</v>
      </c>
      <c r="P607" t="s">
        <v>5451</v>
      </c>
      <c r="Q607" t="str">
        <f>SUBSTITUTE(SUBSTITUTE(SUBSTITUTE(P607," ",""),"-",""),"+","")</f>
        <v>8971325230</v>
      </c>
      <c r="R607" t="str">
        <f t="shared" si="18"/>
        <v>8971325230</v>
      </c>
      <c r="S607" t="str">
        <f>IF(LEN(R607),"Valid","Invalid")</f>
        <v>Valid</v>
      </c>
      <c r="T607" t="s">
        <v>5450</v>
      </c>
      <c r="V607" t="s">
        <v>17</v>
      </c>
      <c r="X607">
        <v>18410.97</v>
      </c>
      <c r="Y607" t="s">
        <v>57</v>
      </c>
      <c r="Z607">
        <v>366</v>
      </c>
      <c r="AA607">
        <f t="shared" si="19"/>
        <v>366</v>
      </c>
      <c r="AB607" t="s">
        <v>43</v>
      </c>
    </row>
    <row r="608" spans="1:28" x14ac:dyDescent="0.3">
      <c r="A608" t="s">
        <v>5449</v>
      </c>
      <c r="B608" t="s">
        <v>5448</v>
      </c>
      <c r="C608" t="s">
        <v>5448</v>
      </c>
      <c r="D608" t="s">
        <v>0</v>
      </c>
      <c r="E608">
        <v>41</v>
      </c>
      <c r="F608">
        <v>41</v>
      </c>
      <c r="G608" t="s">
        <v>47</v>
      </c>
      <c r="H608" t="s">
        <v>47</v>
      </c>
      <c r="I608" t="s">
        <v>46</v>
      </c>
      <c r="J608" t="s">
        <v>46</v>
      </c>
      <c r="K608" s="1">
        <v>46076</v>
      </c>
      <c r="L608" s="1" t="str">
        <f>IF(K608&gt;O608,"Valid","Invalid")</f>
        <v>Valid</v>
      </c>
      <c r="M608" s="1" t="b">
        <f>ISNUMBER(K608)</f>
        <v>1</v>
      </c>
      <c r="N608" s="1" t="b">
        <f>ISNUMBER(O608)</f>
        <v>1</v>
      </c>
      <c r="O608" s="1">
        <v>46050</v>
      </c>
      <c r="P608" t="s">
        <v>5447</v>
      </c>
      <c r="Q608" t="str">
        <f>SUBSTITUTE(SUBSTITUTE(SUBSTITUTE(P608," ",""),"-",""),"+","")</f>
        <v>05844086906</v>
      </c>
      <c r="R608" t="str">
        <f t="shared" si="18"/>
        <v>5844086906</v>
      </c>
      <c r="S608" t="str">
        <f>IF(LEN(R608),"Valid","Invalid")</f>
        <v>Valid</v>
      </c>
      <c r="T608" t="s">
        <v>5446</v>
      </c>
      <c r="V608" t="s">
        <v>64</v>
      </c>
      <c r="X608">
        <v>496.64</v>
      </c>
      <c r="Y608" t="s">
        <v>64</v>
      </c>
      <c r="Z608">
        <v>368</v>
      </c>
      <c r="AA608">
        <f t="shared" si="19"/>
        <v>368</v>
      </c>
      <c r="AB608" t="s">
        <v>77</v>
      </c>
    </row>
    <row r="609" spans="1:28" x14ac:dyDescent="0.3">
      <c r="A609" t="s">
        <v>5445</v>
      </c>
      <c r="B609" t="s">
        <v>5444</v>
      </c>
      <c r="C609" t="s">
        <v>5444</v>
      </c>
      <c r="E609">
        <v>45</v>
      </c>
      <c r="F609">
        <v>45</v>
      </c>
      <c r="G609" t="s">
        <v>21</v>
      </c>
      <c r="H609" t="s">
        <v>21</v>
      </c>
      <c r="I609" t="s">
        <v>30</v>
      </c>
      <c r="J609" t="s">
        <v>30</v>
      </c>
      <c r="K609" s="1">
        <v>46005</v>
      </c>
      <c r="L609" s="1" t="str">
        <f>IF(K609&gt;O609,"Valid","Invalid")</f>
        <v>Valid</v>
      </c>
      <c r="M609" s="1" t="b">
        <f>ISNUMBER(K609)</f>
        <v>1</v>
      </c>
      <c r="N609" s="1" t="b">
        <f>ISNUMBER(O609)</f>
        <v>1</v>
      </c>
      <c r="O609" s="1">
        <v>45997</v>
      </c>
      <c r="P609" t="s">
        <v>5443</v>
      </c>
      <c r="Q609" t="str">
        <f>SUBSTITUTE(SUBSTITUTE(SUBSTITUTE(P609," ",""),"-",""),"+","")</f>
        <v>06940208188</v>
      </c>
      <c r="R609" t="str">
        <f t="shared" si="18"/>
        <v>6940208188</v>
      </c>
      <c r="S609" t="str">
        <f>IF(LEN(R609),"Valid","Invalid")</f>
        <v>Valid</v>
      </c>
      <c r="T609" t="s">
        <v>5442</v>
      </c>
      <c r="V609" t="s">
        <v>17</v>
      </c>
      <c r="X609">
        <v>1044.24</v>
      </c>
      <c r="Y609" t="s">
        <v>64</v>
      </c>
      <c r="Z609">
        <v>129</v>
      </c>
      <c r="AA609">
        <f t="shared" si="19"/>
        <v>129</v>
      </c>
      <c r="AB609" t="s">
        <v>34</v>
      </c>
    </row>
    <row r="610" spans="1:28" x14ac:dyDescent="0.3">
      <c r="A610" t="s">
        <v>5441</v>
      </c>
      <c r="B610" t="s">
        <v>5440</v>
      </c>
      <c r="C610" t="s">
        <v>5440</v>
      </c>
      <c r="D610" t="s">
        <v>1</v>
      </c>
      <c r="E610">
        <v>77</v>
      </c>
      <c r="F610">
        <v>77</v>
      </c>
      <c r="G610" t="s">
        <v>80</v>
      </c>
      <c r="H610" t="s">
        <v>80</v>
      </c>
      <c r="I610" t="s">
        <v>20</v>
      </c>
      <c r="J610" t="s">
        <v>20</v>
      </c>
      <c r="K610" s="1">
        <v>46115</v>
      </c>
      <c r="L610" s="1" t="str">
        <f>IF(K610&gt;O610,"Valid","Invalid")</f>
        <v>Valid</v>
      </c>
      <c r="M610" s="1" t="b">
        <f>ISNUMBER(K610)</f>
        <v>1</v>
      </c>
      <c r="N610" s="1" t="b">
        <f>ISNUMBER(O610)</f>
        <v>1</v>
      </c>
      <c r="O610" s="1">
        <v>46113</v>
      </c>
      <c r="P610" t="s">
        <v>5439</v>
      </c>
      <c r="Q610" t="str">
        <f>SUBSTITUTE(SUBSTITUTE(SUBSTITUTE(P610," ",""),"-",""),"+","")</f>
        <v>919001739181</v>
      </c>
      <c r="R610" t="str">
        <f t="shared" si="18"/>
        <v>9001739181</v>
      </c>
      <c r="S610" t="str">
        <f>IF(LEN(R610),"Valid","Invalid")</f>
        <v>Valid</v>
      </c>
      <c r="T610" t="s">
        <v>5438</v>
      </c>
      <c r="V610" t="s">
        <v>35</v>
      </c>
      <c r="X610">
        <v>9523.77</v>
      </c>
      <c r="Y610" t="s">
        <v>26</v>
      </c>
      <c r="Z610">
        <v>156</v>
      </c>
      <c r="AA610">
        <f t="shared" si="19"/>
        <v>156</v>
      </c>
      <c r="AB610" t="s">
        <v>25</v>
      </c>
    </row>
    <row r="611" spans="1:28" x14ac:dyDescent="0.3">
      <c r="A611" t="s">
        <v>5437</v>
      </c>
      <c r="B611" t="s">
        <v>5436</v>
      </c>
      <c r="C611" t="s">
        <v>5436</v>
      </c>
      <c r="D611" t="s">
        <v>0</v>
      </c>
      <c r="E611">
        <v>33</v>
      </c>
      <c r="F611">
        <v>33</v>
      </c>
      <c r="G611" t="s">
        <v>132</v>
      </c>
      <c r="H611" t="s">
        <v>132</v>
      </c>
      <c r="I611" t="s">
        <v>85</v>
      </c>
      <c r="J611" t="s">
        <v>85</v>
      </c>
      <c r="K611" s="1">
        <v>46093</v>
      </c>
      <c r="L611" s="1" t="str">
        <f>IF(K611&gt;O611,"Valid","Invalid")</f>
        <v>Valid</v>
      </c>
      <c r="M611" s="1" t="b">
        <f>ISNUMBER(K611)</f>
        <v>1</v>
      </c>
      <c r="N611" s="1" t="b">
        <f>ISNUMBER(O611)</f>
        <v>1</v>
      </c>
      <c r="O611" s="1">
        <v>46072</v>
      </c>
      <c r="P611" t="s">
        <v>5435</v>
      </c>
      <c r="Q611" t="str">
        <f>SUBSTITUTE(SUBSTITUTE(SUBSTITUTE(P611," ",""),"-",""),"+","")</f>
        <v>918075453720</v>
      </c>
      <c r="R611" t="str">
        <f t="shared" si="18"/>
        <v>8075453720</v>
      </c>
      <c r="S611" t="str">
        <f>IF(LEN(R611),"Valid","Invalid")</f>
        <v>Valid</v>
      </c>
      <c r="T611" t="s">
        <v>5434</v>
      </c>
      <c r="V611" t="s">
        <v>64</v>
      </c>
      <c r="X611">
        <v>16041.76</v>
      </c>
      <c r="Y611" t="s">
        <v>63</v>
      </c>
      <c r="Z611">
        <v>493</v>
      </c>
      <c r="AA611">
        <f t="shared" si="19"/>
        <v>493</v>
      </c>
      <c r="AB611" t="s">
        <v>16</v>
      </c>
    </row>
    <row r="612" spans="1:28" x14ac:dyDescent="0.3">
      <c r="A612" t="s">
        <v>5433</v>
      </c>
      <c r="B612" t="s">
        <v>5432</v>
      </c>
      <c r="C612" t="s">
        <v>5432</v>
      </c>
      <c r="D612" t="s">
        <v>60</v>
      </c>
      <c r="E612">
        <v>33</v>
      </c>
      <c r="F612">
        <v>33</v>
      </c>
      <c r="G612" t="s">
        <v>39</v>
      </c>
      <c r="H612" t="s">
        <v>39</v>
      </c>
      <c r="I612" t="s">
        <v>20</v>
      </c>
      <c r="J612" t="s">
        <v>20</v>
      </c>
      <c r="K612" s="1">
        <v>45994</v>
      </c>
      <c r="L612" s="1" t="str">
        <f>IF(K612&gt;O612,"Valid","Invalid")</f>
        <v>Valid</v>
      </c>
      <c r="M612" s="1" t="b">
        <f>ISNUMBER(K612)</f>
        <v>1</v>
      </c>
      <c r="N612" s="1" t="b">
        <f>ISNUMBER(O612)</f>
        <v>1</v>
      </c>
      <c r="O612" s="1">
        <v>45986</v>
      </c>
      <c r="P612" t="s">
        <v>5431</v>
      </c>
      <c r="Q612" t="str">
        <f>SUBSTITUTE(SUBSTITUTE(SUBSTITUTE(P612," ",""),"-",""),"+","")</f>
        <v>914673165874</v>
      </c>
      <c r="R612" t="str">
        <f t="shared" si="18"/>
        <v>4673165874</v>
      </c>
      <c r="S612" t="str">
        <f>IF(LEN(R612),"Valid","Invalid")</f>
        <v>Valid</v>
      </c>
      <c r="T612" t="s">
        <v>5430</v>
      </c>
      <c r="V612" t="s">
        <v>27</v>
      </c>
      <c r="X612">
        <v>9693.42</v>
      </c>
      <c r="Y612" t="s">
        <v>17</v>
      </c>
      <c r="Z612">
        <v>130</v>
      </c>
      <c r="AA612">
        <f t="shared" si="19"/>
        <v>130</v>
      </c>
      <c r="AB612" t="s">
        <v>43</v>
      </c>
    </row>
    <row r="613" spans="1:28" x14ac:dyDescent="0.3">
      <c r="A613" t="s">
        <v>5429</v>
      </c>
      <c r="B613" t="s">
        <v>5428</v>
      </c>
      <c r="C613" t="s">
        <v>5428</v>
      </c>
      <c r="D613" t="s">
        <v>22</v>
      </c>
      <c r="E613">
        <v>23</v>
      </c>
      <c r="F613">
        <v>23</v>
      </c>
      <c r="G613" t="s">
        <v>68</v>
      </c>
      <c r="H613" t="s">
        <v>68</v>
      </c>
      <c r="I613" t="s">
        <v>20</v>
      </c>
      <c r="J613" t="s">
        <v>20</v>
      </c>
      <c r="K613" s="1">
        <v>45992</v>
      </c>
      <c r="L613" s="1" t="str">
        <f>IF(K613&gt;O613,"Valid","Invalid")</f>
        <v>Valid</v>
      </c>
      <c r="M613" s="1" t="b">
        <f>ISNUMBER(K613)</f>
        <v>1</v>
      </c>
      <c r="N613" s="1" t="b">
        <f>ISNUMBER(O613)</f>
        <v>1</v>
      </c>
      <c r="O613" s="1">
        <v>45977</v>
      </c>
      <c r="P613" t="s">
        <v>5427</v>
      </c>
      <c r="Q613" t="str">
        <f>SUBSTITUTE(SUBSTITUTE(SUBSTITUTE(P613," ",""),"-",""),"+","")</f>
        <v>919740200924</v>
      </c>
      <c r="R613" t="str">
        <f t="shared" si="18"/>
        <v>9740200924</v>
      </c>
      <c r="S613" t="str">
        <f>IF(LEN(R613),"Valid","Invalid")</f>
        <v>Valid</v>
      </c>
      <c r="T613" t="s">
        <v>5426</v>
      </c>
      <c r="V613" t="s">
        <v>17</v>
      </c>
      <c r="X613">
        <v>15335.49</v>
      </c>
      <c r="Y613" t="s">
        <v>26</v>
      </c>
      <c r="Z613">
        <v>430</v>
      </c>
      <c r="AA613">
        <f t="shared" si="19"/>
        <v>430</v>
      </c>
      <c r="AB613" t="s">
        <v>16</v>
      </c>
    </row>
    <row r="614" spans="1:28" x14ac:dyDescent="0.3">
      <c r="A614" t="s">
        <v>5425</v>
      </c>
      <c r="B614" t="s">
        <v>5424</v>
      </c>
      <c r="C614" t="s">
        <v>5424</v>
      </c>
      <c r="D614" t="s">
        <v>74</v>
      </c>
      <c r="E614">
        <v>19</v>
      </c>
      <c r="F614">
        <v>19</v>
      </c>
      <c r="G614" t="s">
        <v>54</v>
      </c>
      <c r="H614" t="s">
        <v>54</v>
      </c>
      <c r="I614" t="s">
        <v>38</v>
      </c>
      <c r="J614" t="s">
        <v>8077</v>
      </c>
      <c r="K614" s="1">
        <v>46150</v>
      </c>
      <c r="L614" s="1" t="str">
        <f>IF(K614&gt;O614,"Valid","Invalid")</f>
        <v>Valid</v>
      </c>
      <c r="M614" s="1" t="b">
        <f>ISNUMBER(K614)</f>
        <v>1</v>
      </c>
      <c r="N614" s="1" t="b">
        <f>ISNUMBER(O614)</f>
        <v>1</v>
      </c>
      <c r="O614" s="1">
        <v>46131</v>
      </c>
      <c r="P614" t="s">
        <v>5423</v>
      </c>
      <c r="Q614" t="str">
        <f>SUBSTITUTE(SUBSTITUTE(SUBSTITUTE(P614," ",""),"-",""),"+","")</f>
        <v>913558708235</v>
      </c>
      <c r="R614" t="str">
        <f t="shared" si="18"/>
        <v>3558708235</v>
      </c>
      <c r="S614" t="str">
        <f>IF(LEN(R614),"Valid","Invalid")</f>
        <v>Valid</v>
      </c>
      <c r="T614" t="s">
        <v>5422</v>
      </c>
      <c r="V614" t="s">
        <v>64</v>
      </c>
      <c r="X614">
        <v>22832.71</v>
      </c>
      <c r="Y614" t="s">
        <v>63</v>
      </c>
      <c r="Z614">
        <v>152</v>
      </c>
      <c r="AA614">
        <f t="shared" si="19"/>
        <v>152</v>
      </c>
      <c r="AB614" t="s">
        <v>77</v>
      </c>
    </row>
    <row r="615" spans="1:28" x14ac:dyDescent="0.3">
      <c r="A615" t="s">
        <v>5413</v>
      </c>
      <c r="B615" t="s">
        <v>5412</v>
      </c>
      <c r="C615" t="s">
        <v>5412</v>
      </c>
      <c r="D615" t="s">
        <v>123</v>
      </c>
      <c r="E615">
        <v>9</v>
      </c>
      <c r="F615">
        <v>9</v>
      </c>
      <c r="G615" t="s">
        <v>21</v>
      </c>
      <c r="H615" t="s">
        <v>21</v>
      </c>
      <c r="I615" t="s">
        <v>46</v>
      </c>
      <c r="J615" t="s">
        <v>46</v>
      </c>
      <c r="K615" s="1">
        <v>46079</v>
      </c>
      <c r="L615" s="1" t="str">
        <f>IF(K615&gt;O615,"Valid","Invalid")</f>
        <v>Valid</v>
      </c>
      <c r="M615" s="1" t="b">
        <f>ISNUMBER(K615)</f>
        <v>1</v>
      </c>
      <c r="N615" s="1" t="b">
        <f>ISNUMBER(O615)</f>
        <v>1</v>
      </c>
      <c r="O615" s="1">
        <v>46067</v>
      </c>
      <c r="P615" t="s">
        <v>5411</v>
      </c>
      <c r="Q615" t="str">
        <f>SUBSTITUTE(SUBSTITUTE(SUBSTITUTE(P615," ",""),"-",""),"+","")</f>
        <v>914851071588</v>
      </c>
      <c r="R615" t="str">
        <f t="shared" si="18"/>
        <v>4851071588</v>
      </c>
      <c r="S615" t="str">
        <f>IF(LEN(R615),"Valid","Invalid")</f>
        <v>Valid</v>
      </c>
      <c r="T615" t="s">
        <v>5410</v>
      </c>
      <c r="V615" t="s">
        <v>123</v>
      </c>
      <c r="X615">
        <v>3205.85</v>
      </c>
      <c r="Y615" t="s">
        <v>17</v>
      </c>
      <c r="Z615">
        <v>270</v>
      </c>
      <c r="AA615">
        <f t="shared" si="19"/>
        <v>270</v>
      </c>
      <c r="AB615" t="s">
        <v>25</v>
      </c>
    </row>
    <row r="616" spans="1:28" x14ac:dyDescent="0.3">
      <c r="A616" t="s">
        <v>5409</v>
      </c>
      <c r="B616" t="s">
        <v>5408</v>
      </c>
      <c r="C616" t="s">
        <v>5408</v>
      </c>
      <c r="D616" t="s">
        <v>22</v>
      </c>
      <c r="E616">
        <v>52</v>
      </c>
      <c r="F616">
        <v>52</v>
      </c>
      <c r="G616" t="s">
        <v>47</v>
      </c>
      <c r="H616" t="s">
        <v>47</v>
      </c>
      <c r="I616" t="s">
        <v>20</v>
      </c>
      <c r="J616" t="s">
        <v>20</v>
      </c>
      <c r="K616" s="1">
        <v>46047</v>
      </c>
      <c r="L616" s="1" t="str">
        <f>IF(K616&gt;O616,"Valid","Invalid")</f>
        <v>Valid</v>
      </c>
      <c r="M616" s="1" t="b">
        <f>ISNUMBER(K616)</f>
        <v>1</v>
      </c>
      <c r="N616" s="1" t="b">
        <f>ISNUMBER(O616)</f>
        <v>1</v>
      </c>
      <c r="O616" s="1">
        <v>46036</v>
      </c>
      <c r="P616" t="s">
        <v>5407</v>
      </c>
      <c r="Q616" t="str">
        <f>SUBSTITUTE(SUBSTITUTE(SUBSTITUTE(P616," ",""),"-",""),"+","")</f>
        <v>8071442000</v>
      </c>
      <c r="R616" t="str">
        <f t="shared" si="18"/>
        <v>8071442000</v>
      </c>
      <c r="S616" t="str">
        <f>IF(LEN(R616),"Valid","Invalid")</f>
        <v>Valid</v>
      </c>
      <c r="T616" t="s">
        <v>5406</v>
      </c>
      <c r="V616" t="s">
        <v>57</v>
      </c>
      <c r="X616">
        <v>2195.33</v>
      </c>
      <c r="Y616" t="s">
        <v>123</v>
      </c>
      <c r="Z616">
        <v>489</v>
      </c>
      <c r="AA616">
        <f t="shared" si="19"/>
        <v>489</v>
      </c>
      <c r="AB616" t="s">
        <v>50</v>
      </c>
    </row>
    <row r="617" spans="1:28" x14ac:dyDescent="0.3">
      <c r="A617" t="s">
        <v>5405</v>
      </c>
      <c r="B617" t="s">
        <v>5404</v>
      </c>
      <c r="C617" t="s">
        <v>5404</v>
      </c>
      <c r="D617" t="s">
        <v>22</v>
      </c>
      <c r="E617">
        <v>83</v>
      </c>
      <c r="F617">
        <v>83</v>
      </c>
      <c r="G617" t="s">
        <v>21</v>
      </c>
      <c r="H617" t="s">
        <v>21</v>
      </c>
      <c r="I617" t="s">
        <v>53</v>
      </c>
      <c r="J617" t="s">
        <v>20</v>
      </c>
      <c r="K617" s="1">
        <v>46052</v>
      </c>
      <c r="L617" s="1" t="str">
        <f>IF(K617&gt;O617,"Valid","Invalid")</f>
        <v>Valid</v>
      </c>
      <c r="M617" s="1" t="b">
        <f>ISNUMBER(K617)</f>
        <v>1</v>
      </c>
      <c r="N617" s="1" t="b">
        <f>ISNUMBER(O617)</f>
        <v>1</v>
      </c>
      <c r="O617" s="1">
        <v>46035</v>
      </c>
      <c r="P617" t="s">
        <v>5403</v>
      </c>
      <c r="Q617" t="str">
        <f>SUBSTITUTE(SUBSTITUTE(SUBSTITUTE(P617," ",""),"-",""),"+","")</f>
        <v>1459632055</v>
      </c>
      <c r="R617" t="str">
        <f t="shared" si="18"/>
        <v>1459632055</v>
      </c>
      <c r="S617" t="str">
        <f>IF(LEN(R617),"Valid","Invalid")</f>
        <v>Valid</v>
      </c>
      <c r="T617" t="s">
        <v>5402</v>
      </c>
      <c r="V617" t="s">
        <v>27</v>
      </c>
      <c r="X617">
        <v>24194.32</v>
      </c>
      <c r="Y617" t="s">
        <v>57</v>
      </c>
      <c r="Z617">
        <v>253</v>
      </c>
      <c r="AA617">
        <f t="shared" si="19"/>
        <v>253</v>
      </c>
      <c r="AB617" t="s">
        <v>25</v>
      </c>
    </row>
    <row r="618" spans="1:28" x14ac:dyDescent="0.3">
      <c r="A618" t="s">
        <v>5401</v>
      </c>
      <c r="B618" t="s">
        <v>5400</v>
      </c>
      <c r="C618" t="s">
        <v>5400</v>
      </c>
      <c r="D618" t="s">
        <v>123</v>
      </c>
      <c r="E618">
        <v>14</v>
      </c>
      <c r="F618">
        <v>14</v>
      </c>
      <c r="G618" t="s">
        <v>31</v>
      </c>
      <c r="H618" t="s">
        <v>31</v>
      </c>
      <c r="I618" t="s">
        <v>85</v>
      </c>
      <c r="J618" t="s">
        <v>85</v>
      </c>
      <c r="K618" s="1">
        <v>46076</v>
      </c>
      <c r="L618" s="1" t="str">
        <f>IF(K618&gt;O618,"Valid","Invalid")</f>
        <v>Valid</v>
      </c>
      <c r="M618" s="1" t="b">
        <f>ISNUMBER(K618)</f>
        <v>1</v>
      </c>
      <c r="N618" s="1" t="b">
        <f>ISNUMBER(O618)</f>
        <v>1</v>
      </c>
      <c r="O618" s="1">
        <v>46074</v>
      </c>
      <c r="P618" t="s">
        <v>5399</v>
      </c>
      <c r="Q618" t="str">
        <f>SUBSTITUTE(SUBSTITUTE(SUBSTITUTE(P618," ",""),"-",""),"+","")</f>
        <v>918179209102</v>
      </c>
      <c r="R618" t="str">
        <f t="shared" si="18"/>
        <v>8179209102</v>
      </c>
      <c r="S618" t="str">
        <f>IF(LEN(R618),"Valid","Invalid")</f>
        <v>Valid</v>
      </c>
      <c r="T618" t="s">
        <v>5398</v>
      </c>
      <c r="V618" t="s">
        <v>123</v>
      </c>
      <c r="X618">
        <v>18436.04</v>
      </c>
      <c r="Y618" t="s">
        <v>26</v>
      </c>
      <c r="Z618">
        <v>118</v>
      </c>
      <c r="AA618">
        <f t="shared" si="19"/>
        <v>118</v>
      </c>
      <c r="AB618" t="s">
        <v>71</v>
      </c>
    </row>
    <row r="619" spans="1:28" x14ac:dyDescent="0.3">
      <c r="A619" t="s">
        <v>5397</v>
      </c>
      <c r="B619" t="s">
        <v>5396</v>
      </c>
      <c r="C619" t="s">
        <v>5396</v>
      </c>
      <c r="D619" t="s">
        <v>40</v>
      </c>
      <c r="E619">
        <v>76</v>
      </c>
      <c r="F619">
        <v>76</v>
      </c>
      <c r="G619" t="s">
        <v>21</v>
      </c>
      <c r="H619" t="s">
        <v>21</v>
      </c>
      <c r="I619" t="s">
        <v>85</v>
      </c>
      <c r="J619" t="s">
        <v>85</v>
      </c>
      <c r="K619" s="1">
        <v>46141</v>
      </c>
      <c r="L619" s="1" t="str">
        <f>IF(K619&gt;O619,"Valid","Invalid")</f>
        <v>Valid</v>
      </c>
      <c r="M619" s="1" t="b">
        <f>ISNUMBER(K619)</f>
        <v>1</v>
      </c>
      <c r="N619" s="1" t="b">
        <f>ISNUMBER(O619)</f>
        <v>1</v>
      </c>
      <c r="O619" s="1">
        <v>46129</v>
      </c>
      <c r="P619" t="s">
        <v>5395</v>
      </c>
      <c r="Q619" t="str">
        <f>SUBSTITUTE(SUBSTITUTE(SUBSTITUTE(P619," ",""),"-",""),"+","")</f>
        <v>6718880192</v>
      </c>
      <c r="R619" t="str">
        <f t="shared" si="18"/>
        <v>6718880192</v>
      </c>
      <c r="S619" t="str">
        <f>IF(LEN(R619),"Valid","Invalid")</f>
        <v>Valid</v>
      </c>
      <c r="T619" t="s">
        <v>5394</v>
      </c>
      <c r="V619" t="s">
        <v>64</v>
      </c>
      <c r="X619">
        <v>19859.93</v>
      </c>
      <c r="Y619" t="s">
        <v>63</v>
      </c>
      <c r="Z619">
        <v>355</v>
      </c>
      <c r="AA619">
        <f t="shared" si="19"/>
        <v>355</v>
      </c>
      <c r="AB619" t="s">
        <v>34</v>
      </c>
    </row>
    <row r="620" spans="1:28" x14ac:dyDescent="0.3">
      <c r="A620" t="s">
        <v>5393</v>
      </c>
      <c r="B620" t="s">
        <v>5392</v>
      </c>
      <c r="C620" t="s">
        <v>5392</v>
      </c>
      <c r="E620">
        <v>3</v>
      </c>
      <c r="F620">
        <v>3</v>
      </c>
      <c r="G620" t="s">
        <v>47</v>
      </c>
      <c r="H620" t="s">
        <v>47</v>
      </c>
      <c r="I620" t="s">
        <v>67</v>
      </c>
      <c r="J620" t="s">
        <v>67</v>
      </c>
      <c r="K620" s="1">
        <v>46073</v>
      </c>
      <c r="L620" s="1" t="str">
        <f>IF(K620&gt;O620,"Valid","Invalid")</f>
        <v>Valid</v>
      </c>
      <c r="M620" s="1" t="b">
        <f>ISNUMBER(K620)</f>
        <v>1</v>
      </c>
      <c r="N620" s="1" t="b">
        <f>ISNUMBER(O620)</f>
        <v>1</v>
      </c>
      <c r="O620" s="1">
        <v>46072</v>
      </c>
      <c r="P620" t="s">
        <v>5391</v>
      </c>
      <c r="Q620" t="str">
        <f>SUBSTITUTE(SUBSTITUTE(SUBSTITUTE(P620," ",""),"-",""),"+","")</f>
        <v>0633771743</v>
      </c>
      <c r="R620" t="str">
        <f t="shared" si="18"/>
        <v>0633771743</v>
      </c>
      <c r="S620" t="str">
        <f>IF(LEN(R620),"Valid","Invalid")</f>
        <v>Valid</v>
      </c>
      <c r="T620" t="s">
        <v>5390</v>
      </c>
      <c r="V620" t="s">
        <v>57</v>
      </c>
      <c r="X620">
        <v>19736.91</v>
      </c>
      <c r="Y620" t="s">
        <v>27</v>
      </c>
      <c r="Z620">
        <v>307</v>
      </c>
      <c r="AA620">
        <f t="shared" si="19"/>
        <v>307</v>
      </c>
      <c r="AB620" t="s">
        <v>77</v>
      </c>
    </row>
    <row r="621" spans="1:28" x14ac:dyDescent="0.3">
      <c r="A621" t="s">
        <v>5389</v>
      </c>
      <c r="B621" t="s">
        <v>5388</v>
      </c>
      <c r="C621" t="s">
        <v>5388</v>
      </c>
      <c r="D621" t="s">
        <v>1</v>
      </c>
      <c r="E621">
        <v>84</v>
      </c>
      <c r="F621">
        <v>84</v>
      </c>
      <c r="G621" t="s">
        <v>68</v>
      </c>
      <c r="H621" t="s">
        <v>68</v>
      </c>
      <c r="I621" t="s">
        <v>53</v>
      </c>
      <c r="J621" t="s">
        <v>20</v>
      </c>
      <c r="K621" s="1">
        <v>46017</v>
      </c>
      <c r="L621" s="1" t="str">
        <f>IF(K621&gt;O621,"Valid","Invalid")</f>
        <v>Valid</v>
      </c>
      <c r="M621" s="1" t="b">
        <f>ISNUMBER(K621)</f>
        <v>1</v>
      </c>
      <c r="N621" s="1" t="b">
        <f>ISNUMBER(O621)</f>
        <v>1</v>
      </c>
      <c r="O621" s="1">
        <v>45994</v>
      </c>
      <c r="P621" t="s">
        <v>5387</v>
      </c>
      <c r="Q621" t="str">
        <f>SUBSTITUTE(SUBSTITUTE(SUBSTITUTE(P621," ",""),"-",""),"+","")</f>
        <v>918021963074</v>
      </c>
      <c r="R621" t="str">
        <f t="shared" si="18"/>
        <v>8021963074</v>
      </c>
      <c r="S621" t="str">
        <f>IF(LEN(R621),"Valid","Invalid")</f>
        <v>Valid</v>
      </c>
      <c r="T621" t="s">
        <v>5386</v>
      </c>
      <c r="V621" t="s">
        <v>17</v>
      </c>
      <c r="X621">
        <v>23135.43</v>
      </c>
      <c r="Y621" t="s">
        <v>27</v>
      </c>
      <c r="Z621">
        <v>476</v>
      </c>
      <c r="AA621">
        <f t="shared" si="19"/>
        <v>476</v>
      </c>
      <c r="AB621" t="s">
        <v>71</v>
      </c>
    </row>
    <row r="622" spans="1:28" x14ac:dyDescent="0.3">
      <c r="A622" t="s">
        <v>5385</v>
      </c>
      <c r="B622" t="s">
        <v>5384</v>
      </c>
      <c r="C622" t="s">
        <v>5384</v>
      </c>
      <c r="E622">
        <v>84</v>
      </c>
      <c r="F622">
        <v>84</v>
      </c>
      <c r="G622" t="s">
        <v>47</v>
      </c>
      <c r="H622" t="s">
        <v>47</v>
      </c>
      <c r="I622" t="s">
        <v>85</v>
      </c>
      <c r="J622" t="s">
        <v>85</v>
      </c>
      <c r="K622" s="1">
        <v>46147</v>
      </c>
      <c r="L622" s="1" t="str">
        <f>IF(K622&gt;O622,"Valid","Invalid")</f>
        <v>Valid</v>
      </c>
      <c r="M622" s="1" t="b">
        <f>ISNUMBER(K622)</f>
        <v>1</v>
      </c>
      <c r="N622" s="1" t="b">
        <f>ISNUMBER(O622)</f>
        <v>1</v>
      </c>
      <c r="O622" s="1">
        <v>46118</v>
      </c>
      <c r="P622" t="s">
        <v>5383</v>
      </c>
      <c r="Q622" t="str">
        <f>SUBSTITUTE(SUBSTITUTE(SUBSTITUTE(P622," ",""),"-",""),"+","")</f>
        <v>8271307389</v>
      </c>
      <c r="R622" t="str">
        <f t="shared" si="18"/>
        <v>8271307389</v>
      </c>
      <c r="S622" t="str">
        <f>IF(LEN(R622),"Valid","Invalid")</f>
        <v>Valid</v>
      </c>
      <c r="T622" t="s">
        <v>5382</v>
      </c>
      <c r="V622" t="s">
        <v>27</v>
      </c>
      <c r="X622">
        <v>6218.53</v>
      </c>
      <c r="Y622" t="s">
        <v>26</v>
      </c>
      <c r="Z622">
        <v>107</v>
      </c>
      <c r="AA622">
        <f t="shared" si="19"/>
        <v>107</v>
      </c>
      <c r="AB622" t="s">
        <v>71</v>
      </c>
    </row>
    <row r="623" spans="1:28" x14ac:dyDescent="0.3">
      <c r="A623" t="s">
        <v>5381</v>
      </c>
      <c r="B623" t="s">
        <v>5380</v>
      </c>
      <c r="C623" t="s">
        <v>5380</v>
      </c>
      <c r="D623" t="s">
        <v>40</v>
      </c>
      <c r="E623">
        <v>40</v>
      </c>
      <c r="F623">
        <v>40</v>
      </c>
      <c r="G623" t="s">
        <v>80</v>
      </c>
      <c r="H623" t="s">
        <v>80</v>
      </c>
      <c r="I623" t="s">
        <v>85</v>
      </c>
      <c r="J623" t="s">
        <v>85</v>
      </c>
      <c r="K623" s="1">
        <v>46091</v>
      </c>
      <c r="L623" s="1" t="str">
        <f>IF(K623&gt;O623,"Valid","Invalid")</f>
        <v>Valid</v>
      </c>
      <c r="M623" s="1" t="b">
        <f>ISNUMBER(K623)</f>
        <v>1</v>
      </c>
      <c r="N623" s="1" t="b">
        <f>ISNUMBER(O623)</f>
        <v>1</v>
      </c>
      <c r="O623" s="1">
        <v>46072</v>
      </c>
      <c r="P623" t="s">
        <v>5379</v>
      </c>
      <c r="Q623" t="str">
        <f>SUBSTITUTE(SUBSTITUTE(SUBSTITUTE(P623," ",""),"-",""),"+","")</f>
        <v>919936253556</v>
      </c>
      <c r="R623" t="str">
        <f t="shared" si="18"/>
        <v>9936253556</v>
      </c>
      <c r="S623" t="str">
        <f>IF(LEN(R623),"Valid","Invalid")</f>
        <v>Valid</v>
      </c>
      <c r="T623" t="s">
        <v>5378</v>
      </c>
      <c r="V623" t="s">
        <v>35</v>
      </c>
      <c r="X623">
        <v>20916.73</v>
      </c>
      <c r="Y623" t="s">
        <v>64</v>
      </c>
      <c r="Z623">
        <v>518</v>
      </c>
      <c r="AA623">
        <f t="shared" si="19"/>
        <v>518</v>
      </c>
      <c r="AB623" t="s">
        <v>50</v>
      </c>
    </row>
    <row r="624" spans="1:28" x14ac:dyDescent="0.3">
      <c r="A624" t="s">
        <v>5377</v>
      </c>
      <c r="B624" t="s">
        <v>5376</v>
      </c>
      <c r="C624" t="s">
        <v>5376</v>
      </c>
      <c r="D624" t="s">
        <v>74</v>
      </c>
      <c r="E624">
        <v>15</v>
      </c>
      <c r="F624">
        <v>15</v>
      </c>
      <c r="G624" t="s">
        <v>68</v>
      </c>
      <c r="H624" t="s">
        <v>68</v>
      </c>
      <c r="I624" t="s">
        <v>38</v>
      </c>
      <c r="J624" t="s">
        <v>8077</v>
      </c>
      <c r="K624" s="1">
        <v>46050</v>
      </c>
      <c r="L624" s="1" t="str">
        <f>IF(K624&gt;O624,"Valid","Invalid")</f>
        <v>Valid</v>
      </c>
      <c r="M624" s="1" t="b">
        <f>ISNUMBER(K624)</f>
        <v>1</v>
      </c>
      <c r="N624" s="1" t="b">
        <f>ISNUMBER(O624)</f>
        <v>1</v>
      </c>
      <c r="O624" s="1">
        <v>46048</v>
      </c>
      <c r="P624" t="s">
        <v>5375</v>
      </c>
      <c r="Q624" t="str">
        <f>SUBSTITUTE(SUBSTITUTE(SUBSTITUTE(P624," ",""),"-",""),"+","")</f>
        <v>914811272229</v>
      </c>
      <c r="R624" t="str">
        <f t="shared" si="18"/>
        <v>4811272229</v>
      </c>
      <c r="S624" t="str">
        <f>IF(LEN(R624),"Valid","Invalid")</f>
        <v>Valid</v>
      </c>
      <c r="T624" t="s">
        <v>5374</v>
      </c>
      <c r="V624" t="s">
        <v>17</v>
      </c>
      <c r="X624">
        <v>10770.04</v>
      </c>
      <c r="Y624" t="s">
        <v>123</v>
      </c>
      <c r="Z624">
        <v>266</v>
      </c>
      <c r="AA624">
        <f t="shared" si="19"/>
        <v>266</v>
      </c>
      <c r="AB624" t="s">
        <v>77</v>
      </c>
    </row>
    <row r="625" spans="1:28" x14ac:dyDescent="0.3">
      <c r="A625" t="s">
        <v>5373</v>
      </c>
      <c r="B625" t="s">
        <v>5372</v>
      </c>
      <c r="C625" t="s">
        <v>5372</v>
      </c>
      <c r="D625" t="s">
        <v>0</v>
      </c>
      <c r="E625">
        <v>42</v>
      </c>
      <c r="F625">
        <v>42</v>
      </c>
      <c r="G625" t="s">
        <v>21</v>
      </c>
      <c r="H625" t="s">
        <v>21</v>
      </c>
      <c r="I625" t="s">
        <v>46</v>
      </c>
      <c r="J625" t="s">
        <v>46</v>
      </c>
      <c r="K625" s="1">
        <v>46103</v>
      </c>
      <c r="L625" s="1" t="str">
        <f>IF(K625&gt;O625,"Valid","Invalid")</f>
        <v>Valid</v>
      </c>
      <c r="M625" s="1" t="b">
        <f>ISNUMBER(K625)</f>
        <v>1</v>
      </c>
      <c r="N625" s="1" t="b">
        <f>ISNUMBER(O625)</f>
        <v>1</v>
      </c>
      <c r="O625" s="1">
        <v>46085</v>
      </c>
      <c r="P625" t="s">
        <v>5371</v>
      </c>
      <c r="Q625" t="str">
        <f>SUBSTITUTE(SUBSTITUTE(SUBSTITUTE(P625," ",""),"-",""),"+","")</f>
        <v>912835501294</v>
      </c>
      <c r="R625" t="str">
        <f t="shared" si="18"/>
        <v>2835501294</v>
      </c>
      <c r="S625" t="str">
        <f>IF(LEN(R625),"Valid","Invalid")</f>
        <v>Valid</v>
      </c>
      <c r="T625" t="s">
        <v>5370</v>
      </c>
      <c r="V625" t="s">
        <v>35</v>
      </c>
      <c r="X625">
        <v>8520.49</v>
      </c>
      <c r="Y625" t="s">
        <v>64</v>
      </c>
      <c r="Z625">
        <v>240</v>
      </c>
      <c r="AA625">
        <f t="shared" si="19"/>
        <v>240</v>
      </c>
      <c r="AB625" t="s">
        <v>71</v>
      </c>
    </row>
    <row r="626" spans="1:28" x14ac:dyDescent="0.3">
      <c r="A626" t="s">
        <v>5369</v>
      </c>
      <c r="B626" t="s">
        <v>5368</v>
      </c>
      <c r="C626" t="s">
        <v>5368</v>
      </c>
      <c r="D626" t="s">
        <v>123</v>
      </c>
      <c r="E626">
        <v>22</v>
      </c>
      <c r="F626">
        <v>22</v>
      </c>
      <c r="G626" t="s">
        <v>31</v>
      </c>
      <c r="H626" t="s">
        <v>31</v>
      </c>
      <c r="I626" t="s">
        <v>53</v>
      </c>
      <c r="J626" t="s">
        <v>20</v>
      </c>
      <c r="K626" s="1">
        <v>46153</v>
      </c>
      <c r="L626" s="1" t="str">
        <f>IF(K626&gt;O626,"Valid","Invalid")</f>
        <v>Valid</v>
      </c>
      <c r="M626" s="1" t="b">
        <f>ISNUMBER(K626)</f>
        <v>1</v>
      </c>
      <c r="N626" s="1" t="b">
        <f>ISNUMBER(O626)</f>
        <v>1</v>
      </c>
      <c r="O626" s="1">
        <v>46139</v>
      </c>
      <c r="P626" t="s">
        <v>5367</v>
      </c>
      <c r="Q626" t="str">
        <f>SUBSTITUTE(SUBSTITUTE(SUBSTITUTE(P626," ",""),"-",""),"+","")</f>
        <v>910059591360</v>
      </c>
      <c r="R626" t="str">
        <f t="shared" si="18"/>
        <v>0059591360</v>
      </c>
      <c r="S626" t="str">
        <f>IF(LEN(R626),"Valid","Invalid")</f>
        <v>Valid</v>
      </c>
      <c r="T626" t="s">
        <v>5366</v>
      </c>
      <c r="V626" t="s">
        <v>17</v>
      </c>
      <c r="X626">
        <v>23156.75</v>
      </c>
      <c r="Y626" t="s">
        <v>27</v>
      </c>
      <c r="Z626">
        <v>168</v>
      </c>
      <c r="AA626">
        <f t="shared" si="19"/>
        <v>168</v>
      </c>
      <c r="AB626" t="s">
        <v>77</v>
      </c>
    </row>
    <row r="627" spans="1:28" x14ac:dyDescent="0.3">
      <c r="A627" t="s">
        <v>5365</v>
      </c>
      <c r="B627" t="s">
        <v>5364</v>
      </c>
      <c r="C627" t="s">
        <v>5364</v>
      </c>
      <c r="D627" t="s">
        <v>123</v>
      </c>
      <c r="E627">
        <v>21</v>
      </c>
      <c r="F627">
        <v>21</v>
      </c>
      <c r="G627" t="s">
        <v>47</v>
      </c>
      <c r="H627" t="s">
        <v>47</v>
      </c>
      <c r="I627" t="s">
        <v>85</v>
      </c>
      <c r="J627" t="s">
        <v>85</v>
      </c>
      <c r="K627" s="1">
        <v>45994</v>
      </c>
      <c r="L627" s="1" t="str">
        <f>IF(K627&gt;O627,"Valid","Invalid")</f>
        <v>Valid</v>
      </c>
      <c r="M627" s="1" t="b">
        <f>ISNUMBER(K627)</f>
        <v>1</v>
      </c>
      <c r="N627" s="1" t="b">
        <f>ISNUMBER(O627)</f>
        <v>1</v>
      </c>
      <c r="O627" s="1">
        <v>45992</v>
      </c>
      <c r="P627" t="s">
        <v>5363</v>
      </c>
      <c r="Q627" t="str">
        <f>SUBSTITUTE(SUBSTITUTE(SUBSTITUTE(P627," ",""),"-",""),"+","")</f>
        <v>917075878631</v>
      </c>
      <c r="R627" t="str">
        <f t="shared" si="18"/>
        <v>7075878631</v>
      </c>
      <c r="S627" t="str">
        <f>IF(LEN(R627),"Valid","Invalid")</f>
        <v>Valid</v>
      </c>
      <c r="T627" t="s">
        <v>5362</v>
      </c>
      <c r="V627" t="s">
        <v>27</v>
      </c>
      <c r="X627">
        <v>379.16</v>
      </c>
      <c r="Y627" t="s">
        <v>64</v>
      </c>
      <c r="Z627">
        <v>461</v>
      </c>
      <c r="AA627">
        <f t="shared" si="19"/>
        <v>461</v>
      </c>
      <c r="AB627" t="s">
        <v>25</v>
      </c>
    </row>
    <row r="628" spans="1:28" x14ac:dyDescent="0.3">
      <c r="A628" t="s">
        <v>5361</v>
      </c>
      <c r="B628" t="s">
        <v>5360</v>
      </c>
      <c r="C628" t="s">
        <v>5360</v>
      </c>
      <c r="D628" t="s">
        <v>22</v>
      </c>
      <c r="E628">
        <v>54</v>
      </c>
      <c r="F628">
        <v>54</v>
      </c>
      <c r="G628" t="s">
        <v>68</v>
      </c>
      <c r="H628" t="s">
        <v>68</v>
      </c>
      <c r="I628" t="s">
        <v>53</v>
      </c>
      <c r="J628" t="s">
        <v>20</v>
      </c>
      <c r="K628" s="1">
        <v>46086</v>
      </c>
      <c r="L628" s="1" t="str">
        <f>IF(K628&gt;O628,"Valid","Invalid")</f>
        <v>Valid</v>
      </c>
      <c r="M628" s="1" t="b">
        <f>ISNUMBER(K628)</f>
        <v>1</v>
      </c>
      <c r="N628" s="1" t="b">
        <f>ISNUMBER(O628)</f>
        <v>1</v>
      </c>
      <c r="O628" s="1">
        <v>46080</v>
      </c>
      <c r="P628" t="s">
        <v>5359</v>
      </c>
      <c r="Q628" t="str">
        <f>SUBSTITUTE(SUBSTITUTE(SUBSTITUTE(P628," ",""),"-",""),"+","")</f>
        <v>915691631979</v>
      </c>
      <c r="R628" t="str">
        <f t="shared" si="18"/>
        <v>5691631979</v>
      </c>
      <c r="S628" t="str">
        <f>IF(LEN(R628),"Valid","Invalid")</f>
        <v>Valid</v>
      </c>
      <c r="T628" t="s">
        <v>5358</v>
      </c>
      <c r="V628" t="s">
        <v>35</v>
      </c>
      <c r="X628">
        <v>16067.68</v>
      </c>
      <c r="Y628" t="s">
        <v>123</v>
      </c>
      <c r="Z628">
        <v>310</v>
      </c>
      <c r="AA628">
        <f t="shared" si="19"/>
        <v>310</v>
      </c>
      <c r="AB628" t="s">
        <v>71</v>
      </c>
    </row>
    <row r="629" spans="1:28" x14ac:dyDescent="0.3">
      <c r="A629" t="s">
        <v>5357</v>
      </c>
      <c r="B629" t="s">
        <v>5356</v>
      </c>
      <c r="C629" t="s">
        <v>5356</v>
      </c>
      <c r="D629" t="s">
        <v>0</v>
      </c>
      <c r="E629">
        <v>79</v>
      </c>
      <c r="F629">
        <v>79</v>
      </c>
      <c r="G629" t="s">
        <v>47</v>
      </c>
      <c r="H629" t="s">
        <v>47</v>
      </c>
      <c r="I629" t="s">
        <v>53</v>
      </c>
      <c r="J629" t="s">
        <v>20</v>
      </c>
      <c r="K629" s="1">
        <v>46086</v>
      </c>
      <c r="L629" s="1" t="str">
        <f>IF(K629&gt;O629,"Valid","Invalid")</f>
        <v>Valid</v>
      </c>
      <c r="M629" s="1" t="b">
        <f>ISNUMBER(K629)</f>
        <v>1</v>
      </c>
      <c r="N629" s="1" t="b">
        <f>ISNUMBER(O629)</f>
        <v>1</v>
      </c>
      <c r="O629" s="1">
        <v>46064</v>
      </c>
      <c r="P629" t="s">
        <v>5355</v>
      </c>
      <c r="Q629" t="str">
        <f>SUBSTITUTE(SUBSTITUTE(SUBSTITUTE(P629," ",""),"-",""),"+","")</f>
        <v>917710668637</v>
      </c>
      <c r="R629" t="str">
        <f t="shared" si="18"/>
        <v>7710668637</v>
      </c>
      <c r="S629" t="str">
        <f>IF(LEN(R629),"Valid","Invalid")</f>
        <v>Valid</v>
      </c>
      <c r="T629" t="s">
        <v>5354</v>
      </c>
      <c r="V629" t="s">
        <v>123</v>
      </c>
      <c r="X629">
        <v>15378.84</v>
      </c>
      <c r="Y629" t="s">
        <v>64</v>
      </c>
      <c r="Z629">
        <v>421</v>
      </c>
      <c r="AA629">
        <f t="shared" si="19"/>
        <v>421</v>
      </c>
      <c r="AB629" t="s">
        <v>50</v>
      </c>
    </row>
    <row r="630" spans="1:28" x14ac:dyDescent="0.3">
      <c r="A630" t="s">
        <v>5353</v>
      </c>
      <c r="B630" t="s">
        <v>5352</v>
      </c>
      <c r="C630" t="s">
        <v>5352</v>
      </c>
      <c r="D630" t="s">
        <v>22</v>
      </c>
      <c r="E630">
        <v>45</v>
      </c>
      <c r="F630">
        <v>45</v>
      </c>
      <c r="G630" t="s">
        <v>54</v>
      </c>
      <c r="H630" t="s">
        <v>54</v>
      </c>
      <c r="I630" t="s">
        <v>46</v>
      </c>
      <c r="J630" t="s">
        <v>46</v>
      </c>
      <c r="K630" s="1">
        <v>46158</v>
      </c>
      <c r="L630" s="1" t="str">
        <f>IF(K630&gt;O630,"Valid","Invalid")</f>
        <v>Valid</v>
      </c>
      <c r="M630" s="1" t="b">
        <f>ISNUMBER(K630)</f>
        <v>1</v>
      </c>
      <c r="N630" s="1" t="b">
        <f>ISNUMBER(O630)</f>
        <v>1</v>
      </c>
      <c r="O630" s="1">
        <v>46141</v>
      </c>
      <c r="P630" t="s">
        <v>5351</v>
      </c>
      <c r="Q630" t="str">
        <f>SUBSTITUTE(SUBSTITUTE(SUBSTITUTE(P630," ",""),"-",""),"+","")</f>
        <v>1697384866</v>
      </c>
      <c r="R630" t="str">
        <f t="shared" si="18"/>
        <v>1697384866</v>
      </c>
      <c r="S630" t="str">
        <f>IF(LEN(R630),"Valid","Invalid")</f>
        <v>Valid</v>
      </c>
      <c r="T630" t="s">
        <v>5350</v>
      </c>
      <c r="V630" t="s">
        <v>17</v>
      </c>
      <c r="X630">
        <v>4959.1899999999996</v>
      </c>
      <c r="Y630" t="s">
        <v>64</v>
      </c>
      <c r="Z630">
        <v>416</v>
      </c>
      <c r="AA630">
        <f t="shared" si="19"/>
        <v>416</v>
      </c>
      <c r="AB630" t="s">
        <v>43</v>
      </c>
    </row>
    <row r="631" spans="1:28" x14ac:dyDescent="0.3">
      <c r="A631" t="s">
        <v>5349</v>
      </c>
      <c r="B631" t="s">
        <v>5348</v>
      </c>
      <c r="C631" t="s">
        <v>5348</v>
      </c>
      <c r="D631" t="s">
        <v>1</v>
      </c>
      <c r="E631">
        <v>60</v>
      </c>
      <c r="F631">
        <v>60</v>
      </c>
      <c r="G631" t="s">
        <v>21</v>
      </c>
      <c r="H631" t="s">
        <v>21</v>
      </c>
      <c r="I631" t="s">
        <v>30</v>
      </c>
      <c r="J631" t="s">
        <v>30</v>
      </c>
      <c r="K631" s="1">
        <v>46022</v>
      </c>
      <c r="L631" s="1" t="str">
        <f>IF(K631&gt;O631,"Valid","Invalid")</f>
        <v>Valid</v>
      </c>
      <c r="M631" s="1" t="b">
        <f>ISNUMBER(K631)</f>
        <v>1</v>
      </c>
      <c r="N631" s="1" t="b">
        <f>ISNUMBER(O631)</f>
        <v>1</v>
      </c>
      <c r="O631" s="1">
        <v>46021</v>
      </c>
      <c r="P631" t="s">
        <v>5347</v>
      </c>
      <c r="Q631" t="str">
        <f>SUBSTITUTE(SUBSTITUTE(SUBSTITUTE(P631," ",""),"-",""),"+","")</f>
        <v>03278945028</v>
      </c>
      <c r="R631" t="str">
        <f t="shared" si="18"/>
        <v>3278945028</v>
      </c>
      <c r="S631" t="str">
        <f>IF(LEN(R631),"Valid","Invalid")</f>
        <v>Valid</v>
      </c>
      <c r="T631" t="s">
        <v>5346</v>
      </c>
      <c r="V631" t="s">
        <v>17</v>
      </c>
      <c r="X631">
        <v>2994.44</v>
      </c>
      <c r="Y631" t="s">
        <v>26</v>
      </c>
      <c r="Z631">
        <v>450</v>
      </c>
      <c r="AA631">
        <f t="shared" si="19"/>
        <v>450</v>
      </c>
      <c r="AB631" t="s">
        <v>50</v>
      </c>
    </row>
    <row r="632" spans="1:28" x14ac:dyDescent="0.3">
      <c r="A632" t="s">
        <v>5345</v>
      </c>
      <c r="B632" t="s">
        <v>5344</v>
      </c>
      <c r="C632" t="s">
        <v>5344</v>
      </c>
      <c r="E632">
        <v>64</v>
      </c>
      <c r="F632">
        <v>64</v>
      </c>
      <c r="G632" t="s">
        <v>39</v>
      </c>
      <c r="H632" t="s">
        <v>39</v>
      </c>
      <c r="I632" t="s">
        <v>53</v>
      </c>
      <c r="J632" t="s">
        <v>20</v>
      </c>
      <c r="K632" s="1">
        <v>46060</v>
      </c>
      <c r="L632" s="1" t="str">
        <f>IF(K632&gt;O632,"Valid","Invalid")</f>
        <v>Valid</v>
      </c>
      <c r="M632" s="1" t="b">
        <f>ISNUMBER(K632)</f>
        <v>1</v>
      </c>
      <c r="N632" s="1" t="b">
        <f>ISNUMBER(O632)</f>
        <v>1</v>
      </c>
      <c r="O632" s="1">
        <v>46039</v>
      </c>
      <c r="P632" t="s">
        <v>5343</v>
      </c>
      <c r="Q632" t="str">
        <f>SUBSTITUTE(SUBSTITUTE(SUBSTITUTE(P632," ",""),"-",""),"+","")</f>
        <v>912315803075</v>
      </c>
      <c r="R632" t="str">
        <f t="shared" si="18"/>
        <v>2315803075</v>
      </c>
      <c r="S632" t="str">
        <f>IF(LEN(R632),"Valid","Invalid")</f>
        <v>Valid</v>
      </c>
      <c r="T632" t="s">
        <v>5342</v>
      </c>
      <c r="V632" t="s">
        <v>27</v>
      </c>
      <c r="X632">
        <v>1539.88</v>
      </c>
      <c r="Y632" t="s">
        <v>17</v>
      </c>
      <c r="Z632">
        <v>245</v>
      </c>
      <c r="AA632">
        <f t="shared" si="19"/>
        <v>245</v>
      </c>
      <c r="AB632" t="s">
        <v>71</v>
      </c>
    </row>
    <row r="633" spans="1:28" x14ac:dyDescent="0.3">
      <c r="A633" t="s">
        <v>5341</v>
      </c>
      <c r="B633" t="s">
        <v>5340</v>
      </c>
      <c r="C633" t="s">
        <v>5340</v>
      </c>
      <c r="D633" t="s">
        <v>123</v>
      </c>
      <c r="E633">
        <v>33</v>
      </c>
      <c r="F633">
        <v>33</v>
      </c>
      <c r="G633" t="s">
        <v>31</v>
      </c>
      <c r="H633" t="s">
        <v>31</v>
      </c>
      <c r="I633" t="s">
        <v>85</v>
      </c>
      <c r="J633" t="s">
        <v>85</v>
      </c>
      <c r="K633" s="1">
        <v>46119</v>
      </c>
      <c r="L633" s="1" t="str">
        <f>IF(K633&gt;O633,"Valid","Invalid")</f>
        <v>Valid</v>
      </c>
      <c r="M633" s="1" t="b">
        <f>ISNUMBER(K633)</f>
        <v>1</v>
      </c>
      <c r="N633" s="1" t="b">
        <f>ISNUMBER(O633)</f>
        <v>1</v>
      </c>
      <c r="O633" s="1">
        <v>46118</v>
      </c>
      <c r="P633" t="s">
        <v>5339</v>
      </c>
      <c r="Q633" t="str">
        <f>SUBSTITUTE(SUBSTITUTE(SUBSTITUTE(P633," ",""),"-",""),"+","")</f>
        <v>01733872367</v>
      </c>
      <c r="R633" t="str">
        <f t="shared" si="18"/>
        <v>1733872367</v>
      </c>
      <c r="S633" t="str">
        <f>IF(LEN(R633),"Valid","Invalid")</f>
        <v>Valid</v>
      </c>
      <c r="T633" t="s">
        <v>5338</v>
      </c>
      <c r="V633" t="s">
        <v>64</v>
      </c>
      <c r="X633">
        <v>18562.34</v>
      </c>
      <c r="Y633" t="s">
        <v>26</v>
      </c>
      <c r="Z633">
        <v>180</v>
      </c>
      <c r="AA633">
        <f t="shared" si="19"/>
        <v>180</v>
      </c>
      <c r="AB633" t="s">
        <v>50</v>
      </c>
    </row>
    <row r="634" spans="1:28" x14ac:dyDescent="0.3">
      <c r="A634" t="s">
        <v>5337</v>
      </c>
      <c r="B634" t="s">
        <v>5336</v>
      </c>
      <c r="C634" t="s">
        <v>5336</v>
      </c>
      <c r="D634" t="s">
        <v>40</v>
      </c>
      <c r="E634">
        <v>63</v>
      </c>
      <c r="F634">
        <v>63</v>
      </c>
      <c r="G634" t="s">
        <v>80</v>
      </c>
      <c r="H634" t="s">
        <v>80</v>
      </c>
      <c r="I634" t="s">
        <v>20</v>
      </c>
      <c r="J634" t="s">
        <v>20</v>
      </c>
      <c r="K634" s="1">
        <v>46041</v>
      </c>
      <c r="L634" s="1" t="str">
        <f>IF(K634&gt;O634,"Valid","Invalid")</f>
        <v>Valid</v>
      </c>
      <c r="M634" s="1" t="b">
        <f>ISNUMBER(K634)</f>
        <v>1</v>
      </c>
      <c r="N634" s="1" t="b">
        <f>ISNUMBER(O634)</f>
        <v>1</v>
      </c>
      <c r="O634" s="1">
        <v>46013</v>
      </c>
      <c r="P634" t="s">
        <v>5335</v>
      </c>
      <c r="Q634" t="str">
        <f>SUBSTITUTE(SUBSTITUTE(SUBSTITUTE(P634," ",""),"-",""),"+","")</f>
        <v>919310981453</v>
      </c>
      <c r="R634" t="str">
        <f t="shared" si="18"/>
        <v>9310981453</v>
      </c>
      <c r="S634" t="str">
        <f>IF(LEN(R634),"Valid","Invalid")</f>
        <v>Valid</v>
      </c>
      <c r="T634" t="s">
        <v>5334</v>
      </c>
      <c r="V634" t="s">
        <v>17</v>
      </c>
      <c r="X634">
        <v>18090.8</v>
      </c>
      <c r="Y634" t="s">
        <v>17</v>
      </c>
      <c r="Z634">
        <v>314</v>
      </c>
      <c r="AA634">
        <f t="shared" si="19"/>
        <v>314</v>
      </c>
      <c r="AB634" t="s">
        <v>71</v>
      </c>
    </row>
    <row r="635" spans="1:28" x14ac:dyDescent="0.3">
      <c r="A635" t="s">
        <v>5333</v>
      </c>
      <c r="B635" t="s">
        <v>5332</v>
      </c>
      <c r="C635" t="s">
        <v>5332</v>
      </c>
      <c r="D635" t="s">
        <v>60</v>
      </c>
      <c r="E635">
        <v>30</v>
      </c>
      <c r="F635">
        <v>30</v>
      </c>
      <c r="G635" t="s">
        <v>80</v>
      </c>
      <c r="H635" t="s">
        <v>80</v>
      </c>
      <c r="I635" t="s">
        <v>67</v>
      </c>
      <c r="J635" t="s">
        <v>67</v>
      </c>
      <c r="K635" s="1">
        <v>46076</v>
      </c>
      <c r="L635" s="1" t="str">
        <f>IF(K635&gt;O635,"Valid","Invalid")</f>
        <v>Valid</v>
      </c>
      <c r="M635" s="1" t="b">
        <f>ISNUMBER(K635)</f>
        <v>1</v>
      </c>
      <c r="N635" s="1" t="b">
        <f>ISNUMBER(O635)</f>
        <v>1</v>
      </c>
      <c r="O635" s="1">
        <v>46069</v>
      </c>
      <c r="P635" t="s">
        <v>5331</v>
      </c>
      <c r="Q635" t="str">
        <f>SUBSTITUTE(SUBSTITUTE(SUBSTITUTE(P635," ",""),"-",""),"+","")</f>
        <v>01207744708</v>
      </c>
      <c r="R635" t="str">
        <f t="shared" si="18"/>
        <v>1207744708</v>
      </c>
      <c r="S635" t="str">
        <f>IF(LEN(R635),"Valid","Invalid")</f>
        <v>Valid</v>
      </c>
      <c r="T635" t="s">
        <v>5330</v>
      </c>
      <c r="V635" t="s">
        <v>64</v>
      </c>
      <c r="X635">
        <v>6080.54</v>
      </c>
      <c r="Y635" t="s">
        <v>123</v>
      </c>
      <c r="Z635">
        <v>545</v>
      </c>
      <c r="AA635">
        <f t="shared" si="19"/>
        <v>545</v>
      </c>
      <c r="AB635" t="s">
        <v>71</v>
      </c>
    </row>
    <row r="636" spans="1:28" x14ac:dyDescent="0.3">
      <c r="A636" t="s">
        <v>5329</v>
      </c>
      <c r="B636" t="s">
        <v>5328</v>
      </c>
      <c r="C636" t="s">
        <v>5328</v>
      </c>
      <c r="D636" t="s">
        <v>123</v>
      </c>
      <c r="E636">
        <v>29</v>
      </c>
      <c r="F636">
        <v>29</v>
      </c>
      <c r="G636" t="s">
        <v>80</v>
      </c>
      <c r="H636" t="s">
        <v>80</v>
      </c>
      <c r="I636" t="s">
        <v>85</v>
      </c>
      <c r="J636" t="s">
        <v>85</v>
      </c>
      <c r="K636" s="1">
        <v>46039</v>
      </c>
      <c r="L636" s="1" t="str">
        <f>IF(K636&gt;O636,"Valid","Invalid")</f>
        <v>Valid</v>
      </c>
      <c r="M636" s="1" t="b">
        <f>ISNUMBER(K636)</f>
        <v>1</v>
      </c>
      <c r="N636" s="1" t="b">
        <f>ISNUMBER(O636)</f>
        <v>1</v>
      </c>
      <c r="O636" s="1">
        <v>46021</v>
      </c>
      <c r="P636" t="s">
        <v>5327</v>
      </c>
      <c r="Q636" t="str">
        <f>SUBSTITUTE(SUBSTITUTE(SUBSTITUTE(P636," ",""),"-",""),"+","")</f>
        <v>911127676524</v>
      </c>
      <c r="R636" t="str">
        <f t="shared" si="18"/>
        <v>1127676524</v>
      </c>
      <c r="S636" t="str">
        <f>IF(LEN(R636),"Valid","Invalid")</f>
        <v>Valid</v>
      </c>
      <c r="T636" t="s">
        <v>5326</v>
      </c>
      <c r="V636" t="s">
        <v>123</v>
      </c>
      <c r="X636">
        <v>1547.62</v>
      </c>
      <c r="Y636" t="s">
        <v>123</v>
      </c>
      <c r="Z636">
        <v>174</v>
      </c>
      <c r="AA636">
        <f t="shared" si="19"/>
        <v>174</v>
      </c>
      <c r="AB636" t="s">
        <v>71</v>
      </c>
    </row>
    <row r="637" spans="1:28" x14ac:dyDescent="0.3">
      <c r="A637" t="s">
        <v>5325</v>
      </c>
      <c r="B637" t="s">
        <v>5324</v>
      </c>
      <c r="C637" t="s">
        <v>5324</v>
      </c>
      <c r="E637">
        <v>23</v>
      </c>
      <c r="F637">
        <v>23</v>
      </c>
      <c r="G637" t="s">
        <v>54</v>
      </c>
      <c r="H637" t="s">
        <v>54</v>
      </c>
      <c r="I637" t="s">
        <v>67</v>
      </c>
      <c r="J637" t="s">
        <v>67</v>
      </c>
      <c r="K637" s="1">
        <v>45980</v>
      </c>
      <c r="L637" s="1" t="str">
        <f>IF(K637&gt;O637,"Valid","Invalid")</f>
        <v>Valid</v>
      </c>
      <c r="M637" s="1" t="b">
        <f>ISNUMBER(K637)</f>
        <v>1</v>
      </c>
      <c r="N637" s="1" t="b">
        <f>ISNUMBER(O637)</f>
        <v>1</v>
      </c>
      <c r="O637" s="1">
        <v>45976</v>
      </c>
      <c r="P637" t="s">
        <v>5323</v>
      </c>
      <c r="Q637" t="str">
        <f>SUBSTITUTE(SUBSTITUTE(SUBSTITUTE(P637," ",""),"-",""),"+","")</f>
        <v>1873189728</v>
      </c>
      <c r="R637" t="str">
        <f t="shared" si="18"/>
        <v>1873189728</v>
      </c>
      <c r="S637" t="str">
        <f>IF(LEN(R637),"Valid","Invalid")</f>
        <v>Valid</v>
      </c>
      <c r="T637" t="s">
        <v>5322</v>
      </c>
      <c r="V637" t="s">
        <v>123</v>
      </c>
      <c r="X637">
        <v>18051.57</v>
      </c>
      <c r="Y637" t="s">
        <v>17</v>
      </c>
      <c r="Z637">
        <v>238</v>
      </c>
      <c r="AA637">
        <f t="shared" si="19"/>
        <v>238</v>
      </c>
      <c r="AB637" t="s">
        <v>71</v>
      </c>
    </row>
    <row r="638" spans="1:28" x14ac:dyDescent="0.3">
      <c r="A638" t="s">
        <v>5321</v>
      </c>
      <c r="B638" t="s">
        <v>5320</v>
      </c>
      <c r="C638" t="s">
        <v>5320</v>
      </c>
      <c r="D638" t="s">
        <v>60</v>
      </c>
      <c r="E638">
        <v>17</v>
      </c>
      <c r="F638">
        <v>17</v>
      </c>
      <c r="G638" t="s">
        <v>47</v>
      </c>
      <c r="H638" t="s">
        <v>47</v>
      </c>
      <c r="I638" t="s">
        <v>46</v>
      </c>
      <c r="J638" t="s">
        <v>46</v>
      </c>
      <c r="K638" s="1">
        <v>46128</v>
      </c>
      <c r="L638" s="1" t="str">
        <f>IF(K638&gt;O638,"Valid","Invalid")</f>
        <v>Valid</v>
      </c>
      <c r="M638" s="1" t="b">
        <f>ISNUMBER(K638)</f>
        <v>1</v>
      </c>
      <c r="N638" s="1" t="b">
        <f>ISNUMBER(O638)</f>
        <v>1</v>
      </c>
      <c r="O638" s="1">
        <v>46120</v>
      </c>
      <c r="P638" t="s">
        <v>5319</v>
      </c>
      <c r="Q638" t="str">
        <f>SUBSTITUTE(SUBSTITUTE(SUBSTITUTE(P638," ",""),"-",""),"+","")</f>
        <v>01545089617</v>
      </c>
      <c r="R638" t="str">
        <f t="shared" si="18"/>
        <v>1545089617</v>
      </c>
      <c r="S638" t="str">
        <f>IF(LEN(R638),"Valid","Invalid")</f>
        <v>Valid</v>
      </c>
      <c r="T638" t="s">
        <v>5318</v>
      </c>
      <c r="V638" t="s">
        <v>35</v>
      </c>
      <c r="X638">
        <v>2955.51</v>
      </c>
      <c r="Y638" t="s">
        <v>123</v>
      </c>
      <c r="Z638">
        <v>334</v>
      </c>
      <c r="AA638">
        <f t="shared" si="19"/>
        <v>334</v>
      </c>
      <c r="AB638" t="s">
        <v>16</v>
      </c>
    </row>
    <row r="639" spans="1:28" x14ac:dyDescent="0.3">
      <c r="A639" t="s">
        <v>5317</v>
      </c>
      <c r="B639" t="s">
        <v>5316</v>
      </c>
      <c r="C639" t="s">
        <v>5316</v>
      </c>
      <c r="D639" t="s">
        <v>0</v>
      </c>
      <c r="E639">
        <v>44</v>
      </c>
      <c r="F639">
        <v>44</v>
      </c>
      <c r="G639" t="s">
        <v>21</v>
      </c>
      <c r="H639" t="s">
        <v>21</v>
      </c>
      <c r="I639" t="s">
        <v>30</v>
      </c>
      <c r="J639" t="s">
        <v>30</v>
      </c>
      <c r="K639" s="1">
        <v>45995</v>
      </c>
      <c r="L639" s="1" t="str">
        <f>IF(K639&gt;O639,"Valid","Invalid")</f>
        <v>Valid</v>
      </c>
      <c r="M639" s="1" t="b">
        <f>ISNUMBER(K639)</f>
        <v>1</v>
      </c>
      <c r="N639" s="1" t="b">
        <f>ISNUMBER(O639)</f>
        <v>1</v>
      </c>
      <c r="O639" s="1">
        <v>45976</v>
      </c>
      <c r="P639" t="s">
        <v>5315</v>
      </c>
      <c r="Q639" t="str">
        <f>SUBSTITUTE(SUBSTITUTE(SUBSTITUTE(P639," ",""),"-",""),"+","")</f>
        <v>1835179309</v>
      </c>
      <c r="R639" t="str">
        <f t="shared" si="18"/>
        <v>1835179309</v>
      </c>
      <c r="S639" t="str">
        <f>IF(LEN(R639),"Valid","Invalid")</f>
        <v>Valid</v>
      </c>
      <c r="T639" t="s">
        <v>5314</v>
      </c>
      <c r="V639" t="s">
        <v>35</v>
      </c>
      <c r="X639">
        <v>19780.759999999998</v>
      </c>
      <c r="Y639" t="s">
        <v>26</v>
      </c>
      <c r="Z639">
        <v>395</v>
      </c>
      <c r="AA639">
        <f t="shared" si="19"/>
        <v>395</v>
      </c>
      <c r="AB639" t="s">
        <v>34</v>
      </c>
    </row>
    <row r="640" spans="1:28" x14ac:dyDescent="0.3">
      <c r="A640" t="s">
        <v>5313</v>
      </c>
      <c r="B640" t="s">
        <v>5312</v>
      </c>
      <c r="C640" t="s">
        <v>5312</v>
      </c>
      <c r="D640" t="s">
        <v>1</v>
      </c>
      <c r="E640">
        <v>12</v>
      </c>
      <c r="F640">
        <v>12</v>
      </c>
      <c r="G640" t="s">
        <v>54</v>
      </c>
      <c r="H640" t="s">
        <v>54</v>
      </c>
      <c r="I640" t="s">
        <v>85</v>
      </c>
      <c r="J640" t="s">
        <v>85</v>
      </c>
      <c r="K640" s="1">
        <v>46153</v>
      </c>
      <c r="L640" s="1" t="str">
        <f>IF(K640&gt;O640,"Valid","Invalid")</f>
        <v>Valid</v>
      </c>
      <c r="M640" s="1" t="b">
        <f>ISNUMBER(K640)</f>
        <v>1</v>
      </c>
      <c r="N640" s="1" t="b">
        <f>ISNUMBER(O640)</f>
        <v>1</v>
      </c>
      <c r="O640" s="1">
        <v>46126</v>
      </c>
      <c r="P640" t="s">
        <v>5311</v>
      </c>
      <c r="Q640" t="str">
        <f>SUBSTITUTE(SUBSTITUTE(SUBSTITUTE(P640," ",""),"-",""),"+","")</f>
        <v>910290770736</v>
      </c>
      <c r="R640" t="str">
        <f t="shared" si="18"/>
        <v>0290770736</v>
      </c>
      <c r="S640" t="str">
        <f>IF(LEN(R640),"Valid","Invalid")</f>
        <v>Valid</v>
      </c>
      <c r="T640" t="s">
        <v>5310</v>
      </c>
      <c r="V640" t="s">
        <v>17</v>
      </c>
      <c r="X640">
        <v>14871.21</v>
      </c>
      <c r="Y640" t="s">
        <v>123</v>
      </c>
      <c r="Z640">
        <v>242</v>
      </c>
      <c r="AA640">
        <f t="shared" si="19"/>
        <v>242</v>
      </c>
      <c r="AB640" t="s">
        <v>77</v>
      </c>
    </row>
    <row r="641" spans="1:28" x14ac:dyDescent="0.3">
      <c r="A641" t="s">
        <v>5309</v>
      </c>
      <c r="B641" t="s">
        <v>5308</v>
      </c>
      <c r="C641" t="s">
        <v>5308</v>
      </c>
      <c r="D641" t="s">
        <v>123</v>
      </c>
      <c r="E641">
        <v>32</v>
      </c>
      <c r="F641">
        <v>32</v>
      </c>
      <c r="G641" t="s">
        <v>21</v>
      </c>
      <c r="H641" t="s">
        <v>21</v>
      </c>
      <c r="I641" t="s">
        <v>67</v>
      </c>
      <c r="J641" t="s">
        <v>67</v>
      </c>
      <c r="K641" s="1">
        <v>46088</v>
      </c>
      <c r="L641" s="1" t="str">
        <f>IF(K641&gt;O641,"Valid","Invalid")</f>
        <v>Valid</v>
      </c>
      <c r="M641" s="1" t="b">
        <f>ISNUMBER(K641)</f>
        <v>1</v>
      </c>
      <c r="N641" s="1" t="b">
        <f>ISNUMBER(O641)</f>
        <v>1</v>
      </c>
      <c r="O641" s="1">
        <v>46075</v>
      </c>
      <c r="P641" t="s">
        <v>5307</v>
      </c>
      <c r="Q641" t="str">
        <f>SUBSTITUTE(SUBSTITUTE(SUBSTITUTE(P641," ",""),"-",""),"+","")</f>
        <v>07618996391</v>
      </c>
      <c r="R641" t="str">
        <f t="shared" si="18"/>
        <v>7618996391</v>
      </c>
      <c r="S641" t="str">
        <f>IF(LEN(R641),"Valid","Invalid")</f>
        <v>Valid</v>
      </c>
      <c r="T641" t="s">
        <v>5306</v>
      </c>
      <c r="V641" t="s">
        <v>17</v>
      </c>
      <c r="X641">
        <v>22317.200000000001</v>
      </c>
      <c r="Y641" t="s">
        <v>26</v>
      </c>
      <c r="Z641">
        <v>393</v>
      </c>
      <c r="AA641">
        <f t="shared" si="19"/>
        <v>393</v>
      </c>
      <c r="AB641" t="s">
        <v>77</v>
      </c>
    </row>
    <row r="642" spans="1:28" x14ac:dyDescent="0.3">
      <c r="A642" t="s">
        <v>5305</v>
      </c>
      <c r="B642" t="s">
        <v>5304</v>
      </c>
      <c r="C642" t="s">
        <v>5304</v>
      </c>
      <c r="D642" t="s">
        <v>123</v>
      </c>
      <c r="E642">
        <v>6</v>
      </c>
      <c r="F642">
        <v>6</v>
      </c>
      <c r="G642" t="s">
        <v>47</v>
      </c>
      <c r="H642" t="s">
        <v>47</v>
      </c>
      <c r="I642" t="s">
        <v>85</v>
      </c>
      <c r="J642" t="s">
        <v>85</v>
      </c>
      <c r="K642" s="1">
        <v>46118</v>
      </c>
      <c r="L642" s="1" t="str">
        <f>IF(K642&gt;O642,"Valid","Invalid")</f>
        <v>Valid</v>
      </c>
      <c r="M642" s="1" t="b">
        <f>ISNUMBER(K642)</f>
        <v>1</v>
      </c>
      <c r="N642" s="1" t="b">
        <f>ISNUMBER(O642)</f>
        <v>1</v>
      </c>
      <c r="O642" s="1">
        <v>46095</v>
      </c>
      <c r="P642" t="s">
        <v>5303</v>
      </c>
      <c r="Q642" t="str">
        <f>SUBSTITUTE(SUBSTITUTE(SUBSTITUTE(P642," ",""),"-",""),"+","")</f>
        <v>915154452333</v>
      </c>
      <c r="R642" t="str">
        <f t="shared" si="18"/>
        <v>5154452333</v>
      </c>
      <c r="S642" t="str">
        <f>IF(LEN(R642),"Valid","Invalid")</f>
        <v>Valid</v>
      </c>
      <c r="T642" t="s">
        <v>5302</v>
      </c>
      <c r="V642" t="s">
        <v>27</v>
      </c>
      <c r="X642">
        <v>10757.3</v>
      </c>
      <c r="Y642" t="s">
        <v>123</v>
      </c>
      <c r="Z642">
        <v>345</v>
      </c>
      <c r="AA642">
        <f t="shared" si="19"/>
        <v>345</v>
      </c>
      <c r="AB642" t="s">
        <v>50</v>
      </c>
    </row>
    <row r="643" spans="1:28" x14ac:dyDescent="0.3">
      <c r="A643" t="s">
        <v>5301</v>
      </c>
      <c r="B643" t="s">
        <v>5300</v>
      </c>
      <c r="C643" t="s">
        <v>5300</v>
      </c>
      <c r="D643" t="s">
        <v>74</v>
      </c>
      <c r="E643">
        <v>58</v>
      </c>
      <c r="F643">
        <v>58</v>
      </c>
      <c r="G643" t="s">
        <v>68</v>
      </c>
      <c r="H643" t="s">
        <v>68</v>
      </c>
      <c r="I643" t="s">
        <v>38</v>
      </c>
      <c r="J643" t="s">
        <v>8077</v>
      </c>
      <c r="K643" s="1">
        <v>46059</v>
      </c>
      <c r="L643" s="1" t="str">
        <f>IF(K643&gt;O643,"Valid","Invalid")</f>
        <v>Valid</v>
      </c>
      <c r="M643" s="1" t="b">
        <f>ISNUMBER(K643)</f>
        <v>1</v>
      </c>
      <c r="N643" s="1" t="b">
        <f>ISNUMBER(O643)</f>
        <v>1</v>
      </c>
      <c r="O643" s="1">
        <v>46057</v>
      </c>
      <c r="P643" t="s">
        <v>5299</v>
      </c>
      <c r="Q643" t="str">
        <f>SUBSTITUTE(SUBSTITUTE(SUBSTITUTE(P643," ",""),"-",""),"+","")</f>
        <v>915440755185</v>
      </c>
      <c r="R643" t="str">
        <f t="shared" si="18"/>
        <v>5440755185</v>
      </c>
      <c r="S643" t="str">
        <f>IF(LEN(R643),"Valid","Invalid")</f>
        <v>Valid</v>
      </c>
      <c r="T643" t="s">
        <v>5298</v>
      </c>
      <c r="V643" t="s">
        <v>27</v>
      </c>
      <c r="X643">
        <v>17390.36</v>
      </c>
      <c r="Y643" t="s">
        <v>123</v>
      </c>
      <c r="Z643">
        <v>211</v>
      </c>
      <c r="AA643">
        <f t="shared" si="19"/>
        <v>211</v>
      </c>
      <c r="AB643" t="s">
        <v>71</v>
      </c>
    </row>
    <row r="644" spans="1:28" x14ac:dyDescent="0.3">
      <c r="A644" t="s">
        <v>5294</v>
      </c>
      <c r="B644" t="s">
        <v>5293</v>
      </c>
      <c r="C644" t="s">
        <v>5293</v>
      </c>
      <c r="D644" t="s">
        <v>40</v>
      </c>
      <c r="E644">
        <v>59</v>
      </c>
      <c r="F644">
        <v>59</v>
      </c>
      <c r="G644" t="s">
        <v>68</v>
      </c>
      <c r="H644" t="s">
        <v>68</v>
      </c>
      <c r="I644" t="s">
        <v>53</v>
      </c>
      <c r="J644" t="s">
        <v>20</v>
      </c>
      <c r="K644" s="1">
        <v>46077</v>
      </c>
      <c r="L644" s="1" t="str">
        <f>IF(K644&gt;O644,"Valid","Invalid")</f>
        <v>Valid</v>
      </c>
      <c r="M644" s="1" t="b">
        <f>ISNUMBER(K644)</f>
        <v>1</v>
      </c>
      <c r="N644" s="1" t="b">
        <f>ISNUMBER(O644)</f>
        <v>1</v>
      </c>
      <c r="O644" s="1">
        <v>46050</v>
      </c>
      <c r="P644" t="s">
        <v>5292</v>
      </c>
      <c r="Q644" t="str">
        <f>SUBSTITUTE(SUBSTITUTE(SUBSTITUTE(P644," ",""),"-",""),"+","")</f>
        <v>03094988165</v>
      </c>
      <c r="R644" t="str">
        <f t="shared" si="18"/>
        <v>3094988165</v>
      </c>
      <c r="S644" t="str">
        <f>IF(LEN(R644),"Valid","Invalid")</f>
        <v>Valid</v>
      </c>
      <c r="T644" t="s">
        <v>5291</v>
      </c>
      <c r="V644" t="s">
        <v>123</v>
      </c>
      <c r="X644">
        <v>4786.6499999999996</v>
      </c>
      <c r="Y644" t="s">
        <v>17</v>
      </c>
      <c r="Z644">
        <v>420</v>
      </c>
      <c r="AA644">
        <f t="shared" si="19"/>
        <v>420</v>
      </c>
      <c r="AB644" t="s">
        <v>16</v>
      </c>
    </row>
    <row r="645" spans="1:28" x14ac:dyDescent="0.3">
      <c r="A645" t="s">
        <v>5290</v>
      </c>
      <c r="B645" t="s">
        <v>5289</v>
      </c>
      <c r="C645" t="s">
        <v>5289</v>
      </c>
      <c r="D645" t="s">
        <v>40</v>
      </c>
      <c r="E645">
        <v>81</v>
      </c>
      <c r="F645">
        <v>81</v>
      </c>
      <c r="G645" t="s">
        <v>80</v>
      </c>
      <c r="H645" t="s">
        <v>80</v>
      </c>
      <c r="I645" t="s">
        <v>90</v>
      </c>
      <c r="J645" t="s">
        <v>67</v>
      </c>
      <c r="K645" s="1">
        <v>46075</v>
      </c>
      <c r="L645" s="1" t="str">
        <f>IF(K645&gt;O645,"Valid","Invalid")</f>
        <v>Valid</v>
      </c>
      <c r="M645" s="1" t="b">
        <f>ISNUMBER(K645)</f>
        <v>1</v>
      </c>
      <c r="N645" s="1" t="b">
        <f>ISNUMBER(O645)</f>
        <v>1</v>
      </c>
      <c r="O645" s="1">
        <v>46047</v>
      </c>
      <c r="P645" t="s">
        <v>5288</v>
      </c>
      <c r="Q645" t="str">
        <f>SUBSTITUTE(SUBSTITUTE(SUBSTITUTE(P645," ",""),"-",""),"+","")</f>
        <v>917634266715</v>
      </c>
      <c r="R645" t="str">
        <f t="shared" ref="R645:R708" si="20">RIGHT(Q645,10)</f>
        <v>7634266715</v>
      </c>
      <c r="S645" t="str">
        <f>IF(LEN(R645),"Valid","Invalid")</f>
        <v>Valid</v>
      </c>
      <c r="T645" t="s">
        <v>5287</v>
      </c>
      <c r="V645" t="s">
        <v>57</v>
      </c>
      <c r="X645">
        <v>13366.82</v>
      </c>
      <c r="Y645" t="s">
        <v>63</v>
      </c>
      <c r="Z645">
        <v>318</v>
      </c>
      <c r="AA645">
        <f t="shared" ref="AA645:AA708" si="21">IF(Z645="Room-x",0,Z645)</f>
        <v>318</v>
      </c>
      <c r="AB645" t="s">
        <v>50</v>
      </c>
    </row>
    <row r="646" spans="1:28" x14ac:dyDescent="0.3">
      <c r="A646" t="s">
        <v>5286</v>
      </c>
      <c r="B646" t="s">
        <v>5285</v>
      </c>
      <c r="C646" t="s">
        <v>5285</v>
      </c>
      <c r="D646" t="s">
        <v>22</v>
      </c>
      <c r="E646">
        <v>90</v>
      </c>
      <c r="F646">
        <v>90</v>
      </c>
      <c r="G646" t="s">
        <v>21</v>
      </c>
      <c r="H646" t="s">
        <v>21</v>
      </c>
      <c r="I646" t="s">
        <v>20</v>
      </c>
      <c r="J646" t="s">
        <v>20</v>
      </c>
      <c r="K646" s="1">
        <v>46008</v>
      </c>
      <c r="L646" s="1" t="str">
        <f>IF(K646&gt;O646,"Valid","Invalid")</f>
        <v>Valid</v>
      </c>
      <c r="M646" s="1" t="b">
        <f>ISNUMBER(K646)</f>
        <v>1</v>
      </c>
      <c r="N646" s="1" t="b">
        <f>ISNUMBER(O646)</f>
        <v>1</v>
      </c>
      <c r="O646" s="1">
        <v>45989</v>
      </c>
      <c r="P646" t="s">
        <v>5284</v>
      </c>
      <c r="Q646" t="str">
        <f>SUBSTITUTE(SUBSTITUTE(SUBSTITUTE(P646," ",""),"-",""),"+","")</f>
        <v>915011123327</v>
      </c>
      <c r="R646" t="str">
        <f t="shared" si="20"/>
        <v>5011123327</v>
      </c>
      <c r="S646" t="str">
        <f>IF(LEN(R646),"Valid","Invalid")</f>
        <v>Valid</v>
      </c>
      <c r="T646" t="s">
        <v>5283</v>
      </c>
      <c r="V646" t="s">
        <v>57</v>
      </c>
      <c r="X646">
        <v>18446.87</v>
      </c>
      <c r="Y646" t="s">
        <v>27</v>
      </c>
      <c r="Z646">
        <v>363</v>
      </c>
      <c r="AA646">
        <f t="shared" si="21"/>
        <v>363</v>
      </c>
      <c r="AB646" t="s">
        <v>25</v>
      </c>
    </row>
    <row r="647" spans="1:28" x14ac:dyDescent="0.3">
      <c r="A647" t="s">
        <v>5282</v>
      </c>
      <c r="B647" t="s">
        <v>5281</v>
      </c>
      <c r="C647" t="s">
        <v>5281</v>
      </c>
      <c r="D647" t="s">
        <v>60</v>
      </c>
      <c r="E647">
        <v>7</v>
      </c>
      <c r="F647">
        <v>7</v>
      </c>
      <c r="G647" t="s">
        <v>80</v>
      </c>
      <c r="H647" t="s">
        <v>80</v>
      </c>
      <c r="I647" t="s">
        <v>90</v>
      </c>
      <c r="J647" t="s">
        <v>67</v>
      </c>
      <c r="K647" s="1">
        <v>46097</v>
      </c>
      <c r="L647" s="1" t="str">
        <f>IF(K647&gt;O647,"Valid","Invalid")</f>
        <v>Valid</v>
      </c>
      <c r="M647" s="1" t="b">
        <f>ISNUMBER(K647)</f>
        <v>1</v>
      </c>
      <c r="N647" s="1" t="b">
        <f>ISNUMBER(O647)</f>
        <v>1</v>
      </c>
      <c r="O647" s="1">
        <v>46086</v>
      </c>
      <c r="P647" t="s">
        <v>5280</v>
      </c>
      <c r="Q647" t="str">
        <f>SUBSTITUTE(SUBSTITUTE(SUBSTITUTE(P647," ",""),"-",""),"+","")</f>
        <v>05891973925</v>
      </c>
      <c r="R647" t="str">
        <f t="shared" si="20"/>
        <v>5891973925</v>
      </c>
      <c r="S647" t="str">
        <f>IF(LEN(R647),"Valid","Invalid")</f>
        <v>Valid</v>
      </c>
      <c r="T647" t="s">
        <v>5279</v>
      </c>
      <c r="V647" t="s">
        <v>123</v>
      </c>
      <c r="X647">
        <v>15554.51</v>
      </c>
      <c r="Y647" t="s">
        <v>17</v>
      </c>
      <c r="Z647">
        <v>287</v>
      </c>
      <c r="AA647">
        <f t="shared" si="21"/>
        <v>287</v>
      </c>
      <c r="AB647" t="s">
        <v>71</v>
      </c>
    </row>
    <row r="648" spans="1:28" x14ac:dyDescent="0.3">
      <c r="A648" t="s">
        <v>5278</v>
      </c>
      <c r="B648" t="s">
        <v>5277</v>
      </c>
      <c r="C648" t="s">
        <v>5277</v>
      </c>
      <c r="D648" t="s">
        <v>74</v>
      </c>
      <c r="E648">
        <v>72</v>
      </c>
      <c r="F648">
        <v>72</v>
      </c>
      <c r="G648" t="s">
        <v>21</v>
      </c>
      <c r="H648" t="s">
        <v>21</v>
      </c>
      <c r="I648" t="s">
        <v>53</v>
      </c>
      <c r="J648" t="s">
        <v>20</v>
      </c>
      <c r="K648" s="1">
        <v>46150</v>
      </c>
      <c r="L648" s="1" t="str">
        <f>IF(K648&gt;O648,"Valid","Invalid")</f>
        <v>Valid</v>
      </c>
      <c r="M648" s="1" t="b">
        <f>ISNUMBER(K648)</f>
        <v>1</v>
      </c>
      <c r="N648" s="1" t="b">
        <f>ISNUMBER(O648)</f>
        <v>1</v>
      </c>
      <c r="O648" s="1">
        <v>46140</v>
      </c>
      <c r="P648" t="s">
        <v>5276</v>
      </c>
      <c r="Q648" t="str">
        <f>SUBSTITUTE(SUBSTITUTE(SUBSTITUTE(P648," ",""),"-",""),"+","")</f>
        <v>05290869855</v>
      </c>
      <c r="R648" t="str">
        <f t="shared" si="20"/>
        <v>5290869855</v>
      </c>
      <c r="S648" t="str">
        <f>IF(LEN(R648),"Valid","Invalid")</f>
        <v>Valid</v>
      </c>
      <c r="T648" t="s">
        <v>5275</v>
      </c>
      <c r="V648" t="s">
        <v>17</v>
      </c>
      <c r="X648">
        <v>13582.92</v>
      </c>
      <c r="Y648" t="s">
        <v>123</v>
      </c>
      <c r="Z648">
        <v>477</v>
      </c>
      <c r="AA648">
        <f t="shared" si="21"/>
        <v>477</v>
      </c>
      <c r="AB648" t="s">
        <v>50</v>
      </c>
    </row>
    <row r="649" spans="1:28" x14ac:dyDescent="0.3">
      <c r="A649" t="s">
        <v>5274</v>
      </c>
      <c r="B649" t="s">
        <v>5273</v>
      </c>
      <c r="C649" t="s">
        <v>5273</v>
      </c>
      <c r="D649" t="s">
        <v>1</v>
      </c>
      <c r="E649">
        <v>29</v>
      </c>
      <c r="F649">
        <v>29</v>
      </c>
      <c r="G649" t="s">
        <v>31</v>
      </c>
      <c r="H649" t="s">
        <v>31</v>
      </c>
      <c r="I649" t="s">
        <v>67</v>
      </c>
      <c r="J649" t="s">
        <v>67</v>
      </c>
      <c r="K649" s="1">
        <v>46099</v>
      </c>
      <c r="L649" s="1" t="str">
        <f>IF(K649&gt;O649,"Valid","Invalid")</f>
        <v>Valid</v>
      </c>
      <c r="M649" s="1" t="b">
        <f>ISNUMBER(K649)</f>
        <v>1</v>
      </c>
      <c r="N649" s="1" t="b">
        <f>ISNUMBER(O649)</f>
        <v>1</v>
      </c>
      <c r="O649" s="1">
        <v>46071</v>
      </c>
      <c r="P649" t="s">
        <v>5272</v>
      </c>
      <c r="Q649" t="str">
        <f>SUBSTITUTE(SUBSTITUTE(SUBSTITUTE(P649," ",""),"-",""),"+","")</f>
        <v>7886725404</v>
      </c>
      <c r="R649" t="str">
        <f t="shared" si="20"/>
        <v>7886725404</v>
      </c>
      <c r="S649" t="str">
        <f>IF(LEN(R649),"Valid","Invalid")</f>
        <v>Valid</v>
      </c>
      <c r="T649" t="s">
        <v>5271</v>
      </c>
      <c r="V649" t="s">
        <v>26</v>
      </c>
      <c r="X649">
        <v>12688.44</v>
      </c>
      <c r="Y649" t="s">
        <v>123</v>
      </c>
      <c r="Z649">
        <v>241</v>
      </c>
      <c r="AA649">
        <f t="shared" si="21"/>
        <v>241</v>
      </c>
      <c r="AB649" t="s">
        <v>77</v>
      </c>
    </row>
    <row r="650" spans="1:28" x14ac:dyDescent="0.3">
      <c r="A650" t="s">
        <v>5270</v>
      </c>
      <c r="B650" t="s">
        <v>5269</v>
      </c>
      <c r="C650" t="s">
        <v>5269</v>
      </c>
      <c r="D650" t="s">
        <v>74</v>
      </c>
      <c r="E650">
        <v>48</v>
      </c>
      <c r="F650">
        <v>48</v>
      </c>
      <c r="G650" t="s">
        <v>31</v>
      </c>
      <c r="H650" t="s">
        <v>31</v>
      </c>
      <c r="I650" t="s">
        <v>85</v>
      </c>
      <c r="J650" t="s">
        <v>85</v>
      </c>
      <c r="K650" s="1">
        <v>45992</v>
      </c>
      <c r="L650" s="1" t="str">
        <f>IF(K650&gt;O650,"Valid","Invalid")</f>
        <v>Valid</v>
      </c>
      <c r="M650" s="1" t="b">
        <f>ISNUMBER(K650)</f>
        <v>1</v>
      </c>
      <c r="N650" s="1" t="b">
        <f>ISNUMBER(O650)</f>
        <v>1</v>
      </c>
      <c r="O650" s="1">
        <v>45977</v>
      </c>
      <c r="P650" t="s">
        <v>5268</v>
      </c>
      <c r="Q650" t="str">
        <f>SUBSTITUTE(SUBSTITUTE(SUBSTITUTE(P650," ",""),"-",""),"+","")</f>
        <v>919710589267</v>
      </c>
      <c r="R650" t="str">
        <f t="shared" si="20"/>
        <v>9710589267</v>
      </c>
      <c r="S650" t="str">
        <f>IF(LEN(R650),"Valid","Invalid")</f>
        <v>Valid</v>
      </c>
      <c r="T650" t="s">
        <v>5267</v>
      </c>
      <c r="V650" t="s">
        <v>64</v>
      </c>
      <c r="X650">
        <v>11860.06</v>
      </c>
      <c r="Y650" t="s">
        <v>63</v>
      </c>
      <c r="Z650">
        <v>331</v>
      </c>
      <c r="AA650">
        <f t="shared" si="21"/>
        <v>331</v>
      </c>
      <c r="AB650" t="s">
        <v>34</v>
      </c>
    </row>
    <row r="651" spans="1:28" x14ac:dyDescent="0.3">
      <c r="A651" t="s">
        <v>5266</v>
      </c>
      <c r="B651" t="s">
        <v>5265</v>
      </c>
      <c r="C651" t="s">
        <v>5265</v>
      </c>
      <c r="D651" t="s">
        <v>60</v>
      </c>
      <c r="E651">
        <v>87</v>
      </c>
      <c r="F651">
        <v>87</v>
      </c>
      <c r="G651" t="s">
        <v>80</v>
      </c>
      <c r="H651" t="s">
        <v>80</v>
      </c>
      <c r="I651" t="s">
        <v>38</v>
      </c>
      <c r="J651" t="s">
        <v>8077</v>
      </c>
      <c r="K651" s="1">
        <v>46048</v>
      </c>
      <c r="L651" s="1" t="str">
        <f>IF(K651&gt;O651,"Valid","Invalid")</f>
        <v>Valid</v>
      </c>
      <c r="M651" s="1" t="b">
        <f>ISNUMBER(K651)</f>
        <v>1</v>
      </c>
      <c r="N651" s="1" t="b">
        <f>ISNUMBER(O651)</f>
        <v>1</v>
      </c>
      <c r="O651" s="1">
        <v>46020</v>
      </c>
      <c r="P651" t="s">
        <v>5264</v>
      </c>
      <c r="Q651" t="str">
        <f>SUBSTITUTE(SUBSTITUTE(SUBSTITUTE(P651," ",""),"-",""),"+","")</f>
        <v>09191580291</v>
      </c>
      <c r="R651" t="str">
        <f t="shared" si="20"/>
        <v>9191580291</v>
      </c>
      <c r="S651" t="str">
        <f>IF(LEN(R651),"Valid","Invalid")</f>
        <v>Valid</v>
      </c>
      <c r="T651" t="s">
        <v>5263</v>
      </c>
      <c r="V651" t="s">
        <v>123</v>
      </c>
      <c r="X651">
        <v>2365.2600000000002</v>
      </c>
      <c r="Y651" t="s">
        <v>123</v>
      </c>
      <c r="Z651">
        <v>191</v>
      </c>
      <c r="AA651">
        <f t="shared" si="21"/>
        <v>191</v>
      </c>
      <c r="AB651" t="s">
        <v>43</v>
      </c>
    </row>
    <row r="652" spans="1:28" x14ac:dyDescent="0.3">
      <c r="A652" t="s">
        <v>5262</v>
      </c>
      <c r="B652" t="s">
        <v>5261</v>
      </c>
      <c r="C652" t="s">
        <v>5261</v>
      </c>
      <c r="D652" t="s">
        <v>74</v>
      </c>
      <c r="E652">
        <v>14</v>
      </c>
      <c r="F652">
        <v>14</v>
      </c>
      <c r="G652" t="s">
        <v>39</v>
      </c>
      <c r="H652" t="s">
        <v>39</v>
      </c>
      <c r="I652" t="s">
        <v>30</v>
      </c>
      <c r="J652" t="s">
        <v>30</v>
      </c>
      <c r="K652" s="1">
        <v>46151</v>
      </c>
      <c r="L652" s="1" t="str">
        <f>IF(K652&gt;O652,"Valid","Invalid")</f>
        <v>Valid</v>
      </c>
      <c r="M652" s="1" t="b">
        <f>ISNUMBER(K652)</f>
        <v>1</v>
      </c>
      <c r="N652" s="1" t="b">
        <f>ISNUMBER(O652)</f>
        <v>1</v>
      </c>
      <c r="O652" s="1">
        <v>46148</v>
      </c>
      <c r="P652" t="s">
        <v>5260</v>
      </c>
      <c r="Q652" t="str">
        <f>SUBSTITUTE(SUBSTITUTE(SUBSTITUTE(P652," ",""),"-",""),"+","")</f>
        <v>0699572504</v>
      </c>
      <c r="R652" t="str">
        <f t="shared" si="20"/>
        <v>0699572504</v>
      </c>
      <c r="S652" t="str">
        <f>IF(LEN(R652),"Valid","Invalid")</f>
        <v>Valid</v>
      </c>
      <c r="T652" t="s">
        <v>5259</v>
      </c>
      <c r="V652" t="s">
        <v>35</v>
      </c>
      <c r="X652">
        <v>12508.95</v>
      </c>
      <c r="Y652" t="s">
        <v>57</v>
      </c>
      <c r="Z652">
        <v>366</v>
      </c>
      <c r="AA652">
        <f t="shared" si="21"/>
        <v>366</v>
      </c>
      <c r="AB652" t="s">
        <v>25</v>
      </c>
    </row>
    <row r="653" spans="1:28" x14ac:dyDescent="0.3">
      <c r="A653" t="s">
        <v>5258</v>
      </c>
      <c r="B653" t="s">
        <v>5257</v>
      </c>
      <c r="C653" t="s">
        <v>5257</v>
      </c>
      <c r="D653" t="s">
        <v>40</v>
      </c>
      <c r="E653">
        <v>38</v>
      </c>
      <c r="F653">
        <v>38</v>
      </c>
      <c r="G653" t="s">
        <v>54</v>
      </c>
      <c r="H653" t="s">
        <v>54</v>
      </c>
      <c r="I653" t="s">
        <v>53</v>
      </c>
      <c r="J653" t="s">
        <v>20</v>
      </c>
      <c r="K653" s="1">
        <v>46009</v>
      </c>
      <c r="L653" s="1" t="str">
        <f>IF(K653&gt;O653,"Valid","Invalid")</f>
        <v>Valid</v>
      </c>
      <c r="M653" s="1" t="b">
        <f>ISNUMBER(K653)</f>
        <v>1</v>
      </c>
      <c r="N653" s="1" t="b">
        <f>ISNUMBER(O653)</f>
        <v>1</v>
      </c>
      <c r="O653" s="1">
        <v>45994</v>
      </c>
      <c r="P653" t="s">
        <v>5256</v>
      </c>
      <c r="Q653" t="str">
        <f>SUBSTITUTE(SUBSTITUTE(SUBSTITUTE(P653," ",""),"-",""),"+","")</f>
        <v>915398463019</v>
      </c>
      <c r="R653" t="str">
        <f t="shared" si="20"/>
        <v>5398463019</v>
      </c>
      <c r="S653" t="str">
        <f>IF(LEN(R653),"Valid","Invalid")</f>
        <v>Valid</v>
      </c>
      <c r="T653" t="s">
        <v>5255</v>
      </c>
      <c r="V653" t="s">
        <v>57</v>
      </c>
      <c r="X653">
        <v>10619.22</v>
      </c>
      <c r="Y653" t="s">
        <v>27</v>
      </c>
      <c r="Z653">
        <v>249</v>
      </c>
      <c r="AA653">
        <f t="shared" si="21"/>
        <v>249</v>
      </c>
      <c r="AB653" t="s">
        <v>71</v>
      </c>
    </row>
    <row r="654" spans="1:28" x14ac:dyDescent="0.3">
      <c r="A654" t="s">
        <v>5254</v>
      </c>
      <c r="B654" t="s">
        <v>5253</v>
      </c>
      <c r="C654" t="s">
        <v>5253</v>
      </c>
      <c r="D654" t="s">
        <v>74</v>
      </c>
      <c r="E654">
        <v>3</v>
      </c>
      <c r="F654">
        <v>3</v>
      </c>
      <c r="G654" t="s">
        <v>21</v>
      </c>
      <c r="H654" t="s">
        <v>21</v>
      </c>
      <c r="I654" t="s">
        <v>67</v>
      </c>
      <c r="J654" t="s">
        <v>67</v>
      </c>
      <c r="K654" s="1">
        <v>46132</v>
      </c>
      <c r="L654" s="1" t="str">
        <f>IF(K654&gt;O654,"Valid","Invalid")</f>
        <v>Valid</v>
      </c>
      <c r="M654" s="1" t="b">
        <f>ISNUMBER(K654)</f>
        <v>1</v>
      </c>
      <c r="N654" s="1" t="b">
        <f>ISNUMBER(O654)</f>
        <v>1</v>
      </c>
      <c r="O654" s="1">
        <v>46119</v>
      </c>
      <c r="P654" t="s">
        <v>5252</v>
      </c>
      <c r="Q654" t="str">
        <f>SUBSTITUTE(SUBSTITUTE(SUBSTITUTE(P654," ",""),"-",""),"+","")</f>
        <v>912163359923</v>
      </c>
      <c r="R654" t="str">
        <f t="shared" si="20"/>
        <v>2163359923</v>
      </c>
      <c r="S654" t="str">
        <f>IF(LEN(R654),"Valid","Invalid")</f>
        <v>Valid</v>
      </c>
      <c r="T654" t="s">
        <v>5251</v>
      </c>
      <c r="V654" t="s">
        <v>57</v>
      </c>
      <c r="X654">
        <v>16462.86</v>
      </c>
      <c r="Y654" t="s">
        <v>17</v>
      </c>
      <c r="Z654">
        <v>348</v>
      </c>
      <c r="AA654">
        <f t="shared" si="21"/>
        <v>348</v>
      </c>
      <c r="AB654" t="s">
        <v>34</v>
      </c>
    </row>
    <row r="655" spans="1:28" x14ac:dyDescent="0.3">
      <c r="A655" t="s">
        <v>5250</v>
      </c>
      <c r="B655" t="s">
        <v>5249</v>
      </c>
      <c r="C655" t="s">
        <v>5249</v>
      </c>
      <c r="E655">
        <v>59</v>
      </c>
      <c r="F655">
        <v>59</v>
      </c>
      <c r="G655" t="s">
        <v>132</v>
      </c>
      <c r="H655" t="s">
        <v>132</v>
      </c>
      <c r="I655" t="s">
        <v>53</v>
      </c>
      <c r="J655" t="s">
        <v>20</v>
      </c>
      <c r="K655" s="1">
        <v>46166</v>
      </c>
      <c r="L655" s="1" t="str">
        <f>IF(K655&gt;O655,"Valid","Invalid")</f>
        <v>Valid</v>
      </c>
      <c r="M655" s="1" t="b">
        <f>ISNUMBER(K655)</f>
        <v>1</v>
      </c>
      <c r="N655" s="1" t="b">
        <f>ISNUMBER(O655)</f>
        <v>1</v>
      </c>
      <c r="O655" s="1">
        <v>46138</v>
      </c>
      <c r="P655" t="s">
        <v>5248</v>
      </c>
      <c r="Q655" t="str">
        <f>SUBSTITUTE(SUBSTITUTE(SUBSTITUTE(P655," ",""),"-",""),"+","")</f>
        <v>912793416033</v>
      </c>
      <c r="R655" t="str">
        <f t="shared" si="20"/>
        <v>2793416033</v>
      </c>
      <c r="S655" t="str">
        <f>IF(LEN(R655),"Valid","Invalid")</f>
        <v>Valid</v>
      </c>
      <c r="T655" t="s">
        <v>5247</v>
      </c>
      <c r="V655" t="s">
        <v>26</v>
      </c>
      <c r="X655">
        <v>4459.08</v>
      </c>
      <c r="Y655" t="s">
        <v>63</v>
      </c>
      <c r="Z655">
        <v>216</v>
      </c>
      <c r="AA655">
        <f t="shared" si="21"/>
        <v>216</v>
      </c>
      <c r="AB655" t="s">
        <v>16</v>
      </c>
    </row>
    <row r="656" spans="1:28" x14ac:dyDescent="0.3">
      <c r="A656" t="s">
        <v>5246</v>
      </c>
      <c r="B656" t="s">
        <v>5245</v>
      </c>
      <c r="C656" t="s">
        <v>5245</v>
      </c>
      <c r="D656" t="s">
        <v>60</v>
      </c>
      <c r="E656">
        <v>37</v>
      </c>
      <c r="F656">
        <v>37</v>
      </c>
      <c r="G656" t="s">
        <v>47</v>
      </c>
      <c r="H656" t="s">
        <v>47</v>
      </c>
      <c r="I656" t="s">
        <v>53</v>
      </c>
      <c r="J656" t="s">
        <v>20</v>
      </c>
      <c r="K656" s="1">
        <v>46076</v>
      </c>
      <c r="L656" s="1" t="str">
        <f>IF(K656&gt;O656,"Valid","Invalid")</f>
        <v>Valid</v>
      </c>
      <c r="M656" s="1" t="b">
        <f>ISNUMBER(K656)</f>
        <v>1</v>
      </c>
      <c r="N656" s="1" t="b">
        <f>ISNUMBER(O656)</f>
        <v>1</v>
      </c>
      <c r="O656" s="1">
        <v>46065</v>
      </c>
      <c r="P656" t="s">
        <v>5244</v>
      </c>
      <c r="Q656" t="str">
        <f>SUBSTITUTE(SUBSTITUTE(SUBSTITUTE(P656," ",""),"-",""),"+","")</f>
        <v>4403183011</v>
      </c>
      <c r="R656" t="str">
        <f t="shared" si="20"/>
        <v>4403183011</v>
      </c>
      <c r="S656" t="str">
        <f>IF(LEN(R656),"Valid","Invalid")</f>
        <v>Valid</v>
      </c>
      <c r="T656" t="s">
        <v>5243</v>
      </c>
      <c r="V656" t="s">
        <v>26</v>
      </c>
      <c r="X656">
        <v>11506.98</v>
      </c>
      <c r="Y656" t="s">
        <v>26</v>
      </c>
      <c r="Z656">
        <v>416</v>
      </c>
      <c r="AA656">
        <f t="shared" si="21"/>
        <v>416</v>
      </c>
      <c r="AB656" t="s">
        <v>71</v>
      </c>
    </row>
    <row r="657" spans="1:28" x14ac:dyDescent="0.3">
      <c r="A657" t="s">
        <v>5242</v>
      </c>
      <c r="B657" t="s">
        <v>5241</v>
      </c>
      <c r="C657" t="s">
        <v>5241</v>
      </c>
      <c r="D657" t="s">
        <v>22</v>
      </c>
      <c r="E657">
        <v>24</v>
      </c>
      <c r="F657">
        <v>24</v>
      </c>
      <c r="G657" t="s">
        <v>39</v>
      </c>
      <c r="H657" t="s">
        <v>39</v>
      </c>
      <c r="I657" t="s">
        <v>53</v>
      </c>
      <c r="J657" t="s">
        <v>20</v>
      </c>
      <c r="K657" s="1">
        <v>46137</v>
      </c>
      <c r="L657" s="1" t="str">
        <f>IF(K657&gt;O657,"Valid","Invalid")</f>
        <v>Valid</v>
      </c>
      <c r="M657" s="1" t="b">
        <f>ISNUMBER(K657)</f>
        <v>1</v>
      </c>
      <c r="N657" s="1" t="b">
        <f>ISNUMBER(O657)</f>
        <v>1</v>
      </c>
      <c r="O657" s="1">
        <v>46132</v>
      </c>
      <c r="P657" t="s">
        <v>5240</v>
      </c>
      <c r="Q657" t="str">
        <f>SUBSTITUTE(SUBSTITUTE(SUBSTITUTE(P657," ",""),"-",""),"+","")</f>
        <v>2734392857</v>
      </c>
      <c r="R657" t="str">
        <f t="shared" si="20"/>
        <v>2734392857</v>
      </c>
      <c r="S657" t="str">
        <f>IF(LEN(R657),"Valid","Invalid")</f>
        <v>Valid</v>
      </c>
      <c r="T657" t="s">
        <v>5239</v>
      </c>
      <c r="V657" t="s">
        <v>17</v>
      </c>
      <c r="X657">
        <v>3099.55</v>
      </c>
      <c r="Y657" t="s">
        <v>17</v>
      </c>
      <c r="Z657">
        <v>394</v>
      </c>
      <c r="AA657">
        <f t="shared" si="21"/>
        <v>394</v>
      </c>
      <c r="AB657" t="s">
        <v>71</v>
      </c>
    </row>
    <row r="658" spans="1:28" x14ac:dyDescent="0.3">
      <c r="A658" t="s">
        <v>5238</v>
      </c>
      <c r="B658" t="s">
        <v>5237</v>
      </c>
      <c r="C658" t="s">
        <v>5237</v>
      </c>
      <c r="E658">
        <v>34</v>
      </c>
      <c r="F658">
        <v>34</v>
      </c>
      <c r="G658" t="s">
        <v>31</v>
      </c>
      <c r="H658" t="s">
        <v>31</v>
      </c>
      <c r="I658" t="s">
        <v>53</v>
      </c>
      <c r="J658" t="s">
        <v>20</v>
      </c>
      <c r="K658" s="1">
        <v>46142</v>
      </c>
      <c r="L658" s="1" t="str">
        <f>IF(K658&gt;O658,"Valid","Invalid")</f>
        <v>Valid</v>
      </c>
      <c r="M658" s="1" t="b">
        <f>ISNUMBER(K658)</f>
        <v>1</v>
      </c>
      <c r="N658" s="1" t="b">
        <f>ISNUMBER(O658)</f>
        <v>1</v>
      </c>
      <c r="O658" s="1">
        <v>46136</v>
      </c>
      <c r="P658" t="s">
        <v>5236</v>
      </c>
      <c r="Q658" t="str">
        <f>SUBSTITUTE(SUBSTITUTE(SUBSTITUTE(P658," ",""),"-",""),"+","")</f>
        <v>9665441874</v>
      </c>
      <c r="R658" t="str">
        <f t="shared" si="20"/>
        <v>9665441874</v>
      </c>
      <c r="S658" t="str">
        <f>IF(LEN(R658),"Valid","Invalid")</f>
        <v>Valid</v>
      </c>
      <c r="T658" t="s">
        <v>5235</v>
      </c>
      <c r="V658" t="s">
        <v>27</v>
      </c>
      <c r="X658">
        <v>16705.72</v>
      </c>
      <c r="Y658" t="s">
        <v>17</v>
      </c>
      <c r="Z658">
        <v>175</v>
      </c>
      <c r="AA658">
        <f t="shared" si="21"/>
        <v>175</v>
      </c>
      <c r="AB658" t="s">
        <v>43</v>
      </c>
    </row>
    <row r="659" spans="1:28" x14ac:dyDescent="0.3">
      <c r="A659" t="s">
        <v>5234</v>
      </c>
      <c r="B659" t="s">
        <v>4344</v>
      </c>
      <c r="C659" t="s">
        <v>4344</v>
      </c>
      <c r="E659">
        <v>70</v>
      </c>
      <c r="F659">
        <v>70</v>
      </c>
      <c r="G659" t="s">
        <v>39</v>
      </c>
      <c r="H659" t="s">
        <v>39</v>
      </c>
      <c r="I659" t="s">
        <v>30</v>
      </c>
      <c r="J659" t="s">
        <v>30</v>
      </c>
      <c r="K659" s="1">
        <v>46102</v>
      </c>
      <c r="L659" s="1" t="str">
        <f>IF(K659&gt;O659,"Valid","Invalid")</f>
        <v>Valid</v>
      </c>
      <c r="M659" s="1" t="b">
        <f>ISNUMBER(K659)</f>
        <v>1</v>
      </c>
      <c r="N659" s="1" t="b">
        <f>ISNUMBER(O659)</f>
        <v>1</v>
      </c>
      <c r="O659" s="1">
        <v>46099</v>
      </c>
      <c r="P659" t="s">
        <v>5233</v>
      </c>
      <c r="Q659" t="str">
        <f>SUBSTITUTE(SUBSTITUTE(SUBSTITUTE(P659," ",""),"-",""),"+","")</f>
        <v>7085556926</v>
      </c>
      <c r="R659" t="str">
        <f t="shared" si="20"/>
        <v>7085556926</v>
      </c>
      <c r="S659" t="str">
        <f>IF(LEN(R659),"Valid","Invalid")</f>
        <v>Valid</v>
      </c>
      <c r="T659" t="s">
        <v>5232</v>
      </c>
      <c r="V659" t="s">
        <v>27</v>
      </c>
      <c r="X659">
        <v>10233.15</v>
      </c>
      <c r="Y659" t="s">
        <v>123</v>
      </c>
      <c r="Z659">
        <v>493</v>
      </c>
      <c r="AA659">
        <f t="shared" si="21"/>
        <v>493</v>
      </c>
      <c r="AB659" t="s">
        <v>71</v>
      </c>
    </row>
    <row r="660" spans="1:28" x14ac:dyDescent="0.3">
      <c r="A660" t="s">
        <v>5231</v>
      </c>
      <c r="B660" t="s">
        <v>5230</v>
      </c>
      <c r="C660" t="s">
        <v>5230</v>
      </c>
      <c r="E660">
        <v>41</v>
      </c>
      <c r="F660">
        <v>41</v>
      </c>
      <c r="G660" t="s">
        <v>39</v>
      </c>
      <c r="H660" t="s">
        <v>39</v>
      </c>
      <c r="I660" t="s">
        <v>46</v>
      </c>
      <c r="J660" t="s">
        <v>46</v>
      </c>
      <c r="K660" s="1">
        <v>46068</v>
      </c>
      <c r="L660" s="1" t="str">
        <f>IF(K660&gt;O660,"Valid","Invalid")</f>
        <v>Valid</v>
      </c>
      <c r="M660" s="1" t="b">
        <f>ISNUMBER(K660)</f>
        <v>1</v>
      </c>
      <c r="N660" s="1" t="b">
        <f>ISNUMBER(O660)</f>
        <v>1</v>
      </c>
      <c r="O660" s="1">
        <v>46045</v>
      </c>
      <c r="P660" t="s">
        <v>5229</v>
      </c>
      <c r="Q660" t="str">
        <f>SUBSTITUTE(SUBSTITUTE(SUBSTITUTE(P660," ",""),"-",""),"+","")</f>
        <v>1405729456</v>
      </c>
      <c r="R660" t="str">
        <f t="shared" si="20"/>
        <v>1405729456</v>
      </c>
      <c r="S660" t="str">
        <f>IF(LEN(R660),"Valid","Invalid")</f>
        <v>Valid</v>
      </c>
      <c r="T660" t="s">
        <v>5228</v>
      </c>
      <c r="V660" t="s">
        <v>57</v>
      </c>
      <c r="X660">
        <v>16251.65</v>
      </c>
      <c r="Y660" t="s">
        <v>63</v>
      </c>
      <c r="Z660">
        <v>342</v>
      </c>
      <c r="AA660">
        <f t="shared" si="21"/>
        <v>342</v>
      </c>
      <c r="AB660" t="s">
        <v>43</v>
      </c>
    </row>
    <row r="661" spans="1:28" x14ac:dyDescent="0.3">
      <c r="A661" t="s">
        <v>5227</v>
      </c>
      <c r="B661" t="s">
        <v>5226</v>
      </c>
      <c r="C661" t="s">
        <v>5226</v>
      </c>
      <c r="D661" t="s">
        <v>0</v>
      </c>
      <c r="E661">
        <v>73</v>
      </c>
      <c r="F661">
        <v>73</v>
      </c>
      <c r="G661" t="s">
        <v>68</v>
      </c>
      <c r="H661" t="s">
        <v>68</v>
      </c>
      <c r="I661" t="s">
        <v>67</v>
      </c>
      <c r="J661" t="s">
        <v>67</v>
      </c>
      <c r="K661" s="1">
        <v>46161</v>
      </c>
      <c r="L661" s="1" t="str">
        <f>IF(K661&gt;O661,"Valid","Invalid")</f>
        <v>Valid</v>
      </c>
      <c r="M661" s="1" t="b">
        <f>ISNUMBER(K661)</f>
        <v>1</v>
      </c>
      <c r="N661" s="1" t="b">
        <f>ISNUMBER(O661)</f>
        <v>1</v>
      </c>
      <c r="O661" s="1">
        <v>46139</v>
      </c>
      <c r="P661" t="s">
        <v>5225</v>
      </c>
      <c r="Q661" t="str">
        <f>SUBSTITUTE(SUBSTITUTE(SUBSTITUTE(P661," ",""),"-",""),"+","")</f>
        <v>0343938875</v>
      </c>
      <c r="R661" t="str">
        <f t="shared" si="20"/>
        <v>0343938875</v>
      </c>
      <c r="S661" t="str">
        <f>IF(LEN(R661),"Valid","Invalid")</f>
        <v>Valid</v>
      </c>
      <c r="T661" t="s">
        <v>5224</v>
      </c>
      <c r="V661" t="s">
        <v>64</v>
      </c>
      <c r="X661">
        <v>18344.68</v>
      </c>
      <c r="Y661" t="s">
        <v>27</v>
      </c>
      <c r="Z661">
        <v>171</v>
      </c>
      <c r="AA661">
        <f t="shared" si="21"/>
        <v>171</v>
      </c>
      <c r="AB661" t="s">
        <v>25</v>
      </c>
    </row>
    <row r="662" spans="1:28" x14ac:dyDescent="0.3">
      <c r="A662" t="s">
        <v>5223</v>
      </c>
      <c r="B662" t="s">
        <v>5222</v>
      </c>
      <c r="C662" t="s">
        <v>5222</v>
      </c>
      <c r="D662" t="s">
        <v>74</v>
      </c>
      <c r="E662">
        <v>40</v>
      </c>
      <c r="F662">
        <v>40</v>
      </c>
      <c r="G662" t="s">
        <v>47</v>
      </c>
      <c r="H662" t="s">
        <v>47</v>
      </c>
      <c r="I662" t="s">
        <v>90</v>
      </c>
      <c r="J662" t="s">
        <v>67</v>
      </c>
      <c r="K662" s="1">
        <v>46040</v>
      </c>
      <c r="L662" s="1" t="str">
        <f>IF(K662&gt;O662,"Valid","Invalid")</f>
        <v>Valid</v>
      </c>
      <c r="M662" s="1" t="b">
        <f>ISNUMBER(K662)</f>
        <v>1</v>
      </c>
      <c r="N662" s="1" t="b">
        <f>ISNUMBER(O662)</f>
        <v>1</v>
      </c>
      <c r="O662" s="1">
        <v>46021</v>
      </c>
      <c r="P662" t="s">
        <v>5221</v>
      </c>
      <c r="Q662" t="str">
        <f>SUBSTITUTE(SUBSTITUTE(SUBSTITUTE(P662," ",""),"-",""),"+","")</f>
        <v>04219171751</v>
      </c>
      <c r="R662" t="str">
        <f t="shared" si="20"/>
        <v>4219171751</v>
      </c>
      <c r="S662" t="str">
        <f>IF(LEN(R662),"Valid","Invalid")</f>
        <v>Valid</v>
      </c>
      <c r="T662" t="s">
        <v>5220</v>
      </c>
      <c r="V662" t="s">
        <v>17</v>
      </c>
      <c r="X662">
        <v>11260.12</v>
      </c>
      <c r="Y662" t="s">
        <v>64</v>
      </c>
      <c r="Z662">
        <v>267</v>
      </c>
      <c r="AA662">
        <f t="shared" si="21"/>
        <v>267</v>
      </c>
      <c r="AB662" t="s">
        <v>77</v>
      </c>
    </row>
    <row r="663" spans="1:28" x14ac:dyDescent="0.3">
      <c r="A663" t="s">
        <v>5215</v>
      </c>
      <c r="B663" t="s">
        <v>5214</v>
      </c>
      <c r="C663" t="s">
        <v>5214</v>
      </c>
      <c r="D663" t="s">
        <v>74</v>
      </c>
      <c r="E663">
        <v>66</v>
      </c>
      <c r="F663">
        <v>66</v>
      </c>
      <c r="G663" t="s">
        <v>54</v>
      </c>
      <c r="H663" t="s">
        <v>54</v>
      </c>
      <c r="I663" t="s">
        <v>38</v>
      </c>
      <c r="J663" t="s">
        <v>8077</v>
      </c>
      <c r="K663" s="1">
        <v>46096</v>
      </c>
      <c r="L663" s="1" t="str">
        <f>IF(K663&gt;O663,"Valid","Invalid")</f>
        <v>Valid</v>
      </c>
      <c r="M663" s="1" t="b">
        <f>ISNUMBER(K663)</f>
        <v>1</v>
      </c>
      <c r="N663" s="1" t="b">
        <f>ISNUMBER(O663)</f>
        <v>1</v>
      </c>
      <c r="O663" s="1">
        <v>46081</v>
      </c>
      <c r="P663" t="s">
        <v>5213</v>
      </c>
      <c r="Q663" t="str">
        <f>SUBSTITUTE(SUBSTITUTE(SUBSTITUTE(P663," ",""),"-",""),"+","")</f>
        <v>913855111685</v>
      </c>
      <c r="R663" t="str">
        <f t="shared" si="20"/>
        <v>3855111685</v>
      </c>
      <c r="S663" t="str">
        <f>IF(LEN(R663),"Valid","Invalid")</f>
        <v>Valid</v>
      </c>
      <c r="T663" t="s">
        <v>5212</v>
      </c>
      <c r="V663" t="s">
        <v>57</v>
      </c>
      <c r="X663">
        <v>15158.66</v>
      </c>
      <c r="Y663" t="s">
        <v>27</v>
      </c>
      <c r="Z663">
        <v>441</v>
      </c>
      <c r="AA663">
        <f t="shared" si="21"/>
        <v>441</v>
      </c>
      <c r="AB663" t="s">
        <v>43</v>
      </c>
    </row>
    <row r="664" spans="1:28" x14ac:dyDescent="0.3">
      <c r="A664" t="s">
        <v>5211</v>
      </c>
      <c r="B664" t="s">
        <v>5210</v>
      </c>
      <c r="C664" t="s">
        <v>5210</v>
      </c>
      <c r="D664" t="s">
        <v>123</v>
      </c>
      <c r="E664">
        <v>19</v>
      </c>
      <c r="F664">
        <v>19</v>
      </c>
      <c r="G664" t="s">
        <v>54</v>
      </c>
      <c r="H664" t="s">
        <v>54</v>
      </c>
      <c r="I664" t="s">
        <v>67</v>
      </c>
      <c r="J664" t="s">
        <v>67</v>
      </c>
      <c r="K664" s="1">
        <v>46121</v>
      </c>
      <c r="L664" s="1" t="str">
        <f>IF(K664&gt;O664,"Valid","Invalid")</f>
        <v>Valid</v>
      </c>
      <c r="M664" s="1" t="b">
        <f>ISNUMBER(K664)</f>
        <v>1</v>
      </c>
      <c r="N664" s="1" t="b">
        <f>ISNUMBER(O664)</f>
        <v>1</v>
      </c>
      <c r="O664" s="1">
        <v>46109</v>
      </c>
      <c r="P664" t="s">
        <v>5209</v>
      </c>
      <c r="Q664" t="str">
        <f>SUBSTITUTE(SUBSTITUTE(SUBSTITUTE(P664," ",""),"-",""),"+","")</f>
        <v>0487868103</v>
      </c>
      <c r="R664" t="str">
        <f t="shared" si="20"/>
        <v>0487868103</v>
      </c>
      <c r="S664" t="str">
        <f>IF(LEN(R664),"Valid","Invalid")</f>
        <v>Valid</v>
      </c>
      <c r="T664" t="s">
        <v>5208</v>
      </c>
      <c r="V664" t="s">
        <v>57</v>
      </c>
      <c r="X664">
        <v>502.33</v>
      </c>
      <c r="Y664" t="s">
        <v>17</v>
      </c>
      <c r="Z664">
        <v>279</v>
      </c>
      <c r="AA664">
        <f t="shared" si="21"/>
        <v>279</v>
      </c>
      <c r="AB664" t="s">
        <v>43</v>
      </c>
    </row>
    <row r="665" spans="1:28" x14ac:dyDescent="0.3">
      <c r="A665" t="s">
        <v>5207</v>
      </c>
      <c r="B665" t="s">
        <v>5206</v>
      </c>
      <c r="C665" t="s">
        <v>5206</v>
      </c>
      <c r="E665">
        <v>72</v>
      </c>
      <c r="F665">
        <v>72</v>
      </c>
      <c r="G665" t="s">
        <v>80</v>
      </c>
      <c r="H665" t="s">
        <v>80</v>
      </c>
      <c r="I665" t="s">
        <v>38</v>
      </c>
      <c r="J665" t="s">
        <v>8077</v>
      </c>
      <c r="K665" s="1">
        <v>46149</v>
      </c>
      <c r="L665" s="1" t="str">
        <f>IF(K665&gt;O665,"Valid","Invalid")</f>
        <v>Valid</v>
      </c>
      <c r="M665" s="1" t="b">
        <f>ISNUMBER(K665)</f>
        <v>1</v>
      </c>
      <c r="N665" s="1" t="b">
        <f>ISNUMBER(O665)</f>
        <v>1</v>
      </c>
      <c r="O665" s="1">
        <v>46126</v>
      </c>
      <c r="P665" t="s">
        <v>5205</v>
      </c>
      <c r="Q665" t="str">
        <f>SUBSTITUTE(SUBSTITUTE(SUBSTITUTE(P665," ",""),"-",""),"+","")</f>
        <v>2325321959</v>
      </c>
      <c r="R665" t="str">
        <f t="shared" si="20"/>
        <v>2325321959</v>
      </c>
      <c r="S665" t="str">
        <f>IF(LEN(R665),"Valid","Invalid")</f>
        <v>Valid</v>
      </c>
      <c r="T665" t="s">
        <v>5204</v>
      </c>
      <c r="V665" t="s">
        <v>123</v>
      </c>
      <c r="X665">
        <v>18589.89</v>
      </c>
      <c r="Y665" t="s">
        <v>123</v>
      </c>
      <c r="Z665">
        <v>511</v>
      </c>
      <c r="AA665">
        <f t="shared" si="21"/>
        <v>511</v>
      </c>
      <c r="AB665" t="s">
        <v>16</v>
      </c>
    </row>
    <row r="666" spans="1:28" x14ac:dyDescent="0.3">
      <c r="A666" t="s">
        <v>5203</v>
      </c>
      <c r="B666" t="s">
        <v>5202</v>
      </c>
      <c r="C666" t="s">
        <v>5202</v>
      </c>
      <c r="D666" t="s">
        <v>22</v>
      </c>
      <c r="E666">
        <v>21</v>
      </c>
      <c r="F666">
        <v>21</v>
      </c>
      <c r="G666" t="s">
        <v>54</v>
      </c>
      <c r="H666" t="s">
        <v>54</v>
      </c>
      <c r="I666" t="s">
        <v>90</v>
      </c>
      <c r="J666" t="s">
        <v>67</v>
      </c>
      <c r="K666" s="1">
        <v>46080</v>
      </c>
      <c r="L666" s="1" t="str">
        <f>IF(K666&gt;O666,"Valid","Invalid")</f>
        <v>Valid</v>
      </c>
      <c r="M666" s="1" t="b">
        <f>ISNUMBER(K666)</f>
        <v>1</v>
      </c>
      <c r="N666" s="1" t="b">
        <f>ISNUMBER(O666)</f>
        <v>1</v>
      </c>
      <c r="O666" s="1">
        <v>46076</v>
      </c>
      <c r="P666" t="s">
        <v>5201</v>
      </c>
      <c r="Q666" t="str">
        <f>SUBSTITUTE(SUBSTITUTE(SUBSTITUTE(P666," ",""),"-",""),"+","")</f>
        <v>9855287115</v>
      </c>
      <c r="R666" t="str">
        <f t="shared" si="20"/>
        <v>9855287115</v>
      </c>
      <c r="S666" t="str">
        <f>IF(LEN(R666),"Valid","Invalid")</f>
        <v>Valid</v>
      </c>
      <c r="T666" t="s">
        <v>5200</v>
      </c>
      <c r="V666" t="s">
        <v>64</v>
      </c>
      <c r="X666">
        <v>3762.25</v>
      </c>
      <c r="Y666" t="s">
        <v>63</v>
      </c>
      <c r="Z666">
        <v>343</v>
      </c>
      <c r="AA666">
        <f t="shared" si="21"/>
        <v>343</v>
      </c>
      <c r="AB666" t="s">
        <v>50</v>
      </c>
    </row>
    <row r="667" spans="1:28" x14ac:dyDescent="0.3">
      <c r="A667" t="s">
        <v>5195</v>
      </c>
      <c r="B667" t="s">
        <v>5194</v>
      </c>
      <c r="C667" t="s">
        <v>5194</v>
      </c>
      <c r="E667">
        <v>73</v>
      </c>
      <c r="F667">
        <v>73</v>
      </c>
      <c r="G667" t="s">
        <v>39</v>
      </c>
      <c r="H667" t="s">
        <v>39</v>
      </c>
      <c r="I667" t="s">
        <v>38</v>
      </c>
      <c r="J667" t="s">
        <v>8077</v>
      </c>
      <c r="K667" s="1">
        <v>46078</v>
      </c>
      <c r="L667" s="1" t="str">
        <f>IF(K667&gt;O667,"Valid","Invalid")</f>
        <v>Valid</v>
      </c>
      <c r="M667" s="1" t="b">
        <f>ISNUMBER(K667)</f>
        <v>1</v>
      </c>
      <c r="N667" s="1" t="b">
        <f>ISNUMBER(O667)</f>
        <v>1</v>
      </c>
      <c r="O667" s="1">
        <v>46073</v>
      </c>
      <c r="P667" t="s">
        <v>5193</v>
      </c>
      <c r="Q667" t="str">
        <f>SUBSTITUTE(SUBSTITUTE(SUBSTITUTE(P667," ",""),"-",""),"+","")</f>
        <v>7740782055</v>
      </c>
      <c r="R667" t="str">
        <f t="shared" si="20"/>
        <v>7740782055</v>
      </c>
      <c r="S667" t="str">
        <f>IF(LEN(R667),"Valid","Invalid")</f>
        <v>Valid</v>
      </c>
      <c r="T667" t="s">
        <v>5192</v>
      </c>
      <c r="V667" t="s">
        <v>123</v>
      </c>
      <c r="X667">
        <v>7378.69</v>
      </c>
      <c r="Y667" t="s">
        <v>123</v>
      </c>
      <c r="Z667">
        <v>121</v>
      </c>
      <c r="AA667">
        <f t="shared" si="21"/>
        <v>121</v>
      </c>
      <c r="AB667" t="s">
        <v>50</v>
      </c>
    </row>
    <row r="668" spans="1:28" x14ac:dyDescent="0.3">
      <c r="A668" t="s">
        <v>5191</v>
      </c>
      <c r="B668" t="s">
        <v>5190</v>
      </c>
      <c r="C668" t="s">
        <v>5190</v>
      </c>
      <c r="D668" t="s">
        <v>22</v>
      </c>
      <c r="E668">
        <v>75</v>
      </c>
      <c r="F668">
        <v>75</v>
      </c>
      <c r="G668" t="s">
        <v>132</v>
      </c>
      <c r="H668" t="s">
        <v>132</v>
      </c>
      <c r="I668" t="s">
        <v>85</v>
      </c>
      <c r="J668" t="s">
        <v>85</v>
      </c>
      <c r="K668" s="1">
        <v>46086</v>
      </c>
      <c r="L668" s="1" t="str">
        <f>IF(K668&gt;O668,"Valid","Invalid")</f>
        <v>Valid</v>
      </c>
      <c r="M668" s="1" t="b">
        <f>ISNUMBER(K668)</f>
        <v>1</v>
      </c>
      <c r="N668" s="1" t="b">
        <f>ISNUMBER(O668)</f>
        <v>1</v>
      </c>
      <c r="O668" s="1">
        <v>46069</v>
      </c>
      <c r="P668" t="s">
        <v>5189</v>
      </c>
      <c r="Q668" t="str">
        <f>SUBSTITUTE(SUBSTITUTE(SUBSTITUTE(P668," ",""),"-",""),"+","")</f>
        <v>09915727013</v>
      </c>
      <c r="R668" t="str">
        <f t="shared" si="20"/>
        <v>9915727013</v>
      </c>
      <c r="S668" t="str">
        <f>IF(LEN(R668),"Valid","Invalid")</f>
        <v>Valid</v>
      </c>
      <c r="T668" t="s">
        <v>5188</v>
      </c>
      <c r="V668" t="s">
        <v>123</v>
      </c>
      <c r="X668">
        <v>5768.1</v>
      </c>
      <c r="Y668" t="s">
        <v>27</v>
      </c>
      <c r="Z668">
        <v>178</v>
      </c>
      <c r="AA668">
        <f t="shared" si="21"/>
        <v>178</v>
      </c>
      <c r="AB668" t="s">
        <v>43</v>
      </c>
    </row>
    <row r="669" spans="1:28" x14ac:dyDescent="0.3">
      <c r="A669" t="s">
        <v>5187</v>
      </c>
      <c r="B669" t="s">
        <v>5186</v>
      </c>
      <c r="C669" t="s">
        <v>5186</v>
      </c>
      <c r="D669" t="s">
        <v>22</v>
      </c>
      <c r="E669">
        <v>82</v>
      </c>
      <c r="F669">
        <v>82</v>
      </c>
      <c r="G669" t="s">
        <v>68</v>
      </c>
      <c r="H669" t="s">
        <v>68</v>
      </c>
      <c r="I669" t="s">
        <v>20</v>
      </c>
      <c r="J669" t="s">
        <v>20</v>
      </c>
      <c r="K669" s="1">
        <v>46030</v>
      </c>
      <c r="L669" s="1" t="str">
        <f>IF(K669&gt;O669,"Valid","Invalid")</f>
        <v>Valid</v>
      </c>
      <c r="M669" s="1" t="b">
        <f>ISNUMBER(K669)</f>
        <v>1</v>
      </c>
      <c r="N669" s="1" t="b">
        <f>ISNUMBER(O669)</f>
        <v>1</v>
      </c>
      <c r="O669" s="1">
        <v>46010</v>
      </c>
      <c r="P669" t="s">
        <v>5185</v>
      </c>
      <c r="Q669" t="str">
        <f>SUBSTITUTE(SUBSTITUTE(SUBSTITUTE(P669," ",""),"-",""),"+","")</f>
        <v>01164203429</v>
      </c>
      <c r="R669" t="str">
        <f t="shared" si="20"/>
        <v>1164203429</v>
      </c>
      <c r="S669" t="str">
        <f>IF(LEN(R669),"Valid","Invalid")</f>
        <v>Valid</v>
      </c>
      <c r="T669" t="s">
        <v>5184</v>
      </c>
      <c r="V669" t="s">
        <v>26</v>
      </c>
      <c r="X669">
        <v>10545.49</v>
      </c>
      <c r="Y669" t="s">
        <v>123</v>
      </c>
      <c r="Z669">
        <v>452</v>
      </c>
      <c r="AA669">
        <f t="shared" si="21"/>
        <v>452</v>
      </c>
      <c r="AB669" t="s">
        <v>25</v>
      </c>
    </row>
    <row r="670" spans="1:28" x14ac:dyDescent="0.3">
      <c r="A670" t="s">
        <v>5183</v>
      </c>
      <c r="B670" t="s">
        <v>5182</v>
      </c>
      <c r="C670" t="s">
        <v>5182</v>
      </c>
      <c r="D670" t="s">
        <v>1</v>
      </c>
      <c r="E670">
        <v>4</v>
      </c>
      <c r="F670">
        <v>4</v>
      </c>
      <c r="G670" t="s">
        <v>80</v>
      </c>
      <c r="H670" t="s">
        <v>80</v>
      </c>
      <c r="I670" t="s">
        <v>30</v>
      </c>
      <c r="J670" t="s">
        <v>30</v>
      </c>
      <c r="K670" s="1">
        <v>46029</v>
      </c>
      <c r="L670" s="1" t="str">
        <f>IF(K670&gt;O670,"Valid","Invalid")</f>
        <v>Valid</v>
      </c>
      <c r="M670" s="1" t="b">
        <f>ISNUMBER(K670)</f>
        <v>1</v>
      </c>
      <c r="N670" s="1" t="b">
        <f>ISNUMBER(O670)</f>
        <v>1</v>
      </c>
      <c r="O670" s="1">
        <v>46014</v>
      </c>
      <c r="P670" t="s">
        <v>5181</v>
      </c>
      <c r="Q670" t="str">
        <f>SUBSTITUTE(SUBSTITUTE(SUBSTITUTE(P670," ",""),"-",""),"+","")</f>
        <v>06043227943</v>
      </c>
      <c r="R670" t="str">
        <f t="shared" si="20"/>
        <v>6043227943</v>
      </c>
      <c r="S670" t="str">
        <f>IF(LEN(R670),"Valid","Invalid")</f>
        <v>Valid</v>
      </c>
      <c r="T670" t="s">
        <v>5180</v>
      </c>
      <c r="V670" t="s">
        <v>64</v>
      </c>
      <c r="X670">
        <v>15052.5</v>
      </c>
      <c r="Y670" t="s">
        <v>17</v>
      </c>
      <c r="Z670">
        <v>397</v>
      </c>
      <c r="AA670">
        <f t="shared" si="21"/>
        <v>397</v>
      </c>
      <c r="AB670" t="s">
        <v>16</v>
      </c>
    </row>
    <row r="671" spans="1:28" x14ac:dyDescent="0.3">
      <c r="A671" t="s">
        <v>5179</v>
      </c>
      <c r="B671" t="s">
        <v>5178</v>
      </c>
      <c r="C671" t="s">
        <v>5178</v>
      </c>
      <c r="D671" t="s">
        <v>123</v>
      </c>
      <c r="E671">
        <v>34</v>
      </c>
      <c r="F671">
        <v>34</v>
      </c>
      <c r="G671" t="s">
        <v>68</v>
      </c>
      <c r="H671" t="s">
        <v>68</v>
      </c>
      <c r="I671" t="s">
        <v>20</v>
      </c>
      <c r="J671" t="s">
        <v>20</v>
      </c>
      <c r="K671" s="1">
        <v>46089</v>
      </c>
      <c r="L671" s="1" t="str">
        <f>IF(K671&gt;O671,"Valid","Invalid")</f>
        <v>Valid</v>
      </c>
      <c r="M671" s="1" t="b">
        <f>ISNUMBER(K671)</f>
        <v>1</v>
      </c>
      <c r="N671" s="1" t="b">
        <f>ISNUMBER(O671)</f>
        <v>1</v>
      </c>
      <c r="O671" s="1">
        <v>46078</v>
      </c>
      <c r="P671" t="s">
        <v>5177</v>
      </c>
      <c r="Q671" t="str">
        <f>SUBSTITUTE(SUBSTITUTE(SUBSTITUTE(P671," ",""),"-",""),"+","")</f>
        <v>914145369146</v>
      </c>
      <c r="R671" t="str">
        <f t="shared" si="20"/>
        <v>4145369146</v>
      </c>
      <c r="S671" t="str">
        <f>IF(LEN(R671),"Valid","Invalid")</f>
        <v>Valid</v>
      </c>
      <c r="T671" t="s">
        <v>5176</v>
      </c>
      <c r="V671" t="s">
        <v>27</v>
      </c>
      <c r="X671">
        <v>21162.95</v>
      </c>
      <c r="Y671" t="s">
        <v>26</v>
      </c>
      <c r="Z671">
        <v>397</v>
      </c>
      <c r="AA671">
        <f t="shared" si="21"/>
        <v>397</v>
      </c>
      <c r="AB671" t="s">
        <v>77</v>
      </c>
    </row>
    <row r="672" spans="1:28" x14ac:dyDescent="0.3">
      <c r="A672" t="s">
        <v>5175</v>
      </c>
      <c r="B672" t="s">
        <v>5174</v>
      </c>
      <c r="C672" t="s">
        <v>5174</v>
      </c>
      <c r="D672" t="s">
        <v>0</v>
      </c>
      <c r="E672">
        <v>41</v>
      </c>
      <c r="F672">
        <v>41</v>
      </c>
      <c r="G672" t="s">
        <v>68</v>
      </c>
      <c r="H672" t="s">
        <v>68</v>
      </c>
      <c r="I672" t="s">
        <v>53</v>
      </c>
      <c r="J672" t="s">
        <v>20</v>
      </c>
      <c r="K672" s="1">
        <v>46053</v>
      </c>
      <c r="L672" s="1" t="str">
        <f>IF(K672&gt;O672,"Valid","Invalid")</f>
        <v>Valid</v>
      </c>
      <c r="M672" s="1" t="b">
        <f>ISNUMBER(K672)</f>
        <v>1</v>
      </c>
      <c r="N672" s="1" t="b">
        <f>ISNUMBER(O672)</f>
        <v>1</v>
      </c>
      <c r="O672" s="1">
        <v>46042</v>
      </c>
      <c r="P672" t="s">
        <v>5173</v>
      </c>
      <c r="Q672" t="str">
        <f>SUBSTITUTE(SUBSTITUTE(SUBSTITUTE(P672," ",""),"-",""),"+","")</f>
        <v>917872977699</v>
      </c>
      <c r="R672" t="str">
        <f t="shared" si="20"/>
        <v>7872977699</v>
      </c>
      <c r="S672" t="str">
        <f>IF(LEN(R672),"Valid","Invalid")</f>
        <v>Valid</v>
      </c>
      <c r="T672" t="s">
        <v>5172</v>
      </c>
      <c r="V672" t="s">
        <v>35</v>
      </c>
      <c r="X672">
        <v>1511.63</v>
      </c>
      <c r="Y672" t="s">
        <v>17</v>
      </c>
      <c r="Z672">
        <v>314</v>
      </c>
      <c r="AA672">
        <f t="shared" si="21"/>
        <v>314</v>
      </c>
      <c r="AB672" t="s">
        <v>25</v>
      </c>
    </row>
    <row r="673" spans="1:28" x14ac:dyDescent="0.3">
      <c r="A673" t="s">
        <v>5171</v>
      </c>
      <c r="B673" t="s">
        <v>5170</v>
      </c>
      <c r="C673" t="s">
        <v>5170</v>
      </c>
      <c r="D673" t="s">
        <v>60</v>
      </c>
      <c r="E673">
        <v>7</v>
      </c>
      <c r="F673">
        <v>7</v>
      </c>
      <c r="G673" t="s">
        <v>132</v>
      </c>
      <c r="H673" t="s">
        <v>132</v>
      </c>
      <c r="I673" t="s">
        <v>30</v>
      </c>
      <c r="J673" t="s">
        <v>30</v>
      </c>
      <c r="K673" s="1">
        <v>46027</v>
      </c>
      <c r="L673" s="1" t="str">
        <f>IF(K673&gt;O673,"Valid","Invalid")</f>
        <v>Valid</v>
      </c>
      <c r="M673" s="1" t="b">
        <f>ISNUMBER(K673)</f>
        <v>1</v>
      </c>
      <c r="N673" s="1" t="b">
        <f>ISNUMBER(O673)</f>
        <v>1</v>
      </c>
      <c r="O673" s="1">
        <v>46011</v>
      </c>
      <c r="P673" t="s">
        <v>5169</v>
      </c>
      <c r="Q673" t="str">
        <f>SUBSTITUTE(SUBSTITUTE(SUBSTITUTE(P673," ",""),"-",""),"+","")</f>
        <v>6130740120</v>
      </c>
      <c r="R673" t="str">
        <f t="shared" si="20"/>
        <v>6130740120</v>
      </c>
      <c r="S673" t="str">
        <f>IF(LEN(R673),"Valid","Invalid")</f>
        <v>Valid</v>
      </c>
      <c r="T673" t="s">
        <v>5168</v>
      </c>
      <c r="V673" t="s">
        <v>64</v>
      </c>
      <c r="X673">
        <v>12943.89</v>
      </c>
      <c r="Y673" t="s">
        <v>26</v>
      </c>
      <c r="Z673">
        <v>491</v>
      </c>
      <c r="AA673">
        <f t="shared" si="21"/>
        <v>491</v>
      </c>
      <c r="AB673" t="s">
        <v>77</v>
      </c>
    </row>
    <row r="674" spans="1:28" x14ac:dyDescent="0.3">
      <c r="A674" t="s">
        <v>5167</v>
      </c>
      <c r="B674" t="s">
        <v>5166</v>
      </c>
      <c r="C674" t="s">
        <v>5166</v>
      </c>
      <c r="D674" t="s">
        <v>0</v>
      </c>
      <c r="E674">
        <v>70</v>
      </c>
      <c r="F674">
        <v>70</v>
      </c>
      <c r="G674" t="s">
        <v>31</v>
      </c>
      <c r="H674" t="s">
        <v>31</v>
      </c>
      <c r="I674" t="s">
        <v>67</v>
      </c>
      <c r="J674" t="s">
        <v>67</v>
      </c>
      <c r="K674" s="1">
        <v>46116</v>
      </c>
      <c r="L674" s="1" t="str">
        <f>IF(K674&gt;O674,"Valid","Invalid")</f>
        <v>Valid</v>
      </c>
      <c r="M674" s="1" t="b">
        <f>ISNUMBER(K674)</f>
        <v>1</v>
      </c>
      <c r="N674" s="1" t="b">
        <f>ISNUMBER(O674)</f>
        <v>1</v>
      </c>
      <c r="O674" s="1">
        <v>46090</v>
      </c>
      <c r="P674" t="s">
        <v>5165</v>
      </c>
      <c r="Q674" t="str">
        <f>SUBSTITUTE(SUBSTITUTE(SUBSTITUTE(P674," ",""),"-",""),"+","")</f>
        <v>07318984031</v>
      </c>
      <c r="R674" t="str">
        <f t="shared" si="20"/>
        <v>7318984031</v>
      </c>
      <c r="S674" t="str">
        <f>IF(LEN(R674),"Valid","Invalid")</f>
        <v>Valid</v>
      </c>
      <c r="T674" t="s">
        <v>5164</v>
      </c>
      <c r="V674" t="s">
        <v>26</v>
      </c>
      <c r="X674">
        <v>6932.18</v>
      </c>
      <c r="Y674" t="s">
        <v>17</v>
      </c>
      <c r="Z674">
        <v>149</v>
      </c>
      <c r="AA674">
        <f t="shared" si="21"/>
        <v>149</v>
      </c>
      <c r="AB674" t="s">
        <v>34</v>
      </c>
    </row>
    <row r="675" spans="1:28" x14ac:dyDescent="0.3">
      <c r="A675" t="s">
        <v>5163</v>
      </c>
      <c r="B675" t="s">
        <v>5162</v>
      </c>
      <c r="C675" t="s">
        <v>5162</v>
      </c>
      <c r="D675" t="s">
        <v>60</v>
      </c>
      <c r="E675">
        <v>19</v>
      </c>
      <c r="F675">
        <v>19</v>
      </c>
      <c r="G675" t="s">
        <v>47</v>
      </c>
      <c r="H675" t="s">
        <v>47</v>
      </c>
      <c r="I675" t="s">
        <v>53</v>
      </c>
      <c r="J675" t="s">
        <v>20</v>
      </c>
      <c r="K675" s="1">
        <v>46130</v>
      </c>
      <c r="L675" s="1" t="str">
        <f>IF(K675&gt;O675,"Valid","Invalid")</f>
        <v>Valid</v>
      </c>
      <c r="M675" s="1" t="b">
        <f>ISNUMBER(K675)</f>
        <v>1</v>
      </c>
      <c r="N675" s="1" t="b">
        <f>ISNUMBER(O675)</f>
        <v>1</v>
      </c>
      <c r="O675" s="1">
        <v>46114</v>
      </c>
      <c r="P675" t="s">
        <v>5161</v>
      </c>
      <c r="Q675" t="str">
        <f>SUBSTITUTE(SUBSTITUTE(SUBSTITUTE(P675," ",""),"-",""),"+","")</f>
        <v>910040661721</v>
      </c>
      <c r="R675" t="str">
        <f t="shared" si="20"/>
        <v>0040661721</v>
      </c>
      <c r="S675" t="str">
        <f>IF(LEN(R675),"Valid","Invalid")</f>
        <v>Valid</v>
      </c>
      <c r="T675" t="s">
        <v>5160</v>
      </c>
      <c r="V675" t="s">
        <v>26</v>
      </c>
      <c r="X675">
        <v>9450.75</v>
      </c>
      <c r="Y675" t="s">
        <v>123</v>
      </c>
      <c r="Z675">
        <v>310</v>
      </c>
      <c r="AA675">
        <f t="shared" si="21"/>
        <v>310</v>
      </c>
      <c r="AB675" t="s">
        <v>43</v>
      </c>
    </row>
    <row r="676" spans="1:28" x14ac:dyDescent="0.3">
      <c r="A676" t="s">
        <v>5159</v>
      </c>
      <c r="B676" t="s">
        <v>5158</v>
      </c>
      <c r="C676" t="s">
        <v>5158</v>
      </c>
      <c r="D676" t="s">
        <v>0</v>
      </c>
      <c r="E676">
        <v>14</v>
      </c>
      <c r="F676">
        <v>14</v>
      </c>
      <c r="G676" t="s">
        <v>21</v>
      </c>
      <c r="H676" t="s">
        <v>21</v>
      </c>
      <c r="I676" t="s">
        <v>53</v>
      </c>
      <c r="J676" t="s">
        <v>20</v>
      </c>
      <c r="K676" s="1">
        <v>46016</v>
      </c>
      <c r="L676" s="1" t="str">
        <f>IF(K676&gt;O676,"Valid","Invalid")</f>
        <v>Valid</v>
      </c>
      <c r="M676" s="1" t="b">
        <f>ISNUMBER(K676)</f>
        <v>1</v>
      </c>
      <c r="N676" s="1" t="b">
        <f>ISNUMBER(O676)</f>
        <v>1</v>
      </c>
      <c r="O676" s="1">
        <v>46000</v>
      </c>
      <c r="P676" t="s">
        <v>5157</v>
      </c>
      <c r="Q676" t="str">
        <f>SUBSTITUTE(SUBSTITUTE(SUBSTITUTE(P676," ",""),"-",""),"+","")</f>
        <v>02303767307</v>
      </c>
      <c r="R676" t="str">
        <f t="shared" si="20"/>
        <v>2303767307</v>
      </c>
      <c r="S676" t="str">
        <f>IF(LEN(R676),"Valid","Invalid")</f>
        <v>Valid</v>
      </c>
      <c r="T676" t="s">
        <v>5156</v>
      </c>
      <c r="V676" t="s">
        <v>17</v>
      </c>
      <c r="X676">
        <v>20823.02</v>
      </c>
      <c r="Y676" t="s">
        <v>64</v>
      </c>
      <c r="Z676">
        <v>313</v>
      </c>
      <c r="AA676">
        <f t="shared" si="21"/>
        <v>313</v>
      </c>
      <c r="AB676" t="s">
        <v>16</v>
      </c>
    </row>
    <row r="677" spans="1:28" x14ac:dyDescent="0.3">
      <c r="A677" t="s">
        <v>5155</v>
      </c>
      <c r="B677" t="s">
        <v>5154</v>
      </c>
      <c r="C677" t="s">
        <v>5154</v>
      </c>
      <c r="D677" t="s">
        <v>74</v>
      </c>
      <c r="E677">
        <v>15</v>
      </c>
      <c r="F677">
        <v>15</v>
      </c>
      <c r="G677" t="s">
        <v>39</v>
      </c>
      <c r="H677" t="s">
        <v>39</v>
      </c>
      <c r="I677" t="s">
        <v>46</v>
      </c>
      <c r="J677" t="s">
        <v>46</v>
      </c>
      <c r="K677" s="1">
        <v>46014</v>
      </c>
      <c r="L677" s="1" t="str">
        <f>IF(K677&gt;O677,"Valid","Invalid")</f>
        <v>Valid</v>
      </c>
      <c r="M677" s="1" t="b">
        <f>ISNUMBER(K677)</f>
        <v>1</v>
      </c>
      <c r="N677" s="1" t="b">
        <f>ISNUMBER(O677)</f>
        <v>1</v>
      </c>
      <c r="O677" s="1">
        <v>45999</v>
      </c>
      <c r="P677" t="s">
        <v>5153</v>
      </c>
      <c r="Q677" t="str">
        <f>SUBSTITUTE(SUBSTITUTE(SUBSTITUTE(P677," ",""),"-",""),"+","")</f>
        <v>07923792081</v>
      </c>
      <c r="R677" t="str">
        <f t="shared" si="20"/>
        <v>7923792081</v>
      </c>
      <c r="S677" t="str">
        <f>IF(LEN(R677),"Valid","Invalid")</f>
        <v>Valid</v>
      </c>
      <c r="T677" t="s">
        <v>5152</v>
      </c>
      <c r="V677" t="s">
        <v>57</v>
      </c>
      <c r="X677">
        <v>7927.02</v>
      </c>
      <c r="Y677" t="s">
        <v>17</v>
      </c>
      <c r="Z677">
        <v>171</v>
      </c>
      <c r="AA677">
        <f t="shared" si="21"/>
        <v>171</v>
      </c>
      <c r="AB677" t="s">
        <v>50</v>
      </c>
    </row>
    <row r="678" spans="1:28" x14ac:dyDescent="0.3">
      <c r="A678" t="s">
        <v>5151</v>
      </c>
      <c r="B678" t="s">
        <v>5150</v>
      </c>
      <c r="C678" t="s">
        <v>5150</v>
      </c>
      <c r="E678">
        <v>77</v>
      </c>
      <c r="F678">
        <v>77</v>
      </c>
      <c r="G678" t="s">
        <v>31</v>
      </c>
      <c r="H678" t="s">
        <v>31</v>
      </c>
      <c r="I678" t="s">
        <v>53</v>
      </c>
      <c r="J678" t="s">
        <v>20</v>
      </c>
      <c r="K678" s="1">
        <v>46107</v>
      </c>
      <c r="L678" s="1" t="str">
        <f>IF(K678&gt;O678,"Valid","Invalid")</f>
        <v>Valid</v>
      </c>
      <c r="M678" s="1" t="b">
        <f>ISNUMBER(K678)</f>
        <v>1</v>
      </c>
      <c r="N678" s="1" t="b">
        <f>ISNUMBER(O678)</f>
        <v>1</v>
      </c>
      <c r="O678" s="1">
        <v>46085</v>
      </c>
      <c r="P678" t="s">
        <v>5149</v>
      </c>
      <c r="Q678" t="str">
        <f>SUBSTITUTE(SUBSTITUTE(SUBSTITUTE(P678," ",""),"-",""),"+","")</f>
        <v>917212205099</v>
      </c>
      <c r="R678" t="str">
        <f t="shared" si="20"/>
        <v>7212205099</v>
      </c>
      <c r="S678" t="str">
        <f>IF(LEN(R678),"Valid","Invalid")</f>
        <v>Valid</v>
      </c>
      <c r="T678" t="s">
        <v>5148</v>
      </c>
      <c r="V678" t="s">
        <v>26</v>
      </c>
      <c r="X678">
        <v>913.24</v>
      </c>
      <c r="Y678" t="s">
        <v>64</v>
      </c>
      <c r="Z678">
        <v>213</v>
      </c>
      <c r="AA678">
        <f t="shared" si="21"/>
        <v>213</v>
      </c>
      <c r="AB678" t="s">
        <v>71</v>
      </c>
    </row>
    <row r="679" spans="1:28" x14ac:dyDescent="0.3">
      <c r="A679" t="s">
        <v>5147</v>
      </c>
      <c r="B679" t="s">
        <v>5146</v>
      </c>
      <c r="C679" t="s">
        <v>5146</v>
      </c>
      <c r="D679" t="s">
        <v>0</v>
      </c>
      <c r="E679">
        <v>89</v>
      </c>
      <c r="F679">
        <v>89</v>
      </c>
      <c r="G679" t="s">
        <v>21</v>
      </c>
      <c r="H679" t="s">
        <v>21</v>
      </c>
      <c r="I679" t="s">
        <v>30</v>
      </c>
      <c r="J679" t="s">
        <v>30</v>
      </c>
      <c r="K679" s="1">
        <v>46069</v>
      </c>
      <c r="L679" s="1" t="str">
        <f>IF(K679&gt;O679,"Valid","Invalid")</f>
        <v>Valid</v>
      </c>
      <c r="M679" s="1" t="b">
        <f>ISNUMBER(K679)</f>
        <v>1</v>
      </c>
      <c r="N679" s="1" t="b">
        <f>ISNUMBER(O679)</f>
        <v>1</v>
      </c>
      <c r="O679" s="1">
        <v>46065</v>
      </c>
      <c r="P679" t="s">
        <v>5145</v>
      </c>
      <c r="Q679" t="str">
        <f>SUBSTITUTE(SUBSTITUTE(SUBSTITUTE(P679," ",""),"-",""),"+","")</f>
        <v>09754732185</v>
      </c>
      <c r="R679" t="str">
        <f t="shared" si="20"/>
        <v>9754732185</v>
      </c>
      <c r="S679" t="str">
        <f>IF(LEN(R679),"Valid","Invalid")</f>
        <v>Valid</v>
      </c>
      <c r="T679" t="s">
        <v>5144</v>
      </c>
      <c r="V679" t="s">
        <v>17</v>
      </c>
      <c r="X679">
        <v>3429.41</v>
      </c>
      <c r="Y679" t="s">
        <v>64</v>
      </c>
      <c r="Z679">
        <v>317</v>
      </c>
      <c r="AA679">
        <f t="shared" si="21"/>
        <v>317</v>
      </c>
      <c r="AB679" t="s">
        <v>25</v>
      </c>
    </row>
    <row r="680" spans="1:28" x14ac:dyDescent="0.3">
      <c r="A680" t="s">
        <v>5143</v>
      </c>
      <c r="B680" t="s">
        <v>5142</v>
      </c>
      <c r="C680" t="s">
        <v>5142</v>
      </c>
      <c r="D680" t="s">
        <v>74</v>
      </c>
      <c r="E680">
        <v>10</v>
      </c>
      <c r="F680">
        <v>10</v>
      </c>
      <c r="G680" t="s">
        <v>47</v>
      </c>
      <c r="H680" t="s">
        <v>47</v>
      </c>
      <c r="I680" t="s">
        <v>85</v>
      </c>
      <c r="J680" t="s">
        <v>85</v>
      </c>
      <c r="K680" s="1">
        <v>46084</v>
      </c>
      <c r="L680" s="1" t="str">
        <f>IF(K680&gt;O680,"Valid","Invalid")</f>
        <v>Valid</v>
      </c>
      <c r="M680" s="1" t="b">
        <f>ISNUMBER(K680)</f>
        <v>1</v>
      </c>
      <c r="N680" s="1" t="b">
        <f>ISNUMBER(O680)</f>
        <v>1</v>
      </c>
      <c r="O680" s="1">
        <v>46060</v>
      </c>
      <c r="P680" t="s">
        <v>5141</v>
      </c>
      <c r="Q680" t="str">
        <f>SUBSTITUTE(SUBSTITUTE(SUBSTITUTE(P680," ",""),"-",""),"+","")</f>
        <v>8680917150</v>
      </c>
      <c r="R680" t="str">
        <f t="shared" si="20"/>
        <v>8680917150</v>
      </c>
      <c r="S680" t="str">
        <f>IF(LEN(R680),"Valid","Invalid")</f>
        <v>Valid</v>
      </c>
      <c r="T680" t="s">
        <v>5140</v>
      </c>
      <c r="V680" t="s">
        <v>123</v>
      </c>
      <c r="X680">
        <v>1254.42</v>
      </c>
      <c r="Y680" t="s">
        <v>64</v>
      </c>
      <c r="Z680">
        <v>116</v>
      </c>
      <c r="AA680">
        <f t="shared" si="21"/>
        <v>116</v>
      </c>
      <c r="AB680" t="s">
        <v>50</v>
      </c>
    </row>
    <row r="681" spans="1:28" x14ac:dyDescent="0.3">
      <c r="A681" t="s">
        <v>5139</v>
      </c>
      <c r="B681" t="s">
        <v>5138</v>
      </c>
      <c r="C681" t="s">
        <v>8052</v>
      </c>
      <c r="D681" t="s">
        <v>40</v>
      </c>
      <c r="E681">
        <v>61</v>
      </c>
      <c r="F681">
        <v>61</v>
      </c>
      <c r="G681" t="s">
        <v>5137</v>
      </c>
      <c r="H681" t="s">
        <v>5137</v>
      </c>
      <c r="I681" t="s">
        <v>30</v>
      </c>
      <c r="J681" t="s">
        <v>30</v>
      </c>
      <c r="K681" s="1">
        <v>46076</v>
      </c>
      <c r="L681" s="1" t="str">
        <f>IF(K681&gt;O681,"Valid","Invalid")</f>
        <v>Valid</v>
      </c>
      <c r="M681" s="1" t="b">
        <f>ISNUMBER(K681)</f>
        <v>1</v>
      </c>
      <c r="N681" s="1" t="b">
        <f>ISNUMBER(O681)</f>
        <v>1</v>
      </c>
      <c r="O681" s="1">
        <v>46075</v>
      </c>
      <c r="P681" t="s">
        <v>5136</v>
      </c>
      <c r="Q681" t="str">
        <f>SUBSTITUTE(SUBSTITUTE(SUBSTITUTE(P681," ",""),"-",""),"+","")</f>
        <v>8832068803</v>
      </c>
      <c r="R681" t="str">
        <f t="shared" si="20"/>
        <v>8832068803</v>
      </c>
      <c r="S681" t="str">
        <f>IF(LEN(R681),"Valid","Invalid")</f>
        <v>Valid</v>
      </c>
      <c r="T681" t="s">
        <v>123</v>
      </c>
      <c r="V681" t="s">
        <v>64</v>
      </c>
      <c r="X681">
        <v>7680.82</v>
      </c>
      <c r="Y681" t="s">
        <v>27</v>
      </c>
      <c r="Z681">
        <v>486</v>
      </c>
      <c r="AA681">
        <f t="shared" si="21"/>
        <v>486</v>
      </c>
      <c r="AB681" t="s">
        <v>77</v>
      </c>
    </row>
    <row r="682" spans="1:28" x14ac:dyDescent="0.3">
      <c r="A682" t="s">
        <v>5135</v>
      </c>
      <c r="B682" t="s">
        <v>5134</v>
      </c>
      <c r="C682" t="s">
        <v>5134</v>
      </c>
      <c r="D682" t="s">
        <v>74</v>
      </c>
      <c r="E682">
        <v>78</v>
      </c>
      <c r="F682">
        <v>78</v>
      </c>
      <c r="G682" t="s">
        <v>21</v>
      </c>
      <c r="H682" t="s">
        <v>21</v>
      </c>
      <c r="I682" t="s">
        <v>38</v>
      </c>
      <c r="J682" t="s">
        <v>8077</v>
      </c>
      <c r="K682" s="1">
        <v>46038</v>
      </c>
      <c r="L682" s="1" t="str">
        <f>IF(K682&gt;O682,"Valid","Invalid")</f>
        <v>Valid</v>
      </c>
      <c r="M682" s="1" t="b">
        <f>ISNUMBER(K682)</f>
        <v>1</v>
      </c>
      <c r="N682" s="1" t="b">
        <f>ISNUMBER(O682)</f>
        <v>1</v>
      </c>
      <c r="O682" s="1">
        <v>46033</v>
      </c>
      <c r="P682" t="s">
        <v>5133</v>
      </c>
      <c r="Q682" t="str">
        <f>SUBSTITUTE(SUBSTITUTE(SUBSTITUTE(P682," ",""),"-",""),"+","")</f>
        <v>913050153787</v>
      </c>
      <c r="R682" t="str">
        <f t="shared" si="20"/>
        <v>3050153787</v>
      </c>
      <c r="S682" t="str">
        <f>IF(LEN(R682),"Valid","Invalid")</f>
        <v>Valid</v>
      </c>
      <c r="T682" t="s">
        <v>5132</v>
      </c>
      <c r="V682" t="s">
        <v>57</v>
      </c>
      <c r="X682">
        <v>925.63</v>
      </c>
      <c r="Y682" t="s">
        <v>26</v>
      </c>
      <c r="Z682">
        <v>533</v>
      </c>
      <c r="AA682">
        <f t="shared" si="21"/>
        <v>533</v>
      </c>
      <c r="AB682" t="s">
        <v>25</v>
      </c>
    </row>
    <row r="683" spans="1:28" x14ac:dyDescent="0.3">
      <c r="A683" t="s">
        <v>5131</v>
      </c>
      <c r="B683" t="s">
        <v>5130</v>
      </c>
      <c r="C683" t="s">
        <v>5130</v>
      </c>
      <c r="D683" t="s">
        <v>22</v>
      </c>
      <c r="E683">
        <v>75</v>
      </c>
      <c r="F683">
        <v>75</v>
      </c>
      <c r="G683" t="s">
        <v>31</v>
      </c>
      <c r="H683" t="s">
        <v>31</v>
      </c>
      <c r="I683" t="s">
        <v>67</v>
      </c>
      <c r="J683" t="s">
        <v>67</v>
      </c>
      <c r="K683" s="1">
        <v>46118</v>
      </c>
      <c r="L683" s="1" t="str">
        <f>IF(K683&gt;O683,"Valid","Invalid")</f>
        <v>Valid</v>
      </c>
      <c r="M683" s="1" t="b">
        <f>ISNUMBER(K683)</f>
        <v>1</v>
      </c>
      <c r="N683" s="1" t="b">
        <f>ISNUMBER(O683)</f>
        <v>1</v>
      </c>
      <c r="O683" s="1">
        <v>46113</v>
      </c>
      <c r="P683" t="s">
        <v>5129</v>
      </c>
      <c r="Q683" t="str">
        <f>SUBSTITUTE(SUBSTITUTE(SUBSTITUTE(P683," ",""),"-",""),"+","")</f>
        <v>916462288350</v>
      </c>
      <c r="R683" t="str">
        <f t="shared" si="20"/>
        <v>6462288350</v>
      </c>
      <c r="S683" t="str">
        <f>IF(LEN(R683),"Valid","Invalid")</f>
        <v>Valid</v>
      </c>
      <c r="T683" t="s">
        <v>5128</v>
      </c>
      <c r="V683" t="s">
        <v>17</v>
      </c>
      <c r="X683">
        <v>12721.75</v>
      </c>
      <c r="Y683" t="s">
        <v>64</v>
      </c>
      <c r="Z683">
        <v>150</v>
      </c>
      <c r="AA683">
        <f t="shared" si="21"/>
        <v>150</v>
      </c>
      <c r="AB683" t="s">
        <v>50</v>
      </c>
    </row>
    <row r="684" spans="1:28" x14ac:dyDescent="0.3">
      <c r="A684" t="s">
        <v>5127</v>
      </c>
      <c r="B684" t="s">
        <v>5126</v>
      </c>
      <c r="C684" t="s">
        <v>5126</v>
      </c>
      <c r="D684" t="s">
        <v>40</v>
      </c>
      <c r="E684">
        <v>68</v>
      </c>
      <c r="F684">
        <v>68</v>
      </c>
      <c r="G684" t="s">
        <v>21</v>
      </c>
      <c r="H684" t="s">
        <v>21</v>
      </c>
      <c r="I684" t="s">
        <v>38</v>
      </c>
      <c r="J684" t="s">
        <v>8077</v>
      </c>
      <c r="K684" s="1">
        <v>46022</v>
      </c>
      <c r="L684" s="1" t="str">
        <f>IF(K684&gt;O684,"Valid","Invalid")</f>
        <v>Valid</v>
      </c>
      <c r="M684" s="1" t="b">
        <f>ISNUMBER(K684)</f>
        <v>1</v>
      </c>
      <c r="N684" s="1" t="b">
        <f>ISNUMBER(O684)</f>
        <v>1</v>
      </c>
      <c r="O684" s="1">
        <v>45992</v>
      </c>
      <c r="P684" t="s">
        <v>5125</v>
      </c>
      <c r="Q684" t="str">
        <f>SUBSTITUTE(SUBSTITUTE(SUBSTITUTE(P684," ",""),"-",""),"+","")</f>
        <v>912111173773</v>
      </c>
      <c r="R684" t="str">
        <f t="shared" si="20"/>
        <v>2111173773</v>
      </c>
      <c r="S684" t="str">
        <f>IF(LEN(R684),"Valid","Invalid")</f>
        <v>Valid</v>
      </c>
      <c r="T684" t="s">
        <v>5124</v>
      </c>
      <c r="V684" t="s">
        <v>26</v>
      </c>
      <c r="X684">
        <v>4459.9799999999996</v>
      </c>
      <c r="Y684" t="s">
        <v>27</v>
      </c>
      <c r="Z684">
        <v>471</v>
      </c>
      <c r="AA684">
        <f t="shared" si="21"/>
        <v>471</v>
      </c>
      <c r="AB684" t="s">
        <v>77</v>
      </c>
    </row>
    <row r="685" spans="1:28" x14ac:dyDescent="0.3">
      <c r="A685" t="s">
        <v>5123</v>
      </c>
      <c r="B685" t="s">
        <v>5122</v>
      </c>
      <c r="C685" t="s">
        <v>5122</v>
      </c>
      <c r="D685" t="s">
        <v>1</v>
      </c>
      <c r="E685">
        <v>65</v>
      </c>
      <c r="F685">
        <v>65</v>
      </c>
      <c r="G685" t="s">
        <v>68</v>
      </c>
      <c r="H685" t="s">
        <v>68</v>
      </c>
      <c r="I685" t="s">
        <v>67</v>
      </c>
      <c r="J685" t="s">
        <v>67</v>
      </c>
      <c r="K685" s="1">
        <v>46026</v>
      </c>
      <c r="L685" s="1" t="str">
        <f>IF(K685&gt;O685,"Valid","Invalid")</f>
        <v>Valid</v>
      </c>
      <c r="M685" s="1" t="b">
        <f>ISNUMBER(K685)</f>
        <v>1</v>
      </c>
      <c r="N685" s="1" t="b">
        <f>ISNUMBER(O685)</f>
        <v>1</v>
      </c>
      <c r="O685" s="1">
        <v>46004</v>
      </c>
      <c r="P685" t="s">
        <v>5121</v>
      </c>
      <c r="Q685" t="str">
        <f>SUBSTITUTE(SUBSTITUTE(SUBSTITUTE(P685," ",""),"-",""),"+","")</f>
        <v>03511359787</v>
      </c>
      <c r="R685" t="str">
        <f t="shared" si="20"/>
        <v>3511359787</v>
      </c>
      <c r="S685" t="str">
        <f>IF(LEN(R685),"Valid","Invalid")</f>
        <v>Valid</v>
      </c>
      <c r="T685" t="s">
        <v>5120</v>
      </c>
      <c r="V685" t="s">
        <v>35</v>
      </c>
      <c r="X685">
        <v>11103.71</v>
      </c>
      <c r="Y685" t="s">
        <v>64</v>
      </c>
      <c r="Z685">
        <v>192</v>
      </c>
      <c r="AA685">
        <f t="shared" si="21"/>
        <v>192</v>
      </c>
      <c r="AB685" t="s">
        <v>50</v>
      </c>
    </row>
    <row r="686" spans="1:28" x14ac:dyDescent="0.3">
      <c r="A686" t="s">
        <v>5119</v>
      </c>
      <c r="B686" t="s">
        <v>5118</v>
      </c>
      <c r="C686" t="s">
        <v>5118</v>
      </c>
      <c r="D686" t="s">
        <v>60</v>
      </c>
      <c r="E686">
        <v>49</v>
      </c>
      <c r="F686">
        <v>49</v>
      </c>
      <c r="G686" t="s">
        <v>54</v>
      </c>
      <c r="H686" t="s">
        <v>54</v>
      </c>
      <c r="I686" t="s">
        <v>38</v>
      </c>
      <c r="J686" t="s">
        <v>8077</v>
      </c>
      <c r="K686" s="1">
        <v>45998</v>
      </c>
      <c r="L686" s="1" t="str">
        <f>IF(K686&gt;O686,"Valid","Invalid")</f>
        <v>Valid</v>
      </c>
      <c r="M686" s="1" t="b">
        <f>ISNUMBER(K686)</f>
        <v>1</v>
      </c>
      <c r="N686" s="1" t="b">
        <f>ISNUMBER(O686)</f>
        <v>1</v>
      </c>
      <c r="O686" s="1">
        <v>45982</v>
      </c>
      <c r="P686" t="s">
        <v>510</v>
      </c>
      <c r="Q686" t="str">
        <f>SUBSTITUTE(SUBSTITUTE(SUBSTITUTE(P686," ",""),"-",""),"+","")</f>
        <v>12345</v>
      </c>
      <c r="R686" t="str">
        <f t="shared" si="20"/>
        <v>12345</v>
      </c>
      <c r="S686" t="str">
        <f>IF(LEN(R686),"Valid","Invalid")</f>
        <v>Valid</v>
      </c>
      <c r="T686" t="s">
        <v>5117</v>
      </c>
      <c r="V686" t="s">
        <v>17</v>
      </c>
      <c r="X686">
        <v>10307.93</v>
      </c>
      <c r="Y686" t="s">
        <v>17</v>
      </c>
      <c r="Z686">
        <v>163</v>
      </c>
      <c r="AA686">
        <f t="shared" si="21"/>
        <v>163</v>
      </c>
      <c r="AB686" t="s">
        <v>16</v>
      </c>
    </row>
    <row r="687" spans="1:28" x14ac:dyDescent="0.3">
      <c r="A687" t="s">
        <v>5116</v>
      </c>
      <c r="B687" t="s">
        <v>5115</v>
      </c>
      <c r="C687" t="s">
        <v>5115</v>
      </c>
      <c r="D687" t="s">
        <v>74</v>
      </c>
      <c r="E687">
        <v>67</v>
      </c>
      <c r="F687">
        <v>67</v>
      </c>
      <c r="G687" t="s">
        <v>39</v>
      </c>
      <c r="H687" t="s">
        <v>39</v>
      </c>
      <c r="I687" t="s">
        <v>85</v>
      </c>
      <c r="J687" t="s">
        <v>85</v>
      </c>
      <c r="K687" s="1">
        <v>46099</v>
      </c>
      <c r="L687" s="1" t="str">
        <f>IF(K687&gt;O687,"Valid","Invalid")</f>
        <v>Valid</v>
      </c>
      <c r="M687" s="1" t="b">
        <f>ISNUMBER(K687)</f>
        <v>1</v>
      </c>
      <c r="N687" s="1" t="b">
        <f>ISNUMBER(O687)</f>
        <v>1</v>
      </c>
      <c r="O687" s="1">
        <v>46075</v>
      </c>
      <c r="P687" t="s">
        <v>5114</v>
      </c>
      <c r="Q687" t="str">
        <f>SUBSTITUTE(SUBSTITUTE(SUBSTITUTE(P687," ",""),"-",""),"+","")</f>
        <v>1070769903</v>
      </c>
      <c r="R687" t="str">
        <f t="shared" si="20"/>
        <v>1070769903</v>
      </c>
      <c r="S687" t="str">
        <f>IF(LEN(R687),"Valid","Invalid")</f>
        <v>Valid</v>
      </c>
      <c r="T687" t="s">
        <v>5113</v>
      </c>
      <c r="V687" t="s">
        <v>57</v>
      </c>
      <c r="X687">
        <v>17677.330000000002</v>
      </c>
      <c r="Y687" t="s">
        <v>27</v>
      </c>
      <c r="Z687">
        <v>142</v>
      </c>
      <c r="AA687">
        <f t="shared" si="21"/>
        <v>142</v>
      </c>
      <c r="AB687" t="s">
        <v>43</v>
      </c>
    </row>
    <row r="688" spans="1:28" x14ac:dyDescent="0.3">
      <c r="A688" t="s">
        <v>5112</v>
      </c>
      <c r="B688" t="s">
        <v>5111</v>
      </c>
      <c r="C688" t="s">
        <v>5111</v>
      </c>
      <c r="E688">
        <v>15</v>
      </c>
      <c r="F688">
        <v>15</v>
      </c>
      <c r="G688" t="s">
        <v>54</v>
      </c>
      <c r="H688" t="s">
        <v>54</v>
      </c>
      <c r="I688" t="s">
        <v>30</v>
      </c>
      <c r="J688" t="s">
        <v>30</v>
      </c>
      <c r="K688" s="1">
        <v>46134</v>
      </c>
      <c r="L688" s="1" t="str">
        <f>IF(K688&gt;O688,"Valid","Invalid")</f>
        <v>Valid</v>
      </c>
      <c r="M688" s="1" t="b">
        <f>ISNUMBER(K688)</f>
        <v>1</v>
      </c>
      <c r="N688" s="1" t="b">
        <f>ISNUMBER(O688)</f>
        <v>1</v>
      </c>
      <c r="O688" s="1">
        <v>46120</v>
      </c>
      <c r="P688" t="s">
        <v>5110</v>
      </c>
      <c r="Q688" t="str">
        <f>SUBSTITUTE(SUBSTITUTE(SUBSTITUTE(P688," ",""),"-",""),"+","")</f>
        <v>916001614661</v>
      </c>
      <c r="R688" t="str">
        <f t="shared" si="20"/>
        <v>6001614661</v>
      </c>
      <c r="S688" t="str">
        <f>IF(LEN(R688),"Valid","Invalid")</f>
        <v>Valid</v>
      </c>
      <c r="T688" t="s">
        <v>5109</v>
      </c>
      <c r="V688" t="s">
        <v>26</v>
      </c>
      <c r="X688">
        <v>17238.75</v>
      </c>
      <c r="Y688" t="s">
        <v>123</v>
      </c>
      <c r="Z688">
        <v>215</v>
      </c>
      <c r="AA688">
        <f t="shared" si="21"/>
        <v>215</v>
      </c>
      <c r="AB688" t="s">
        <v>34</v>
      </c>
    </row>
    <row r="689" spans="1:28" x14ac:dyDescent="0.3">
      <c r="A689" t="s">
        <v>5108</v>
      </c>
      <c r="B689" t="s">
        <v>5107</v>
      </c>
      <c r="C689" t="s">
        <v>5107</v>
      </c>
      <c r="D689" t="s">
        <v>123</v>
      </c>
      <c r="E689">
        <v>38</v>
      </c>
      <c r="F689">
        <v>38</v>
      </c>
      <c r="G689" t="s">
        <v>54</v>
      </c>
      <c r="H689" t="s">
        <v>54</v>
      </c>
      <c r="I689" t="s">
        <v>38</v>
      </c>
      <c r="J689" t="s">
        <v>8077</v>
      </c>
      <c r="K689" s="1">
        <v>46016</v>
      </c>
      <c r="L689" s="1" t="str">
        <f>IF(K689&gt;O689,"Valid","Invalid")</f>
        <v>Valid</v>
      </c>
      <c r="M689" s="1" t="b">
        <f>ISNUMBER(K689)</f>
        <v>1</v>
      </c>
      <c r="N689" s="1" t="b">
        <f>ISNUMBER(O689)</f>
        <v>1</v>
      </c>
      <c r="O689" s="1">
        <v>45989</v>
      </c>
      <c r="P689" t="s">
        <v>5106</v>
      </c>
      <c r="Q689" t="str">
        <f>SUBSTITUTE(SUBSTITUTE(SUBSTITUTE(P689," ",""),"-",""),"+","")</f>
        <v>08244066523</v>
      </c>
      <c r="R689" t="str">
        <f t="shared" si="20"/>
        <v>8244066523</v>
      </c>
      <c r="S689" t="str">
        <f>IF(LEN(R689),"Valid","Invalid")</f>
        <v>Valid</v>
      </c>
      <c r="T689" t="s">
        <v>5105</v>
      </c>
      <c r="V689" t="s">
        <v>64</v>
      </c>
      <c r="X689">
        <v>22389.919999999998</v>
      </c>
      <c r="Y689" t="s">
        <v>123</v>
      </c>
      <c r="Z689">
        <v>447</v>
      </c>
      <c r="AA689">
        <f t="shared" si="21"/>
        <v>447</v>
      </c>
      <c r="AB689" t="s">
        <v>43</v>
      </c>
    </row>
    <row r="690" spans="1:28" x14ac:dyDescent="0.3">
      <c r="A690" t="s">
        <v>5104</v>
      </c>
      <c r="B690" t="s">
        <v>5103</v>
      </c>
      <c r="C690" t="s">
        <v>5103</v>
      </c>
      <c r="D690" t="s">
        <v>0</v>
      </c>
      <c r="E690">
        <v>2</v>
      </c>
      <c r="F690">
        <v>2</v>
      </c>
      <c r="G690" t="s">
        <v>68</v>
      </c>
      <c r="H690" t="s">
        <v>68</v>
      </c>
      <c r="I690" t="s">
        <v>20</v>
      </c>
      <c r="J690" t="s">
        <v>20</v>
      </c>
      <c r="K690" s="1">
        <v>46152</v>
      </c>
      <c r="L690" s="1" t="str">
        <f>IF(K690&gt;O690,"Valid","Invalid")</f>
        <v>Valid</v>
      </c>
      <c r="M690" s="1" t="b">
        <f>ISNUMBER(K690)</f>
        <v>1</v>
      </c>
      <c r="N690" s="1" t="b">
        <f>ISNUMBER(O690)</f>
        <v>1</v>
      </c>
      <c r="O690" s="1">
        <v>46140</v>
      </c>
      <c r="P690" t="s">
        <v>5102</v>
      </c>
      <c r="Q690" t="str">
        <f>SUBSTITUTE(SUBSTITUTE(SUBSTITUTE(P690," ",""),"-",""),"+","")</f>
        <v>03891332697</v>
      </c>
      <c r="R690" t="str">
        <f t="shared" si="20"/>
        <v>3891332697</v>
      </c>
      <c r="S690" t="str">
        <f>IF(LEN(R690),"Valid","Invalid")</f>
        <v>Valid</v>
      </c>
      <c r="T690" t="s">
        <v>5101</v>
      </c>
      <c r="V690" t="s">
        <v>123</v>
      </c>
      <c r="X690">
        <v>13162.03</v>
      </c>
      <c r="Y690" t="s">
        <v>64</v>
      </c>
      <c r="Z690">
        <v>161</v>
      </c>
      <c r="AA690">
        <f t="shared" si="21"/>
        <v>161</v>
      </c>
      <c r="AB690" t="s">
        <v>71</v>
      </c>
    </row>
    <row r="691" spans="1:28" x14ac:dyDescent="0.3">
      <c r="A691" t="s">
        <v>5100</v>
      </c>
      <c r="B691" t="s">
        <v>5099</v>
      </c>
      <c r="C691" t="s">
        <v>5099</v>
      </c>
      <c r="D691" t="s">
        <v>123</v>
      </c>
      <c r="E691">
        <v>52</v>
      </c>
      <c r="F691">
        <v>52</v>
      </c>
      <c r="G691" t="s">
        <v>80</v>
      </c>
      <c r="H691" t="s">
        <v>80</v>
      </c>
      <c r="I691" t="s">
        <v>53</v>
      </c>
      <c r="J691" t="s">
        <v>20</v>
      </c>
      <c r="K691" s="1">
        <v>46016</v>
      </c>
      <c r="L691" s="1" t="str">
        <f>IF(K691&gt;O691,"Valid","Invalid")</f>
        <v>Valid</v>
      </c>
      <c r="M691" s="1" t="b">
        <f>ISNUMBER(K691)</f>
        <v>1</v>
      </c>
      <c r="N691" s="1" t="b">
        <f>ISNUMBER(O691)</f>
        <v>1</v>
      </c>
      <c r="O691" s="1">
        <v>46014</v>
      </c>
      <c r="P691" t="s">
        <v>5098</v>
      </c>
      <c r="Q691" t="str">
        <f>SUBSTITUTE(SUBSTITUTE(SUBSTITUTE(P691," ",""),"-",""),"+","")</f>
        <v>01823613679</v>
      </c>
      <c r="R691" t="str">
        <f t="shared" si="20"/>
        <v>1823613679</v>
      </c>
      <c r="S691" t="str">
        <f>IF(LEN(R691),"Valid","Invalid")</f>
        <v>Valid</v>
      </c>
      <c r="T691" t="s">
        <v>5097</v>
      </c>
      <c r="V691" t="s">
        <v>57</v>
      </c>
      <c r="X691">
        <v>24385.15</v>
      </c>
      <c r="Y691" t="s">
        <v>17</v>
      </c>
      <c r="Z691">
        <v>202</v>
      </c>
      <c r="AA691">
        <f t="shared" si="21"/>
        <v>202</v>
      </c>
      <c r="AB691" t="s">
        <v>34</v>
      </c>
    </row>
    <row r="692" spans="1:28" x14ac:dyDescent="0.3">
      <c r="A692" t="s">
        <v>5096</v>
      </c>
      <c r="B692" t="s">
        <v>5095</v>
      </c>
      <c r="C692" t="s">
        <v>5095</v>
      </c>
      <c r="D692" t="s">
        <v>123</v>
      </c>
      <c r="E692">
        <v>16</v>
      </c>
      <c r="F692">
        <v>16</v>
      </c>
      <c r="G692" t="s">
        <v>21</v>
      </c>
      <c r="H692" t="s">
        <v>21</v>
      </c>
      <c r="I692" t="s">
        <v>90</v>
      </c>
      <c r="J692" t="s">
        <v>67</v>
      </c>
      <c r="K692" s="1">
        <v>46118</v>
      </c>
      <c r="L692" s="1" t="str">
        <f>IF(K692&gt;O692,"Valid","Invalid")</f>
        <v>Valid</v>
      </c>
      <c r="M692" s="1" t="b">
        <f>ISNUMBER(K692)</f>
        <v>1</v>
      </c>
      <c r="N692" s="1" t="b">
        <f>ISNUMBER(O692)</f>
        <v>1</v>
      </c>
      <c r="O692" s="1">
        <v>46095</v>
      </c>
      <c r="P692" t="s">
        <v>5094</v>
      </c>
      <c r="Q692" t="str">
        <f>SUBSTITUTE(SUBSTITUTE(SUBSTITUTE(P692," ",""),"-",""),"+","")</f>
        <v>5447994639</v>
      </c>
      <c r="R692" t="str">
        <f t="shared" si="20"/>
        <v>5447994639</v>
      </c>
      <c r="S692" t="str">
        <f>IF(LEN(R692),"Valid","Invalid")</f>
        <v>Valid</v>
      </c>
      <c r="T692" t="s">
        <v>5093</v>
      </c>
      <c r="V692" t="s">
        <v>123</v>
      </c>
      <c r="X692">
        <v>7107.25</v>
      </c>
      <c r="Y692" t="s">
        <v>63</v>
      </c>
      <c r="Z692">
        <v>487</v>
      </c>
      <c r="AA692">
        <f t="shared" si="21"/>
        <v>487</v>
      </c>
      <c r="AB692" t="s">
        <v>50</v>
      </c>
    </row>
    <row r="693" spans="1:28" x14ac:dyDescent="0.3">
      <c r="A693" t="s">
        <v>5092</v>
      </c>
      <c r="B693" t="s">
        <v>5091</v>
      </c>
      <c r="C693" t="s">
        <v>5091</v>
      </c>
      <c r="D693" t="s">
        <v>123</v>
      </c>
      <c r="E693">
        <v>46</v>
      </c>
      <c r="F693">
        <v>46</v>
      </c>
      <c r="G693" t="s">
        <v>68</v>
      </c>
      <c r="H693" t="s">
        <v>68</v>
      </c>
      <c r="I693" t="s">
        <v>90</v>
      </c>
      <c r="J693" t="s">
        <v>67</v>
      </c>
      <c r="K693" s="1">
        <v>46084</v>
      </c>
      <c r="L693" s="1" t="str">
        <f>IF(K693&gt;O693,"Valid","Invalid")</f>
        <v>Valid</v>
      </c>
      <c r="M693" s="1" t="b">
        <f>ISNUMBER(K693)</f>
        <v>1</v>
      </c>
      <c r="N693" s="1" t="b">
        <f>ISNUMBER(O693)</f>
        <v>1</v>
      </c>
      <c r="O693" s="1">
        <v>46069</v>
      </c>
      <c r="P693" t="s">
        <v>5090</v>
      </c>
      <c r="Q693" t="str">
        <f>SUBSTITUTE(SUBSTITUTE(SUBSTITUTE(P693," ",""),"-",""),"+","")</f>
        <v>8709371704</v>
      </c>
      <c r="R693" t="str">
        <f t="shared" si="20"/>
        <v>8709371704</v>
      </c>
      <c r="S693" t="str">
        <f>IF(LEN(R693),"Valid","Invalid")</f>
        <v>Valid</v>
      </c>
      <c r="T693" t="s">
        <v>5089</v>
      </c>
      <c r="V693" t="s">
        <v>26</v>
      </c>
      <c r="X693">
        <v>3854.88</v>
      </c>
      <c r="Y693" t="s">
        <v>123</v>
      </c>
      <c r="Z693">
        <v>155</v>
      </c>
      <c r="AA693">
        <f t="shared" si="21"/>
        <v>155</v>
      </c>
      <c r="AB693" t="s">
        <v>77</v>
      </c>
    </row>
    <row r="694" spans="1:28" x14ac:dyDescent="0.3">
      <c r="A694" t="s">
        <v>5088</v>
      </c>
      <c r="B694" t="s">
        <v>5087</v>
      </c>
      <c r="C694" t="s">
        <v>5087</v>
      </c>
      <c r="D694" t="s">
        <v>22</v>
      </c>
      <c r="E694">
        <v>63</v>
      </c>
      <c r="F694">
        <v>63</v>
      </c>
      <c r="G694" t="s">
        <v>68</v>
      </c>
      <c r="H694" t="s">
        <v>68</v>
      </c>
      <c r="I694" t="s">
        <v>38</v>
      </c>
      <c r="J694" t="s">
        <v>8077</v>
      </c>
      <c r="K694" s="1">
        <v>46161</v>
      </c>
      <c r="L694" s="1" t="str">
        <f>IF(K694&gt;O694,"Valid","Invalid")</f>
        <v>Valid</v>
      </c>
      <c r="M694" s="1" t="b">
        <f>ISNUMBER(K694)</f>
        <v>1</v>
      </c>
      <c r="N694" s="1" t="b">
        <f>ISNUMBER(O694)</f>
        <v>1</v>
      </c>
      <c r="O694" s="1">
        <v>46141</v>
      </c>
      <c r="P694" t="s">
        <v>5086</v>
      </c>
      <c r="Q694" t="str">
        <f>SUBSTITUTE(SUBSTITUTE(SUBSTITUTE(P694," ",""),"-",""),"+","")</f>
        <v>911669214430</v>
      </c>
      <c r="R694" t="str">
        <f t="shared" si="20"/>
        <v>1669214430</v>
      </c>
      <c r="S694" t="str">
        <f>IF(LEN(R694),"Valid","Invalid")</f>
        <v>Valid</v>
      </c>
      <c r="T694" t="s">
        <v>5085</v>
      </c>
      <c r="V694" t="s">
        <v>35</v>
      </c>
      <c r="X694">
        <v>937.14</v>
      </c>
      <c r="Y694" t="s">
        <v>27</v>
      </c>
      <c r="Z694">
        <v>525</v>
      </c>
      <c r="AA694">
        <f t="shared" si="21"/>
        <v>525</v>
      </c>
      <c r="AB694" t="s">
        <v>77</v>
      </c>
    </row>
    <row r="695" spans="1:28" x14ac:dyDescent="0.3">
      <c r="A695" t="s">
        <v>5084</v>
      </c>
      <c r="B695" t="s">
        <v>5083</v>
      </c>
      <c r="C695" t="s">
        <v>5083</v>
      </c>
      <c r="E695">
        <v>87</v>
      </c>
      <c r="F695">
        <v>87</v>
      </c>
      <c r="G695" t="s">
        <v>47</v>
      </c>
      <c r="H695" t="s">
        <v>47</v>
      </c>
      <c r="I695" t="s">
        <v>53</v>
      </c>
      <c r="J695" t="s">
        <v>20</v>
      </c>
      <c r="K695" s="1">
        <v>46104</v>
      </c>
      <c r="L695" s="1" t="str">
        <f>IF(K695&gt;O695,"Valid","Invalid")</f>
        <v>Valid</v>
      </c>
      <c r="M695" s="1" t="b">
        <f>ISNUMBER(K695)</f>
        <v>1</v>
      </c>
      <c r="N695" s="1" t="b">
        <f>ISNUMBER(O695)</f>
        <v>1</v>
      </c>
      <c r="O695" s="1">
        <v>46092</v>
      </c>
      <c r="P695" t="s">
        <v>5082</v>
      </c>
      <c r="Q695" t="str">
        <f>SUBSTITUTE(SUBSTITUTE(SUBSTITUTE(P695," ",""),"-",""),"+","")</f>
        <v>919650815418</v>
      </c>
      <c r="R695" t="str">
        <f t="shared" si="20"/>
        <v>9650815418</v>
      </c>
      <c r="S695" t="str">
        <f>IF(LEN(R695),"Valid","Invalid")</f>
        <v>Valid</v>
      </c>
      <c r="T695" t="s">
        <v>5081</v>
      </c>
      <c r="V695" t="s">
        <v>57</v>
      </c>
      <c r="X695">
        <v>3987.87</v>
      </c>
      <c r="Y695" t="s">
        <v>64</v>
      </c>
      <c r="Z695">
        <v>489</v>
      </c>
      <c r="AA695">
        <f t="shared" si="21"/>
        <v>489</v>
      </c>
      <c r="AB695" t="s">
        <v>77</v>
      </c>
    </row>
    <row r="696" spans="1:28" x14ac:dyDescent="0.3">
      <c r="A696" t="s">
        <v>5080</v>
      </c>
      <c r="B696" t="s">
        <v>5079</v>
      </c>
      <c r="C696" t="s">
        <v>5079</v>
      </c>
      <c r="E696">
        <v>60</v>
      </c>
      <c r="F696">
        <v>60</v>
      </c>
      <c r="G696" t="s">
        <v>21</v>
      </c>
      <c r="H696" t="s">
        <v>21</v>
      </c>
      <c r="I696" t="s">
        <v>30</v>
      </c>
      <c r="J696" t="s">
        <v>30</v>
      </c>
      <c r="K696" s="1">
        <v>46116</v>
      </c>
      <c r="L696" s="1" t="str">
        <f>IF(K696&gt;O696,"Valid","Invalid")</f>
        <v>Valid</v>
      </c>
      <c r="M696" s="1" t="b">
        <f>ISNUMBER(K696)</f>
        <v>1</v>
      </c>
      <c r="N696" s="1" t="b">
        <f>ISNUMBER(O696)</f>
        <v>1</v>
      </c>
      <c r="O696" s="1">
        <v>46095</v>
      </c>
      <c r="P696" t="s">
        <v>5078</v>
      </c>
      <c r="Q696" t="str">
        <f>SUBSTITUTE(SUBSTITUTE(SUBSTITUTE(P696," ",""),"-",""),"+","")</f>
        <v>09759993293</v>
      </c>
      <c r="R696" t="str">
        <f t="shared" si="20"/>
        <v>9759993293</v>
      </c>
      <c r="S696" t="str">
        <f>IF(LEN(R696),"Valid","Invalid")</f>
        <v>Valid</v>
      </c>
      <c r="T696" t="s">
        <v>5077</v>
      </c>
      <c r="V696" t="s">
        <v>123</v>
      </c>
      <c r="X696">
        <v>12358.21</v>
      </c>
      <c r="Y696" t="s">
        <v>63</v>
      </c>
      <c r="Z696">
        <v>377</v>
      </c>
      <c r="AA696">
        <f t="shared" si="21"/>
        <v>377</v>
      </c>
      <c r="AB696" t="s">
        <v>43</v>
      </c>
    </row>
    <row r="697" spans="1:28" x14ac:dyDescent="0.3">
      <c r="A697" t="s">
        <v>5076</v>
      </c>
      <c r="B697" t="s">
        <v>5075</v>
      </c>
      <c r="C697" t="s">
        <v>5075</v>
      </c>
      <c r="D697" t="s">
        <v>40</v>
      </c>
      <c r="E697">
        <v>5</v>
      </c>
      <c r="F697">
        <v>5</v>
      </c>
      <c r="G697" t="s">
        <v>54</v>
      </c>
      <c r="H697" t="s">
        <v>54</v>
      </c>
      <c r="I697" t="s">
        <v>20</v>
      </c>
      <c r="J697" t="s">
        <v>20</v>
      </c>
      <c r="K697" s="1">
        <v>46152</v>
      </c>
      <c r="L697" s="1" t="str">
        <f>IF(K697&gt;O697,"Valid","Invalid")</f>
        <v>Valid</v>
      </c>
      <c r="M697" s="1" t="b">
        <f>ISNUMBER(K697)</f>
        <v>1</v>
      </c>
      <c r="N697" s="1" t="b">
        <f>ISNUMBER(O697)</f>
        <v>1</v>
      </c>
      <c r="O697" s="1">
        <v>46140</v>
      </c>
      <c r="P697" t="s">
        <v>5074</v>
      </c>
      <c r="Q697" t="str">
        <f>SUBSTITUTE(SUBSTITUTE(SUBSTITUTE(P697," ",""),"-",""),"+","")</f>
        <v>7291193100</v>
      </c>
      <c r="R697" t="str">
        <f t="shared" si="20"/>
        <v>7291193100</v>
      </c>
      <c r="S697" t="str">
        <f>IF(LEN(R697),"Valid","Invalid")</f>
        <v>Valid</v>
      </c>
      <c r="T697" t="s">
        <v>5073</v>
      </c>
      <c r="V697" t="s">
        <v>123</v>
      </c>
      <c r="X697">
        <v>8001.07</v>
      </c>
      <c r="Y697" t="s">
        <v>123</v>
      </c>
      <c r="Z697">
        <v>326</v>
      </c>
      <c r="AA697">
        <f t="shared" si="21"/>
        <v>326</v>
      </c>
      <c r="AB697" t="s">
        <v>16</v>
      </c>
    </row>
    <row r="698" spans="1:28" x14ac:dyDescent="0.3">
      <c r="A698" t="s">
        <v>5072</v>
      </c>
      <c r="B698" t="s">
        <v>5071</v>
      </c>
      <c r="C698" t="s">
        <v>5071</v>
      </c>
      <c r="D698" t="s">
        <v>40</v>
      </c>
      <c r="E698">
        <v>5</v>
      </c>
      <c r="F698">
        <v>5</v>
      </c>
      <c r="G698" t="s">
        <v>39</v>
      </c>
      <c r="H698" t="s">
        <v>39</v>
      </c>
      <c r="I698" t="s">
        <v>30</v>
      </c>
      <c r="J698" t="s">
        <v>30</v>
      </c>
      <c r="K698" s="1">
        <v>46019</v>
      </c>
      <c r="L698" s="1" t="str">
        <f>IF(K698&gt;O698,"Valid","Invalid")</f>
        <v>Valid</v>
      </c>
      <c r="M698" s="1" t="b">
        <f>ISNUMBER(K698)</f>
        <v>1</v>
      </c>
      <c r="N698" s="1" t="b">
        <f>ISNUMBER(O698)</f>
        <v>1</v>
      </c>
      <c r="O698" s="1">
        <v>45991</v>
      </c>
      <c r="P698" t="s">
        <v>5070</v>
      </c>
      <c r="Q698" t="str">
        <f>SUBSTITUTE(SUBSTITUTE(SUBSTITUTE(P698," ",""),"-",""),"+","")</f>
        <v>07369657689</v>
      </c>
      <c r="R698" t="str">
        <f t="shared" si="20"/>
        <v>7369657689</v>
      </c>
      <c r="S698" t="str">
        <f>IF(LEN(R698),"Valid","Invalid")</f>
        <v>Valid</v>
      </c>
      <c r="T698" t="s">
        <v>5069</v>
      </c>
      <c r="V698" t="s">
        <v>35</v>
      </c>
      <c r="X698">
        <v>12388.69</v>
      </c>
      <c r="Y698" t="s">
        <v>26</v>
      </c>
      <c r="Z698">
        <v>259</v>
      </c>
      <c r="AA698">
        <f t="shared" si="21"/>
        <v>259</v>
      </c>
      <c r="AB698" t="s">
        <v>25</v>
      </c>
    </row>
    <row r="699" spans="1:28" x14ac:dyDescent="0.3">
      <c r="A699" t="s">
        <v>5068</v>
      </c>
      <c r="B699" t="s">
        <v>5067</v>
      </c>
      <c r="C699" t="s">
        <v>5067</v>
      </c>
      <c r="D699" t="s">
        <v>123</v>
      </c>
      <c r="E699">
        <v>63</v>
      </c>
      <c r="F699">
        <v>63</v>
      </c>
      <c r="G699" t="s">
        <v>80</v>
      </c>
      <c r="H699" t="s">
        <v>80</v>
      </c>
      <c r="I699" t="s">
        <v>85</v>
      </c>
      <c r="J699" t="s">
        <v>85</v>
      </c>
      <c r="K699" s="1">
        <v>45997</v>
      </c>
      <c r="L699" s="1" t="str">
        <f>IF(K699&gt;O699,"Valid","Invalid")</f>
        <v>Valid</v>
      </c>
      <c r="M699" s="1" t="b">
        <f>ISNUMBER(K699)</f>
        <v>1</v>
      </c>
      <c r="N699" s="1" t="b">
        <f>ISNUMBER(O699)</f>
        <v>1</v>
      </c>
      <c r="O699" s="1">
        <v>45976</v>
      </c>
      <c r="P699" t="s">
        <v>5066</v>
      </c>
      <c r="Q699" t="str">
        <f>SUBSTITUTE(SUBSTITUTE(SUBSTITUTE(P699," ",""),"-",""),"+","")</f>
        <v>01575571698</v>
      </c>
      <c r="R699" t="str">
        <f t="shared" si="20"/>
        <v>1575571698</v>
      </c>
      <c r="S699" t="str">
        <f>IF(LEN(R699),"Valid","Invalid")</f>
        <v>Valid</v>
      </c>
      <c r="T699" t="s">
        <v>5065</v>
      </c>
      <c r="V699" t="s">
        <v>123</v>
      </c>
      <c r="X699">
        <v>12002.59</v>
      </c>
      <c r="Y699" t="s">
        <v>26</v>
      </c>
      <c r="Z699">
        <v>359</v>
      </c>
      <c r="AA699">
        <f t="shared" si="21"/>
        <v>359</v>
      </c>
      <c r="AB699" t="s">
        <v>77</v>
      </c>
    </row>
    <row r="700" spans="1:28" x14ac:dyDescent="0.3">
      <c r="A700" t="s">
        <v>5064</v>
      </c>
      <c r="B700" t="s">
        <v>5063</v>
      </c>
      <c r="C700" t="s">
        <v>5063</v>
      </c>
      <c r="D700" t="s">
        <v>123</v>
      </c>
      <c r="E700">
        <v>34</v>
      </c>
      <c r="F700">
        <v>34</v>
      </c>
      <c r="G700" t="s">
        <v>68</v>
      </c>
      <c r="H700" t="s">
        <v>68</v>
      </c>
      <c r="I700" t="s">
        <v>90</v>
      </c>
      <c r="J700" t="s">
        <v>67</v>
      </c>
      <c r="K700" s="1">
        <v>46042</v>
      </c>
      <c r="L700" s="1" t="str">
        <f>IF(K700&gt;O700,"Valid","Invalid")</f>
        <v>Valid</v>
      </c>
      <c r="M700" s="1" t="b">
        <f>ISNUMBER(K700)</f>
        <v>1</v>
      </c>
      <c r="N700" s="1" t="b">
        <f>ISNUMBER(O700)</f>
        <v>1</v>
      </c>
      <c r="O700" s="1">
        <v>46023</v>
      </c>
      <c r="P700" t="s">
        <v>5062</v>
      </c>
      <c r="Q700" t="str">
        <f>SUBSTITUTE(SUBSTITUTE(SUBSTITUTE(P700," ",""),"-",""),"+","")</f>
        <v>911083778454</v>
      </c>
      <c r="R700" t="str">
        <f t="shared" si="20"/>
        <v>1083778454</v>
      </c>
      <c r="S700" t="str">
        <f>IF(LEN(R700),"Valid","Invalid")</f>
        <v>Valid</v>
      </c>
      <c r="T700" t="s">
        <v>5061</v>
      </c>
      <c r="V700" t="s">
        <v>57</v>
      </c>
      <c r="X700">
        <v>19208.48</v>
      </c>
      <c r="Y700" t="s">
        <v>63</v>
      </c>
      <c r="Z700">
        <v>264</v>
      </c>
      <c r="AA700">
        <f t="shared" si="21"/>
        <v>264</v>
      </c>
      <c r="AB700" t="s">
        <v>77</v>
      </c>
    </row>
    <row r="701" spans="1:28" x14ac:dyDescent="0.3">
      <c r="A701" t="s">
        <v>5060</v>
      </c>
      <c r="B701" t="s">
        <v>5059</v>
      </c>
      <c r="C701" t="s">
        <v>5059</v>
      </c>
      <c r="D701" t="s">
        <v>40</v>
      </c>
      <c r="E701">
        <v>76</v>
      </c>
      <c r="F701">
        <v>76</v>
      </c>
      <c r="G701" t="s">
        <v>47</v>
      </c>
      <c r="H701" t="s">
        <v>47</v>
      </c>
      <c r="I701" t="s">
        <v>53</v>
      </c>
      <c r="J701" t="s">
        <v>20</v>
      </c>
      <c r="K701" s="1">
        <v>46105</v>
      </c>
      <c r="L701" s="1" t="str">
        <f>IF(K701&gt;O701,"Valid","Invalid")</f>
        <v>Valid</v>
      </c>
      <c r="M701" s="1" t="b">
        <f>ISNUMBER(K701)</f>
        <v>1</v>
      </c>
      <c r="N701" s="1" t="b">
        <f>ISNUMBER(O701)</f>
        <v>1</v>
      </c>
      <c r="O701" s="1">
        <v>46079</v>
      </c>
      <c r="P701" t="s">
        <v>5058</v>
      </c>
      <c r="Q701" t="str">
        <f>SUBSTITUTE(SUBSTITUTE(SUBSTITUTE(P701," ",""),"-",""),"+","")</f>
        <v>913916742222</v>
      </c>
      <c r="R701" t="str">
        <f t="shared" si="20"/>
        <v>3916742222</v>
      </c>
      <c r="S701" t="str">
        <f>IF(LEN(R701),"Valid","Invalid")</f>
        <v>Valid</v>
      </c>
      <c r="T701" t="s">
        <v>5057</v>
      </c>
      <c r="V701" t="s">
        <v>57</v>
      </c>
      <c r="X701">
        <v>8852.14</v>
      </c>
      <c r="Y701" t="s">
        <v>27</v>
      </c>
      <c r="Z701">
        <v>491</v>
      </c>
      <c r="AA701">
        <f t="shared" si="21"/>
        <v>491</v>
      </c>
      <c r="AB701" t="s">
        <v>25</v>
      </c>
    </row>
    <row r="702" spans="1:28" x14ac:dyDescent="0.3">
      <c r="A702" t="s">
        <v>5056</v>
      </c>
      <c r="B702" t="s">
        <v>5055</v>
      </c>
      <c r="C702" t="s">
        <v>5055</v>
      </c>
      <c r="D702" t="s">
        <v>60</v>
      </c>
      <c r="E702">
        <v>49</v>
      </c>
      <c r="F702">
        <v>49</v>
      </c>
      <c r="G702" t="s">
        <v>80</v>
      </c>
      <c r="H702" t="s">
        <v>80</v>
      </c>
      <c r="I702" t="s">
        <v>90</v>
      </c>
      <c r="J702" t="s">
        <v>67</v>
      </c>
      <c r="K702" s="1">
        <v>46016</v>
      </c>
      <c r="L702" s="1" t="str">
        <f>IF(K702&gt;O702,"Valid","Invalid")</f>
        <v>Valid</v>
      </c>
      <c r="M702" s="1" t="b">
        <f>ISNUMBER(K702)</f>
        <v>1</v>
      </c>
      <c r="N702" s="1" t="b">
        <f>ISNUMBER(O702)</f>
        <v>1</v>
      </c>
      <c r="O702" s="1">
        <v>46005</v>
      </c>
      <c r="P702" t="s">
        <v>5054</v>
      </c>
      <c r="Q702" t="str">
        <f>SUBSTITUTE(SUBSTITUTE(SUBSTITUTE(P702," ",""),"-",""),"+","")</f>
        <v>00353123416</v>
      </c>
      <c r="R702" t="str">
        <f t="shared" si="20"/>
        <v>0353123416</v>
      </c>
      <c r="S702" t="str">
        <f>IF(LEN(R702),"Valid","Invalid")</f>
        <v>Valid</v>
      </c>
      <c r="T702" t="s">
        <v>5053</v>
      </c>
      <c r="V702" t="s">
        <v>57</v>
      </c>
      <c r="X702">
        <v>10415.85</v>
      </c>
      <c r="Y702" t="s">
        <v>27</v>
      </c>
      <c r="Z702">
        <v>438</v>
      </c>
      <c r="AA702">
        <f t="shared" si="21"/>
        <v>438</v>
      </c>
      <c r="AB702" t="s">
        <v>71</v>
      </c>
    </row>
    <row r="703" spans="1:28" x14ac:dyDescent="0.3">
      <c r="A703" t="s">
        <v>5052</v>
      </c>
      <c r="B703" t="s">
        <v>5051</v>
      </c>
      <c r="C703" t="s">
        <v>5051</v>
      </c>
      <c r="D703" t="s">
        <v>1</v>
      </c>
      <c r="E703">
        <v>31</v>
      </c>
      <c r="F703">
        <v>31</v>
      </c>
      <c r="G703" t="s">
        <v>132</v>
      </c>
      <c r="H703" t="s">
        <v>132</v>
      </c>
      <c r="I703" t="s">
        <v>20</v>
      </c>
      <c r="J703" t="s">
        <v>20</v>
      </c>
      <c r="K703" s="1">
        <v>46027</v>
      </c>
      <c r="L703" s="1" t="str">
        <f>IF(K703&gt;O703,"Valid","Invalid")</f>
        <v>Valid</v>
      </c>
      <c r="M703" s="1" t="b">
        <f>ISNUMBER(K703)</f>
        <v>1</v>
      </c>
      <c r="N703" s="1" t="b">
        <f>ISNUMBER(O703)</f>
        <v>1</v>
      </c>
      <c r="O703" s="1">
        <v>45998</v>
      </c>
      <c r="P703" t="s">
        <v>5050</v>
      </c>
      <c r="Q703" t="str">
        <f>SUBSTITUTE(SUBSTITUTE(SUBSTITUTE(P703," ",""),"-",""),"+","")</f>
        <v>9436398484</v>
      </c>
      <c r="R703" t="str">
        <f t="shared" si="20"/>
        <v>9436398484</v>
      </c>
      <c r="S703" t="str">
        <f>IF(LEN(R703),"Valid","Invalid")</f>
        <v>Valid</v>
      </c>
      <c r="T703" t="s">
        <v>5049</v>
      </c>
      <c r="V703" t="s">
        <v>64</v>
      </c>
      <c r="X703">
        <v>21749.71</v>
      </c>
      <c r="Y703" t="s">
        <v>64</v>
      </c>
      <c r="Z703">
        <v>272</v>
      </c>
      <c r="AA703">
        <f t="shared" si="21"/>
        <v>272</v>
      </c>
      <c r="AB703" t="s">
        <v>71</v>
      </c>
    </row>
    <row r="704" spans="1:28" x14ac:dyDescent="0.3">
      <c r="A704" t="s">
        <v>5048</v>
      </c>
      <c r="B704" t="s">
        <v>5047</v>
      </c>
      <c r="C704" t="s">
        <v>5047</v>
      </c>
      <c r="D704" t="s">
        <v>40</v>
      </c>
      <c r="E704">
        <v>69</v>
      </c>
      <c r="F704">
        <v>69</v>
      </c>
      <c r="G704" t="s">
        <v>31</v>
      </c>
      <c r="H704" t="s">
        <v>31</v>
      </c>
      <c r="I704" t="s">
        <v>46</v>
      </c>
      <c r="J704" t="s">
        <v>46</v>
      </c>
      <c r="K704" s="1">
        <v>46133</v>
      </c>
      <c r="L704" s="1" t="str">
        <f>IF(K704&gt;O704,"Valid","Invalid")</f>
        <v>Valid</v>
      </c>
      <c r="M704" s="1" t="b">
        <f>ISNUMBER(K704)</f>
        <v>1</v>
      </c>
      <c r="N704" s="1" t="b">
        <f>ISNUMBER(O704)</f>
        <v>1</v>
      </c>
      <c r="O704" s="1">
        <v>46119</v>
      </c>
      <c r="P704" t="s">
        <v>5046</v>
      </c>
      <c r="Q704" t="str">
        <f>SUBSTITUTE(SUBSTITUTE(SUBSTITUTE(P704," ",""),"-",""),"+","")</f>
        <v>5412693673</v>
      </c>
      <c r="R704" t="str">
        <f t="shared" si="20"/>
        <v>5412693673</v>
      </c>
      <c r="S704" t="str">
        <f>IF(LEN(R704),"Valid","Invalid")</f>
        <v>Valid</v>
      </c>
      <c r="T704" t="s">
        <v>5045</v>
      </c>
      <c r="V704" t="s">
        <v>123</v>
      </c>
      <c r="X704">
        <v>14287.63</v>
      </c>
      <c r="Y704" t="s">
        <v>123</v>
      </c>
      <c r="Z704">
        <v>236</v>
      </c>
      <c r="AA704">
        <f t="shared" si="21"/>
        <v>236</v>
      </c>
      <c r="AB704" t="s">
        <v>77</v>
      </c>
    </row>
    <row r="705" spans="1:28" x14ac:dyDescent="0.3">
      <c r="A705" t="s">
        <v>5044</v>
      </c>
      <c r="B705" t="s">
        <v>5043</v>
      </c>
      <c r="C705" t="s">
        <v>5043</v>
      </c>
      <c r="E705">
        <v>76</v>
      </c>
      <c r="F705">
        <v>76</v>
      </c>
      <c r="G705" t="s">
        <v>47</v>
      </c>
      <c r="H705" t="s">
        <v>47</v>
      </c>
      <c r="I705" t="s">
        <v>67</v>
      </c>
      <c r="J705" t="s">
        <v>67</v>
      </c>
      <c r="K705" s="1">
        <v>45990</v>
      </c>
      <c r="L705" s="1" t="str">
        <f>IF(K705&gt;O705,"Valid","Invalid")</f>
        <v>Valid</v>
      </c>
      <c r="M705" s="1" t="b">
        <f>ISNUMBER(K705)</f>
        <v>1</v>
      </c>
      <c r="N705" s="1" t="b">
        <f>ISNUMBER(O705)</f>
        <v>1</v>
      </c>
      <c r="O705" s="1">
        <v>45978</v>
      </c>
      <c r="P705" t="s">
        <v>5042</v>
      </c>
      <c r="Q705" t="str">
        <f>SUBSTITUTE(SUBSTITUTE(SUBSTITUTE(P705," ",""),"-",""),"+","")</f>
        <v>5452965840</v>
      </c>
      <c r="R705" t="str">
        <f t="shared" si="20"/>
        <v>5452965840</v>
      </c>
      <c r="S705" t="str">
        <f>IF(LEN(R705),"Valid","Invalid")</f>
        <v>Valid</v>
      </c>
      <c r="T705" t="s">
        <v>5041</v>
      </c>
      <c r="V705" t="s">
        <v>123</v>
      </c>
      <c r="X705">
        <v>8196.0499999999993</v>
      </c>
      <c r="Y705" t="s">
        <v>64</v>
      </c>
      <c r="Z705">
        <v>513</v>
      </c>
      <c r="AA705">
        <f t="shared" si="21"/>
        <v>513</v>
      </c>
      <c r="AB705" t="s">
        <v>16</v>
      </c>
    </row>
    <row r="706" spans="1:28" x14ac:dyDescent="0.3">
      <c r="A706" t="s">
        <v>5040</v>
      </c>
      <c r="B706" t="s">
        <v>5039</v>
      </c>
      <c r="C706" t="s">
        <v>5039</v>
      </c>
      <c r="D706" t="s">
        <v>74</v>
      </c>
      <c r="E706">
        <v>89</v>
      </c>
      <c r="F706">
        <v>89</v>
      </c>
      <c r="G706" t="s">
        <v>21</v>
      </c>
      <c r="H706" t="s">
        <v>21</v>
      </c>
      <c r="I706" t="s">
        <v>67</v>
      </c>
      <c r="J706" t="s">
        <v>67</v>
      </c>
      <c r="K706" s="1">
        <v>46073</v>
      </c>
      <c r="L706" s="1" t="str">
        <f>IF(K706&gt;O706,"Valid","Invalid")</f>
        <v>Valid</v>
      </c>
      <c r="M706" s="1" t="b">
        <f>ISNUMBER(K706)</f>
        <v>1</v>
      </c>
      <c r="N706" s="1" t="b">
        <f>ISNUMBER(O706)</f>
        <v>1</v>
      </c>
      <c r="O706" s="1">
        <v>46058</v>
      </c>
      <c r="P706" t="s">
        <v>5038</v>
      </c>
      <c r="Q706" t="str">
        <f>SUBSTITUTE(SUBSTITUTE(SUBSTITUTE(P706," ",""),"-",""),"+","")</f>
        <v>914786757377</v>
      </c>
      <c r="R706" t="str">
        <f t="shared" si="20"/>
        <v>4786757377</v>
      </c>
      <c r="S706" t="str">
        <f>IF(LEN(R706),"Valid","Invalid")</f>
        <v>Valid</v>
      </c>
      <c r="T706" t="s">
        <v>5037</v>
      </c>
      <c r="V706" t="s">
        <v>57</v>
      </c>
      <c r="X706">
        <v>4332.3599999999997</v>
      </c>
      <c r="Y706" t="s">
        <v>63</v>
      </c>
      <c r="Z706">
        <v>286</v>
      </c>
      <c r="AA706">
        <f t="shared" si="21"/>
        <v>286</v>
      </c>
      <c r="AB706" t="s">
        <v>16</v>
      </c>
    </row>
    <row r="707" spans="1:28" x14ac:dyDescent="0.3">
      <c r="A707" t="s">
        <v>5036</v>
      </c>
      <c r="B707" t="s">
        <v>5035</v>
      </c>
      <c r="C707" t="s">
        <v>5035</v>
      </c>
      <c r="D707" t="s">
        <v>1</v>
      </c>
      <c r="E707">
        <v>64</v>
      </c>
      <c r="F707">
        <v>64</v>
      </c>
      <c r="G707" t="s">
        <v>80</v>
      </c>
      <c r="H707" t="s">
        <v>80</v>
      </c>
      <c r="I707" t="s">
        <v>38</v>
      </c>
      <c r="J707" t="s">
        <v>8077</v>
      </c>
      <c r="K707" s="1">
        <v>46003</v>
      </c>
      <c r="L707" s="1" t="str">
        <f>IF(K707&gt;O707,"Valid","Invalid")</f>
        <v>Valid</v>
      </c>
      <c r="M707" s="1" t="b">
        <f>ISNUMBER(K707)</f>
        <v>1</v>
      </c>
      <c r="N707" s="1" t="b">
        <f>ISNUMBER(O707)</f>
        <v>1</v>
      </c>
      <c r="O707" s="1">
        <v>45994</v>
      </c>
      <c r="P707" t="s">
        <v>5034</v>
      </c>
      <c r="Q707" t="str">
        <f>SUBSTITUTE(SUBSTITUTE(SUBSTITUTE(P707," ",""),"-",""),"+","")</f>
        <v>911063992343</v>
      </c>
      <c r="R707" t="str">
        <f t="shared" si="20"/>
        <v>1063992343</v>
      </c>
      <c r="S707" t="str">
        <f>IF(LEN(R707),"Valid","Invalid")</f>
        <v>Valid</v>
      </c>
      <c r="T707" t="s">
        <v>5033</v>
      </c>
      <c r="V707" t="s">
        <v>26</v>
      </c>
      <c r="X707">
        <v>1378.78</v>
      </c>
      <c r="Y707" t="s">
        <v>123</v>
      </c>
      <c r="Z707">
        <v>511</v>
      </c>
      <c r="AA707">
        <f t="shared" si="21"/>
        <v>511</v>
      </c>
      <c r="AB707" t="s">
        <v>71</v>
      </c>
    </row>
    <row r="708" spans="1:28" x14ac:dyDescent="0.3">
      <c r="A708" t="s">
        <v>5032</v>
      </c>
      <c r="B708" t="s">
        <v>5031</v>
      </c>
      <c r="C708" t="s">
        <v>5031</v>
      </c>
      <c r="D708" t="s">
        <v>74</v>
      </c>
      <c r="E708">
        <v>75</v>
      </c>
      <c r="F708">
        <v>75</v>
      </c>
      <c r="G708" t="s">
        <v>80</v>
      </c>
      <c r="H708" t="s">
        <v>80</v>
      </c>
      <c r="I708" t="s">
        <v>67</v>
      </c>
      <c r="J708" t="s">
        <v>67</v>
      </c>
      <c r="K708" s="1">
        <v>46024</v>
      </c>
      <c r="L708" s="1" t="str">
        <f>IF(K708&gt;O708,"Valid","Invalid")</f>
        <v>Valid</v>
      </c>
      <c r="M708" s="1" t="b">
        <f>ISNUMBER(K708)</f>
        <v>1</v>
      </c>
      <c r="N708" s="1" t="b">
        <f>ISNUMBER(O708)</f>
        <v>1</v>
      </c>
      <c r="O708" s="1">
        <v>46016</v>
      </c>
      <c r="P708" t="s">
        <v>5030</v>
      </c>
      <c r="Q708" t="str">
        <f>SUBSTITUTE(SUBSTITUTE(SUBSTITUTE(P708," ",""),"-",""),"+","")</f>
        <v>07991313219</v>
      </c>
      <c r="R708" t="str">
        <f t="shared" si="20"/>
        <v>7991313219</v>
      </c>
      <c r="S708" t="str">
        <f>IF(LEN(R708),"Valid","Invalid")</f>
        <v>Valid</v>
      </c>
      <c r="T708" t="s">
        <v>5029</v>
      </c>
      <c r="V708" t="s">
        <v>64</v>
      </c>
      <c r="X708">
        <v>14247.42</v>
      </c>
      <c r="Y708" t="s">
        <v>123</v>
      </c>
      <c r="Z708">
        <v>318</v>
      </c>
      <c r="AA708">
        <f t="shared" si="21"/>
        <v>318</v>
      </c>
      <c r="AB708" t="s">
        <v>71</v>
      </c>
    </row>
    <row r="709" spans="1:28" x14ac:dyDescent="0.3">
      <c r="A709" t="s">
        <v>5028</v>
      </c>
      <c r="B709" t="s">
        <v>5027</v>
      </c>
      <c r="C709" t="s">
        <v>5027</v>
      </c>
      <c r="D709" t="s">
        <v>60</v>
      </c>
      <c r="E709">
        <v>10</v>
      </c>
      <c r="F709">
        <v>10</v>
      </c>
      <c r="G709" t="s">
        <v>132</v>
      </c>
      <c r="H709" t="s">
        <v>132</v>
      </c>
      <c r="I709" t="s">
        <v>30</v>
      </c>
      <c r="J709" t="s">
        <v>30</v>
      </c>
      <c r="K709" s="1">
        <v>46007</v>
      </c>
      <c r="L709" s="1" t="str">
        <f>IF(K709&gt;O709,"Valid","Invalid")</f>
        <v>Valid</v>
      </c>
      <c r="M709" s="1" t="b">
        <f>ISNUMBER(K709)</f>
        <v>1</v>
      </c>
      <c r="N709" s="1" t="b">
        <f>ISNUMBER(O709)</f>
        <v>1</v>
      </c>
      <c r="O709" s="1">
        <v>45994</v>
      </c>
      <c r="P709" t="s">
        <v>5026</v>
      </c>
      <c r="Q709" t="str">
        <f>SUBSTITUTE(SUBSTITUTE(SUBSTITUTE(P709," ",""),"-",""),"+","")</f>
        <v>3945363161</v>
      </c>
      <c r="R709" t="str">
        <f t="shared" ref="R709:R772" si="22">RIGHT(Q709,10)</f>
        <v>3945363161</v>
      </c>
      <c r="S709" t="str">
        <f>IF(LEN(R709),"Valid","Invalid")</f>
        <v>Valid</v>
      </c>
      <c r="T709" t="s">
        <v>5025</v>
      </c>
      <c r="V709" t="s">
        <v>57</v>
      </c>
      <c r="X709">
        <v>5161.91</v>
      </c>
      <c r="Y709" t="s">
        <v>123</v>
      </c>
      <c r="Z709">
        <v>228</v>
      </c>
      <c r="AA709">
        <f t="shared" ref="AA709:AA772" si="23">IF(Z709="Room-x",0,Z709)</f>
        <v>228</v>
      </c>
      <c r="AB709" t="s">
        <v>34</v>
      </c>
    </row>
    <row r="710" spans="1:28" x14ac:dyDescent="0.3">
      <c r="A710" t="s">
        <v>5024</v>
      </c>
      <c r="B710" t="s">
        <v>5023</v>
      </c>
      <c r="C710" t="s">
        <v>5023</v>
      </c>
      <c r="E710">
        <v>86</v>
      </c>
      <c r="F710">
        <v>86</v>
      </c>
      <c r="G710" t="s">
        <v>39</v>
      </c>
      <c r="H710" t="s">
        <v>39</v>
      </c>
      <c r="I710" t="s">
        <v>46</v>
      </c>
      <c r="J710" t="s">
        <v>46</v>
      </c>
      <c r="K710" s="1">
        <v>46035</v>
      </c>
      <c r="L710" s="1" t="str">
        <f>IF(K710&gt;O710,"Valid","Invalid")</f>
        <v>Valid</v>
      </c>
      <c r="M710" s="1" t="b">
        <f>ISNUMBER(K710)</f>
        <v>1</v>
      </c>
      <c r="N710" s="1" t="b">
        <f>ISNUMBER(O710)</f>
        <v>1</v>
      </c>
      <c r="O710" s="1">
        <v>46015</v>
      </c>
      <c r="P710" t="s">
        <v>5022</v>
      </c>
      <c r="Q710" t="str">
        <f>SUBSTITUTE(SUBSTITUTE(SUBSTITUTE(P710," ",""),"-",""),"+","")</f>
        <v>02120981155</v>
      </c>
      <c r="R710" t="str">
        <f t="shared" si="22"/>
        <v>2120981155</v>
      </c>
      <c r="S710" t="str">
        <f>IF(LEN(R710),"Valid","Invalid")</f>
        <v>Valid</v>
      </c>
      <c r="T710" t="s">
        <v>5021</v>
      </c>
      <c r="V710" t="s">
        <v>35</v>
      </c>
      <c r="X710">
        <v>14505.71</v>
      </c>
      <c r="Y710" t="s">
        <v>57</v>
      </c>
      <c r="Z710">
        <v>438</v>
      </c>
      <c r="AA710">
        <f t="shared" si="23"/>
        <v>438</v>
      </c>
      <c r="AB710" t="s">
        <v>50</v>
      </c>
    </row>
    <row r="711" spans="1:28" x14ac:dyDescent="0.3">
      <c r="A711" t="s">
        <v>5020</v>
      </c>
      <c r="B711" t="s">
        <v>5019</v>
      </c>
      <c r="C711" t="s">
        <v>5019</v>
      </c>
      <c r="E711">
        <v>35</v>
      </c>
      <c r="F711">
        <v>35</v>
      </c>
      <c r="G711" t="s">
        <v>54</v>
      </c>
      <c r="H711" t="s">
        <v>54</v>
      </c>
      <c r="I711" t="s">
        <v>46</v>
      </c>
      <c r="J711" t="s">
        <v>46</v>
      </c>
      <c r="K711" s="1">
        <v>46134</v>
      </c>
      <c r="L711" s="1" t="str">
        <f>IF(K711&gt;O711,"Valid","Invalid")</f>
        <v>Valid</v>
      </c>
      <c r="M711" s="1" t="b">
        <f>ISNUMBER(K711)</f>
        <v>1</v>
      </c>
      <c r="N711" s="1" t="b">
        <f>ISNUMBER(O711)</f>
        <v>1</v>
      </c>
      <c r="O711" s="1">
        <v>46118</v>
      </c>
      <c r="P711" t="s">
        <v>5018</v>
      </c>
      <c r="Q711" t="str">
        <f>SUBSTITUTE(SUBSTITUTE(SUBSTITUTE(P711," ",""),"-",""),"+","")</f>
        <v>4008751178</v>
      </c>
      <c r="R711" t="str">
        <f t="shared" si="22"/>
        <v>4008751178</v>
      </c>
      <c r="S711" t="str">
        <f>IF(LEN(R711),"Valid","Invalid")</f>
        <v>Valid</v>
      </c>
      <c r="T711" t="s">
        <v>5017</v>
      </c>
      <c r="V711" t="s">
        <v>17</v>
      </c>
      <c r="X711">
        <v>9234.01</v>
      </c>
      <c r="Y711" t="s">
        <v>26</v>
      </c>
      <c r="Z711">
        <v>223</v>
      </c>
      <c r="AA711">
        <f t="shared" si="23"/>
        <v>223</v>
      </c>
      <c r="AB711" t="s">
        <v>71</v>
      </c>
    </row>
    <row r="712" spans="1:28" x14ac:dyDescent="0.3">
      <c r="A712" t="s">
        <v>5016</v>
      </c>
      <c r="B712" t="s">
        <v>5015</v>
      </c>
      <c r="C712" t="s">
        <v>5015</v>
      </c>
      <c r="D712" t="s">
        <v>22</v>
      </c>
      <c r="E712">
        <v>56</v>
      </c>
      <c r="F712">
        <v>56</v>
      </c>
      <c r="G712" t="s">
        <v>54</v>
      </c>
      <c r="H712" t="s">
        <v>54</v>
      </c>
      <c r="I712" t="s">
        <v>67</v>
      </c>
      <c r="J712" t="s">
        <v>67</v>
      </c>
      <c r="K712" s="1">
        <v>46080</v>
      </c>
      <c r="L712" s="1" t="str">
        <f>IF(K712&gt;O712,"Valid","Invalid")</f>
        <v>Valid</v>
      </c>
      <c r="M712" s="1" t="b">
        <f>ISNUMBER(K712)</f>
        <v>1</v>
      </c>
      <c r="N712" s="1" t="b">
        <f>ISNUMBER(O712)</f>
        <v>1</v>
      </c>
      <c r="O712" s="1">
        <v>46053</v>
      </c>
      <c r="P712" t="s">
        <v>5014</v>
      </c>
      <c r="Q712" t="str">
        <f>SUBSTITUTE(SUBSTITUTE(SUBSTITUTE(P712," ",""),"-",""),"+","")</f>
        <v>02049113694</v>
      </c>
      <c r="R712" t="str">
        <f t="shared" si="22"/>
        <v>2049113694</v>
      </c>
      <c r="S712" t="str">
        <f>IF(LEN(R712),"Valid","Invalid")</f>
        <v>Valid</v>
      </c>
      <c r="T712" t="s">
        <v>5013</v>
      </c>
      <c r="V712" t="s">
        <v>64</v>
      </c>
      <c r="X712">
        <v>15921.4</v>
      </c>
      <c r="Y712" t="s">
        <v>123</v>
      </c>
      <c r="Z712">
        <v>236</v>
      </c>
      <c r="AA712">
        <f t="shared" si="23"/>
        <v>236</v>
      </c>
      <c r="AB712" t="s">
        <v>50</v>
      </c>
    </row>
    <row r="713" spans="1:28" x14ac:dyDescent="0.3">
      <c r="A713" t="s">
        <v>5012</v>
      </c>
      <c r="B713" t="s">
        <v>5011</v>
      </c>
      <c r="C713" t="s">
        <v>5011</v>
      </c>
      <c r="D713" t="s">
        <v>22</v>
      </c>
      <c r="E713">
        <v>83</v>
      </c>
      <c r="F713">
        <v>83</v>
      </c>
      <c r="G713" t="s">
        <v>39</v>
      </c>
      <c r="H713" t="s">
        <v>39</v>
      </c>
      <c r="I713" t="s">
        <v>30</v>
      </c>
      <c r="J713" t="s">
        <v>30</v>
      </c>
      <c r="K713" s="1">
        <v>45998</v>
      </c>
      <c r="L713" s="1" t="str">
        <f>IF(K713&gt;O713,"Valid","Invalid")</f>
        <v>Valid</v>
      </c>
      <c r="M713" s="1" t="b">
        <f>ISNUMBER(K713)</f>
        <v>1</v>
      </c>
      <c r="N713" s="1" t="b">
        <f>ISNUMBER(O713)</f>
        <v>1</v>
      </c>
      <c r="O713" s="1">
        <v>45977</v>
      </c>
      <c r="P713" t="s">
        <v>5010</v>
      </c>
      <c r="Q713" t="str">
        <f>SUBSTITUTE(SUBSTITUTE(SUBSTITUTE(P713," ",""),"-",""),"+","")</f>
        <v>7234198105</v>
      </c>
      <c r="R713" t="str">
        <f t="shared" si="22"/>
        <v>7234198105</v>
      </c>
      <c r="S713" t="str">
        <f>IF(LEN(R713),"Valid","Invalid")</f>
        <v>Valid</v>
      </c>
      <c r="T713" t="s">
        <v>5009</v>
      </c>
      <c r="V713" t="s">
        <v>17</v>
      </c>
      <c r="X713">
        <v>10265.48</v>
      </c>
      <c r="Y713" t="s">
        <v>64</v>
      </c>
      <c r="Z713">
        <v>176</v>
      </c>
      <c r="AA713">
        <f t="shared" si="23"/>
        <v>176</v>
      </c>
      <c r="AB713" t="s">
        <v>71</v>
      </c>
    </row>
    <row r="714" spans="1:28" x14ac:dyDescent="0.3">
      <c r="A714" t="s">
        <v>5008</v>
      </c>
      <c r="B714" t="s">
        <v>5007</v>
      </c>
      <c r="C714" t="s">
        <v>5007</v>
      </c>
      <c r="D714" t="s">
        <v>40</v>
      </c>
      <c r="E714">
        <v>32</v>
      </c>
      <c r="F714">
        <v>32</v>
      </c>
      <c r="G714" t="s">
        <v>132</v>
      </c>
      <c r="H714" t="s">
        <v>132</v>
      </c>
      <c r="I714" t="s">
        <v>85</v>
      </c>
      <c r="J714" t="s">
        <v>85</v>
      </c>
      <c r="K714" s="1">
        <v>46129</v>
      </c>
      <c r="L714" s="1" t="str">
        <f>IF(K714&gt;O714,"Valid","Invalid")</f>
        <v>Valid</v>
      </c>
      <c r="M714" s="1" t="b">
        <f>ISNUMBER(K714)</f>
        <v>1</v>
      </c>
      <c r="N714" s="1" t="b">
        <f>ISNUMBER(O714)</f>
        <v>1</v>
      </c>
      <c r="O714" s="1">
        <v>46114</v>
      </c>
      <c r="P714" t="s">
        <v>5006</v>
      </c>
      <c r="Q714" t="str">
        <f>SUBSTITUTE(SUBSTITUTE(SUBSTITUTE(P714," ",""),"-",""),"+","")</f>
        <v>4512992343</v>
      </c>
      <c r="R714" t="str">
        <f t="shared" si="22"/>
        <v>4512992343</v>
      </c>
      <c r="S714" t="str">
        <f>IF(LEN(R714),"Valid","Invalid")</f>
        <v>Valid</v>
      </c>
      <c r="T714" t="s">
        <v>5005</v>
      </c>
      <c r="V714" t="s">
        <v>123</v>
      </c>
      <c r="X714">
        <v>10666.07</v>
      </c>
      <c r="Y714" t="s">
        <v>27</v>
      </c>
      <c r="Z714">
        <v>203</v>
      </c>
      <c r="AA714">
        <f t="shared" si="23"/>
        <v>203</v>
      </c>
      <c r="AB714" t="s">
        <v>71</v>
      </c>
    </row>
    <row r="715" spans="1:28" x14ac:dyDescent="0.3">
      <c r="A715" t="s">
        <v>5004</v>
      </c>
      <c r="B715" t="s">
        <v>5003</v>
      </c>
      <c r="C715" t="s">
        <v>5003</v>
      </c>
      <c r="D715" t="s">
        <v>22</v>
      </c>
      <c r="E715">
        <v>18</v>
      </c>
      <c r="F715">
        <v>18</v>
      </c>
      <c r="G715" t="s">
        <v>47</v>
      </c>
      <c r="H715" t="s">
        <v>47</v>
      </c>
      <c r="I715" t="s">
        <v>30</v>
      </c>
      <c r="J715" t="s">
        <v>30</v>
      </c>
      <c r="K715" s="1">
        <v>46009</v>
      </c>
      <c r="L715" s="1" t="str">
        <f>IF(K715&gt;O715,"Valid","Invalid")</f>
        <v>Valid</v>
      </c>
      <c r="M715" s="1" t="b">
        <f>ISNUMBER(K715)</f>
        <v>1</v>
      </c>
      <c r="N715" s="1" t="b">
        <f>ISNUMBER(O715)</f>
        <v>1</v>
      </c>
      <c r="O715" s="1">
        <v>45984</v>
      </c>
      <c r="P715" t="s">
        <v>5002</v>
      </c>
      <c r="Q715" t="str">
        <f>SUBSTITUTE(SUBSTITUTE(SUBSTITUTE(P715," ",""),"-",""),"+","")</f>
        <v>1129240311</v>
      </c>
      <c r="R715" t="str">
        <f t="shared" si="22"/>
        <v>1129240311</v>
      </c>
      <c r="S715" t="str">
        <f>IF(LEN(R715),"Valid","Invalid")</f>
        <v>Valid</v>
      </c>
      <c r="T715" t="s">
        <v>5001</v>
      </c>
      <c r="V715" t="s">
        <v>26</v>
      </c>
      <c r="X715">
        <v>16535.03</v>
      </c>
      <c r="Y715" t="s">
        <v>26</v>
      </c>
      <c r="Z715">
        <v>429</v>
      </c>
      <c r="AA715">
        <f t="shared" si="23"/>
        <v>429</v>
      </c>
      <c r="AB715" t="s">
        <v>50</v>
      </c>
    </row>
    <row r="716" spans="1:28" x14ac:dyDescent="0.3">
      <c r="A716" t="s">
        <v>5000</v>
      </c>
      <c r="B716" t="s">
        <v>4999</v>
      </c>
      <c r="C716" t="s">
        <v>4999</v>
      </c>
      <c r="D716" t="s">
        <v>40</v>
      </c>
      <c r="E716">
        <v>63</v>
      </c>
      <c r="F716">
        <v>63</v>
      </c>
      <c r="G716" t="s">
        <v>47</v>
      </c>
      <c r="H716" t="s">
        <v>47</v>
      </c>
      <c r="I716" t="s">
        <v>46</v>
      </c>
      <c r="J716" t="s">
        <v>46</v>
      </c>
      <c r="K716" s="1">
        <v>46173</v>
      </c>
      <c r="L716" s="1" t="str">
        <f>IF(K716&gt;O716,"Valid","Invalid")</f>
        <v>Valid</v>
      </c>
      <c r="M716" s="1" t="b">
        <f>ISNUMBER(K716)</f>
        <v>1</v>
      </c>
      <c r="N716" s="1" t="b">
        <f>ISNUMBER(O716)</f>
        <v>1</v>
      </c>
      <c r="O716" s="1">
        <v>46146</v>
      </c>
      <c r="P716" t="s">
        <v>4998</v>
      </c>
      <c r="Q716" t="str">
        <f>SUBSTITUTE(SUBSTITUTE(SUBSTITUTE(P716," ",""),"-",""),"+","")</f>
        <v>02050131840</v>
      </c>
      <c r="R716" t="str">
        <f t="shared" si="22"/>
        <v>2050131840</v>
      </c>
      <c r="S716" t="str">
        <f>IF(LEN(R716),"Valid","Invalid")</f>
        <v>Valid</v>
      </c>
      <c r="T716" t="s">
        <v>4997</v>
      </c>
      <c r="V716" t="s">
        <v>64</v>
      </c>
      <c r="X716">
        <v>7984.84</v>
      </c>
      <c r="Y716" t="s">
        <v>63</v>
      </c>
      <c r="Z716">
        <v>543</v>
      </c>
      <c r="AA716">
        <f t="shared" si="23"/>
        <v>543</v>
      </c>
      <c r="AB716" t="s">
        <v>77</v>
      </c>
    </row>
    <row r="717" spans="1:28" x14ac:dyDescent="0.3">
      <c r="A717" t="s">
        <v>4996</v>
      </c>
      <c r="B717" t="s">
        <v>4995</v>
      </c>
      <c r="C717" t="s">
        <v>4995</v>
      </c>
      <c r="D717" t="s">
        <v>123</v>
      </c>
      <c r="E717">
        <v>47</v>
      </c>
      <c r="F717">
        <v>47</v>
      </c>
      <c r="G717" t="s">
        <v>80</v>
      </c>
      <c r="H717" t="s">
        <v>80</v>
      </c>
      <c r="I717" t="s">
        <v>90</v>
      </c>
      <c r="J717" t="s">
        <v>67</v>
      </c>
      <c r="K717" s="1">
        <v>46012</v>
      </c>
      <c r="L717" s="1" t="str">
        <f>IF(K717&gt;O717,"Valid","Invalid")</f>
        <v>Valid</v>
      </c>
      <c r="M717" s="1" t="b">
        <f>ISNUMBER(K717)</f>
        <v>1</v>
      </c>
      <c r="N717" s="1" t="b">
        <f>ISNUMBER(O717)</f>
        <v>1</v>
      </c>
      <c r="O717" s="1">
        <v>45982</v>
      </c>
      <c r="P717" t="s">
        <v>4994</v>
      </c>
      <c r="Q717" t="str">
        <f>SUBSTITUTE(SUBSTITUTE(SUBSTITUTE(P717," ",""),"-",""),"+","")</f>
        <v>919816934830</v>
      </c>
      <c r="R717" t="str">
        <f t="shared" si="22"/>
        <v>9816934830</v>
      </c>
      <c r="S717" t="str">
        <f>IF(LEN(R717),"Valid","Invalid")</f>
        <v>Valid</v>
      </c>
      <c r="T717" t="s">
        <v>4993</v>
      </c>
      <c r="V717" t="s">
        <v>35</v>
      </c>
      <c r="X717">
        <v>6053.82</v>
      </c>
      <c r="Y717" t="s">
        <v>64</v>
      </c>
      <c r="Z717">
        <v>367</v>
      </c>
      <c r="AA717">
        <f t="shared" si="23"/>
        <v>367</v>
      </c>
      <c r="AB717" t="s">
        <v>25</v>
      </c>
    </row>
    <row r="718" spans="1:28" x14ac:dyDescent="0.3">
      <c r="A718" t="s">
        <v>4992</v>
      </c>
      <c r="B718" t="s">
        <v>4991</v>
      </c>
      <c r="C718" t="s">
        <v>4991</v>
      </c>
      <c r="D718" t="s">
        <v>22</v>
      </c>
      <c r="E718">
        <v>64</v>
      </c>
      <c r="F718">
        <v>64</v>
      </c>
      <c r="G718" t="s">
        <v>80</v>
      </c>
      <c r="H718" t="s">
        <v>80</v>
      </c>
      <c r="I718" t="s">
        <v>38</v>
      </c>
      <c r="J718" t="s">
        <v>8077</v>
      </c>
      <c r="K718" s="1">
        <v>46033</v>
      </c>
      <c r="L718" s="1" t="str">
        <f>IF(K718&gt;O718,"Valid","Invalid")</f>
        <v>Valid</v>
      </c>
      <c r="M718" s="1" t="b">
        <f>ISNUMBER(K718)</f>
        <v>1</v>
      </c>
      <c r="N718" s="1" t="b">
        <f>ISNUMBER(O718)</f>
        <v>1</v>
      </c>
      <c r="O718" s="1">
        <v>46014</v>
      </c>
      <c r="P718" t="s">
        <v>4990</v>
      </c>
      <c r="Q718" t="str">
        <f>SUBSTITUTE(SUBSTITUTE(SUBSTITUTE(P718," ",""),"-",""),"+","")</f>
        <v>2418864620</v>
      </c>
      <c r="R718" t="str">
        <f t="shared" si="22"/>
        <v>2418864620</v>
      </c>
      <c r="S718" t="str">
        <f>IF(LEN(R718),"Valid","Invalid")</f>
        <v>Valid</v>
      </c>
      <c r="T718" t="s">
        <v>4989</v>
      </c>
      <c r="V718" t="s">
        <v>64</v>
      </c>
      <c r="X718">
        <v>19375.13</v>
      </c>
      <c r="Y718" t="s">
        <v>17</v>
      </c>
      <c r="Z718">
        <v>268</v>
      </c>
      <c r="AA718">
        <f t="shared" si="23"/>
        <v>268</v>
      </c>
      <c r="AB718" t="s">
        <v>50</v>
      </c>
    </row>
    <row r="719" spans="1:28" x14ac:dyDescent="0.3">
      <c r="A719" t="s">
        <v>4988</v>
      </c>
      <c r="B719" t="s">
        <v>4987</v>
      </c>
      <c r="C719" t="s">
        <v>4987</v>
      </c>
      <c r="D719" t="s">
        <v>123</v>
      </c>
      <c r="E719">
        <v>31</v>
      </c>
      <c r="F719">
        <v>31</v>
      </c>
      <c r="G719" t="s">
        <v>54</v>
      </c>
      <c r="H719" t="s">
        <v>54</v>
      </c>
      <c r="I719" t="s">
        <v>38</v>
      </c>
      <c r="J719" t="s">
        <v>8077</v>
      </c>
      <c r="K719" s="1">
        <v>46016</v>
      </c>
      <c r="L719" s="1" t="str">
        <f>IF(K719&gt;O719,"Valid","Invalid")</f>
        <v>Valid</v>
      </c>
      <c r="M719" s="1" t="b">
        <f>ISNUMBER(K719)</f>
        <v>1</v>
      </c>
      <c r="N719" s="1" t="b">
        <f>ISNUMBER(O719)</f>
        <v>1</v>
      </c>
      <c r="O719" s="1">
        <v>46012</v>
      </c>
      <c r="P719" t="s">
        <v>4986</v>
      </c>
      <c r="Q719" t="str">
        <f>SUBSTITUTE(SUBSTITUTE(SUBSTITUTE(P719," ",""),"-",""),"+","")</f>
        <v>911668137245</v>
      </c>
      <c r="R719" t="str">
        <f t="shared" si="22"/>
        <v>1668137245</v>
      </c>
      <c r="S719" t="str">
        <f>IF(LEN(R719),"Valid","Invalid")</f>
        <v>Valid</v>
      </c>
      <c r="T719" t="s">
        <v>4985</v>
      </c>
      <c r="V719" t="s">
        <v>64</v>
      </c>
      <c r="X719">
        <v>4543.83</v>
      </c>
      <c r="Y719" t="s">
        <v>63</v>
      </c>
      <c r="Z719">
        <v>325</v>
      </c>
      <c r="AA719">
        <f t="shared" si="23"/>
        <v>325</v>
      </c>
      <c r="AB719" t="s">
        <v>16</v>
      </c>
    </row>
    <row r="720" spans="1:28" x14ac:dyDescent="0.3">
      <c r="A720" t="s">
        <v>4984</v>
      </c>
      <c r="B720" t="s">
        <v>4983</v>
      </c>
      <c r="C720" t="s">
        <v>4983</v>
      </c>
      <c r="D720" t="s">
        <v>22</v>
      </c>
      <c r="E720">
        <v>76</v>
      </c>
      <c r="F720">
        <v>76</v>
      </c>
      <c r="G720" t="s">
        <v>47</v>
      </c>
      <c r="H720" t="s">
        <v>47</v>
      </c>
      <c r="I720" t="s">
        <v>85</v>
      </c>
      <c r="J720" t="s">
        <v>85</v>
      </c>
      <c r="K720" s="1">
        <v>46070</v>
      </c>
      <c r="L720" s="1" t="str">
        <f>IF(K720&gt;O720,"Valid","Invalid")</f>
        <v>Valid</v>
      </c>
      <c r="M720" s="1" t="b">
        <f>ISNUMBER(K720)</f>
        <v>1</v>
      </c>
      <c r="N720" s="1" t="b">
        <f>ISNUMBER(O720)</f>
        <v>1</v>
      </c>
      <c r="O720" s="1">
        <v>46053</v>
      </c>
      <c r="P720" t="s">
        <v>4982</v>
      </c>
      <c r="Q720" t="str">
        <f>SUBSTITUTE(SUBSTITUTE(SUBSTITUTE(P720," ",""),"-",""),"+","")</f>
        <v>3423302956</v>
      </c>
      <c r="R720" t="str">
        <f t="shared" si="22"/>
        <v>3423302956</v>
      </c>
      <c r="S720" t="str">
        <f>IF(LEN(R720),"Valid","Invalid")</f>
        <v>Valid</v>
      </c>
      <c r="T720" t="s">
        <v>4981</v>
      </c>
      <c r="V720" t="s">
        <v>57</v>
      </c>
      <c r="X720">
        <v>17550.52</v>
      </c>
      <c r="Y720" t="s">
        <v>64</v>
      </c>
      <c r="Z720">
        <v>262</v>
      </c>
      <c r="AA720">
        <f t="shared" si="23"/>
        <v>262</v>
      </c>
      <c r="AB720" t="s">
        <v>34</v>
      </c>
    </row>
    <row r="721" spans="1:28" x14ac:dyDescent="0.3">
      <c r="A721" t="s">
        <v>4980</v>
      </c>
      <c r="B721" t="s">
        <v>4979</v>
      </c>
      <c r="C721" t="s">
        <v>4979</v>
      </c>
      <c r="D721" t="s">
        <v>123</v>
      </c>
      <c r="E721">
        <v>61</v>
      </c>
      <c r="F721">
        <v>61</v>
      </c>
      <c r="G721" t="s">
        <v>21</v>
      </c>
      <c r="H721" t="s">
        <v>21</v>
      </c>
      <c r="I721" t="s">
        <v>30</v>
      </c>
      <c r="J721" t="s">
        <v>30</v>
      </c>
      <c r="K721" s="1">
        <v>46087</v>
      </c>
      <c r="L721" s="1" t="str">
        <f>IF(K721&gt;O721,"Valid","Invalid")</f>
        <v>Valid</v>
      </c>
      <c r="M721" s="1" t="b">
        <f>ISNUMBER(K721)</f>
        <v>1</v>
      </c>
      <c r="N721" s="1" t="b">
        <f>ISNUMBER(O721)</f>
        <v>1</v>
      </c>
      <c r="O721" s="1">
        <v>46059</v>
      </c>
      <c r="P721" t="s">
        <v>4978</v>
      </c>
      <c r="Q721" t="str">
        <f>SUBSTITUTE(SUBSTITUTE(SUBSTITUTE(P721," ",""),"-",""),"+","")</f>
        <v>01404233654</v>
      </c>
      <c r="R721" t="str">
        <f t="shared" si="22"/>
        <v>1404233654</v>
      </c>
      <c r="S721" t="str">
        <f>IF(LEN(R721),"Valid","Invalid")</f>
        <v>Valid</v>
      </c>
      <c r="T721" t="s">
        <v>4977</v>
      </c>
      <c r="V721" t="s">
        <v>35</v>
      </c>
      <c r="X721">
        <v>9202.35</v>
      </c>
      <c r="Y721" t="s">
        <v>17</v>
      </c>
      <c r="Z721">
        <v>520</v>
      </c>
      <c r="AA721">
        <f t="shared" si="23"/>
        <v>520</v>
      </c>
      <c r="AB721" t="s">
        <v>43</v>
      </c>
    </row>
    <row r="722" spans="1:28" x14ac:dyDescent="0.3">
      <c r="A722" t="s">
        <v>4976</v>
      </c>
      <c r="B722" t="s">
        <v>4975</v>
      </c>
      <c r="C722" t="s">
        <v>4975</v>
      </c>
      <c r="D722" t="s">
        <v>40</v>
      </c>
      <c r="E722">
        <v>83</v>
      </c>
      <c r="F722">
        <v>83</v>
      </c>
      <c r="G722" t="s">
        <v>47</v>
      </c>
      <c r="H722" t="s">
        <v>47</v>
      </c>
      <c r="I722" t="s">
        <v>46</v>
      </c>
      <c r="J722" t="s">
        <v>46</v>
      </c>
      <c r="K722" s="1">
        <v>46079</v>
      </c>
      <c r="L722" s="1" t="str">
        <f>IF(K722&gt;O722,"Valid","Invalid")</f>
        <v>Valid</v>
      </c>
      <c r="M722" s="1" t="b">
        <f>ISNUMBER(K722)</f>
        <v>1</v>
      </c>
      <c r="N722" s="1" t="b">
        <f>ISNUMBER(O722)</f>
        <v>1</v>
      </c>
      <c r="O722" s="1">
        <v>46057</v>
      </c>
      <c r="P722" t="s">
        <v>4974</v>
      </c>
      <c r="Q722" t="str">
        <f>SUBSTITUTE(SUBSTITUTE(SUBSTITUTE(P722," ",""),"-",""),"+","")</f>
        <v>02152507402</v>
      </c>
      <c r="R722" t="str">
        <f t="shared" si="22"/>
        <v>2152507402</v>
      </c>
      <c r="S722" t="str">
        <f>IF(LEN(R722),"Valid","Invalid")</f>
        <v>Valid</v>
      </c>
      <c r="T722" t="s">
        <v>4973</v>
      </c>
      <c r="V722" t="s">
        <v>17</v>
      </c>
      <c r="X722">
        <v>6473.98</v>
      </c>
      <c r="Y722" t="s">
        <v>123</v>
      </c>
      <c r="Z722">
        <v>258</v>
      </c>
      <c r="AA722">
        <f t="shared" si="23"/>
        <v>258</v>
      </c>
      <c r="AB722" t="s">
        <v>25</v>
      </c>
    </row>
    <row r="723" spans="1:28" x14ac:dyDescent="0.3">
      <c r="A723" t="s">
        <v>4972</v>
      </c>
      <c r="B723" t="s">
        <v>4971</v>
      </c>
      <c r="C723" t="s">
        <v>4971</v>
      </c>
      <c r="D723" t="s">
        <v>60</v>
      </c>
      <c r="E723">
        <v>88</v>
      </c>
      <c r="F723">
        <v>88</v>
      </c>
      <c r="G723" t="s">
        <v>80</v>
      </c>
      <c r="H723" t="s">
        <v>80</v>
      </c>
      <c r="I723" t="s">
        <v>38</v>
      </c>
      <c r="J723" t="s">
        <v>8077</v>
      </c>
      <c r="K723" s="1">
        <v>46009</v>
      </c>
      <c r="L723" s="1" t="str">
        <f>IF(K723&gt;O723,"Valid","Invalid")</f>
        <v>Valid</v>
      </c>
      <c r="M723" s="1" t="b">
        <f>ISNUMBER(K723)</f>
        <v>1</v>
      </c>
      <c r="N723" s="1" t="b">
        <f>ISNUMBER(O723)</f>
        <v>1</v>
      </c>
      <c r="O723" s="1">
        <v>45982</v>
      </c>
      <c r="P723" t="s">
        <v>4970</v>
      </c>
      <c r="Q723" t="str">
        <f>SUBSTITUTE(SUBSTITUTE(SUBSTITUTE(P723," ",""),"-",""),"+","")</f>
        <v>0984872589</v>
      </c>
      <c r="R723" t="str">
        <f t="shared" si="22"/>
        <v>0984872589</v>
      </c>
      <c r="S723" t="str">
        <f>IF(LEN(R723),"Valid","Invalid")</f>
        <v>Valid</v>
      </c>
      <c r="T723" t="s">
        <v>4969</v>
      </c>
      <c r="V723" t="s">
        <v>123</v>
      </c>
      <c r="X723">
        <v>9834.08</v>
      </c>
      <c r="Y723" t="s">
        <v>123</v>
      </c>
      <c r="Z723">
        <v>230</v>
      </c>
      <c r="AA723">
        <f t="shared" si="23"/>
        <v>230</v>
      </c>
      <c r="AB723" t="s">
        <v>43</v>
      </c>
    </row>
    <row r="724" spans="1:28" x14ac:dyDescent="0.3">
      <c r="A724" t="s">
        <v>4968</v>
      </c>
      <c r="B724" t="s">
        <v>4967</v>
      </c>
      <c r="C724" t="s">
        <v>4967</v>
      </c>
      <c r="D724" t="s">
        <v>74</v>
      </c>
      <c r="E724">
        <v>31</v>
      </c>
      <c r="F724">
        <v>31</v>
      </c>
      <c r="G724" t="s">
        <v>132</v>
      </c>
      <c r="H724" t="s">
        <v>132</v>
      </c>
      <c r="I724" t="s">
        <v>38</v>
      </c>
      <c r="J724" t="s">
        <v>8077</v>
      </c>
      <c r="K724" s="1">
        <v>46021</v>
      </c>
      <c r="L724" s="1" t="str">
        <f>IF(K724&gt;O724,"Valid","Invalid")</f>
        <v>Valid</v>
      </c>
      <c r="M724" s="1" t="b">
        <f>ISNUMBER(K724)</f>
        <v>1</v>
      </c>
      <c r="N724" s="1" t="b">
        <f>ISNUMBER(O724)</f>
        <v>1</v>
      </c>
      <c r="O724" s="1">
        <v>45994</v>
      </c>
      <c r="P724" t="s">
        <v>4966</v>
      </c>
      <c r="Q724" t="str">
        <f>SUBSTITUTE(SUBSTITUTE(SUBSTITUTE(P724," ",""),"-",""),"+","")</f>
        <v>8013249753</v>
      </c>
      <c r="R724" t="str">
        <f t="shared" si="22"/>
        <v>8013249753</v>
      </c>
      <c r="S724" t="str">
        <f>IF(LEN(R724),"Valid","Invalid")</f>
        <v>Valid</v>
      </c>
      <c r="T724" t="s">
        <v>4965</v>
      </c>
      <c r="V724" t="s">
        <v>35</v>
      </c>
      <c r="X724">
        <v>22914.09</v>
      </c>
      <c r="Y724" t="s">
        <v>17</v>
      </c>
      <c r="Z724">
        <v>550</v>
      </c>
      <c r="AA724">
        <f t="shared" si="23"/>
        <v>550</v>
      </c>
      <c r="AB724" t="s">
        <v>50</v>
      </c>
    </row>
    <row r="725" spans="1:28" x14ac:dyDescent="0.3">
      <c r="A725" t="s">
        <v>4964</v>
      </c>
      <c r="B725" t="s">
        <v>4963</v>
      </c>
      <c r="C725" t="s">
        <v>4963</v>
      </c>
      <c r="D725" t="s">
        <v>123</v>
      </c>
      <c r="E725">
        <v>5</v>
      </c>
      <c r="F725">
        <v>5</v>
      </c>
      <c r="G725" t="s">
        <v>132</v>
      </c>
      <c r="H725" t="s">
        <v>132</v>
      </c>
      <c r="I725" t="s">
        <v>20</v>
      </c>
      <c r="J725" t="s">
        <v>20</v>
      </c>
      <c r="K725" s="1">
        <v>46037</v>
      </c>
      <c r="L725" s="1" t="str">
        <f>IF(K725&gt;O725,"Valid","Invalid")</f>
        <v>Valid</v>
      </c>
      <c r="M725" s="1" t="b">
        <f>ISNUMBER(K725)</f>
        <v>1</v>
      </c>
      <c r="N725" s="1" t="b">
        <f>ISNUMBER(O725)</f>
        <v>1</v>
      </c>
      <c r="O725" s="1">
        <v>46011</v>
      </c>
      <c r="P725" t="s">
        <v>4962</v>
      </c>
      <c r="Q725" t="str">
        <f>SUBSTITUTE(SUBSTITUTE(SUBSTITUTE(P725," ",""),"-",""),"+","")</f>
        <v>5408280165</v>
      </c>
      <c r="R725" t="str">
        <f t="shared" si="22"/>
        <v>5408280165</v>
      </c>
      <c r="S725" t="str">
        <f>IF(LEN(R725),"Valid","Invalid")</f>
        <v>Valid</v>
      </c>
      <c r="T725" t="s">
        <v>4961</v>
      </c>
      <c r="V725" t="s">
        <v>123</v>
      </c>
      <c r="X725">
        <v>11883.06</v>
      </c>
      <c r="Y725" t="s">
        <v>123</v>
      </c>
      <c r="Z725">
        <v>530</v>
      </c>
      <c r="AA725">
        <f t="shared" si="23"/>
        <v>530</v>
      </c>
      <c r="AB725" t="s">
        <v>43</v>
      </c>
    </row>
    <row r="726" spans="1:28" x14ac:dyDescent="0.3">
      <c r="A726" t="s">
        <v>4960</v>
      </c>
      <c r="B726" t="s">
        <v>4959</v>
      </c>
      <c r="C726" t="s">
        <v>4959</v>
      </c>
      <c r="D726" t="s">
        <v>123</v>
      </c>
      <c r="E726">
        <v>13</v>
      </c>
      <c r="F726">
        <v>13</v>
      </c>
      <c r="G726" t="s">
        <v>39</v>
      </c>
      <c r="H726" t="s">
        <v>39</v>
      </c>
      <c r="I726" t="s">
        <v>30</v>
      </c>
      <c r="J726" t="s">
        <v>30</v>
      </c>
      <c r="K726" s="1">
        <v>46077</v>
      </c>
      <c r="L726" s="1" t="str">
        <f>IF(K726&gt;O726,"Valid","Invalid")</f>
        <v>Valid</v>
      </c>
      <c r="M726" s="1" t="b">
        <f>ISNUMBER(K726)</f>
        <v>1</v>
      </c>
      <c r="N726" s="1" t="b">
        <f>ISNUMBER(O726)</f>
        <v>1</v>
      </c>
      <c r="O726" s="1">
        <v>46061</v>
      </c>
      <c r="P726" t="s">
        <v>4958</v>
      </c>
      <c r="Q726" t="str">
        <f>SUBSTITUTE(SUBSTITUTE(SUBSTITUTE(P726," ",""),"-",""),"+","")</f>
        <v>03681025465</v>
      </c>
      <c r="R726" t="str">
        <f t="shared" si="22"/>
        <v>3681025465</v>
      </c>
      <c r="S726" t="str">
        <f>IF(LEN(R726),"Valid","Invalid")</f>
        <v>Valid</v>
      </c>
      <c r="T726" t="s">
        <v>4957</v>
      </c>
      <c r="V726" t="s">
        <v>64</v>
      </c>
      <c r="X726">
        <v>8926.0400000000009</v>
      </c>
      <c r="Y726" t="s">
        <v>17</v>
      </c>
      <c r="Z726">
        <v>332</v>
      </c>
      <c r="AA726">
        <f t="shared" si="23"/>
        <v>332</v>
      </c>
      <c r="AB726" t="s">
        <v>25</v>
      </c>
    </row>
    <row r="727" spans="1:28" x14ac:dyDescent="0.3">
      <c r="A727" t="s">
        <v>4956</v>
      </c>
      <c r="B727" t="s">
        <v>4955</v>
      </c>
      <c r="C727" t="s">
        <v>4955</v>
      </c>
      <c r="D727" t="s">
        <v>40</v>
      </c>
      <c r="E727">
        <v>7</v>
      </c>
      <c r="F727">
        <v>7</v>
      </c>
      <c r="G727" t="s">
        <v>39</v>
      </c>
      <c r="H727" t="s">
        <v>39</v>
      </c>
      <c r="I727" t="s">
        <v>85</v>
      </c>
      <c r="J727" t="s">
        <v>85</v>
      </c>
      <c r="K727" s="1">
        <v>46084</v>
      </c>
      <c r="L727" s="1" t="str">
        <f>IF(K727&gt;O727,"Valid","Invalid")</f>
        <v>Valid</v>
      </c>
      <c r="M727" s="1" t="b">
        <f>ISNUMBER(K727)</f>
        <v>1</v>
      </c>
      <c r="N727" s="1" t="b">
        <f>ISNUMBER(O727)</f>
        <v>1</v>
      </c>
      <c r="O727" s="1">
        <v>46059</v>
      </c>
      <c r="P727" t="s">
        <v>4954</v>
      </c>
      <c r="Q727" t="str">
        <f>SUBSTITUTE(SUBSTITUTE(SUBSTITUTE(P727," ",""),"-",""),"+","")</f>
        <v>911678497722</v>
      </c>
      <c r="R727" t="str">
        <f t="shared" si="22"/>
        <v>1678497722</v>
      </c>
      <c r="S727" t="str">
        <f>IF(LEN(R727),"Valid","Invalid")</f>
        <v>Valid</v>
      </c>
      <c r="T727" t="s">
        <v>4953</v>
      </c>
      <c r="V727" t="s">
        <v>35</v>
      </c>
      <c r="X727">
        <v>276.27999999999997</v>
      </c>
      <c r="Y727" t="s">
        <v>57</v>
      </c>
      <c r="Z727">
        <v>421</v>
      </c>
      <c r="AA727">
        <f t="shared" si="23"/>
        <v>421</v>
      </c>
      <c r="AB727" t="s">
        <v>43</v>
      </c>
    </row>
    <row r="728" spans="1:28" x14ac:dyDescent="0.3">
      <c r="A728" t="s">
        <v>4952</v>
      </c>
      <c r="B728" t="s">
        <v>4951</v>
      </c>
      <c r="C728" t="s">
        <v>4951</v>
      </c>
      <c r="D728" t="s">
        <v>60</v>
      </c>
      <c r="E728">
        <v>74</v>
      </c>
      <c r="F728">
        <v>74</v>
      </c>
      <c r="G728" t="s">
        <v>80</v>
      </c>
      <c r="H728" t="s">
        <v>80</v>
      </c>
      <c r="I728" t="s">
        <v>20</v>
      </c>
      <c r="J728" t="s">
        <v>20</v>
      </c>
      <c r="K728" s="1">
        <v>46130</v>
      </c>
      <c r="L728" s="1" t="str">
        <f>IF(K728&gt;O728,"Valid","Invalid")</f>
        <v>Valid</v>
      </c>
      <c r="M728" s="1" t="b">
        <f>ISNUMBER(K728)</f>
        <v>1</v>
      </c>
      <c r="N728" s="1" t="b">
        <f>ISNUMBER(O728)</f>
        <v>1</v>
      </c>
      <c r="O728" s="1">
        <v>46125</v>
      </c>
      <c r="P728" t="s">
        <v>4950</v>
      </c>
      <c r="Q728" t="str">
        <f>SUBSTITUTE(SUBSTITUTE(SUBSTITUTE(P728," ",""),"-",""),"+","")</f>
        <v>3256049810</v>
      </c>
      <c r="R728" t="str">
        <f t="shared" si="22"/>
        <v>3256049810</v>
      </c>
      <c r="S728" t="str">
        <f>IF(LEN(R728),"Valid","Invalid")</f>
        <v>Valid</v>
      </c>
      <c r="T728" t="s">
        <v>4949</v>
      </c>
      <c r="V728" t="s">
        <v>17</v>
      </c>
      <c r="X728">
        <v>13005.87</v>
      </c>
      <c r="Y728" t="s">
        <v>26</v>
      </c>
      <c r="Z728">
        <v>533</v>
      </c>
      <c r="AA728">
        <f t="shared" si="23"/>
        <v>533</v>
      </c>
      <c r="AB728" t="s">
        <v>34</v>
      </c>
    </row>
    <row r="729" spans="1:28" x14ac:dyDescent="0.3">
      <c r="A729" t="s">
        <v>4948</v>
      </c>
      <c r="B729" t="s">
        <v>4947</v>
      </c>
      <c r="C729" t="s">
        <v>4947</v>
      </c>
      <c r="D729" t="s">
        <v>123</v>
      </c>
      <c r="E729">
        <v>41</v>
      </c>
      <c r="F729">
        <v>41</v>
      </c>
      <c r="G729" t="s">
        <v>68</v>
      </c>
      <c r="H729" t="s">
        <v>68</v>
      </c>
      <c r="I729" t="s">
        <v>85</v>
      </c>
      <c r="J729" t="s">
        <v>85</v>
      </c>
      <c r="K729" s="1">
        <v>46078</v>
      </c>
      <c r="L729" s="1" t="str">
        <f>IF(K729&gt;O729,"Valid","Invalid")</f>
        <v>Valid</v>
      </c>
      <c r="M729" s="1" t="b">
        <f>ISNUMBER(K729)</f>
        <v>1</v>
      </c>
      <c r="N729" s="1" t="b">
        <f>ISNUMBER(O729)</f>
        <v>1</v>
      </c>
      <c r="O729" s="1">
        <v>46051</v>
      </c>
      <c r="P729" t="s">
        <v>4946</v>
      </c>
      <c r="Q729" t="str">
        <f>SUBSTITUTE(SUBSTITUTE(SUBSTITUTE(P729," ",""),"-",""),"+","")</f>
        <v>5047247078</v>
      </c>
      <c r="R729" t="str">
        <f t="shared" si="22"/>
        <v>5047247078</v>
      </c>
      <c r="S729" t="str">
        <f>IF(LEN(R729),"Valid","Invalid")</f>
        <v>Valid</v>
      </c>
      <c r="T729" t="s">
        <v>4945</v>
      </c>
      <c r="V729" t="s">
        <v>35</v>
      </c>
      <c r="X729">
        <v>6664.86</v>
      </c>
      <c r="Y729" t="s">
        <v>17</v>
      </c>
      <c r="Z729">
        <v>509</v>
      </c>
      <c r="AA729">
        <f t="shared" si="23"/>
        <v>509</v>
      </c>
      <c r="AB729" t="s">
        <v>43</v>
      </c>
    </row>
    <row r="730" spans="1:28" x14ac:dyDescent="0.3">
      <c r="A730" t="s">
        <v>4944</v>
      </c>
      <c r="B730" t="s">
        <v>4943</v>
      </c>
      <c r="C730" t="s">
        <v>4943</v>
      </c>
      <c r="D730" t="s">
        <v>1</v>
      </c>
      <c r="E730">
        <v>11</v>
      </c>
      <c r="F730">
        <v>11</v>
      </c>
      <c r="G730" t="s">
        <v>54</v>
      </c>
      <c r="H730" t="s">
        <v>54</v>
      </c>
      <c r="I730" t="s">
        <v>67</v>
      </c>
      <c r="J730" t="s">
        <v>67</v>
      </c>
      <c r="K730" s="1">
        <v>46125</v>
      </c>
      <c r="L730" s="1" t="str">
        <f>IF(K730&gt;O730,"Valid","Invalid")</f>
        <v>Valid</v>
      </c>
      <c r="M730" s="1" t="b">
        <f>ISNUMBER(K730)</f>
        <v>1</v>
      </c>
      <c r="N730" s="1" t="b">
        <f>ISNUMBER(O730)</f>
        <v>1</v>
      </c>
      <c r="O730" s="1">
        <v>46120</v>
      </c>
      <c r="P730" t="s">
        <v>4942</v>
      </c>
      <c r="Q730" t="str">
        <f>SUBSTITUTE(SUBSTITUTE(SUBSTITUTE(P730," ",""),"-",""),"+","")</f>
        <v>2897685941</v>
      </c>
      <c r="R730" t="str">
        <f t="shared" si="22"/>
        <v>2897685941</v>
      </c>
      <c r="S730" t="str">
        <f>IF(LEN(R730),"Valid","Invalid")</f>
        <v>Valid</v>
      </c>
      <c r="T730" t="s">
        <v>4941</v>
      </c>
      <c r="V730" t="s">
        <v>123</v>
      </c>
      <c r="X730">
        <v>21934.47</v>
      </c>
      <c r="Y730" t="s">
        <v>57</v>
      </c>
      <c r="Z730">
        <v>110</v>
      </c>
      <c r="AA730">
        <f t="shared" si="23"/>
        <v>110</v>
      </c>
      <c r="AB730" t="s">
        <v>77</v>
      </c>
    </row>
    <row r="731" spans="1:28" x14ac:dyDescent="0.3">
      <c r="A731" t="s">
        <v>4940</v>
      </c>
      <c r="B731" t="s">
        <v>4939</v>
      </c>
      <c r="C731" t="s">
        <v>4939</v>
      </c>
      <c r="D731" t="s">
        <v>1</v>
      </c>
      <c r="E731">
        <v>12</v>
      </c>
      <c r="F731">
        <v>12</v>
      </c>
      <c r="G731" t="s">
        <v>68</v>
      </c>
      <c r="H731" t="s">
        <v>68</v>
      </c>
      <c r="I731" t="s">
        <v>38</v>
      </c>
      <c r="J731" t="s">
        <v>8077</v>
      </c>
      <c r="K731" s="1">
        <v>46117</v>
      </c>
      <c r="L731" s="1" t="str">
        <f>IF(K731&gt;O731,"Valid","Invalid")</f>
        <v>Valid</v>
      </c>
      <c r="M731" s="1" t="b">
        <f>ISNUMBER(K731)</f>
        <v>1</v>
      </c>
      <c r="N731" s="1" t="b">
        <f>ISNUMBER(O731)</f>
        <v>1</v>
      </c>
      <c r="O731" s="1">
        <v>46109</v>
      </c>
      <c r="P731" t="s">
        <v>4938</v>
      </c>
      <c r="Q731" t="str">
        <f>SUBSTITUTE(SUBSTITUTE(SUBSTITUTE(P731," ",""),"-",""),"+","")</f>
        <v>08453952156</v>
      </c>
      <c r="R731" t="str">
        <f t="shared" si="22"/>
        <v>8453952156</v>
      </c>
      <c r="S731" t="str">
        <f>IF(LEN(R731),"Valid","Invalid")</f>
        <v>Valid</v>
      </c>
      <c r="T731" t="s">
        <v>4937</v>
      </c>
      <c r="V731" t="s">
        <v>35</v>
      </c>
      <c r="X731">
        <v>1434.62</v>
      </c>
      <c r="Y731" t="s">
        <v>123</v>
      </c>
      <c r="Z731">
        <v>407</v>
      </c>
      <c r="AA731">
        <f t="shared" si="23"/>
        <v>407</v>
      </c>
      <c r="AB731" t="s">
        <v>43</v>
      </c>
    </row>
    <row r="732" spans="1:28" x14ac:dyDescent="0.3">
      <c r="A732" t="s">
        <v>4936</v>
      </c>
      <c r="B732" t="s">
        <v>4935</v>
      </c>
      <c r="C732" t="s">
        <v>4935</v>
      </c>
      <c r="D732" t="s">
        <v>0</v>
      </c>
      <c r="E732">
        <v>12</v>
      </c>
      <c r="F732">
        <v>12</v>
      </c>
      <c r="G732" t="s">
        <v>31</v>
      </c>
      <c r="H732" t="s">
        <v>31</v>
      </c>
      <c r="I732" t="s">
        <v>53</v>
      </c>
      <c r="J732" t="s">
        <v>20</v>
      </c>
      <c r="K732" s="1">
        <v>46112</v>
      </c>
      <c r="L732" s="1" t="str">
        <f>IF(K732&gt;O732,"Valid","Invalid")</f>
        <v>Valid</v>
      </c>
      <c r="M732" s="1" t="b">
        <f>ISNUMBER(K732)</f>
        <v>1</v>
      </c>
      <c r="N732" s="1" t="b">
        <f>ISNUMBER(O732)</f>
        <v>1</v>
      </c>
      <c r="O732" s="1">
        <v>46082</v>
      </c>
      <c r="P732" t="s">
        <v>4934</v>
      </c>
      <c r="Q732" t="str">
        <f>SUBSTITUTE(SUBSTITUTE(SUBSTITUTE(P732," ",""),"-",""),"+","")</f>
        <v>916965597942</v>
      </c>
      <c r="R732" t="str">
        <f t="shared" si="22"/>
        <v>6965597942</v>
      </c>
      <c r="S732" t="str">
        <f>IF(LEN(R732),"Valid","Invalid")</f>
        <v>Valid</v>
      </c>
      <c r="T732" t="s">
        <v>4933</v>
      </c>
      <c r="V732" t="s">
        <v>64</v>
      </c>
      <c r="X732">
        <v>550.04999999999995</v>
      </c>
      <c r="Y732" t="s">
        <v>123</v>
      </c>
      <c r="Z732">
        <v>495</v>
      </c>
      <c r="AA732">
        <f t="shared" si="23"/>
        <v>495</v>
      </c>
      <c r="AB732" t="s">
        <v>16</v>
      </c>
    </row>
    <row r="733" spans="1:28" x14ac:dyDescent="0.3">
      <c r="A733" t="s">
        <v>4932</v>
      </c>
      <c r="B733" t="s">
        <v>4931</v>
      </c>
      <c r="C733" t="s">
        <v>4931</v>
      </c>
      <c r="E733">
        <v>16</v>
      </c>
      <c r="F733">
        <v>16</v>
      </c>
      <c r="G733" t="s">
        <v>21</v>
      </c>
      <c r="H733" t="s">
        <v>21</v>
      </c>
      <c r="I733" t="s">
        <v>38</v>
      </c>
      <c r="J733" t="s">
        <v>8077</v>
      </c>
      <c r="K733" s="1">
        <v>45983</v>
      </c>
      <c r="L733" s="1" t="str">
        <f>IF(K733&gt;O733,"Valid","Invalid")</f>
        <v>Valid</v>
      </c>
      <c r="M733" s="1" t="b">
        <f>ISNUMBER(K733)</f>
        <v>1</v>
      </c>
      <c r="N733" s="1" t="b">
        <f>ISNUMBER(O733)</f>
        <v>1</v>
      </c>
      <c r="O733" s="1">
        <v>45977</v>
      </c>
      <c r="P733" t="s">
        <v>4930</v>
      </c>
      <c r="Q733" t="str">
        <f>SUBSTITUTE(SUBSTITUTE(SUBSTITUTE(P733," ",""),"-",""),"+","")</f>
        <v>03436600625</v>
      </c>
      <c r="R733" t="str">
        <f t="shared" si="22"/>
        <v>3436600625</v>
      </c>
      <c r="S733" t="str">
        <f>IF(LEN(R733),"Valid","Invalid")</f>
        <v>Valid</v>
      </c>
      <c r="T733" t="s">
        <v>4929</v>
      </c>
      <c r="V733" t="s">
        <v>26</v>
      </c>
      <c r="X733">
        <v>7341.46</v>
      </c>
      <c r="Y733" t="s">
        <v>123</v>
      </c>
      <c r="Z733">
        <v>295</v>
      </c>
      <c r="AA733">
        <f t="shared" si="23"/>
        <v>295</v>
      </c>
      <c r="AB733" t="s">
        <v>71</v>
      </c>
    </row>
    <row r="734" spans="1:28" x14ac:dyDescent="0.3">
      <c r="A734" t="s">
        <v>4928</v>
      </c>
      <c r="B734" t="s">
        <v>4927</v>
      </c>
      <c r="C734" t="s">
        <v>4927</v>
      </c>
      <c r="D734" t="s">
        <v>123</v>
      </c>
      <c r="E734">
        <v>27</v>
      </c>
      <c r="F734">
        <v>27</v>
      </c>
      <c r="G734" t="s">
        <v>21</v>
      </c>
      <c r="H734" t="s">
        <v>21</v>
      </c>
      <c r="I734" t="s">
        <v>30</v>
      </c>
      <c r="J734" t="s">
        <v>30</v>
      </c>
      <c r="K734" s="1">
        <v>46080</v>
      </c>
      <c r="L734" s="1" t="str">
        <f>IF(K734&gt;O734,"Valid","Invalid")</f>
        <v>Valid</v>
      </c>
      <c r="M734" s="1" t="b">
        <f>ISNUMBER(K734)</f>
        <v>1</v>
      </c>
      <c r="N734" s="1" t="b">
        <f>ISNUMBER(O734)</f>
        <v>1</v>
      </c>
      <c r="O734" s="1">
        <v>46057</v>
      </c>
      <c r="P734" t="s">
        <v>4926</v>
      </c>
      <c r="Q734" t="str">
        <f>SUBSTITUTE(SUBSTITUTE(SUBSTITUTE(P734," ",""),"-",""),"+","")</f>
        <v>918531148606</v>
      </c>
      <c r="R734" t="str">
        <f t="shared" si="22"/>
        <v>8531148606</v>
      </c>
      <c r="S734" t="str">
        <f>IF(LEN(R734),"Valid","Invalid")</f>
        <v>Valid</v>
      </c>
      <c r="T734" t="s">
        <v>4925</v>
      </c>
      <c r="V734" t="s">
        <v>17</v>
      </c>
      <c r="X734">
        <v>10574.61</v>
      </c>
      <c r="Y734" t="s">
        <v>123</v>
      </c>
      <c r="Z734">
        <v>505</v>
      </c>
      <c r="AA734">
        <f t="shared" si="23"/>
        <v>505</v>
      </c>
      <c r="AB734" t="s">
        <v>71</v>
      </c>
    </row>
    <row r="735" spans="1:28" x14ac:dyDescent="0.3">
      <c r="A735" t="s">
        <v>4924</v>
      </c>
      <c r="B735" t="s">
        <v>4923</v>
      </c>
      <c r="C735" t="s">
        <v>4923</v>
      </c>
      <c r="D735" t="s">
        <v>40</v>
      </c>
      <c r="E735">
        <v>38</v>
      </c>
      <c r="F735">
        <v>38</v>
      </c>
      <c r="G735" t="s">
        <v>132</v>
      </c>
      <c r="H735" t="s">
        <v>132</v>
      </c>
      <c r="I735" t="s">
        <v>38</v>
      </c>
      <c r="J735" t="s">
        <v>8077</v>
      </c>
      <c r="K735" s="1">
        <v>46000</v>
      </c>
      <c r="L735" s="1" t="str">
        <f>IF(K735&gt;O735,"Valid","Invalid")</f>
        <v>Valid</v>
      </c>
      <c r="M735" s="1" t="b">
        <f>ISNUMBER(K735)</f>
        <v>1</v>
      </c>
      <c r="N735" s="1" t="b">
        <f>ISNUMBER(O735)</f>
        <v>1</v>
      </c>
      <c r="O735" s="1">
        <v>45981</v>
      </c>
      <c r="P735" t="s">
        <v>4922</v>
      </c>
      <c r="Q735" t="str">
        <f>SUBSTITUTE(SUBSTITUTE(SUBSTITUTE(P735," ",""),"-",""),"+","")</f>
        <v>7779110023</v>
      </c>
      <c r="R735" t="str">
        <f t="shared" si="22"/>
        <v>7779110023</v>
      </c>
      <c r="S735" t="str">
        <f>IF(LEN(R735),"Valid","Invalid")</f>
        <v>Valid</v>
      </c>
      <c r="T735" t="s">
        <v>4921</v>
      </c>
      <c r="V735" t="s">
        <v>123</v>
      </c>
      <c r="X735">
        <v>22701.74</v>
      </c>
      <c r="Y735" t="s">
        <v>17</v>
      </c>
      <c r="Z735">
        <v>398</v>
      </c>
      <c r="AA735">
        <f t="shared" si="23"/>
        <v>398</v>
      </c>
      <c r="AB735" t="s">
        <v>25</v>
      </c>
    </row>
    <row r="736" spans="1:28" x14ac:dyDescent="0.3">
      <c r="A736" t="s">
        <v>4916</v>
      </c>
      <c r="B736" t="s">
        <v>4915</v>
      </c>
      <c r="C736" t="s">
        <v>4915</v>
      </c>
      <c r="D736" t="s">
        <v>123</v>
      </c>
      <c r="E736">
        <v>55</v>
      </c>
      <c r="F736">
        <v>55</v>
      </c>
      <c r="G736" t="s">
        <v>132</v>
      </c>
      <c r="H736" t="s">
        <v>132</v>
      </c>
      <c r="I736" t="s">
        <v>20</v>
      </c>
      <c r="J736" t="s">
        <v>20</v>
      </c>
      <c r="K736" s="1">
        <v>46030</v>
      </c>
      <c r="L736" s="1" t="str">
        <f>IF(K736&gt;O736,"Valid","Invalid")</f>
        <v>Valid</v>
      </c>
      <c r="M736" s="1" t="b">
        <f>ISNUMBER(K736)</f>
        <v>1</v>
      </c>
      <c r="N736" s="1" t="b">
        <f>ISNUMBER(O736)</f>
        <v>1</v>
      </c>
      <c r="O736" s="1">
        <v>46027</v>
      </c>
      <c r="P736" t="s">
        <v>4914</v>
      </c>
      <c r="Q736" t="str">
        <f>SUBSTITUTE(SUBSTITUTE(SUBSTITUTE(P736," ",""),"-",""),"+","")</f>
        <v>07978338800</v>
      </c>
      <c r="R736" t="str">
        <f t="shared" si="22"/>
        <v>7978338800</v>
      </c>
      <c r="S736" t="str">
        <f>IF(LEN(R736),"Valid","Invalid")</f>
        <v>Valid</v>
      </c>
      <c r="T736" t="s">
        <v>4913</v>
      </c>
      <c r="V736" t="s">
        <v>27</v>
      </c>
      <c r="X736">
        <v>1492.39</v>
      </c>
      <c r="Y736" t="s">
        <v>57</v>
      </c>
      <c r="Z736">
        <v>341</v>
      </c>
      <c r="AA736">
        <f t="shared" si="23"/>
        <v>341</v>
      </c>
      <c r="AB736" t="s">
        <v>43</v>
      </c>
    </row>
    <row r="737" spans="1:28" x14ac:dyDescent="0.3">
      <c r="A737" t="s">
        <v>4912</v>
      </c>
      <c r="B737" t="s">
        <v>4911</v>
      </c>
      <c r="C737" t="s">
        <v>4911</v>
      </c>
      <c r="D737" t="s">
        <v>40</v>
      </c>
      <c r="E737">
        <v>1</v>
      </c>
      <c r="F737">
        <v>1</v>
      </c>
      <c r="G737" t="s">
        <v>132</v>
      </c>
      <c r="H737" t="s">
        <v>132</v>
      </c>
      <c r="I737" t="s">
        <v>90</v>
      </c>
      <c r="J737" t="s">
        <v>67</v>
      </c>
      <c r="K737" s="1">
        <v>46080</v>
      </c>
      <c r="L737" s="1" t="str">
        <f>IF(K737&gt;O737,"Valid","Invalid")</f>
        <v>Valid</v>
      </c>
      <c r="M737" s="1" t="b">
        <f>ISNUMBER(K737)</f>
        <v>1</v>
      </c>
      <c r="N737" s="1" t="b">
        <f>ISNUMBER(O737)</f>
        <v>1</v>
      </c>
      <c r="O737" s="1">
        <v>46071</v>
      </c>
      <c r="P737" t="s">
        <v>4910</v>
      </c>
      <c r="Q737" t="str">
        <f>SUBSTITUTE(SUBSTITUTE(SUBSTITUTE(P737," ",""),"-",""),"+","")</f>
        <v>4235041107</v>
      </c>
      <c r="R737" t="str">
        <f t="shared" si="22"/>
        <v>4235041107</v>
      </c>
      <c r="S737" t="str">
        <f>IF(LEN(R737),"Valid","Invalid")</f>
        <v>Valid</v>
      </c>
      <c r="T737" t="s">
        <v>4909</v>
      </c>
      <c r="V737" t="s">
        <v>123</v>
      </c>
      <c r="X737">
        <v>16847.3</v>
      </c>
      <c r="Y737" t="s">
        <v>26</v>
      </c>
      <c r="Z737">
        <v>386</v>
      </c>
      <c r="AA737">
        <f t="shared" si="23"/>
        <v>386</v>
      </c>
      <c r="AB737" t="s">
        <v>77</v>
      </c>
    </row>
    <row r="738" spans="1:28" x14ac:dyDescent="0.3">
      <c r="A738" t="s">
        <v>4908</v>
      </c>
      <c r="B738" t="s">
        <v>1836</v>
      </c>
      <c r="C738" t="s">
        <v>1836</v>
      </c>
      <c r="D738" t="s">
        <v>0</v>
      </c>
      <c r="E738">
        <v>34</v>
      </c>
      <c r="F738">
        <v>34</v>
      </c>
      <c r="G738" t="s">
        <v>39</v>
      </c>
      <c r="H738" t="s">
        <v>39</v>
      </c>
      <c r="I738" t="s">
        <v>85</v>
      </c>
      <c r="J738" t="s">
        <v>85</v>
      </c>
      <c r="K738" s="1">
        <v>46116</v>
      </c>
      <c r="L738" s="1" t="str">
        <f>IF(K738&gt;O738,"Valid","Invalid")</f>
        <v>Valid</v>
      </c>
      <c r="M738" s="1" t="b">
        <f>ISNUMBER(K738)</f>
        <v>1</v>
      </c>
      <c r="N738" s="1" t="b">
        <f>ISNUMBER(O738)</f>
        <v>1</v>
      </c>
      <c r="O738" s="1">
        <v>46087</v>
      </c>
      <c r="P738" t="s">
        <v>4907</v>
      </c>
      <c r="Q738" t="str">
        <f>SUBSTITUTE(SUBSTITUTE(SUBSTITUTE(P738," ",""),"-",""),"+","")</f>
        <v>912486820596</v>
      </c>
      <c r="R738" t="str">
        <f t="shared" si="22"/>
        <v>2486820596</v>
      </c>
      <c r="S738" t="str">
        <f>IF(LEN(R738),"Valid","Invalid")</f>
        <v>Valid</v>
      </c>
      <c r="T738" t="s">
        <v>4906</v>
      </c>
      <c r="V738" t="s">
        <v>57</v>
      </c>
      <c r="X738">
        <v>21971.84</v>
      </c>
      <c r="Y738" t="s">
        <v>26</v>
      </c>
      <c r="Z738">
        <v>145</v>
      </c>
      <c r="AA738">
        <f t="shared" si="23"/>
        <v>145</v>
      </c>
      <c r="AB738" t="s">
        <v>43</v>
      </c>
    </row>
    <row r="739" spans="1:28" x14ac:dyDescent="0.3">
      <c r="A739" t="s">
        <v>4905</v>
      </c>
      <c r="B739" t="s">
        <v>4904</v>
      </c>
      <c r="C739" t="s">
        <v>4904</v>
      </c>
      <c r="D739" t="s">
        <v>123</v>
      </c>
      <c r="E739">
        <v>19</v>
      </c>
      <c r="F739">
        <v>19</v>
      </c>
      <c r="G739" t="s">
        <v>132</v>
      </c>
      <c r="H739" t="s">
        <v>132</v>
      </c>
      <c r="I739" t="s">
        <v>20</v>
      </c>
      <c r="J739" t="s">
        <v>20</v>
      </c>
      <c r="K739" s="1">
        <v>46008</v>
      </c>
      <c r="L739" s="1" t="str">
        <f>IF(K739&gt;O739,"Valid","Invalid")</f>
        <v>Valid</v>
      </c>
      <c r="M739" s="1" t="b">
        <f>ISNUMBER(K739)</f>
        <v>1</v>
      </c>
      <c r="N739" s="1" t="b">
        <f>ISNUMBER(O739)</f>
        <v>1</v>
      </c>
      <c r="O739" s="1">
        <v>45998</v>
      </c>
      <c r="P739" t="s">
        <v>4903</v>
      </c>
      <c r="Q739" t="str">
        <f>SUBSTITUTE(SUBSTITUTE(SUBSTITUTE(P739," ",""),"-",""),"+","")</f>
        <v>05647939109</v>
      </c>
      <c r="R739" t="str">
        <f t="shared" si="22"/>
        <v>5647939109</v>
      </c>
      <c r="S739" t="str">
        <f>IF(LEN(R739),"Valid","Invalid")</f>
        <v>Valid</v>
      </c>
      <c r="T739" t="s">
        <v>4902</v>
      </c>
      <c r="V739" t="s">
        <v>27</v>
      </c>
      <c r="X739">
        <v>24467.21</v>
      </c>
      <c r="Y739" t="s">
        <v>123</v>
      </c>
      <c r="Z739">
        <v>546</v>
      </c>
      <c r="AA739">
        <f t="shared" si="23"/>
        <v>546</v>
      </c>
      <c r="AB739" t="s">
        <v>50</v>
      </c>
    </row>
    <row r="740" spans="1:28" x14ac:dyDescent="0.3">
      <c r="A740" t="s">
        <v>4897</v>
      </c>
      <c r="B740" t="s">
        <v>4896</v>
      </c>
      <c r="C740" t="s">
        <v>4896</v>
      </c>
      <c r="D740" t="s">
        <v>123</v>
      </c>
      <c r="E740">
        <v>22</v>
      </c>
      <c r="F740">
        <v>22</v>
      </c>
      <c r="G740" t="s">
        <v>31</v>
      </c>
      <c r="H740" t="s">
        <v>31</v>
      </c>
      <c r="I740" t="s">
        <v>85</v>
      </c>
      <c r="J740" t="s">
        <v>85</v>
      </c>
      <c r="K740" s="1">
        <v>46120</v>
      </c>
      <c r="L740" s="1" t="str">
        <f>IF(K740&gt;O740,"Valid","Invalid")</f>
        <v>Valid</v>
      </c>
      <c r="M740" s="1" t="b">
        <f>ISNUMBER(K740)</f>
        <v>1</v>
      </c>
      <c r="N740" s="1" t="b">
        <f>ISNUMBER(O740)</f>
        <v>1</v>
      </c>
      <c r="O740" s="1">
        <v>46096</v>
      </c>
      <c r="P740" t="s">
        <v>4895</v>
      </c>
      <c r="Q740" t="str">
        <f>SUBSTITUTE(SUBSTITUTE(SUBSTITUTE(P740," ",""),"-",""),"+","")</f>
        <v>08536266390</v>
      </c>
      <c r="R740" t="str">
        <f t="shared" si="22"/>
        <v>8536266390</v>
      </c>
      <c r="S740" t="str">
        <f>IF(LEN(R740),"Valid","Invalid")</f>
        <v>Valid</v>
      </c>
      <c r="T740" t="s">
        <v>4894</v>
      </c>
      <c r="V740" t="s">
        <v>35</v>
      </c>
      <c r="X740">
        <v>13980.73</v>
      </c>
      <c r="Y740" t="s">
        <v>123</v>
      </c>
      <c r="Z740">
        <v>127</v>
      </c>
      <c r="AA740">
        <f t="shared" si="23"/>
        <v>127</v>
      </c>
      <c r="AB740" t="s">
        <v>71</v>
      </c>
    </row>
    <row r="741" spans="1:28" x14ac:dyDescent="0.3">
      <c r="A741" t="s">
        <v>4893</v>
      </c>
      <c r="B741" t="s">
        <v>4892</v>
      </c>
      <c r="C741" t="s">
        <v>4892</v>
      </c>
      <c r="D741" t="s">
        <v>0</v>
      </c>
      <c r="E741">
        <v>7</v>
      </c>
      <c r="F741">
        <v>7</v>
      </c>
      <c r="G741" t="s">
        <v>21</v>
      </c>
      <c r="H741" t="s">
        <v>21</v>
      </c>
      <c r="I741" t="s">
        <v>53</v>
      </c>
      <c r="J741" t="s">
        <v>20</v>
      </c>
      <c r="K741" s="1">
        <v>46106</v>
      </c>
      <c r="L741" s="1" t="str">
        <f>IF(K741&gt;O741,"Valid","Invalid")</f>
        <v>Valid</v>
      </c>
      <c r="M741" s="1" t="b">
        <f>ISNUMBER(K741)</f>
        <v>1</v>
      </c>
      <c r="N741" s="1" t="b">
        <f>ISNUMBER(O741)</f>
        <v>1</v>
      </c>
      <c r="O741" s="1">
        <v>46105</v>
      </c>
      <c r="P741" t="s">
        <v>4891</v>
      </c>
      <c r="Q741" t="str">
        <f>SUBSTITUTE(SUBSTITUTE(SUBSTITUTE(P741," ",""),"-",""),"+","")</f>
        <v>910823101746</v>
      </c>
      <c r="R741" t="str">
        <f t="shared" si="22"/>
        <v>0823101746</v>
      </c>
      <c r="S741" t="str">
        <f>IF(LEN(R741),"Valid","Invalid")</f>
        <v>Valid</v>
      </c>
      <c r="T741" t="s">
        <v>4890</v>
      </c>
      <c r="V741" t="s">
        <v>123</v>
      </c>
      <c r="X741">
        <v>6653.55</v>
      </c>
      <c r="Y741" t="s">
        <v>123</v>
      </c>
      <c r="Z741">
        <v>323</v>
      </c>
      <c r="AA741">
        <f t="shared" si="23"/>
        <v>323</v>
      </c>
      <c r="AB741" t="s">
        <v>77</v>
      </c>
    </row>
    <row r="742" spans="1:28" x14ac:dyDescent="0.3">
      <c r="A742" t="s">
        <v>4889</v>
      </c>
      <c r="B742" t="s">
        <v>4888</v>
      </c>
      <c r="C742" t="s">
        <v>4888</v>
      </c>
      <c r="E742">
        <v>6</v>
      </c>
      <c r="F742">
        <v>6</v>
      </c>
      <c r="G742" t="s">
        <v>68</v>
      </c>
      <c r="H742" t="s">
        <v>68</v>
      </c>
      <c r="I742" t="s">
        <v>67</v>
      </c>
      <c r="J742" t="s">
        <v>67</v>
      </c>
      <c r="K742" s="1">
        <v>46028</v>
      </c>
      <c r="L742" s="1" t="str">
        <f>IF(K742&gt;O742,"Valid","Invalid")</f>
        <v>Valid</v>
      </c>
      <c r="M742" s="1" t="b">
        <f>ISNUMBER(K742)</f>
        <v>1</v>
      </c>
      <c r="N742" s="1" t="b">
        <f>ISNUMBER(O742)</f>
        <v>1</v>
      </c>
      <c r="O742" s="1">
        <v>46006</v>
      </c>
      <c r="P742" t="s">
        <v>4887</v>
      </c>
      <c r="Q742" t="str">
        <f>SUBSTITUTE(SUBSTITUTE(SUBSTITUTE(P742," ",""),"-",""),"+","")</f>
        <v>914093933934</v>
      </c>
      <c r="R742" t="str">
        <f t="shared" si="22"/>
        <v>4093933934</v>
      </c>
      <c r="S742" t="str">
        <f>IF(LEN(R742),"Valid","Invalid")</f>
        <v>Valid</v>
      </c>
      <c r="T742" t="s">
        <v>4886</v>
      </c>
      <c r="V742" t="s">
        <v>123</v>
      </c>
      <c r="X742">
        <v>11552.44</v>
      </c>
      <c r="Y742" t="s">
        <v>64</v>
      </c>
      <c r="Z742">
        <v>533</v>
      </c>
      <c r="AA742">
        <f t="shared" si="23"/>
        <v>533</v>
      </c>
      <c r="AB742" t="s">
        <v>25</v>
      </c>
    </row>
    <row r="743" spans="1:28" x14ac:dyDescent="0.3">
      <c r="A743" t="s">
        <v>4885</v>
      </c>
      <c r="B743" t="s">
        <v>4884</v>
      </c>
      <c r="C743" t="s">
        <v>4884</v>
      </c>
      <c r="D743" t="s">
        <v>0</v>
      </c>
      <c r="E743">
        <v>16</v>
      </c>
      <c r="F743">
        <v>16</v>
      </c>
      <c r="G743" t="s">
        <v>31</v>
      </c>
      <c r="H743" t="s">
        <v>31</v>
      </c>
      <c r="I743" t="s">
        <v>20</v>
      </c>
      <c r="J743" t="s">
        <v>20</v>
      </c>
      <c r="K743" s="1">
        <v>46106</v>
      </c>
      <c r="L743" s="1" t="str">
        <f>IF(K743&gt;O743,"Valid","Invalid")</f>
        <v>Valid</v>
      </c>
      <c r="M743" s="1" t="b">
        <f>ISNUMBER(K743)</f>
        <v>1</v>
      </c>
      <c r="N743" s="1" t="b">
        <f>ISNUMBER(O743)</f>
        <v>1</v>
      </c>
      <c r="O743" s="1">
        <v>46100</v>
      </c>
      <c r="P743" t="s">
        <v>4883</v>
      </c>
      <c r="Q743" t="str">
        <f>SUBSTITUTE(SUBSTITUTE(SUBSTITUTE(P743," ",""),"-",""),"+","")</f>
        <v>919315017549</v>
      </c>
      <c r="R743" t="str">
        <f t="shared" si="22"/>
        <v>9315017549</v>
      </c>
      <c r="S743" t="str">
        <f>IF(LEN(R743),"Valid","Invalid")</f>
        <v>Valid</v>
      </c>
      <c r="T743" t="s">
        <v>4882</v>
      </c>
      <c r="V743" t="s">
        <v>26</v>
      </c>
      <c r="X743">
        <v>4680.24</v>
      </c>
      <c r="Y743" t="s">
        <v>26</v>
      </c>
      <c r="Z743">
        <v>483</v>
      </c>
      <c r="AA743">
        <f t="shared" si="23"/>
        <v>483</v>
      </c>
      <c r="AB743" t="s">
        <v>34</v>
      </c>
    </row>
    <row r="744" spans="1:28" x14ac:dyDescent="0.3">
      <c r="A744" t="s">
        <v>4881</v>
      </c>
      <c r="B744" t="s">
        <v>4880</v>
      </c>
      <c r="C744" t="s">
        <v>4880</v>
      </c>
      <c r="D744" t="s">
        <v>22</v>
      </c>
      <c r="E744">
        <v>73</v>
      </c>
      <c r="F744">
        <v>73</v>
      </c>
      <c r="G744" t="s">
        <v>21</v>
      </c>
      <c r="H744" t="s">
        <v>21</v>
      </c>
      <c r="I744" t="s">
        <v>46</v>
      </c>
      <c r="J744" t="s">
        <v>46</v>
      </c>
      <c r="K744" s="1">
        <v>46090</v>
      </c>
      <c r="L744" s="1" t="str">
        <f>IF(K744&gt;O744,"Valid","Invalid")</f>
        <v>Valid</v>
      </c>
      <c r="M744" s="1" t="b">
        <f>ISNUMBER(K744)</f>
        <v>1</v>
      </c>
      <c r="N744" s="1" t="b">
        <f>ISNUMBER(O744)</f>
        <v>1</v>
      </c>
      <c r="O744" s="1">
        <v>46074</v>
      </c>
      <c r="P744" t="s">
        <v>4879</v>
      </c>
      <c r="Q744" t="str">
        <f>SUBSTITUTE(SUBSTITUTE(SUBSTITUTE(P744," ",""),"-",""),"+","")</f>
        <v>915661323823</v>
      </c>
      <c r="R744" t="str">
        <f t="shared" si="22"/>
        <v>5661323823</v>
      </c>
      <c r="S744" t="str">
        <f>IF(LEN(R744),"Valid","Invalid")</f>
        <v>Valid</v>
      </c>
      <c r="T744" t="s">
        <v>4878</v>
      </c>
      <c r="V744" t="s">
        <v>35</v>
      </c>
      <c r="X744">
        <v>10527.19</v>
      </c>
      <c r="Y744" t="s">
        <v>64</v>
      </c>
      <c r="Z744">
        <v>226</v>
      </c>
      <c r="AA744">
        <f t="shared" si="23"/>
        <v>226</v>
      </c>
      <c r="AB744" t="s">
        <v>50</v>
      </c>
    </row>
    <row r="745" spans="1:28" x14ac:dyDescent="0.3">
      <c r="A745" t="s">
        <v>4873</v>
      </c>
      <c r="B745" t="s">
        <v>4872</v>
      </c>
      <c r="C745" t="s">
        <v>4872</v>
      </c>
      <c r="D745" t="s">
        <v>74</v>
      </c>
      <c r="E745">
        <v>42</v>
      </c>
      <c r="F745">
        <v>42</v>
      </c>
      <c r="G745" t="s">
        <v>39</v>
      </c>
      <c r="H745" t="s">
        <v>39</v>
      </c>
      <c r="I745" t="s">
        <v>46</v>
      </c>
      <c r="J745" t="s">
        <v>46</v>
      </c>
      <c r="K745" s="1">
        <v>45978</v>
      </c>
      <c r="L745" s="1" t="str">
        <f>IF(K745&gt;O745,"Valid","Invalid")</f>
        <v>Valid</v>
      </c>
      <c r="M745" s="1" t="b">
        <f>ISNUMBER(K745)</f>
        <v>1</v>
      </c>
      <c r="N745" s="1" t="b">
        <f>ISNUMBER(O745)</f>
        <v>1</v>
      </c>
      <c r="O745" s="1">
        <v>45976</v>
      </c>
      <c r="P745" t="s">
        <v>4871</v>
      </c>
      <c r="Q745" t="str">
        <f>SUBSTITUTE(SUBSTITUTE(SUBSTITUTE(P745," ",""),"-",""),"+","")</f>
        <v>07065050228</v>
      </c>
      <c r="R745" t="str">
        <f t="shared" si="22"/>
        <v>7065050228</v>
      </c>
      <c r="S745" t="str">
        <f>IF(LEN(R745),"Valid","Invalid")</f>
        <v>Valid</v>
      </c>
      <c r="T745" t="s">
        <v>4870</v>
      </c>
      <c r="V745" t="s">
        <v>123</v>
      </c>
      <c r="X745">
        <v>20801.34</v>
      </c>
      <c r="Y745" t="s">
        <v>123</v>
      </c>
      <c r="Z745">
        <v>332</v>
      </c>
      <c r="AA745">
        <f t="shared" si="23"/>
        <v>332</v>
      </c>
      <c r="AB745" t="s">
        <v>25</v>
      </c>
    </row>
    <row r="746" spans="1:28" x14ac:dyDescent="0.3">
      <c r="A746" t="s">
        <v>4869</v>
      </c>
      <c r="B746" t="s">
        <v>4868</v>
      </c>
      <c r="C746" t="s">
        <v>4868</v>
      </c>
      <c r="D746" t="s">
        <v>22</v>
      </c>
      <c r="E746">
        <v>77</v>
      </c>
      <c r="F746">
        <v>77</v>
      </c>
      <c r="G746" t="s">
        <v>47</v>
      </c>
      <c r="H746" t="s">
        <v>47</v>
      </c>
      <c r="I746" t="s">
        <v>67</v>
      </c>
      <c r="J746" t="s">
        <v>67</v>
      </c>
      <c r="K746" s="1">
        <v>46085</v>
      </c>
      <c r="L746" s="1" t="str">
        <f>IF(K746&gt;O746,"Valid","Invalid")</f>
        <v>Valid</v>
      </c>
      <c r="M746" s="1" t="b">
        <f>ISNUMBER(K746)</f>
        <v>1</v>
      </c>
      <c r="N746" s="1" t="b">
        <f>ISNUMBER(O746)</f>
        <v>1</v>
      </c>
      <c r="O746" s="1">
        <v>46084</v>
      </c>
      <c r="P746" t="s">
        <v>4867</v>
      </c>
      <c r="Q746" t="str">
        <f>SUBSTITUTE(SUBSTITUTE(SUBSTITUTE(P746," ",""),"-",""),"+","")</f>
        <v>04978948916</v>
      </c>
      <c r="R746" t="str">
        <f t="shared" si="22"/>
        <v>4978948916</v>
      </c>
      <c r="S746" t="str">
        <f>IF(LEN(R746),"Valid","Invalid")</f>
        <v>Valid</v>
      </c>
      <c r="T746" t="s">
        <v>4866</v>
      </c>
      <c r="V746" t="s">
        <v>123</v>
      </c>
      <c r="X746">
        <v>8257.9</v>
      </c>
      <c r="Y746" t="s">
        <v>26</v>
      </c>
      <c r="Z746">
        <v>208</v>
      </c>
      <c r="AA746">
        <f t="shared" si="23"/>
        <v>208</v>
      </c>
      <c r="AB746" t="s">
        <v>50</v>
      </c>
    </row>
    <row r="747" spans="1:28" x14ac:dyDescent="0.3">
      <c r="A747" t="s">
        <v>4865</v>
      </c>
      <c r="B747" t="s">
        <v>4864</v>
      </c>
      <c r="C747" t="s">
        <v>4864</v>
      </c>
      <c r="D747" t="s">
        <v>40</v>
      </c>
      <c r="E747">
        <v>83</v>
      </c>
      <c r="F747">
        <v>83</v>
      </c>
      <c r="G747" t="s">
        <v>132</v>
      </c>
      <c r="H747" t="s">
        <v>132</v>
      </c>
      <c r="I747" t="s">
        <v>67</v>
      </c>
      <c r="J747" t="s">
        <v>67</v>
      </c>
      <c r="K747" s="1">
        <v>46009</v>
      </c>
      <c r="L747" s="1" t="str">
        <f>IF(K747&gt;O747,"Valid","Invalid")</f>
        <v>Valid</v>
      </c>
      <c r="M747" s="1" t="b">
        <f>ISNUMBER(K747)</f>
        <v>1</v>
      </c>
      <c r="N747" s="1" t="b">
        <f>ISNUMBER(O747)</f>
        <v>1</v>
      </c>
      <c r="O747" s="1">
        <v>45984</v>
      </c>
      <c r="P747" t="s">
        <v>4863</v>
      </c>
      <c r="Q747" t="str">
        <f>SUBSTITUTE(SUBSTITUTE(SUBSTITUTE(P747," ",""),"-",""),"+","")</f>
        <v>04786994139</v>
      </c>
      <c r="R747" t="str">
        <f t="shared" si="22"/>
        <v>4786994139</v>
      </c>
      <c r="S747" t="str">
        <f>IF(LEN(R747),"Valid","Invalid")</f>
        <v>Valid</v>
      </c>
      <c r="T747" t="s">
        <v>4862</v>
      </c>
      <c r="V747" t="s">
        <v>27</v>
      </c>
      <c r="X747">
        <v>18646.240000000002</v>
      </c>
      <c r="Y747" t="s">
        <v>123</v>
      </c>
      <c r="Z747">
        <v>147</v>
      </c>
      <c r="AA747">
        <f t="shared" si="23"/>
        <v>147</v>
      </c>
      <c r="AB747" t="s">
        <v>16</v>
      </c>
    </row>
    <row r="748" spans="1:28" x14ac:dyDescent="0.3">
      <c r="A748" t="s">
        <v>4861</v>
      </c>
      <c r="B748" t="s">
        <v>4860</v>
      </c>
      <c r="C748" t="s">
        <v>4860</v>
      </c>
      <c r="D748" t="s">
        <v>22</v>
      </c>
      <c r="E748">
        <v>23</v>
      </c>
      <c r="F748">
        <v>23</v>
      </c>
      <c r="G748" t="s">
        <v>21</v>
      </c>
      <c r="H748" t="s">
        <v>21</v>
      </c>
      <c r="I748" t="s">
        <v>90</v>
      </c>
      <c r="J748" t="s">
        <v>67</v>
      </c>
      <c r="K748" s="1">
        <v>46144</v>
      </c>
      <c r="L748" s="1" t="str">
        <f>IF(K748&gt;O748,"Valid","Invalid")</f>
        <v>Valid</v>
      </c>
      <c r="M748" s="1" t="b">
        <f>ISNUMBER(K748)</f>
        <v>1</v>
      </c>
      <c r="N748" s="1" t="b">
        <f>ISNUMBER(O748)</f>
        <v>1</v>
      </c>
      <c r="O748" s="1">
        <v>46142</v>
      </c>
      <c r="P748" t="s">
        <v>4859</v>
      </c>
      <c r="Q748" t="str">
        <f>SUBSTITUTE(SUBSTITUTE(SUBSTITUTE(P748," ",""),"-",""),"+","")</f>
        <v>916856386385</v>
      </c>
      <c r="R748" t="str">
        <f t="shared" si="22"/>
        <v>6856386385</v>
      </c>
      <c r="S748" t="str">
        <f>IF(LEN(R748),"Valid","Invalid")</f>
        <v>Valid</v>
      </c>
      <c r="T748" t="s">
        <v>4858</v>
      </c>
      <c r="V748" t="s">
        <v>27</v>
      </c>
      <c r="X748">
        <v>21338.18</v>
      </c>
      <c r="Y748" t="s">
        <v>26</v>
      </c>
      <c r="Z748">
        <v>298</v>
      </c>
      <c r="AA748">
        <f t="shared" si="23"/>
        <v>298</v>
      </c>
      <c r="AB748" t="s">
        <v>50</v>
      </c>
    </row>
    <row r="749" spans="1:28" x14ac:dyDescent="0.3">
      <c r="A749" t="s">
        <v>4857</v>
      </c>
      <c r="B749" t="s">
        <v>4856</v>
      </c>
      <c r="C749" t="s">
        <v>4856</v>
      </c>
      <c r="D749" t="s">
        <v>123</v>
      </c>
      <c r="E749">
        <v>37</v>
      </c>
      <c r="F749">
        <v>37</v>
      </c>
      <c r="G749" t="s">
        <v>39</v>
      </c>
      <c r="H749" t="s">
        <v>39</v>
      </c>
      <c r="I749" t="s">
        <v>20</v>
      </c>
      <c r="J749" t="s">
        <v>20</v>
      </c>
      <c r="K749" s="1">
        <v>46134</v>
      </c>
      <c r="L749" s="1" t="str">
        <f>IF(K749&gt;O749,"Valid","Invalid")</f>
        <v>Valid</v>
      </c>
      <c r="M749" s="1" t="b">
        <f>ISNUMBER(K749)</f>
        <v>1</v>
      </c>
      <c r="N749" s="1" t="b">
        <f>ISNUMBER(O749)</f>
        <v>1</v>
      </c>
      <c r="O749" s="1">
        <v>46125</v>
      </c>
      <c r="P749" t="s">
        <v>4855</v>
      </c>
      <c r="Q749" t="str">
        <f>SUBSTITUTE(SUBSTITUTE(SUBSTITUTE(P749," ",""),"-",""),"+","")</f>
        <v>3892383874</v>
      </c>
      <c r="R749" t="str">
        <f t="shared" si="22"/>
        <v>3892383874</v>
      </c>
      <c r="S749" t="str">
        <f>IF(LEN(R749),"Valid","Invalid")</f>
        <v>Valid</v>
      </c>
      <c r="T749" t="s">
        <v>4854</v>
      </c>
      <c r="V749" t="s">
        <v>123</v>
      </c>
      <c r="X749">
        <v>20067.29</v>
      </c>
      <c r="Y749" t="s">
        <v>63</v>
      </c>
      <c r="Z749">
        <v>450</v>
      </c>
      <c r="AA749">
        <f t="shared" si="23"/>
        <v>450</v>
      </c>
      <c r="AB749" t="s">
        <v>34</v>
      </c>
    </row>
    <row r="750" spans="1:28" x14ac:dyDescent="0.3">
      <c r="A750" t="s">
        <v>4853</v>
      </c>
      <c r="B750" t="s">
        <v>4852</v>
      </c>
      <c r="C750" t="s">
        <v>4852</v>
      </c>
      <c r="D750" t="s">
        <v>0</v>
      </c>
      <c r="E750">
        <v>46</v>
      </c>
      <c r="F750">
        <v>46</v>
      </c>
      <c r="G750" t="s">
        <v>80</v>
      </c>
      <c r="H750" t="s">
        <v>80</v>
      </c>
      <c r="I750" t="s">
        <v>67</v>
      </c>
      <c r="J750" t="s">
        <v>67</v>
      </c>
      <c r="K750" s="1">
        <v>46022</v>
      </c>
      <c r="L750" s="1" t="str">
        <f>IF(K750&gt;O750,"Valid","Invalid")</f>
        <v>Valid</v>
      </c>
      <c r="M750" s="1" t="b">
        <f>ISNUMBER(K750)</f>
        <v>1</v>
      </c>
      <c r="N750" s="1" t="b">
        <f>ISNUMBER(O750)</f>
        <v>1</v>
      </c>
      <c r="O750" s="1">
        <v>46006</v>
      </c>
      <c r="P750" t="s">
        <v>4851</v>
      </c>
      <c r="Q750" t="str">
        <f>SUBSTITUTE(SUBSTITUTE(SUBSTITUTE(P750," ",""),"-",""),"+","")</f>
        <v>7755857093</v>
      </c>
      <c r="R750" t="str">
        <f t="shared" si="22"/>
        <v>7755857093</v>
      </c>
      <c r="S750" t="str">
        <f>IF(LEN(R750),"Valid","Invalid")</f>
        <v>Valid</v>
      </c>
      <c r="T750" t="s">
        <v>4850</v>
      </c>
      <c r="V750" t="s">
        <v>17</v>
      </c>
      <c r="X750">
        <v>12342.65</v>
      </c>
      <c r="Y750" t="s">
        <v>123</v>
      </c>
      <c r="Z750">
        <v>343</v>
      </c>
      <c r="AA750">
        <f t="shared" si="23"/>
        <v>343</v>
      </c>
      <c r="AB750" t="s">
        <v>43</v>
      </c>
    </row>
    <row r="751" spans="1:28" x14ac:dyDescent="0.3">
      <c r="A751" t="s">
        <v>4849</v>
      </c>
      <c r="B751" t="s">
        <v>4848</v>
      </c>
      <c r="C751" t="s">
        <v>4848</v>
      </c>
      <c r="D751" t="s">
        <v>123</v>
      </c>
      <c r="E751">
        <v>12</v>
      </c>
      <c r="F751">
        <v>12</v>
      </c>
      <c r="G751" t="s">
        <v>54</v>
      </c>
      <c r="H751" t="s">
        <v>54</v>
      </c>
      <c r="I751" t="s">
        <v>67</v>
      </c>
      <c r="J751" t="s">
        <v>67</v>
      </c>
      <c r="K751" s="1">
        <v>46017</v>
      </c>
      <c r="L751" s="1" t="str">
        <f>IF(K751&gt;O751,"Valid","Invalid")</f>
        <v>Valid</v>
      </c>
      <c r="M751" s="1" t="b">
        <f>ISNUMBER(K751)</f>
        <v>1</v>
      </c>
      <c r="N751" s="1" t="b">
        <f>ISNUMBER(O751)</f>
        <v>1</v>
      </c>
      <c r="O751" s="1">
        <v>45998</v>
      </c>
      <c r="P751" t="s">
        <v>4847</v>
      </c>
      <c r="Q751" t="str">
        <f>SUBSTITUTE(SUBSTITUTE(SUBSTITUTE(P751," ",""),"-",""),"+","")</f>
        <v>9246634671</v>
      </c>
      <c r="R751" t="str">
        <f t="shared" si="22"/>
        <v>9246634671</v>
      </c>
      <c r="S751" t="str">
        <f>IF(LEN(R751),"Valid","Invalid")</f>
        <v>Valid</v>
      </c>
      <c r="T751" t="s">
        <v>4846</v>
      </c>
      <c r="V751" t="s">
        <v>35</v>
      </c>
      <c r="X751">
        <v>10965.83</v>
      </c>
      <c r="Y751" t="s">
        <v>123</v>
      </c>
      <c r="Z751">
        <v>147</v>
      </c>
      <c r="AA751">
        <f t="shared" si="23"/>
        <v>147</v>
      </c>
      <c r="AB751" t="s">
        <v>77</v>
      </c>
    </row>
    <row r="752" spans="1:28" x14ac:dyDescent="0.3">
      <c r="A752" t="s">
        <v>4845</v>
      </c>
      <c r="B752" t="s">
        <v>4844</v>
      </c>
      <c r="C752" t="s">
        <v>4844</v>
      </c>
      <c r="D752" t="s">
        <v>60</v>
      </c>
      <c r="E752">
        <v>60</v>
      </c>
      <c r="F752">
        <v>60</v>
      </c>
      <c r="G752" t="s">
        <v>21</v>
      </c>
      <c r="H752" t="s">
        <v>21</v>
      </c>
      <c r="I752" t="s">
        <v>53</v>
      </c>
      <c r="J752" t="s">
        <v>20</v>
      </c>
      <c r="K752" s="1">
        <v>46153</v>
      </c>
      <c r="L752" s="1" t="str">
        <f>IF(K752&gt;O752,"Valid","Invalid")</f>
        <v>Valid</v>
      </c>
      <c r="M752" s="1" t="b">
        <f>ISNUMBER(K752)</f>
        <v>1</v>
      </c>
      <c r="N752" s="1" t="b">
        <f>ISNUMBER(O752)</f>
        <v>1</v>
      </c>
      <c r="O752" s="1">
        <v>46124</v>
      </c>
      <c r="P752" t="s">
        <v>4843</v>
      </c>
      <c r="Q752" t="str">
        <f>SUBSTITUTE(SUBSTITUTE(SUBSTITUTE(P752," ",""),"-",""),"+","")</f>
        <v>919381091906</v>
      </c>
      <c r="R752" t="str">
        <f t="shared" si="22"/>
        <v>9381091906</v>
      </c>
      <c r="S752" t="str">
        <f>IF(LEN(R752),"Valid","Invalid")</f>
        <v>Valid</v>
      </c>
      <c r="T752" t="s">
        <v>4842</v>
      </c>
      <c r="V752" t="s">
        <v>123</v>
      </c>
      <c r="X752">
        <v>13276.51</v>
      </c>
      <c r="Y752" t="s">
        <v>64</v>
      </c>
      <c r="Z752">
        <v>248</v>
      </c>
      <c r="AA752">
        <f t="shared" si="23"/>
        <v>248</v>
      </c>
      <c r="AB752" t="s">
        <v>16</v>
      </c>
    </row>
    <row r="753" spans="1:28" x14ac:dyDescent="0.3">
      <c r="A753" t="s">
        <v>4841</v>
      </c>
      <c r="B753" t="s">
        <v>4840</v>
      </c>
      <c r="C753" t="s">
        <v>4840</v>
      </c>
      <c r="D753" t="s">
        <v>123</v>
      </c>
      <c r="E753">
        <v>11</v>
      </c>
      <c r="F753">
        <v>11</v>
      </c>
      <c r="G753" t="s">
        <v>68</v>
      </c>
      <c r="H753" t="s">
        <v>68</v>
      </c>
      <c r="I753" t="s">
        <v>30</v>
      </c>
      <c r="J753" t="s">
        <v>30</v>
      </c>
      <c r="K753" s="1">
        <v>46125</v>
      </c>
      <c r="L753" s="1" t="str">
        <f>IF(K753&gt;O753,"Valid","Invalid")</f>
        <v>Valid</v>
      </c>
      <c r="M753" s="1" t="b">
        <f>ISNUMBER(K753)</f>
        <v>1</v>
      </c>
      <c r="N753" s="1" t="b">
        <f>ISNUMBER(O753)</f>
        <v>1</v>
      </c>
      <c r="O753" s="1">
        <v>46121</v>
      </c>
      <c r="P753" t="s">
        <v>4839</v>
      </c>
      <c r="Q753" t="str">
        <f>SUBSTITUTE(SUBSTITUTE(SUBSTITUTE(P753," ",""),"-",""),"+","")</f>
        <v>915404946698</v>
      </c>
      <c r="R753" t="str">
        <f t="shared" si="22"/>
        <v>5404946698</v>
      </c>
      <c r="S753" t="str">
        <f>IF(LEN(R753),"Valid","Invalid")</f>
        <v>Valid</v>
      </c>
      <c r="T753" t="s">
        <v>4838</v>
      </c>
      <c r="V753" t="s">
        <v>35</v>
      </c>
      <c r="X753">
        <v>17170.990000000002</v>
      </c>
      <c r="Y753" t="s">
        <v>63</v>
      </c>
      <c r="Z753">
        <v>530</v>
      </c>
      <c r="AA753">
        <f t="shared" si="23"/>
        <v>530</v>
      </c>
      <c r="AB753" t="s">
        <v>71</v>
      </c>
    </row>
    <row r="754" spans="1:28" x14ac:dyDescent="0.3">
      <c r="A754" t="s">
        <v>4837</v>
      </c>
      <c r="B754" t="s">
        <v>4836</v>
      </c>
      <c r="C754" t="s">
        <v>4836</v>
      </c>
      <c r="D754" t="s">
        <v>123</v>
      </c>
      <c r="E754">
        <v>38</v>
      </c>
      <c r="F754">
        <v>38</v>
      </c>
      <c r="G754" t="s">
        <v>47</v>
      </c>
      <c r="H754" t="s">
        <v>47</v>
      </c>
      <c r="I754" t="s">
        <v>20</v>
      </c>
      <c r="J754" t="s">
        <v>20</v>
      </c>
      <c r="K754" s="1">
        <v>46061</v>
      </c>
      <c r="L754" s="1" t="str">
        <f>IF(K754&gt;O754,"Valid","Invalid")</f>
        <v>Valid</v>
      </c>
      <c r="M754" s="1" t="b">
        <f>ISNUMBER(K754)</f>
        <v>1</v>
      </c>
      <c r="N754" s="1" t="b">
        <f>ISNUMBER(O754)</f>
        <v>1</v>
      </c>
      <c r="O754" s="1">
        <v>46032</v>
      </c>
      <c r="P754" t="s">
        <v>4835</v>
      </c>
      <c r="Q754" t="str">
        <f>SUBSTITUTE(SUBSTITUTE(SUBSTITUTE(P754," ",""),"-",""),"+","")</f>
        <v>913414356493</v>
      </c>
      <c r="R754" t="str">
        <f t="shared" si="22"/>
        <v>3414356493</v>
      </c>
      <c r="S754" t="str">
        <f>IF(LEN(R754),"Valid","Invalid")</f>
        <v>Valid</v>
      </c>
      <c r="T754" t="s">
        <v>4834</v>
      </c>
      <c r="V754" t="s">
        <v>27</v>
      </c>
      <c r="X754">
        <v>12932.68</v>
      </c>
      <c r="Y754" t="s">
        <v>123</v>
      </c>
      <c r="Z754">
        <v>311</v>
      </c>
      <c r="AA754">
        <f t="shared" si="23"/>
        <v>311</v>
      </c>
      <c r="AB754" t="s">
        <v>77</v>
      </c>
    </row>
    <row r="755" spans="1:28" x14ac:dyDescent="0.3">
      <c r="A755" t="s">
        <v>4833</v>
      </c>
      <c r="B755" t="s">
        <v>4832</v>
      </c>
      <c r="C755" t="s">
        <v>4832</v>
      </c>
      <c r="E755">
        <v>85</v>
      </c>
      <c r="F755">
        <v>85</v>
      </c>
      <c r="G755" t="s">
        <v>132</v>
      </c>
      <c r="H755" t="s">
        <v>132</v>
      </c>
      <c r="I755" t="s">
        <v>67</v>
      </c>
      <c r="J755" t="s">
        <v>67</v>
      </c>
      <c r="K755" s="1">
        <v>46040</v>
      </c>
      <c r="L755" s="1" t="str">
        <f>IF(K755&gt;O755,"Valid","Invalid")</f>
        <v>Valid</v>
      </c>
      <c r="M755" s="1" t="b">
        <f>ISNUMBER(K755)</f>
        <v>1</v>
      </c>
      <c r="N755" s="1" t="b">
        <f>ISNUMBER(O755)</f>
        <v>1</v>
      </c>
      <c r="O755" s="1">
        <v>46032</v>
      </c>
      <c r="P755" t="s">
        <v>4831</v>
      </c>
      <c r="Q755" t="str">
        <f>SUBSTITUTE(SUBSTITUTE(SUBSTITUTE(P755," ",""),"-",""),"+","")</f>
        <v>2407007029</v>
      </c>
      <c r="R755" t="str">
        <f t="shared" si="22"/>
        <v>2407007029</v>
      </c>
      <c r="S755" t="str">
        <f>IF(LEN(R755),"Valid","Invalid")</f>
        <v>Valid</v>
      </c>
      <c r="T755" t="s">
        <v>4830</v>
      </c>
      <c r="V755" t="s">
        <v>64</v>
      </c>
      <c r="X755">
        <v>19262.439999999999</v>
      </c>
      <c r="Y755" t="s">
        <v>27</v>
      </c>
      <c r="Z755">
        <v>158</v>
      </c>
      <c r="AA755">
        <f t="shared" si="23"/>
        <v>158</v>
      </c>
      <c r="AB755" t="s">
        <v>25</v>
      </c>
    </row>
    <row r="756" spans="1:28" x14ac:dyDescent="0.3">
      <c r="A756" t="s">
        <v>4829</v>
      </c>
      <c r="B756" t="s">
        <v>4828</v>
      </c>
      <c r="C756" t="s">
        <v>4828</v>
      </c>
      <c r="E756">
        <v>23</v>
      </c>
      <c r="F756">
        <v>23</v>
      </c>
      <c r="G756" t="s">
        <v>39</v>
      </c>
      <c r="H756" t="s">
        <v>39</v>
      </c>
      <c r="I756" t="s">
        <v>90</v>
      </c>
      <c r="J756" t="s">
        <v>67</v>
      </c>
      <c r="K756" s="1">
        <v>46044</v>
      </c>
      <c r="L756" s="1" t="str">
        <f>IF(K756&gt;O756,"Valid","Invalid")</f>
        <v>Valid</v>
      </c>
      <c r="M756" s="1" t="b">
        <f>ISNUMBER(K756)</f>
        <v>1</v>
      </c>
      <c r="N756" s="1" t="b">
        <f>ISNUMBER(O756)</f>
        <v>1</v>
      </c>
      <c r="O756" s="1">
        <v>46043</v>
      </c>
      <c r="P756" t="s">
        <v>4827</v>
      </c>
      <c r="Q756" t="str">
        <f>SUBSTITUTE(SUBSTITUTE(SUBSTITUTE(P756," ",""),"-",""),"+","")</f>
        <v>0243073644</v>
      </c>
      <c r="R756" t="str">
        <f t="shared" si="22"/>
        <v>0243073644</v>
      </c>
      <c r="S756" t="str">
        <f>IF(LEN(R756),"Valid","Invalid")</f>
        <v>Valid</v>
      </c>
      <c r="T756" t="s">
        <v>4826</v>
      </c>
      <c r="V756" t="s">
        <v>64</v>
      </c>
      <c r="X756">
        <v>10523.04</v>
      </c>
      <c r="Y756" t="s">
        <v>63</v>
      </c>
      <c r="Z756">
        <v>260</v>
      </c>
      <c r="AA756">
        <f t="shared" si="23"/>
        <v>260</v>
      </c>
      <c r="AB756" t="s">
        <v>34</v>
      </c>
    </row>
    <row r="757" spans="1:28" x14ac:dyDescent="0.3">
      <c r="A757" t="s">
        <v>4825</v>
      </c>
      <c r="B757" t="s">
        <v>4824</v>
      </c>
      <c r="C757" t="s">
        <v>4824</v>
      </c>
      <c r="E757">
        <v>86</v>
      </c>
      <c r="F757">
        <v>86</v>
      </c>
      <c r="G757" t="s">
        <v>68</v>
      </c>
      <c r="H757" t="s">
        <v>68</v>
      </c>
      <c r="I757" t="s">
        <v>30</v>
      </c>
      <c r="J757" t="s">
        <v>30</v>
      </c>
      <c r="K757" s="1">
        <v>46103</v>
      </c>
      <c r="L757" s="1" t="str">
        <f>IF(K757&gt;O757,"Valid","Invalid")</f>
        <v>Valid</v>
      </c>
      <c r="M757" s="1" t="b">
        <f>ISNUMBER(K757)</f>
        <v>1</v>
      </c>
      <c r="N757" s="1" t="b">
        <f>ISNUMBER(O757)</f>
        <v>1</v>
      </c>
      <c r="O757" s="1">
        <v>46093</v>
      </c>
      <c r="P757" t="s">
        <v>4823</v>
      </c>
      <c r="Q757" t="str">
        <f>SUBSTITUTE(SUBSTITUTE(SUBSTITUTE(P757," ",""),"-",""),"+","")</f>
        <v>7278335763</v>
      </c>
      <c r="R757" t="str">
        <f t="shared" si="22"/>
        <v>7278335763</v>
      </c>
      <c r="S757" t="str">
        <f>IF(LEN(R757),"Valid","Invalid")</f>
        <v>Valid</v>
      </c>
      <c r="T757" t="s">
        <v>4822</v>
      </c>
      <c r="V757" t="s">
        <v>35</v>
      </c>
      <c r="X757">
        <v>5434.5</v>
      </c>
      <c r="Y757" t="s">
        <v>64</v>
      </c>
      <c r="Z757">
        <v>482</v>
      </c>
      <c r="AA757">
        <f t="shared" si="23"/>
        <v>482</v>
      </c>
      <c r="AB757" t="s">
        <v>34</v>
      </c>
    </row>
    <row r="758" spans="1:28" x14ac:dyDescent="0.3">
      <c r="A758" t="s">
        <v>4821</v>
      </c>
      <c r="B758" t="s">
        <v>4820</v>
      </c>
      <c r="C758" t="s">
        <v>4820</v>
      </c>
      <c r="D758" t="s">
        <v>22</v>
      </c>
      <c r="E758">
        <v>87</v>
      </c>
      <c r="F758">
        <v>87</v>
      </c>
      <c r="G758" t="s">
        <v>80</v>
      </c>
      <c r="H758" t="s">
        <v>80</v>
      </c>
      <c r="I758" t="s">
        <v>90</v>
      </c>
      <c r="J758" t="s">
        <v>67</v>
      </c>
      <c r="K758" s="1">
        <v>46076</v>
      </c>
      <c r="L758" s="1" t="str">
        <f>IF(K758&gt;O758,"Valid","Invalid")</f>
        <v>Valid</v>
      </c>
      <c r="M758" s="1" t="b">
        <f>ISNUMBER(K758)</f>
        <v>1</v>
      </c>
      <c r="N758" s="1" t="b">
        <f>ISNUMBER(O758)</f>
        <v>1</v>
      </c>
      <c r="O758" s="1">
        <v>46059</v>
      </c>
      <c r="P758" t="s">
        <v>4819</v>
      </c>
      <c r="Q758" t="str">
        <f>SUBSTITUTE(SUBSTITUTE(SUBSTITUTE(P758," ",""),"-",""),"+","")</f>
        <v>06286063566</v>
      </c>
      <c r="R758" t="str">
        <f t="shared" si="22"/>
        <v>6286063566</v>
      </c>
      <c r="S758" t="str">
        <f>IF(LEN(R758),"Valid","Invalid")</f>
        <v>Valid</v>
      </c>
      <c r="T758" t="s">
        <v>123</v>
      </c>
      <c r="V758" t="s">
        <v>27</v>
      </c>
      <c r="X758">
        <v>-500</v>
      </c>
      <c r="Y758" t="s">
        <v>64</v>
      </c>
      <c r="Z758">
        <v>106</v>
      </c>
      <c r="AA758">
        <f t="shared" si="23"/>
        <v>106</v>
      </c>
      <c r="AB758" t="s">
        <v>71</v>
      </c>
    </row>
    <row r="759" spans="1:28" x14ac:dyDescent="0.3">
      <c r="A759" t="s">
        <v>4818</v>
      </c>
      <c r="B759" t="s">
        <v>4817</v>
      </c>
      <c r="C759" t="s">
        <v>4817</v>
      </c>
      <c r="E759">
        <v>59</v>
      </c>
      <c r="F759">
        <v>59</v>
      </c>
      <c r="G759" t="s">
        <v>54</v>
      </c>
      <c r="H759" t="s">
        <v>54</v>
      </c>
      <c r="I759" t="s">
        <v>85</v>
      </c>
      <c r="J759" t="s">
        <v>85</v>
      </c>
      <c r="K759" s="1">
        <v>45998</v>
      </c>
      <c r="L759" s="1" t="str">
        <f>IF(K759&gt;O759,"Valid","Invalid")</f>
        <v>Valid</v>
      </c>
      <c r="M759" s="1" t="b">
        <f>ISNUMBER(K759)</f>
        <v>1</v>
      </c>
      <c r="N759" s="1" t="b">
        <f>ISNUMBER(O759)</f>
        <v>1</v>
      </c>
      <c r="O759" s="1">
        <v>45989</v>
      </c>
      <c r="P759" t="s">
        <v>4816</v>
      </c>
      <c r="Q759" t="str">
        <f>SUBSTITUTE(SUBSTITUTE(SUBSTITUTE(P759," ",""),"-",""),"+","")</f>
        <v>01228817591</v>
      </c>
      <c r="R759" t="str">
        <f t="shared" si="22"/>
        <v>1228817591</v>
      </c>
      <c r="S759" t="str">
        <f>IF(LEN(R759),"Valid","Invalid")</f>
        <v>Valid</v>
      </c>
      <c r="T759" t="s">
        <v>4815</v>
      </c>
      <c r="V759" t="s">
        <v>57</v>
      </c>
      <c r="X759">
        <v>17328.419999999998</v>
      </c>
      <c r="Y759" t="s">
        <v>123</v>
      </c>
      <c r="Z759">
        <v>511</v>
      </c>
      <c r="AA759">
        <f t="shared" si="23"/>
        <v>511</v>
      </c>
      <c r="AB759" t="s">
        <v>43</v>
      </c>
    </row>
    <row r="760" spans="1:28" x14ac:dyDescent="0.3">
      <c r="A760" t="s">
        <v>4814</v>
      </c>
      <c r="B760" t="s">
        <v>4813</v>
      </c>
      <c r="C760" t="s">
        <v>4813</v>
      </c>
      <c r="D760" t="s">
        <v>74</v>
      </c>
      <c r="E760">
        <v>17</v>
      </c>
      <c r="F760">
        <v>17</v>
      </c>
      <c r="G760" t="s">
        <v>39</v>
      </c>
      <c r="H760" t="s">
        <v>39</v>
      </c>
      <c r="I760" t="s">
        <v>46</v>
      </c>
      <c r="J760" t="s">
        <v>46</v>
      </c>
      <c r="K760" s="1">
        <v>46072</v>
      </c>
      <c r="L760" s="1" t="str">
        <f>IF(K760&gt;O760,"Valid","Invalid")</f>
        <v>Valid</v>
      </c>
      <c r="M760" s="1" t="b">
        <f>ISNUMBER(K760)</f>
        <v>1</v>
      </c>
      <c r="N760" s="1" t="b">
        <f>ISNUMBER(O760)</f>
        <v>1</v>
      </c>
      <c r="O760" s="1">
        <v>46066</v>
      </c>
      <c r="P760" t="s">
        <v>4812</v>
      </c>
      <c r="Q760" t="str">
        <f>SUBSTITUTE(SUBSTITUTE(SUBSTITUTE(P760," ",""),"-",""),"+","")</f>
        <v>911809872278</v>
      </c>
      <c r="R760" t="str">
        <f t="shared" si="22"/>
        <v>1809872278</v>
      </c>
      <c r="S760" t="str">
        <f>IF(LEN(R760),"Valid","Invalid")</f>
        <v>Valid</v>
      </c>
      <c r="T760" t="s">
        <v>4811</v>
      </c>
      <c r="V760" t="s">
        <v>64</v>
      </c>
      <c r="X760">
        <v>20436.009999999998</v>
      </c>
      <c r="Y760" t="s">
        <v>57</v>
      </c>
      <c r="Z760">
        <v>539</v>
      </c>
      <c r="AA760">
        <f t="shared" si="23"/>
        <v>539</v>
      </c>
      <c r="AB760" t="s">
        <v>77</v>
      </c>
    </row>
    <row r="761" spans="1:28" x14ac:dyDescent="0.3">
      <c r="A761" t="s">
        <v>4810</v>
      </c>
      <c r="B761" t="s">
        <v>4809</v>
      </c>
      <c r="C761" t="s">
        <v>4809</v>
      </c>
      <c r="D761" t="s">
        <v>1</v>
      </c>
      <c r="E761">
        <v>62</v>
      </c>
      <c r="F761">
        <v>62</v>
      </c>
      <c r="G761" t="s">
        <v>39</v>
      </c>
      <c r="H761" t="s">
        <v>39</v>
      </c>
      <c r="I761" t="s">
        <v>38</v>
      </c>
      <c r="J761" t="s">
        <v>8077</v>
      </c>
      <c r="K761" s="1">
        <v>45994</v>
      </c>
      <c r="L761" s="1" t="str">
        <f>IF(K761&gt;O761,"Valid","Invalid")</f>
        <v>Valid</v>
      </c>
      <c r="M761" s="1" t="b">
        <f>ISNUMBER(K761)</f>
        <v>1</v>
      </c>
      <c r="N761" s="1" t="b">
        <f>ISNUMBER(O761)</f>
        <v>1</v>
      </c>
      <c r="O761" s="1">
        <v>45981</v>
      </c>
      <c r="P761" t="s">
        <v>4808</v>
      </c>
      <c r="Q761" t="str">
        <f>SUBSTITUTE(SUBSTITUTE(SUBSTITUTE(P761," ",""),"-",""),"+","")</f>
        <v>1571789946</v>
      </c>
      <c r="R761" t="str">
        <f t="shared" si="22"/>
        <v>1571789946</v>
      </c>
      <c r="S761" t="str">
        <f>IF(LEN(R761),"Valid","Invalid")</f>
        <v>Valid</v>
      </c>
      <c r="T761" t="s">
        <v>4807</v>
      </c>
      <c r="V761" t="s">
        <v>17</v>
      </c>
      <c r="X761">
        <v>2335.12</v>
      </c>
      <c r="Y761" t="s">
        <v>123</v>
      </c>
      <c r="Z761">
        <v>175</v>
      </c>
      <c r="AA761">
        <f t="shared" si="23"/>
        <v>175</v>
      </c>
      <c r="AB761" t="s">
        <v>16</v>
      </c>
    </row>
    <row r="762" spans="1:28" x14ac:dyDescent="0.3">
      <c r="A762" t="s">
        <v>4806</v>
      </c>
      <c r="B762" t="s">
        <v>4805</v>
      </c>
      <c r="C762" t="s">
        <v>4805</v>
      </c>
      <c r="D762" t="s">
        <v>123</v>
      </c>
      <c r="E762">
        <v>3</v>
      </c>
      <c r="F762">
        <v>3</v>
      </c>
      <c r="G762" t="s">
        <v>80</v>
      </c>
      <c r="H762" t="s">
        <v>80</v>
      </c>
      <c r="I762" t="s">
        <v>53</v>
      </c>
      <c r="J762" t="s">
        <v>20</v>
      </c>
      <c r="K762" s="1">
        <v>46159</v>
      </c>
      <c r="L762" s="1" t="str">
        <f>IF(K762&gt;O762,"Valid","Invalid")</f>
        <v>Valid</v>
      </c>
      <c r="M762" s="1" t="b">
        <f>ISNUMBER(K762)</f>
        <v>1</v>
      </c>
      <c r="N762" s="1" t="b">
        <f>ISNUMBER(O762)</f>
        <v>1</v>
      </c>
      <c r="O762" s="1">
        <v>46131</v>
      </c>
      <c r="P762" t="s">
        <v>4804</v>
      </c>
      <c r="Q762" t="str">
        <f>SUBSTITUTE(SUBSTITUTE(SUBSTITUTE(P762," ",""),"-",""),"+","")</f>
        <v>7690471670</v>
      </c>
      <c r="R762" t="str">
        <f t="shared" si="22"/>
        <v>7690471670</v>
      </c>
      <c r="S762" t="str">
        <f>IF(LEN(R762),"Valid","Invalid")</f>
        <v>Valid</v>
      </c>
      <c r="T762" t="s">
        <v>4803</v>
      </c>
      <c r="V762" t="s">
        <v>35</v>
      </c>
      <c r="X762">
        <v>18521.77</v>
      </c>
      <c r="Y762" t="s">
        <v>123</v>
      </c>
      <c r="Z762">
        <v>348</v>
      </c>
      <c r="AA762">
        <f t="shared" si="23"/>
        <v>348</v>
      </c>
      <c r="AB762" t="s">
        <v>16</v>
      </c>
    </row>
    <row r="763" spans="1:28" x14ac:dyDescent="0.3">
      <c r="A763" t="s">
        <v>4802</v>
      </c>
      <c r="B763" t="s">
        <v>4801</v>
      </c>
      <c r="C763" t="s">
        <v>4801</v>
      </c>
      <c r="D763" t="s">
        <v>40</v>
      </c>
      <c r="E763">
        <v>58</v>
      </c>
      <c r="F763">
        <v>58</v>
      </c>
      <c r="G763" t="s">
        <v>21</v>
      </c>
      <c r="H763" t="s">
        <v>21</v>
      </c>
      <c r="I763" t="s">
        <v>38</v>
      </c>
      <c r="J763" t="s">
        <v>8077</v>
      </c>
      <c r="K763" s="1">
        <v>46030</v>
      </c>
      <c r="L763" s="1" t="str">
        <f>IF(K763&gt;O763,"Valid","Invalid")</f>
        <v>Valid</v>
      </c>
      <c r="M763" s="1" t="b">
        <f>ISNUMBER(K763)</f>
        <v>1</v>
      </c>
      <c r="N763" s="1" t="b">
        <f>ISNUMBER(O763)</f>
        <v>1</v>
      </c>
      <c r="O763" s="1">
        <v>46021</v>
      </c>
      <c r="P763" t="s">
        <v>4800</v>
      </c>
      <c r="Q763" t="str">
        <f>SUBSTITUTE(SUBSTITUTE(SUBSTITUTE(P763," ",""),"-",""),"+","")</f>
        <v>0563830522</v>
      </c>
      <c r="R763" t="str">
        <f t="shared" si="22"/>
        <v>0563830522</v>
      </c>
      <c r="S763" t="str">
        <f>IF(LEN(R763),"Valid","Invalid")</f>
        <v>Valid</v>
      </c>
      <c r="T763" t="s">
        <v>4799</v>
      </c>
      <c r="V763" t="s">
        <v>123</v>
      </c>
      <c r="X763">
        <v>1462.87</v>
      </c>
      <c r="Y763" t="s">
        <v>27</v>
      </c>
      <c r="Z763">
        <v>152</v>
      </c>
      <c r="AA763">
        <f t="shared" si="23"/>
        <v>152</v>
      </c>
      <c r="AB763" t="s">
        <v>25</v>
      </c>
    </row>
    <row r="764" spans="1:28" x14ac:dyDescent="0.3">
      <c r="A764" t="s">
        <v>4798</v>
      </c>
      <c r="B764" t="s">
        <v>4797</v>
      </c>
      <c r="C764" t="s">
        <v>4797</v>
      </c>
      <c r="D764" t="s">
        <v>123</v>
      </c>
      <c r="E764">
        <v>54</v>
      </c>
      <c r="F764">
        <v>54</v>
      </c>
      <c r="G764" t="s">
        <v>68</v>
      </c>
      <c r="H764" t="s">
        <v>68</v>
      </c>
      <c r="I764" t="s">
        <v>30</v>
      </c>
      <c r="J764" t="s">
        <v>30</v>
      </c>
      <c r="K764" s="1">
        <v>46036</v>
      </c>
      <c r="L764" s="1" t="str">
        <f>IF(K764&gt;O764,"Valid","Invalid")</f>
        <v>Valid</v>
      </c>
      <c r="M764" s="1" t="b">
        <f>ISNUMBER(K764)</f>
        <v>1</v>
      </c>
      <c r="N764" s="1" t="b">
        <f>ISNUMBER(O764)</f>
        <v>1</v>
      </c>
      <c r="O764" s="1">
        <v>46035</v>
      </c>
      <c r="P764" t="s">
        <v>4796</v>
      </c>
      <c r="Q764" t="str">
        <f>SUBSTITUTE(SUBSTITUTE(SUBSTITUTE(P764," ",""),"-",""),"+","")</f>
        <v>0278852990</v>
      </c>
      <c r="R764" t="str">
        <f t="shared" si="22"/>
        <v>0278852990</v>
      </c>
      <c r="S764" t="str">
        <f>IF(LEN(R764),"Valid","Invalid")</f>
        <v>Valid</v>
      </c>
      <c r="T764" t="s">
        <v>4795</v>
      </c>
      <c r="V764" t="s">
        <v>123</v>
      </c>
      <c r="X764">
        <v>10112.07</v>
      </c>
      <c r="Y764" t="s">
        <v>123</v>
      </c>
      <c r="Z764">
        <v>218</v>
      </c>
      <c r="AA764">
        <f t="shared" si="23"/>
        <v>218</v>
      </c>
      <c r="AB764" t="s">
        <v>25</v>
      </c>
    </row>
    <row r="765" spans="1:28" x14ac:dyDescent="0.3">
      <c r="A765" t="s">
        <v>4794</v>
      </c>
      <c r="B765" t="s">
        <v>4793</v>
      </c>
      <c r="C765" t="s">
        <v>4793</v>
      </c>
      <c r="D765" t="s">
        <v>40</v>
      </c>
      <c r="E765">
        <v>68</v>
      </c>
      <c r="F765">
        <v>68</v>
      </c>
      <c r="G765" t="s">
        <v>47</v>
      </c>
      <c r="H765" t="s">
        <v>47</v>
      </c>
      <c r="I765" t="s">
        <v>90</v>
      </c>
      <c r="J765" t="s">
        <v>67</v>
      </c>
      <c r="K765" s="1">
        <v>46160</v>
      </c>
      <c r="L765" s="1" t="str">
        <f>IF(K765&gt;O765,"Valid","Invalid")</f>
        <v>Valid</v>
      </c>
      <c r="M765" s="1" t="b">
        <f>ISNUMBER(K765)</f>
        <v>1</v>
      </c>
      <c r="N765" s="1" t="b">
        <f>ISNUMBER(O765)</f>
        <v>1</v>
      </c>
      <c r="O765" s="1">
        <v>46142</v>
      </c>
      <c r="P765" t="s">
        <v>4792</v>
      </c>
      <c r="Q765" t="str">
        <f>SUBSTITUTE(SUBSTITUTE(SUBSTITUTE(P765," ",""),"-",""),"+","")</f>
        <v>910562089731</v>
      </c>
      <c r="R765" t="str">
        <f t="shared" si="22"/>
        <v>0562089731</v>
      </c>
      <c r="S765" t="str">
        <f>IF(LEN(R765),"Valid","Invalid")</f>
        <v>Valid</v>
      </c>
      <c r="T765" t="s">
        <v>4791</v>
      </c>
      <c r="V765" t="s">
        <v>57</v>
      </c>
      <c r="X765">
        <v>13920.74</v>
      </c>
      <c r="Y765" t="s">
        <v>63</v>
      </c>
      <c r="Z765">
        <v>431</v>
      </c>
      <c r="AA765">
        <f t="shared" si="23"/>
        <v>431</v>
      </c>
      <c r="AB765" t="s">
        <v>16</v>
      </c>
    </row>
    <row r="766" spans="1:28" x14ac:dyDescent="0.3">
      <c r="A766" t="s">
        <v>4790</v>
      </c>
      <c r="B766" t="s">
        <v>4789</v>
      </c>
      <c r="C766" t="s">
        <v>4789</v>
      </c>
      <c r="E766">
        <v>15</v>
      </c>
      <c r="F766">
        <v>15</v>
      </c>
      <c r="G766" t="s">
        <v>68</v>
      </c>
      <c r="H766" t="s">
        <v>68</v>
      </c>
      <c r="I766" t="s">
        <v>67</v>
      </c>
      <c r="J766" t="s">
        <v>67</v>
      </c>
      <c r="K766" s="1">
        <v>45990</v>
      </c>
      <c r="L766" s="1" t="str">
        <f>IF(K766&gt;O766,"Valid","Invalid")</f>
        <v>Valid</v>
      </c>
      <c r="M766" s="1" t="b">
        <f>ISNUMBER(K766)</f>
        <v>1</v>
      </c>
      <c r="N766" s="1" t="b">
        <f>ISNUMBER(O766)</f>
        <v>1</v>
      </c>
      <c r="O766" s="1">
        <v>45976</v>
      </c>
      <c r="P766" t="s">
        <v>4788</v>
      </c>
      <c r="Q766" t="str">
        <f>SUBSTITUTE(SUBSTITUTE(SUBSTITUTE(P766," ",""),"-",""),"+","")</f>
        <v>918450880725</v>
      </c>
      <c r="R766" t="str">
        <f t="shared" si="22"/>
        <v>8450880725</v>
      </c>
      <c r="S766" t="str">
        <f>IF(LEN(R766),"Valid","Invalid")</f>
        <v>Valid</v>
      </c>
      <c r="T766" t="s">
        <v>4787</v>
      </c>
      <c r="V766" t="s">
        <v>123</v>
      </c>
      <c r="X766">
        <v>716.01</v>
      </c>
      <c r="Y766" t="s">
        <v>63</v>
      </c>
      <c r="Z766">
        <v>471</v>
      </c>
      <c r="AA766">
        <f t="shared" si="23"/>
        <v>471</v>
      </c>
      <c r="AB766" t="s">
        <v>71</v>
      </c>
    </row>
    <row r="767" spans="1:28" x14ac:dyDescent="0.3">
      <c r="A767" t="s">
        <v>4786</v>
      </c>
      <c r="B767" t="s">
        <v>4785</v>
      </c>
      <c r="C767" t="s">
        <v>4785</v>
      </c>
      <c r="E767">
        <v>45</v>
      </c>
      <c r="F767">
        <v>45</v>
      </c>
      <c r="G767" t="s">
        <v>68</v>
      </c>
      <c r="H767" t="s">
        <v>68</v>
      </c>
      <c r="I767" t="s">
        <v>38</v>
      </c>
      <c r="J767" t="s">
        <v>8077</v>
      </c>
      <c r="K767" s="1">
        <v>46052</v>
      </c>
      <c r="L767" s="1" t="str">
        <f>IF(K767&gt;O767,"Valid","Invalid")</f>
        <v>Valid</v>
      </c>
      <c r="M767" s="1" t="b">
        <f>ISNUMBER(K767)</f>
        <v>1</v>
      </c>
      <c r="N767" s="1" t="b">
        <f>ISNUMBER(O767)</f>
        <v>1</v>
      </c>
      <c r="O767" s="1">
        <v>46036</v>
      </c>
      <c r="P767" t="s">
        <v>4784</v>
      </c>
      <c r="Q767" t="str">
        <f>SUBSTITUTE(SUBSTITUTE(SUBSTITUTE(P767," ",""),"-",""),"+","")</f>
        <v>05215523084</v>
      </c>
      <c r="R767" t="str">
        <f t="shared" si="22"/>
        <v>5215523084</v>
      </c>
      <c r="S767" t="str">
        <f>IF(LEN(R767),"Valid","Invalid")</f>
        <v>Valid</v>
      </c>
      <c r="T767" t="s">
        <v>4783</v>
      </c>
      <c r="V767" t="s">
        <v>17</v>
      </c>
      <c r="X767">
        <v>14773.94</v>
      </c>
      <c r="Y767" t="s">
        <v>17</v>
      </c>
      <c r="Z767">
        <v>408</v>
      </c>
      <c r="AA767">
        <f t="shared" si="23"/>
        <v>408</v>
      </c>
      <c r="AB767" t="s">
        <v>50</v>
      </c>
    </row>
    <row r="768" spans="1:28" x14ac:dyDescent="0.3">
      <c r="A768" t="s">
        <v>4782</v>
      </c>
      <c r="B768" t="s">
        <v>4781</v>
      </c>
      <c r="C768" t="s">
        <v>8053</v>
      </c>
      <c r="E768">
        <v>17</v>
      </c>
      <c r="F768">
        <v>17</v>
      </c>
      <c r="G768" t="s">
        <v>132</v>
      </c>
      <c r="H768" t="s">
        <v>132</v>
      </c>
      <c r="I768" t="s">
        <v>90</v>
      </c>
      <c r="J768" t="s">
        <v>67</v>
      </c>
      <c r="K768" s="1">
        <v>46006</v>
      </c>
      <c r="L768" s="1" t="str">
        <f>IF(K768&gt;O768,"Valid","Invalid")</f>
        <v>Valid</v>
      </c>
      <c r="M768" s="1" t="b">
        <f>ISNUMBER(K768)</f>
        <v>1</v>
      </c>
      <c r="N768" s="1" t="b">
        <f>ISNUMBER(O768)</f>
        <v>1</v>
      </c>
      <c r="O768" s="1">
        <v>45976</v>
      </c>
      <c r="P768" t="s">
        <v>4780</v>
      </c>
      <c r="Q768" t="str">
        <f>SUBSTITUTE(SUBSTITUTE(SUBSTITUTE(P768," ",""),"-",""),"+","")</f>
        <v>915431934838</v>
      </c>
      <c r="R768" t="str">
        <f t="shared" si="22"/>
        <v>5431934838</v>
      </c>
      <c r="S768" t="str">
        <f>IF(LEN(R768),"Valid","Invalid")</f>
        <v>Valid</v>
      </c>
      <c r="T768" t="s">
        <v>4779</v>
      </c>
      <c r="V768" t="s">
        <v>123</v>
      </c>
      <c r="X768">
        <v>20860.400000000001</v>
      </c>
      <c r="Y768" t="s">
        <v>17</v>
      </c>
      <c r="Z768">
        <v>507</v>
      </c>
      <c r="AA768">
        <f t="shared" si="23"/>
        <v>507</v>
      </c>
      <c r="AB768" t="s">
        <v>16</v>
      </c>
    </row>
    <row r="769" spans="1:28" x14ac:dyDescent="0.3">
      <c r="A769" t="s">
        <v>4778</v>
      </c>
      <c r="B769" t="s">
        <v>4777</v>
      </c>
      <c r="C769" t="s">
        <v>4777</v>
      </c>
      <c r="D769" t="s">
        <v>0</v>
      </c>
      <c r="E769">
        <v>80</v>
      </c>
      <c r="F769">
        <v>80</v>
      </c>
      <c r="G769" t="s">
        <v>21</v>
      </c>
      <c r="H769" t="s">
        <v>21</v>
      </c>
      <c r="I769" t="s">
        <v>30</v>
      </c>
      <c r="J769" t="s">
        <v>30</v>
      </c>
      <c r="K769" s="1">
        <v>46160</v>
      </c>
      <c r="L769" s="1" t="str">
        <f>IF(K769&gt;O769,"Valid","Invalid")</f>
        <v>Valid</v>
      </c>
      <c r="M769" s="1" t="b">
        <f>ISNUMBER(K769)</f>
        <v>1</v>
      </c>
      <c r="N769" s="1" t="b">
        <f>ISNUMBER(O769)</f>
        <v>1</v>
      </c>
      <c r="O769" s="1">
        <v>46138</v>
      </c>
      <c r="P769" t="s">
        <v>4776</v>
      </c>
      <c r="Q769" t="str">
        <f>SUBSTITUTE(SUBSTITUTE(SUBSTITUTE(P769," ",""),"-",""),"+","")</f>
        <v>06860155089</v>
      </c>
      <c r="R769" t="str">
        <f t="shared" si="22"/>
        <v>6860155089</v>
      </c>
      <c r="S769" t="str">
        <f>IF(LEN(R769),"Valid","Invalid")</f>
        <v>Valid</v>
      </c>
      <c r="T769" t="s">
        <v>4775</v>
      </c>
      <c r="V769" t="s">
        <v>64</v>
      </c>
      <c r="X769">
        <v>16743</v>
      </c>
      <c r="Y769" t="s">
        <v>26</v>
      </c>
      <c r="Z769">
        <v>188</v>
      </c>
      <c r="AA769">
        <f t="shared" si="23"/>
        <v>188</v>
      </c>
      <c r="AB769" t="s">
        <v>71</v>
      </c>
    </row>
    <row r="770" spans="1:28" x14ac:dyDescent="0.3">
      <c r="A770" t="s">
        <v>4774</v>
      </c>
      <c r="B770" t="s">
        <v>4773</v>
      </c>
      <c r="C770" t="s">
        <v>4773</v>
      </c>
      <c r="D770" t="s">
        <v>0</v>
      </c>
      <c r="E770">
        <v>78</v>
      </c>
      <c r="F770">
        <v>78</v>
      </c>
      <c r="G770" t="s">
        <v>68</v>
      </c>
      <c r="H770" t="s">
        <v>68</v>
      </c>
      <c r="I770" t="s">
        <v>20</v>
      </c>
      <c r="J770" t="s">
        <v>20</v>
      </c>
      <c r="K770" s="1">
        <v>46051</v>
      </c>
      <c r="L770" s="1" t="str">
        <f>IF(K770&gt;O770,"Valid","Invalid")</f>
        <v>Valid</v>
      </c>
      <c r="M770" s="1" t="b">
        <f>ISNUMBER(K770)</f>
        <v>1</v>
      </c>
      <c r="N770" s="1" t="b">
        <f>ISNUMBER(O770)</f>
        <v>1</v>
      </c>
      <c r="O770" s="1">
        <v>46026</v>
      </c>
      <c r="P770" t="s">
        <v>4772</v>
      </c>
      <c r="Q770" t="str">
        <f>SUBSTITUTE(SUBSTITUTE(SUBSTITUTE(P770," ",""),"-",""),"+","")</f>
        <v>9762871484</v>
      </c>
      <c r="R770" t="str">
        <f t="shared" si="22"/>
        <v>9762871484</v>
      </c>
      <c r="S770" t="str">
        <f>IF(LEN(R770),"Valid","Invalid")</f>
        <v>Valid</v>
      </c>
      <c r="T770" t="s">
        <v>4771</v>
      </c>
      <c r="V770" t="s">
        <v>123</v>
      </c>
      <c r="X770">
        <v>23587.759999999998</v>
      </c>
      <c r="Y770" t="s">
        <v>123</v>
      </c>
      <c r="Z770">
        <v>255</v>
      </c>
      <c r="AA770">
        <f t="shared" si="23"/>
        <v>255</v>
      </c>
      <c r="AB770" t="s">
        <v>71</v>
      </c>
    </row>
    <row r="771" spans="1:28" x14ac:dyDescent="0.3">
      <c r="A771" t="s">
        <v>4770</v>
      </c>
      <c r="B771" t="s">
        <v>4769</v>
      </c>
      <c r="C771" t="s">
        <v>4769</v>
      </c>
      <c r="D771" t="s">
        <v>1</v>
      </c>
      <c r="E771">
        <v>72</v>
      </c>
      <c r="F771">
        <v>72</v>
      </c>
      <c r="G771" t="s">
        <v>47</v>
      </c>
      <c r="H771" t="s">
        <v>47</v>
      </c>
      <c r="I771" t="s">
        <v>46</v>
      </c>
      <c r="J771" t="s">
        <v>46</v>
      </c>
      <c r="K771" s="1">
        <v>46092</v>
      </c>
      <c r="L771" s="1" t="str">
        <f>IF(K771&gt;O771,"Valid","Invalid")</f>
        <v>Valid</v>
      </c>
      <c r="M771" s="1" t="b">
        <f>ISNUMBER(K771)</f>
        <v>1</v>
      </c>
      <c r="N771" s="1" t="b">
        <f>ISNUMBER(O771)</f>
        <v>1</v>
      </c>
      <c r="O771" s="1">
        <v>46081</v>
      </c>
      <c r="P771" t="s">
        <v>4768</v>
      </c>
      <c r="Q771" t="str">
        <f>SUBSTITUTE(SUBSTITUTE(SUBSTITUTE(P771," ",""),"-",""),"+","")</f>
        <v>9702794044</v>
      </c>
      <c r="R771" t="str">
        <f t="shared" si="22"/>
        <v>9702794044</v>
      </c>
      <c r="S771" t="str">
        <f>IF(LEN(R771),"Valid","Invalid")</f>
        <v>Valid</v>
      </c>
      <c r="T771" t="s">
        <v>4767</v>
      </c>
      <c r="V771" t="s">
        <v>26</v>
      </c>
      <c r="X771">
        <v>9054.69</v>
      </c>
      <c r="Y771" t="s">
        <v>26</v>
      </c>
      <c r="Z771">
        <v>189</v>
      </c>
      <c r="AA771">
        <f t="shared" si="23"/>
        <v>189</v>
      </c>
      <c r="AB771" t="s">
        <v>50</v>
      </c>
    </row>
    <row r="772" spans="1:28" x14ac:dyDescent="0.3">
      <c r="A772" t="s">
        <v>4766</v>
      </c>
      <c r="B772" t="s">
        <v>4765</v>
      </c>
      <c r="C772" t="s">
        <v>4765</v>
      </c>
      <c r="D772" t="s">
        <v>40</v>
      </c>
      <c r="E772">
        <v>9</v>
      </c>
      <c r="F772">
        <v>9</v>
      </c>
      <c r="G772" t="s">
        <v>31</v>
      </c>
      <c r="H772" t="s">
        <v>31</v>
      </c>
      <c r="I772" t="s">
        <v>90</v>
      </c>
      <c r="J772" t="s">
        <v>67</v>
      </c>
      <c r="K772" s="1">
        <v>46138</v>
      </c>
      <c r="L772" s="1" t="str">
        <f>IF(K772&gt;O772,"Valid","Invalid")</f>
        <v>Valid</v>
      </c>
      <c r="M772" s="1" t="b">
        <f>ISNUMBER(K772)</f>
        <v>1</v>
      </c>
      <c r="N772" s="1" t="b">
        <f>ISNUMBER(O772)</f>
        <v>1</v>
      </c>
      <c r="O772" s="1">
        <v>46135</v>
      </c>
      <c r="P772" t="s">
        <v>4764</v>
      </c>
      <c r="Q772" t="str">
        <f>SUBSTITUTE(SUBSTITUTE(SUBSTITUTE(P772," ",""),"-",""),"+","")</f>
        <v>911404944561</v>
      </c>
      <c r="R772" t="str">
        <f t="shared" si="22"/>
        <v>1404944561</v>
      </c>
      <c r="S772" t="str">
        <f>IF(LEN(R772),"Valid","Invalid")</f>
        <v>Valid</v>
      </c>
      <c r="T772" t="s">
        <v>4763</v>
      </c>
      <c r="V772" t="s">
        <v>17</v>
      </c>
      <c r="X772">
        <v>3193.06</v>
      </c>
      <c r="Y772" t="s">
        <v>57</v>
      </c>
      <c r="Z772">
        <v>349</v>
      </c>
      <c r="AA772">
        <f t="shared" si="23"/>
        <v>349</v>
      </c>
      <c r="AB772" t="s">
        <v>43</v>
      </c>
    </row>
    <row r="773" spans="1:28" x14ac:dyDescent="0.3">
      <c r="A773" t="s">
        <v>4762</v>
      </c>
      <c r="B773" t="s">
        <v>4761</v>
      </c>
      <c r="C773" t="s">
        <v>4761</v>
      </c>
      <c r="D773" t="s">
        <v>60</v>
      </c>
      <c r="E773">
        <v>46</v>
      </c>
      <c r="F773">
        <v>46</v>
      </c>
      <c r="G773" t="s">
        <v>47</v>
      </c>
      <c r="H773" t="s">
        <v>47</v>
      </c>
      <c r="I773" t="s">
        <v>30</v>
      </c>
      <c r="J773" t="s">
        <v>30</v>
      </c>
      <c r="K773" s="1">
        <v>46087</v>
      </c>
      <c r="L773" s="1" t="str">
        <f>IF(K773&gt;O773,"Valid","Invalid")</f>
        <v>Valid</v>
      </c>
      <c r="M773" s="1" t="b">
        <f>ISNUMBER(K773)</f>
        <v>1</v>
      </c>
      <c r="N773" s="1" t="b">
        <f>ISNUMBER(O773)</f>
        <v>1</v>
      </c>
      <c r="O773" s="1">
        <v>46059</v>
      </c>
      <c r="P773" t="s">
        <v>4760</v>
      </c>
      <c r="Q773" t="str">
        <f>SUBSTITUTE(SUBSTITUTE(SUBSTITUTE(P773," ",""),"-",""),"+","")</f>
        <v>916960371198</v>
      </c>
      <c r="R773" t="str">
        <f t="shared" ref="R773:R836" si="24">RIGHT(Q773,10)</f>
        <v>6960371198</v>
      </c>
      <c r="S773" t="str">
        <f>IF(LEN(R773),"Valid","Invalid")</f>
        <v>Valid</v>
      </c>
      <c r="T773" t="s">
        <v>4759</v>
      </c>
      <c r="V773" t="s">
        <v>35</v>
      </c>
      <c r="X773">
        <v>21364.52</v>
      </c>
      <c r="Y773" t="s">
        <v>64</v>
      </c>
      <c r="Z773">
        <v>461</v>
      </c>
      <c r="AA773">
        <f t="shared" ref="AA773:AA836" si="25">IF(Z773="Room-x",0,Z773)</f>
        <v>461</v>
      </c>
      <c r="AB773" t="s">
        <v>77</v>
      </c>
    </row>
    <row r="774" spans="1:28" x14ac:dyDescent="0.3">
      <c r="A774" t="s">
        <v>4758</v>
      </c>
      <c r="B774" t="s">
        <v>4757</v>
      </c>
      <c r="C774" t="s">
        <v>4757</v>
      </c>
      <c r="E774">
        <v>59</v>
      </c>
      <c r="F774">
        <v>59</v>
      </c>
      <c r="G774" t="s">
        <v>80</v>
      </c>
      <c r="H774" t="s">
        <v>80</v>
      </c>
      <c r="I774" t="s">
        <v>20</v>
      </c>
      <c r="J774" t="s">
        <v>20</v>
      </c>
      <c r="K774" s="1">
        <v>46168</v>
      </c>
      <c r="L774" s="1" t="str">
        <f>IF(K774&gt;O774,"Valid","Invalid")</f>
        <v>Valid</v>
      </c>
      <c r="M774" s="1" t="b">
        <f>ISNUMBER(K774)</f>
        <v>1</v>
      </c>
      <c r="N774" s="1" t="b">
        <f>ISNUMBER(O774)</f>
        <v>1</v>
      </c>
      <c r="O774" s="1">
        <v>46143</v>
      </c>
      <c r="P774" t="s">
        <v>4756</v>
      </c>
      <c r="Q774" t="str">
        <f>SUBSTITUTE(SUBSTITUTE(SUBSTITUTE(P774," ",""),"-",""),"+","")</f>
        <v>910149185401</v>
      </c>
      <c r="R774" t="str">
        <f t="shared" si="24"/>
        <v>0149185401</v>
      </c>
      <c r="S774" t="str">
        <f>IF(LEN(R774),"Valid","Invalid")</f>
        <v>Valid</v>
      </c>
      <c r="T774" t="s">
        <v>4755</v>
      </c>
      <c r="V774" t="s">
        <v>64</v>
      </c>
      <c r="X774">
        <v>20625.53</v>
      </c>
      <c r="Y774" t="s">
        <v>27</v>
      </c>
      <c r="Z774">
        <v>359</v>
      </c>
      <c r="AA774">
        <f t="shared" si="25"/>
        <v>359</v>
      </c>
      <c r="AB774" t="s">
        <v>77</v>
      </c>
    </row>
    <row r="775" spans="1:28" x14ac:dyDescent="0.3">
      <c r="A775" t="s">
        <v>4754</v>
      </c>
      <c r="B775" t="s">
        <v>4753</v>
      </c>
      <c r="C775" t="s">
        <v>4753</v>
      </c>
      <c r="D775" t="s">
        <v>0</v>
      </c>
      <c r="E775">
        <v>81</v>
      </c>
      <c r="F775">
        <v>81</v>
      </c>
      <c r="G775" t="s">
        <v>80</v>
      </c>
      <c r="H775" t="s">
        <v>80</v>
      </c>
      <c r="I775" t="s">
        <v>38</v>
      </c>
      <c r="J775" t="s">
        <v>8077</v>
      </c>
      <c r="K775" s="1">
        <v>46031</v>
      </c>
      <c r="L775" s="1" t="str">
        <f>IF(K775&gt;O775,"Valid","Invalid")</f>
        <v>Valid</v>
      </c>
      <c r="M775" s="1" t="b">
        <f>ISNUMBER(K775)</f>
        <v>1</v>
      </c>
      <c r="N775" s="1" t="b">
        <f>ISNUMBER(O775)</f>
        <v>1</v>
      </c>
      <c r="O775" s="1">
        <v>46002</v>
      </c>
      <c r="P775" t="s">
        <v>4752</v>
      </c>
      <c r="Q775" t="str">
        <f>SUBSTITUTE(SUBSTITUTE(SUBSTITUTE(P775," ",""),"-",""),"+","")</f>
        <v>3511838794</v>
      </c>
      <c r="R775" t="str">
        <f t="shared" si="24"/>
        <v>3511838794</v>
      </c>
      <c r="S775" t="str">
        <f>IF(LEN(R775),"Valid","Invalid")</f>
        <v>Valid</v>
      </c>
      <c r="T775" t="s">
        <v>4751</v>
      </c>
      <c r="V775" t="s">
        <v>57</v>
      </c>
      <c r="X775">
        <v>4094.41</v>
      </c>
      <c r="Y775" t="s">
        <v>63</v>
      </c>
      <c r="Z775">
        <v>462</v>
      </c>
      <c r="AA775">
        <f t="shared" si="25"/>
        <v>462</v>
      </c>
      <c r="AB775" t="s">
        <v>16</v>
      </c>
    </row>
    <row r="776" spans="1:28" x14ac:dyDescent="0.3">
      <c r="A776" t="s">
        <v>4750</v>
      </c>
      <c r="B776" t="s">
        <v>4749</v>
      </c>
      <c r="C776" t="s">
        <v>4749</v>
      </c>
      <c r="E776">
        <v>13</v>
      </c>
      <c r="F776">
        <v>13</v>
      </c>
      <c r="G776" t="s">
        <v>39</v>
      </c>
      <c r="H776" t="s">
        <v>39</v>
      </c>
      <c r="I776" t="s">
        <v>67</v>
      </c>
      <c r="J776" t="s">
        <v>67</v>
      </c>
      <c r="K776" s="1">
        <v>46099</v>
      </c>
      <c r="L776" s="1" t="str">
        <f>IF(K776&gt;O776,"Valid","Invalid")</f>
        <v>Valid</v>
      </c>
      <c r="M776" s="1" t="b">
        <f>ISNUMBER(K776)</f>
        <v>1</v>
      </c>
      <c r="N776" s="1" t="b">
        <f>ISNUMBER(O776)</f>
        <v>1</v>
      </c>
      <c r="O776" s="1">
        <v>46089</v>
      </c>
      <c r="P776" t="s">
        <v>4748</v>
      </c>
      <c r="Q776" t="str">
        <f>SUBSTITUTE(SUBSTITUTE(SUBSTITUTE(P776," ",""),"-",""),"+","")</f>
        <v>04609805376</v>
      </c>
      <c r="R776" t="str">
        <f t="shared" si="24"/>
        <v>4609805376</v>
      </c>
      <c r="S776" t="str">
        <f>IF(LEN(R776),"Valid","Invalid")</f>
        <v>Valid</v>
      </c>
      <c r="T776" t="s">
        <v>4747</v>
      </c>
      <c r="V776" t="s">
        <v>35</v>
      </c>
      <c r="X776">
        <v>3249.99</v>
      </c>
      <c r="Y776" t="s">
        <v>57</v>
      </c>
      <c r="Z776">
        <v>324</v>
      </c>
      <c r="AA776">
        <f t="shared" si="25"/>
        <v>324</v>
      </c>
      <c r="AB776" t="s">
        <v>16</v>
      </c>
    </row>
    <row r="777" spans="1:28" x14ac:dyDescent="0.3">
      <c r="A777" t="s">
        <v>4746</v>
      </c>
      <c r="B777" t="s">
        <v>4745</v>
      </c>
      <c r="C777" t="s">
        <v>4745</v>
      </c>
      <c r="D777" t="s">
        <v>40</v>
      </c>
      <c r="E777">
        <v>32</v>
      </c>
      <c r="F777">
        <v>32</v>
      </c>
      <c r="G777" t="s">
        <v>68</v>
      </c>
      <c r="H777" t="s">
        <v>68</v>
      </c>
      <c r="I777" t="s">
        <v>67</v>
      </c>
      <c r="J777" t="s">
        <v>67</v>
      </c>
      <c r="K777" s="1">
        <v>46089</v>
      </c>
      <c r="L777" s="1" t="str">
        <f>IF(K777&gt;O777,"Valid","Invalid")</f>
        <v>Valid</v>
      </c>
      <c r="M777" s="1" t="b">
        <f>ISNUMBER(K777)</f>
        <v>1</v>
      </c>
      <c r="N777" s="1" t="b">
        <f>ISNUMBER(O777)</f>
        <v>1</v>
      </c>
      <c r="O777" s="1">
        <v>46080</v>
      </c>
      <c r="P777" t="s">
        <v>4744</v>
      </c>
      <c r="Q777" t="str">
        <f>SUBSTITUTE(SUBSTITUTE(SUBSTITUTE(P777," ",""),"-",""),"+","")</f>
        <v>912289887809</v>
      </c>
      <c r="R777" t="str">
        <f t="shared" si="24"/>
        <v>2289887809</v>
      </c>
      <c r="S777" t="str">
        <f>IF(LEN(R777),"Valid","Invalid")</f>
        <v>Valid</v>
      </c>
      <c r="T777" t="s">
        <v>4743</v>
      </c>
      <c r="V777" t="s">
        <v>35</v>
      </c>
      <c r="X777">
        <v>2313.8000000000002</v>
      </c>
      <c r="Y777" t="s">
        <v>17</v>
      </c>
      <c r="Z777">
        <v>466</v>
      </c>
      <c r="AA777">
        <f t="shared" si="25"/>
        <v>466</v>
      </c>
      <c r="AB777" t="s">
        <v>50</v>
      </c>
    </row>
    <row r="778" spans="1:28" x14ac:dyDescent="0.3">
      <c r="A778" t="s">
        <v>4742</v>
      </c>
      <c r="B778" t="s">
        <v>4741</v>
      </c>
      <c r="C778" t="s">
        <v>4741</v>
      </c>
      <c r="D778" t="s">
        <v>123</v>
      </c>
      <c r="E778">
        <v>47</v>
      </c>
      <c r="F778">
        <v>47</v>
      </c>
      <c r="G778" t="s">
        <v>21</v>
      </c>
      <c r="H778" t="s">
        <v>21</v>
      </c>
      <c r="I778" t="s">
        <v>53</v>
      </c>
      <c r="J778" t="s">
        <v>20</v>
      </c>
      <c r="K778" s="1">
        <v>46124</v>
      </c>
      <c r="L778" s="1" t="str">
        <f>IF(K778&gt;O778,"Valid","Invalid")</f>
        <v>Valid</v>
      </c>
      <c r="M778" s="1" t="b">
        <f>ISNUMBER(K778)</f>
        <v>1</v>
      </c>
      <c r="N778" s="1" t="b">
        <f>ISNUMBER(O778)</f>
        <v>1</v>
      </c>
      <c r="O778" s="1">
        <v>46100</v>
      </c>
      <c r="P778" t="s">
        <v>4740</v>
      </c>
      <c r="Q778" t="str">
        <f>SUBSTITUTE(SUBSTITUTE(SUBSTITUTE(P778," ",""),"-",""),"+","")</f>
        <v>4111836831</v>
      </c>
      <c r="R778" t="str">
        <f t="shared" si="24"/>
        <v>4111836831</v>
      </c>
      <c r="S778" t="str">
        <f>IF(LEN(R778),"Valid","Invalid")</f>
        <v>Valid</v>
      </c>
      <c r="T778" t="s">
        <v>4739</v>
      </c>
      <c r="V778" t="s">
        <v>123</v>
      </c>
      <c r="X778">
        <v>19722.95</v>
      </c>
      <c r="Y778" t="s">
        <v>26</v>
      </c>
      <c r="Z778">
        <v>510</v>
      </c>
      <c r="AA778">
        <f t="shared" si="25"/>
        <v>510</v>
      </c>
      <c r="AB778" t="s">
        <v>16</v>
      </c>
    </row>
    <row r="779" spans="1:28" x14ac:dyDescent="0.3">
      <c r="A779" t="s">
        <v>4738</v>
      </c>
      <c r="B779" t="s">
        <v>4737</v>
      </c>
      <c r="C779" t="s">
        <v>4737</v>
      </c>
      <c r="D779" t="s">
        <v>123</v>
      </c>
      <c r="E779">
        <v>53</v>
      </c>
      <c r="F779">
        <v>53</v>
      </c>
      <c r="G779" t="s">
        <v>68</v>
      </c>
      <c r="H779" t="s">
        <v>68</v>
      </c>
      <c r="I779" t="s">
        <v>67</v>
      </c>
      <c r="J779" t="s">
        <v>67</v>
      </c>
      <c r="K779" s="1">
        <v>46017</v>
      </c>
      <c r="L779" s="1" t="str">
        <f>IF(K779&gt;O779,"Valid","Invalid")</f>
        <v>Valid</v>
      </c>
      <c r="M779" s="1" t="b">
        <f>ISNUMBER(K779)</f>
        <v>1</v>
      </c>
      <c r="N779" s="1" t="b">
        <f>ISNUMBER(O779)</f>
        <v>1</v>
      </c>
      <c r="O779" s="1">
        <v>45987</v>
      </c>
      <c r="P779" t="s">
        <v>4736</v>
      </c>
      <c r="Q779" t="str">
        <f>SUBSTITUTE(SUBSTITUTE(SUBSTITUTE(P779," ",""),"-",""),"+","")</f>
        <v>04533329148</v>
      </c>
      <c r="R779" t="str">
        <f t="shared" si="24"/>
        <v>4533329148</v>
      </c>
      <c r="S779" t="str">
        <f>IF(LEN(R779),"Valid","Invalid")</f>
        <v>Valid</v>
      </c>
      <c r="T779" t="s">
        <v>4735</v>
      </c>
      <c r="V779" t="s">
        <v>27</v>
      </c>
      <c r="X779">
        <v>11175.95</v>
      </c>
      <c r="Y779" t="s">
        <v>27</v>
      </c>
      <c r="Z779">
        <v>467</v>
      </c>
      <c r="AA779">
        <f t="shared" si="25"/>
        <v>467</v>
      </c>
      <c r="AB779" t="s">
        <v>50</v>
      </c>
    </row>
    <row r="780" spans="1:28" x14ac:dyDescent="0.3">
      <c r="A780" t="s">
        <v>4734</v>
      </c>
      <c r="B780" t="s">
        <v>4733</v>
      </c>
      <c r="C780" t="s">
        <v>4733</v>
      </c>
      <c r="D780" t="s">
        <v>74</v>
      </c>
      <c r="E780">
        <v>11</v>
      </c>
      <c r="F780">
        <v>11</v>
      </c>
      <c r="G780" t="s">
        <v>31</v>
      </c>
      <c r="H780" t="s">
        <v>31</v>
      </c>
      <c r="I780" t="s">
        <v>67</v>
      </c>
      <c r="J780" t="s">
        <v>67</v>
      </c>
      <c r="K780" s="1">
        <v>46075</v>
      </c>
      <c r="L780" s="1" t="str">
        <f>IF(K780&gt;O780,"Valid","Invalid")</f>
        <v>Valid</v>
      </c>
      <c r="M780" s="1" t="b">
        <f>ISNUMBER(K780)</f>
        <v>1</v>
      </c>
      <c r="N780" s="1" t="b">
        <f>ISNUMBER(O780)</f>
        <v>1</v>
      </c>
      <c r="O780" s="1">
        <v>46063</v>
      </c>
      <c r="P780" t="s">
        <v>4732</v>
      </c>
      <c r="Q780" t="str">
        <f>SUBSTITUTE(SUBSTITUTE(SUBSTITUTE(P780," ",""),"-",""),"+","")</f>
        <v>09581520644</v>
      </c>
      <c r="R780" t="str">
        <f t="shared" si="24"/>
        <v>9581520644</v>
      </c>
      <c r="S780" t="str">
        <f>IF(LEN(R780),"Valid","Invalid")</f>
        <v>Valid</v>
      </c>
      <c r="T780" t="s">
        <v>4731</v>
      </c>
      <c r="V780" t="s">
        <v>35</v>
      </c>
      <c r="X780">
        <v>10964.99</v>
      </c>
      <c r="Y780" t="s">
        <v>123</v>
      </c>
      <c r="Z780">
        <v>488</v>
      </c>
      <c r="AA780">
        <f t="shared" si="25"/>
        <v>488</v>
      </c>
      <c r="AB780" t="s">
        <v>77</v>
      </c>
    </row>
    <row r="781" spans="1:28" x14ac:dyDescent="0.3">
      <c r="A781" t="s">
        <v>4730</v>
      </c>
      <c r="B781" t="s">
        <v>4729</v>
      </c>
      <c r="C781" t="s">
        <v>4729</v>
      </c>
      <c r="D781" t="s">
        <v>0</v>
      </c>
      <c r="E781">
        <v>74</v>
      </c>
      <c r="F781">
        <v>74</v>
      </c>
      <c r="G781" t="s">
        <v>47</v>
      </c>
      <c r="H781" t="s">
        <v>47</v>
      </c>
      <c r="I781" t="s">
        <v>30</v>
      </c>
      <c r="J781" t="s">
        <v>30</v>
      </c>
      <c r="K781" s="1">
        <v>46105</v>
      </c>
      <c r="L781" s="1" t="str">
        <f>IF(K781&gt;O781,"Valid","Invalid")</f>
        <v>Valid</v>
      </c>
      <c r="M781" s="1" t="b">
        <f>ISNUMBER(K781)</f>
        <v>1</v>
      </c>
      <c r="N781" s="1" t="b">
        <f>ISNUMBER(O781)</f>
        <v>1</v>
      </c>
      <c r="O781" s="1">
        <v>46092</v>
      </c>
      <c r="P781" t="s">
        <v>4728</v>
      </c>
      <c r="Q781" t="str">
        <f>SUBSTITUTE(SUBSTITUTE(SUBSTITUTE(P781," ",""),"-",""),"+","")</f>
        <v>914981919233</v>
      </c>
      <c r="R781" t="str">
        <f t="shared" si="24"/>
        <v>4981919233</v>
      </c>
      <c r="S781" t="str">
        <f>IF(LEN(R781),"Valid","Invalid")</f>
        <v>Valid</v>
      </c>
      <c r="T781" t="s">
        <v>4727</v>
      </c>
      <c r="V781" t="s">
        <v>123</v>
      </c>
      <c r="X781">
        <v>22167.41</v>
      </c>
      <c r="Y781" t="s">
        <v>63</v>
      </c>
      <c r="Z781">
        <v>469</v>
      </c>
      <c r="AA781">
        <f t="shared" si="25"/>
        <v>469</v>
      </c>
      <c r="AB781" t="s">
        <v>25</v>
      </c>
    </row>
    <row r="782" spans="1:28" x14ac:dyDescent="0.3">
      <c r="A782" t="s">
        <v>4726</v>
      </c>
      <c r="B782" t="s">
        <v>4725</v>
      </c>
      <c r="C782" t="s">
        <v>4725</v>
      </c>
      <c r="D782" t="s">
        <v>60</v>
      </c>
      <c r="E782">
        <v>45</v>
      </c>
      <c r="F782">
        <v>45</v>
      </c>
      <c r="G782" t="s">
        <v>47</v>
      </c>
      <c r="H782" t="s">
        <v>47</v>
      </c>
      <c r="I782" t="s">
        <v>30</v>
      </c>
      <c r="J782" t="s">
        <v>30</v>
      </c>
      <c r="K782" s="1">
        <v>46162</v>
      </c>
      <c r="L782" s="1" t="str">
        <f>IF(K782&gt;O782,"Valid","Invalid")</f>
        <v>Valid</v>
      </c>
      <c r="M782" s="1" t="b">
        <f>ISNUMBER(K782)</f>
        <v>1</v>
      </c>
      <c r="N782" s="1" t="b">
        <f>ISNUMBER(O782)</f>
        <v>1</v>
      </c>
      <c r="O782" s="1">
        <v>46134</v>
      </c>
      <c r="P782" t="s">
        <v>4724</v>
      </c>
      <c r="Q782" t="str">
        <f>SUBSTITUTE(SUBSTITUTE(SUBSTITUTE(P782," ",""),"-",""),"+","")</f>
        <v>918134091496</v>
      </c>
      <c r="R782" t="str">
        <f t="shared" si="24"/>
        <v>8134091496</v>
      </c>
      <c r="S782" t="str">
        <f>IF(LEN(R782),"Valid","Invalid")</f>
        <v>Valid</v>
      </c>
      <c r="T782" t="s">
        <v>4723</v>
      </c>
      <c r="V782" t="s">
        <v>35</v>
      </c>
      <c r="X782">
        <v>17567.32</v>
      </c>
      <c r="Y782" t="s">
        <v>123</v>
      </c>
      <c r="Z782">
        <v>429</v>
      </c>
      <c r="AA782">
        <f t="shared" si="25"/>
        <v>429</v>
      </c>
      <c r="AB782" t="s">
        <v>71</v>
      </c>
    </row>
    <row r="783" spans="1:28" x14ac:dyDescent="0.3">
      <c r="A783" t="s">
        <v>4722</v>
      </c>
      <c r="B783" t="s">
        <v>4721</v>
      </c>
      <c r="C783" t="s">
        <v>4721</v>
      </c>
      <c r="E783">
        <v>90</v>
      </c>
      <c r="F783">
        <v>90</v>
      </c>
      <c r="G783" t="s">
        <v>31</v>
      </c>
      <c r="H783" t="s">
        <v>31</v>
      </c>
      <c r="I783" t="s">
        <v>90</v>
      </c>
      <c r="J783" t="s">
        <v>67</v>
      </c>
      <c r="K783" s="1">
        <v>46095</v>
      </c>
      <c r="L783" s="1" t="str">
        <f>IF(K783&gt;O783,"Valid","Invalid")</f>
        <v>Valid</v>
      </c>
      <c r="M783" s="1" t="b">
        <f>ISNUMBER(K783)</f>
        <v>1</v>
      </c>
      <c r="N783" s="1" t="b">
        <f>ISNUMBER(O783)</f>
        <v>1</v>
      </c>
      <c r="O783" s="1">
        <v>46071</v>
      </c>
      <c r="P783" t="s">
        <v>4720</v>
      </c>
      <c r="Q783" t="str">
        <f>SUBSTITUTE(SUBSTITUTE(SUBSTITUTE(P783," ",""),"-",""),"+","")</f>
        <v>03098173467</v>
      </c>
      <c r="R783" t="str">
        <f t="shared" si="24"/>
        <v>3098173467</v>
      </c>
      <c r="S783" t="str">
        <f>IF(LEN(R783),"Valid","Invalid")</f>
        <v>Valid</v>
      </c>
      <c r="T783" t="s">
        <v>4719</v>
      </c>
      <c r="V783" t="s">
        <v>17</v>
      </c>
      <c r="X783">
        <v>22048.17</v>
      </c>
      <c r="Y783" t="s">
        <v>64</v>
      </c>
      <c r="Z783">
        <v>118</v>
      </c>
      <c r="AA783">
        <f t="shared" si="25"/>
        <v>118</v>
      </c>
      <c r="AB783" t="s">
        <v>34</v>
      </c>
    </row>
    <row r="784" spans="1:28" x14ac:dyDescent="0.3">
      <c r="A784" t="s">
        <v>4718</v>
      </c>
      <c r="B784" t="s">
        <v>4717</v>
      </c>
      <c r="C784" t="s">
        <v>4717</v>
      </c>
      <c r="D784" t="s">
        <v>60</v>
      </c>
      <c r="E784">
        <v>50</v>
      </c>
      <c r="F784">
        <v>50</v>
      </c>
      <c r="G784" t="s">
        <v>39</v>
      </c>
      <c r="H784" t="s">
        <v>39</v>
      </c>
      <c r="I784" t="s">
        <v>30</v>
      </c>
      <c r="J784" t="s">
        <v>30</v>
      </c>
      <c r="K784" s="1">
        <v>46077</v>
      </c>
      <c r="L784" s="1" t="str">
        <f>IF(K784&gt;O784,"Valid","Invalid")</f>
        <v>Valid</v>
      </c>
      <c r="M784" s="1" t="b">
        <f>ISNUMBER(K784)</f>
        <v>1</v>
      </c>
      <c r="N784" s="1" t="b">
        <f>ISNUMBER(O784)</f>
        <v>1</v>
      </c>
      <c r="O784" s="1">
        <v>46071</v>
      </c>
      <c r="P784" t="s">
        <v>4716</v>
      </c>
      <c r="Q784" t="str">
        <f>SUBSTITUTE(SUBSTITUTE(SUBSTITUTE(P784," ",""),"-",""),"+","")</f>
        <v>911383854234</v>
      </c>
      <c r="R784" t="str">
        <f t="shared" si="24"/>
        <v>1383854234</v>
      </c>
      <c r="S784" t="str">
        <f>IF(LEN(R784),"Valid","Invalid")</f>
        <v>Valid</v>
      </c>
      <c r="T784" t="s">
        <v>4715</v>
      </c>
      <c r="V784" t="s">
        <v>64</v>
      </c>
      <c r="X784">
        <v>12889.46</v>
      </c>
      <c r="Y784" t="s">
        <v>63</v>
      </c>
      <c r="Z784">
        <v>366</v>
      </c>
      <c r="AA784">
        <f t="shared" si="25"/>
        <v>366</v>
      </c>
      <c r="AB784" t="s">
        <v>43</v>
      </c>
    </row>
    <row r="785" spans="1:28" x14ac:dyDescent="0.3">
      <c r="A785" t="s">
        <v>4714</v>
      </c>
      <c r="B785" t="s">
        <v>4713</v>
      </c>
      <c r="C785" t="s">
        <v>4713</v>
      </c>
      <c r="D785" t="s">
        <v>0</v>
      </c>
      <c r="E785">
        <v>3</v>
      </c>
      <c r="F785">
        <v>3</v>
      </c>
      <c r="G785" t="s">
        <v>47</v>
      </c>
      <c r="H785" t="s">
        <v>47</v>
      </c>
      <c r="I785" t="s">
        <v>30</v>
      </c>
      <c r="J785" t="s">
        <v>30</v>
      </c>
      <c r="K785" s="1">
        <v>46149</v>
      </c>
      <c r="L785" s="1" t="str">
        <f>IF(K785&gt;O785,"Valid","Invalid")</f>
        <v>Valid</v>
      </c>
      <c r="M785" s="1" t="b">
        <f>ISNUMBER(K785)</f>
        <v>1</v>
      </c>
      <c r="N785" s="1" t="b">
        <f>ISNUMBER(O785)</f>
        <v>1</v>
      </c>
      <c r="O785" s="1">
        <v>46142</v>
      </c>
      <c r="P785" t="s">
        <v>4712</v>
      </c>
      <c r="Q785" t="str">
        <f>SUBSTITUTE(SUBSTITUTE(SUBSTITUTE(P785," ",""),"-",""),"+","")</f>
        <v>1396906779</v>
      </c>
      <c r="R785" t="str">
        <f t="shared" si="24"/>
        <v>1396906779</v>
      </c>
      <c r="S785" t="str">
        <f>IF(LEN(R785),"Valid","Invalid")</f>
        <v>Valid</v>
      </c>
      <c r="T785" t="s">
        <v>4711</v>
      </c>
      <c r="V785" t="s">
        <v>26</v>
      </c>
      <c r="X785">
        <v>18217.43</v>
      </c>
      <c r="Y785" t="s">
        <v>64</v>
      </c>
      <c r="Z785">
        <v>474</v>
      </c>
      <c r="AA785">
        <f t="shared" si="25"/>
        <v>474</v>
      </c>
      <c r="AB785" t="s">
        <v>77</v>
      </c>
    </row>
    <row r="786" spans="1:28" x14ac:dyDescent="0.3">
      <c r="A786" t="s">
        <v>4710</v>
      </c>
      <c r="B786" t="s">
        <v>4709</v>
      </c>
      <c r="C786" t="s">
        <v>4709</v>
      </c>
      <c r="D786" t="s">
        <v>60</v>
      </c>
      <c r="E786">
        <v>34</v>
      </c>
      <c r="F786">
        <v>34</v>
      </c>
      <c r="G786" t="s">
        <v>31</v>
      </c>
      <c r="H786" t="s">
        <v>31</v>
      </c>
      <c r="I786" t="s">
        <v>20</v>
      </c>
      <c r="J786" t="s">
        <v>20</v>
      </c>
      <c r="K786" s="1">
        <v>45984</v>
      </c>
      <c r="L786" s="1" t="str">
        <f>IF(K786&gt;O786,"Valid","Invalid")</f>
        <v>Valid</v>
      </c>
      <c r="M786" s="1" t="b">
        <f>ISNUMBER(K786)</f>
        <v>1</v>
      </c>
      <c r="N786" s="1" t="b">
        <f>ISNUMBER(O786)</f>
        <v>1</v>
      </c>
      <c r="O786" s="1">
        <v>45983</v>
      </c>
      <c r="P786" t="s">
        <v>4708</v>
      </c>
      <c r="Q786" t="str">
        <f>SUBSTITUTE(SUBSTITUTE(SUBSTITUTE(P786," ",""),"-",""),"+","")</f>
        <v>5701173758</v>
      </c>
      <c r="R786" t="str">
        <f t="shared" si="24"/>
        <v>5701173758</v>
      </c>
      <c r="S786" t="str">
        <f>IF(LEN(R786),"Valid","Invalid")</f>
        <v>Valid</v>
      </c>
      <c r="T786" t="s">
        <v>4707</v>
      </c>
      <c r="V786" t="s">
        <v>64</v>
      </c>
      <c r="X786">
        <v>11328.67</v>
      </c>
      <c r="Y786" t="s">
        <v>27</v>
      </c>
      <c r="Z786">
        <v>332</v>
      </c>
      <c r="AA786">
        <f t="shared" si="25"/>
        <v>332</v>
      </c>
      <c r="AB786" t="s">
        <v>43</v>
      </c>
    </row>
    <row r="787" spans="1:28" x14ac:dyDescent="0.3">
      <c r="A787" t="s">
        <v>4706</v>
      </c>
      <c r="B787" t="s">
        <v>4705</v>
      </c>
      <c r="C787" t="s">
        <v>4705</v>
      </c>
      <c r="D787" t="s">
        <v>1</v>
      </c>
      <c r="E787">
        <v>75</v>
      </c>
      <c r="F787">
        <v>75</v>
      </c>
      <c r="G787" t="s">
        <v>21</v>
      </c>
      <c r="H787" t="s">
        <v>21</v>
      </c>
      <c r="I787" t="s">
        <v>67</v>
      </c>
      <c r="J787" t="s">
        <v>67</v>
      </c>
      <c r="K787" s="1">
        <v>46087</v>
      </c>
      <c r="L787" s="1" t="str">
        <f>IF(K787&gt;O787,"Valid","Invalid")</f>
        <v>Valid</v>
      </c>
      <c r="M787" s="1" t="b">
        <f>ISNUMBER(K787)</f>
        <v>1</v>
      </c>
      <c r="N787" s="1" t="b">
        <f>ISNUMBER(O787)</f>
        <v>1</v>
      </c>
      <c r="O787" s="1">
        <v>46078</v>
      </c>
      <c r="P787" t="s">
        <v>4704</v>
      </c>
      <c r="Q787" t="str">
        <f>SUBSTITUTE(SUBSTITUTE(SUBSTITUTE(P787," ",""),"-",""),"+","")</f>
        <v>911624492488</v>
      </c>
      <c r="R787" t="str">
        <f t="shared" si="24"/>
        <v>1624492488</v>
      </c>
      <c r="S787" t="str">
        <f>IF(LEN(R787),"Valid","Invalid")</f>
        <v>Valid</v>
      </c>
      <c r="T787" t="s">
        <v>4703</v>
      </c>
      <c r="V787" t="s">
        <v>26</v>
      </c>
      <c r="X787">
        <v>16739.669999999998</v>
      </c>
      <c r="Y787" t="s">
        <v>26</v>
      </c>
      <c r="Z787">
        <v>465</v>
      </c>
      <c r="AA787">
        <f t="shared" si="25"/>
        <v>465</v>
      </c>
      <c r="AB787" t="s">
        <v>16</v>
      </c>
    </row>
    <row r="788" spans="1:28" x14ac:dyDescent="0.3">
      <c r="A788" t="s">
        <v>4702</v>
      </c>
      <c r="B788" t="s">
        <v>4701</v>
      </c>
      <c r="C788" t="s">
        <v>4701</v>
      </c>
      <c r="D788" t="s">
        <v>1</v>
      </c>
      <c r="E788">
        <v>14</v>
      </c>
      <c r="F788">
        <v>14</v>
      </c>
      <c r="G788" t="s">
        <v>31</v>
      </c>
      <c r="H788" t="s">
        <v>31</v>
      </c>
      <c r="I788" t="s">
        <v>38</v>
      </c>
      <c r="J788" t="s">
        <v>8077</v>
      </c>
      <c r="K788" s="1">
        <v>46119</v>
      </c>
      <c r="L788" s="1" t="str">
        <f>IF(K788&gt;O788,"Valid","Invalid")</f>
        <v>Valid</v>
      </c>
      <c r="M788" s="1" t="b">
        <f>ISNUMBER(K788)</f>
        <v>1</v>
      </c>
      <c r="N788" s="1" t="b">
        <f>ISNUMBER(O788)</f>
        <v>1</v>
      </c>
      <c r="O788" s="1">
        <v>46093</v>
      </c>
      <c r="P788" t="s">
        <v>4700</v>
      </c>
      <c r="Q788" t="str">
        <f>SUBSTITUTE(SUBSTITUTE(SUBSTITUTE(P788," ",""),"-",""),"+","")</f>
        <v>911681959736</v>
      </c>
      <c r="R788" t="str">
        <f t="shared" si="24"/>
        <v>1681959736</v>
      </c>
      <c r="S788" t="str">
        <f>IF(LEN(R788),"Valid","Invalid")</f>
        <v>Valid</v>
      </c>
      <c r="T788" t="s">
        <v>4699</v>
      </c>
      <c r="V788" t="s">
        <v>57</v>
      </c>
      <c r="X788">
        <v>11466.88</v>
      </c>
      <c r="Y788" t="s">
        <v>26</v>
      </c>
      <c r="Z788">
        <v>464</v>
      </c>
      <c r="AA788">
        <f t="shared" si="25"/>
        <v>464</v>
      </c>
      <c r="AB788" t="s">
        <v>16</v>
      </c>
    </row>
    <row r="789" spans="1:28" x14ac:dyDescent="0.3">
      <c r="A789" t="s">
        <v>4698</v>
      </c>
      <c r="B789" t="s">
        <v>4697</v>
      </c>
      <c r="C789" t="s">
        <v>4697</v>
      </c>
      <c r="D789" t="s">
        <v>123</v>
      </c>
      <c r="E789">
        <v>11</v>
      </c>
      <c r="F789">
        <v>11</v>
      </c>
      <c r="G789" t="s">
        <v>80</v>
      </c>
      <c r="H789" t="s">
        <v>80</v>
      </c>
      <c r="I789" t="s">
        <v>46</v>
      </c>
      <c r="J789" t="s">
        <v>46</v>
      </c>
      <c r="K789" s="1">
        <v>46029</v>
      </c>
      <c r="L789" s="1" t="str">
        <f>IF(K789&gt;O789,"Valid","Invalid")</f>
        <v>Valid</v>
      </c>
      <c r="M789" s="1" t="b">
        <f>ISNUMBER(K789)</f>
        <v>1</v>
      </c>
      <c r="N789" s="1" t="b">
        <f>ISNUMBER(O789)</f>
        <v>1</v>
      </c>
      <c r="O789" s="1">
        <v>46016</v>
      </c>
      <c r="P789" t="s">
        <v>4696</v>
      </c>
      <c r="Q789" t="str">
        <f>SUBSTITUTE(SUBSTITUTE(SUBSTITUTE(P789," ",""),"-",""),"+","")</f>
        <v>1002570658</v>
      </c>
      <c r="R789" t="str">
        <f t="shared" si="24"/>
        <v>1002570658</v>
      </c>
      <c r="S789" t="str">
        <f>IF(LEN(R789),"Valid","Invalid")</f>
        <v>Valid</v>
      </c>
      <c r="T789" t="s">
        <v>4695</v>
      </c>
      <c r="V789" t="s">
        <v>35</v>
      </c>
      <c r="X789">
        <v>12011.08</v>
      </c>
      <c r="Y789" t="s">
        <v>123</v>
      </c>
      <c r="Z789">
        <v>139</v>
      </c>
      <c r="AA789">
        <f t="shared" si="25"/>
        <v>139</v>
      </c>
      <c r="AB789" t="s">
        <v>43</v>
      </c>
    </row>
    <row r="790" spans="1:28" x14ac:dyDescent="0.3">
      <c r="A790" t="s">
        <v>4694</v>
      </c>
      <c r="B790" t="s">
        <v>4693</v>
      </c>
      <c r="C790" t="s">
        <v>4693</v>
      </c>
      <c r="D790" t="s">
        <v>123</v>
      </c>
      <c r="E790">
        <v>76</v>
      </c>
      <c r="F790">
        <v>76</v>
      </c>
      <c r="G790" t="s">
        <v>54</v>
      </c>
      <c r="H790" t="s">
        <v>54</v>
      </c>
      <c r="I790" t="s">
        <v>30</v>
      </c>
      <c r="J790" t="s">
        <v>30</v>
      </c>
      <c r="K790" s="1">
        <v>46064</v>
      </c>
      <c r="L790" s="1" t="str">
        <f>IF(K790&gt;O790,"Valid","Invalid")</f>
        <v>Valid</v>
      </c>
      <c r="M790" s="1" t="b">
        <f>ISNUMBER(K790)</f>
        <v>1</v>
      </c>
      <c r="N790" s="1" t="b">
        <f>ISNUMBER(O790)</f>
        <v>1</v>
      </c>
      <c r="O790" s="1">
        <v>46046</v>
      </c>
      <c r="P790" t="s">
        <v>4692</v>
      </c>
      <c r="Q790" t="str">
        <f>SUBSTITUTE(SUBSTITUTE(SUBSTITUTE(P790," ",""),"-",""),"+","")</f>
        <v>918508196762</v>
      </c>
      <c r="R790" t="str">
        <f t="shared" si="24"/>
        <v>8508196762</v>
      </c>
      <c r="S790" t="str">
        <f>IF(LEN(R790),"Valid","Invalid")</f>
        <v>Valid</v>
      </c>
      <c r="T790" t="s">
        <v>4691</v>
      </c>
      <c r="V790" t="s">
        <v>123</v>
      </c>
      <c r="X790">
        <v>15984.24</v>
      </c>
      <c r="Y790" t="s">
        <v>123</v>
      </c>
      <c r="Z790">
        <v>452</v>
      </c>
      <c r="AA790">
        <f t="shared" si="25"/>
        <v>452</v>
      </c>
      <c r="AB790" t="s">
        <v>16</v>
      </c>
    </row>
    <row r="791" spans="1:28" x14ac:dyDescent="0.3">
      <c r="A791" t="s">
        <v>4690</v>
      </c>
      <c r="B791" t="s">
        <v>4689</v>
      </c>
      <c r="C791" t="s">
        <v>4689</v>
      </c>
      <c r="D791" t="s">
        <v>123</v>
      </c>
      <c r="E791">
        <v>21</v>
      </c>
      <c r="F791">
        <v>21</v>
      </c>
      <c r="G791" t="s">
        <v>39</v>
      </c>
      <c r="H791" t="s">
        <v>39</v>
      </c>
      <c r="I791" t="s">
        <v>53</v>
      </c>
      <c r="J791" t="s">
        <v>20</v>
      </c>
      <c r="K791" s="1">
        <v>46136</v>
      </c>
      <c r="L791" s="1" t="str">
        <f>IF(K791&gt;O791,"Valid","Invalid")</f>
        <v>Valid</v>
      </c>
      <c r="M791" s="1" t="b">
        <f>ISNUMBER(K791)</f>
        <v>1</v>
      </c>
      <c r="N791" s="1" t="b">
        <f>ISNUMBER(O791)</f>
        <v>1</v>
      </c>
      <c r="O791" s="1">
        <v>46121</v>
      </c>
      <c r="P791" t="s">
        <v>4688</v>
      </c>
      <c r="Q791" t="str">
        <f>SUBSTITUTE(SUBSTITUTE(SUBSTITUTE(P791," ",""),"-",""),"+","")</f>
        <v>06412308410</v>
      </c>
      <c r="R791" t="str">
        <f t="shared" si="24"/>
        <v>6412308410</v>
      </c>
      <c r="S791" t="str">
        <f>IF(LEN(R791),"Valid","Invalid")</f>
        <v>Valid</v>
      </c>
      <c r="T791" t="s">
        <v>4687</v>
      </c>
      <c r="V791" t="s">
        <v>123</v>
      </c>
      <c r="X791">
        <v>3408.75</v>
      </c>
      <c r="Y791" t="s">
        <v>64</v>
      </c>
      <c r="Z791">
        <v>455</v>
      </c>
      <c r="AA791">
        <f t="shared" si="25"/>
        <v>455</v>
      </c>
      <c r="AB791" t="s">
        <v>71</v>
      </c>
    </row>
    <row r="792" spans="1:28" x14ac:dyDescent="0.3">
      <c r="A792" t="s">
        <v>4686</v>
      </c>
      <c r="B792" t="s">
        <v>4685</v>
      </c>
      <c r="C792" t="s">
        <v>4685</v>
      </c>
      <c r="E792">
        <v>61</v>
      </c>
      <c r="F792">
        <v>61</v>
      </c>
      <c r="G792" t="s">
        <v>47</v>
      </c>
      <c r="H792" t="s">
        <v>47</v>
      </c>
      <c r="I792" t="s">
        <v>53</v>
      </c>
      <c r="J792" t="s">
        <v>20</v>
      </c>
      <c r="K792" s="1">
        <v>46080</v>
      </c>
      <c r="L792" s="1" t="str">
        <f>IF(K792&gt;O792,"Valid","Invalid")</f>
        <v>Valid</v>
      </c>
      <c r="M792" s="1" t="b">
        <f>ISNUMBER(K792)</f>
        <v>1</v>
      </c>
      <c r="N792" s="1" t="b">
        <f>ISNUMBER(O792)</f>
        <v>1</v>
      </c>
      <c r="O792" s="1">
        <v>46050</v>
      </c>
      <c r="P792" t="s">
        <v>4684</v>
      </c>
      <c r="Q792" t="str">
        <f>SUBSTITUTE(SUBSTITUTE(SUBSTITUTE(P792," ",""),"-",""),"+","")</f>
        <v>6904056157</v>
      </c>
      <c r="R792" t="str">
        <f t="shared" si="24"/>
        <v>6904056157</v>
      </c>
      <c r="S792" t="str">
        <f>IF(LEN(R792),"Valid","Invalid")</f>
        <v>Valid</v>
      </c>
      <c r="T792" t="s">
        <v>4683</v>
      </c>
      <c r="V792" t="s">
        <v>57</v>
      </c>
      <c r="X792">
        <v>23058.09</v>
      </c>
      <c r="Y792" t="s">
        <v>64</v>
      </c>
      <c r="Z792">
        <v>408</v>
      </c>
      <c r="AA792">
        <f t="shared" si="25"/>
        <v>408</v>
      </c>
      <c r="AB792" t="s">
        <v>50</v>
      </c>
    </row>
    <row r="793" spans="1:28" x14ac:dyDescent="0.3">
      <c r="A793" t="s">
        <v>4682</v>
      </c>
      <c r="B793" t="s">
        <v>4681</v>
      </c>
      <c r="C793" t="s">
        <v>4681</v>
      </c>
      <c r="D793" t="s">
        <v>123</v>
      </c>
      <c r="E793">
        <v>15</v>
      </c>
      <c r="F793">
        <v>15</v>
      </c>
      <c r="G793" t="s">
        <v>80</v>
      </c>
      <c r="H793" t="s">
        <v>80</v>
      </c>
      <c r="I793" t="s">
        <v>67</v>
      </c>
      <c r="J793" t="s">
        <v>67</v>
      </c>
      <c r="K793" s="1">
        <v>46067</v>
      </c>
      <c r="L793" s="1" t="str">
        <f>IF(K793&gt;O793,"Valid","Invalid")</f>
        <v>Valid</v>
      </c>
      <c r="M793" s="1" t="b">
        <f>ISNUMBER(K793)</f>
        <v>1</v>
      </c>
      <c r="N793" s="1" t="b">
        <f>ISNUMBER(O793)</f>
        <v>1</v>
      </c>
      <c r="O793" s="1">
        <v>46049</v>
      </c>
      <c r="P793" t="s">
        <v>4680</v>
      </c>
      <c r="Q793" t="str">
        <f>SUBSTITUTE(SUBSTITUTE(SUBSTITUTE(P793," ",""),"-",""),"+","")</f>
        <v>00595672977</v>
      </c>
      <c r="R793" t="str">
        <f t="shared" si="24"/>
        <v>0595672977</v>
      </c>
      <c r="S793" t="str">
        <f>IF(LEN(R793),"Valid","Invalid")</f>
        <v>Valid</v>
      </c>
      <c r="T793" t="s">
        <v>4679</v>
      </c>
      <c r="V793" t="s">
        <v>26</v>
      </c>
      <c r="X793">
        <v>1199</v>
      </c>
      <c r="Y793" t="s">
        <v>26</v>
      </c>
      <c r="Z793">
        <v>160</v>
      </c>
      <c r="AA793">
        <f t="shared" si="25"/>
        <v>160</v>
      </c>
      <c r="AB793" t="s">
        <v>43</v>
      </c>
    </row>
    <row r="794" spans="1:28" x14ac:dyDescent="0.3">
      <c r="A794" t="s">
        <v>4678</v>
      </c>
      <c r="B794" t="s">
        <v>4677</v>
      </c>
      <c r="C794" t="s">
        <v>4677</v>
      </c>
      <c r="D794" t="s">
        <v>22</v>
      </c>
      <c r="E794">
        <v>48</v>
      </c>
      <c r="F794">
        <v>48</v>
      </c>
      <c r="G794" t="s">
        <v>132</v>
      </c>
      <c r="H794" t="s">
        <v>132</v>
      </c>
      <c r="I794" t="s">
        <v>30</v>
      </c>
      <c r="J794" t="s">
        <v>30</v>
      </c>
      <c r="K794" s="1">
        <v>46153</v>
      </c>
      <c r="L794" s="1" t="str">
        <f>IF(K794&gt;O794,"Valid","Invalid")</f>
        <v>Valid</v>
      </c>
      <c r="M794" s="1" t="b">
        <f>ISNUMBER(K794)</f>
        <v>1</v>
      </c>
      <c r="N794" s="1" t="b">
        <f>ISNUMBER(O794)</f>
        <v>1</v>
      </c>
      <c r="O794" s="1">
        <v>46138</v>
      </c>
      <c r="P794" t="s">
        <v>4676</v>
      </c>
      <c r="Q794" t="str">
        <f>SUBSTITUTE(SUBSTITUTE(SUBSTITUTE(P794," ",""),"-",""),"+","")</f>
        <v>03320293484</v>
      </c>
      <c r="R794" t="str">
        <f t="shared" si="24"/>
        <v>3320293484</v>
      </c>
      <c r="S794" t="str">
        <f>IF(LEN(R794),"Valid","Invalid")</f>
        <v>Valid</v>
      </c>
      <c r="T794" t="s">
        <v>4675</v>
      </c>
      <c r="V794" t="s">
        <v>27</v>
      </c>
      <c r="X794">
        <v>19821.849999999999</v>
      </c>
      <c r="Y794" t="s">
        <v>26</v>
      </c>
      <c r="Z794">
        <v>501</v>
      </c>
      <c r="AA794">
        <f t="shared" si="25"/>
        <v>501</v>
      </c>
      <c r="AB794" t="s">
        <v>34</v>
      </c>
    </row>
    <row r="795" spans="1:28" x14ac:dyDescent="0.3">
      <c r="A795" t="s">
        <v>4674</v>
      </c>
      <c r="B795" t="s">
        <v>4673</v>
      </c>
      <c r="C795" t="s">
        <v>4673</v>
      </c>
      <c r="D795" t="s">
        <v>123</v>
      </c>
      <c r="E795">
        <v>7</v>
      </c>
      <c r="F795">
        <v>7</v>
      </c>
      <c r="G795" t="s">
        <v>132</v>
      </c>
      <c r="H795" t="s">
        <v>132</v>
      </c>
      <c r="I795" t="s">
        <v>30</v>
      </c>
      <c r="J795" t="s">
        <v>30</v>
      </c>
      <c r="K795" s="1">
        <v>46050</v>
      </c>
      <c r="L795" s="1" t="str">
        <f>IF(K795&gt;O795,"Valid","Invalid")</f>
        <v>Valid</v>
      </c>
      <c r="M795" s="1" t="b">
        <f>ISNUMBER(K795)</f>
        <v>1</v>
      </c>
      <c r="N795" s="1" t="b">
        <f>ISNUMBER(O795)</f>
        <v>1</v>
      </c>
      <c r="O795" s="1">
        <v>46044</v>
      </c>
      <c r="P795" t="s">
        <v>4672</v>
      </c>
      <c r="Q795" t="str">
        <f>SUBSTITUTE(SUBSTITUTE(SUBSTITUTE(P795," ",""),"-",""),"+","")</f>
        <v>09258627857</v>
      </c>
      <c r="R795" t="str">
        <f t="shared" si="24"/>
        <v>9258627857</v>
      </c>
      <c r="S795" t="str">
        <f>IF(LEN(R795),"Valid","Invalid")</f>
        <v>Valid</v>
      </c>
      <c r="T795" t="s">
        <v>4671</v>
      </c>
      <c r="V795" t="s">
        <v>35</v>
      </c>
      <c r="X795">
        <v>20514.3</v>
      </c>
      <c r="Y795" t="s">
        <v>123</v>
      </c>
      <c r="Z795">
        <v>101</v>
      </c>
      <c r="AA795">
        <f t="shared" si="25"/>
        <v>101</v>
      </c>
      <c r="AB795" t="s">
        <v>77</v>
      </c>
    </row>
    <row r="796" spans="1:28" x14ac:dyDescent="0.3">
      <c r="A796" t="s">
        <v>4670</v>
      </c>
      <c r="B796" t="s">
        <v>4669</v>
      </c>
      <c r="C796" t="s">
        <v>4669</v>
      </c>
      <c r="D796" t="s">
        <v>60</v>
      </c>
      <c r="E796">
        <v>9</v>
      </c>
      <c r="F796">
        <v>9</v>
      </c>
      <c r="G796" t="s">
        <v>47</v>
      </c>
      <c r="H796" t="s">
        <v>47</v>
      </c>
      <c r="I796" t="s">
        <v>90</v>
      </c>
      <c r="J796" t="s">
        <v>67</v>
      </c>
      <c r="K796" s="1">
        <v>46125</v>
      </c>
      <c r="L796" s="1" t="str">
        <f>IF(K796&gt;O796,"Valid","Invalid")</f>
        <v>Valid</v>
      </c>
      <c r="M796" s="1" t="b">
        <f>ISNUMBER(K796)</f>
        <v>1</v>
      </c>
      <c r="N796" s="1" t="b">
        <f>ISNUMBER(O796)</f>
        <v>1</v>
      </c>
      <c r="O796" s="1">
        <v>46110</v>
      </c>
      <c r="P796" t="s">
        <v>4668</v>
      </c>
      <c r="Q796" t="str">
        <f>SUBSTITUTE(SUBSTITUTE(SUBSTITUTE(P796," ",""),"-",""),"+","")</f>
        <v>917341694517</v>
      </c>
      <c r="R796" t="str">
        <f t="shared" si="24"/>
        <v>7341694517</v>
      </c>
      <c r="S796" t="str">
        <f>IF(LEN(R796),"Valid","Invalid")</f>
        <v>Valid</v>
      </c>
      <c r="T796" t="s">
        <v>4667</v>
      </c>
      <c r="V796" t="s">
        <v>26</v>
      </c>
      <c r="X796">
        <v>14230.95</v>
      </c>
      <c r="Y796" t="s">
        <v>17</v>
      </c>
      <c r="Z796">
        <v>500</v>
      </c>
      <c r="AA796">
        <f t="shared" si="25"/>
        <v>500</v>
      </c>
      <c r="AB796" t="s">
        <v>16</v>
      </c>
    </row>
    <row r="797" spans="1:28" x14ac:dyDescent="0.3">
      <c r="A797" t="s">
        <v>4666</v>
      </c>
      <c r="B797" t="s">
        <v>4665</v>
      </c>
      <c r="C797" t="s">
        <v>4665</v>
      </c>
      <c r="E797">
        <v>78</v>
      </c>
      <c r="F797">
        <v>78</v>
      </c>
      <c r="G797" t="s">
        <v>39</v>
      </c>
      <c r="H797" t="s">
        <v>39</v>
      </c>
      <c r="I797" t="s">
        <v>53</v>
      </c>
      <c r="J797" t="s">
        <v>20</v>
      </c>
      <c r="K797" s="1">
        <v>46157</v>
      </c>
      <c r="L797" s="1" t="str">
        <f>IF(K797&gt;O797,"Valid","Invalid")</f>
        <v>Valid</v>
      </c>
      <c r="M797" s="1" t="b">
        <f>ISNUMBER(K797)</f>
        <v>1</v>
      </c>
      <c r="N797" s="1" t="b">
        <f>ISNUMBER(O797)</f>
        <v>1</v>
      </c>
      <c r="O797" s="1">
        <v>46141</v>
      </c>
      <c r="P797" t="s">
        <v>4664</v>
      </c>
      <c r="Q797" t="str">
        <f>SUBSTITUTE(SUBSTITUTE(SUBSTITUTE(P797," ",""),"-",""),"+","")</f>
        <v>00373222219</v>
      </c>
      <c r="R797" t="str">
        <f t="shared" si="24"/>
        <v>0373222219</v>
      </c>
      <c r="S797" t="str">
        <f>IF(LEN(R797),"Valid","Invalid")</f>
        <v>Valid</v>
      </c>
      <c r="T797" t="s">
        <v>4663</v>
      </c>
      <c r="V797" t="s">
        <v>123</v>
      </c>
      <c r="X797">
        <v>19089.63</v>
      </c>
      <c r="Y797" t="s">
        <v>123</v>
      </c>
      <c r="Z797">
        <v>176</v>
      </c>
      <c r="AA797">
        <f t="shared" si="25"/>
        <v>176</v>
      </c>
      <c r="AB797" t="s">
        <v>50</v>
      </c>
    </row>
    <row r="798" spans="1:28" x14ac:dyDescent="0.3">
      <c r="A798" t="s">
        <v>4658</v>
      </c>
      <c r="B798" t="s">
        <v>4657</v>
      </c>
      <c r="C798" t="s">
        <v>4657</v>
      </c>
      <c r="D798" t="s">
        <v>22</v>
      </c>
      <c r="E798">
        <v>83</v>
      </c>
      <c r="F798">
        <v>83</v>
      </c>
      <c r="G798" t="s">
        <v>80</v>
      </c>
      <c r="H798" t="s">
        <v>80</v>
      </c>
      <c r="I798" t="s">
        <v>53</v>
      </c>
      <c r="J798" t="s">
        <v>20</v>
      </c>
      <c r="K798" s="1">
        <v>46040</v>
      </c>
      <c r="L798" s="1" t="str">
        <f>IF(K798&gt;O798,"Valid","Invalid")</f>
        <v>Valid</v>
      </c>
      <c r="M798" s="1" t="b">
        <f>ISNUMBER(K798)</f>
        <v>1</v>
      </c>
      <c r="N798" s="1" t="b">
        <f>ISNUMBER(O798)</f>
        <v>1</v>
      </c>
      <c r="O798" s="1">
        <v>46018</v>
      </c>
      <c r="P798" t="s">
        <v>4656</v>
      </c>
      <c r="Q798" t="str">
        <f>SUBSTITUTE(SUBSTITUTE(SUBSTITUTE(P798," ",""),"-",""),"+","")</f>
        <v>9671778878</v>
      </c>
      <c r="R798" t="str">
        <f t="shared" si="24"/>
        <v>9671778878</v>
      </c>
      <c r="S798" t="str">
        <f>IF(LEN(R798),"Valid","Invalid")</f>
        <v>Valid</v>
      </c>
      <c r="T798" t="s">
        <v>4655</v>
      </c>
      <c r="V798" t="s">
        <v>27</v>
      </c>
      <c r="X798">
        <v>14385.47</v>
      </c>
      <c r="Y798" t="s">
        <v>63</v>
      </c>
      <c r="Z798">
        <v>387</v>
      </c>
      <c r="AA798">
        <f t="shared" si="25"/>
        <v>387</v>
      </c>
      <c r="AB798" t="s">
        <v>25</v>
      </c>
    </row>
    <row r="799" spans="1:28" x14ac:dyDescent="0.3">
      <c r="A799" t="s">
        <v>4654</v>
      </c>
      <c r="B799" t="s">
        <v>4653</v>
      </c>
      <c r="C799" t="s">
        <v>4653</v>
      </c>
      <c r="D799" t="s">
        <v>74</v>
      </c>
      <c r="E799">
        <v>83</v>
      </c>
      <c r="F799">
        <v>83</v>
      </c>
      <c r="G799" t="s">
        <v>80</v>
      </c>
      <c r="H799" t="s">
        <v>80</v>
      </c>
      <c r="I799" t="s">
        <v>38</v>
      </c>
      <c r="J799" t="s">
        <v>8077</v>
      </c>
      <c r="K799" s="1">
        <v>46131</v>
      </c>
      <c r="L799" s="1" t="str">
        <f>IF(K799&gt;O799,"Valid","Invalid")</f>
        <v>Valid</v>
      </c>
      <c r="M799" s="1" t="b">
        <f>ISNUMBER(K799)</f>
        <v>1</v>
      </c>
      <c r="N799" s="1" t="b">
        <f>ISNUMBER(O799)</f>
        <v>1</v>
      </c>
      <c r="O799" s="1">
        <v>46101</v>
      </c>
      <c r="P799" t="s">
        <v>4652</v>
      </c>
      <c r="Q799" t="str">
        <f>SUBSTITUTE(SUBSTITUTE(SUBSTITUTE(P799," ",""),"-",""),"+","")</f>
        <v>8960354124</v>
      </c>
      <c r="R799" t="str">
        <f t="shared" si="24"/>
        <v>8960354124</v>
      </c>
      <c r="S799" t="str">
        <f>IF(LEN(R799),"Valid","Invalid")</f>
        <v>Valid</v>
      </c>
      <c r="T799" t="s">
        <v>4651</v>
      </c>
      <c r="V799" t="s">
        <v>27</v>
      </c>
      <c r="X799">
        <v>23940.86</v>
      </c>
      <c r="Y799" t="s">
        <v>57</v>
      </c>
      <c r="Z799">
        <v>484</v>
      </c>
      <c r="AA799">
        <f t="shared" si="25"/>
        <v>484</v>
      </c>
      <c r="AB799" t="s">
        <v>16</v>
      </c>
    </row>
    <row r="800" spans="1:28" x14ac:dyDescent="0.3">
      <c r="A800" t="s">
        <v>4650</v>
      </c>
      <c r="B800" t="s">
        <v>4649</v>
      </c>
      <c r="C800" t="s">
        <v>4649</v>
      </c>
      <c r="D800" t="s">
        <v>40</v>
      </c>
      <c r="E800">
        <v>16</v>
      </c>
      <c r="F800">
        <v>16</v>
      </c>
      <c r="G800" t="s">
        <v>39</v>
      </c>
      <c r="H800" t="s">
        <v>39</v>
      </c>
      <c r="I800" t="s">
        <v>46</v>
      </c>
      <c r="J800" t="s">
        <v>46</v>
      </c>
      <c r="K800" s="1">
        <v>46106</v>
      </c>
      <c r="L800" s="1" t="str">
        <f>IF(K800&gt;O800,"Valid","Invalid")</f>
        <v>Valid</v>
      </c>
      <c r="M800" s="1" t="b">
        <f>ISNUMBER(K800)</f>
        <v>1</v>
      </c>
      <c r="N800" s="1" t="b">
        <f>ISNUMBER(O800)</f>
        <v>1</v>
      </c>
      <c r="O800" s="1">
        <v>46098</v>
      </c>
      <c r="P800" t="s">
        <v>4648</v>
      </c>
      <c r="Q800" t="str">
        <f>SUBSTITUTE(SUBSTITUTE(SUBSTITUTE(P800," ",""),"-",""),"+","")</f>
        <v>09710694788</v>
      </c>
      <c r="R800" t="str">
        <f t="shared" si="24"/>
        <v>9710694788</v>
      </c>
      <c r="S800" t="str">
        <f>IF(LEN(R800),"Valid","Invalid")</f>
        <v>Valid</v>
      </c>
      <c r="T800" t="s">
        <v>4647</v>
      </c>
      <c r="V800" t="s">
        <v>17</v>
      </c>
      <c r="X800">
        <v>6283.11</v>
      </c>
      <c r="Y800" t="s">
        <v>123</v>
      </c>
      <c r="Z800">
        <v>143</v>
      </c>
      <c r="AA800">
        <f t="shared" si="25"/>
        <v>143</v>
      </c>
      <c r="AB800" t="s">
        <v>50</v>
      </c>
    </row>
    <row r="801" spans="1:28" x14ac:dyDescent="0.3">
      <c r="A801" t="s">
        <v>4646</v>
      </c>
      <c r="B801" t="s">
        <v>4645</v>
      </c>
      <c r="C801" t="s">
        <v>4645</v>
      </c>
      <c r="D801" t="s">
        <v>60</v>
      </c>
      <c r="E801">
        <v>52</v>
      </c>
      <c r="F801">
        <v>52</v>
      </c>
      <c r="G801" t="s">
        <v>47</v>
      </c>
      <c r="H801" t="s">
        <v>47</v>
      </c>
      <c r="I801" t="s">
        <v>85</v>
      </c>
      <c r="J801" t="s">
        <v>85</v>
      </c>
      <c r="K801" s="1">
        <v>46105</v>
      </c>
      <c r="L801" s="1" t="str">
        <f>IF(K801&gt;O801,"Valid","Invalid")</f>
        <v>Valid</v>
      </c>
      <c r="M801" s="1" t="b">
        <f>ISNUMBER(K801)</f>
        <v>1</v>
      </c>
      <c r="N801" s="1" t="b">
        <f>ISNUMBER(O801)</f>
        <v>1</v>
      </c>
      <c r="O801" s="1">
        <v>46078</v>
      </c>
      <c r="P801" t="s">
        <v>4644</v>
      </c>
      <c r="Q801" t="str">
        <f>SUBSTITUTE(SUBSTITUTE(SUBSTITUTE(P801," ",""),"-",""),"+","")</f>
        <v>913784696920</v>
      </c>
      <c r="R801" t="str">
        <f t="shared" si="24"/>
        <v>3784696920</v>
      </c>
      <c r="S801" t="str">
        <f>IF(LEN(R801),"Valid","Invalid")</f>
        <v>Valid</v>
      </c>
      <c r="T801" t="s">
        <v>4643</v>
      </c>
      <c r="V801" t="s">
        <v>27</v>
      </c>
      <c r="X801">
        <v>8630.92</v>
      </c>
      <c r="Y801" t="s">
        <v>26</v>
      </c>
      <c r="Z801">
        <v>312</v>
      </c>
      <c r="AA801">
        <f t="shared" si="25"/>
        <v>312</v>
      </c>
      <c r="AB801" t="s">
        <v>77</v>
      </c>
    </row>
    <row r="802" spans="1:28" x14ac:dyDescent="0.3">
      <c r="A802" t="s">
        <v>4642</v>
      </c>
      <c r="B802" t="s">
        <v>4641</v>
      </c>
      <c r="C802" t="s">
        <v>4641</v>
      </c>
      <c r="D802" t="s">
        <v>60</v>
      </c>
      <c r="E802">
        <v>49</v>
      </c>
      <c r="F802">
        <v>49</v>
      </c>
      <c r="G802" t="s">
        <v>132</v>
      </c>
      <c r="H802" t="s">
        <v>132</v>
      </c>
      <c r="I802" t="s">
        <v>20</v>
      </c>
      <c r="J802" t="s">
        <v>20</v>
      </c>
      <c r="K802" s="1">
        <v>46021</v>
      </c>
      <c r="L802" s="1" t="str">
        <f>IF(K802&gt;O802,"Valid","Invalid")</f>
        <v>Valid</v>
      </c>
      <c r="M802" s="1" t="b">
        <f>ISNUMBER(K802)</f>
        <v>1</v>
      </c>
      <c r="N802" s="1" t="b">
        <f>ISNUMBER(O802)</f>
        <v>1</v>
      </c>
      <c r="O802" s="1">
        <v>46018</v>
      </c>
      <c r="P802" t="s">
        <v>4640</v>
      </c>
      <c r="Q802" t="str">
        <f>SUBSTITUTE(SUBSTITUTE(SUBSTITUTE(P802," ",""),"-",""),"+","")</f>
        <v>912049796512</v>
      </c>
      <c r="R802" t="str">
        <f t="shared" si="24"/>
        <v>2049796512</v>
      </c>
      <c r="S802" t="str">
        <f>IF(LEN(R802),"Valid","Invalid")</f>
        <v>Valid</v>
      </c>
      <c r="T802" t="s">
        <v>4639</v>
      </c>
      <c r="V802" t="s">
        <v>64</v>
      </c>
      <c r="X802">
        <v>13636.13</v>
      </c>
      <c r="Y802" t="s">
        <v>63</v>
      </c>
      <c r="Z802">
        <v>173</v>
      </c>
      <c r="AA802">
        <f t="shared" si="25"/>
        <v>173</v>
      </c>
      <c r="AB802" t="s">
        <v>71</v>
      </c>
    </row>
    <row r="803" spans="1:28" x14ac:dyDescent="0.3">
      <c r="A803" t="s">
        <v>4638</v>
      </c>
      <c r="B803" t="s">
        <v>4637</v>
      </c>
      <c r="C803" t="s">
        <v>4637</v>
      </c>
      <c r="D803" t="s">
        <v>22</v>
      </c>
      <c r="E803">
        <v>12</v>
      </c>
      <c r="F803">
        <v>12</v>
      </c>
      <c r="G803" t="s">
        <v>39</v>
      </c>
      <c r="H803" t="s">
        <v>39</v>
      </c>
      <c r="I803" t="s">
        <v>30</v>
      </c>
      <c r="J803" t="s">
        <v>30</v>
      </c>
      <c r="K803" s="1">
        <v>46034</v>
      </c>
      <c r="L803" s="1" t="str">
        <f>IF(K803&gt;O803,"Valid","Invalid")</f>
        <v>Valid</v>
      </c>
      <c r="M803" s="1" t="b">
        <f>ISNUMBER(K803)</f>
        <v>1</v>
      </c>
      <c r="N803" s="1" t="b">
        <f>ISNUMBER(O803)</f>
        <v>1</v>
      </c>
      <c r="O803" s="1">
        <v>46004</v>
      </c>
      <c r="P803" t="s">
        <v>4636</v>
      </c>
      <c r="Q803" t="str">
        <f>SUBSTITUTE(SUBSTITUTE(SUBSTITUTE(P803," ",""),"-",""),"+","")</f>
        <v>03629450243</v>
      </c>
      <c r="R803" t="str">
        <f t="shared" si="24"/>
        <v>3629450243</v>
      </c>
      <c r="S803" t="str">
        <f>IF(LEN(R803),"Valid","Invalid")</f>
        <v>Valid</v>
      </c>
      <c r="T803" t="s">
        <v>4635</v>
      </c>
      <c r="V803" t="s">
        <v>123</v>
      </c>
      <c r="X803">
        <v>17029.490000000002</v>
      </c>
      <c r="Y803" t="s">
        <v>27</v>
      </c>
      <c r="Z803">
        <v>414</v>
      </c>
      <c r="AA803">
        <f t="shared" si="25"/>
        <v>414</v>
      </c>
      <c r="AB803" t="s">
        <v>43</v>
      </c>
    </row>
    <row r="804" spans="1:28" x14ac:dyDescent="0.3">
      <c r="A804" t="s">
        <v>4634</v>
      </c>
      <c r="B804" t="s">
        <v>4633</v>
      </c>
      <c r="C804" t="s">
        <v>4633</v>
      </c>
      <c r="D804" t="s">
        <v>0</v>
      </c>
      <c r="E804">
        <v>4</v>
      </c>
      <c r="F804">
        <v>4</v>
      </c>
      <c r="G804" t="s">
        <v>47</v>
      </c>
      <c r="H804" t="s">
        <v>47</v>
      </c>
      <c r="I804" t="s">
        <v>30</v>
      </c>
      <c r="J804" t="s">
        <v>30</v>
      </c>
      <c r="K804" s="1">
        <v>46031</v>
      </c>
      <c r="L804" s="1" t="str">
        <f>IF(K804&gt;O804,"Valid","Invalid")</f>
        <v>Valid</v>
      </c>
      <c r="M804" s="1" t="b">
        <f>ISNUMBER(K804)</f>
        <v>1</v>
      </c>
      <c r="N804" s="1" t="b">
        <f>ISNUMBER(O804)</f>
        <v>1</v>
      </c>
      <c r="O804" s="1">
        <v>46019</v>
      </c>
      <c r="P804" t="s">
        <v>4632</v>
      </c>
      <c r="Q804" t="str">
        <f>SUBSTITUTE(SUBSTITUTE(SUBSTITUTE(P804," ",""),"-",""),"+","")</f>
        <v>913877918360</v>
      </c>
      <c r="R804" t="str">
        <f t="shared" si="24"/>
        <v>3877918360</v>
      </c>
      <c r="S804" t="str">
        <f>IF(LEN(R804),"Valid","Invalid")</f>
        <v>Valid</v>
      </c>
      <c r="T804" t="s">
        <v>4631</v>
      </c>
      <c r="V804" t="s">
        <v>64</v>
      </c>
      <c r="X804">
        <v>8137.03</v>
      </c>
      <c r="Y804" t="s">
        <v>123</v>
      </c>
      <c r="Z804">
        <v>265</v>
      </c>
      <c r="AA804">
        <f t="shared" si="25"/>
        <v>265</v>
      </c>
      <c r="AB804" t="s">
        <v>43</v>
      </c>
    </row>
    <row r="805" spans="1:28" x14ac:dyDescent="0.3">
      <c r="A805" t="s">
        <v>4630</v>
      </c>
      <c r="B805" t="s">
        <v>4629</v>
      </c>
      <c r="C805" t="s">
        <v>4629</v>
      </c>
      <c r="D805" t="s">
        <v>123</v>
      </c>
      <c r="E805">
        <v>16</v>
      </c>
      <c r="F805">
        <v>16</v>
      </c>
      <c r="G805" t="s">
        <v>47</v>
      </c>
      <c r="H805" t="s">
        <v>47</v>
      </c>
      <c r="I805" t="s">
        <v>38</v>
      </c>
      <c r="J805" t="s">
        <v>8077</v>
      </c>
      <c r="K805" s="1">
        <v>46154</v>
      </c>
      <c r="L805" s="1" t="str">
        <f>IF(K805&gt;O805,"Valid","Invalid")</f>
        <v>Valid</v>
      </c>
      <c r="M805" s="1" t="b">
        <f>ISNUMBER(K805)</f>
        <v>1</v>
      </c>
      <c r="N805" s="1" t="b">
        <f>ISNUMBER(O805)</f>
        <v>1</v>
      </c>
      <c r="O805" s="1">
        <v>46147</v>
      </c>
      <c r="P805" t="s">
        <v>4628</v>
      </c>
      <c r="Q805" t="str">
        <f>SUBSTITUTE(SUBSTITUTE(SUBSTITUTE(P805," ",""),"-",""),"+","")</f>
        <v>7193482358</v>
      </c>
      <c r="R805" t="str">
        <f t="shared" si="24"/>
        <v>7193482358</v>
      </c>
      <c r="S805" t="str">
        <f>IF(LEN(R805),"Valid","Invalid")</f>
        <v>Valid</v>
      </c>
      <c r="T805" t="s">
        <v>4627</v>
      </c>
      <c r="V805" t="s">
        <v>17</v>
      </c>
      <c r="X805">
        <v>12425.89</v>
      </c>
      <c r="Y805" t="s">
        <v>123</v>
      </c>
      <c r="Z805">
        <v>158</v>
      </c>
      <c r="AA805">
        <f t="shared" si="25"/>
        <v>158</v>
      </c>
      <c r="AB805" t="s">
        <v>43</v>
      </c>
    </row>
    <row r="806" spans="1:28" x14ac:dyDescent="0.3">
      <c r="A806" t="s">
        <v>4626</v>
      </c>
      <c r="B806" t="s">
        <v>4625</v>
      </c>
      <c r="C806" t="s">
        <v>4625</v>
      </c>
      <c r="D806" t="s">
        <v>40</v>
      </c>
      <c r="E806">
        <v>41</v>
      </c>
      <c r="F806">
        <v>41</v>
      </c>
      <c r="G806" t="s">
        <v>68</v>
      </c>
      <c r="H806" t="s">
        <v>68</v>
      </c>
      <c r="I806" t="s">
        <v>90</v>
      </c>
      <c r="J806" t="s">
        <v>67</v>
      </c>
      <c r="K806" s="1">
        <v>46067</v>
      </c>
      <c r="L806" s="1" t="str">
        <f>IF(K806&gt;O806,"Valid","Invalid")</f>
        <v>Valid</v>
      </c>
      <c r="M806" s="1" t="b">
        <f>ISNUMBER(K806)</f>
        <v>1</v>
      </c>
      <c r="N806" s="1" t="b">
        <f>ISNUMBER(O806)</f>
        <v>1</v>
      </c>
      <c r="O806" s="1">
        <v>46065</v>
      </c>
      <c r="P806" t="s">
        <v>4624</v>
      </c>
      <c r="Q806" t="str">
        <f>SUBSTITUTE(SUBSTITUTE(SUBSTITUTE(P806," ",""),"-",""),"+","")</f>
        <v>8641158424</v>
      </c>
      <c r="R806" t="str">
        <f t="shared" si="24"/>
        <v>8641158424</v>
      </c>
      <c r="S806" t="str">
        <f>IF(LEN(R806),"Valid","Invalid")</f>
        <v>Valid</v>
      </c>
      <c r="T806" t="s">
        <v>4623</v>
      </c>
      <c r="V806" t="s">
        <v>123</v>
      </c>
      <c r="X806">
        <v>916.88</v>
      </c>
      <c r="Y806" t="s">
        <v>57</v>
      </c>
      <c r="Z806">
        <v>109</v>
      </c>
      <c r="AA806">
        <f t="shared" si="25"/>
        <v>109</v>
      </c>
      <c r="AB806" t="s">
        <v>43</v>
      </c>
    </row>
    <row r="807" spans="1:28" x14ac:dyDescent="0.3">
      <c r="A807" t="s">
        <v>4619</v>
      </c>
      <c r="B807" t="s">
        <v>4618</v>
      </c>
      <c r="C807" t="s">
        <v>4618</v>
      </c>
      <c r="D807" t="s">
        <v>60</v>
      </c>
      <c r="E807">
        <v>70</v>
      </c>
      <c r="F807">
        <v>70</v>
      </c>
      <c r="G807" t="s">
        <v>39</v>
      </c>
      <c r="H807" t="s">
        <v>39</v>
      </c>
      <c r="I807" t="s">
        <v>38</v>
      </c>
      <c r="J807" t="s">
        <v>8077</v>
      </c>
      <c r="K807" s="1">
        <v>46049</v>
      </c>
      <c r="L807" s="1" t="str">
        <f>IF(K807&gt;O807,"Valid","Invalid")</f>
        <v>Valid</v>
      </c>
      <c r="M807" s="1" t="b">
        <f>ISNUMBER(K807)</f>
        <v>1</v>
      </c>
      <c r="N807" s="1" t="b">
        <f>ISNUMBER(O807)</f>
        <v>1</v>
      </c>
      <c r="O807" s="1">
        <v>46032</v>
      </c>
      <c r="P807" t="s">
        <v>4617</v>
      </c>
      <c r="Q807" t="str">
        <f>SUBSTITUTE(SUBSTITUTE(SUBSTITUTE(P807," ",""),"-",""),"+","")</f>
        <v>2024507162</v>
      </c>
      <c r="R807" t="str">
        <f t="shared" si="24"/>
        <v>2024507162</v>
      </c>
      <c r="S807" t="str">
        <f>IF(LEN(R807),"Valid","Invalid")</f>
        <v>Valid</v>
      </c>
      <c r="T807" t="s">
        <v>4616</v>
      </c>
      <c r="V807" t="s">
        <v>123</v>
      </c>
      <c r="X807">
        <v>24041.53</v>
      </c>
      <c r="Y807" t="s">
        <v>123</v>
      </c>
      <c r="Z807">
        <v>121</v>
      </c>
      <c r="AA807">
        <f t="shared" si="25"/>
        <v>121</v>
      </c>
      <c r="AB807" t="s">
        <v>77</v>
      </c>
    </row>
    <row r="808" spans="1:28" x14ac:dyDescent="0.3">
      <c r="A808" t="s">
        <v>4611</v>
      </c>
      <c r="B808" t="s">
        <v>4610</v>
      </c>
      <c r="C808" t="s">
        <v>4610</v>
      </c>
      <c r="D808" t="s">
        <v>22</v>
      </c>
      <c r="E808">
        <v>88</v>
      </c>
      <c r="F808">
        <v>88</v>
      </c>
      <c r="G808" t="s">
        <v>54</v>
      </c>
      <c r="H808" t="s">
        <v>54</v>
      </c>
      <c r="I808" t="s">
        <v>67</v>
      </c>
      <c r="J808" t="s">
        <v>67</v>
      </c>
      <c r="K808" s="1">
        <v>46051</v>
      </c>
      <c r="L808" s="1" t="str">
        <f>IF(K808&gt;O808,"Valid","Invalid")</f>
        <v>Valid</v>
      </c>
      <c r="M808" s="1" t="b">
        <f>ISNUMBER(K808)</f>
        <v>1</v>
      </c>
      <c r="N808" s="1" t="b">
        <f>ISNUMBER(O808)</f>
        <v>1</v>
      </c>
      <c r="O808" s="1">
        <v>46025</v>
      </c>
      <c r="P808" t="s">
        <v>4609</v>
      </c>
      <c r="Q808" t="str">
        <f>SUBSTITUTE(SUBSTITUTE(SUBSTITUTE(P808," ",""),"-",""),"+","")</f>
        <v>915390854322</v>
      </c>
      <c r="R808" t="str">
        <f t="shared" si="24"/>
        <v>5390854322</v>
      </c>
      <c r="S808" t="str">
        <f>IF(LEN(R808),"Valid","Invalid")</f>
        <v>Valid</v>
      </c>
      <c r="T808" t="s">
        <v>4608</v>
      </c>
      <c r="V808" t="s">
        <v>17</v>
      </c>
      <c r="X808">
        <v>14711.95</v>
      </c>
      <c r="Y808" t="s">
        <v>63</v>
      </c>
      <c r="Z808">
        <v>123</v>
      </c>
      <c r="AA808">
        <f t="shared" si="25"/>
        <v>123</v>
      </c>
      <c r="AB808" t="s">
        <v>71</v>
      </c>
    </row>
    <row r="809" spans="1:28" x14ac:dyDescent="0.3">
      <c r="A809" t="s">
        <v>4607</v>
      </c>
      <c r="B809" t="s">
        <v>4606</v>
      </c>
      <c r="C809" t="s">
        <v>4606</v>
      </c>
      <c r="D809" t="s">
        <v>74</v>
      </c>
      <c r="E809">
        <v>39</v>
      </c>
      <c r="F809">
        <v>39</v>
      </c>
      <c r="G809" t="s">
        <v>80</v>
      </c>
      <c r="H809" t="s">
        <v>80</v>
      </c>
      <c r="I809" t="s">
        <v>90</v>
      </c>
      <c r="J809" t="s">
        <v>67</v>
      </c>
      <c r="K809" s="1">
        <v>46003</v>
      </c>
      <c r="L809" s="1" t="str">
        <f>IF(K809&gt;O809,"Valid","Invalid")</f>
        <v>Valid</v>
      </c>
      <c r="M809" s="1" t="b">
        <f>ISNUMBER(K809)</f>
        <v>1</v>
      </c>
      <c r="N809" s="1" t="b">
        <f>ISNUMBER(O809)</f>
        <v>1</v>
      </c>
      <c r="O809" s="1">
        <v>45981</v>
      </c>
      <c r="P809" t="s">
        <v>4605</v>
      </c>
      <c r="Q809" t="str">
        <f>SUBSTITUTE(SUBSTITUTE(SUBSTITUTE(P809," ",""),"-",""),"+","")</f>
        <v>917653208502</v>
      </c>
      <c r="R809" t="str">
        <f t="shared" si="24"/>
        <v>7653208502</v>
      </c>
      <c r="S809" t="str">
        <f>IF(LEN(R809),"Valid","Invalid")</f>
        <v>Valid</v>
      </c>
      <c r="T809" t="s">
        <v>4604</v>
      </c>
      <c r="V809" t="s">
        <v>64</v>
      </c>
      <c r="X809">
        <v>20796.349999999999</v>
      </c>
      <c r="Y809" t="s">
        <v>63</v>
      </c>
      <c r="Z809">
        <v>549</v>
      </c>
      <c r="AA809">
        <f t="shared" si="25"/>
        <v>549</v>
      </c>
      <c r="AB809" t="s">
        <v>16</v>
      </c>
    </row>
    <row r="810" spans="1:28" x14ac:dyDescent="0.3">
      <c r="A810" t="s">
        <v>4603</v>
      </c>
      <c r="B810" t="s">
        <v>4602</v>
      </c>
      <c r="C810" t="s">
        <v>4602</v>
      </c>
      <c r="D810" t="s">
        <v>1</v>
      </c>
      <c r="E810">
        <v>79</v>
      </c>
      <c r="F810">
        <v>79</v>
      </c>
      <c r="G810" t="s">
        <v>31</v>
      </c>
      <c r="H810" t="s">
        <v>31</v>
      </c>
      <c r="I810" t="s">
        <v>67</v>
      </c>
      <c r="J810" t="s">
        <v>67</v>
      </c>
      <c r="K810" s="1">
        <v>46018</v>
      </c>
      <c r="L810" s="1" t="str">
        <f>IF(K810&gt;O810,"Valid","Invalid")</f>
        <v>Valid</v>
      </c>
      <c r="M810" s="1" t="b">
        <f>ISNUMBER(K810)</f>
        <v>1</v>
      </c>
      <c r="N810" s="1" t="b">
        <f>ISNUMBER(O810)</f>
        <v>1</v>
      </c>
      <c r="O810" s="1">
        <v>45998</v>
      </c>
      <c r="P810" t="s">
        <v>4601</v>
      </c>
      <c r="Q810" t="str">
        <f>SUBSTITUTE(SUBSTITUTE(SUBSTITUTE(P810," ",""),"-",""),"+","")</f>
        <v>914387197632</v>
      </c>
      <c r="R810" t="str">
        <f t="shared" si="24"/>
        <v>4387197632</v>
      </c>
      <c r="S810" t="str">
        <f>IF(LEN(R810),"Valid","Invalid")</f>
        <v>Valid</v>
      </c>
      <c r="T810" t="s">
        <v>4600</v>
      </c>
      <c r="V810" t="s">
        <v>26</v>
      </c>
      <c r="X810">
        <v>24495.08</v>
      </c>
      <c r="Y810" t="s">
        <v>123</v>
      </c>
      <c r="Z810">
        <v>239</v>
      </c>
      <c r="AA810">
        <f t="shared" si="25"/>
        <v>239</v>
      </c>
      <c r="AB810" t="s">
        <v>71</v>
      </c>
    </row>
    <row r="811" spans="1:28" x14ac:dyDescent="0.3">
      <c r="A811" t="s">
        <v>4599</v>
      </c>
      <c r="B811" t="s">
        <v>4598</v>
      </c>
      <c r="C811" t="s">
        <v>4598</v>
      </c>
      <c r="D811" t="s">
        <v>60</v>
      </c>
      <c r="E811">
        <v>44</v>
      </c>
      <c r="F811">
        <v>44</v>
      </c>
      <c r="G811" t="s">
        <v>21</v>
      </c>
      <c r="H811" t="s">
        <v>21</v>
      </c>
      <c r="I811" t="s">
        <v>85</v>
      </c>
      <c r="J811" t="s">
        <v>85</v>
      </c>
      <c r="K811" s="1">
        <v>46159</v>
      </c>
      <c r="L811" s="1" t="str">
        <f>IF(K811&gt;O811,"Valid","Invalid")</f>
        <v>Valid</v>
      </c>
      <c r="M811" s="1" t="b">
        <f>ISNUMBER(K811)</f>
        <v>1</v>
      </c>
      <c r="N811" s="1" t="b">
        <f>ISNUMBER(O811)</f>
        <v>1</v>
      </c>
      <c r="O811" s="1">
        <v>46129</v>
      </c>
      <c r="P811" t="s">
        <v>4597</v>
      </c>
      <c r="Q811" t="str">
        <f>SUBSTITUTE(SUBSTITUTE(SUBSTITUTE(P811," ",""),"-",""),"+","")</f>
        <v>916904477813</v>
      </c>
      <c r="R811" t="str">
        <f t="shared" si="24"/>
        <v>6904477813</v>
      </c>
      <c r="S811" t="str">
        <f>IF(LEN(R811),"Valid","Invalid")</f>
        <v>Valid</v>
      </c>
      <c r="T811" t="s">
        <v>4596</v>
      </c>
      <c r="V811" t="s">
        <v>57</v>
      </c>
      <c r="X811">
        <v>593.69000000000005</v>
      </c>
      <c r="Y811" t="s">
        <v>26</v>
      </c>
      <c r="Z811">
        <v>430</v>
      </c>
      <c r="AA811">
        <f t="shared" si="25"/>
        <v>430</v>
      </c>
      <c r="AB811" t="s">
        <v>77</v>
      </c>
    </row>
    <row r="812" spans="1:28" x14ac:dyDescent="0.3">
      <c r="A812" t="s">
        <v>4595</v>
      </c>
      <c r="B812" t="s">
        <v>4594</v>
      </c>
      <c r="C812" t="s">
        <v>4594</v>
      </c>
      <c r="E812">
        <v>1</v>
      </c>
      <c r="F812">
        <v>1</v>
      </c>
      <c r="G812" t="s">
        <v>47</v>
      </c>
      <c r="H812" t="s">
        <v>47</v>
      </c>
      <c r="I812" t="s">
        <v>53</v>
      </c>
      <c r="J812" t="s">
        <v>20</v>
      </c>
      <c r="K812" s="1">
        <v>46019</v>
      </c>
      <c r="L812" s="1" t="str">
        <f>IF(K812&gt;O812,"Valid","Invalid")</f>
        <v>Valid</v>
      </c>
      <c r="M812" s="1" t="b">
        <f>ISNUMBER(K812)</f>
        <v>1</v>
      </c>
      <c r="N812" s="1" t="b">
        <f>ISNUMBER(O812)</f>
        <v>1</v>
      </c>
      <c r="O812" s="1">
        <v>46006</v>
      </c>
      <c r="P812" t="s">
        <v>4593</v>
      </c>
      <c r="Q812" t="str">
        <f>SUBSTITUTE(SUBSTITUTE(SUBSTITUTE(P812," ",""),"-",""),"+","")</f>
        <v>02138508430</v>
      </c>
      <c r="R812" t="str">
        <f t="shared" si="24"/>
        <v>2138508430</v>
      </c>
      <c r="S812" t="str">
        <f>IF(LEN(R812),"Valid","Invalid")</f>
        <v>Valid</v>
      </c>
      <c r="T812" t="s">
        <v>4592</v>
      </c>
      <c r="V812" t="s">
        <v>123</v>
      </c>
      <c r="X812">
        <v>19109.14</v>
      </c>
      <c r="Y812" t="s">
        <v>64</v>
      </c>
      <c r="Z812">
        <v>503</v>
      </c>
      <c r="AA812">
        <f t="shared" si="25"/>
        <v>503</v>
      </c>
      <c r="AB812" t="s">
        <v>25</v>
      </c>
    </row>
    <row r="813" spans="1:28" x14ac:dyDescent="0.3">
      <c r="A813" t="s">
        <v>4591</v>
      </c>
      <c r="B813" t="s">
        <v>4590</v>
      </c>
      <c r="C813" t="s">
        <v>4590</v>
      </c>
      <c r="D813" t="s">
        <v>74</v>
      </c>
      <c r="E813">
        <v>69</v>
      </c>
      <c r="F813">
        <v>69</v>
      </c>
      <c r="G813" t="s">
        <v>47</v>
      </c>
      <c r="H813" t="s">
        <v>47</v>
      </c>
      <c r="I813" t="s">
        <v>85</v>
      </c>
      <c r="J813" t="s">
        <v>85</v>
      </c>
      <c r="K813" s="1">
        <v>46151</v>
      </c>
      <c r="L813" s="1" t="str">
        <f>IF(K813&gt;O813,"Valid","Invalid")</f>
        <v>Valid</v>
      </c>
      <c r="M813" s="1" t="b">
        <f>ISNUMBER(K813)</f>
        <v>1</v>
      </c>
      <c r="N813" s="1" t="b">
        <f>ISNUMBER(O813)</f>
        <v>1</v>
      </c>
      <c r="O813" s="1">
        <v>46130</v>
      </c>
      <c r="P813" t="s">
        <v>4589</v>
      </c>
      <c r="Q813" t="str">
        <f>SUBSTITUTE(SUBSTITUTE(SUBSTITUTE(P813," ",""),"-",""),"+","")</f>
        <v>05119084581</v>
      </c>
      <c r="R813" t="str">
        <f t="shared" si="24"/>
        <v>5119084581</v>
      </c>
      <c r="S813" t="str">
        <f>IF(LEN(R813),"Valid","Invalid")</f>
        <v>Valid</v>
      </c>
      <c r="T813" t="s">
        <v>4588</v>
      </c>
      <c r="V813" t="s">
        <v>64</v>
      </c>
      <c r="X813">
        <v>8954.27</v>
      </c>
      <c r="Y813" t="s">
        <v>123</v>
      </c>
      <c r="Z813">
        <v>523</v>
      </c>
      <c r="AA813">
        <f t="shared" si="25"/>
        <v>523</v>
      </c>
      <c r="AB813" t="s">
        <v>34</v>
      </c>
    </row>
    <row r="814" spans="1:28" x14ac:dyDescent="0.3">
      <c r="A814" t="s">
        <v>4587</v>
      </c>
      <c r="B814" t="s">
        <v>4586</v>
      </c>
      <c r="C814" t="s">
        <v>4586</v>
      </c>
      <c r="D814" t="s">
        <v>60</v>
      </c>
      <c r="E814">
        <v>50</v>
      </c>
      <c r="F814">
        <v>50</v>
      </c>
      <c r="G814" t="s">
        <v>39</v>
      </c>
      <c r="H814" t="s">
        <v>39</v>
      </c>
      <c r="I814" t="s">
        <v>46</v>
      </c>
      <c r="J814" t="s">
        <v>46</v>
      </c>
      <c r="K814" s="1">
        <v>46050</v>
      </c>
      <c r="L814" s="1" t="str">
        <f>IF(K814&gt;O814,"Valid","Invalid")</f>
        <v>Valid</v>
      </c>
      <c r="M814" s="1" t="b">
        <f>ISNUMBER(K814)</f>
        <v>1</v>
      </c>
      <c r="N814" s="1" t="b">
        <f>ISNUMBER(O814)</f>
        <v>1</v>
      </c>
      <c r="O814" s="1">
        <v>46047</v>
      </c>
      <c r="P814" t="s">
        <v>4585</v>
      </c>
      <c r="Q814" t="str">
        <f>SUBSTITUTE(SUBSTITUTE(SUBSTITUTE(P814," ",""),"-",""),"+","")</f>
        <v>915971170235</v>
      </c>
      <c r="R814" t="str">
        <f t="shared" si="24"/>
        <v>5971170235</v>
      </c>
      <c r="S814" t="str">
        <f>IF(LEN(R814),"Valid","Invalid")</f>
        <v>Valid</v>
      </c>
      <c r="T814" t="s">
        <v>4584</v>
      </c>
      <c r="V814" t="s">
        <v>123</v>
      </c>
      <c r="X814">
        <v>9387.92</v>
      </c>
      <c r="Y814" t="s">
        <v>57</v>
      </c>
      <c r="Z814">
        <v>327</v>
      </c>
      <c r="AA814">
        <f t="shared" si="25"/>
        <v>327</v>
      </c>
      <c r="AB814" t="s">
        <v>77</v>
      </c>
    </row>
    <row r="815" spans="1:28" x14ac:dyDescent="0.3">
      <c r="A815" t="s">
        <v>4583</v>
      </c>
      <c r="B815" t="s">
        <v>4582</v>
      </c>
      <c r="C815" t="s">
        <v>4582</v>
      </c>
      <c r="D815" t="s">
        <v>1</v>
      </c>
      <c r="E815">
        <v>3</v>
      </c>
      <c r="F815">
        <v>3</v>
      </c>
      <c r="G815" t="s">
        <v>132</v>
      </c>
      <c r="H815" t="s">
        <v>132</v>
      </c>
      <c r="I815" t="s">
        <v>67</v>
      </c>
      <c r="J815" t="s">
        <v>67</v>
      </c>
      <c r="K815" s="1">
        <v>46010</v>
      </c>
      <c r="L815" s="1" t="str">
        <f>IF(K815&gt;O815,"Valid","Invalid")</f>
        <v>Valid</v>
      </c>
      <c r="M815" s="1" t="b">
        <f>ISNUMBER(K815)</f>
        <v>1</v>
      </c>
      <c r="N815" s="1" t="b">
        <f>ISNUMBER(O815)</f>
        <v>1</v>
      </c>
      <c r="O815" s="1">
        <v>46004</v>
      </c>
      <c r="P815" t="s">
        <v>4581</v>
      </c>
      <c r="Q815" t="str">
        <f>SUBSTITUTE(SUBSTITUTE(SUBSTITUTE(P815," ",""),"-",""),"+","")</f>
        <v>912223617937</v>
      </c>
      <c r="R815" t="str">
        <f t="shared" si="24"/>
        <v>2223617937</v>
      </c>
      <c r="S815" t="str">
        <f>IF(LEN(R815),"Valid","Invalid")</f>
        <v>Valid</v>
      </c>
      <c r="T815" t="s">
        <v>4580</v>
      </c>
      <c r="V815" t="s">
        <v>64</v>
      </c>
      <c r="X815">
        <v>20443.759999999998</v>
      </c>
      <c r="Y815" t="s">
        <v>63</v>
      </c>
      <c r="Z815">
        <v>513</v>
      </c>
      <c r="AA815">
        <f t="shared" si="25"/>
        <v>513</v>
      </c>
      <c r="AB815" t="s">
        <v>25</v>
      </c>
    </row>
    <row r="816" spans="1:28" x14ac:dyDescent="0.3">
      <c r="A816" t="s">
        <v>4579</v>
      </c>
      <c r="B816" t="s">
        <v>4578</v>
      </c>
      <c r="C816" t="s">
        <v>4578</v>
      </c>
      <c r="D816" t="s">
        <v>1</v>
      </c>
      <c r="E816">
        <v>30</v>
      </c>
      <c r="F816">
        <v>30</v>
      </c>
      <c r="G816" t="s">
        <v>68</v>
      </c>
      <c r="H816" t="s">
        <v>68</v>
      </c>
      <c r="I816" t="s">
        <v>67</v>
      </c>
      <c r="J816" t="s">
        <v>67</v>
      </c>
      <c r="K816" s="1">
        <v>46128</v>
      </c>
      <c r="L816" s="1" t="str">
        <f>IF(K816&gt;O816,"Valid","Invalid")</f>
        <v>Valid</v>
      </c>
      <c r="M816" s="1" t="b">
        <f>ISNUMBER(K816)</f>
        <v>1</v>
      </c>
      <c r="N816" s="1" t="b">
        <f>ISNUMBER(O816)</f>
        <v>1</v>
      </c>
      <c r="O816" s="1">
        <v>46127</v>
      </c>
      <c r="P816" t="s">
        <v>4577</v>
      </c>
      <c r="Q816" t="str">
        <f>SUBSTITUTE(SUBSTITUTE(SUBSTITUTE(P816," ",""),"-",""),"+","")</f>
        <v>1470310986</v>
      </c>
      <c r="R816" t="str">
        <f t="shared" si="24"/>
        <v>1470310986</v>
      </c>
      <c r="S816" t="str">
        <f>IF(LEN(R816),"Valid","Invalid")</f>
        <v>Valid</v>
      </c>
      <c r="T816" t="s">
        <v>4576</v>
      </c>
      <c r="V816" t="s">
        <v>26</v>
      </c>
      <c r="X816">
        <v>12422.38</v>
      </c>
      <c r="Y816" t="s">
        <v>57</v>
      </c>
      <c r="Z816">
        <v>103</v>
      </c>
      <c r="AA816">
        <f t="shared" si="25"/>
        <v>103</v>
      </c>
      <c r="AB816" t="s">
        <v>71</v>
      </c>
    </row>
    <row r="817" spans="1:28" x14ac:dyDescent="0.3">
      <c r="A817" t="s">
        <v>4575</v>
      </c>
      <c r="B817" t="s">
        <v>4574</v>
      </c>
      <c r="C817" t="s">
        <v>4574</v>
      </c>
      <c r="D817" t="s">
        <v>123</v>
      </c>
      <c r="E817">
        <v>15</v>
      </c>
      <c r="F817">
        <v>15</v>
      </c>
      <c r="G817" t="s">
        <v>132</v>
      </c>
      <c r="H817" t="s">
        <v>132</v>
      </c>
      <c r="I817" t="s">
        <v>85</v>
      </c>
      <c r="J817" t="s">
        <v>85</v>
      </c>
      <c r="K817" s="1">
        <v>46075</v>
      </c>
      <c r="L817" s="1" t="str">
        <f>IF(K817&gt;O817,"Valid","Invalid")</f>
        <v>Valid</v>
      </c>
      <c r="M817" s="1" t="b">
        <f>ISNUMBER(K817)</f>
        <v>1</v>
      </c>
      <c r="N817" s="1" t="b">
        <f>ISNUMBER(O817)</f>
        <v>1</v>
      </c>
      <c r="O817" s="1">
        <v>46070</v>
      </c>
      <c r="P817" t="s">
        <v>4573</v>
      </c>
      <c r="Q817" t="str">
        <f>SUBSTITUTE(SUBSTITUTE(SUBSTITUTE(P817," ",""),"-",""),"+","")</f>
        <v>5954916809</v>
      </c>
      <c r="R817" t="str">
        <f t="shared" si="24"/>
        <v>5954916809</v>
      </c>
      <c r="S817" t="str">
        <f>IF(LEN(R817),"Valid","Invalid")</f>
        <v>Valid</v>
      </c>
      <c r="T817" t="s">
        <v>4572</v>
      </c>
      <c r="V817" t="s">
        <v>17</v>
      </c>
      <c r="X817">
        <v>16563.990000000002</v>
      </c>
      <c r="Y817" t="s">
        <v>26</v>
      </c>
      <c r="Z817">
        <v>133</v>
      </c>
      <c r="AA817">
        <f t="shared" si="25"/>
        <v>133</v>
      </c>
      <c r="AB817" t="s">
        <v>34</v>
      </c>
    </row>
    <row r="818" spans="1:28" x14ac:dyDescent="0.3">
      <c r="A818" t="s">
        <v>4571</v>
      </c>
      <c r="B818" t="s">
        <v>4570</v>
      </c>
      <c r="C818" t="s">
        <v>4570</v>
      </c>
      <c r="D818" t="s">
        <v>0</v>
      </c>
      <c r="E818">
        <v>9</v>
      </c>
      <c r="F818">
        <v>9</v>
      </c>
      <c r="G818" t="s">
        <v>39</v>
      </c>
      <c r="H818" t="s">
        <v>39</v>
      </c>
      <c r="I818" t="s">
        <v>30</v>
      </c>
      <c r="J818" t="s">
        <v>30</v>
      </c>
      <c r="K818" s="1">
        <v>46174</v>
      </c>
      <c r="L818" s="1" t="str">
        <f>IF(K818&gt;O818,"Valid","Invalid")</f>
        <v>Valid</v>
      </c>
      <c r="M818" s="1" t="b">
        <f>ISNUMBER(K818)</f>
        <v>1</v>
      </c>
      <c r="N818" s="1" t="b">
        <f>ISNUMBER(O818)</f>
        <v>1</v>
      </c>
      <c r="O818" s="1">
        <v>46145</v>
      </c>
      <c r="P818" t="s">
        <v>4569</v>
      </c>
      <c r="Q818" t="str">
        <f>SUBSTITUTE(SUBSTITUTE(SUBSTITUTE(P818," ",""),"-",""),"+","")</f>
        <v>5604127413</v>
      </c>
      <c r="R818" t="str">
        <f t="shared" si="24"/>
        <v>5604127413</v>
      </c>
      <c r="S818" t="str">
        <f>IF(LEN(R818),"Valid","Invalid")</f>
        <v>Valid</v>
      </c>
      <c r="T818" t="s">
        <v>4568</v>
      </c>
      <c r="V818" t="s">
        <v>17</v>
      </c>
      <c r="X818">
        <v>22048.880000000001</v>
      </c>
      <c r="Y818" t="s">
        <v>63</v>
      </c>
      <c r="Z818">
        <v>198</v>
      </c>
      <c r="AA818">
        <f t="shared" si="25"/>
        <v>198</v>
      </c>
      <c r="AB818" t="s">
        <v>50</v>
      </c>
    </row>
    <row r="819" spans="1:28" x14ac:dyDescent="0.3">
      <c r="A819" t="s">
        <v>4563</v>
      </c>
      <c r="B819" t="s">
        <v>4562</v>
      </c>
      <c r="C819" t="s">
        <v>4562</v>
      </c>
      <c r="D819" t="s">
        <v>123</v>
      </c>
      <c r="E819">
        <v>53</v>
      </c>
      <c r="F819">
        <v>53</v>
      </c>
      <c r="G819" t="s">
        <v>132</v>
      </c>
      <c r="H819" t="s">
        <v>132</v>
      </c>
      <c r="I819" t="s">
        <v>20</v>
      </c>
      <c r="J819" t="s">
        <v>20</v>
      </c>
      <c r="K819" s="1">
        <v>46000</v>
      </c>
      <c r="L819" s="1" t="str">
        <f>IF(K819&gt;O819,"Valid","Invalid")</f>
        <v>Valid</v>
      </c>
      <c r="M819" s="1" t="b">
        <f>ISNUMBER(K819)</f>
        <v>1</v>
      </c>
      <c r="N819" s="1" t="b">
        <f>ISNUMBER(O819)</f>
        <v>1</v>
      </c>
      <c r="O819" s="1">
        <v>45979</v>
      </c>
      <c r="P819" t="s">
        <v>4561</v>
      </c>
      <c r="Q819" t="str">
        <f>SUBSTITUTE(SUBSTITUTE(SUBSTITUTE(P819," ",""),"-",""),"+","")</f>
        <v>914402409793</v>
      </c>
      <c r="R819" t="str">
        <f t="shared" si="24"/>
        <v>4402409793</v>
      </c>
      <c r="S819" t="str">
        <f>IF(LEN(R819),"Valid","Invalid")</f>
        <v>Valid</v>
      </c>
      <c r="T819" t="s">
        <v>4560</v>
      </c>
      <c r="V819" t="s">
        <v>123</v>
      </c>
      <c r="X819">
        <v>12490.25</v>
      </c>
      <c r="Y819" t="s">
        <v>27</v>
      </c>
      <c r="Z819">
        <v>469</v>
      </c>
      <c r="AA819">
        <f t="shared" si="25"/>
        <v>469</v>
      </c>
      <c r="AB819" t="s">
        <v>71</v>
      </c>
    </row>
    <row r="820" spans="1:28" x14ac:dyDescent="0.3">
      <c r="A820" t="s">
        <v>4559</v>
      </c>
      <c r="B820" t="s">
        <v>4558</v>
      </c>
      <c r="C820" t="s">
        <v>4558</v>
      </c>
      <c r="D820" t="s">
        <v>40</v>
      </c>
      <c r="E820">
        <v>36</v>
      </c>
      <c r="F820">
        <v>36</v>
      </c>
      <c r="G820" t="s">
        <v>54</v>
      </c>
      <c r="H820" t="s">
        <v>54</v>
      </c>
      <c r="I820" t="s">
        <v>85</v>
      </c>
      <c r="J820" t="s">
        <v>85</v>
      </c>
      <c r="K820" s="1">
        <v>46084</v>
      </c>
      <c r="L820" s="1" t="str">
        <f>IF(K820&gt;O820,"Valid","Invalid")</f>
        <v>Valid</v>
      </c>
      <c r="M820" s="1" t="b">
        <f>ISNUMBER(K820)</f>
        <v>1</v>
      </c>
      <c r="N820" s="1" t="b">
        <f>ISNUMBER(O820)</f>
        <v>1</v>
      </c>
      <c r="O820" s="1">
        <v>46074</v>
      </c>
      <c r="P820" t="s">
        <v>4557</v>
      </c>
      <c r="Q820" t="str">
        <f>SUBSTITUTE(SUBSTITUTE(SUBSTITUTE(P820," ",""),"-",""),"+","")</f>
        <v>911138744646</v>
      </c>
      <c r="R820" t="str">
        <f t="shared" si="24"/>
        <v>1138744646</v>
      </c>
      <c r="S820" t="str">
        <f>IF(LEN(R820),"Valid","Invalid")</f>
        <v>Valid</v>
      </c>
      <c r="T820" t="s">
        <v>4556</v>
      </c>
      <c r="V820" t="s">
        <v>27</v>
      </c>
      <c r="X820">
        <v>9918.1</v>
      </c>
      <c r="Y820" t="s">
        <v>17</v>
      </c>
      <c r="Z820">
        <v>141</v>
      </c>
      <c r="AA820">
        <f t="shared" si="25"/>
        <v>141</v>
      </c>
      <c r="AB820" t="s">
        <v>34</v>
      </c>
    </row>
    <row r="821" spans="1:28" x14ac:dyDescent="0.3">
      <c r="A821" t="s">
        <v>4555</v>
      </c>
      <c r="B821" t="s">
        <v>4554</v>
      </c>
      <c r="C821" t="s">
        <v>4554</v>
      </c>
      <c r="D821" t="s">
        <v>40</v>
      </c>
      <c r="E821">
        <v>29</v>
      </c>
      <c r="F821">
        <v>29</v>
      </c>
      <c r="G821" t="s">
        <v>54</v>
      </c>
      <c r="H821" t="s">
        <v>54</v>
      </c>
      <c r="I821" t="s">
        <v>20</v>
      </c>
      <c r="J821" t="s">
        <v>20</v>
      </c>
      <c r="K821" s="1">
        <v>46112</v>
      </c>
      <c r="L821" s="1" t="str">
        <f>IF(K821&gt;O821,"Valid","Invalid")</f>
        <v>Valid</v>
      </c>
      <c r="M821" s="1" t="b">
        <f>ISNUMBER(K821)</f>
        <v>1</v>
      </c>
      <c r="N821" s="1" t="b">
        <f>ISNUMBER(O821)</f>
        <v>1</v>
      </c>
      <c r="O821" s="1">
        <v>46083</v>
      </c>
      <c r="P821" t="s">
        <v>4553</v>
      </c>
      <c r="Q821" t="str">
        <f>SUBSTITUTE(SUBSTITUTE(SUBSTITUTE(P821," ",""),"-",""),"+","")</f>
        <v>03358512982</v>
      </c>
      <c r="R821" t="str">
        <f t="shared" si="24"/>
        <v>3358512982</v>
      </c>
      <c r="S821" t="str">
        <f>IF(LEN(R821),"Valid","Invalid")</f>
        <v>Valid</v>
      </c>
      <c r="T821" t="s">
        <v>4552</v>
      </c>
      <c r="V821" t="s">
        <v>17</v>
      </c>
      <c r="X821">
        <v>5082.55</v>
      </c>
      <c r="Y821" t="s">
        <v>17</v>
      </c>
      <c r="Z821">
        <v>259</v>
      </c>
      <c r="AA821">
        <f t="shared" si="25"/>
        <v>259</v>
      </c>
      <c r="AB821" t="s">
        <v>77</v>
      </c>
    </row>
    <row r="822" spans="1:28" x14ac:dyDescent="0.3">
      <c r="A822" t="s">
        <v>4551</v>
      </c>
      <c r="B822" t="s">
        <v>4550</v>
      </c>
      <c r="C822" t="s">
        <v>4550</v>
      </c>
      <c r="D822" t="s">
        <v>74</v>
      </c>
      <c r="E822">
        <v>4</v>
      </c>
      <c r="F822">
        <v>4</v>
      </c>
      <c r="G822" t="s">
        <v>68</v>
      </c>
      <c r="H822" t="s">
        <v>68</v>
      </c>
      <c r="I822" t="s">
        <v>90</v>
      </c>
      <c r="J822" t="s">
        <v>67</v>
      </c>
      <c r="K822" s="1">
        <v>46137</v>
      </c>
      <c r="L822" s="1" t="str">
        <f>IF(K822&gt;O822,"Valid","Invalid")</f>
        <v>Valid</v>
      </c>
      <c r="M822" s="1" t="b">
        <f>ISNUMBER(K822)</f>
        <v>1</v>
      </c>
      <c r="N822" s="1" t="b">
        <f>ISNUMBER(O822)</f>
        <v>1</v>
      </c>
      <c r="O822" s="1">
        <v>46112</v>
      </c>
      <c r="P822" t="s">
        <v>4549</v>
      </c>
      <c r="Q822" t="str">
        <f>SUBSTITUTE(SUBSTITUTE(SUBSTITUTE(P822," ",""),"-",""),"+","")</f>
        <v>916010819930</v>
      </c>
      <c r="R822" t="str">
        <f t="shared" si="24"/>
        <v>6010819930</v>
      </c>
      <c r="S822" t="str">
        <f>IF(LEN(R822),"Valid","Invalid")</f>
        <v>Valid</v>
      </c>
      <c r="T822" t="s">
        <v>4548</v>
      </c>
      <c r="V822" t="s">
        <v>27</v>
      </c>
      <c r="X822">
        <v>14894.76</v>
      </c>
      <c r="Y822" t="s">
        <v>17</v>
      </c>
      <c r="Z822">
        <v>530</v>
      </c>
      <c r="AA822">
        <f t="shared" si="25"/>
        <v>530</v>
      </c>
      <c r="AB822" t="s">
        <v>43</v>
      </c>
    </row>
    <row r="823" spans="1:28" x14ac:dyDescent="0.3">
      <c r="A823" t="s">
        <v>4547</v>
      </c>
      <c r="B823" t="s">
        <v>4546</v>
      </c>
      <c r="C823" t="s">
        <v>4546</v>
      </c>
      <c r="D823" t="s">
        <v>1</v>
      </c>
      <c r="E823">
        <v>14</v>
      </c>
      <c r="F823">
        <v>14</v>
      </c>
      <c r="G823" t="s">
        <v>68</v>
      </c>
      <c r="H823" t="s">
        <v>68</v>
      </c>
      <c r="I823" t="s">
        <v>38</v>
      </c>
      <c r="J823" t="s">
        <v>8077</v>
      </c>
      <c r="K823" s="1">
        <v>46079</v>
      </c>
      <c r="L823" s="1" t="str">
        <f>IF(K823&gt;O823,"Valid","Invalid")</f>
        <v>Valid</v>
      </c>
      <c r="M823" s="1" t="b">
        <f>ISNUMBER(K823)</f>
        <v>1</v>
      </c>
      <c r="N823" s="1" t="b">
        <f>ISNUMBER(O823)</f>
        <v>1</v>
      </c>
      <c r="O823" s="1">
        <v>46049</v>
      </c>
      <c r="P823" t="s">
        <v>4545</v>
      </c>
      <c r="Q823" t="str">
        <f>SUBSTITUTE(SUBSTITUTE(SUBSTITUTE(P823," ",""),"-",""),"+","")</f>
        <v>1520657991</v>
      </c>
      <c r="R823" t="str">
        <f t="shared" si="24"/>
        <v>1520657991</v>
      </c>
      <c r="S823" t="str">
        <f>IF(LEN(R823),"Valid","Invalid")</f>
        <v>Valid</v>
      </c>
      <c r="T823" t="s">
        <v>4544</v>
      </c>
      <c r="V823" t="s">
        <v>57</v>
      </c>
      <c r="X823">
        <v>20846.43</v>
      </c>
      <c r="Y823" t="s">
        <v>17</v>
      </c>
      <c r="Z823">
        <v>366</v>
      </c>
      <c r="AA823">
        <f t="shared" si="25"/>
        <v>366</v>
      </c>
      <c r="AB823" t="s">
        <v>50</v>
      </c>
    </row>
    <row r="824" spans="1:28" x14ac:dyDescent="0.3">
      <c r="A824" t="s">
        <v>4543</v>
      </c>
      <c r="B824" t="s">
        <v>4542</v>
      </c>
      <c r="C824" t="s">
        <v>4542</v>
      </c>
      <c r="D824" t="s">
        <v>1</v>
      </c>
      <c r="E824">
        <v>10</v>
      </c>
      <c r="F824">
        <v>10</v>
      </c>
      <c r="G824" t="s">
        <v>68</v>
      </c>
      <c r="H824" t="s">
        <v>68</v>
      </c>
      <c r="I824" t="s">
        <v>20</v>
      </c>
      <c r="J824" t="s">
        <v>20</v>
      </c>
      <c r="K824" s="1">
        <v>46097</v>
      </c>
      <c r="L824" s="1" t="str">
        <f>IF(K824&gt;O824,"Valid","Invalid")</f>
        <v>Valid</v>
      </c>
      <c r="M824" s="1" t="b">
        <f>ISNUMBER(K824)</f>
        <v>1</v>
      </c>
      <c r="N824" s="1" t="b">
        <f>ISNUMBER(O824)</f>
        <v>1</v>
      </c>
      <c r="O824" s="1">
        <v>46077</v>
      </c>
      <c r="P824" t="s">
        <v>510</v>
      </c>
      <c r="Q824" t="str">
        <f>SUBSTITUTE(SUBSTITUTE(SUBSTITUTE(P824," ",""),"-",""),"+","")</f>
        <v>12345</v>
      </c>
      <c r="R824" t="str">
        <f t="shared" si="24"/>
        <v>12345</v>
      </c>
      <c r="S824" t="str">
        <f>IF(LEN(R824),"Valid","Invalid")</f>
        <v>Valid</v>
      </c>
      <c r="T824" t="s">
        <v>4541</v>
      </c>
      <c r="V824" t="s">
        <v>123</v>
      </c>
      <c r="X824">
        <v>14557.57</v>
      </c>
      <c r="Y824" t="s">
        <v>64</v>
      </c>
      <c r="Z824">
        <v>131</v>
      </c>
      <c r="AA824">
        <f t="shared" si="25"/>
        <v>131</v>
      </c>
      <c r="AB824" t="s">
        <v>77</v>
      </c>
    </row>
    <row r="825" spans="1:28" x14ac:dyDescent="0.3">
      <c r="A825" t="s">
        <v>4540</v>
      </c>
      <c r="B825" t="s">
        <v>4539</v>
      </c>
      <c r="C825" t="s">
        <v>4539</v>
      </c>
      <c r="D825" t="s">
        <v>123</v>
      </c>
      <c r="E825">
        <v>41</v>
      </c>
      <c r="F825">
        <v>41</v>
      </c>
      <c r="G825" t="s">
        <v>80</v>
      </c>
      <c r="H825" t="s">
        <v>80</v>
      </c>
      <c r="I825" t="s">
        <v>53</v>
      </c>
      <c r="J825" t="s">
        <v>20</v>
      </c>
      <c r="K825" s="1">
        <v>46124</v>
      </c>
      <c r="L825" s="1" t="str">
        <f>IF(K825&gt;O825,"Valid","Invalid")</f>
        <v>Valid</v>
      </c>
      <c r="M825" s="1" t="b">
        <f>ISNUMBER(K825)</f>
        <v>1</v>
      </c>
      <c r="N825" s="1" t="b">
        <f>ISNUMBER(O825)</f>
        <v>1</v>
      </c>
      <c r="O825" s="1">
        <v>46123</v>
      </c>
      <c r="P825" t="s">
        <v>4538</v>
      </c>
      <c r="Q825" t="str">
        <f>SUBSTITUTE(SUBSTITUTE(SUBSTITUTE(P825," ",""),"-",""),"+","")</f>
        <v>915757535547</v>
      </c>
      <c r="R825" t="str">
        <f t="shared" si="24"/>
        <v>5757535547</v>
      </c>
      <c r="S825" t="str">
        <f>IF(LEN(R825),"Valid","Invalid")</f>
        <v>Valid</v>
      </c>
      <c r="T825" t="s">
        <v>4537</v>
      </c>
      <c r="V825" t="s">
        <v>123</v>
      </c>
      <c r="X825">
        <v>1558.76</v>
      </c>
      <c r="Y825" t="s">
        <v>123</v>
      </c>
      <c r="Z825">
        <v>133</v>
      </c>
      <c r="AA825">
        <f t="shared" si="25"/>
        <v>133</v>
      </c>
      <c r="AB825" t="s">
        <v>77</v>
      </c>
    </row>
    <row r="826" spans="1:28" x14ac:dyDescent="0.3">
      <c r="A826" t="s">
        <v>4536</v>
      </c>
      <c r="B826" t="s">
        <v>4535</v>
      </c>
      <c r="C826" t="s">
        <v>4535</v>
      </c>
      <c r="D826" t="s">
        <v>40</v>
      </c>
      <c r="E826">
        <v>72</v>
      </c>
      <c r="F826">
        <v>72</v>
      </c>
      <c r="G826" t="s">
        <v>47</v>
      </c>
      <c r="H826" t="s">
        <v>47</v>
      </c>
      <c r="I826" t="s">
        <v>30</v>
      </c>
      <c r="J826" t="s">
        <v>30</v>
      </c>
      <c r="K826" s="1">
        <v>46073</v>
      </c>
      <c r="L826" s="1" t="str">
        <f>IF(K826&gt;O826,"Valid","Invalid")</f>
        <v>Valid</v>
      </c>
      <c r="M826" s="1" t="b">
        <f>ISNUMBER(K826)</f>
        <v>1</v>
      </c>
      <c r="N826" s="1" t="b">
        <f>ISNUMBER(O826)</f>
        <v>1</v>
      </c>
      <c r="O826" s="1">
        <v>46046</v>
      </c>
      <c r="P826" t="s">
        <v>4534</v>
      </c>
      <c r="Q826" t="str">
        <f>SUBSTITUTE(SUBSTITUTE(SUBSTITUTE(P826," ",""),"-",""),"+","")</f>
        <v>910642417890</v>
      </c>
      <c r="R826" t="str">
        <f t="shared" si="24"/>
        <v>0642417890</v>
      </c>
      <c r="S826" t="str">
        <f>IF(LEN(R826),"Valid","Invalid")</f>
        <v>Valid</v>
      </c>
      <c r="T826" t="s">
        <v>4533</v>
      </c>
      <c r="V826" t="s">
        <v>123</v>
      </c>
      <c r="X826">
        <v>10161.74</v>
      </c>
      <c r="Y826" t="s">
        <v>123</v>
      </c>
      <c r="Z826">
        <v>219</v>
      </c>
      <c r="AA826">
        <f t="shared" si="25"/>
        <v>219</v>
      </c>
      <c r="AB826" t="s">
        <v>50</v>
      </c>
    </row>
    <row r="827" spans="1:28" x14ac:dyDescent="0.3">
      <c r="A827" t="s">
        <v>4532</v>
      </c>
      <c r="B827" t="s">
        <v>4531</v>
      </c>
      <c r="C827" t="s">
        <v>4531</v>
      </c>
      <c r="D827" t="s">
        <v>40</v>
      </c>
      <c r="E827">
        <v>59</v>
      </c>
      <c r="F827">
        <v>59</v>
      </c>
      <c r="G827" t="s">
        <v>54</v>
      </c>
      <c r="H827" t="s">
        <v>54</v>
      </c>
      <c r="I827" t="s">
        <v>85</v>
      </c>
      <c r="J827" t="s">
        <v>85</v>
      </c>
      <c r="K827" s="1">
        <v>46156</v>
      </c>
      <c r="L827" s="1" t="str">
        <f>IF(K827&gt;O827,"Valid","Invalid")</f>
        <v>Valid</v>
      </c>
      <c r="M827" s="1" t="b">
        <f>ISNUMBER(K827)</f>
        <v>1</v>
      </c>
      <c r="N827" s="1" t="b">
        <f>ISNUMBER(O827)</f>
        <v>1</v>
      </c>
      <c r="O827" s="1">
        <v>46131</v>
      </c>
      <c r="P827" t="s">
        <v>4530</v>
      </c>
      <c r="Q827" t="str">
        <f>SUBSTITUTE(SUBSTITUTE(SUBSTITUTE(P827," ",""),"-",""),"+","")</f>
        <v>07398090396</v>
      </c>
      <c r="R827" t="str">
        <f t="shared" si="24"/>
        <v>7398090396</v>
      </c>
      <c r="S827" t="str">
        <f>IF(LEN(R827),"Valid","Invalid")</f>
        <v>Valid</v>
      </c>
      <c r="T827" t="s">
        <v>4529</v>
      </c>
      <c r="V827" t="s">
        <v>123</v>
      </c>
      <c r="X827">
        <v>22022.47</v>
      </c>
      <c r="Y827" t="s">
        <v>64</v>
      </c>
      <c r="Z827">
        <v>273</v>
      </c>
      <c r="AA827">
        <f t="shared" si="25"/>
        <v>273</v>
      </c>
      <c r="AB827" t="s">
        <v>25</v>
      </c>
    </row>
    <row r="828" spans="1:28" x14ac:dyDescent="0.3">
      <c r="A828" t="s">
        <v>4528</v>
      </c>
      <c r="B828" t="s">
        <v>4527</v>
      </c>
      <c r="C828" t="s">
        <v>4527</v>
      </c>
      <c r="D828" t="s">
        <v>40</v>
      </c>
      <c r="E828">
        <v>59</v>
      </c>
      <c r="F828">
        <v>59</v>
      </c>
      <c r="G828" t="s">
        <v>31</v>
      </c>
      <c r="H828" t="s">
        <v>31</v>
      </c>
      <c r="I828" t="s">
        <v>38</v>
      </c>
      <c r="J828" t="s">
        <v>8077</v>
      </c>
      <c r="K828" s="1">
        <v>45984</v>
      </c>
      <c r="L828" s="1" t="str">
        <f>IF(K828&gt;O828,"Valid","Invalid")</f>
        <v>Valid</v>
      </c>
      <c r="M828" s="1" t="b">
        <f>ISNUMBER(K828)</f>
        <v>1</v>
      </c>
      <c r="N828" s="1" t="b">
        <f>ISNUMBER(O828)</f>
        <v>1</v>
      </c>
      <c r="O828" s="1">
        <v>45981</v>
      </c>
      <c r="P828" t="s">
        <v>4526</v>
      </c>
      <c r="Q828" t="str">
        <f>SUBSTITUTE(SUBSTITUTE(SUBSTITUTE(P828," ",""),"-",""),"+","")</f>
        <v>2534964184</v>
      </c>
      <c r="R828" t="str">
        <f t="shared" si="24"/>
        <v>2534964184</v>
      </c>
      <c r="S828" t="str">
        <f>IF(LEN(R828),"Valid","Invalid")</f>
        <v>Valid</v>
      </c>
      <c r="T828" t="s">
        <v>4525</v>
      </c>
      <c r="V828" t="s">
        <v>64</v>
      </c>
      <c r="X828">
        <v>504.76</v>
      </c>
      <c r="Y828" t="s">
        <v>64</v>
      </c>
      <c r="Z828">
        <v>403</v>
      </c>
      <c r="AA828">
        <f t="shared" si="25"/>
        <v>403</v>
      </c>
      <c r="AB828" t="s">
        <v>50</v>
      </c>
    </row>
    <row r="829" spans="1:28" x14ac:dyDescent="0.3">
      <c r="A829" t="s">
        <v>4524</v>
      </c>
      <c r="B829" t="s">
        <v>4523</v>
      </c>
      <c r="C829" t="s">
        <v>4523</v>
      </c>
      <c r="D829" t="s">
        <v>1</v>
      </c>
      <c r="E829">
        <v>74</v>
      </c>
      <c r="F829">
        <v>74</v>
      </c>
      <c r="G829" t="s">
        <v>39</v>
      </c>
      <c r="H829" t="s">
        <v>39</v>
      </c>
      <c r="I829" t="s">
        <v>30</v>
      </c>
      <c r="J829" t="s">
        <v>30</v>
      </c>
      <c r="K829" s="1">
        <v>46002</v>
      </c>
      <c r="L829" s="1" t="str">
        <f>IF(K829&gt;O829,"Valid","Invalid")</f>
        <v>Valid</v>
      </c>
      <c r="M829" s="1" t="b">
        <f>ISNUMBER(K829)</f>
        <v>1</v>
      </c>
      <c r="N829" s="1" t="b">
        <f>ISNUMBER(O829)</f>
        <v>1</v>
      </c>
      <c r="O829" s="1">
        <v>45991</v>
      </c>
      <c r="P829" t="s">
        <v>4522</v>
      </c>
      <c r="Q829" t="str">
        <f>SUBSTITUTE(SUBSTITUTE(SUBSTITUTE(P829," ",""),"-",""),"+","")</f>
        <v>918600651837</v>
      </c>
      <c r="R829" t="str">
        <f t="shared" si="24"/>
        <v>8600651837</v>
      </c>
      <c r="S829" t="str">
        <f>IF(LEN(R829),"Valid","Invalid")</f>
        <v>Valid</v>
      </c>
      <c r="T829" t="s">
        <v>4521</v>
      </c>
      <c r="V829" t="s">
        <v>123</v>
      </c>
      <c r="X829">
        <v>12138.7</v>
      </c>
      <c r="Y829" t="s">
        <v>123</v>
      </c>
      <c r="Z829" t="s">
        <v>347</v>
      </c>
      <c r="AA829">
        <f t="shared" si="25"/>
        <v>0</v>
      </c>
      <c r="AB829" t="s">
        <v>71</v>
      </c>
    </row>
    <row r="830" spans="1:28" x14ac:dyDescent="0.3">
      <c r="A830" t="s">
        <v>4520</v>
      </c>
      <c r="B830" t="s">
        <v>4519</v>
      </c>
      <c r="C830" t="s">
        <v>4519</v>
      </c>
      <c r="D830" t="s">
        <v>0</v>
      </c>
      <c r="E830">
        <v>6</v>
      </c>
      <c r="F830">
        <v>6</v>
      </c>
      <c r="G830" t="s">
        <v>47</v>
      </c>
      <c r="H830" t="s">
        <v>47</v>
      </c>
      <c r="I830" t="s">
        <v>53</v>
      </c>
      <c r="J830" t="s">
        <v>20</v>
      </c>
      <c r="K830" s="1">
        <v>46094</v>
      </c>
      <c r="L830" s="1" t="str">
        <f>IF(K830&gt;O830,"Valid","Invalid")</f>
        <v>Valid</v>
      </c>
      <c r="M830" s="1" t="b">
        <f>ISNUMBER(K830)</f>
        <v>1</v>
      </c>
      <c r="N830" s="1" t="b">
        <f>ISNUMBER(O830)</f>
        <v>1</v>
      </c>
      <c r="O830" s="1">
        <v>46085</v>
      </c>
      <c r="P830" t="s">
        <v>4518</v>
      </c>
      <c r="Q830" t="str">
        <f>SUBSTITUTE(SUBSTITUTE(SUBSTITUTE(P830," ",""),"-",""),"+","")</f>
        <v>918609976851</v>
      </c>
      <c r="R830" t="str">
        <f t="shared" si="24"/>
        <v>8609976851</v>
      </c>
      <c r="S830" t="str">
        <f>IF(LEN(R830),"Valid","Invalid")</f>
        <v>Valid</v>
      </c>
      <c r="T830" t="s">
        <v>4517</v>
      </c>
      <c r="V830" t="s">
        <v>123</v>
      </c>
      <c r="X830">
        <v>12925.52</v>
      </c>
      <c r="Y830" t="s">
        <v>17</v>
      </c>
      <c r="Z830">
        <v>259</v>
      </c>
      <c r="AA830">
        <f t="shared" si="25"/>
        <v>259</v>
      </c>
      <c r="AB830" t="s">
        <v>34</v>
      </c>
    </row>
    <row r="831" spans="1:28" x14ac:dyDescent="0.3">
      <c r="A831" t="s">
        <v>4516</v>
      </c>
      <c r="B831" t="s">
        <v>4515</v>
      </c>
      <c r="C831" t="s">
        <v>4515</v>
      </c>
      <c r="D831" t="s">
        <v>0</v>
      </c>
      <c r="E831">
        <v>19</v>
      </c>
      <c r="F831">
        <v>19</v>
      </c>
      <c r="G831" t="s">
        <v>68</v>
      </c>
      <c r="H831" t="s">
        <v>68</v>
      </c>
      <c r="I831" t="s">
        <v>30</v>
      </c>
      <c r="J831" t="s">
        <v>30</v>
      </c>
      <c r="K831" s="1">
        <v>46019</v>
      </c>
      <c r="L831" s="1" t="str">
        <f>IF(K831&gt;O831,"Valid","Invalid")</f>
        <v>Valid</v>
      </c>
      <c r="M831" s="1" t="b">
        <f>ISNUMBER(K831)</f>
        <v>1</v>
      </c>
      <c r="N831" s="1" t="b">
        <f>ISNUMBER(O831)</f>
        <v>1</v>
      </c>
      <c r="O831" s="1">
        <v>46000</v>
      </c>
      <c r="P831" t="s">
        <v>4514</v>
      </c>
      <c r="Q831" t="str">
        <f>SUBSTITUTE(SUBSTITUTE(SUBSTITUTE(P831," ",""),"-",""),"+","")</f>
        <v>09220372303</v>
      </c>
      <c r="R831" t="str">
        <f t="shared" si="24"/>
        <v>9220372303</v>
      </c>
      <c r="S831" t="str">
        <f>IF(LEN(R831),"Valid","Invalid")</f>
        <v>Valid</v>
      </c>
      <c r="T831" t="s">
        <v>4513</v>
      </c>
      <c r="V831" t="s">
        <v>57</v>
      </c>
      <c r="X831">
        <v>7418.39</v>
      </c>
      <c r="Y831" t="s">
        <v>27</v>
      </c>
      <c r="Z831">
        <v>365</v>
      </c>
      <c r="AA831">
        <f t="shared" si="25"/>
        <v>365</v>
      </c>
      <c r="AB831" t="s">
        <v>34</v>
      </c>
    </row>
    <row r="832" spans="1:28" x14ac:dyDescent="0.3">
      <c r="A832" t="s">
        <v>4512</v>
      </c>
      <c r="B832" t="s">
        <v>4511</v>
      </c>
      <c r="C832" t="s">
        <v>4511</v>
      </c>
      <c r="D832" t="s">
        <v>0</v>
      </c>
      <c r="E832">
        <v>8</v>
      </c>
      <c r="F832">
        <v>8</v>
      </c>
      <c r="G832" t="s">
        <v>21</v>
      </c>
      <c r="H832" t="s">
        <v>21</v>
      </c>
      <c r="I832" t="s">
        <v>46</v>
      </c>
      <c r="J832" t="s">
        <v>46</v>
      </c>
      <c r="K832" s="1">
        <v>46050</v>
      </c>
      <c r="L832" s="1" t="str">
        <f>IF(K832&gt;O832,"Valid","Invalid")</f>
        <v>Valid</v>
      </c>
      <c r="M832" s="1" t="b">
        <f>ISNUMBER(K832)</f>
        <v>1</v>
      </c>
      <c r="N832" s="1" t="b">
        <f>ISNUMBER(O832)</f>
        <v>1</v>
      </c>
      <c r="O832" s="1">
        <v>46037</v>
      </c>
      <c r="P832" t="s">
        <v>4510</v>
      </c>
      <c r="Q832" t="str">
        <f>SUBSTITUTE(SUBSTITUTE(SUBSTITUTE(P832," ",""),"-",""),"+","")</f>
        <v>01987800812</v>
      </c>
      <c r="R832" t="str">
        <f t="shared" si="24"/>
        <v>1987800812</v>
      </c>
      <c r="S832" t="str">
        <f>IF(LEN(R832),"Valid","Invalid")</f>
        <v>Valid</v>
      </c>
      <c r="T832" t="s">
        <v>4509</v>
      </c>
      <c r="V832" t="s">
        <v>57</v>
      </c>
      <c r="X832">
        <v>5046.1000000000004</v>
      </c>
      <c r="Y832" t="s">
        <v>57</v>
      </c>
      <c r="Z832">
        <v>427</v>
      </c>
      <c r="AA832">
        <f t="shared" si="25"/>
        <v>427</v>
      </c>
      <c r="AB832" t="s">
        <v>71</v>
      </c>
    </row>
    <row r="833" spans="1:28" x14ac:dyDescent="0.3">
      <c r="A833" t="s">
        <v>4508</v>
      </c>
      <c r="B833" t="s">
        <v>4507</v>
      </c>
      <c r="C833" t="s">
        <v>4507</v>
      </c>
      <c r="D833" t="s">
        <v>74</v>
      </c>
      <c r="E833">
        <v>44</v>
      </c>
      <c r="F833">
        <v>44</v>
      </c>
      <c r="G833" t="s">
        <v>21</v>
      </c>
      <c r="H833" t="s">
        <v>21</v>
      </c>
      <c r="I833" t="s">
        <v>85</v>
      </c>
      <c r="J833" t="s">
        <v>85</v>
      </c>
      <c r="K833" s="1">
        <v>46120</v>
      </c>
      <c r="L833" s="1" t="str">
        <f>IF(K833&gt;O833,"Valid","Invalid")</f>
        <v>Valid</v>
      </c>
      <c r="M833" s="1" t="b">
        <f>ISNUMBER(K833)</f>
        <v>1</v>
      </c>
      <c r="N833" s="1" t="b">
        <f>ISNUMBER(O833)</f>
        <v>1</v>
      </c>
      <c r="O833" s="1">
        <v>46098</v>
      </c>
      <c r="P833" t="s">
        <v>4506</v>
      </c>
      <c r="Q833" t="str">
        <f>SUBSTITUTE(SUBSTITUTE(SUBSTITUTE(P833," ",""),"-",""),"+","")</f>
        <v>00900351538</v>
      </c>
      <c r="R833" t="str">
        <f t="shared" si="24"/>
        <v>0900351538</v>
      </c>
      <c r="S833" t="str">
        <f>IF(LEN(R833),"Valid","Invalid")</f>
        <v>Valid</v>
      </c>
      <c r="T833" t="s">
        <v>4505</v>
      </c>
      <c r="V833" t="s">
        <v>123</v>
      </c>
      <c r="X833">
        <v>15074.11</v>
      </c>
      <c r="Y833" t="s">
        <v>17</v>
      </c>
      <c r="Z833">
        <v>536</v>
      </c>
      <c r="AA833">
        <f t="shared" si="25"/>
        <v>536</v>
      </c>
      <c r="AB833" t="s">
        <v>34</v>
      </c>
    </row>
    <row r="834" spans="1:28" x14ac:dyDescent="0.3">
      <c r="A834" t="s">
        <v>4504</v>
      </c>
      <c r="B834" t="s">
        <v>4503</v>
      </c>
      <c r="C834" t="s">
        <v>4503</v>
      </c>
      <c r="D834" t="s">
        <v>60</v>
      </c>
      <c r="E834">
        <v>79</v>
      </c>
      <c r="F834">
        <v>79</v>
      </c>
      <c r="G834" t="s">
        <v>132</v>
      </c>
      <c r="H834" t="s">
        <v>132</v>
      </c>
      <c r="I834" t="s">
        <v>90</v>
      </c>
      <c r="J834" t="s">
        <v>67</v>
      </c>
      <c r="K834" s="1">
        <v>46081</v>
      </c>
      <c r="L834" s="1" t="str">
        <f>IF(K834&gt;O834,"Valid","Invalid")</f>
        <v>Valid</v>
      </c>
      <c r="M834" s="1" t="b">
        <f>ISNUMBER(K834)</f>
        <v>1</v>
      </c>
      <c r="N834" s="1" t="b">
        <f>ISNUMBER(O834)</f>
        <v>1</v>
      </c>
      <c r="O834" s="1">
        <v>46071</v>
      </c>
      <c r="P834" t="s">
        <v>4502</v>
      </c>
      <c r="Q834" t="str">
        <f>SUBSTITUTE(SUBSTITUTE(SUBSTITUTE(P834," ",""),"-",""),"+","")</f>
        <v>01534138884</v>
      </c>
      <c r="R834" t="str">
        <f t="shared" si="24"/>
        <v>1534138884</v>
      </c>
      <c r="S834" t="str">
        <f>IF(LEN(R834),"Valid","Invalid")</f>
        <v>Valid</v>
      </c>
      <c r="T834" t="s">
        <v>123</v>
      </c>
      <c r="V834" t="s">
        <v>35</v>
      </c>
      <c r="X834">
        <v>2800.23</v>
      </c>
      <c r="Y834" t="s">
        <v>27</v>
      </c>
      <c r="Z834">
        <v>353</v>
      </c>
      <c r="AA834">
        <f t="shared" si="25"/>
        <v>353</v>
      </c>
      <c r="AB834" t="s">
        <v>71</v>
      </c>
    </row>
    <row r="835" spans="1:28" x14ac:dyDescent="0.3">
      <c r="A835" t="s">
        <v>4501</v>
      </c>
      <c r="B835" t="s">
        <v>4500</v>
      </c>
      <c r="C835" t="s">
        <v>4500</v>
      </c>
      <c r="D835" t="s">
        <v>40</v>
      </c>
      <c r="E835">
        <v>82</v>
      </c>
      <c r="F835">
        <v>82</v>
      </c>
      <c r="G835" t="s">
        <v>21</v>
      </c>
      <c r="H835" t="s">
        <v>21</v>
      </c>
      <c r="I835" t="s">
        <v>38</v>
      </c>
      <c r="J835" t="s">
        <v>8077</v>
      </c>
      <c r="K835" s="1">
        <v>45996</v>
      </c>
      <c r="L835" s="1" t="str">
        <f>IF(K835&gt;O835,"Valid","Invalid")</f>
        <v>Valid</v>
      </c>
      <c r="M835" s="1" t="b">
        <f>ISNUMBER(K835)</f>
        <v>1</v>
      </c>
      <c r="N835" s="1" t="b">
        <f>ISNUMBER(O835)</f>
        <v>1</v>
      </c>
      <c r="O835" s="1">
        <v>45982</v>
      </c>
      <c r="P835" t="s">
        <v>4499</v>
      </c>
      <c r="Q835" t="str">
        <f>SUBSTITUTE(SUBSTITUTE(SUBSTITUTE(P835," ",""),"-",""),"+","")</f>
        <v>919835549658</v>
      </c>
      <c r="R835" t="str">
        <f t="shared" si="24"/>
        <v>9835549658</v>
      </c>
      <c r="S835" t="str">
        <f>IF(LEN(R835),"Valid","Invalid")</f>
        <v>Valid</v>
      </c>
      <c r="T835" t="s">
        <v>4498</v>
      </c>
      <c r="V835" t="s">
        <v>17</v>
      </c>
      <c r="X835">
        <v>6127.67</v>
      </c>
      <c r="Y835" t="s">
        <v>17</v>
      </c>
      <c r="Z835">
        <v>513</v>
      </c>
      <c r="AA835">
        <f t="shared" si="25"/>
        <v>513</v>
      </c>
      <c r="AB835" t="s">
        <v>25</v>
      </c>
    </row>
    <row r="836" spans="1:28" x14ac:dyDescent="0.3">
      <c r="A836" t="s">
        <v>4497</v>
      </c>
      <c r="B836" t="s">
        <v>4496</v>
      </c>
      <c r="C836" t="s">
        <v>4496</v>
      </c>
      <c r="D836" t="s">
        <v>123</v>
      </c>
      <c r="E836">
        <v>27</v>
      </c>
      <c r="F836">
        <v>27</v>
      </c>
      <c r="G836" t="s">
        <v>54</v>
      </c>
      <c r="H836" t="s">
        <v>54</v>
      </c>
      <c r="I836" t="s">
        <v>53</v>
      </c>
      <c r="J836" t="s">
        <v>20</v>
      </c>
      <c r="K836" s="1">
        <v>46149</v>
      </c>
      <c r="L836" s="1" t="str">
        <f>IF(K836&gt;O836,"Valid","Invalid")</f>
        <v>Valid</v>
      </c>
      <c r="M836" s="1" t="b">
        <f>ISNUMBER(K836)</f>
        <v>1</v>
      </c>
      <c r="N836" s="1" t="b">
        <f>ISNUMBER(O836)</f>
        <v>1</v>
      </c>
      <c r="O836" s="1">
        <v>46123</v>
      </c>
      <c r="P836" t="s">
        <v>4495</v>
      </c>
      <c r="Q836" t="str">
        <f>SUBSTITUTE(SUBSTITUTE(SUBSTITUTE(P836," ",""),"-",""),"+","")</f>
        <v>916145057479</v>
      </c>
      <c r="R836" t="str">
        <f t="shared" si="24"/>
        <v>6145057479</v>
      </c>
      <c r="S836" t="str">
        <f>IF(LEN(R836),"Valid","Invalid")</f>
        <v>Valid</v>
      </c>
      <c r="T836" t="s">
        <v>4494</v>
      </c>
      <c r="V836" t="s">
        <v>27</v>
      </c>
      <c r="X836">
        <v>9197.8700000000008</v>
      </c>
      <c r="Y836" t="s">
        <v>64</v>
      </c>
      <c r="Z836">
        <v>283</v>
      </c>
      <c r="AA836">
        <f t="shared" si="25"/>
        <v>283</v>
      </c>
      <c r="AB836" t="s">
        <v>77</v>
      </c>
    </row>
    <row r="837" spans="1:28" x14ac:dyDescent="0.3">
      <c r="A837" t="s">
        <v>4493</v>
      </c>
      <c r="B837" t="s">
        <v>4492</v>
      </c>
      <c r="C837" t="s">
        <v>4492</v>
      </c>
      <c r="D837" t="s">
        <v>74</v>
      </c>
      <c r="E837">
        <v>19</v>
      </c>
      <c r="F837">
        <v>19</v>
      </c>
      <c r="G837" t="s">
        <v>132</v>
      </c>
      <c r="H837" t="s">
        <v>132</v>
      </c>
      <c r="I837" t="s">
        <v>85</v>
      </c>
      <c r="J837" t="s">
        <v>85</v>
      </c>
      <c r="K837" s="1">
        <v>45987</v>
      </c>
      <c r="L837" s="1" t="str">
        <f>IF(K837&gt;O837,"Valid","Invalid")</f>
        <v>Valid</v>
      </c>
      <c r="M837" s="1" t="b">
        <f>ISNUMBER(K837)</f>
        <v>1</v>
      </c>
      <c r="N837" s="1" t="b">
        <f>ISNUMBER(O837)</f>
        <v>1</v>
      </c>
      <c r="O837" s="1">
        <v>45981</v>
      </c>
      <c r="P837" t="s">
        <v>4491</v>
      </c>
      <c r="Q837" t="str">
        <f>SUBSTITUTE(SUBSTITUTE(SUBSTITUTE(P837," ",""),"-",""),"+","")</f>
        <v>918544049700</v>
      </c>
      <c r="R837" t="str">
        <f t="shared" ref="R837:R900" si="26">RIGHT(Q837,10)</f>
        <v>8544049700</v>
      </c>
      <c r="S837" t="str">
        <f>IF(LEN(R837),"Valid","Invalid")</f>
        <v>Valid</v>
      </c>
      <c r="T837" t="s">
        <v>4490</v>
      </c>
      <c r="V837" t="s">
        <v>57</v>
      </c>
      <c r="X837">
        <v>1288.8399999999999</v>
      </c>
      <c r="Y837" t="s">
        <v>27</v>
      </c>
      <c r="Z837">
        <v>201</v>
      </c>
      <c r="AA837">
        <f t="shared" ref="AA837:AA900" si="27">IF(Z837="Room-x",0,Z837)</f>
        <v>201</v>
      </c>
      <c r="AB837" t="s">
        <v>71</v>
      </c>
    </row>
    <row r="838" spans="1:28" x14ac:dyDescent="0.3">
      <c r="A838" t="s">
        <v>4489</v>
      </c>
      <c r="B838" t="s">
        <v>4488</v>
      </c>
      <c r="C838" t="s">
        <v>4488</v>
      </c>
      <c r="D838" t="s">
        <v>22</v>
      </c>
      <c r="E838">
        <v>23</v>
      </c>
      <c r="F838">
        <v>23</v>
      </c>
      <c r="G838" t="s">
        <v>21</v>
      </c>
      <c r="H838" t="s">
        <v>21</v>
      </c>
      <c r="I838" t="s">
        <v>30</v>
      </c>
      <c r="J838" t="s">
        <v>30</v>
      </c>
      <c r="K838" s="1">
        <v>46112</v>
      </c>
      <c r="L838" s="1" t="str">
        <f>IF(K838&gt;O838,"Valid","Invalid")</f>
        <v>Valid</v>
      </c>
      <c r="M838" s="1" t="b">
        <f>ISNUMBER(K838)</f>
        <v>1</v>
      </c>
      <c r="N838" s="1" t="b">
        <f>ISNUMBER(O838)</f>
        <v>1</v>
      </c>
      <c r="O838" s="1">
        <v>46089</v>
      </c>
      <c r="P838" t="s">
        <v>4487</v>
      </c>
      <c r="Q838" t="str">
        <f>SUBSTITUTE(SUBSTITUTE(SUBSTITUTE(P838," ",""),"-",""),"+","")</f>
        <v>910558172262</v>
      </c>
      <c r="R838" t="str">
        <f t="shared" si="26"/>
        <v>0558172262</v>
      </c>
      <c r="S838" t="str">
        <f>IF(LEN(R838),"Valid","Invalid")</f>
        <v>Valid</v>
      </c>
      <c r="T838" t="s">
        <v>4486</v>
      </c>
      <c r="V838" t="s">
        <v>35</v>
      </c>
      <c r="X838">
        <v>8627.4699999999993</v>
      </c>
      <c r="Y838" t="s">
        <v>57</v>
      </c>
      <c r="Z838">
        <v>191</v>
      </c>
      <c r="AA838">
        <f t="shared" si="27"/>
        <v>191</v>
      </c>
      <c r="AB838" t="s">
        <v>71</v>
      </c>
    </row>
    <row r="839" spans="1:28" x14ac:dyDescent="0.3">
      <c r="A839" t="s">
        <v>4481</v>
      </c>
      <c r="B839" t="s">
        <v>4480</v>
      </c>
      <c r="C839" t="s">
        <v>4480</v>
      </c>
      <c r="D839" t="s">
        <v>22</v>
      </c>
      <c r="E839">
        <v>59</v>
      </c>
      <c r="F839">
        <v>59</v>
      </c>
      <c r="G839" t="s">
        <v>21</v>
      </c>
      <c r="H839" t="s">
        <v>21</v>
      </c>
      <c r="I839" t="s">
        <v>67</v>
      </c>
      <c r="J839" t="s">
        <v>67</v>
      </c>
      <c r="K839" s="1">
        <v>46041</v>
      </c>
      <c r="L839" s="1" t="str">
        <f>IF(K839&gt;O839,"Valid","Invalid")</f>
        <v>Valid</v>
      </c>
      <c r="M839" s="1" t="b">
        <f>ISNUMBER(K839)</f>
        <v>1</v>
      </c>
      <c r="N839" s="1" t="b">
        <f>ISNUMBER(O839)</f>
        <v>1</v>
      </c>
      <c r="O839" s="1">
        <v>46016</v>
      </c>
      <c r="P839" t="s">
        <v>4479</v>
      </c>
      <c r="Q839" t="str">
        <f>SUBSTITUTE(SUBSTITUTE(SUBSTITUTE(P839," ",""),"-",""),"+","")</f>
        <v>4695202262</v>
      </c>
      <c r="R839" t="str">
        <f t="shared" si="26"/>
        <v>4695202262</v>
      </c>
      <c r="S839" t="str">
        <f>IF(LEN(R839),"Valid","Invalid")</f>
        <v>Valid</v>
      </c>
      <c r="T839" t="s">
        <v>4478</v>
      </c>
      <c r="V839" t="s">
        <v>57</v>
      </c>
      <c r="X839">
        <v>16590.54</v>
      </c>
      <c r="Y839" t="s">
        <v>123</v>
      </c>
      <c r="Z839">
        <v>549</v>
      </c>
      <c r="AA839">
        <f t="shared" si="27"/>
        <v>549</v>
      </c>
      <c r="AB839" t="s">
        <v>25</v>
      </c>
    </row>
    <row r="840" spans="1:28" x14ac:dyDescent="0.3">
      <c r="A840" t="s">
        <v>4477</v>
      </c>
      <c r="B840" t="s">
        <v>4476</v>
      </c>
      <c r="C840" t="s">
        <v>4476</v>
      </c>
      <c r="D840" t="s">
        <v>74</v>
      </c>
      <c r="E840">
        <v>16</v>
      </c>
      <c r="F840">
        <v>16</v>
      </c>
      <c r="G840" t="s">
        <v>39</v>
      </c>
      <c r="H840" t="s">
        <v>39</v>
      </c>
      <c r="I840" t="s">
        <v>53</v>
      </c>
      <c r="J840" t="s">
        <v>20</v>
      </c>
      <c r="K840" s="1">
        <v>46148</v>
      </c>
      <c r="L840" s="1" t="str">
        <f>IF(K840&gt;O840,"Valid","Invalid")</f>
        <v>Valid</v>
      </c>
      <c r="M840" s="1" t="b">
        <f>ISNUMBER(K840)</f>
        <v>1</v>
      </c>
      <c r="N840" s="1" t="b">
        <f>ISNUMBER(O840)</f>
        <v>1</v>
      </c>
      <c r="O840" s="1">
        <v>46123</v>
      </c>
      <c r="P840" t="s">
        <v>4475</v>
      </c>
      <c r="Q840" t="str">
        <f>SUBSTITUTE(SUBSTITUTE(SUBSTITUTE(P840," ",""),"-",""),"+","")</f>
        <v>5120387227</v>
      </c>
      <c r="R840" t="str">
        <f t="shared" si="26"/>
        <v>5120387227</v>
      </c>
      <c r="S840" t="str">
        <f>IF(LEN(R840),"Valid","Invalid")</f>
        <v>Valid</v>
      </c>
      <c r="T840" t="s">
        <v>4474</v>
      </c>
      <c r="V840" t="s">
        <v>17</v>
      </c>
      <c r="X840">
        <v>4953.7</v>
      </c>
      <c r="Y840" t="s">
        <v>123</v>
      </c>
      <c r="Z840">
        <v>455</v>
      </c>
      <c r="AA840">
        <f t="shared" si="27"/>
        <v>455</v>
      </c>
      <c r="AB840" t="s">
        <v>43</v>
      </c>
    </row>
    <row r="841" spans="1:28" x14ac:dyDescent="0.3">
      <c r="A841" t="s">
        <v>4473</v>
      </c>
      <c r="B841" t="s">
        <v>4472</v>
      </c>
      <c r="C841" t="s">
        <v>4472</v>
      </c>
      <c r="D841" t="s">
        <v>60</v>
      </c>
      <c r="E841">
        <v>77</v>
      </c>
      <c r="F841">
        <v>77</v>
      </c>
      <c r="G841" t="s">
        <v>54</v>
      </c>
      <c r="H841" t="s">
        <v>54</v>
      </c>
      <c r="I841" t="s">
        <v>38</v>
      </c>
      <c r="J841" t="s">
        <v>8077</v>
      </c>
      <c r="K841" s="1">
        <v>46172</v>
      </c>
      <c r="L841" s="1" t="str">
        <f>IF(K841&gt;O841,"Valid","Invalid")</f>
        <v>Valid</v>
      </c>
      <c r="M841" s="1" t="b">
        <f>ISNUMBER(K841)</f>
        <v>1</v>
      </c>
      <c r="N841" s="1" t="b">
        <f>ISNUMBER(O841)</f>
        <v>1</v>
      </c>
      <c r="O841" s="1">
        <v>46143</v>
      </c>
      <c r="P841" t="s">
        <v>4471</v>
      </c>
      <c r="Q841" t="str">
        <f>SUBSTITUTE(SUBSTITUTE(SUBSTITUTE(P841," ",""),"-",""),"+","")</f>
        <v>911015857577</v>
      </c>
      <c r="R841" t="str">
        <f t="shared" si="26"/>
        <v>1015857577</v>
      </c>
      <c r="S841" t="str">
        <f>IF(LEN(R841),"Valid","Invalid")</f>
        <v>Valid</v>
      </c>
      <c r="T841" t="s">
        <v>4470</v>
      </c>
      <c r="V841" t="s">
        <v>27</v>
      </c>
      <c r="X841">
        <v>19124.439999999999</v>
      </c>
      <c r="Y841" t="s">
        <v>57</v>
      </c>
      <c r="Z841">
        <v>537</v>
      </c>
      <c r="AA841">
        <f t="shared" si="27"/>
        <v>537</v>
      </c>
      <c r="AB841" t="s">
        <v>34</v>
      </c>
    </row>
    <row r="842" spans="1:28" x14ac:dyDescent="0.3">
      <c r="A842" t="s">
        <v>4469</v>
      </c>
      <c r="B842" t="s">
        <v>4468</v>
      </c>
      <c r="C842" t="s">
        <v>4468</v>
      </c>
      <c r="D842" t="s">
        <v>22</v>
      </c>
      <c r="E842">
        <v>20</v>
      </c>
      <c r="F842">
        <v>20</v>
      </c>
      <c r="G842" t="s">
        <v>31</v>
      </c>
      <c r="H842" t="s">
        <v>31</v>
      </c>
      <c r="I842" t="s">
        <v>38</v>
      </c>
      <c r="J842" t="s">
        <v>8077</v>
      </c>
      <c r="K842" s="1">
        <v>46001</v>
      </c>
      <c r="L842" s="1" t="str">
        <f>IF(K842&gt;O842,"Valid","Invalid")</f>
        <v>Valid</v>
      </c>
      <c r="M842" s="1" t="b">
        <f>ISNUMBER(K842)</f>
        <v>1</v>
      </c>
      <c r="N842" s="1" t="b">
        <f>ISNUMBER(O842)</f>
        <v>1</v>
      </c>
      <c r="O842" s="1">
        <v>46000</v>
      </c>
      <c r="P842" t="s">
        <v>4467</v>
      </c>
      <c r="Q842" t="str">
        <f>SUBSTITUTE(SUBSTITUTE(SUBSTITUTE(P842," ",""),"-",""),"+","")</f>
        <v>913235442482</v>
      </c>
      <c r="R842" t="str">
        <f t="shared" si="26"/>
        <v>3235442482</v>
      </c>
      <c r="S842" t="str">
        <f>IF(LEN(R842),"Valid","Invalid")</f>
        <v>Valid</v>
      </c>
      <c r="T842" t="s">
        <v>4466</v>
      </c>
      <c r="V842" t="s">
        <v>26</v>
      </c>
      <c r="X842">
        <v>21846.720000000001</v>
      </c>
      <c r="Y842" t="s">
        <v>123</v>
      </c>
      <c r="Z842">
        <v>207</v>
      </c>
      <c r="AA842">
        <f t="shared" si="27"/>
        <v>207</v>
      </c>
      <c r="AB842" t="s">
        <v>25</v>
      </c>
    </row>
    <row r="843" spans="1:28" x14ac:dyDescent="0.3">
      <c r="A843" t="s">
        <v>4465</v>
      </c>
      <c r="B843" t="s">
        <v>4464</v>
      </c>
      <c r="C843" t="s">
        <v>4464</v>
      </c>
      <c r="D843" t="s">
        <v>74</v>
      </c>
      <c r="E843">
        <v>61</v>
      </c>
      <c r="F843">
        <v>61</v>
      </c>
      <c r="G843" t="s">
        <v>80</v>
      </c>
      <c r="H843" t="s">
        <v>80</v>
      </c>
      <c r="I843" t="s">
        <v>53</v>
      </c>
      <c r="J843" t="s">
        <v>20</v>
      </c>
      <c r="K843" s="1">
        <v>46039</v>
      </c>
      <c r="L843" s="1" t="str">
        <f>IF(K843&gt;O843,"Valid","Invalid")</f>
        <v>Valid</v>
      </c>
      <c r="M843" s="1" t="b">
        <f>ISNUMBER(K843)</f>
        <v>1</v>
      </c>
      <c r="N843" s="1" t="b">
        <f>ISNUMBER(O843)</f>
        <v>1</v>
      </c>
      <c r="O843" s="1">
        <v>46023</v>
      </c>
      <c r="P843" t="s">
        <v>4463</v>
      </c>
      <c r="Q843" t="str">
        <f>SUBSTITUTE(SUBSTITUTE(SUBSTITUTE(P843," ",""),"-",""),"+","")</f>
        <v>3776498944</v>
      </c>
      <c r="R843" t="str">
        <f t="shared" si="26"/>
        <v>3776498944</v>
      </c>
      <c r="S843" t="str">
        <f>IF(LEN(R843),"Valid","Invalid")</f>
        <v>Valid</v>
      </c>
      <c r="T843" t="s">
        <v>4462</v>
      </c>
      <c r="V843" t="s">
        <v>123</v>
      </c>
      <c r="X843">
        <v>18832.439999999999</v>
      </c>
      <c r="Y843" t="s">
        <v>17</v>
      </c>
      <c r="Z843">
        <v>355</v>
      </c>
      <c r="AA843">
        <f t="shared" si="27"/>
        <v>355</v>
      </c>
      <c r="AB843" t="s">
        <v>34</v>
      </c>
    </row>
    <row r="844" spans="1:28" x14ac:dyDescent="0.3">
      <c r="A844" t="s">
        <v>4461</v>
      </c>
      <c r="B844" t="s">
        <v>4460</v>
      </c>
      <c r="C844" t="s">
        <v>4460</v>
      </c>
      <c r="E844">
        <v>23</v>
      </c>
      <c r="F844">
        <v>23</v>
      </c>
      <c r="G844" t="s">
        <v>31</v>
      </c>
      <c r="H844" t="s">
        <v>31</v>
      </c>
      <c r="I844" t="s">
        <v>67</v>
      </c>
      <c r="J844" t="s">
        <v>67</v>
      </c>
      <c r="K844" s="1">
        <v>45998</v>
      </c>
      <c r="L844" s="1" t="str">
        <f>IF(K844&gt;O844,"Valid","Invalid")</f>
        <v>Valid</v>
      </c>
      <c r="M844" s="1" t="b">
        <f>ISNUMBER(K844)</f>
        <v>1</v>
      </c>
      <c r="N844" s="1" t="b">
        <f>ISNUMBER(O844)</f>
        <v>1</v>
      </c>
      <c r="O844" s="1">
        <v>45982</v>
      </c>
      <c r="P844" t="s">
        <v>4459</v>
      </c>
      <c r="Q844" t="str">
        <f>SUBSTITUTE(SUBSTITUTE(SUBSTITUTE(P844," ",""),"-",""),"+","")</f>
        <v>919717970793</v>
      </c>
      <c r="R844" t="str">
        <f t="shared" si="26"/>
        <v>9717970793</v>
      </c>
      <c r="S844" t="str">
        <f>IF(LEN(R844),"Valid","Invalid")</f>
        <v>Valid</v>
      </c>
      <c r="T844" t="s">
        <v>4458</v>
      </c>
      <c r="V844" t="s">
        <v>123</v>
      </c>
      <c r="X844">
        <v>17948.12</v>
      </c>
      <c r="Y844" t="s">
        <v>123</v>
      </c>
      <c r="Z844">
        <v>342</v>
      </c>
      <c r="AA844">
        <f t="shared" si="27"/>
        <v>342</v>
      </c>
      <c r="AB844" t="s">
        <v>43</v>
      </c>
    </row>
    <row r="845" spans="1:28" x14ac:dyDescent="0.3">
      <c r="A845" t="s">
        <v>4457</v>
      </c>
      <c r="B845" t="s">
        <v>4456</v>
      </c>
      <c r="C845" t="s">
        <v>4456</v>
      </c>
      <c r="D845" t="s">
        <v>123</v>
      </c>
      <c r="E845">
        <v>82</v>
      </c>
      <c r="F845">
        <v>82</v>
      </c>
      <c r="G845" t="s">
        <v>47</v>
      </c>
      <c r="H845" t="s">
        <v>47</v>
      </c>
      <c r="I845" t="s">
        <v>38</v>
      </c>
      <c r="J845" t="s">
        <v>8077</v>
      </c>
      <c r="K845" s="1">
        <v>46024</v>
      </c>
      <c r="L845" s="1" t="str">
        <f>IF(K845&gt;O845,"Valid","Invalid")</f>
        <v>Valid</v>
      </c>
      <c r="M845" s="1" t="b">
        <f>ISNUMBER(K845)</f>
        <v>1</v>
      </c>
      <c r="N845" s="1" t="b">
        <f>ISNUMBER(O845)</f>
        <v>1</v>
      </c>
      <c r="O845" s="1">
        <v>46017</v>
      </c>
      <c r="P845" t="s">
        <v>4455</v>
      </c>
      <c r="Q845" t="str">
        <f>SUBSTITUTE(SUBSTITUTE(SUBSTITUTE(P845," ",""),"-",""),"+","")</f>
        <v>1515109442</v>
      </c>
      <c r="R845" t="str">
        <f t="shared" si="26"/>
        <v>1515109442</v>
      </c>
      <c r="S845" t="str">
        <f>IF(LEN(R845),"Valid","Invalid")</f>
        <v>Valid</v>
      </c>
      <c r="T845" t="s">
        <v>4454</v>
      </c>
      <c r="V845" t="s">
        <v>17</v>
      </c>
      <c r="X845">
        <v>11411.59</v>
      </c>
      <c r="Y845" t="s">
        <v>57</v>
      </c>
      <c r="Z845">
        <v>302</v>
      </c>
      <c r="AA845">
        <f t="shared" si="27"/>
        <v>302</v>
      </c>
      <c r="AB845" t="s">
        <v>71</v>
      </c>
    </row>
    <row r="846" spans="1:28" x14ac:dyDescent="0.3">
      <c r="A846" t="s">
        <v>4453</v>
      </c>
      <c r="B846" t="s">
        <v>4452</v>
      </c>
      <c r="C846" t="s">
        <v>4452</v>
      </c>
      <c r="D846" t="s">
        <v>22</v>
      </c>
      <c r="E846">
        <v>55</v>
      </c>
      <c r="F846">
        <v>55</v>
      </c>
      <c r="G846" t="s">
        <v>54</v>
      </c>
      <c r="H846" t="s">
        <v>54</v>
      </c>
      <c r="I846" t="s">
        <v>53</v>
      </c>
      <c r="J846" t="s">
        <v>20</v>
      </c>
      <c r="K846" s="1">
        <v>46068</v>
      </c>
      <c r="L846" s="1" t="str">
        <f>IF(K846&gt;O846,"Valid","Invalid")</f>
        <v>Valid</v>
      </c>
      <c r="M846" s="1" t="b">
        <f>ISNUMBER(K846)</f>
        <v>1</v>
      </c>
      <c r="N846" s="1" t="b">
        <f>ISNUMBER(O846)</f>
        <v>1</v>
      </c>
      <c r="O846" s="1">
        <v>46039</v>
      </c>
      <c r="P846" t="s">
        <v>4451</v>
      </c>
      <c r="Q846" t="str">
        <f>SUBSTITUTE(SUBSTITUTE(SUBSTITUTE(P846," ",""),"-",""),"+","")</f>
        <v>917595164610</v>
      </c>
      <c r="R846" t="str">
        <f t="shared" si="26"/>
        <v>7595164610</v>
      </c>
      <c r="S846" t="str">
        <f>IF(LEN(R846),"Valid","Invalid")</f>
        <v>Valid</v>
      </c>
      <c r="T846" t="s">
        <v>4450</v>
      </c>
      <c r="V846" t="s">
        <v>57</v>
      </c>
      <c r="X846">
        <v>6512.33</v>
      </c>
      <c r="Y846" t="s">
        <v>64</v>
      </c>
      <c r="Z846">
        <v>168</v>
      </c>
      <c r="AA846">
        <f t="shared" si="27"/>
        <v>168</v>
      </c>
      <c r="AB846" t="s">
        <v>50</v>
      </c>
    </row>
    <row r="847" spans="1:28" x14ac:dyDescent="0.3">
      <c r="A847" t="s">
        <v>4449</v>
      </c>
      <c r="B847" t="s">
        <v>4448</v>
      </c>
      <c r="C847" t="s">
        <v>4448</v>
      </c>
      <c r="D847" t="s">
        <v>74</v>
      </c>
      <c r="E847">
        <v>38</v>
      </c>
      <c r="F847">
        <v>38</v>
      </c>
      <c r="G847" t="s">
        <v>68</v>
      </c>
      <c r="H847" t="s">
        <v>68</v>
      </c>
      <c r="I847" t="s">
        <v>67</v>
      </c>
      <c r="J847" t="s">
        <v>67</v>
      </c>
      <c r="K847" s="1">
        <v>46144</v>
      </c>
      <c r="L847" s="1" t="str">
        <f>IF(K847&gt;O847,"Valid","Invalid")</f>
        <v>Valid</v>
      </c>
      <c r="M847" s="1" t="b">
        <f>ISNUMBER(K847)</f>
        <v>1</v>
      </c>
      <c r="N847" s="1" t="b">
        <f>ISNUMBER(O847)</f>
        <v>1</v>
      </c>
      <c r="O847" s="1">
        <v>46137</v>
      </c>
      <c r="P847" t="s">
        <v>4447</v>
      </c>
      <c r="Q847" t="str">
        <f>SUBSTITUTE(SUBSTITUTE(SUBSTITUTE(P847," ",""),"-",""),"+","")</f>
        <v>912682175426</v>
      </c>
      <c r="R847" t="str">
        <f t="shared" si="26"/>
        <v>2682175426</v>
      </c>
      <c r="S847" t="str">
        <f>IF(LEN(R847),"Valid","Invalid")</f>
        <v>Valid</v>
      </c>
      <c r="T847" t="s">
        <v>4446</v>
      </c>
      <c r="V847" t="s">
        <v>27</v>
      </c>
      <c r="X847">
        <v>11738.28</v>
      </c>
      <c r="Y847" t="s">
        <v>17</v>
      </c>
      <c r="Z847">
        <v>318</v>
      </c>
      <c r="AA847">
        <f t="shared" si="27"/>
        <v>318</v>
      </c>
      <c r="AB847" t="s">
        <v>16</v>
      </c>
    </row>
    <row r="848" spans="1:28" x14ac:dyDescent="0.3">
      <c r="A848" t="s">
        <v>4445</v>
      </c>
      <c r="B848" t="s">
        <v>4444</v>
      </c>
      <c r="C848" t="s">
        <v>4444</v>
      </c>
      <c r="E848">
        <v>56</v>
      </c>
      <c r="F848">
        <v>56</v>
      </c>
      <c r="G848" t="s">
        <v>54</v>
      </c>
      <c r="H848" t="s">
        <v>54</v>
      </c>
      <c r="I848" t="s">
        <v>67</v>
      </c>
      <c r="J848" t="s">
        <v>67</v>
      </c>
      <c r="K848" s="1">
        <v>46152</v>
      </c>
      <c r="L848" s="1" t="str">
        <f>IF(K848&gt;O848,"Valid","Invalid")</f>
        <v>Valid</v>
      </c>
      <c r="M848" s="1" t="b">
        <f>ISNUMBER(K848)</f>
        <v>1</v>
      </c>
      <c r="N848" s="1" t="b">
        <f>ISNUMBER(O848)</f>
        <v>1</v>
      </c>
      <c r="O848" s="1">
        <v>46127</v>
      </c>
      <c r="P848" t="s">
        <v>4443</v>
      </c>
      <c r="Q848" t="str">
        <f>SUBSTITUTE(SUBSTITUTE(SUBSTITUTE(P848," ",""),"-",""),"+","")</f>
        <v>3617387085</v>
      </c>
      <c r="R848" t="str">
        <f t="shared" si="26"/>
        <v>3617387085</v>
      </c>
      <c r="S848" t="str">
        <f>IF(LEN(R848),"Valid","Invalid")</f>
        <v>Valid</v>
      </c>
      <c r="T848" t="s">
        <v>4442</v>
      </c>
      <c r="V848" t="s">
        <v>123</v>
      </c>
      <c r="X848">
        <v>8062.11</v>
      </c>
      <c r="Y848" t="s">
        <v>123</v>
      </c>
      <c r="Z848">
        <v>112</v>
      </c>
      <c r="AA848">
        <f t="shared" si="27"/>
        <v>112</v>
      </c>
      <c r="AB848" t="s">
        <v>71</v>
      </c>
    </row>
    <row r="849" spans="1:28" x14ac:dyDescent="0.3">
      <c r="A849" t="s">
        <v>4441</v>
      </c>
      <c r="B849" t="s">
        <v>4440</v>
      </c>
      <c r="C849" t="s">
        <v>4440</v>
      </c>
      <c r="E849">
        <v>30</v>
      </c>
      <c r="F849">
        <v>30</v>
      </c>
      <c r="G849" t="s">
        <v>132</v>
      </c>
      <c r="H849" t="s">
        <v>132</v>
      </c>
      <c r="I849" t="s">
        <v>20</v>
      </c>
      <c r="J849" t="s">
        <v>20</v>
      </c>
      <c r="K849" s="1">
        <v>46009</v>
      </c>
      <c r="L849" s="1" t="str">
        <f>IF(K849&gt;O849,"Valid","Invalid")</f>
        <v>Valid</v>
      </c>
      <c r="M849" s="1" t="b">
        <f>ISNUMBER(K849)</f>
        <v>1</v>
      </c>
      <c r="N849" s="1" t="b">
        <f>ISNUMBER(O849)</f>
        <v>1</v>
      </c>
      <c r="O849" s="1">
        <v>45998</v>
      </c>
      <c r="P849" t="s">
        <v>4439</v>
      </c>
      <c r="Q849" t="str">
        <f>SUBSTITUTE(SUBSTITUTE(SUBSTITUTE(P849," ",""),"-",""),"+","")</f>
        <v>0129551913</v>
      </c>
      <c r="R849" t="str">
        <f t="shared" si="26"/>
        <v>0129551913</v>
      </c>
      <c r="S849" t="str">
        <f>IF(LEN(R849),"Valid","Invalid")</f>
        <v>Valid</v>
      </c>
      <c r="T849" t="s">
        <v>4438</v>
      </c>
      <c r="V849" t="s">
        <v>64</v>
      </c>
      <c r="X849">
        <v>7504.04</v>
      </c>
      <c r="Y849" t="s">
        <v>64</v>
      </c>
      <c r="Z849">
        <v>502</v>
      </c>
      <c r="AA849">
        <f t="shared" si="27"/>
        <v>502</v>
      </c>
      <c r="AB849" t="s">
        <v>43</v>
      </c>
    </row>
    <row r="850" spans="1:28" x14ac:dyDescent="0.3">
      <c r="A850" t="s">
        <v>4437</v>
      </c>
      <c r="B850" t="s">
        <v>4436</v>
      </c>
      <c r="C850" t="s">
        <v>4436</v>
      </c>
      <c r="D850" t="s">
        <v>1</v>
      </c>
      <c r="E850">
        <v>13</v>
      </c>
      <c r="F850">
        <v>13</v>
      </c>
      <c r="G850" t="s">
        <v>80</v>
      </c>
      <c r="H850" t="s">
        <v>80</v>
      </c>
      <c r="I850" t="s">
        <v>20</v>
      </c>
      <c r="J850" t="s">
        <v>20</v>
      </c>
      <c r="K850" s="1">
        <v>46007</v>
      </c>
      <c r="L850" s="1" t="str">
        <f>IF(K850&gt;O850,"Valid","Invalid")</f>
        <v>Valid</v>
      </c>
      <c r="M850" s="1" t="b">
        <f>ISNUMBER(K850)</f>
        <v>1</v>
      </c>
      <c r="N850" s="1" t="b">
        <f>ISNUMBER(O850)</f>
        <v>1</v>
      </c>
      <c r="O850" s="1">
        <v>45996</v>
      </c>
      <c r="P850" t="s">
        <v>4435</v>
      </c>
      <c r="Q850" t="str">
        <f>SUBSTITUTE(SUBSTITUTE(SUBSTITUTE(P850," ",""),"-",""),"+","")</f>
        <v>919461141514</v>
      </c>
      <c r="R850" t="str">
        <f t="shared" si="26"/>
        <v>9461141514</v>
      </c>
      <c r="S850" t="str">
        <f>IF(LEN(R850),"Valid","Invalid")</f>
        <v>Valid</v>
      </c>
      <c r="T850" t="s">
        <v>4434</v>
      </c>
      <c r="V850" t="s">
        <v>27</v>
      </c>
      <c r="X850">
        <v>13741.45</v>
      </c>
      <c r="Y850" t="s">
        <v>17</v>
      </c>
      <c r="Z850">
        <v>200</v>
      </c>
      <c r="AA850">
        <f t="shared" si="27"/>
        <v>200</v>
      </c>
      <c r="AB850" t="s">
        <v>25</v>
      </c>
    </row>
    <row r="851" spans="1:28" x14ac:dyDescent="0.3">
      <c r="A851" t="s">
        <v>4433</v>
      </c>
      <c r="B851" t="s">
        <v>4432</v>
      </c>
      <c r="C851" t="s">
        <v>4432</v>
      </c>
      <c r="D851" t="s">
        <v>60</v>
      </c>
      <c r="E851">
        <v>33</v>
      </c>
      <c r="F851">
        <v>33</v>
      </c>
      <c r="G851" t="s">
        <v>132</v>
      </c>
      <c r="H851" t="s">
        <v>132</v>
      </c>
      <c r="I851" t="s">
        <v>30</v>
      </c>
      <c r="J851" t="s">
        <v>30</v>
      </c>
      <c r="K851" s="1">
        <v>46086</v>
      </c>
      <c r="L851" s="1" t="str">
        <f>IF(K851&gt;O851,"Valid","Invalid")</f>
        <v>Valid</v>
      </c>
      <c r="M851" s="1" t="b">
        <f>ISNUMBER(K851)</f>
        <v>1</v>
      </c>
      <c r="N851" s="1" t="b">
        <f>ISNUMBER(O851)</f>
        <v>1</v>
      </c>
      <c r="O851" s="1">
        <v>46080</v>
      </c>
      <c r="P851" t="s">
        <v>4431</v>
      </c>
      <c r="Q851" t="str">
        <f>SUBSTITUTE(SUBSTITUTE(SUBSTITUTE(P851," ",""),"-",""),"+","")</f>
        <v>06267103955</v>
      </c>
      <c r="R851" t="str">
        <f t="shared" si="26"/>
        <v>6267103955</v>
      </c>
      <c r="S851" t="str">
        <f>IF(LEN(R851),"Valid","Invalid")</f>
        <v>Valid</v>
      </c>
      <c r="T851" t="s">
        <v>4430</v>
      </c>
      <c r="V851" t="s">
        <v>35</v>
      </c>
      <c r="X851">
        <v>24960.45</v>
      </c>
      <c r="Y851" t="s">
        <v>63</v>
      </c>
      <c r="Z851">
        <v>104</v>
      </c>
      <c r="AA851">
        <f t="shared" si="27"/>
        <v>104</v>
      </c>
      <c r="AB851" t="s">
        <v>50</v>
      </c>
    </row>
    <row r="852" spans="1:28" x14ac:dyDescent="0.3">
      <c r="A852" t="s">
        <v>4429</v>
      </c>
      <c r="B852" t="s">
        <v>4428</v>
      </c>
      <c r="C852" t="s">
        <v>4428</v>
      </c>
      <c r="D852" t="s">
        <v>22</v>
      </c>
      <c r="E852">
        <v>37</v>
      </c>
      <c r="F852">
        <v>37</v>
      </c>
      <c r="G852" t="s">
        <v>31</v>
      </c>
      <c r="H852" t="s">
        <v>31</v>
      </c>
      <c r="I852" t="s">
        <v>90</v>
      </c>
      <c r="J852" t="s">
        <v>67</v>
      </c>
      <c r="K852" s="1">
        <v>46110</v>
      </c>
      <c r="L852" s="1" t="str">
        <f>IF(K852&gt;O852,"Valid","Invalid")</f>
        <v>Valid</v>
      </c>
      <c r="M852" s="1" t="b">
        <f>ISNUMBER(K852)</f>
        <v>1</v>
      </c>
      <c r="N852" s="1" t="b">
        <f>ISNUMBER(O852)</f>
        <v>1</v>
      </c>
      <c r="O852" s="1">
        <v>46080</v>
      </c>
      <c r="P852" t="s">
        <v>4427</v>
      </c>
      <c r="Q852" t="str">
        <f>SUBSTITUTE(SUBSTITUTE(SUBSTITUTE(P852," ",""),"-",""),"+","")</f>
        <v>6822244500</v>
      </c>
      <c r="R852" t="str">
        <f t="shared" si="26"/>
        <v>6822244500</v>
      </c>
      <c r="S852" t="str">
        <f>IF(LEN(R852),"Valid","Invalid")</f>
        <v>Valid</v>
      </c>
      <c r="T852" t="s">
        <v>4426</v>
      </c>
      <c r="V852" t="s">
        <v>123</v>
      </c>
      <c r="X852">
        <v>20582.16</v>
      </c>
      <c r="Y852" t="s">
        <v>27</v>
      </c>
      <c r="Z852">
        <v>341</v>
      </c>
      <c r="AA852">
        <f t="shared" si="27"/>
        <v>341</v>
      </c>
      <c r="AB852" t="s">
        <v>25</v>
      </c>
    </row>
    <row r="853" spans="1:28" x14ac:dyDescent="0.3">
      <c r="A853" t="s">
        <v>4425</v>
      </c>
      <c r="B853" t="s">
        <v>4424</v>
      </c>
      <c r="C853" t="s">
        <v>8054</v>
      </c>
      <c r="D853" t="s">
        <v>0</v>
      </c>
      <c r="E853">
        <v>51</v>
      </c>
      <c r="F853">
        <v>51</v>
      </c>
      <c r="G853" t="s">
        <v>21</v>
      </c>
      <c r="H853" t="s">
        <v>21</v>
      </c>
      <c r="I853" t="s">
        <v>38</v>
      </c>
      <c r="J853" t="s">
        <v>8077</v>
      </c>
      <c r="K853" s="1">
        <v>46042</v>
      </c>
      <c r="L853" s="1" t="str">
        <f>IF(K853&gt;O853,"Valid","Invalid")</f>
        <v>Valid</v>
      </c>
      <c r="M853" s="1" t="b">
        <f>ISNUMBER(K853)</f>
        <v>1</v>
      </c>
      <c r="N853" s="1" t="b">
        <f>ISNUMBER(O853)</f>
        <v>1</v>
      </c>
      <c r="O853" s="1">
        <v>46019</v>
      </c>
      <c r="P853" t="s">
        <v>4423</v>
      </c>
      <c r="Q853" t="str">
        <f>SUBSTITUTE(SUBSTITUTE(SUBSTITUTE(P853," ",""),"-",""),"+","")</f>
        <v>916621928279</v>
      </c>
      <c r="R853" t="str">
        <f t="shared" si="26"/>
        <v>6621928279</v>
      </c>
      <c r="S853" t="str">
        <f>IF(LEN(R853),"Valid","Invalid")</f>
        <v>Valid</v>
      </c>
      <c r="T853" t="s">
        <v>4422</v>
      </c>
      <c r="V853" t="s">
        <v>17</v>
      </c>
      <c r="X853">
        <v>11966.07</v>
      </c>
      <c r="Y853" t="s">
        <v>123</v>
      </c>
      <c r="Z853">
        <v>469</v>
      </c>
      <c r="AA853">
        <f t="shared" si="27"/>
        <v>469</v>
      </c>
      <c r="AB853" t="s">
        <v>50</v>
      </c>
    </row>
    <row r="854" spans="1:28" x14ac:dyDescent="0.3">
      <c r="A854" t="s">
        <v>4421</v>
      </c>
      <c r="B854" t="s">
        <v>4420</v>
      </c>
      <c r="C854" t="s">
        <v>4420</v>
      </c>
      <c r="E854">
        <v>44</v>
      </c>
      <c r="F854">
        <v>44</v>
      </c>
      <c r="G854" t="s">
        <v>80</v>
      </c>
      <c r="H854" t="s">
        <v>80</v>
      </c>
      <c r="I854" t="s">
        <v>67</v>
      </c>
      <c r="J854" t="s">
        <v>67</v>
      </c>
      <c r="K854" s="1">
        <v>46065</v>
      </c>
      <c r="L854" s="1" t="str">
        <f>IF(K854&gt;O854,"Valid","Invalid")</f>
        <v>Valid</v>
      </c>
      <c r="M854" s="1" t="b">
        <f>ISNUMBER(K854)</f>
        <v>1</v>
      </c>
      <c r="N854" s="1" t="b">
        <f>ISNUMBER(O854)</f>
        <v>1</v>
      </c>
      <c r="O854" s="1">
        <v>46038</v>
      </c>
      <c r="P854" t="s">
        <v>4419</v>
      </c>
      <c r="Q854" t="str">
        <f>SUBSTITUTE(SUBSTITUTE(SUBSTITUTE(P854," ",""),"-",""),"+","")</f>
        <v>918360964300</v>
      </c>
      <c r="R854" t="str">
        <f t="shared" si="26"/>
        <v>8360964300</v>
      </c>
      <c r="S854" t="str">
        <f>IF(LEN(R854),"Valid","Invalid")</f>
        <v>Valid</v>
      </c>
      <c r="T854" t="s">
        <v>4418</v>
      </c>
      <c r="V854" t="s">
        <v>17</v>
      </c>
      <c r="X854">
        <v>10834.07</v>
      </c>
      <c r="Y854" t="s">
        <v>123</v>
      </c>
      <c r="Z854">
        <v>207</v>
      </c>
      <c r="AA854">
        <f t="shared" si="27"/>
        <v>207</v>
      </c>
      <c r="AB854" t="s">
        <v>16</v>
      </c>
    </row>
    <row r="855" spans="1:28" x14ac:dyDescent="0.3">
      <c r="A855" t="s">
        <v>4417</v>
      </c>
      <c r="B855" t="s">
        <v>4416</v>
      </c>
      <c r="C855" t="s">
        <v>4416</v>
      </c>
      <c r="E855">
        <v>72</v>
      </c>
      <c r="F855">
        <v>72</v>
      </c>
      <c r="G855" t="s">
        <v>47</v>
      </c>
      <c r="H855" t="s">
        <v>47</v>
      </c>
      <c r="I855" t="s">
        <v>67</v>
      </c>
      <c r="J855" t="s">
        <v>67</v>
      </c>
      <c r="K855" s="1">
        <v>46019</v>
      </c>
      <c r="L855" s="1" t="str">
        <f>IF(K855&gt;O855,"Valid","Invalid")</f>
        <v>Valid</v>
      </c>
      <c r="M855" s="1" t="b">
        <f>ISNUMBER(K855)</f>
        <v>1</v>
      </c>
      <c r="N855" s="1" t="b">
        <f>ISNUMBER(O855)</f>
        <v>1</v>
      </c>
      <c r="O855" s="1">
        <v>46015</v>
      </c>
      <c r="P855" t="s">
        <v>4415</v>
      </c>
      <c r="Q855" t="str">
        <f>SUBSTITUTE(SUBSTITUTE(SUBSTITUTE(P855," ",""),"-",""),"+","")</f>
        <v>912969817701</v>
      </c>
      <c r="R855" t="str">
        <f t="shared" si="26"/>
        <v>2969817701</v>
      </c>
      <c r="S855" t="str">
        <f>IF(LEN(R855),"Valid","Invalid")</f>
        <v>Valid</v>
      </c>
      <c r="T855" t="s">
        <v>4414</v>
      </c>
      <c r="V855" t="s">
        <v>35</v>
      </c>
      <c r="X855">
        <v>7778.18</v>
      </c>
      <c r="Y855" t="s">
        <v>27</v>
      </c>
      <c r="Z855">
        <v>355</v>
      </c>
      <c r="AA855">
        <f t="shared" si="27"/>
        <v>355</v>
      </c>
      <c r="AB855" t="s">
        <v>50</v>
      </c>
    </row>
    <row r="856" spans="1:28" x14ac:dyDescent="0.3">
      <c r="A856" t="s">
        <v>4413</v>
      </c>
      <c r="B856" t="s">
        <v>4412</v>
      </c>
      <c r="C856" t="s">
        <v>4412</v>
      </c>
      <c r="D856" t="s">
        <v>60</v>
      </c>
      <c r="E856">
        <v>44</v>
      </c>
      <c r="F856">
        <v>44</v>
      </c>
      <c r="G856" t="s">
        <v>21</v>
      </c>
      <c r="H856" t="s">
        <v>21</v>
      </c>
      <c r="I856" t="s">
        <v>90</v>
      </c>
      <c r="J856" t="s">
        <v>67</v>
      </c>
      <c r="K856" s="1">
        <v>46085</v>
      </c>
      <c r="L856" s="1" t="str">
        <f>IF(K856&gt;O856,"Valid","Invalid")</f>
        <v>Valid</v>
      </c>
      <c r="M856" s="1" t="b">
        <f>ISNUMBER(K856)</f>
        <v>1</v>
      </c>
      <c r="N856" s="1" t="b">
        <f>ISNUMBER(O856)</f>
        <v>1</v>
      </c>
      <c r="O856" s="1">
        <v>46072</v>
      </c>
      <c r="P856" t="s">
        <v>4411</v>
      </c>
      <c r="Q856" t="str">
        <f>SUBSTITUTE(SUBSTITUTE(SUBSTITUTE(P856," ",""),"-",""),"+","")</f>
        <v>916917576194</v>
      </c>
      <c r="R856" t="str">
        <f t="shared" si="26"/>
        <v>6917576194</v>
      </c>
      <c r="S856" t="str">
        <f>IF(LEN(R856),"Valid","Invalid")</f>
        <v>Valid</v>
      </c>
      <c r="T856" t="s">
        <v>4410</v>
      </c>
      <c r="V856" t="s">
        <v>123</v>
      </c>
      <c r="X856">
        <v>19118.47</v>
      </c>
      <c r="Y856" t="s">
        <v>63</v>
      </c>
      <c r="Z856">
        <v>266</v>
      </c>
      <c r="AA856">
        <f t="shared" si="27"/>
        <v>266</v>
      </c>
      <c r="AB856" t="s">
        <v>34</v>
      </c>
    </row>
    <row r="857" spans="1:28" x14ac:dyDescent="0.3">
      <c r="A857" t="s">
        <v>4409</v>
      </c>
      <c r="B857" t="s">
        <v>4408</v>
      </c>
      <c r="C857" t="s">
        <v>4408</v>
      </c>
      <c r="D857" t="s">
        <v>40</v>
      </c>
      <c r="E857">
        <v>73</v>
      </c>
      <c r="F857">
        <v>73</v>
      </c>
      <c r="G857" t="s">
        <v>47</v>
      </c>
      <c r="H857" t="s">
        <v>47</v>
      </c>
      <c r="I857" t="s">
        <v>53</v>
      </c>
      <c r="J857" t="s">
        <v>20</v>
      </c>
      <c r="K857" s="1">
        <v>46122</v>
      </c>
      <c r="L857" s="1" t="str">
        <f>IF(K857&gt;O857,"Valid","Invalid")</f>
        <v>Valid</v>
      </c>
      <c r="M857" s="1" t="b">
        <f>ISNUMBER(K857)</f>
        <v>1</v>
      </c>
      <c r="N857" s="1" t="b">
        <f>ISNUMBER(O857)</f>
        <v>1</v>
      </c>
      <c r="O857" s="1">
        <v>46118</v>
      </c>
      <c r="P857" t="s">
        <v>4407</v>
      </c>
      <c r="Q857" t="str">
        <f>SUBSTITUTE(SUBSTITUTE(SUBSTITUTE(P857," ",""),"-",""),"+","")</f>
        <v>910967248506</v>
      </c>
      <c r="R857" t="str">
        <f t="shared" si="26"/>
        <v>0967248506</v>
      </c>
      <c r="S857" t="str">
        <f>IF(LEN(R857),"Valid","Invalid")</f>
        <v>Valid</v>
      </c>
      <c r="T857" t="s">
        <v>4406</v>
      </c>
      <c r="V857" t="s">
        <v>57</v>
      </c>
      <c r="X857">
        <v>14291.13</v>
      </c>
      <c r="Y857" t="s">
        <v>123</v>
      </c>
      <c r="Z857">
        <v>295</v>
      </c>
      <c r="AA857">
        <f t="shared" si="27"/>
        <v>295</v>
      </c>
      <c r="AB857" t="s">
        <v>71</v>
      </c>
    </row>
    <row r="858" spans="1:28" x14ac:dyDescent="0.3">
      <c r="A858" t="s">
        <v>4405</v>
      </c>
      <c r="B858" t="s">
        <v>4404</v>
      </c>
      <c r="C858" t="s">
        <v>8055</v>
      </c>
      <c r="D858" t="s">
        <v>123</v>
      </c>
      <c r="E858">
        <v>9</v>
      </c>
      <c r="F858">
        <v>9</v>
      </c>
      <c r="G858" t="s">
        <v>54</v>
      </c>
      <c r="H858" t="s">
        <v>54</v>
      </c>
      <c r="I858" t="s">
        <v>38</v>
      </c>
      <c r="J858" t="s">
        <v>8077</v>
      </c>
      <c r="K858" s="1">
        <v>46139</v>
      </c>
      <c r="L858" s="1" t="str">
        <f>IF(K858&gt;O858,"Valid","Invalid")</f>
        <v>Valid</v>
      </c>
      <c r="M858" s="1" t="b">
        <f>ISNUMBER(K858)</f>
        <v>1</v>
      </c>
      <c r="N858" s="1" t="b">
        <f>ISNUMBER(O858)</f>
        <v>1</v>
      </c>
      <c r="O858" s="1">
        <v>46124</v>
      </c>
      <c r="P858" t="s">
        <v>4403</v>
      </c>
      <c r="Q858" t="str">
        <f>SUBSTITUTE(SUBSTITUTE(SUBSTITUTE(P858," ",""),"-",""),"+","")</f>
        <v>07264184036</v>
      </c>
      <c r="R858" t="str">
        <f t="shared" si="26"/>
        <v>7264184036</v>
      </c>
      <c r="S858" t="str">
        <f>IF(LEN(R858),"Valid","Invalid")</f>
        <v>Valid</v>
      </c>
      <c r="T858" t="s">
        <v>4402</v>
      </c>
      <c r="V858" t="s">
        <v>64</v>
      </c>
      <c r="X858">
        <v>8355.27</v>
      </c>
      <c r="Y858" t="s">
        <v>123</v>
      </c>
      <c r="Z858">
        <v>427</v>
      </c>
      <c r="AA858">
        <f t="shared" si="27"/>
        <v>427</v>
      </c>
      <c r="AB858" t="s">
        <v>43</v>
      </c>
    </row>
    <row r="859" spans="1:28" x14ac:dyDescent="0.3">
      <c r="A859" t="s">
        <v>4401</v>
      </c>
      <c r="B859" t="s">
        <v>4400</v>
      </c>
      <c r="C859" t="s">
        <v>4400</v>
      </c>
      <c r="D859" t="s">
        <v>74</v>
      </c>
      <c r="E859">
        <v>22</v>
      </c>
      <c r="F859">
        <v>22</v>
      </c>
      <c r="G859" t="s">
        <v>80</v>
      </c>
      <c r="H859" t="s">
        <v>80</v>
      </c>
      <c r="I859" t="s">
        <v>53</v>
      </c>
      <c r="J859" t="s">
        <v>20</v>
      </c>
      <c r="K859" s="1">
        <v>45980</v>
      </c>
      <c r="L859" s="1" t="str">
        <f>IF(K859&gt;O859,"Valid","Invalid")</f>
        <v>Valid</v>
      </c>
      <c r="M859" s="1" t="b">
        <f>ISNUMBER(K859)</f>
        <v>1</v>
      </c>
      <c r="N859" s="1" t="b">
        <f>ISNUMBER(O859)</f>
        <v>1</v>
      </c>
      <c r="O859" s="1">
        <v>45979</v>
      </c>
      <c r="P859" t="s">
        <v>4399</v>
      </c>
      <c r="Q859" t="str">
        <f>SUBSTITUTE(SUBSTITUTE(SUBSTITUTE(P859," ",""),"-",""),"+","")</f>
        <v>05614320046</v>
      </c>
      <c r="R859" t="str">
        <f t="shared" si="26"/>
        <v>5614320046</v>
      </c>
      <c r="S859" t="str">
        <f>IF(LEN(R859),"Valid","Invalid")</f>
        <v>Valid</v>
      </c>
      <c r="T859" t="s">
        <v>4398</v>
      </c>
      <c r="V859" t="s">
        <v>123</v>
      </c>
      <c r="X859">
        <v>865.59</v>
      </c>
      <c r="Y859" t="s">
        <v>57</v>
      </c>
      <c r="Z859">
        <v>135</v>
      </c>
      <c r="AA859">
        <f t="shared" si="27"/>
        <v>135</v>
      </c>
      <c r="AB859" t="s">
        <v>16</v>
      </c>
    </row>
    <row r="860" spans="1:28" x14ac:dyDescent="0.3">
      <c r="A860" t="s">
        <v>4397</v>
      </c>
      <c r="B860" t="s">
        <v>4396</v>
      </c>
      <c r="C860" t="s">
        <v>4396</v>
      </c>
      <c r="D860" t="s">
        <v>22</v>
      </c>
      <c r="E860">
        <v>27</v>
      </c>
      <c r="F860">
        <v>27</v>
      </c>
      <c r="G860" t="s">
        <v>21</v>
      </c>
      <c r="H860" t="s">
        <v>21</v>
      </c>
      <c r="I860" t="s">
        <v>30</v>
      </c>
      <c r="J860" t="s">
        <v>30</v>
      </c>
      <c r="K860" s="1">
        <v>46023</v>
      </c>
      <c r="L860" s="1" t="str">
        <f>IF(K860&gt;O860,"Valid","Invalid")</f>
        <v>Valid</v>
      </c>
      <c r="M860" s="1" t="b">
        <f>ISNUMBER(K860)</f>
        <v>1</v>
      </c>
      <c r="N860" s="1" t="b">
        <f>ISNUMBER(O860)</f>
        <v>1</v>
      </c>
      <c r="O860" s="1">
        <v>46002</v>
      </c>
      <c r="P860" t="s">
        <v>4395</v>
      </c>
      <c r="Q860" t="str">
        <f>SUBSTITUTE(SUBSTITUTE(SUBSTITUTE(P860," ",""),"-",""),"+","")</f>
        <v>5404125695</v>
      </c>
      <c r="R860" t="str">
        <f t="shared" si="26"/>
        <v>5404125695</v>
      </c>
      <c r="S860" t="str">
        <f>IF(LEN(R860),"Valid","Invalid")</f>
        <v>Valid</v>
      </c>
      <c r="T860" t="s">
        <v>4394</v>
      </c>
      <c r="V860" t="s">
        <v>64</v>
      </c>
      <c r="X860">
        <v>11475.66</v>
      </c>
      <c r="Y860" t="s">
        <v>17</v>
      </c>
      <c r="Z860">
        <v>365</v>
      </c>
      <c r="AA860">
        <f t="shared" si="27"/>
        <v>365</v>
      </c>
      <c r="AB860" t="s">
        <v>77</v>
      </c>
    </row>
    <row r="861" spans="1:28" x14ac:dyDescent="0.3">
      <c r="A861" t="s">
        <v>4393</v>
      </c>
      <c r="B861" t="s">
        <v>4392</v>
      </c>
      <c r="C861" t="s">
        <v>4392</v>
      </c>
      <c r="D861" t="s">
        <v>0</v>
      </c>
      <c r="E861">
        <v>42</v>
      </c>
      <c r="F861">
        <v>42</v>
      </c>
      <c r="G861" t="s">
        <v>54</v>
      </c>
      <c r="H861" t="s">
        <v>54</v>
      </c>
      <c r="I861" t="s">
        <v>90</v>
      </c>
      <c r="J861" t="s">
        <v>67</v>
      </c>
      <c r="K861" s="1">
        <v>46071</v>
      </c>
      <c r="L861" s="1" t="str">
        <f>IF(K861&gt;O861,"Valid","Invalid")</f>
        <v>Valid</v>
      </c>
      <c r="M861" s="1" t="b">
        <f>ISNUMBER(K861)</f>
        <v>1</v>
      </c>
      <c r="N861" s="1" t="b">
        <f>ISNUMBER(O861)</f>
        <v>1</v>
      </c>
      <c r="O861" s="1">
        <v>46066</v>
      </c>
      <c r="P861" t="s">
        <v>4391</v>
      </c>
      <c r="Q861" t="str">
        <f>SUBSTITUTE(SUBSTITUTE(SUBSTITUTE(P861," ",""),"-",""),"+","")</f>
        <v>07791567603</v>
      </c>
      <c r="R861" t="str">
        <f t="shared" si="26"/>
        <v>7791567603</v>
      </c>
      <c r="S861" t="str">
        <f>IF(LEN(R861),"Valid","Invalid")</f>
        <v>Valid</v>
      </c>
      <c r="T861" t="s">
        <v>4390</v>
      </c>
      <c r="V861" t="s">
        <v>64</v>
      </c>
      <c r="X861">
        <v>3402.61</v>
      </c>
      <c r="Y861" t="s">
        <v>123</v>
      </c>
      <c r="Z861">
        <v>344</v>
      </c>
      <c r="AA861">
        <f t="shared" si="27"/>
        <v>344</v>
      </c>
      <c r="AB861" t="s">
        <v>25</v>
      </c>
    </row>
    <row r="862" spans="1:28" x14ac:dyDescent="0.3">
      <c r="A862" t="s">
        <v>4389</v>
      </c>
      <c r="B862" t="s">
        <v>4388</v>
      </c>
      <c r="C862" t="s">
        <v>4388</v>
      </c>
      <c r="D862" t="s">
        <v>74</v>
      </c>
      <c r="E862">
        <v>50</v>
      </c>
      <c r="F862">
        <v>50</v>
      </c>
      <c r="G862" t="s">
        <v>21</v>
      </c>
      <c r="H862" t="s">
        <v>21</v>
      </c>
      <c r="I862" t="s">
        <v>53</v>
      </c>
      <c r="J862" t="s">
        <v>20</v>
      </c>
      <c r="K862" s="1">
        <v>46104</v>
      </c>
      <c r="L862" s="1" t="str">
        <f>IF(K862&gt;O862,"Valid","Invalid")</f>
        <v>Valid</v>
      </c>
      <c r="M862" s="1" t="b">
        <f>ISNUMBER(K862)</f>
        <v>1</v>
      </c>
      <c r="N862" s="1" t="b">
        <f>ISNUMBER(O862)</f>
        <v>1</v>
      </c>
      <c r="O862" s="1">
        <v>46077</v>
      </c>
      <c r="P862" t="s">
        <v>4387</v>
      </c>
      <c r="Q862" t="str">
        <f>SUBSTITUTE(SUBSTITUTE(SUBSTITUTE(P862," ",""),"-",""),"+","")</f>
        <v>5631629013</v>
      </c>
      <c r="R862" t="str">
        <f t="shared" si="26"/>
        <v>5631629013</v>
      </c>
      <c r="S862" t="str">
        <f>IF(LEN(R862),"Valid","Invalid")</f>
        <v>Valid</v>
      </c>
      <c r="T862" t="s">
        <v>4386</v>
      </c>
      <c r="V862" t="s">
        <v>17</v>
      </c>
      <c r="X862">
        <v>7881.98</v>
      </c>
      <c r="Y862" t="s">
        <v>123</v>
      </c>
      <c r="Z862">
        <v>181</v>
      </c>
      <c r="AA862">
        <f t="shared" si="27"/>
        <v>181</v>
      </c>
      <c r="AB862" t="s">
        <v>34</v>
      </c>
    </row>
    <row r="863" spans="1:28" x14ac:dyDescent="0.3">
      <c r="A863" t="s">
        <v>4381</v>
      </c>
      <c r="B863" t="s">
        <v>4380</v>
      </c>
      <c r="C863" t="s">
        <v>4380</v>
      </c>
      <c r="D863" t="s">
        <v>123</v>
      </c>
      <c r="E863">
        <v>78</v>
      </c>
      <c r="F863">
        <v>78</v>
      </c>
      <c r="G863" t="s">
        <v>21</v>
      </c>
      <c r="H863" t="s">
        <v>21</v>
      </c>
      <c r="I863" t="s">
        <v>67</v>
      </c>
      <c r="J863" t="s">
        <v>67</v>
      </c>
      <c r="K863" s="1">
        <v>46074</v>
      </c>
      <c r="L863" s="1" t="str">
        <f>IF(K863&gt;O863,"Valid","Invalid")</f>
        <v>Valid</v>
      </c>
      <c r="M863" s="1" t="b">
        <f>ISNUMBER(K863)</f>
        <v>1</v>
      </c>
      <c r="N863" s="1" t="b">
        <f>ISNUMBER(O863)</f>
        <v>1</v>
      </c>
      <c r="O863" s="1">
        <v>46045</v>
      </c>
      <c r="P863" t="s">
        <v>4379</v>
      </c>
      <c r="Q863" t="str">
        <f>SUBSTITUTE(SUBSTITUTE(SUBSTITUTE(P863," ",""),"-",""),"+","")</f>
        <v>918755798149</v>
      </c>
      <c r="R863" t="str">
        <f t="shared" si="26"/>
        <v>8755798149</v>
      </c>
      <c r="S863" t="str">
        <f>IF(LEN(R863),"Valid","Invalid")</f>
        <v>Valid</v>
      </c>
      <c r="T863" t="s">
        <v>4378</v>
      </c>
      <c r="V863" t="s">
        <v>123</v>
      </c>
      <c r="X863">
        <v>11613.07</v>
      </c>
      <c r="Y863" t="s">
        <v>27</v>
      </c>
      <c r="Z863">
        <v>477</v>
      </c>
      <c r="AA863">
        <f t="shared" si="27"/>
        <v>477</v>
      </c>
      <c r="AB863" t="s">
        <v>77</v>
      </c>
    </row>
    <row r="864" spans="1:28" x14ac:dyDescent="0.3">
      <c r="A864" t="s">
        <v>4377</v>
      </c>
      <c r="B864" t="s">
        <v>4376</v>
      </c>
      <c r="C864" t="s">
        <v>4376</v>
      </c>
      <c r="D864" t="s">
        <v>22</v>
      </c>
      <c r="E864">
        <v>83</v>
      </c>
      <c r="F864">
        <v>83</v>
      </c>
      <c r="G864" t="s">
        <v>68</v>
      </c>
      <c r="H864" t="s">
        <v>68</v>
      </c>
      <c r="I864" t="s">
        <v>67</v>
      </c>
      <c r="J864" t="s">
        <v>67</v>
      </c>
      <c r="K864" s="1">
        <v>46160</v>
      </c>
      <c r="L864" s="1" t="str">
        <f>IF(K864&gt;O864,"Valid","Invalid")</f>
        <v>Valid</v>
      </c>
      <c r="M864" s="1" t="b">
        <f>ISNUMBER(K864)</f>
        <v>1</v>
      </c>
      <c r="N864" s="1" t="b">
        <f>ISNUMBER(O864)</f>
        <v>1</v>
      </c>
      <c r="O864" s="1">
        <v>46138</v>
      </c>
      <c r="P864" t="s">
        <v>4375</v>
      </c>
      <c r="Q864" t="str">
        <f>SUBSTITUTE(SUBSTITUTE(SUBSTITUTE(P864," ",""),"-",""),"+","")</f>
        <v>2277347822</v>
      </c>
      <c r="R864" t="str">
        <f t="shared" si="26"/>
        <v>2277347822</v>
      </c>
      <c r="S864" t="str">
        <f>IF(LEN(R864),"Valid","Invalid")</f>
        <v>Valid</v>
      </c>
      <c r="T864" t="s">
        <v>4374</v>
      </c>
      <c r="V864" t="s">
        <v>26</v>
      </c>
      <c r="X864">
        <v>9899.0400000000009</v>
      </c>
      <c r="Y864" t="s">
        <v>26</v>
      </c>
      <c r="Z864">
        <v>312</v>
      </c>
      <c r="AA864">
        <f t="shared" si="27"/>
        <v>312</v>
      </c>
      <c r="AB864" t="s">
        <v>71</v>
      </c>
    </row>
    <row r="865" spans="1:28" x14ac:dyDescent="0.3">
      <c r="A865" t="s">
        <v>4373</v>
      </c>
      <c r="B865" t="s">
        <v>4372</v>
      </c>
      <c r="C865" t="s">
        <v>4372</v>
      </c>
      <c r="D865" t="s">
        <v>0</v>
      </c>
      <c r="E865">
        <v>80</v>
      </c>
      <c r="F865">
        <v>80</v>
      </c>
      <c r="G865" t="s">
        <v>54</v>
      </c>
      <c r="H865" t="s">
        <v>54</v>
      </c>
      <c r="I865" t="s">
        <v>85</v>
      </c>
      <c r="J865" t="s">
        <v>85</v>
      </c>
      <c r="K865" s="1">
        <v>46122</v>
      </c>
      <c r="L865" s="1" t="str">
        <f>IF(K865&gt;O865,"Valid","Invalid")</f>
        <v>Valid</v>
      </c>
      <c r="M865" s="1" t="b">
        <f>ISNUMBER(K865)</f>
        <v>1</v>
      </c>
      <c r="N865" s="1" t="b">
        <f>ISNUMBER(O865)</f>
        <v>1</v>
      </c>
      <c r="O865" s="1">
        <v>46110</v>
      </c>
      <c r="P865" t="s">
        <v>4371</v>
      </c>
      <c r="Q865" t="str">
        <f>SUBSTITUTE(SUBSTITUTE(SUBSTITUTE(P865," ",""),"-",""),"+","")</f>
        <v>4163851415</v>
      </c>
      <c r="R865" t="str">
        <f t="shared" si="26"/>
        <v>4163851415</v>
      </c>
      <c r="S865" t="str">
        <f>IF(LEN(R865),"Valid","Invalid")</f>
        <v>Valid</v>
      </c>
      <c r="T865" t="s">
        <v>4370</v>
      </c>
      <c r="V865" t="s">
        <v>35</v>
      </c>
      <c r="X865">
        <v>17523.349999999999</v>
      </c>
      <c r="Y865" t="s">
        <v>64</v>
      </c>
      <c r="Z865">
        <v>301</v>
      </c>
      <c r="AA865">
        <f t="shared" si="27"/>
        <v>301</v>
      </c>
      <c r="AB865" t="s">
        <v>25</v>
      </c>
    </row>
    <row r="866" spans="1:28" x14ac:dyDescent="0.3">
      <c r="A866" t="s">
        <v>4369</v>
      </c>
      <c r="B866" t="s">
        <v>4368</v>
      </c>
      <c r="C866" t="s">
        <v>4368</v>
      </c>
      <c r="D866" t="s">
        <v>40</v>
      </c>
      <c r="E866">
        <v>31</v>
      </c>
      <c r="F866">
        <v>31</v>
      </c>
      <c r="G866" t="s">
        <v>39</v>
      </c>
      <c r="H866" t="s">
        <v>39</v>
      </c>
      <c r="I866" t="s">
        <v>30</v>
      </c>
      <c r="J866" t="s">
        <v>30</v>
      </c>
      <c r="K866" s="1">
        <v>46052</v>
      </c>
      <c r="L866" s="1" t="str">
        <f>IF(K866&gt;O866,"Valid","Invalid")</f>
        <v>Valid</v>
      </c>
      <c r="M866" s="1" t="b">
        <f>ISNUMBER(K866)</f>
        <v>1</v>
      </c>
      <c r="N866" s="1" t="b">
        <f>ISNUMBER(O866)</f>
        <v>1</v>
      </c>
      <c r="O866" s="1">
        <v>46024</v>
      </c>
      <c r="P866" t="s">
        <v>4367</v>
      </c>
      <c r="Q866" t="str">
        <f>SUBSTITUTE(SUBSTITUTE(SUBSTITUTE(P866," ",""),"-",""),"+","")</f>
        <v>04108555823</v>
      </c>
      <c r="R866" t="str">
        <f t="shared" si="26"/>
        <v>4108555823</v>
      </c>
      <c r="S866" t="str">
        <f>IF(LEN(R866),"Valid","Invalid")</f>
        <v>Valid</v>
      </c>
      <c r="T866" t="s">
        <v>4366</v>
      </c>
      <c r="V866" t="s">
        <v>26</v>
      </c>
      <c r="X866">
        <v>16733.09</v>
      </c>
      <c r="Y866" t="s">
        <v>64</v>
      </c>
      <c r="Z866">
        <v>457</v>
      </c>
      <c r="AA866">
        <f t="shared" si="27"/>
        <v>457</v>
      </c>
      <c r="AB866" t="s">
        <v>25</v>
      </c>
    </row>
    <row r="867" spans="1:28" x14ac:dyDescent="0.3">
      <c r="A867" t="s">
        <v>4365</v>
      </c>
      <c r="B867" t="s">
        <v>4364</v>
      </c>
      <c r="C867" t="s">
        <v>8056</v>
      </c>
      <c r="D867" t="s">
        <v>1</v>
      </c>
      <c r="E867">
        <v>64</v>
      </c>
      <c r="F867">
        <v>64</v>
      </c>
      <c r="G867" t="s">
        <v>54</v>
      </c>
      <c r="H867" t="s">
        <v>54</v>
      </c>
      <c r="I867" t="s">
        <v>20</v>
      </c>
      <c r="J867" t="s">
        <v>20</v>
      </c>
      <c r="K867" s="1">
        <v>46096</v>
      </c>
      <c r="L867" s="1" t="str">
        <f>IF(K867&gt;O867,"Valid","Invalid")</f>
        <v>Valid</v>
      </c>
      <c r="M867" s="1" t="b">
        <f>ISNUMBER(K867)</f>
        <v>1</v>
      </c>
      <c r="N867" s="1" t="b">
        <f>ISNUMBER(O867)</f>
        <v>1</v>
      </c>
      <c r="O867" s="1">
        <v>46085</v>
      </c>
      <c r="P867" t="s">
        <v>4363</v>
      </c>
      <c r="Q867" t="str">
        <f>SUBSTITUTE(SUBSTITUTE(SUBSTITUTE(P867," ",""),"-",""),"+","")</f>
        <v>03667012213</v>
      </c>
      <c r="R867" t="str">
        <f t="shared" si="26"/>
        <v>3667012213</v>
      </c>
      <c r="S867" t="str">
        <f>IF(LEN(R867),"Valid","Invalid")</f>
        <v>Valid</v>
      </c>
      <c r="T867" t="s">
        <v>4362</v>
      </c>
      <c r="V867" t="s">
        <v>64</v>
      </c>
      <c r="X867">
        <v>18933.84</v>
      </c>
      <c r="Y867" t="s">
        <v>17</v>
      </c>
      <c r="Z867">
        <v>309</v>
      </c>
      <c r="AA867">
        <f t="shared" si="27"/>
        <v>309</v>
      </c>
      <c r="AB867" t="s">
        <v>16</v>
      </c>
    </row>
    <row r="868" spans="1:28" x14ac:dyDescent="0.3">
      <c r="A868" t="s">
        <v>4361</v>
      </c>
      <c r="B868" t="s">
        <v>4360</v>
      </c>
      <c r="C868" t="s">
        <v>4360</v>
      </c>
      <c r="D868" t="s">
        <v>0</v>
      </c>
      <c r="E868">
        <v>33</v>
      </c>
      <c r="F868">
        <v>33</v>
      </c>
      <c r="G868" t="s">
        <v>21</v>
      </c>
      <c r="H868" t="s">
        <v>21</v>
      </c>
      <c r="I868" t="s">
        <v>46</v>
      </c>
      <c r="J868" t="s">
        <v>46</v>
      </c>
      <c r="K868" s="1">
        <v>46088</v>
      </c>
      <c r="L868" s="1" t="str">
        <f>IF(K868&gt;O868,"Valid","Invalid")</f>
        <v>Valid</v>
      </c>
      <c r="M868" s="1" t="b">
        <f>ISNUMBER(K868)</f>
        <v>1</v>
      </c>
      <c r="N868" s="1" t="b">
        <f>ISNUMBER(O868)</f>
        <v>1</v>
      </c>
      <c r="O868" s="1">
        <v>46074</v>
      </c>
      <c r="P868" t="s">
        <v>4359</v>
      </c>
      <c r="Q868" t="str">
        <f>SUBSTITUTE(SUBSTITUTE(SUBSTITUTE(P868," ",""),"-",""),"+","")</f>
        <v>911076462848</v>
      </c>
      <c r="R868" t="str">
        <f t="shared" si="26"/>
        <v>1076462848</v>
      </c>
      <c r="S868" t="str">
        <f>IF(LEN(R868),"Valid","Invalid")</f>
        <v>Valid</v>
      </c>
      <c r="T868" t="s">
        <v>4358</v>
      </c>
      <c r="V868" t="s">
        <v>27</v>
      </c>
      <c r="X868">
        <v>2015.25</v>
      </c>
      <c r="Y868" t="s">
        <v>123</v>
      </c>
      <c r="Z868">
        <v>295</v>
      </c>
      <c r="AA868">
        <f t="shared" si="27"/>
        <v>295</v>
      </c>
      <c r="AB868" t="s">
        <v>43</v>
      </c>
    </row>
    <row r="869" spans="1:28" x14ac:dyDescent="0.3">
      <c r="A869" t="s">
        <v>4353</v>
      </c>
      <c r="B869" t="s">
        <v>4352</v>
      </c>
      <c r="C869" t="s">
        <v>4352</v>
      </c>
      <c r="E869">
        <v>63</v>
      </c>
      <c r="F869">
        <v>63</v>
      </c>
      <c r="G869" t="s">
        <v>68</v>
      </c>
      <c r="H869" t="s">
        <v>68</v>
      </c>
      <c r="I869" t="s">
        <v>20</v>
      </c>
      <c r="J869" t="s">
        <v>20</v>
      </c>
      <c r="K869" s="1">
        <v>46147</v>
      </c>
      <c r="L869" s="1" t="str">
        <f>IF(K869&gt;O869,"Valid","Invalid")</f>
        <v>Valid</v>
      </c>
      <c r="M869" s="1" t="b">
        <f>ISNUMBER(K869)</f>
        <v>1</v>
      </c>
      <c r="N869" s="1" t="b">
        <f>ISNUMBER(O869)</f>
        <v>1</v>
      </c>
      <c r="O869" s="1">
        <v>46145</v>
      </c>
      <c r="P869" t="s">
        <v>4351</v>
      </c>
      <c r="Q869" t="str">
        <f>SUBSTITUTE(SUBSTITUTE(SUBSTITUTE(P869," ",""),"-",""),"+","")</f>
        <v>08072680527</v>
      </c>
      <c r="R869" t="str">
        <f t="shared" si="26"/>
        <v>8072680527</v>
      </c>
      <c r="S869" t="str">
        <f>IF(LEN(R869),"Valid","Invalid")</f>
        <v>Valid</v>
      </c>
      <c r="T869" t="s">
        <v>4350</v>
      </c>
      <c r="V869" t="s">
        <v>17</v>
      </c>
      <c r="X869">
        <v>17896.82</v>
      </c>
      <c r="Y869" t="s">
        <v>123</v>
      </c>
      <c r="Z869">
        <v>171</v>
      </c>
      <c r="AA869">
        <f t="shared" si="27"/>
        <v>171</v>
      </c>
      <c r="AB869" t="s">
        <v>16</v>
      </c>
    </row>
    <row r="870" spans="1:28" x14ac:dyDescent="0.3">
      <c r="A870" t="s">
        <v>4349</v>
      </c>
      <c r="B870" t="s">
        <v>4348</v>
      </c>
      <c r="C870" t="s">
        <v>4348</v>
      </c>
      <c r="D870" t="s">
        <v>22</v>
      </c>
      <c r="E870">
        <v>21</v>
      </c>
      <c r="F870">
        <v>21</v>
      </c>
      <c r="G870" t="s">
        <v>39</v>
      </c>
      <c r="H870" t="s">
        <v>39</v>
      </c>
      <c r="I870" t="s">
        <v>46</v>
      </c>
      <c r="J870" t="s">
        <v>46</v>
      </c>
      <c r="K870" s="1">
        <v>46034</v>
      </c>
      <c r="L870" s="1" t="str">
        <f>IF(K870&gt;O870,"Valid","Invalid")</f>
        <v>Valid</v>
      </c>
      <c r="M870" s="1" t="b">
        <f>ISNUMBER(K870)</f>
        <v>1</v>
      </c>
      <c r="N870" s="1" t="b">
        <f>ISNUMBER(O870)</f>
        <v>1</v>
      </c>
      <c r="O870" s="1">
        <v>46015</v>
      </c>
      <c r="P870" t="s">
        <v>4347</v>
      </c>
      <c r="Q870" t="str">
        <f>SUBSTITUTE(SUBSTITUTE(SUBSTITUTE(P870," ",""),"-",""),"+","")</f>
        <v>06179994933</v>
      </c>
      <c r="R870" t="str">
        <f t="shared" si="26"/>
        <v>6179994933</v>
      </c>
      <c r="S870" t="str">
        <f>IF(LEN(R870),"Valid","Invalid")</f>
        <v>Valid</v>
      </c>
      <c r="T870" t="s">
        <v>4346</v>
      </c>
      <c r="V870" t="s">
        <v>64</v>
      </c>
      <c r="X870">
        <v>4595.47</v>
      </c>
      <c r="Y870" t="s">
        <v>64</v>
      </c>
      <c r="Z870">
        <v>373</v>
      </c>
      <c r="AA870">
        <f t="shared" si="27"/>
        <v>373</v>
      </c>
      <c r="AB870" t="s">
        <v>25</v>
      </c>
    </row>
    <row r="871" spans="1:28" x14ac:dyDescent="0.3">
      <c r="A871" t="s">
        <v>4345</v>
      </c>
      <c r="B871" t="s">
        <v>4344</v>
      </c>
      <c r="C871" t="s">
        <v>4344</v>
      </c>
      <c r="D871" t="s">
        <v>123</v>
      </c>
      <c r="E871">
        <v>22</v>
      </c>
      <c r="F871">
        <v>22</v>
      </c>
      <c r="G871" t="s">
        <v>80</v>
      </c>
      <c r="H871" t="s">
        <v>80</v>
      </c>
      <c r="I871" t="s">
        <v>46</v>
      </c>
      <c r="J871" t="s">
        <v>46</v>
      </c>
      <c r="K871" s="1">
        <v>45997</v>
      </c>
      <c r="L871" s="1" t="str">
        <f>IF(K871&gt;O871,"Valid","Invalid")</f>
        <v>Valid</v>
      </c>
      <c r="M871" s="1" t="b">
        <f>ISNUMBER(K871)</f>
        <v>1</v>
      </c>
      <c r="N871" s="1" t="b">
        <f>ISNUMBER(O871)</f>
        <v>1</v>
      </c>
      <c r="O871" s="1">
        <v>45976</v>
      </c>
      <c r="P871" t="s">
        <v>4343</v>
      </c>
      <c r="Q871" t="str">
        <f>SUBSTITUTE(SUBSTITUTE(SUBSTITUTE(P871," ",""),"-",""),"+","")</f>
        <v>916634347298</v>
      </c>
      <c r="R871" t="str">
        <f t="shared" si="26"/>
        <v>6634347298</v>
      </c>
      <c r="S871" t="str">
        <f>IF(LEN(R871),"Valid","Invalid")</f>
        <v>Valid</v>
      </c>
      <c r="T871" t="s">
        <v>4342</v>
      </c>
      <c r="V871" t="s">
        <v>26</v>
      </c>
      <c r="X871">
        <v>4006.71</v>
      </c>
      <c r="Y871" t="s">
        <v>17</v>
      </c>
      <c r="Z871">
        <v>191</v>
      </c>
      <c r="AA871">
        <f t="shared" si="27"/>
        <v>191</v>
      </c>
      <c r="AB871" t="s">
        <v>71</v>
      </c>
    </row>
    <row r="872" spans="1:28" x14ac:dyDescent="0.3">
      <c r="A872" t="s">
        <v>4341</v>
      </c>
      <c r="B872" t="s">
        <v>4340</v>
      </c>
      <c r="C872" t="s">
        <v>4340</v>
      </c>
      <c r="D872" t="s">
        <v>40</v>
      </c>
      <c r="E872">
        <v>87</v>
      </c>
      <c r="F872">
        <v>87</v>
      </c>
      <c r="G872" t="s">
        <v>21</v>
      </c>
      <c r="H872" t="s">
        <v>21</v>
      </c>
      <c r="I872" t="s">
        <v>85</v>
      </c>
      <c r="J872" t="s">
        <v>85</v>
      </c>
      <c r="K872" s="1">
        <v>46077</v>
      </c>
      <c r="L872" s="1" t="str">
        <f>IF(K872&gt;O872,"Valid","Invalid")</f>
        <v>Valid</v>
      </c>
      <c r="M872" s="1" t="b">
        <f>ISNUMBER(K872)</f>
        <v>1</v>
      </c>
      <c r="N872" s="1" t="b">
        <f>ISNUMBER(O872)</f>
        <v>1</v>
      </c>
      <c r="O872" s="1">
        <v>46055</v>
      </c>
      <c r="P872" t="s">
        <v>4339</v>
      </c>
      <c r="Q872" t="str">
        <f>SUBSTITUTE(SUBSTITUTE(SUBSTITUTE(P872," ",""),"-",""),"+","")</f>
        <v>911757766368</v>
      </c>
      <c r="R872" t="str">
        <f t="shared" si="26"/>
        <v>1757766368</v>
      </c>
      <c r="S872" t="str">
        <f>IF(LEN(R872),"Valid","Invalid")</f>
        <v>Valid</v>
      </c>
      <c r="T872" t="s">
        <v>4338</v>
      </c>
      <c r="V872" t="s">
        <v>27</v>
      </c>
      <c r="X872">
        <v>20945.23</v>
      </c>
      <c r="Y872" t="s">
        <v>64</v>
      </c>
      <c r="Z872">
        <v>299</v>
      </c>
      <c r="AA872">
        <f t="shared" si="27"/>
        <v>299</v>
      </c>
      <c r="AB872" t="s">
        <v>25</v>
      </c>
    </row>
    <row r="873" spans="1:28" x14ac:dyDescent="0.3">
      <c r="A873" t="s">
        <v>4337</v>
      </c>
      <c r="B873" t="s">
        <v>4336</v>
      </c>
      <c r="C873" t="s">
        <v>4336</v>
      </c>
      <c r="D873" t="s">
        <v>22</v>
      </c>
      <c r="E873">
        <v>57</v>
      </c>
      <c r="F873">
        <v>57</v>
      </c>
      <c r="G873" t="s">
        <v>47</v>
      </c>
      <c r="H873" t="s">
        <v>47</v>
      </c>
      <c r="I873" t="s">
        <v>46</v>
      </c>
      <c r="J873" t="s">
        <v>46</v>
      </c>
      <c r="K873" s="1">
        <v>46029</v>
      </c>
      <c r="L873" s="1" t="str">
        <f>IF(K873&gt;O873,"Valid","Invalid")</f>
        <v>Valid</v>
      </c>
      <c r="M873" s="1" t="b">
        <f>ISNUMBER(K873)</f>
        <v>1</v>
      </c>
      <c r="N873" s="1" t="b">
        <f>ISNUMBER(O873)</f>
        <v>1</v>
      </c>
      <c r="O873" s="1">
        <v>46028</v>
      </c>
      <c r="P873" t="s">
        <v>4335</v>
      </c>
      <c r="Q873" t="str">
        <f>SUBSTITUTE(SUBSTITUTE(SUBSTITUTE(P873," ",""),"-",""),"+","")</f>
        <v>3111112936</v>
      </c>
      <c r="R873" t="str">
        <f t="shared" si="26"/>
        <v>3111112936</v>
      </c>
      <c r="S873" t="str">
        <f>IF(LEN(R873),"Valid","Invalid")</f>
        <v>Valid</v>
      </c>
      <c r="T873" t="s">
        <v>4334</v>
      </c>
      <c r="V873" t="s">
        <v>123</v>
      </c>
      <c r="X873">
        <v>19224.43</v>
      </c>
      <c r="Y873" t="s">
        <v>57</v>
      </c>
      <c r="Z873">
        <v>291</v>
      </c>
      <c r="AA873">
        <f t="shared" si="27"/>
        <v>291</v>
      </c>
      <c r="AB873" t="s">
        <v>71</v>
      </c>
    </row>
    <row r="874" spans="1:28" x14ac:dyDescent="0.3">
      <c r="A874" t="s">
        <v>4329</v>
      </c>
      <c r="B874" t="s">
        <v>4328</v>
      </c>
      <c r="C874" t="s">
        <v>4328</v>
      </c>
      <c r="D874" t="s">
        <v>74</v>
      </c>
      <c r="E874">
        <v>29</v>
      </c>
      <c r="F874">
        <v>29</v>
      </c>
      <c r="G874" t="s">
        <v>80</v>
      </c>
      <c r="H874" t="s">
        <v>80</v>
      </c>
      <c r="I874" t="s">
        <v>53</v>
      </c>
      <c r="J874" t="s">
        <v>20</v>
      </c>
      <c r="K874" s="1">
        <v>46166</v>
      </c>
      <c r="L874" s="1" t="str">
        <f>IF(K874&gt;O874,"Valid","Invalid")</f>
        <v>Valid</v>
      </c>
      <c r="M874" s="1" t="b">
        <f>ISNUMBER(K874)</f>
        <v>1</v>
      </c>
      <c r="N874" s="1" t="b">
        <f>ISNUMBER(O874)</f>
        <v>1</v>
      </c>
      <c r="O874" s="1">
        <v>46143</v>
      </c>
      <c r="P874" t="s">
        <v>4327</v>
      </c>
      <c r="Q874" t="str">
        <f>SUBSTITUTE(SUBSTITUTE(SUBSTITUTE(P874," ",""),"-",""),"+","")</f>
        <v>06489084001</v>
      </c>
      <c r="R874" t="str">
        <f t="shared" si="26"/>
        <v>6489084001</v>
      </c>
      <c r="S874" t="str">
        <f>IF(LEN(R874),"Valid","Invalid")</f>
        <v>Valid</v>
      </c>
      <c r="T874" t="s">
        <v>4326</v>
      </c>
      <c r="V874" t="s">
        <v>35</v>
      </c>
      <c r="X874">
        <v>1291.51</v>
      </c>
      <c r="Y874" t="s">
        <v>64</v>
      </c>
      <c r="Z874">
        <v>517</v>
      </c>
      <c r="AA874">
        <f t="shared" si="27"/>
        <v>517</v>
      </c>
      <c r="AB874" t="s">
        <v>43</v>
      </c>
    </row>
    <row r="875" spans="1:28" x14ac:dyDescent="0.3">
      <c r="A875" t="s">
        <v>4325</v>
      </c>
      <c r="B875" t="s">
        <v>4324</v>
      </c>
      <c r="C875" t="s">
        <v>4324</v>
      </c>
      <c r="D875" t="s">
        <v>60</v>
      </c>
      <c r="E875">
        <v>72</v>
      </c>
      <c r="F875">
        <v>72</v>
      </c>
      <c r="G875" t="s">
        <v>21</v>
      </c>
      <c r="H875" t="s">
        <v>21</v>
      </c>
      <c r="I875" t="s">
        <v>38</v>
      </c>
      <c r="J875" t="s">
        <v>8077</v>
      </c>
      <c r="K875" s="1">
        <v>46160</v>
      </c>
      <c r="L875" s="1" t="str">
        <f>IF(K875&gt;O875,"Valid","Invalid")</f>
        <v>Valid</v>
      </c>
      <c r="M875" s="1" t="b">
        <f>ISNUMBER(K875)</f>
        <v>1</v>
      </c>
      <c r="N875" s="1" t="b">
        <f>ISNUMBER(O875)</f>
        <v>1</v>
      </c>
      <c r="O875" s="1">
        <v>46131</v>
      </c>
      <c r="P875" t="s">
        <v>4323</v>
      </c>
      <c r="Q875" t="str">
        <f>SUBSTITUTE(SUBSTITUTE(SUBSTITUTE(P875," ",""),"-",""),"+","")</f>
        <v>7000015244</v>
      </c>
      <c r="R875" t="str">
        <f t="shared" si="26"/>
        <v>7000015244</v>
      </c>
      <c r="S875" t="str">
        <f>IF(LEN(R875),"Valid","Invalid")</f>
        <v>Valid</v>
      </c>
      <c r="T875" t="s">
        <v>4322</v>
      </c>
      <c r="V875" t="s">
        <v>123</v>
      </c>
      <c r="X875">
        <v>23485.3</v>
      </c>
      <c r="Y875" t="s">
        <v>64</v>
      </c>
      <c r="Z875">
        <v>218</v>
      </c>
      <c r="AA875">
        <f t="shared" si="27"/>
        <v>218</v>
      </c>
      <c r="AB875" t="s">
        <v>71</v>
      </c>
    </row>
    <row r="876" spans="1:28" x14ac:dyDescent="0.3">
      <c r="A876" t="s">
        <v>4317</v>
      </c>
      <c r="B876" t="s">
        <v>4316</v>
      </c>
      <c r="C876" t="s">
        <v>4316</v>
      </c>
      <c r="E876">
        <v>29</v>
      </c>
      <c r="F876">
        <v>29</v>
      </c>
      <c r="G876" t="s">
        <v>80</v>
      </c>
      <c r="H876" t="s">
        <v>80</v>
      </c>
      <c r="I876" t="s">
        <v>30</v>
      </c>
      <c r="J876" t="s">
        <v>30</v>
      </c>
      <c r="K876" s="1">
        <v>46108</v>
      </c>
      <c r="L876" s="1" t="str">
        <f>IF(K876&gt;O876,"Valid","Invalid")</f>
        <v>Valid</v>
      </c>
      <c r="M876" s="1" t="b">
        <f>ISNUMBER(K876)</f>
        <v>1</v>
      </c>
      <c r="N876" s="1" t="b">
        <f>ISNUMBER(O876)</f>
        <v>1</v>
      </c>
      <c r="O876" s="1">
        <v>46088</v>
      </c>
      <c r="P876" t="s">
        <v>4315</v>
      </c>
      <c r="Q876" t="str">
        <f>SUBSTITUTE(SUBSTITUTE(SUBSTITUTE(P876," ",""),"-",""),"+","")</f>
        <v>6715918305</v>
      </c>
      <c r="R876" t="str">
        <f t="shared" si="26"/>
        <v>6715918305</v>
      </c>
      <c r="S876" t="str">
        <f>IF(LEN(R876),"Valid","Invalid")</f>
        <v>Valid</v>
      </c>
      <c r="T876" t="s">
        <v>4314</v>
      </c>
      <c r="V876" t="s">
        <v>57</v>
      </c>
      <c r="X876">
        <v>1289.69</v>
      </c>
      <c r="Y876" t="s">
        <v>57</v>
      </c>
      <c r="Z876">
        <v>310</v>
      </c>
      <c r="AA876">
        <f t="shared" si="27"/>
        <v>310</v>
      </c>
      <c r="AB876" t="s">
        <v>43</v>
      </c>
    </row>
    <row r="877" spans="1:28" x14ac:dyDescent="0.3">
      <c r="A877" t="s">
        <v>4313</v>
      </c>
      <c r="B877" t="s">
        <v>4312</v>
      </c>
      <c r="C877" t="s">
        <v>4312</v>
      </c>
      <c r="E877">
        <v>14</v>
      </c>
      <c r="F877">
        <v>14</v>
      </c>
      <c r="G877" t="s">
        <v>39</v>
      </c>
      <c r="H877" t="s">
        <v>39</v>
      </c>
      <c r="I877" t="s">
        <v>30</v>
      </c>
      <c r="J877" t="s">
        <v>30</v>
      </c>
      <c r="K877" s="1">
        <v>46115</v>
      </c>
      <c r="L877" s="1" t="str">
        <f>IF(K877&gt;O877,"Valid","Invalid")</f>
        <v>Valid</v>
      </c>
      <c r="M877" s="1" t="b">
        <f>ISNUMBER(K877)</f>
        <v>1</v>
      </c>
      <c r="N877" s="1" t="b">
        <f>ISNUMBER(O877)</f>
        <v>1</v>
      </c>
      <c r="O877" s="1">
        <v>46085</v>
      </c>
      <c r="P877" t="s">
        <v>4311</v>
      </c>
      <c r="Q877" t="str">
        <f>SUBSTITUTE(SUBSTITUTE(SUBSTITUTE(P877," ",""),"-",""),"+","")</f>
        <v>9634515512</v>
      </c>
      <c r="R877" t="str">
        <f t="shared" si="26"/>
        <v>9634515512</v>
      </c>
      <c r="S877" t="str">
        <f>IF(LEN(R877),"Valid","Invalid")</f>
        <v>Valid</v>
      </c>
      <c r="T877" t="s">
        <v>4310</v>
      </c>
      <c r="V877" t="s">
        <v>64</v>
      </c>
      <c r="X877">
        <v>15076.71</v>
      </c>
      <c r="Y877" t="s">
        <v>123</v>
      </c>
      <c r="Z877">
        <v>447</v>
      </c>
      <c r="AA877">
        <f t="shared" si="27"/>
        <v>447</v>
      </c>
      <c r="AB877" t="s">
        <v>50</v>
      </c>
    </row>
    <row r="878" spans="1:28" x14ac:dyDescent="0.3">
      <c r="A878" t="s">
        <v>4309</v>
      </c>
      <c r="B878" t="s">
        <v>4308</v>
      </c>
      <c r="C878" t="s">
        <v>4308</v>
      </c>
      <c r="D878" t="s">
        <v>0</v>
      </c>
      <c r="E878">
        <v>43</v>
      </c>
      <c r="F878">
        <v>43</v>
      </c>
      <c r="G878" t="s">
        <v>39</v>
      </c>
      <c r="H878" t="s">
        <v>39</v>
      </c>
      <c r="I878" t="s">
        <v>67</v>
      </c>
      <c r="J878" t="s">
        <v>67</v>
      </c>
      <c r="K878" s="1">
        <v>46095</v>
      </c>
      <c r="L878" s="1" t="str">
        <f>IF(K878&gt;O878,"Valid","Invalid")</f>
        <v>Valid</v>
      </c>
      <c r="M878" s="1" t="b">
        <f>ISNUMBER(K878)</f>
        <v>1</v>
      </c>
      <c r="N878" s="1" t="b">
        <f>ISNUMBER(O878)</f>
        <v>1</v>
      </c>
      <c r="O878" s="1">
        <v>46068</v>
      </c>
      <c r="P878" t="s">
        <v>4307</v>
      </c>
      <c r="Q878" t="str">
        <f>SUBSTITUTE(SUBSTITUTE(SUBSTITUTE(P878," ",""),"-",""),"+","")</f>
        <v>09100219392</v>
      </c>
      <c r="R878" t="str">
        <f t="shared" si="26"/>
        <v>9100219392</v>
      </c>
      <c r="S878" t="str">
        <f>IF(LEN(R878),"Valid","Invalid")</f>
        <v>Valid</v>
      </c>
      <c r="T878" t="s">
        <v>4306</v>
      </c>
      <c r="V878" t="s">
        <v>123</v>
      </c>
      <c r="X878">
        <v>1874.33</v>
      </c>
      <c r="Y878" t="s">
        <v>27</v>
      </c>
      <c r="Z878">
        <v>411</v>
      </c>
      <c r="AA878">
        <f t="shared" si="27"/>
        <v>411</v>
      </c>
      <c r="AB878" t="s">
        <v>34</v>
      </c>
    </row>
    <row r="879" spans="1:28" x14ac:dyDescent="0.3">
      <c r="A879" t="s">
        <v>4301</v>
      </c>
      <c r="B879" t="s">
        <v>4300</v>
      </c>
      <c r="C879" t="s">
        <v>4300</v>
      </c>
      <c r="D879" t="s">
        <v>123</v>
      </c>
      <c r="E879">
        <v>32</v>
      </c>
      <c r="F879">
        <v>32</v>
      </c>
      <c r="G879" t="s">
        <v>80</v>
      </c>
      <c r="H879" t="s">
        <v>80</v>
      </c>
      <c r="I879" t="s">
        <v>46</v>
      </c>
      <c r="J879" t="s">
        <v>46</v>
      </c>
      <c r="K879" s="1">
        <v>46054</v>
      </c>
      <c r="L879" s="1" t="str">
        <f>IF(K879&gt;O879,"Valid","Invalid")</f>
        <v>Valid</v>
      </c>
      <c r="M879" s="1" t="b">
        <f>ISNUMBER(K879)</f>
        <v>1</v>
      </c>
      <c r="N879" s="1" t="b">
        <f>ISNUMBER(O879)</f>
        <v>1</v>
      </c>
      <c r="O879" s="1">
        <v>46050</v>
      </c>
      <c r="P879" t="s">
        <v>4299</v>
      </c>
      <c r="Q879" t="str">
        <f>SUBSTITUTE(SUBSTITUTE(SUBSTITUTE(P879," ",""),"-",""),"+","")</f>
        <v>919545712832</v>
      </c>
      <c r="R879" t="str">
        <f t="shared" si="26"/>
        <v>9545712832</v>
      </c>
      <c r="S879" t="str">
        <f>IF(LEN(R879),"Valid","Invalid")</f>
        <v>Valid</v>
      </c>
      <c r="T879" t="s">
        <v>4298</v>
      </c>
      <c r="V879" t="s">
        <v>57</v>
      </c>
      <c r="X879">
        <v>12568.42</v>
      </c>
      <c r="Y879" t="s">
        <v>57</v>
      </c>
      <c r="Z879">
        <v>177</v>
      </c>
      <c r="AA879">
        <f t="shared" si="27"/>
        <v>177</v>
      </c>
      <c r="AB879" t="s">
        <v>16</v>
      </c>
    </row>
    <row r="880" spans="1:28" x14ac:dyDescent="0.3">
      <c r="A880" t="s">
        <v>4297</v>
      </c>
      <c r="B880" t="s">
        <v>4296</v>
      </c>
      <c r="C880" t="s">
        <v>4296</v>
      </c>
      <c r="D880" t="s">
        <v>1</v>
      </c>
      <c r="E880">
        <v>83</v>
      </c>
      <c r="F880">
        <v>83</v>
      </c>
      <c r="G880" t="s">
        <v>47</v>
      </c>
      <c r="H880" t="s">
        <v>47</v>
      </c>
      <c r="I880" t="s">
        <v>38</v>
      </c>
      <c r="J880" t="s">
        <v>8077</v>
      </c>
      <c r="K880" s="1">
        <v>46025</v>
      </c>
      <c r="L880" s="1" t="str">
        <f>IF(K880&gt;O880,"Valid","Invalid")</f>
        <v>Valid</v>
      </c>
      <c r="M880" s="1" t="b">
        <f>ISNUMBER(K880)</f>
        <v>1</v>
      </c>
      <c r="N880" s="1" t="b">
        <f>ISNUMBER(O880)</f>
        <v>1</v>
      </c>
      <c r="O880" s="1">
        <v>45996</v>
      </c>
      <c r="P880" t="s">
        <v>4295</v>
      </c>
      <c r="Q880" t="str">
        <f>SUBSTITUTE(SUBSTITUTE(SUBSTITUTE(P880," ",""),"-",""),"+","")</f>
        <v>7989037221</v>
      </c>
      <c r="R880" t="str">
        <f t="shared" si="26"/>
        <v>7989037221</v>
      </c>
      <c r="S880" t="str">
        <f>IF(LEN(R880),"Valid","Invalid")</f>
        <v>Valid</v>
      </c>
      <c r="T880" t="s">
        <v>4294</v>
      </c>
      <c r="V880" t="s">
        <v>123</v>
      </c>
      <c r="X880">
        <v>18533.54</v>
      </c>
      <c r="Y880" t="s">
        <v>17</v>
      </c>
      <c r="Z880">
        <v>168</v>
      </c>
      <c r="AA880">
        <f t="shared" si="27"/>
        <v>168</v>
      </c>
      <c r="AB880" t="s">
        <v>43</v>
      </c>
    </row>
    <row r="881" spans="1:28" x14ac:dyDescent="0.3">
      <c r="A881" t="s">
        <v>4293</v>
      </c>
      <c r="B881" t="s">
        <v>4292</v>
      </c>
      <c r="C881" t="s">
        <v>4292</v>
      </c>
      <c r="D881" t="s">
        <v>60</v>
      </c>
      <c r="E881">
        <v>83</v>
      </c>
      <c r="F881">
        <v>83</v>
      </c>
      <c r="G881" t="s">
        <v>47</v>
      </c>
      <c r="H881" t="s">
        <v>47</v>
      </c>
      <c r="I881" t="s">
        <v>90</v>
      </c>
      <c r="J881" t="s">
        <v>67</v>
      </c>
      <c r="K881" s="1">
        <v>46144</v>
      </c>
      <c r="L881" s="1" t="str">
        <f>IF(K881&gt;O881,"Valid","Invalid")</f>
        <v>Valid</v>
      </c>
      <c r="M881" s="1" t="b">
        <f>ISNUMBER(K881)</f>
        <v>1</v>
      </c>
      <c r="N881" s="1" t="b">
        <f>ISNUMBER(O881)</f>
        <v>1</v>
      </c>
      <c r="O881" s="1">
        <v>46124</v>
      </c>
      <c r="P881" t="s">
        <v>4291</v>
      </c>
      <c r="Q881" t="str">
        <f>SUBSTITUTE(SUBSTITUTE(SUBSTITUTE(P881," ",""),"-",""),"+","")</f>
        <v>02457702056</v>
      </c>
      <c r="R881" t="str">
        <f t="shared" si="26"/>
        <v>2457702056</v>
      </c>
      <c r="S881" t="str">
        <f>IF(LEN(R881),"Valid","Invalid")</f>
        <v>Valid</v>
      </c>
      <c r="T881" t="s">
        <v>4290</v>
      </c>
      <c r="V881" t="s">
        <v>26</v>
      </c>
      <c r="X881">
        <v>18813.66</v>
      </c>
      <c r="Y881" t="s">
        <v>57</v>
      </c>
      <c r="Z881">
        <v>533</v>
      </c>
      <c r="AA881">
        <f t="shared" si="27"/>
        <v>533</v>
      </c>
      <c r="AB881" t="s">
        <v>25</v>
      </c>
    </row>
    <row r="882" spans="1:28" x14ac:dyDescent="0.3">
      <c r="A882" t="s">
        <v>4289</v>
      </c>
      <c r="B882" t="s">
        <v>4288</v>
      </c>
      <c r="C882" t="s">
        <v>4288</v>
      </c>
      <c r="D882" t="s">
        <v>60</v>
      </c>
      <c r="E882">
        <v>44</v>
      </c>
      <c r="F882">
        <v>44</v>
      </c>
      <c r="G882" t="s">
        <v>21</v>
      </c>
      <c r="H882" t="s">
        <v>21</v>
      </c>
      <c r="I882" t="s">
        <v>38</v>
      </c>
      <c r="J882" t="s">
        <v>8077</v>
      </c>
      <c r="K882" s="1">
        <v>46049</v>
      </c>
      <c r="L882" s="1" t="str">
        <f>IF(K882&gt;O882,"Valid","Invalid")</f>
        <v>Valid</v>
      </c>
      <c r="M882" s="1" t="b">
        <f>ISNUMBER(K882)</f>
        <v>1</v>
      </c>
      <c r="N882" s="1" t="b">
        <f>ISNUMBER(O882)</f>
        <v>1</v>
      </c>
      <c r="O882" s="1">
        <v>46032</v>
      </c>
      <c r="P882" t="s">
        <v>4287</v>
      </c>
      <c r="Q882" t="str">
        <f>SUBSTITUTE(SUBSTITUTE(SUBSTITUTE(P882," ",""),"-",""),"+","")</f>
        <v>8033806563</v>
      </c>
      <c r="R882" t="str">
        <f t="shared" si="26"/>
        <v>8033806563</v>
      </c>
      <c r="S882" t="str">
        <f>IF(LEN(R882),"Valid","Invalid")</f>
        <v>Valid</v>
      </c>
      <c r="T882" t="s">
        <v>4286</v>
      </c>
      <c r="V882" t="s">
        <v>27</v>
      </c>
      <c r="X882">
        <v>22684.48</v>
      </c>
      <c r="Y882" t="s">
        <v>57</v>
      </c>
      <c r="Z882">
        <v>510</v>
      </c>
      <c r="AA882">
        <f t="shared" si="27"/>
        <v>510</v>
      </c>
      <c r="AB882" t="s">
        <v>25</v>
      </c>
    </row>
    <row r="883" spans="1:28" x14ac:dyDescent="0.3">
      <c r="A883" t="s">
        <v>4285</v>
      </c>
      <c r="B883" t="s">
        <v>4284</v>
      </c>
      <c r="C883" t="s">
        <v>4284</v>
      </c>
      <c r="D883" t="s">
        <v>1</v>
      </c>
      <c r="E883">
        <v>78</v>
      </c>
      <c r="F883">
        <v>78</v>
      </c>
      <c r="G883" t="s">
        <v>54</v>
      </c>
      <c r="H883" t="s">
        <v>54</v>
      </c>
      <c r="I883" t="s">
        <v>67</v>
      </c>
      <c r="J883" t="s">
        <v>67</v>
      </c>
      <c r="K883" s="1">
        <v>46026</v>
      </c>
      <c r="L883" s="1" t="str">
        <f>IF(K883&gt;O883,"Valid","Invalid")</f>
        <v>Valid</v>
      </c>
      <c r="M883" s="1" t="b">
        <f>ISNUMBER(K883)</f>
        <v>1</v>
      </c>
      <c r="N883" s="1" t="b">
        <f>ISNUMBER(O883)</f>
        <v>1</v>
      </c>
      <c r="O883" s="1">
        <v>46021</v>
      </c>
      <c r="P883" t="s">
        <v>4283</v>
      </c>
      <c r="Q883" t="str">
        <f>SUBSTITUTE(SUBSTITUTE(SUBSTITUTE(P883," ",""),"-",""),"+","")</f>
        <v>05788096535</v>
      </c>
      <c r="R883" t="str">
        <f t="shared" si="26"/>
        <v>5788096535</v>
      </c>
      <c r="S883" t="str">
        <f>IF(LEN(R883),"Valid","Invalid")</f>
        <v>Valid</v>
      </c>
      <c r="T883" t="s">
        <v>4282</v>
      </c>
      <c r="V883" t="s">
        <v>123</v>
      </c>
      <c r="X883">
        <v>15818.61</v>
      </c>
      <c r="Y883" t="s">
        <v>64</v>
      </c>
      <c r="Z883">
        <v>545</v>
      </c>
      <c r="AA883">
        <f t="shared" si="27"/>
        <v>545</v>
      </c>
      <c r="AB883" t="s">
        <v>16</v>
      </c>
    </row>
    <row r="884" spans="1:28" x14ac:dyDescent="0.3">
      <c r="A884" t="s">
        <v>4281</v>
      </c>
      <c r="B884" t="s">
        <v>4280</v>
      </c>
      <c r="C884" t="s">
        <v>4280</v>
      </c>
      <c r="D884" t="s">
        <v>74</v>
      </c>
      <c r="E884">
        <v>25</v>
      </c>
      <c r="F884">
        <v>25</v>
      </c>
      <c r="G884" t="s">
        <v>47</v>
      </c>
      <c r="H884" t="s">
        <v>47</v>
      </c>
      <c r="I884" t="s">
        <v>53</v>
      </c>
      <c r="J884" t="s">
        <v>20</v>
      </c>
      <c r="K884" s="1">
        <v>46151</v>
      </c>
      <c r="L884" s="1" t="str">
        <f>IF(K884&gt;O884,"Valid","Invalid")</f>
        <v>Valid</v>
      </c>
      <c r="M884" s="1" t="b">
        <f>ISNUMBER(K884)</f>
        <v>1</v>
      </c>
      <c r="N884" s="1" t="b">
        <f>ISNUMBER(O884)</f>
        <v>1</v>
      </c>
      <c r="O884" s="1">
        <v>46121</v>
      </c>
      <c r="P884" t="s">
        <v>4279</v>
      </c>
      <c r="Q884" t="str">
        <f>SUBSTITUTE(SUBSTITUTE(SUBSTITUTE(P884," ",""),"-",""),"+","")</f>
        <v>00263684234</v>
      </c>
      <c r="R884" t="str">
        <f t="shared" si="26"/>
        <v>0263684234</v>
      </c>
      <c r="S884" t="str">
        <f>IF(LEN(R884),"Valid","Invalid")</f>
        <v>Valid</v>
      </c>
      <c r="T884" t="s">
        <v>4278</v>
      </c>
      <c r="V884" t="s">
        <v>17</v>
      </c>
      <c r="X884">
        <v>3313.91</v>
      </c>
      <c r="Y884" t="s">
        <v>26</v>
      </c>
      <c r="Z884">
        <v>403</v>
      </c>
      <c r="AA884">
        <f t="shared" si="27"/>
        <v>403</v>
      </c>
      <c r="AB884" t="s">
        <v>34</v>
      </c>
    </row>
    <row r="885" spans="1:28" x14ac:dyDescent="0.3">
      <c r="A885" t="s">
        <v>4277</v>
      </c>
      <c r="B885" t="s">
        <v>4276</v>
      </c>
      <c r="C885" t="s">
        <v>4276</v>
      </c>
      <c r="D885" t="s">
        <v>1</v>
      </c>
      <c r="E885">
        <v>31</v>
      </c>
      <c r="F885">
        <v>31</v>
      </c>
      <c r="G885" t="s">
        <v>80</v>
      </c>
      <c r="H885" t="s">
        <v>80</v>
      </c>
      <c r="I885" t="s">
        <v>90</v>
      </c>
      <c r="J885" t="s">
        <v>67</v>
      </c>
      <c r="K885" s="1">
        <v>46158</v>
      </c>
      <c r="L885" s="1" t="str">
        <f>IF(K885&gt;O885,"Valid","Invalid")</f>
        <v>Valid</v>
      </c>
      <c r="M885" s="1" t="b">
        <f>ISNUMBER(K885)</f>
        <v>1</v>
      </c>
      <c r="N885" s="1" t="b">
        <f>ISNUMBER(O885)</f>
        <v>1</v>
      </c>
      <c r="O885" s="1">
        <v>46135</v>
      </c>
      <c r="P885" t="s">
        <v>4275</v>
      </c>
      <c r="Q885" t="str">
        <f>SUBSTITUTE(SUBSTITUTE(SUBSTITUTE(P885," ",""),"-",""),"+","")</f>
        <v>917724412766</v>
      </c>
      <c r="R885" t="str">
        <f t="shared" si="26"/>
        <v>7724412766</v>
      </c>
      <c r="S885" t="str">
        <f>IF(LEN(R885),"Valid","Invalid")</f>
        <v>Valid</v>
      </c>
      <c r="T885" t="s">
        <v>4274</v>
      </c>
      <c r="V885" t="s">
        <v>123</v>
      </c>
      <c r="X885">
        <v>7924.28</v>
      </c>
      <c r="Y885" t="s">
        <v>57</v>
      </c>
      <c r="Z885">
        <v>225</v>
      </c>
      <c r="AA885">
        <f t="shared" si="27"/>
        <v>225</v>
      </c>
      <c r="AB885" t="s">
        <v>16</v>
      </c>
    </row>
    <row r="886" spans="1:28" x14ac:dyDescent="0.3">
      <c r="A886" t="s">
        <v>4273</v>
      </c>
      <c r="B886" t="s">
        <v>4272</v>
      </c>
      <c r="C886" t="s">
        <v>4272</v>
      </c>
      <c r="D886" t="s">
        <v>0</v>
      </c>
      <c r="E886">
        <v>78</v>
      </c>
      <c r="F886">
        <v>78</v>
      </c>
      <c r="G886" t="s">
        <v>21</v>
      </c>
      <c r="H886" t="s">
        <v>21</v>
      </c>
      <c r="I886" t="s">
        <v>30</v>
      </c>
      <c r="J886" t="s">
        <v>30</v>
      </c>
      <c r="K886" s="1">
        <v>45999</v>
      </c>
      <c r="L886" s="1" t="str">
        <f>IF(K886&gt;O886,"Valid","Invalid")</f>
        <v>Valid</v>
      </c>
      <c r="M886" s="1" t="b">
        <f>ISNUMBER(K886)</f>
        <v>1</v>
      </c>
      <c r="N886" s="1" t="b">
        <f>ISNUMBER(O886)</f>
        <v>1</v>
      </c>
      <c r="O886" s="1">
        <v>45990</v>
      </c>
      <c r="P886" t="s">
        <v>4271</v>
      </c>
      <c r="Q886" t="str">
        <f>SUBSTITUTE(SUBSTITUTE(SUBSTITUTE(P886," ",""),"-",""),"+","")</f>
        <v>919224154305</v>
      </c>
      <c r="R886" t="str">
        <f t="shared" si="26"/>
        <v>9224154305</v>
      </c>
      <c r="S886" t="str">
        <f>IF(LEN(R886),"Valid","Invalid")</f>
        <v>Valid</v>
      </c>
      <c r="T886" t="s">
        <v>4270</v>
      </c>
      <c r="V886" t="s">
        <v>123</v>
      </c>
      <c r="X886">
        <v>24199.599999999999</v>
      </c>
      <c r="Y886" t="s">
        <v>57</v>
      </c>
      <c r="Z886">
        <v>239</v>
      </c>
      <c r="AA886">
        <f t="shared" si="27"/>
        <v>239</v>
      </c>
      <c r="AB886" t="s">
        <v>50</v>
      </c>
    </row>
    <row r="887" spans="1:28" x14ac:dyDescent="0.3">
      <c r="A887" t="s">
        <v>4269</v>
      </c>
      <c r="B887" t="s">
        <v>4268</v>
      </c>
      <c r="C887" t="s">
        <v>4268</v>
      </c>
      <c r="E887">
        <v>11</v>
      </c>
      <c r="F887">
        <v>11</v>
      </c>
      <c r="G887" t="s">
        <v>31</v>
      </c>
      <c r="H887" t="s">
        <v>31</v>
      </c>
      <c r="I887" t="s">
        <v>90</v>
      </c>
      <c r="J887" t="s">
        <v>67</v>
      </c>
      <c r="K887" s="1">
        <v>46031</v>
      </c>
      <c r="L887" s="1" t="str">
        <f>IF(K887&gt;O887,"Valid","Invalid")</f>
        <v>Valid</v>
      </c>
      <c r="M887" s="1" t="b">
        <f>ISNUMBER(K887)</f>
        <v>1</v>
      </c>
      <c r="N887" s="1" t="b">
        <f>ISNUMBER(O887)</f>
        <v>1</v>
      </c>
      <c r="O887" s="1">
        <v>46019</v>
      </c>
      <c r="P887" t="s">
        <v>4267</v>
      </c>
      <c r="Q887" t="str">
        <f>SUBSTITUTE(SUBSTITUTE(SUBSTITUTE(P887," ",""),"-",""),"+","")</f>
        <v>08809071866</v>
      </c>
      <c r="R887" t="str">
        <f t="shared" si="26"/>
        <v>8809071866</v>
      </c>
      <c r="S887" t="str">
        <f>IF(LEN(R887),"Valid","Invalid")</f>
        <v>Valid</v>
      </c>
      <c r="T887" t="s">
        <v>4266</v>
      </c>
      <c r="V887" t="s">
        <v>35</v>
      </c>
      <c r="X887">
        <v>11873.69</v>
      </c>
      <c r="Y887" t="s">
        <v>123</v>
      </c>
      <c r="Z887">
        <v>358</v>
      </c>
      <c r="AA887">
        <f t="shared" si="27"/>
        <v>358</v>
      </c>
      <c r="AB887" t="s">
        <v>34</v>
      </c>
    </row>
    <row r="888" spans="1:28" x14ac:dyDescent="0.3">
      <c r="A888" t="s">
        <v>4265</v>
      </c>
      <c r="B888" t="s">
        <v>4264</v>
      </c>
      <c r="C888" t="s">
        <v>4264</v>
      </c>
      <c r="D888" t="s">
        <v>123</v>
      </c>
      <c r="E888">
        <v>20</v>
      </c>
      <c r="F888">
        <v>20</v>
      </c>
      <c r="G888" t="s">
        <v>68</v>
      </c>
      <c r="H888" t="s">
        <v>68</v>
      </c>
      <c r="I888" t="s">
        <v>46</v>
      </c>
      <c r="J888" t="s">
        <v>46</v>
      </c>
      <c r="K888" s="1">
        <v>46133</v>
      </c>
      <c r="L888" s="1" t="str">
        <f>IF(K888&gt;O888,"Valid","Invalid")</f>
        <v>Valid</v>
      </c>
      <c r="M888" s="1" t="b">
        <f>ISNUMBER(K888)</f>
        <v>1</v>
      </c>
      <c r="N888" s="1" t="b">
        <f>ISNUMBER(O888)</f>
        <v>1</v>
      </c>
      <c r="O888" s="1">
        <v>46109</v>
      </c>
      <c r="P888" t="s">
        <v>4263</v>
      </c>
      <c r="Q888" t="str">
        <f>SUBSTITUTE(SUBSTITUTE(SUBSTITUTE(P888," ",""),"-",""),"+","")</f>
        <v>6119441559</v>
      </c>
      <c r="R888" t="str">
        <f t="shared" si="26"/>
        <v>6119441559</v>
      </c>
      <c r="S888" t="str">
        <f>IF(LEN(R888),"Valid","Invalid")</f>
        <v>Valid</v>
      </c>
      <c r="T888" t="s">
        <v>4262</v>
      </c>
      <c r="V888" t="s">
        <v>123</v>
      </c>
      <c r="X888">
        <v>10799.45</v>
      </c>
      <c r="Y888" t="s">
        <v>64</v>
      </c>
      <c r="Z888">
        <v>488</v>
      </c>
      <c r="AA888">
        <f t="shared" si="27"/>
        <v>488</v>
      </c>
      <c r="AB888" t="s">
        <v>43</v>
      </c>
    </row>
    <row r="889" spans="1:28" x14ac:dyDescent="0.3">
      <c r="A889" t="s">
        <v>4261</v>
      </c>
      <c r="B889" t="s">
        <v>4260</v>
      </c>
      <c r="C889" t="s">
        <v>4260</v>
      </c>
      <c r="D889" t="s">
        <v>0</v>
      </c>
      <c r="E889">
        <v>71</v>
      </c>
      <c r="F889">
        <v>71</v>
      </c>
      <c r="G889" t="s">
        <v>39</v>
      </c>
      <c r="H889" t="s">
        <v>39</v>
      </c>
      <c r="I889" t="s">
        <v>30</v>
      </c>
      <c r="J889" t="s">
        <v>30</v>
      </c>
      <c r="K889" s="1">
        <v>46015</v>
      </c>
      <c r="L889" s="1" t="str">
        <f>IF(K889&gt;O889,"Valid","Invalid")</f>
        <v>Valid</v>
      </c>
      <c r="M889" s="1" t="b">
        <f>ISNUMBER(K889)</f>
        <v>1</v>
      </c>
      <c r="N889" s="1" t="b">
        <f>ISNUMBER(O889)</f>
        <v>1</v>
      </c>
      <c r="O889" s="1">
        <v>46003</v>
      </c>
      <c r="P889" t="s">
        <v>4259</v>
      </c>
      <c r="Q889" t="str">
        <f>SUBSTITUTE(SUBSTITUTE(SUBSTITUTE(P889," ",""),"-",""),"+","")</f>
        <v>00337612730</v>
      </c>
      <c r="R889" t="str">
        <f t="shared" si="26"/>
        <v>0337612730</v>
      </c>
      <c r="S889" t="str">
        <f>IF(LEN(R889),"Valid","Invalid")</f>
        <v>Valid</v>
      </c>
      <c r="T889" t="s">
        <v>4258</v>
      </c>
      <c r="V889" t="s">
        <v>123</v>
      </c>
      <c r="X889">
        <v>7785.01</v>
      </c>
      <c r="Y889" t="s">
        <v>63</v>
      </c>
      <c r="Z889">
        <v>292</v>
      </c>
      <c r="AA889">
        <f t="shared" si="27"/>
        <v>292</v>
      </c>
      <c r="AB889" t="s">
        <v>34</v>
      </c>
    </row>
    <row r="890" spans="1:28" x14ac:dyDescent="0.3">
      <c r="A890" t="s">
        <v>4257</v>
      </c>
      <c r="B890" t="s">
        <v>4256</v>
      </c>
      <c r="C890" t="s">
        <v>4256</v>
      </c>
      <c r="E890">
        <v>10</v>
      </c>
      <c r="F890">
        <v>10</v>
      </c>
      <c r="G890" t="s">
        <v>31</v>
      </c>
      <c r="H890" t="s">
        <v>31</v>
      </c>
      <c r="I890" t="s">
        <v>53</v>
      </c>
      <c r="J890" t="s">
        <v>20</v>
      </c>
      <c r="K890" s="1">
        <v>46098</v>
      </c>
      <c r="L890" s="1" t="str">
        <f>IF(K890&gt;O890,"Valid","Invalid")</f>
        <v>Valid</v>
      </c>
      <c r="M890" s="1" t="b">
        <f>ISNUMBER(K890)</f>
        <v>1</v>
      </c>
      <c r="N890" s="1" t="b">
        <f>ISNUMBER(O890)</f>
        <v>1</v>
      </c>
      <c r="O890" s="1">
        <v>46076</v>
      </c>
      <c r="P890" t="s">
        <v>4255</v>
      </c>
      <c r="Q890" t="str">
        <f>SUBSTITUTE(SUBSTITUTE(SUBSTITUTE(P890," ",""),"-",""),"+","")</f>
        <v>916443921863</v>
      </c>
      <c r="R890" t="str">
        <f t="shared" si="26"/>
        <v>6443921863</v>
      </c>
      <c r="S890" t="str">
        <f>IF(LEN(R890),"Valid","Invalid")</f>
        <v>Valid</v>
      </c>
      <c r="T890" t="s">
        <v>4254</v>
      </c>
      <c r="V890" t="s">
        <v>123</v>
      </c>
      <c r="X890">
        <v>5053.75</v>
      </c>
      <c r="Y890" t="s">
        <v>57</v>
      </c>
      <c r="Z890">
        <v>102</v>
      </c>
      <c r="AA890">
        <f t="shared" si="27"/>
        <v>102</v>
      </c>
      <c r="AB890" t="s">
        <v>77</v>
      </c>
    </row>
    <row r="891" spans="1:28" x14ac:dyDescent="0.3">
      <c r="A891" t="s">
        <v>4253</v>
      </c>
      <c r="B891" t="s">
        <v>4252</v>
      </c>
      <c r="C891" t="s">
        <v>4252</v>
      </c>
      <c r="D891" t="s">
        <v>60</v>
      </c>
      <c r="E891">
        <v>63</v>
      </c>
      <c r="F891">
        <v>63</v>
      </c>
      <c r="G891" t="s">
        <v>54</v>
      </c>
      <c r="H891" t="s">
        <v>54</v>
      </c>
      <c r="I891" t="s">
        <v>90</v>
      </c>
      <c r="J891" t="s">
        <v>67</v>
      </c>
      <c r="K891" s="1">
        <v>46109</v>
      </c>
      <c r="L891" s="1" t="str">
        <f>IF(K891&gt;O891,"Valid","Invalid")</f>
        <v>Valid</v>
      </c>
      <c r="M891" s="1" t="b">
        <f>ISNUMBER(K891)</f>
        <v>1</v>
      </c>
      <c r="N891" s="1" t="b">
        <f>ISNUMBER(O891)</f>
        <v>1</v>
      </c>
      <c r="O891" s="1">
        <v>46079</v>
      </c>
      <c r="P891" t="s">
        <v>4251</v>
      </c>
      <c r="Q891" t="str">
        <f>SUBSTITUTE(SUBSTITUTE(SUBSTITUTE(P891," ",""),"-",""),"+","")</f>
        <v>01528683574</v>
      </c>
      <c r="R891" t="str">
        <f t="shared" si="26"/>
        <v>1528683574</v>
      </c>
      <c r="S891" t="str">
        <f>IF(LEN(R891),"Valid","Invalid")</f>
        <v>Valid</v>
      </c>
      <c r="T891" t="s">
        <v>4250</v>
      </c>
      <c r="V891" t="s">
        <v>123</v>
      </c>
      <c r="X891">
        <v>24268.22</v>
      </c>
      <c r="Y891" t="s">
        <v>17</v>
      </c>
      <c r="Z891">
        <v>296</v>
      </c>
      <c r="AA891">
        <f t="shared" si="27"/>
        <v>296</v>
      </c>
      <c r="AB891" t="s">
        <v>16</v>
      </c>
    </row>
    <row r="892" spans="1:28" x14ac:dyDescent="0.3">
      <c r="A892" t="s">
        <v>4249</v>
      </c>
      <c r="B892" t="s">
        <v>4248</v>
      </c>
      <c r="C892" t="s">
        <v>4248</v>
      </c>
      <c r="D892" t="s">
        <v>22</v>
      </c>
      <c r="E892">
        <v>83</v>
      </c>
      <c r="F892">
        <v>83</v>
      </c>
      <c r="G892" t="s">
        <v>80</v>
      </c>
      <c r="H892" t="s">
        <v>80</v>
      </c>
      <c r="I892" t="s">
        <v>90</v>
      </c>
      <c r="J892" t="s">
        <v>67</v>
      </c>
      <c r="K892" s="1">
        <v>46122</v>
      </c>
      <c r="L892" s="1" t="str">
        <f>IF(K892&gt;O892,"Valid","Invalid")</f>
        <v>Valid</v>
      </c>
      <c r="M892" s="1" t="b">
        <f>ISNUMBER(K892)</f>
        <v>1</v>
      </c>
      <c r="N892" s="1" t="b">
        <f>ISNUMBER(O892)</f>
        <v>1</v>
      </c>
      <c r="O892" s="1">
        <v>46094</v>
      </c>
      <c r="P892" t="s">
        <v>4247</v>
      </c>
      <c r="Q892" t="str">
        <f>SUBSTITUTE(SUBSTITUTE(SUBSTITUTE(P892," ",""),"-",""),"+","")</f>
        <v>03181393333</v>
      </c>
      <c r="R892" t="str">
        <f t="shared" si="26"/>
        <v>3181393333</v>
      </c>
      <c r="S892" t="str">
        <f>IF(LEN(R892),"Valid","Invalid")</f>
        <v>Valid</v>
      </c>
      <c r="T892" t="s">
        <v>4246</v>
      </c>
      <c r="V892" t="s">
        <v>27</v>
      </c>
      <c r="X892">
        <v>24813.32</v>
      </c>
      <c r="Y892" t="s">
        <v>64</v>
      </c>
      <c r="Z892">
        <v>297</v>
      </c>
      <c r="AA892">
        <f t="shared" si="27"/>
        <v>297</v>
      </c>
      <c r="AB892" t="s">
        <v>34</v>
      </c>
    </row>
    <row r="893" spans="1:28" x14ac:dyDescent="0.3">
      <c r="A893" t="s">
        <v>4245</v>
      </c>
      <c r="B893" t="s">
        <v>4244</v>
      </c>
      <c r="C893" t="s">
        <v>4244</v>
      </c>
      <c r="D893" t="s">
        <v>0</v>
      </c>
      <c r="E893">
        <v>25</v>
      </c>
      <c r="F893">
        <v>25</v>
      </c>
      <c r="G893" t="s">
        <v>54</v>
      </c>
      <c r="H893" t="s">
        <v>54</v>
      </c>
      <c r="I893" t="s">
        <v>30</v>
      </c>
      <c r="J893" t="s">
        <v>30</v>
      </c>
      <c r="K893" s="1">
        <v>46006</v>
      </c>
      <c r="L893" s="1" t="str">
        <f>IF(K893&gt;O893,"Valid","Invalid")</f>
        <v>Valid</v>
      </c>
      <c r="M893" s="1" t="b">
        <f>ISNUMBER(K893)</f>
        <v>1</v>
      </c>
      <c r="N893" s="1" t="b">
        <f>ISNUMBER(O893)</f>
        <v>1</v>
      </c>
      <c r="O893" s="1">
        <v>45982</v>
      </c>
      <c r="P893" t="s">
        <v>4243</v>
      </c>
      <c r="Q893" t="str">
        <f>SUBSTITUTE(SUBSTITUTE(SUBSTITUTE(P893," ",""),"-",""),"+","")</f>
        <v>2319703283</v>
      </c>
      <c r="R893" t="str">
        <f t="shared" si="26"/>
        <v>2319703283</v>
      </c>
      <c r="S893" t="str">
        <f>IF(LEN(R893),"Valid","Invalid")</f>
        <v>Valid</v>
      </c>
      <c r="T893" t="s">
        <v>4242</v>
      </c>
      <c r="V893" t="s">
        <v>57</v>
      </c>
      <c r="X893">
        <v>12838.29</v>
      </c>
      <c r="Y893" t="s">
        <v>123</v>
      </c>
      <c r="Z893">
        <v>425</v>
      </c>
      <c r="AA893">
        <f t="shared" si="27"/>
        <v>425</v>
      </c>
      <c r="AB893" t="s">
        <v>25</v>
      </c>
    </row>
    <row r="894" spans="1:28" x14ac:dyDescent="0.3">
      <c r="A894" t="s">
        <v>4241</v>
      </c>
      <c r="B894" t="s">
        <v>4240</v>
      </c>
      <c r="C894" t="s">
        <v>4240</v>
      </c>
      <c r="D894" t="s">
        <v>60</v>
      </c>
      <c r="E894">
        <v>90</v>
      </c>
      <c r="F894">
        <v>90</v>
      </c>
      <c r="G894" t="s">
        <v>47</v>
      </c>
      <c r="H894" t="s">
        <v>47</v>
      </c>
      <c r="I894" t="s">
        <v>90</v>
      </c>
      <c r="J894" t="s">
        <v>67</v>
      </c>
      <c r="K894" s="1">
        <v>46060</v>
      </c>
      <c r="L894" s="1" t="str">
        <f>IF(K894&gt;O894,"Valid","Invalid")</f>
        <v>Valid</v>
      </c>
      <c r="M894" s="1" t="b">
        <f>ISNUMBER(K894)</f>
        <v>1</v>
      </c>
      <c r="N894" s="1" t="b">
        <f>ISNUMBER(O894)</f>
        <v>1</v>
      </c>
      <c r="O894" s="1">
        <v>46031</v>
      </c>
      <c r="P894" t="s">
        <v>4239</v>
      </c>
      <c r="Q894" t="str">
        <f>SUBSTITUTE(SUBSTITUTE(SUBSTITUTE(P894," ",""),"-",""),"+","")</f>
        <v>917348496772</v>
      </c>
      <c r="R894" t="str">
        <f t="shared" si="26"/>
        <v>7348496772</v>
      </c>
      <c r="S894" t="str">
        <f>IF(LEN(R894),"Valid","Invalid")</f>
        <v>Valid</v>
      </c>
      <c r="T894" t="s">
        <v>4238</v>
      </c>
      <c r="V894" t="s">
        <v>123</v>
      </c>
      <c r="X894">
        <v>18444.47</v>
      </c>
      <c r="Y894" t="s">
        <v>57</v>
      </c>
      <c r="Z894">
        <v>344</v>
      </c>
      <c r="AA894">
        <f t="shared" si="27"/>
        <v>344</v>
      </c>
      <c r="AB894" t="s">
        <v>77</v>
      </c>
    </row>
    <row r="895" spans="1:28" x14ac:dyDescent="0.3">
      <c r="A895" t="s">
        <v>4237</v>
      </c>
      <c r="B895" t="s">
        <v>4236</v>
      </c>
      <c r="C895" t="s">
        <v>4236</v>
      </c>
      <c r="D895" t="s">
        <v>60</v>
      </c>
      <c r="E895">
        <v>81</v>
      </c>
      <c r="F895">
        <v>81</v>
      </c>
      <c r="G895" t="s">
        <v>47</v>
      </c>
      <c r="H895" t="s">
        <v>47</v>
      </c>
      <c r="I895" t="s">
        <v>53</v>
      </c>
      <c r="J895" t="s">
        <v>20</v>
      </c>
      <c r="K895" s="1">
        <v>46066</v>
      </c>
      <c r="L895" s="1" t="str">
        <f>IF(K895&gt;O895,"Valid","Invalid")</f>
        <v>Valid</v>
      </c>
      <c r="M895" s="1" t="b">
        <f>ISNUMBER(K895)</f>
        <v>1</v>
      </c>
      <c r="N895" s="1" t="b">
        <f>ISNUMBER(O895)</f>
        <v>1</v>
      </c>
      <c r="O895" s="1">
        <v>46058</v>
      </c>
      <c r="P895" t="s">
        <v>4235</v>
      </c>
      <c r="Q895" t="str">
        <f>SUBSTITUTE(SUBSTITUTE(SUBSTITUTE(P895," ",""),"-",""),"+","")</f>
        <v>911798073999</v>
      </c>
      <c r="R895" t="str">
        <f t="shared" si="26"/>
        <v>1798073999</v>
      </c>
      <c r="S895" t="str">
        <f>IF(LEN(R895),"Valid","Invalid")</f>
        <v>Valid</v>
      </c>
      <c r="T895" t="s">
        <v>4234</v>
      </c>
      <c r="V895" t="s">
        <v>123</v>
      </c>
      <c r="X895">
        <v>23617.78</v>
      </c>
      <c r="Y895" t="s">
        <v>26</v>
      </c>
      <c r="Z895">
        <v>230</v>
      </c>
      <c r="AA895">
        <f t="shared" si="27"/>
        <v>230</v>
      </c>
      <c r="AB895" t="s">
        <v>71</v>
      </c>
    </row>
    <row r="896" spans="1:28" x14ac:dyDescent="0.3">
      <c r="A896" t="s">
        <v>4233</v>
      </c>
      <c r="B896" t="s">
        <v>4232</v>
      </c>
      <c r="C896" t="s">
        <v>4232</v>
      </c>
      <c r="D896" t="s">
        <v>0</v>
      </c>
      <c r="E896">
        <v>2</v>
      </c>
      <c r="F896">
        <v>2</v>
      </c>
      <c r="G896" t="s">
        <v>80</v>
      </c>
      <c r="H896" t="s">
        <v>80</v>
      </c>
      <c r="I896" t="s">
        <v>20</v>
      </c>
      <c r="J896" t="s">
        <v>20</v>
      </c>
      <c r="K896" s="1">
        <v>46159</v>
      </c>
      <c r="L896" s="1" t="str">
        <f>IF(K896&gt;O896,"Valid","Invalid")</f>
        <v>Valid</v>
      </c>
      <c r="M896" s="1" t="b">
        <f>ISNUMBER(K896)</f>
        <v>1</v>
      </c>
      <c r="N896" s="1" t="b">
        <f>ISNUMBER(O896)</f>
        <v>1</v>
      </c>
      <c r="O896" s="1">
        <v>46139</v>
      </c>
      <c r="P896" t="s">
        <v>4231</v>
      </c>
      <c r="Q896" t="str">
        <f>SUBSTITUTE(SUBSTITUTE(SUBSTITUTE(P896," ",""),"-",""),"+","")</f>
        <v>916995976467</v>
      </c>
      <c r="R896" t="str">
        <f t="shared" si="26"/>
        <v>6995976467</v>
      </c>
      <c r="S896" t="str">
        <f>IF(LEN(R896),"Valid","Invalid")</f>
        <v>Valid</v>
      </c>
      <c r="T896" t="s">
        <v>4230</v>
      </c>
      <c r="V896" t="s">
        <v>123</v>
      </c>
      <c r="X896">
        <v>10062.14</v>
      </c>
      <c r="Y896" t="s">
        <v>64</v>
      </c>
      <c r="Z896">
        <v>365</v>
      </c>
      <c r="AA896">
        <f t="shared" si="27"/>
        <v>365</v>
      </c>
      <c r="AB896" t="s">
        <v>71</v>
      </c>
    </row>
    <row r="897" spans="1:28" x14ac:dyDescent="0.3">
      <c r="A897" t="s">
        <v>4229</v>
      </c>
      <c r="B897" t="s">
        <v>4228</v>
      </c>
      <c r="C897" t="s">
        <v>4228</v>
      </c>
      <c r="D897" t="s">
        <v>123</v>
      </c>
      <c r="E897">
        <v>22</v>
      </c>
      <c r="F897">
        <v>22</v>
      </c>
      <c r="G897" t="s">
        <v>54</v>
      </c>
      <c r="H897" t="s">
        <v>54</v>
      </c>
      <c r="I897" t="s">
        <v>30</v>
      </c>
      <c r="J897" t="s">
        <v>30</v>
      </c>
      <c r="K897" s="1">
        <v>46027</v>
      </c>
      <c r="L897" s="1" t="str">
        <f>IF(K897&gt;O897,"Valid","Invalid")</f>
        <v>Valid</v>
      </c>
      <c r="M897" s="1" t="b">
        <f>ISNUMBER(K897)</f>
        <v>1</v>
      </c>
      <c r="N897" s="1" t="b">
        <f>ISNUMBER(O897)</f>
        <v>1</v>
      </c>
      <c r="O897" s="1">
        <v>46005</v>
      </c>
      <c r="P897" t="s">
        <v>4227</v>
      </c>
      <c r="Q897" t="str">
        <f>SUBSTITUTE(SUBSTITUTE(SUBSTITUTE(P897," ",""),"-",""),"+","")</f>
        <v>913186135085</v>
      </c>
      <c r="R897" t="str">
        <f t="shared" si="26"/>
        <v>3186135085</v>
      </c>
      <c r="S897" t="str">
        <f>IF(LEN(R897),"Valid","Invalid")</f>
        <v>Valid</v>
      </c>
      <c r="T897" t="s">
        <v>4226</v>
      </c>
      <c r="V897" t="s">
        <v>26</v>
      </c>
      <c r="X897">
        <v>12616.04</v>
      </c>
      <c r="Y897" t="s">
        <v>123</v>
      </c>
      <c r="Z897">
        <v>400</v>
      </c>
      <c r="AA897">
        <f t="shared" si="27"/>
        <v>400</v>
      </c>
      <c r="AB897" t="s">
        <v>43</v>
      </c>
    </row>
    <row r="898" spans="1:28" x14ac:dyDescent="0.3">
      <c r="A898" t="s">
        <v>4225</v>
      </c>
      <c r="B898" t="s">
        <v>4224</v>
      </c>
      <c r="C898" t="s">
        <v>4224</v>
      </c>
      <c r="D898" t="s">
        <v>123</v>
      </c>
      <c r="E898">
        <v>12</v>
      </c>
      <c r="F898">
        <v>12</v>
      </c>
      <c r="G898" t="s">
        <v>80</v>
      </c>
      <c r="H898" t="s">
        <v>80</v>
      </c>
      <c r="I898" t="s">
        <v>67</v>
      </c>
      <c r="J898" t="s">
        <v>67</v>
      </c>
      <c r="K898" s="1">
        <v>46148</v>
      </c>
      <c r="L898" s="1" t="str">
        <f>IF(K898&gt;O898,"Valid","Invalid")</f>
        <v>Valid</v>
      </c>
      <c r="M898" s="1" t="b">
        <f>ISNUMBER(K898)</f>
        <v>1</v>
      </c>
      <c r="N898" s="1" t="b">
        <f>ISNUMBER(O898)</f>
        <v>1</v>
      </c>
      <c r="O898" s="1">
        <v>46122</v>
      </c>
      <c r="P898" t="s">
        <v>4223</v>
      </c>
      <c r="Q898" t="str">
        <f>SUBSTITUTE(SUBSTITUTE(SUBSTITUTE(P898," ",""),"-",""),"+","")</f>
        <v>01304012708</v>
      </c>
      <c r="R898" t="str">
        <f t="shared" si="26"/>
        <v>1304012708</v>
      </c>
      <c r="S898" t="str">
        <f>IF(LEN(R898),"Valid","Invalid")</f>
        <v>Valid</v>
      </c>
      <c r="T898" t="s">
        <v>4222</v>
      </c>
      <c r="V898" t="s">
        <v>35</v>
      </c>
      <c r="X898">
        <v>6871.73</v>
      </c>
      <c r="Y898" t="s">
        <v>57</v>
      </c>
      <c r="Z898">
        <v>483</v>
      </c>
      <c r="AA898">
        <f t="shared" si="27"/>
        <v>483</v>
      </c>
      <c r="AB898" t="s">
        <v>16</v>
      </c>
    </row>
    <row r="899" spans="1:28" x14ac:dyDescent="0.3">
      <c r="A899" t="s">
        <v>4217</v>
      </c>
      <c r="B899" t="s">
        <v>4216</v>
      </c>
      <c r="C899" t="s">
        <v>4216</v>
      </c>
      <c r="D899" t="s">
        <v>22</v>
      </c>
      <c r="E899">
        <v>56</v>
      </c>
      <c r="F899">
        <v>56</v>
      </c>
      <c r="G899" t="s">
        <v>39</v>
      </c>
      <c r="H899" t="s">
        <v>39</v>
      </c>
      <c r="I899" t="s">
        <v>53</v>
      </c>
      <c r="J899" t="s">
        <v>20</v>
      </c>
      <c r="K899" s="1">
        <v>46124</v>
      </c>
      <c r="L899" s="1" t="str">
        <f>IF(K899&gt;O899,"Valid","Invalid")</f>
        <v>Valid</v>
      </c>
      <c r="M899" s="1" t="b">
        <f>ISNUMBER(K899)</f>
        <v>1</v>
      </c>
      <c r="N899" s="1" t="b">
        <f>ISNUMBER(O899)</f>
        <v>1</v>
      </c>
      <c r="O899" s="1">
        <v>46113</v>
      </c>
      <c r="P899" t="s">
        <v>4215</v>
      </c>
      <c r="Q899" t="str">
        <f>SUBSTITUTE(SUBSTITUTE(SUBSTITUTE(P899," ",""),"-",""),"+","")</f>
        <v>7871151062</v>
      </c>
      <c r="R899" t="str">
        <f t="shared" si="26"/>
        <v>7871151062</v>
      </c>
      <c r="S899" t="str">
        <f>IF(LEN(R899),"Valid","Invalid")</f>
        <v>Valid</v>
      </c>
      <c r="T899" t="s">
        <v>4214</v>
      </c>
      <c r="V899" t="s">
        <v>35</v>
      </c>
      <c r="X899">
        <v>17660.37</v>
      </c>
      <c r="Y899" t="s">
        <v>57</v>
      </c>
      <c r="Z899">
        <v>349</v>
      </c>
      <c r="AA899">
        <f t="shared" si="27"/>
        <v>349</v>
      </c>
      <c r="AB899" t="s">
        <v>71</v>
      </c>
    </row>
    <row r="900" spans="1:28" x14ac:dyDescent="0.3">
      <c r="A900" t="s">
        <v>4213</v>
      </c>
      <c r="B900" t="s">
        <v>4212</v>
      </c>
      <c r="C900" t="s">
        <v>4212</v>
      </c>
      <c r="D900" t="s">
        <v>74</v>
      </c>
      <c r="E900">
        <v>58</v>
      </c>
      <c r="F900">
        <v>58</v>
      </c>
      <c r="G900" t="s">
        <v>21</v>
      </c>
      <c r="H900" t="s">
        <v>21</v>
      </c>
      <c r="I900" t="s">
        <v>53</v>
      </c>
      <c r="J900" t="s">
        <v>20</v>
      </c>
      <c r="K900" s="1">
        <v>45981</v>
      </c>
      <c r="L900" s="1" t="str">
        <f>IF(K900&gt;O900,"Valid","Invalid")</f>
        <v>Valid</v>
      </c>
      <c r="M900" s="1" t="b">
        <f>ISNUMBER(K900)</f>
        <v>1</v>
      </c>
      <c r="N900" s="1" t="b">
        <f>ISNUMBER(O900)</f>
        <v>1</v>
      </c>
      <c r="O900" s="1">
        <v>45975</v>
      </c>
      <c r="P900" t="s">
        <v>4211</v>
      </c>
      <c r="Q900" t="str">
        <f>SUBSTITUTE(SUBSTITUTE(SUBSTITUTE(P900," ",""),"-",""),"+","")</f>
        <v>08824763397</v>
      </c>
      <c r="R900" t="str">
        <f t="shared" si="26"/>
        <v>8824763397</v>
      </c>
      <c r="S900" t="str">
        <f>IF(LEN(R900),"Valid","Invalid")</f>
        <v>Valid</v>
      </c>
      <c r="T900" t="s">
        <v>4210</v>
      </c>
      <c r="V900" t="s">
        <v>27</v>
      </c>
      <c r="X900">
        <v>18797.91</v>
      </c>
      <c r="Y900" t="s">
        <v>57</v>
      </c>
      <c r="Z900">
        <v>232</v>
      </c>
      <c r="AA900">
        <f t="shared" si="27"/>
        <v>232</v>
      </c>
      <c r="AB900" t="s">
        <v>50</v>
      </c>
    </row>
    <row r="901" spans="1:28" x14ac:dyDescent="0.3">
      <c r="A901" t="s">
        <v>4209</v>
      </c>
      <c r="B901" t="s">
        <v>4208</v>
      </c>
      <c r="C901" t="s">
        <v>4208</v>
      </c>
      <c r="D901" t="s">
        <v>123</v>
      </c>
      <c r="E901">
        <v>57</v>
      </c>
      <c r="F901">
        <v>57</v>
      </c>
      <c r="G901" t="s">
        <v>80</v>
      </c>
      <c r="H901" t="s">
        <v>80</v>
      </c>
      <c r="I901" t="s">
        <v>53</v>
      </c>
      <c r="J901" t="s">
        <v>20</v>
      </c>
      <c r="K901" s="1">
        <v>46091</v>
      </c>
      <c r="L901" s="1" t="str">
        <f>IF(K901&gt;O901,"Valid","Invalid")</f>
        <v>Valid</v>
      </c>
      <c r="M901" s="1" t="b">
        <f>ISNUMBER(K901)</f>
        <v>1</v>
      </c>
      <c r="N901" s="1" t="b">
        <f>ISNUMBER(O901)</f>
        <v>1</v>
      </c>
      <c r="O901" s="1">
        <v>46089</v>
      </c>
      <c r="P901" t="s">
        <v>4207</v>
      </c>
      <c r="Q901" t="str">
        <f>SUBSTITUTE(SUBSTITUTE(SUBSTITUTE(P901," ",""),"-",""),"+","")</f>
        <v>914890147030</v>
      </c>
      <c r="R901" t="str">
        <f t="shared" ref="R901:R964" si="28">RIGHT(Q901,10)</f>
        <v>4890147030</v>
      </c>
      <c r="S901" t="str">
        <f>IF(LEN(R901),"Valid","Invalid")</f>
        <v>Valid</v>
      </c>
      <c r="T901" t="s">
        <v>4206</v>
      </c>
      <c r="V901" t="s">
        <v>26</v>
      </c>
      <c r="X901">
        <v>2325.54</v>
      </c>
      <c r="Y901" t="s">
        <v>64</v>
      </c>
      <c r="Z901">
        <v>241</v>
      </c>
      <c r="AA901">
        <f t="shared" ref="AA901:AA964" si="29">IF(Z901="Room-x",0,Z901)</f>
        <v>241</v>
      </c>
      <c r="AB901" t="s">
        <v>77</v>
      </c>
    </row>
    <row r="902" spans="1:28" x14ac:dyDescent="0.3">
      <c r="A902" t="s">
        <v>4205</v>
      </c>
      <c r="B902" t="s">
        <v>4204</v>
      </c>
      <c r="C902" t="s">
        <v>4204</v>
      </c>
      <c r="D902" t="s">
        <v>60</v>
      </c>
      <c r="E902">
        <v>4</v>
      </c>
      <c r="F902">
        <v>4</v>
      </c>
      <c r="G902" t="s">
        <v>21</v>
      </c>
      <c r="H902" t="s">
        <v>21</v>
      </c>
      <c r="I902" t="s">
        <v>85</v>
      </c>
      <c r="J902" t="s">
        <v>85</v>
      </c>
      <c r="K902" s="1">
        <v>45996</v>
      </c>
      <c r="L902" s="1" t="str">
        <f>IF(K902&gt;O902,"Valid","Invalid")</f>
        <v>Valid</v>
      </c>
      <c r="M902" s="1" t="b">
        <f>ISNUMBER(K902)</f>
        <v>1</v>
      </c>
      <c r="N902" s="1" t="b">
        <f>ISNUMBER(O902)</f>
        <v>1</v>
      </c>
      <c r="O902" s="1">
        <v>45981</v>
      </c>
      <c r="P902" t="s">
        <v>4203</v>
      </c>
      <c r="Q902" t="str">
        <f>SUBSTITUTE(SUBSTITUTE(SUBSTITUTE(P902," ",""),"-",""),"+","")</f>
        <v>7076815594</v>
      </c>
      <c r="R902" t="str">
        <f t="shared" si="28"/>
        <v>7076815594</v>
      </c>
      <c r="S902" t="str">
        <f>IF(LEN(R902),"Valid","Invalid")</f>
        <v>Valid</v>
      </c>
      <c r="T902" t="s">
        <v>4202</v>
      </c>
      <c r="V902" t="s">
        <v>64</v>
      </c>
      <c r="X902">
        <v>435.76</v>
      </c>
      <c r="Y902" t="s">
        <v>63</v>
      </c>
      <c r="Z902">
        <v>484</v>
      </c>
      <c r="AA902">
        <f t="shared" si="29"/>
        <v>484</v>
      </c>
      <c r="AB902" t="s">
        <v>77</v>
      </c>
    </row>
    <row r="903" spans="1:28" x14ac:dyDescent="0.3">
      <c r="A903" t="s">
        <v>4201</v>
      </c>
      <c r="B903" t="s">
        <v>4200</v>
      </c>
      <c r="C903" t="s">
        <v>4200</v>
      </c>
      <c r="D903" t="s">
        <v>40</v>
      </c>
      <c r="E903">
        <v>13</v>
      </c>
      <c r="F903">
        <v>13</v>
      </c>
      <c r="G903" t="s">
        <v>21</v>
      </c>
      <c r="H903" t="s">
        <v>21</v>
      </c>
      <c r="I903" t="s">
        <v>46</v>
      </c>
      <c r="J903" t="s">
        <v>46</v>
      </c>
      <c r="K903" s="1">
        <v>46057</v>
      </c>
      <c r="L903" s="1" t="str">
        <f>IF(K903&gt;O903,"Valid","Invalid")</f>
        <v>Valid</v>
      </c>
      <c r="M903" s="1" t="b">
        <f>ISNUMBER(K903)</f>
        <v>1</v>
      </c>
      <c r="N903" s="1" t="b">
        <f>ISNUMBER(O903)</f>
        <v>1</v>
      </c>
      <c r="O903" s="1">
        <v>46045</v>
      </c>
      <c r="P903" t="s">
        <v>4199</v>
      </c>
      <c r="Q903" t="str">
        <f>SUBSTITUTE(SUBSTITUTE(SUBSTITUTE(P903," ",""),"-",""),"+","")</f>
        <v>916114411405</v>
      </c>
      <c r="R903" t="str">
        <f t="shared" si="28"/>
        <v>6114411405</v>
      </c>
      <c r="S903" t="str">
        <f>IF(LEN(R903),"Valid","Invalid")</f>
        <v>Valid</v>
      </c>
      <c r="T903" t="s">
        <v>4198</v>
      </c>
      <c r="V903" t="s">
        <v>26</v>
      </c>
      <c r="X903">
        <v>23316.78</v>
      </c>
      <c r="Y903" t="s">
        <v>123</v>
      </c>
      <c r="Z903">
        <v>487</v>
      </c>
      <c r="AA903">
        <f t="shared" si="29"/>
        <v>487</v>
      </c>
      <c r="AB903" t="s">
        <v>43</v>
      </c>
    </row>
    <row r="904" spans="1:28" x14ac:dyDescent="0.3">
      <c r="A904" t="s">
        <v>4197</v>
      </c>
      <c r="B904" t="s">
        <v>4196</v>
      </c>
      <c r="C904" t="s">
        <v>4196</v>
      </c>
      <c r="D904" t="s">
        <v>123</v>
      </c>
      <c r="E904">
        <v>44</v>
      </c>
      <c r="F904">
        <v>44</v>
      </c>
      <c r="G904" t="s">
        <v>31</v>
      </c>
      <c r="H904" t="s">
        <v>31</v>
      </c>
      <c r="I904" t="s">
        <v>67</v>
      </c>
      <c r="J904" t="s">
        <v>67</v>
      </c>
      <c r="K904" s="1">
        <v>46056</v>
      </c>
      <c r="L904" s="1" t="str">
        <f>IF(K904&gt;O904,"Valid","Invalid")</f>
        <v>Valid</v>
      </c>
      <c r="M904" s="1" t="b">
        <f>ISNUMBER(K904)</f>
        <v>1</v>
      </c>
      <c r="N904" s="1" t="b">
        <f>ISNUMBER(O904)</f>
        <v>1</v>
      </c>
      <c r="O904" s="1">
        <v>46046</v>
      </c>
      <c r="P904" t="s">
        <v>4195</v>
      </c>
      <c r="Q904" t="str">
        <f>SUBSTITUTE(SUBSTITUTE(SUBSTITUTE(P904," ",""),"-",""),"+","")</f>
        <v>917757353448</v>
      </c>
      <c r="R904" t="str">
        <f t="shared" si="28"/>
        <v>7757353448</v>
      </c>
      <c r="S904" t="str">
        <f>IF(LEN(R904),"Valid","Invalid")</f>
        <v>Valid</v>
      </c>
      <c r="T904" t="s">
        <v>4194</v>
      </c>
      <c r="V904" t="s">
        <v>17</v>
      </c>
      <c r="X904">
        <v>23536.58</v>
      </c>
      <c r="Y904" t="s">
        <v>123</v>
      </c>
      <c r="Z904">
        <v>293</v>
      </c>
      <c r="AA904">
        <f t="shared" si="29"/>
        <v>293</v>
      </c>
      <c r="AB904" t="s">
        <v>34</v>
      </c>
    </row>
    <row r="905" spans="1:28" x14ac:dyDescent="0.3">
      <c r="A905" t="s">
        <v>4189</v>
      </c>
      <c r="B905" t="s">
        <v>4188</v>
      </c>
      <c r="C905" t="s">
        <v>4188</v>
      </c>
      <c r="D905" t="s">
        <v>0</v>
      </c>
      <c r="E905">
        <v>4</v>
      </c>
      <c r="F905">
        <v>4</v>
      </c>
      <c r="G905" t="s">
        <v>80</v>
      </c>
      <c r="H905" t="s">
        <v>80</v>
      </c>
      <c r="I905" t="s">
        <v>30</v>
      </c>
      <c r="J905" t="s">
        <v>30</v>
      </c>
      <c r="K905" s="1">
        <v>46133</v>
      </c>
      <c r="L905" s="1" t="str">
        <f>IF(K905&gt;O905,"Valid","Invalid")</f>
        <v>Valid</v>
      </c>
      <c r="M905" s="1" t="b">
        <f>ISNUMBER(K905)</f>
        <v>1</v>
      </c>
      <c r="N905" s="1" t="b">
        <f>ISNUMBER(O905)</f>
        <v>1</v>
      </c>
      <c r="O905" s="1">
        <v>46103</v>
      </c>
      <c r="P905" t="s">
        <v>4187</v>
      </c>
      <c r="Q905" t="str">
        <f>SUBSTITUTE(SUBSTITUTE(SUBSTITUTE(P905," ",""),"-",""),"+","")</f>
        <v>03517952085</v>
      </c>
      <c r="R905" t="str">
        <f t="shared" si="28"/>
        <v>3517952085</v>
      </c>
      <c r="S905" t="str">
        <f>IF(LEN(R905),"Valid","Invalid")</f>
        <v>Valid</v>
      </c>
      <c r="T905" t="s">
        <v>4186</v>
      </c>
      <c r="V905" t="s">
        <v>17</v>
      </c>
      <c r="X905">
        <v>9337.06</v>
      </c>
      <c r="Y905" t="s">
        <v>123</v>
      </c>
      <c r="Z905">
        <v>363</v>
      </c>
      <c r="AA905">
        <f t="shared" si="29"/>
        <v>363</v>
      </c>
      <c r="AB905" t="s">
        <v>16</v>
      </c>
    </row>
    <row r="906" spans="1:28" x14ac:dyDescent="0.3">
      <c r="A906" t="s">
        <v>4185</v>
      </c>
      <c r="B906" t="s">
        <v>4184</v>
      </c>
      <c r="C906" t="s">
        <v>4184</v>
      </c>
      <c r="D906" t="s">
        <v>1</v>
      </c>
      <c r="E906">
        <v>1</v>
      </c>
      <c r="F906">
        <v>1</v>
      </c>
      <c r="G906" t="s">
        <v>2278</v>
      </c>
      <c r="H906" t="s">
        <v>2278</v>
      </c>
      <c r="I906" t="s">
        <v>46</v>
      </c>
      <c r="J906" t="s">
        <v>46</v>
      </c>
      <c r="K906" s="1">
        <v>46084</v>
      </c>
      <c r="L906" s="1" t="str">
        <f>IF(K906&gt;O906,"Valid","Invalid")</f>
        <v>Valid</v>
      </c>
      <c r="M906" s="1" t="b">
        <f>ISNUMBER(K906)</f>
        <v>1</v>
      </c>
      <c r="N906" s="1" t="b">
        <f>ISNUMBER(O906)</f>
        <v>1</v>
      </c>
      <c r="O906" s="1">
        <v>46064</v>
      </c>
      <c r="P906" t="s">
        <v>4183</v>
      </c>
      <c r="Q906" t="str">
        <f>SUBSTITUTE(SUBSTITUTE(SUBSTITUTE(P906," ",""),"-",""),"+","")</f>
        <v>916054714035</v>
      </c>
      <c r="R906" t="str">
        <f t="shared" si="28"/>
        <v>6054714035</v>
      </c>
      <c r="S906" t="str">
        <f>IF(LEN(R906),"Valid","Invalid")</f>
        <v>Valid</v>
      </c>
      <c r="T906" t="s">
        <v>123</v>
      </c>
      <c r="V906" t="s">
        <v>57</v>
      </c>
      <c r="X906">
        <v>-500</v>
      </c>
      <c r="Y906" t="s">
        <v>17</v>
      </c>
      <c r="Z906">
        <v>447</v>
      </c>
      <c r="AA906">
        <f t="shared" si="29"/>
        <v>447</v>
      </c>
      <c r="AB906" t="s">
        <v>16</v>
      </c>
    </row>
    <row r="907" spans="1:28" x14ac:dyDescent="0.3">
      <c r="A907" t="s">
        <v>4182</v>
      </c>
      <c r="B907" t="s">
        <v>4181</v>
      </c>
      <c r="C907" t="s">
        <v>4181</v>
      </c>
      <c r="D907" t="s">
        <v>1</v>
      </c>
      <c r="E907">
        <v>78</v>
      </c>
      <c r="F907">
        <v>78</v>
      </c>
      <c r="G907" t="s">
        <v>68</v>
      </c>
      <c r="H907" t="s">
        <v>68</v>
      </c>
      <c r="I907" t="s">
        <v>90</v>
      </c>
      <c r="J907" t="s">
        <v>67</v>
      </c>
      <c r="K907" s="1">
        <v>46017</v>
      </c>
      <c r="L907" s="1" t="str">
        <f>IF(K907&gt;O907,"Valid","Invalid")</f>
        <v>Valid</v>
      </c>
      <c r="M907" s="1" t="b">
        <f>ISNUMBER(K907)</f>
        <v>1</v>
      </c>
      <c r="N907" s="1" t="b">
        <f>ISNUMBER(O907)</f>
        <v>1</v>
      </c>
      <c r="O907" s="1">
        <v>45994</v>
      </c>
      <c r="P907" t="s">
        <v>4180</v>
      </c>
      <c r="Q907" t="str">
        <f>SUBSTITUTE(SUBSTITUTE(SUBSTITUTE(P907," ",""),"-",""),"+","")</f>
        <v>4251423487</v>
      </c>
      <c r="R907" t="str">
        <f t="shared" si="28"/>
        <v>4251423487</v>
      </c>
      <c r="S907" t="str">
        <f>IF(LEN(R907),"Valid","Invalid")</f>
        <v>Valid</v>
      </c>
      <c r="T907" t="s">
        <v>4179</v>
      </c>
      <c r="V907" t="s">
        <v>64</v>
      </c>
      <c r="X907">
        <v>8838.68</v>
      </c>
      <c r="Y907" t="s">
        <v>123</v>
      </c>
      <c r="Z907">
        <v>437</v>
      </c>
      <c r="AA907">
        <f t="shared" si="29"/>
        <v>437</v>
      </c>
      <c r="AB907" t="s">
        <v>50</v>
      </c>
    </row>
    <row r="908" spans="1:28" x14ac:dyDescent="0.3">
      <c r="A908" t="s">
        <v>4178</v>
      </c>
      <c r="B908" t="s">
        <v>4177</v>
      </c>
      <c r="C908" t="s">
        <v>4177</v>
      </c>
      <c r="D908" t="s">
        <v>74</v>
      </c>
      <c r="E908">
        <v>50</v>
      </c>
      <c r="F908">
        <v>50</v>
      </c>
      <c r="G908" t="s">
        <v>132</v>
      </c>
      <c r="H908" t="s">
        <v>132</v>
      </c>
      <c r="I908" t="s">
        <v>38</v>
      </c>
      <c r="J908" t="s">
        <v>8077</v>
      </c>
      <c r="K908" s="1">
        <v>46018</v>
      </c>
      <c r="L908" s="1" t="str">
        <f>IF(K908&gt;O908,"Valid","Invalid")</f>
        <v>Valid</v>
      </c>
      <c r="M908" s="1" t="b">
        <f>ISNUMBER(K908)</f>
        <v>1</v>
      </c>
      <c r="N908" s="1" t="b">
        <f>ISNUMBER(O908)</f>
        <v>1</v>
      </c>
      <c r="O908" s="1">
        <v>45996</v>
      </c>
      <c r="P908" t="s">
        <v>4176</v>
      </c>
      <c r="Q908" t="str">
        <f>SUBSTITUTE(SUBSTITUTE(SUBSTITUTE(P908," ",""),"-",""),"+","")</f>
        <v>04073270267</v>
      </c>
      <c r="R908" t="str">
        <f t="shared" si="28"/>
        <v>4073270267</v>
      </c>
      <c r="S908" t="str">
        <f>IF(LEN(R908),"Valid","Invalid")</f>
        <v>Valid</v>
      </c>
      <c r="T908" t="s">
        <v>4175</v>
      </c>
      <c r="V908" t="s">
        <v>35</v>
      </c>
      <c r="X908">
        <v>21772.5</v>
      </c>
      <c r="Y908" t="s">
        <v>27</v>
      </c>
      <c r="Z908">
        <v>165</v>
      </c>
      <c r="AA908">
        <f t="shared" si="29"/>
        <v>165</v>
      </c>
      <c r="AB908" t="s">
        <v>16</v>
      </c>
    </row>
    <row r="909" spans="1:28" x14ac:dyDescent="0.3">
      <c r="A909" t="s">
        <v>4174</v>
      </c>
      <c r="B909" t="s">
        <v>4173</v>
      </c>
      <c r="C909" t="s">
        <v>4173</v>
      </c>
      <c r="D909" t="s">
        <v>74</v>
      </c>
      <c r="E909">
        <v>39</v>
      </c>
      <c r="F909">
        <v>39</v>
      </c>
      <c r="G909" t="s">
        <v>68</v>
      </c>
      <c r="H909" t="s">
        <v>68</v>
      </c>
      <c r="I909" t="s">
        <v>53</v>
      </c>
      <c r="J909" t="s">
        <v>20</v>
      </c>
      <c r="K909" s="1">
        <v>46067</v>
      </c>
      <c r="L909" s="1" t="str">
        <f>IF(K909&gt;O909,"Valid","Invalid")</f>
        <v>Valid</v>
      </c>
      <c r="M909" s="1" t="b">
        <f>ISNUMBER(K909)</f>
        <v>1</v>
      </c>
      <c r="N909" s="1" t="b">
        <f>ISNUMBER(O909)</f>
        <v>1</v>
      </c>
      <c r="O909" s="1">
        <v>46039</v>
      </c>
      <c r="P909" t="s">
        <v>4172</v>
      </c>
      <c r="Q909" t="str">
        <f>SUBSTITUTE(SUBSTITUTE(SUBSTITUTE(P909," ",""),"-",""),"+","")</f>
        <v>916450467735</v>
      </c>
      <c r="R909" t="str">
        <f t="shared" si="28"/>
        <v>6450467735</v>
      </c>
      <c r="S909" t="str">
        <f>IF(LEN(R909),"Valid","Invalid")</f>
        <v>Valid</v>
      </c>
      <c r="T909" t="s">
        <v>4171</v>
      </c>
      <c r="V909" t="s">
        <v>123</v>
      </c>
      <c r="X909">
        <v>23885.27</v>
      </c>
      <c r="Y909" t="s">
        <v>123</v>
      </c>
      <c r="Z909">
        <v>439</v>
      </c>
      <c r="AA909">
        <f t="shared" si="29"/>
        <v>439</v>
      </c>
      <c r="AB909" t="s">
        <v>34</v>
      </c>
    </row>
    <row r="910" spans="1:28" x14ac:dyDescent="0.3">
      <c r="A910" t="s">
        <v>4170</v>
      </c>
      <c r="B910" t="s">
        <v>4169</v>
      </c>
      <c r="C910" t="s">
        <v>4169</v>
      </c>
      <c r="D910" t="s">
        <v>1</v>
      </c>
      <c r="E910">
        <v>32</v>
      </c>
      <c r="F910">
        <v>32</v>
      </c>
      <c r="G910" t="s">
        <v>21</v>
      </c>
      <c r="H910" t="s">
        <v>21</v>
      </c>
      <c r="I910" t="s">
        <v>53</v>
      </c>
      <c r="J910" t="s">
        <v>20</v>
      </c>
      <c r="K910" s="1">
        <v>46169</v>
      </c>
      <c r="L910" s="1" t="str">
        <f>IF(K910&gt;O910,"Valid","Invalid")</f>
        <v>Valid</v>
      </c>
      <c r="M910" s="1" t="b">
        <f>ISNUMBER(K910)</f>
        <v>1</v>
      </c>
      <c r="N910" s="1" t="b">
        <f>ISNUMBER(O910)</f>
        <v>1</v>
      </c>
      <c r="O910" s="1">
        <v>46145</v>
      </c>
      <c r="P910" t="s">
        <v>4168</v>
      </c>
      <c r="Q910" t="str">
        <f>SUBSTITUTE(SUBSTITUTE(SUBSTITUTE(P910," ",""),"-",""),"+","")</f>
        <v>7142142509</v>
      </c>
      <c r="R910" t="str">
        <f t="shared" si="28"/>
        <v>7142142509</v>
      </c>
      <c r="S910" t="str">
        <f>IF(LEN(R910),"Valid","Invalid")</f>
        <v>Valid</v>
      </c>
      <c r="T910" t="s">
        <v>4167</v>
      </c>
      <c r="V910" t="s">
        <v>64</v>
      </c>
      <c r="X910">
        <v>2815.65</v>
      </c>
      <c r="Y910" t="s">
        <v>27</v>
      </c>
      <c r="Z910">
        <v>182</v>
      </c>
      <c r="AA910">
        <f t="shared" si="29"/>
        <v>182</v>
      </c>
      <c r="AB910" t="s">
        <v>43</v>
      </c>
    </row>
    <row r="911" spans="1:28" x14ac:dyDescent="0.3">
      <c r="A911" t="s">
        <v>4166</v>
      </c>
      <c r="B911" t="s">
        <v>4165</v>
      </c>
      <c r="C911" t="s">
        <v>4165</v>
      </c>
      <c r="D911" t="s">
        <v>123</v>
      </c>
      <c r="E911">
        <v>36</v>
      </c>
      <c r="F911">
        <v>36</v>
      </c>
      <c r="G911" t="s">
        <v>21</v>
      </c>
      <c r="H911" t="s">
        <v>21</v>
      </c>
      <c r="I911" t="s">
        <v>30</v>
      </c>
      <c r="J911" t="s">
        <v>30</v>
      </c>
      <c r="K911" s="1">
        <v>46120</v>
      </c>
      <c r="L911" s="1" t="str">
        <f>IF(K911&gt;O911,"Valid","Invalid")</f>
        <v>Valid</v>
      </c>
      <c r="M911" s="1" t="b">
        <f>ISNUMBER(K911)</f>
        <v>1</v>
      </c>
      <c r="N911" s="1" t="b">
        <f>ISNUMBER(O911)</f>
        <v>1</v>
      </c>
      <c r="O911" s="1">
        <v>46099</v>
      </c>
      <c r="P911" t="s">
        <v>4164</v>
      </c>
      <c r="Q911" t="str">
        <f>SUBSTITUTE(SUBSTITUTE(SUBSTITUTE(P911," ",""),"-",""),"+","")</f>
        <v>917290558396</v>
      </c>
      <c r="R911" t="str">
        <f t="shared" si="28"/>
        <v>7290558396</v>
      </c>
      <c r="S911" t="str">
        <f>IF(LEN(R911),"Valid","Invalid")</f>
        <v>Valid</v>
      </c>
      <c r="T911" t="s">
        <v>4163</v>
      </c>
      <c r="V911" t="s">
        <v>123</v>
      </c>
      <c r="X911">
        <v>23797.3</v>
      </c>
      <c r="Y911" t="s">
        <v>64</v>
      </c>
      <c r="Z911">
        <v>440</v>
      </c>
      <c r="AA911">
        <f t="shared" si="29"/>
        <v>440</v>
      </c>
      <c r="AB911" t="s">
        <v>71</v>
      </c>
    </row>
    <row r="912" spans="1:28" x14ac:dyDescent="0.3">
      <c r="A912" t="s">
        <v>4162</v>
      </c>
      <c r="B912" t="s">
        <v>4161</v>
      </c>
      <c r="C912" t="s">
        <v>4161</v>
      </c>
      <c r="E912">
        <v>12</v>
      </c>
      <c r="F912">
        <v>12</v>
      </c>
      <c r="G912" t="s">
        <v>31</v>
      </c>
      <c r="H912" t="s">
        <v>31</v>
      </c>
      <c r="I912" t="s">
        <v>38</v>
      </c>
      <c r="J912" t="s">
        <v>8077</v>
      </c>
      <c r="K912" s="1">
        <v>46102</v>
      </c>
      <c r="L912" s="1" t="str">
        <f>IF(K912&gt;O912,"Valid","Invalid")</f>
        <v>Valid</v>
      </c>
      <c r="M912" s="1" t="b">
        <f>ISNUMBER(K912)</f>
        <v>1</v>
      </c>
      <c r="N912" s="1" t="b">
        <f>ISNUMBER(O912)</f>
        <v>1</v>
      </c>
      <c r="O912" s="1">
        <v>46073</v>
      </c>
      <c r="P912" t="s">
        <v>4160</v>
      </c>
      <c r="Q912" t="str">
        <f>SUBSTITUTE(SUBSTITUTE(SUBSTITUTE(P912," ",""),"-",""),"+","")</f>
        <v>04233855803</v>
      </c>
      <c r="R912" t="str">
        <f t="shared" si="28"/>
        <v>4233855803</v>
      </c>
      <c r="S912" t="str">
        <f>IF(LEN(R912),"Valid","Invalid")</f>
        <v>Valid</v>
      </c>
      <c r="T912" t="s">
        <v>4159</v>
      </c>
      <c r="V912" t="s">
        <v>64</v>
      </c>
      <c r="X912">
        <v>16170.87</v>
      </c>
      <c r="Y912" t="s">
        <v>123</v>
      </c>
      <c r="Z912">
        <v>467</v>
      </c>
      <c r="AA912">
        <f t="shared" si="29"/>
        <v>467</v>
      </c>
      <c r="AB912" t="s">
        <v>25</v>
      </c>
    </row>
    <row r="913" spans="1:28" x14ac:dyDescent="0.3">
      <c r="A913" t="s">
        <v>4158</v>
      </c>
      <c r="B913" t="s">
        <v>4157</v>
      </c>
      <c r="C913" t="s">
        <v>4157</v>
      </c>
      <c r="D913" t="s">
        <v>123</v>
      </c>
      <c r="E913">
        <v>84</v>
      </c>
      <c r="F913">
        <v>84</v>
      </c>
      <c r="G913" t="s">
        <v>54</v>
      </c>
      <c r="H913" t="s">
        <v>54</v>
      </c>
      <c r="I913" t="s">
        <v>38</v>
      </c>
      <c r="J913" t="s">
        <v>8077</v>
      </c>
      <c r="K913" s="1">
        <v>46022</v>
      </c>
      <c r="L913" s="1" t="str">
        <f>IF(K913&gt;O913,"Valid","Invalid")</f>
        <v>Valid</v>
      </c>
      <c r="M913" s="1" t="b">
        <f>ISNUMBER(K913)</f>
        <v>1</v>
      </c>
      <c r="N913" s="1" t="b">
        <f>ISNUMBER(O913)</f>
        <v>1</v>
      </c>
      <c r="O913" s="1">
        <v>46015</v>
      </c>
      <c r="P913" t="s">
        <v>4156</v>
      </c>
      <c r="Q913" t="str">
        <f>SUBSTITUTE(SUBSTITUTE(SUBSTITUTE(P913," ",""),"-",""),"+","")</f>
        <v>7415692208</v>
      </c>
      <c r="R913" t="str">
        <f t="shared" si="28"/>
        <v>7415692208</v>
      </c>
      <c r="S913" t="str">
        <f>IF(LEN(R913),"Valid","Invalid")</f>
        <v>Valid</v>
      </c>
      <c r="T913" t="s">
        <v>4155</v>
      </c>
      <c r="V913" t="s">
        <v>26</v>
      </c>
      <c r="X913">
        <v>3069.11</v>
      </c>
      <c r="Y913" t="s">
        <v>64</v>
      </c>
      <c r="Z913">
        <v>157</v>
      </c>
      <c r="AA913">
        <f t="shared" si="29"/>
        <v>157</v>
      </c>
      <c r="AB913" t="s">
        <v>77</v>
      </c>
    </row>
    <row r="914" spans="1:28" x14ac:dyDescent="0.3">
      <c r="A914" t="s">
        <v>4154</v>
      </c>
      <c r="B914" t="s">
        <v>4153</v>
      </c>
      <c r="C914" t="s">
        <v>4153</v>
      </c>
      <c r="D914" t="s">
        <v>60</v>
      </c>
      <c r="E914">
        <v>76</v>
      </c>
      <c r="F914">
        <v>76</v>
      </c>
      <c r="G914" t="s">
        <v>21</v>
      </c>
      <c r="H914" t="s">
        <v>21</v>
      </c>
      <c r="I914" t="s">
        <v>20</v>
      </c>
      <c r="J914" t="s">
        <v>20</v>
      </c>
      <c r="K914" s="1">
        <v>46007</v>
      </c>
      <c r="L914" s="1" t="str">
        <f>IF(K914&gt;O914,"Valid","Invalid")</f>
        <v>Valid</v>
      </c>
      <c r="M914" s="1" t="b">
        <f>ISNUMBER(K914)</f>
        <v>1</v>
      </c>
      <c r="N914" s="1" t="b">
        <f>ISNUMBER(O914)</f>
        <v>1</v>
      </c>
      <c r="O914" s="1">
        <v>45989</v>
      </c>
      <c r="P914" t="s">
        <v>4152</v>
      </c>
      <c r="Q914" t="str">
        <f>SUBSTITUTE(SUBSTITUTE(SUBSTITUTE(P914," ",""),"-",""),"+","")</f>
        <v>912914361189</v>
      </c>
      <c r="R914" t="str">
        <f t="shared" si="28"/>
        <v>2914361189</v>
      </c>
      <c r="S914" t="str">
        <f>IF(LEN(R914),"Valid","Invalid")</f>
        <v>Valid</v>
      </c>
      <c r="T914" t="s">
        <v>4151</v>
      </c>
      <c r="V914" t="s">
        <v>57</v>
      </c>
      <c r="X914">
        <v>3359.95</v>
      </c>
      <c r="Y914" t="s">
        <v>17</v>
      </c>
      <c r="Z914">
        <v>294</v>
      </c>
      <c r="AA914">
        <f t="shared" si="29"/>
        <v>294</v>
      </c>
      <c r="AB914" t="s">
        <v>34</v>
      </c>
    </row>
    <row r="915" spans="1:28" x14ac:dyDescent="0.3">
      <c r="A915" t="s">
        <v>4150</v>
      </c>
      <c r="B915" t="s">
        <v>4149</v>
      </c>
      <c r="C915" t="s">
        <v>4149</v>
      </c>
      <c r="D915" t="s">
        <v>40</v>
      </c>
      <c r="E915">
        <v>40</v>
      </c>
      <c r="F915">
        <v>40</v>
      </c>
      <c r="G915" t="s">
        <v>47</v>
      </c>
      <c r="H915" t="s">
        <v>47</v>
      </c>
      <c r="I915" t="s">
        <v>38</v>
      </c>
      <c r="J915" t="s">
        <v>8077</v>
      </c>
      <c r="K915" s="1">
        <v>46103</v>
      </c>
      <c r="L915" s="1" t="str">
        <f>IF(K915&gt;O915,"Valid","Invalid")</f>
        <v>Valid</v>
      </c>
      <c r="M915" s="1" t="b">
        <f>ISNUMBER(K915)</f>
        <v>1</v>
      </c>
      <c r="N915" s="1" t="b">
        <f>ISNUMBER(O915)</f>
        <v>1</v>
      </c>
      <c r="O915" s="1">
        <v>46076</v>
      </c>
      <c r="P915" t="s">
        <v>4148</v>
      </c>
      <c r="Q915" t="str">
        <f>SUBSTITUTE(SUBSTITUTE(SUBSTITUTE(P915," ",""),"-",""),"+","")</f>
        <v>6245595848</v>
      </c>
      <c r="R915" t="str">
        <f t="shared" si="28"/>
        <v>6245595848</v>
      </c>
      <c r="S915" t="str">
        <f>IF(LEN(R915),"Valid","Invalid")</f>
        <v>Valid</v>
      </c>
      <c r="T915" t="s">
        <v>4147</v>
      </c>
      <c r="V915" t="s">
        <v>123</v>
      </c>
      <c r="X915">
        <v>24500.27</v>
      </c>
      <c r="Y915" t="s">
        <v>17</v>
      </c>
      <c r="Z915">
        <v>494</v>
      </c>
      <c r="AA915">
        <f t="shared" si="29"/>
        <v>494</v>
      </c>
      <c r="AB915" t="s">
        <v>43</v>
      </c>
    </row>
    <row r="916" spans="1:28" x14ac:dyDescent="0.3">
      <c r="A916" t="s">
        <v>4146</v>
      </c>
      <c r="B916" t="s">
        <v>4145</v>
      </c>
      <c r="C916" t="s">
        <v>4145</v>
      </c>
      <c r="D916" t="s">
        <v>0</v>
      </c>
      <c r="E916">
        <v>67</v>
      </c>
      <c r="F916">
        <v>67</v>
      </c>
      <c r="G916" t="s">
        <v>21</v>
      </c>
      <c r="H916" t="s">
        <v>21</v>
      </c>
      <c r="I916" t="s">
        <v>20</v>
      </c>
      <c r="J916" t="s">
        <v>20</v>
      </c>
      <c r="K916" s="1">
        <v>46086</v>
      </c>
      <c r="L916" s="1" t="str">
        <f>IF(K916&gt;O916,"Valid","Invalid")</f>
        <v>Valid</v>
      </c>
      <c r="M916" s="1" t="b">
        <f>ISNUMBER(K916)</f>
        <v>1</v>
      </c>
      <c r="N916" s="1" t="b">
        <f>ISNUMBER(O916)</f>
        <v>1</v>
      </c>
      <c r="O916" s="1">
        <v>46074</v>
      </c>
      <c r="P916" t="s">
        <v>4144</v>
      </c>
      <c r="Q916" t="str">
        <f>SUBSTITUTE(SUBSTITUTE(SUBSTITUTE(P916," ",""),"-",""),"+","")</f>
        <v>09409949966</v>
      </c>
      <c r="R916" t="str">
        <f t="shared" si="28"/>
        <v>9409949966</v>
      </c>
      <c r="S916" t="str">
        <f>IF(LEN(R916),"Valid","Invalid")</f>
        <v>Valid</v>
      </c>
      <c r="T916" t="s">
        <v>4143</v>
      </c>
      <c r="V916" t="s">
        <v>27</v>
      </c>
      <c r="X916">
        <v>13549.66</v>
      </c>
      <c r="Y916" t="s">
        <v>123</v>
      </c>
      <c r="Z916">
        <v>261</v>
      </c>
      <c r="AA916">
        <f t="shared" si="29"/>
        <v>261</v>
      </c>
      <c r="AB916" t="s">
        <v>71</v>
      </c>
    </row>
    <row r="917" spans="1:28" x14ac:dyDescent="0.3">
      <c r="A917" t="s">
        <v>4142</v>
      </c>
      <c r="B917" t="s">
        <v>4141</v>
      </c>
      <c r="C917" t="s">
        <v>4141</v>
      </c>
      <c r="D917" t="s">
        <v>22</v>
      </c>
      <c r="E917">
        <v>29</v>
      </c>
      <c r="F917">
        <v>29</v>
      </c>
      <c r="G917" t="s">
        <v>68</v>
      </c>
      <c r="H917" t="s">
        <v>68</v>
      </c>
      <c r="I917" t="s">
        <v>85</v>
      </c>
      <c r="J917" t="s">
        <v>85</v>
      </c>
      <c r="K917" s="1">
        <v>46042</v>
      </c>
      <c r="L917" s="1" t="str">
        <f>IF(K917&gt;O917,"Valid","Invalid")</f>
        <v>Valid</v>
      </c>
      <c r="M917" s="1" t="b">
        <f>ISNUMBER(K917)</f>
        <v>1</v>
      </c>
      <c r="N917" s="1" t="b">
        <f>ISNUMBER(O917)</f>
        <v>1</v>
      </c>
      <c r="O917" s="1">
        <v>46038</v>
      </c>
      <c r="P917" t="s">
        <v>4140</v>
      </c>
      <c r="Q917" t="str">
        <f>SUBSTITUTE(SUBSTITUTE(SUBSTITUTE(P917," ",""),"-",""),"+","")</f>
        <v>8297639633</v>
      </c>
      <c r="R917" t="str">
        <f t="shared" si="28"/>
        <v>8297639633</v>
      </c>
      <c r="S917" t="str">
        <f>IF(LEN(R917),"Valid","Invalid")</f>
        <v>Valid</v>
      </c>
      <c r="T917" t="s">
        <v>4139</v>
      </c>
      <c r="V917" t="s">
        <v>26</v>
      </c>
      <c r="X917">
        <v>3817.59</v>
      </c>
      <c r="Y917" t="s">
        <v>27</v>
      </c>
      <c r="Z917">
        <v>406</v>
      </c>
      <c r="AA917">
        <f t="shared" si="29"/>
        <v>406</v>
      </c>
      <c r="AB917" t="s">
        <v>43</v>
      </c>
    </row>
    <row r="918" spans="1:28" x14ac:dyDescent="0.3">
      <c r="A918" t="s">
        <v>4138</v>
      </c>
      <c r="B918" t="s">
        <v>4137</v>
      </c>
      <c r="C918" t="s">
        <v>4137</v>
      </c>
      <c r="D918" t="s">
        <v>22</v>
      </c>
      <c r="E918">
        <v>65</v>
      </c>
      <c r="F918">
        <v>65</v>
      </c>
      <c r="G918" t="s">
        <v>80</v>
      </c>
      <c r="H918" t="s">
        <v>80</v>
      </c>
      <c r="I918" t="s">
        <v>30</v>
      </c>
      <c r="J918" t="s">
        <v>30</v>
      </c>
      <c r="K918" s="1">
        <v>46131</v>
      </c>
      <c r="L918" s="1" t="str">
        <f>IF(K918&gt;O918,"Valid","Invalid")</f>
        <v>Valid</v>
      </c>
      <c r="M918" s="1" t="b">
        <f>ISNUMBER(K918)</f>
        <v>1</v>
      </c>
      <c r="N918" s="1" t="b">
        <f>ISNUMBER(O918)</f>
        <v>1</v>
      </c>
      <c r="O918" s="1">
        <v>46104</v>
      </c>
      <c r="P918" t="s">
        <v>4136</v>
      </c>
      <c r="Q918" t="str">
        <f>SUBSTITUTE(SUBSTITUTE(SUBSTITUTE(P918," ",""),"-",""),"+","")</f>
        <v>04319045600</v>
      </c>
      <c r="R918" t="str">
        <f t="shared" si="28"/>
        <v>4319045600</v>
      </c>
      <c r="S918" t="str">
        <f>IF(LEN(R918),"Valid","Invalid")</f>
        <v>Valid</v>
      </c>
      <c r="T918" t="s">
        <v>4135</v>
      </c>
      <c r="V918" t="s">
        <v>123</v>
      </c>
      <c r="X918">
        <v>15850.71</v>
      </c>
      <c r="Y918" t="s">
        <v>57</v>
      </c>
      <c r="Z918">
        <v>353</v>
      </c>
      <c r="AA918">
        <f t="shared" si="29"/>
        <v>353</v>
      </c>
      <c r="AB918" t="s">
        <v>43</v>
      </c>
    </row>
    <row r="919" spans="1:28" x14ac:dyDescent="0.3">
      <c r="A919" t="s">
        <v>4134</v>
      </c>
      <c r="B919" t="s">
        <v>4133</v>
      </c>
      <c r="C919" t="s">
        <v>4133</v>
      </c>
      <c r="D919" t="s">
        <v>123</v>
      </c>
      <c r="E919">
        <v>8</v>
      </c>
      <c r="F919">
        <v>8</v>
      </c>
      <c r="G919" t="s">
        <v>31</v>
      </c>
      <c r="H919" t="s">
        <v>31</v>
      </c>
      <c r="I919" t="s">
        <v>53</v>
      </c>
      <c r="J919" t="s">
        <v>20</v>
      </c>
      <c r="K919" s="1">
        <v>46137</v>
      </c>
      <c r="L919" s="1" t="str">
        <f>IF(K919&gt;O919,"Valid","Invalid")</f>
        <v>Valid</v>
      </c>
      <c r="M919" s="1" t="b">
        <f>ISNUMBER(K919)</f>
        <v>1</v>
      </c>
      <c r="N919" s="1" t="b">
        <f>ISNUMBER(O919)</f>
        <v>1</v>
      </c>
      <c r="O919" s="1">
        <v>46111</v>
      </c>
      <c r="P919" t="s">
        <v>4132</v>
      </c>
      <c r="Q919" t="str">
        <f>SUBSTITUTE(SUBSTITUTE(SUBSTITUTE(P919," ",""),"-",""),"+","")</f>
        <v>03891341273</v>
      </c>
      <c r="R919" t="str">
        <f t="shared" si="28"/>
        <v>3891341273</v>
      </c>
      <c r="S919" t="str">
        <f>IF(LEN(R919),"Valid","Invalid")</f>
        <v>Valid</v>
      </c>
      <c r="T919" t="s">
        <v>4131</v>
      </c>
      <c r="V919" t="s">
        <v>17</v>
      </c>
      <c r="X919">
        <v>21232.13</v>
      </c>
      <c r="Y919" t="s">
        <v>57</v>
      </c>
      <c r="Z919">
        <v>458</v>
      </c>
      <c r="AA919">
        <f t="shared" si="29"/>
        <v>458</v>
      </c>
      <c r="AB919" t="s">
        <v>25</v>
      </c>
    </row>
    <row r="920" spans="1:28" x14ac:dyDescent="0.3">
      <c r="A920" t="s">
        <v>4130</v>
      </c>
      <c r="B920" t="s">
        <v>4129</v>
      </c>
      <c r="C920" t="s">
        <v>4129</v>
      </c>
      <c r="D920" t="s">
        <v>40</v>
      </c>
      <c r="E920">
        <v>23</v>
      </c>
      <c r="F920">
        <v>23</v>
      </c>
      <c r="G920" t="s">
        <v>68</v>
      </c>
      <c r="H920" t="s">
        <v>68</v>
      </c>
      <c r="I920" t="s">
        <v>90</v>
      </c>
      <c r="J920" t="s">
        <v>67</v>
      </c>
      <c r="K920" s="1">
        <v>46015</v>
      </c>
      <c r="L920" s="1" t="str">
        <f>IF(K920&gt;O920,"Valid","Invalid")</f>
        <v>Valid</v>
      </c>
      <c r="M920" s="1" t="b">
        <f>ISNUMBER(K920)</f>
        <v>1</v>
      </c>
      <c r="N920" s="1" t="b">
        <f>ISNUMBER(O920)</f>
        <v>1</v>
      </c>
      <c r="O920" s="1">
        <v>46006</v>
      </c>
      <c r="P920" t="s">
        <v>4128</v>
      </c>
      <c r="Q920" t="str">
        <f>SUBSTITUTE(SUBSTITUTE(SUBSTITUTE(P920," ",""),"-",""),"+","")</f>
        <v>06959097840</v>
      </c>
      <c r="R920" t="str">
        <f t="shared" si="28"/>
        <v>6959097840</v>
      </c>
      <c r="S920" t="str">
        <f>IF(LEN(R920),"Valid","Invalid")</f>
        <v>Valid</v>
      </c>
      <c r="T920" t="s">
        <v>4127</v>
      </c>
      <c r="V920" t="s">
        <v>35</v>
      </c>
      <c r="X920">
        <v>24778.37</v>
      </c>
      <c r="Y920" t="s">
        <v>123</v>
      </c>
      <c r="Z920">
        <v>272</v>
      </c>
      <c r="AA920">
        <f t="shared" si="29"/>
        <v>272</v>
      </c>
      <c r="AB920" t="s">
        <v>16</v>
      </c>
    </row>
    <row r="921" spans="1:28" x14ac:dyDescent="0.3">
      <c r="A921" t="s">
        <v>4126</v>
      </c>
      <c r="B921" t="s">
        <v>4125</v>
      </c>
      <c r="C921" t="s">
        <v>4125</v>
      </c>
      <c r="E921">
        <v>45</v>
      </c>
      <c r="F921">
        <v>45</v>
      </c>
      <c r="G921" t="s">
        <v>54</v>
      </c>
      <c r="H921" t="s">
        <v>54</v>
      </c>
      <c r="I921" t="s">
        <v>90</v>
      </c>
      <c r="J921" t="s">
        <v>67</v>
      </c>
      <c r="K921" s="1">
        <v>45996</v>
      </c>
      <c r="L921" s="1" t="str">
        <f>IF(K921&gt;O921,"Valid","Invalid")</f>
        <v>Valid</v>
      </c>
      <c r="M921" s="1" t="b">
        <f>ISNUMBER(K921)</f>
        <v>1</v>
      </c>
      <c r="N921" s="1" t="b">
        <f>ISNUMBER(O921)</f>
        <v>1</v>
      </c>
      <c r="O921" s="1">
        <v>45994</v>
      </c>
      <c r="P921" t="s">
        <v>4124</v>
      </c>
      <c r="Q921" t="str">
        <f>SUBSTITUTE(SUBSTITUTE(SUBSTITUTE(P921," ",""),"-",""),"+","")</f>
        <v>917645883887</v>
      </c>
      <c r="R921" t="str">
        <f t="shared" si="28"/>
        <v>7645883887</v>
      </c>
      <c r="S921" t="str">
        <f>IF(LEN(R921),"Valid","Invalid")</f>
        <v>Valid</v>
      </c>
      <c r="T921" t="s">
        <v>4123</v>
      </c>
      <c r="V921" t="s">
        <v>26</v>
      </c>
      <c r="X921">
        <v>7202.63</v>
      </c>
      <c r="Y921" t="s">
        <v>57</v>
      </c>
      <c r="Z921">
        <v>458</v>
      </c>
      <c r="AA921">
        <f t="shared" si="29"/>
        <v>458</v>
      </c>
      <c r="AB921" t="s">
        <v>50</v>
      </c>
    </row>
    <row r="922" spans="1:28" x14ac:dyDescent="0.3">
      <c r="A922" t="s">
        <v>4122</v>
      </c>
      <c r="B922" t="s">
        <v>4121</v>
      </c>
      <c r="C922" t="s">
        <v>4121</v>
      </c>
      <c r="D922" t="s">
        <v>123</v>
      </c>
      <c r="E922">
        <v>13</v>
      </c>
      <c r="F922">
        <v>13</v>
      </c>
      <c r="G922" t="s">
        <v>39</v>
      </c>
      <c r="H922" t="s">
        <v>39</v>
      </c>
      <c r="I922" t="s">
        <v>67</v>
      </c>
      <c r="J922" t="s">
        <v>67</v>
      </c>
      <c r="K922" s="1">
        <v>46122</v>
      </c>
      <c r="L922" s="1" t="str">
        <f>IF(K922&gt;O922,"Valid","Invalid")</f>
        <v>Valid</v>
      </c>
      <c r="M922" s="1" t="b">
        <f>ISNUMBER(K922)</f>
        <v>1</v>
      </c>
      <c r="N922" s="1" t="b">
        <f>ISNUMBER(O922)</f>
        <v>1</v>
      </c>
      <c r="O922" s="1">
        <v>46098</v>
      </c>
      <c r="P922" t="s">
        <v>4120</v>
      </c>
      <c r="Q922" t="str">
        <f>SUBSTITUTE(SUBSTITUTE(SUBSTITUTE(P922," ",""),"-",""),"+","")</f>
        <v>9521741742</v>
      </c>
      <c r="R922" t="str">
        <f t="shared" si="28"/>
        <v>9521741742</v>
      </c>
      <c r="S922" t="str">
        <f>IF(LEN(R922),"Valid","Invalid")</f>
        <v>Valid</v>
      </c>
      <c r="T922" t="s">
        <v>4119</v>
      </c>
      <c r="V922" t="s">
        <v>27</v>
      </c>
      <c r="X922">
        <v>21275.279999999999</v>
      </c>
      <c r="Y922" t="s">
        <v>63</v>
      </c>
      <c r="Z922">
        <v>334</v>
      </c>
      <c r="AA922">
        <f t="shared" si="29"/>
        <v>334</v>
      </c>
      <c r="AB922" t="s">
        <v>25</v>
      </c>
    </row>
    <row r="923" spans="1:28" x14ac:dyDescent="0.3">
      <c r="A923" t="s">
        <v>4118</v>
      </c>
      <c r="B923" t="s">
        <v>4117</v>
      </c>
      <c r="C923" t="s">
        <v>4117</v>
      </c>
      <c r="D923" t="s">
        <v>0</v>
      </c>
      <c r="E923">
        <v>74</v>
      </c>
      <c r="F923">
        <v>74</v>
      </c>
      <c r="G923" t="s">
        <v>39</v>
      </c>
      <c r="H923" t="s">
        <v>39</v>
      </c>
      <c r="I923" t="s">
        <v>85</v>
      </c>
      <c r="J923" t="s">
        <v>85</v>
      </c>
      <c r="K923" s="1">
        <v>46126</v>
      </c>
      <c r="L923" s="1" t="str">
        <f>IF(K923&gt;O923,"Valid","Invalid")</f>
        <v>Valid</v>
      </c>
      <c r="M923" s="1" t="b">
        <f>ISNUMBER(K923)</f>
        <v>1</v>
      </c>
      <c r="N923" s="1" t="b">
        <f>ISNUMBER(O923)</f>
        <v>1</v>
      </c>
      <c r="O923" s="1">
        <v>46104</v>
      </c>
      <c r="P923" t="s">
        <v>4116</v>
      </c>
      <c r="Q923" t="str">
        <f>SUBSTITUTE(SUBSTITUTE(SUBSTITUTE(P923," ",""),"-",""),"+","")</f>
        <v>01888525076</v>
      </c>
      <c r="R923" t="str">
        <f t="shared" si="28"/>
        <v>1888525076</v>
      </c>
      <c r="S923" t="str">
        <f>IF(LEN(R923),"Valid","Invalid")</f>
        <v>Valid</v>
      </c>
      <c r="T923" t="s">
        <v>4115</v>
      </c>
      <c r="V923" t="s">
        <v>123</v>
      </c>
      <c r="X923">
        <v>7418.82</v>
      </c>
      <c r="Y923" t="s">
        <v>26</v>
      </c>
      <c r="Z923">
        <v>207</v>
      </c>
      <c r="AA923">
        <f t="shared" si="29"/>
        <v>207</v>
      </c>
      <c r="AB923" t="s">
        <v>71</v>
      </c>
    </row>
    <row r="924" spans="1:28" x14ac:dyDescent="0.3">
      <c r="A924" t="s">
        <v>4114</v>
      </c>
      <c r="B924" t="s">
        <v>4113</v>
      </c>
      <c r="C924" t="s">
        <v>4113</v>
      </c>
      <c r="D924" t="s">
        <v>1</v>
      </c>
      <c r="E924">
        <v>84</v>
      </c>
      <c r="F924">
        <v>84</v>
      </c>
      <c r="G924" t="s">
        <v>47</v>
      </c>
      <c r="H924" t="s">
        <v>47</v>
      </c>
      <c r="I924" t="s">
        <v>67</v>
      </c>
      <c r="J924" t="s">
        <v>67</v>
      </c>
      <c r="K924" s="1">
        <v>46140</v>
      </c>
      <c r="L924" s="1" t="str">
        <f>IF(K924&gt;O924,"Valid","Invalid")</f>
        <v>Valid</v>
      </c>
      <c r="M924" s="1" t="b">
        <f>ISNUMBER(K924)</f>
        <v>1</v>
      </c>
      <c r="N924" s="1" t="b">
        <f>ISNUMBER(O924)</f>
        <v>1</v>
      </c>
      <c r="O924" s="1">
        <v>46117</v>
      </c>
      <c r="P924" t="s">
        <v>4112</v>
      </c>
      <c r="Q924" t="str">
        <f>SUBSTITUTE(SUBSTITUTE(SUBSTITUTE(P924," ",""),"-",""),"+","")</f>
        <v>913413608833</v>
      </c>
      <c r="R924" t="str">
        <f t="shared" si="28"/>
        <v>3413608833</v>
      </c>
      <c r="S924" t="str">
        <f>IF(LEN(R924),"Valid","Invalid")</f>
        <v>Valid</v>
      </c>
      <c r="T924" t="s">
        <v>4111</v>
      </c>
      <c r="V924" t="s">
        <v>64</v>
      </c>
      <c r="X924">
        <v>17022.28</v>
      </c>
      <c r="Y924" t="s">
        <v>26</v>
      </c>
      <c r="Z924">
        <v>292</v>
      </c>
      <c r="AA924">
        <f t="shared" si="29"/>
        <v>292</v>
      </c>
      <c r="AB924" t="s">
        <v>16</v>
      </c>
    </row>
    <row r="925" spans="1:28" x14ac:dyDescent="0.3">
      <c r="A925" t="s">
        <v>4110</v>
      </c>
      <c r="B925" t="s">
        <v>4109</v>
      </c>
      <c r="C925" t="s">
        <v>4109</v>
      </c>
      <c r="D925" t="s">
        <v>0</v>
      </c>
      <c r="E925">
        <v>8</v>
      </c>
      <c r="F925">
        <v>8</v>
      </c>
      <c r="G925" t="s">
        <v>80</v>
      </c>
      <c r="H925" t="s">
        <v>80</v>
      </c>
      <c r="I925" t="s">
        <v>67</v>
      </c>
      <c r="J925" t="s">
        <v>67</v>
      </c>
      <c r="K925" s="1">
        <v>46007</v>
      </c>
      <c r="L925" s="1" t="str">
        <f>IF(K925&gt;O925,"Valid","Invalid")</f>
        <v>Valid</v>
      </c>
      <c r="M925" s="1" t="b">
        <f>ISNUMBER(K925)</f>
        <v>1</v>
      </c>
      <c r="N925" s="1" t="b">
        <f>ISNUMBER(O925)</f>
        <v>1</v>
      </c>
      <c r="O925" s="1">
        <v>45992</v>
      </c>
      <c r="P925" t="s">
        <v>4108</v>
      </c>
      <c r="Q925" t="str">
        <f>SUBSTITUTE(SUBSTITUTE(SUBSTITUTE(P925," ",""),"-",""),"+","")</f>
        <v>00547051255</v>
      </c>
      <c r="R925" t="str">
        <f t="shared" si="28"/>
        <v>0547051255</v>
      </c>
      <c r="S925" t="str">
        <f>IF(LEN(R925),"Valid","Invalid")</f>
        <v>Valid</v>
      </c>
      <c r="T925" t="s">
        <v>4107</v>
      </c>
      <c r="V925" t="s">
        <v>35</v>
      </c>
      <c r="X925">
        <v>23637.57</v>
      </c>
      <c r="Y925" t="s">
        <v>64</v>
      </c>
      <c r="Z925">
        <v>363</v>
      </c>
      <c r="AA925">
        <f t="shared" si="29"/>
        <v>363</v>
      </c>
      <c r="AB925" t="s">
        <v>25</v>
      </c>
    </row>
    <row r="926" spans="1:28" x14ac:dyDescent="0.3">
      <c r="A926" t="s">
        <v>4102</v>
      </c>
      <c r="B926" t="s">
        <v>4101</v>
      </c>
      <c r="C926" t="s">
        <v>4101</v>
      </c>
      <c r="E926">
        <v>39</v>
      </c>
      <c r="F926">
        <v>39</v>
      </c>
      <c r="G926" t="s">
        <v>39</v>
      </c>
      <c r="H926" t="s">
        <v>39</v>
      </c>
      <c r="I926" t="s">
        <v>90</v>
      </c>
      <c r="J926" t="s">
        <v>67</v>
      </c>
      <c r="K926" s="1">
        <v>46099</v>
      </c>
      <c r="L926" s="1" t="str">
        <f>IF(K926&gt;O926,"Valid","Invalid")</f>
        <v>Valid</v>
      </c>
      <c r="M926" s="1" t="b">
        <f>ISNUMBER(K926)</f>
        <v>1</v>
      </c>
      <c r="N926" s="1" t="b">
        <f>ISNUMBER(O926)</f>
        <v>1</v>
      </c>
      <c r="O926" s="1">
        <v>46075</v>
      </c>
      <c r="P926" t="s">
        <v>4100</v>
      </c>
      <c r="Q926" t="str">
        <f>SUBSTITUTE(SUBSTITUTE(SUBSTITUTE(P926," ",""),"-",""),"+","")</f>
        <v>00309654923</v>
      </c>
      <c r="R926" t="str">
        <f t="shared" si="28"/>
        <v>0309654923</v>
      </c>
      <c r="S926" t="str">
        <f>IF(LEN(R926),"Valid","Invalid")</f>
        <v>Valid</v>
      </c>
      <c r="T926" t="s">
        <v>4099</v>
      </c>
      <c r="V926" t="s">
        <v>64</v>
      </c>
      <c r="X926">
        <v>19487.72</v>
      </c>
      <c r="Y926" t="s">
        <v>123</v>
      </c>
      <c r="Z926">
        <v>240</v>
      </c>
      <c r="AA926">
        <f t="shared" si="29"/>
        <v>240</v>
      </c>
      <c r="AB926" t="s">
        <v>25</v>
      </c>
    </row>
    <row r="927" spans="1:28" x14ac:dyDescent="0.3">
      <c r="A927" t="s">
        <v>4098</v>
      </c>
      <c r="B927" t="s">
        <v>4097</v>
      </c>
      <c r="C927" t="s">
        <v>4097</v>
      </c>
      <c r="E927">
        <v>48</v>
      </c>
      <c r="F927">
        <v>48</v>
      </c>
      <c r="G927" t="s">
        <v>47</v>
      </c>
      <c r="H927" t="s">
        <v>47</v>
      </c>
      <c r="I927" t="s">
        <v>20</v>
      </c>
      <c r="J927" t="s">
        <v>20</v>
      </c>
      <c r="K927" s="1">
        <v>45982</v>
      </c>
      <c r="L927" s="1" t="str">
        <f>IF(K927&gt;O927,"Valid","Invalid")</f>
        <v>Valid</v>
      </c>
      <c r="M927" s="1" t="b">
        <f>ISNUMBER(K927)</f>
        <v>1</v>
      </c>
      <c r="N927" s="1" t="b">
        <f>ISNUMBER(O927)</f>
        <v>1</v>
      </c>
      <c r="O927" s="1">
        <v>45979</v>
      </c>
      <c r="P927" t="s">
        <v>4096</v>
      </c>
      <c r="Q927" t="str">
        <f>SUBSTITUTE(SUBSTITUTE(SUBSTITUTE(P927," ",""),"-",""),"+","")</f>
        <v>09104289127</v>
      </c>
      <c r="R927" t="str">
        <f t="shared" si="28"/>
        <v>9104289127</v>
      </c>
      <c r="S927" t="str">
        <f>IF(LEN(R927),"Valid","Invalid")</f>
        <v>Valid</v>
      </c>
      <c r="T927" t="s">
        <v>4095</v>
      </c>
      <c r="V927" t="s">
        <v>64</v>
      </c>
      <c r="X927">
        <v>3226.88</v>
      </c>
      <c r="Y927" t="s">
        <v>57</v>
      </c>
      <c r="Z927">
        <v>111</v>
      </c>
      <c r="AA927">
        <f t="shared" si="29"/>
        <v>111</v>
      </c>
      <c r="AB927" t="s">
        <v>34</v>
      </c>
    </row>
    <row r="928" spans="1:28" x14ac:dyDescent="0.3">
      <c r="A928" t="s">
        <v>4094</v>
      </c>
      <c r="B928" t="s">
        <v>4093</v>
      </c>
      <c r="C928" t="s">
        <v>4093</v>
      </c>
      <c r="E928">
        <v>36</v>
      </c>
      <c r="F928">
        <v>36</v>
      </c>
      <c r="G928" t="s">
        <v>80</v>
      </c>
      <c r="H928" t="s">
        <v>80</v>
      </c>
      <c r="I928" t="s">
        <v>53</v>
      </c>
      <c r="J928" t="s">
        <v>20</v>
      </c>
      <c r="K928" s="1">
        <v>46112</v>
      </c>
      <c r="L928" s="1" t="str">
        <f>IF(K928&gt;O928,"Valid","Invalid")</f>
        <v>Valid</v>
      </c>
      <c r="M928" s="1" t="b">
        <f>ISNUMBER(K928)</f>
        <v>1</v>
      </c>
      <c r="N928" s="1" t="b">
        <f>ISNUMBER(O928)</f>
        <v>1</v>
      </c>
      <c r="O928" s="1">
        <v>46100</v>
      </c>
      <c r="P928" t="s">
        <v>4092</v>
      </c>
      <c r="Q928" t="str">
        <f>SUBSTITUTE(SUBSTITUTE(SUBSTITUTE(P928," ",""),"-",""),"+","")</f>
        <v>0323955447</v>
      </c>
      <c r="R928" t="str">
        <f t="shared" si="28"/>
        <v>0323955447</v>
      </c>
      <c r="S928" t="str">
        <f>IF(LEN(R928),"Valid","Invalid")</f>
        <v>Valid</v>
      </c>
      <c r="T928" t="s">
        <v>4091</v>
      </c>
      <c r="V928" t="s">
        <v>123</v>
      </c>
      <c r="X928">
        <v>24998.86</v>
      </c>
      <c r="Y928" t="s">
        <v>123</v>
      </c>
      <c r="Z928">
        <v>252</v>
      </c>
      <c r="AA928">
        <f t="shared" si="29"/>
        <v>252</v>
      </c>
      <c r="AB928" t="s">
        <v>34</v>
      </c>
    </row>
    <row r="929" spans="1:28" x14ac:dyDescent="0.3">
      <c r="A929" t="s">
        <v>4090</v>
      </c>
      <c r="B929" t="s">
        <v>4089</v>
      </c>
      <c r="C929" t="s">
        <v>4089</v>
      </c>
      <c r="D929" t="s">
        <v>0</v>
      </c>
      <c r="E929">
        <v>13</v>
      </c>
      <c r="F929">
        <v>13</v>
      </c>
      <c r="G929" t="s">
        <v>31</v>
      </c>
      <c r="H929" t="s">
        <v>31</v>
      </c>
      <c r="I929" t="s">
        <v>20</v>
      </c>
      <c r="J929" t="s">
        <v>20</v>
      </c>
      <c r="K929" s="1">
        <v>46119</v>
      </c>
      <c r="L929" s="1" t="str">
        <f>IF(K929&gt;O929,"Valid","Invalid")</f>
        <v>Valid</v>
      </c>
      <c r="M929" s="1" t="b">
        <f>ISNUMBER(K929)</f>
        <v>1</v>
      </c>
      <c r="N929" s="1" t="b">
        <f>ISNUMBER(O929)</f>
        <v>1</v>
      </c>
      <c r="O929" s="1">
        <v>46097</v>
      </c>
      <c r="P929" t="s">
        <v>4088</v>
      </c>
      <c r="Q929" t="str">
        <f>SUBSTITUTE(SUBSTITUTE(SUBSTITUTE(P929," ",""),"-",""),"+","")</f>
        <v>02019099379</v>
      </c>
      <c r="R929" t="str">
        <f t="shared" si="28"/>
        <v>2019099379</v>
      </c>
      <c r="S929" t="str">
        <f>IF(LEN(R929),"Valid","Invalid")</f>
        <v>Valid</v>
      </c>
      <c r="T929" t="s">
        <v>4087</v>
      </c>
      <c r="V929" t="s">
        <v>35</v>
      </c>
      <c r="X929">
        <v>10252.200000000001</v>
      </c>
      <c r="Y929" t="s">
        <v>27</v>
      </c>
      <c r="Z929">
        <v>301</v>
      </c>
      <c r="AA929">
        <f t="shared" si="29"/>
        <v>301</v>
      </c>
      <c r="AB929" t="s">
        <v>34</v>
      </c>
    </row>
    <row r="930" spans="1:28" x14ac:dyDescent="0.3">
      <c r="A930" t="s">
        <v>4086</v>
      </c>
      <c r="B930" t="s">
        <v>4085</v>
      </c>
      <c r="C930" t="s">
        <v>4085</v>
      </c>
      <c r="E930">
        <v>9</v>
      </c>
      <c r="F930">
        <v>9</v>
      </c>
      <c r="G930" t="s">
        <v>80</v>
      </c>
      <c r="H930" t="s">
        <v>80</v>
      </c>
      <c r="I930" t="s">
        <v>38</v>
      </c>
      <c r="J930" t="s">
        <v>8077</v>
      </c>
      <c r="K930" s="1">
        <v>46155</v>
      </c>
      <c r="L930" s="1" t="str">
        <f>IF(K930&gt;O930,"Valid","Invalid")</f>
        <v>Valid</v>
      </c>
      <c r="M930" s="1" t="b">
        <f>ISNUMBER(K930)</f>
        <v>1</v>
      </c>
      <c r="N930" s="1" t="b">
        <f>ISNUMBER(O930)</f>
        <v>1</v>
      </c>
      <c r="O930" s="1">
        <v>46125</v>
      </c>
      <c r="P930" t="s">
        <v>4084</v>
      </c>
      <c r="Q930" t="str">
        <f>SUBSTITUTE(SUBSTITUTE(SUBSTITUTE(P930," ",""),"-",""),"+","")</f>
        <v>910022861500</v>
      </c>
      <c r="R930" t="str">
        <f t="shared" si="28"/>
        <v>0022861500</v>
      </c>
      <c r="S930" t="str">
        <f>IF(LEN(R930),"Valid","Invalid")</f>
        <v>Valid</v>
      </c>
      <c r="T930" t="s">
        <v>4083</v>
      </c>
      <c r="V930" t="s">
        <v>64</v>
      </c>
      <c r="X930">
        <v>4680.47</v>
      </c>
      <c r="Y930" t="s">
        <v>26</v>
      </c>
      <c r="Z930">
        <v>102</v>
      </c>
      <c r="AA930">
        <f t="shared" si="29"/>
        <v>102</v>
      </c>
      <c r="AB930" t="s">
        <v>34</v>
      </c>
    </row>
    <row r="931" spans="1:28" x14ac:dyDescent="0.3">
      <c r="A931" t="s">
        <v>4082</v>
      </c>
      <c r="B931" t="s">
        <v>4081</v>
      </c>
      <c r="C931" t="s">
        <v>4081</v>
      </c>
      <c r="E931">
        <v>41</v>
      </c>
      <c r="F931">
        <v>41</v>
      </c>
      <c r="G931" t="s">
        <v>80</v>
      </c>
      <c r="H931" t="s">
        <v>80</v>
      </c>
      <c r="I931" t="s">
        <v>46</v>
      </c>
      <c r="J931" t="s">
        <v>46</v>
      </c>
      <c r="K931" s="1">
        <v>46032</v>
      </c>
      <c r="L931" s="1" t="str">
        <f>IF(K931&gt;O931,"Valid","Invalid")</f>
        <v>Valid</v>
      </c>
      <c r="M931" s="1" t="b">
        <f>ISNUMBER(K931)</f>
        <v>1</v>
      </c>
      <c r="N931" s="1" t="b">
        <f>ISNUMBER(O931)</f>
        <v>1</v>
      </c>
      <c r="O931" s="1">
        <v>46028</v>
      </c>
      <c r="P931" t="s">
        <v>4080</v>
      </c>
      <c r="Q931" t="str">
        <f>SUBSTITUTE(SUBSTITUTE(SUBSTITUTE(P931," ",""),"-",""),"+","")</f>
        <v>916251878470</v>
      </c>
      <c r="R931" t="str">
        <f t="shared" si="28"/>
        <v>6251878470</v>
      </c>
      <c r="S931" t="str">
        <f>IF(LEN(R931),"Valid","Invalid")</f>
        <v>Valid</v>
      </c>
      <c r="T931" t="s">
        <v>4079</v>
      </c>
      <c r="V931" t="s">
        <v>17</v>
      </c>
      <c r="X931">
        <v>16385.48</v>
      </c>
      <c r="Y931" t="s">
        <v>64</v>
      </c>
      <c r="Z931">
        <v>387</v>
      </c>
      <c r="AA931">
        <f t="shared" si="29"/>
        <v>387</v>
      </c>
      <c r="AB931" t="s">
        <v>43</v>
      </c>
    </row>
    <row r="932" spans="1:28" x14ac:dyDescent="0.3">
      <c r="A932" t="s">
        <v>4078</v>
      </c>
      <c r="B932" t="s">
        <v>4077</v>
      </c>
      <c r="C932" t="s">
        <v>4077</v>
      </c>
      <c r="D932" t="s">
        <v>40</v>
      </c>
      <c r="E932">
        <v>11</v>
      </c>
      <c r="F932">
        <v>11</v>
      </c>
      <c r="G932" t="s">
        <v>80</v>
      </c>
      <c r="H932" t="s">
        <v>80</v>
      </c>
      <c r="I932" t="s">
        <v>30</v>
      </c>
      <c r="J932" t="s">
        <v>30</v>
      </c>
      <c r="K932" s="1">
        <v>46052</v>
      </c>
      <c r="L932" s="1" t="str">
        <f>IF(K932&gt;O932,"Valid","Invalid")</f>
        <v>Valid</v>
      </c>
      <c r="M932" s="1" t="b">
        <f>ISNUMBER(K932)</f>
        <v>1</v>
      </c>
      <c r="N932" s="1" t="b">
        <f>ISNUMBER(O932)</f>
        <v>1</v>
      </c>
      <c r="O932" s="1">
        <v>46041</v>
      </c>
      <c r="P932" t="s">
        <v>4076</v>
      </c>
      <c r="Q932" t="str">
        <f>SUBSTITUTE(SUBSTITUTE(SUBSTITUTE(P932," ",""),"-",""),"+","")</f>
        <v>912245481746</v>
      </c>
      <c r="R932" t="str">
        <f t="shared" si="28"/>
        <v>2245481746</v>
      </c>
      <c r="S932" t="str">
        <f>IF(LEN(R932),"Valid","Invalid")</f>
        <v>Valid</v>
      </c>
      <c r="T932" t="s">
        <v>4075</v>
      </c>
      <c r="V932" t="s">
        <v>35</v>
      </c>
      <c r="X932">
        <v>10691.67</v>
      </c>
      <c r="Y932" t="s">
        <v>27</v>
      </c>
      <c r="Z932">
        <v>227</v>
      </c>
      <c r="AA932">
        <f t="shared" si="29"/>
        <v>227</v>
      </c>
      <c r="AB932" t="s">
        <v>43</v>
      </c>
    </row>
    <row r="933" spans="1:28" x14ac:dyDescent="0.3">
      <c r="A933" t="s">
        <v>4074</v>
      </c>
      <c r="B933" t="s">
        <v>4073</v>
      </c>
      <c r="C933" t="s">
        <v>4073</v>
      </c>
      <c r="D933" t="s">
        <v>40</v>
      </c>
      <c r="E933">
        <v>67</v>
      </c>
      <c r="F933">
        <v>67</v>
      </c>
      <c r="G933" t="s">
        <v>132</v>
      </c>
      <c r="H933" t="s">
        <v>132</v>
      </c>
      <c r="I933" t="s">
        <v>85</v>
      </c>
      <c r="J933" t="s">
        <v>85</v>
      </c>
      <c r="K933" s="1">
        <v>46138</v>
      </c>
      <c r="L933" s="1" t="str">
        <f>IF(K933&gt;O933,"Valid","Invalid")</f>
        <v>Valid</v>
      </c>
      <c r="M933" s="1" t="b">
        <f>ISNUMBER(K933)</f>
        <v>1</v>
      </c>
      <c r="N933" s="1" t="b">
        <f>ISNUMBER(O933)</f>
        <v>1</v>
      </c>
      <c r="O933" s="1">
        <v>46134</v>
      </c>
      <c r="P933" t="s">
        <v>4072</v>
      </c>
      <c r="Q933" t="str">
        <f>SUBSTITUTE(SUBSTITUTE(SUBSTITUTE(P933," ",""),"-",""),"+","")</f>
        <v>7257671139</v>
      </c>
      <c r="R933" t="str">
        <f t="shared" si="28"/>
        <v>7257671139</v>
      </c>
      <c r="S933" t="str">
        <f>IF(LEN(R933),"Valid","Invalid")</f>
        <v>Valid</v>
      </c>
      <c r="T933" t="s">
        <v>4071</v>
      </c>
      <c r="V933" t="s">
        <v>123</v>
      </c>
      <c r="X933">
        <v>17438.52</v>
      </c>
      <c r="Y933" t="s">
        <v>17</v>
      </c>
      <c r="Z933">
        <v>410</v>
      </c>
      <c r="AA933">
        <f t="shared" si="29"/>
        <v>410</v>
      </c>
      <c r="AB933" t="s">
        <v>34</v>
      </c>
    </row>
    <row r="934" spans="1:28" x14ac:dyDescent="0.3">
      <c r="A934" t="s">
        <v>4070</v>
      </c>
      <c r="B934" t="s">
        <v>4069</v>
      </c>
      <c r="C934" t="s">
        <v>4069</v>
      </c>
      <c r="D934" t="s">
        <v>1</v>
      </c>
      <c r="E934">
        <v>89</v>
      </c>
      <c r="F934">
        <v>89</v>
      </c>
      <c r="G934" t="s">
        <v>80</v>
      </c>
      <c r="H934" t="s">
        <v>80</v>
      </c>
      <c r="I934" t="s">
        <v>46</v>
      </c>
      <c r="J934" t="s">
        <v>46</v>
      </c>
      <c r="K934" s="1">
        <v>46062</v>
      </c>
      <c r="L934" s="1" t="str">
        <f>IF(K934&gt;O934,"Valid","Invalid")</f>
        <v>Valid</v>
      </c>
      <c r="M934" s="1" t="b">
        <f>ISNUMBER(K934)</f>
        <v>1</v>
      </c>
      <c r="N934" s="1" t="b">
        <f>ISNUMBER(O934)</f>
        <v>1</v>
      </c>
      <c r="O934" s="1">
        <v>46055</v>
      </c>
      <c r="P934" t="s">
        <v>4068</v>
      </c>
      <c r="Q934" t="str">
        <f>SUBSTITUTE(SUBSTITUTE(SUBSTITUTE(P934," ",""),"-",""),"+","")</f>
        <v>918649951831</v>
      </c>
      <c r="R934" t="str">
        <f t="shared" si="28"/>
        <v>8649951831</v>
      </c>
      <c r="S934" t="str">
        <f>IF(LEN(R934),"Valid","Invalid")</f>
        <v>Valid</v>
      </c>
      <c r="T934" t="s">
        <v>4067</v>
      </c>
      <c r="V934" t="s">
        <v>27</v>
      </c>
      <c r="X934">
        <v>4864.2299999999996</v>
      </c>
      <c r="Y934" t="s">
        <v>63</v>
      </c>
      <c r="Z934">
        <v>538</v>
      </c>
      <c r="AA934">
        <f t="shared" si="29"/>
        <v>538</v>
      </c>
      <c r="AB934" t="s">
        <v>50</v>
      </c>
    </row>
    <row r="935" spans="1:28" x14ac:dyDescent="0.3">
      <c r="A935" t="s">
        <v>4066</v>
      </c>
      <c r="B935" t="s">
        <v>4065</v>
      </c>
      <c r="C935" t="s">
        <v>8057</v>
      </c>
      <c r="D935" t="s">
        <v>1</v>
      </c>
      <c r="E935">
        <v>18</v>
      </c>
      <c r="F935">
        <v>18</v>
      </c>
      <c r="G935" t="s">
        <v>21</v>
      </c>
      <c r="H935" t="s">
        <v>21</v>
      </c>
      <c r="I935" t="s">
        <v>67</v>
      </c>
      <c r="J935" t="s">
        <v>67</v>
      </c>
      <c r="K935" s="1">
        <v>46113</v>
      </c>
      <c r="L935" s="1" t="str">
        <f>IF(K935&gt;O935,"Valid","Invalid")</f>
        <v>Valid</v>
      </c>
      <c r="M935" s="1" t="b">
        <f>ISNUMBER(K935)</f>
        <v>1</v>
      </c>
      <c r="N935" s="1" t="b">
        <f>ISNUMBER(O935)</f>
        <v>1</v>
      </c>
      <c r="O935" s="1">
        <v>46105</v>
      </c>
      <c r="P935" t="s">
        <v>4064</v>
      </c>
      <c r="Q935" t="str">
        <f>SUBSTITUTE(SUBSTITUTE(SUBSTITUTE(P935," ",""),"-",""),"+","")</f>
        <v>911540387046</v>
      </c>
      <c r="R935" t="str">
        <f t="shared" si="28"/>
        <v>1540387046</v>
      </c>
      <c r="S935" t="str">
        <f>IF(LEN(R935),"Valid","Invalid")</f>
        <v>Valid</v>
      </c>
      <c r="T935" t="s">
        <v>4063</v>
      </c>
      <c r="V935" t="s">
        <v>35</v>
      </c>
      <c r="X935">
        <v>18281.79</v>
      </c>
      <c r="Y935" t="s">
        <v>123</v>
      </c>
      <c r="Z935">
        <v>138</v>
      </c>
      <c r="AA935">
        <f t="shared" si="29"/>
        <v>138</v>
      </c>
      <c r="AB935" t="s">
        <v>34</v>
      </c>
    </row>
    <row r="936" spans="1:28" x14ac:dyDescent="0.3">
      <c r="A936" t="s">
        <v>4062</v>
      </c>
      <c r="B936" t="s">
        <v>4061</v>
      </c>
      <c r="C936" t="s">
        <v>4061</v>
      </c>
      <c r="D936" t="s">
        <v>22</v>
      </c>
      <c r="E936">
        <v>34</v>
      </c>
      <c r="F936">
        <v>34</v>
      </c>
      <c r="G936" t="s">
        <v>54</v>
      </c>
      <c r="H936" t="s">
        <v>54</v>
      </c>
      <c r="I936" t="s">
        <v>53</v>
      </c>
      <c r="J936" t="s">
        <v>20</v>
      </c>
      <c r="K936" s="1">
        <v>46079</v>
      </c>
      <c r="L936" s="1" t="str">
        <f>IF(K936&gt;O936,"Valid","Invalid")</f>
        <v>Valid</v>
      </c>
      <c r="M936" s="1" t="b">
        <f>ISNUMBER(K936)</f>
        <v>1</v>
      </c>
      <c r="N936" s="1" t="b">
        <f>ISNUMBER(O936)</f>
        <v>1</v>
      </c>
      <c r="O936" s="1">
        <v>46067</v>
      </c>
      <c r="P936" t="s">
        <v>4060</v>
      </c>
      <c r="Q936" t="str">
        <f>SUBSTITUTE(SUBSTITUTE(SUBSTITUTE(P936," ",""),"-",""),"+","")</f>
        <v>09945844361</v>
      </c>
      <c r="R936" t="str">
        <f t="shared" si="28"/>
        <v>9945844361</v>
      </c>
      <c r="S936" t="str">
        <f>IF(LEN(R936),"Valid","Invalid")</f>
        <v>Valid</v>
      </c>
      <c r="T936" t="s">
        <v>4059</v>
      </c>
      <c r="V936" t="s">
        <v>123</v>
      </c>
      <c r="X936">
        <v>2264.6999999999998</v>
      </c>
      <c r="Y936" t="s">
        <v>63</v>
      </c>
      <c r="Z936">
        <v>446</v>
      </c>
      <c r="AA936">
        <f t="shared" si="29"/>
        <v>446</v>
      </c>
      <c r="AB936" t="s">
        <v>16</v>
      </c>
    </row>
    <row r="937" spans="1:28" x14ac:dyDescent="0.3">
      <c r="A937" t="s">
        <v>4058</v>
      </c>
      <c r="B937" t="s">
        <v>4057</v>
      </c>
      <c r="C937" t="s">
        <v>4057</v>
      </c>
      <c r="D937" t="s">
        <v>0</v>
      </c>
      <c r="E937">
        <v>69</v>
      </c>
      <c r="F937">
        <v>69</v>
      </c>
      <c r="G937" t="s">
        <v>21</v>
      </c>
      <c r="H937" t="s">
        <v>21</v>
      </c>
      <c r="I937" t="s">
        <v>20</v>
      </c>
      <c r="J937" t="s">
        <v>20</v>
      </c>
      <c r="K937" s="1">
        <v>46050</v>
      </c>
      <c r="L937" s="1" t="str">
        <f>IF(K937&gt;O937,"Valid","Invalid")</f>
        <v>Valid</v>
      </c>
      <c r="M937" s="1" t="b">
        <f>ISNUMBER(K937)</f>
        <v>1</v>
      </c>
      <c r="N937" s="1" t="b">
        <f>ISNUMBER(O937)</f>
        <v>1</v>
      </c>
      <c r="O937" s="1">
        <v>46030</v>
      </c>
      <c r="P937" t="s">
        <v>4056</v>
      </c>
      <c r="Q937" t="str">
        <f>SUBSTITUTE(SUBSTITUTE(SUBSTITUTE(P937," ",""),"-",""),"+","")</f>
        <v>0003504482</v>
      </c>
      <c r="R937" t="str">
        <f t="shared" si="28"/>
        <v>0003504482</v>
      </c>
      <c r="S937" t="str">
        <f>IF(LEN(R937),"Valid","Invalid")</f>
        <v>Valid</v>
      </c>
      <c r="T937" t="s">
        <v>4055</v>
      </c>
      <c r="V937" t="s">
        <v>26</v>
      </c>
      <c r="X937">
        <v>24884.91</v>
      </c>
      <c r="Y937" t="s">
        <v>57</v>
      </c>
      <c r="Z937">
        <v>465</v>
      </c>
      <c r="AA937">
        <f t="shared" si="29"/>
        <v>465</v>
      </c>
      <c r="AB937" t="s">
        <v>43</v>
      </c>
    </row>
    <row r="938" spans="1:28" x14ac:dyDescent="0.3">
      <c r="A938" t="s">
        <v>4054</v>
      </c>
      <c r="B938" t="s">
        <v>4053</v>
      </c>
      <c r="C938" t="s">
        <v>4053</v>
      </c>
      <c r="D938" t="s">
        <v>0</v>
      </c>
      <c r="E938">
        <v>54</v>
      </c>
      <c r="F938">
        <v>54</v>
      </c>
      <c r="G938" t="s">
        <v>39</v>
      </c>
      <c r="H938" t="s">
        <v>39</v>
      </c>
      <c r="I938" t="s">
        <v>67</v>
      </c>
      <c r="J938" t="s">
        <v>67</v>
      </c>
      <c r="K938" s="1">
        <v>46144</v>
      </c>
      <c r="L938" s="1" t="str">
        <f>IF(K938&gt;O938,"Valid","Invalid")</f>
        <v>Valid</v>
      </c>
      <c r="M938" s="1" t="b">
        <f>ISNUMBER(K938)</f>
        <v>1</v>
      </c>
      <c r="N938" s="1" t="b">
        <f>ISNUMBER(O938)</f>
        <v>1</v>
      </c>
      <c r="O938" s="1">
        <v>46119</v>
      </c>
      <c r="P938" t="s">
        <v>4052</v>
      </c>
      <c r="Q938" t="str">
        <f>SUBSTITUTE(SUBSTITUTE(SUBSTITUTE(P938," ",""),"-",""),"+","")</f>
        <v>7862989845</v>
      </c>
      <c r="R938" t="str">
        <f t="shared" si="28"/>
        <v>7862989845</v>
      </c>
      <c r="S938" t="str">
        <f>IF(LEN(R938),"Valid","Invalid")</f>
        <v>Valid</v>
      </c>
      <c r="T938" t="s">
        <v>4051</v>
      </c>
      <c r="V938" t="s">
        <v>123</v>
      </c>
      <c r="X938">
        <v>9597.76</v>
      </c>
      <c r="Y938" t="s">
        <v>57</v>
      </c>
      <c r="Z938">
        <v>139</v>
      </c>
      <c r="AA938">
        <f t="shared" si="29"/>
        <v>139</v>
      </c>
      <c r="AB938" t="s">
        <v>43</v>
      </c>
    </row>
    <row r="939" spans="1:28" x14ac:dyDescent="0.3">
      <c r="A939" t="s">
        <v>4050</v>
      </c>
      <c r="B939" t="s">
        <v>4049</v>
      </c>
      <c r="C939" t="s">
        <v>4049</v>
      </c>
      <c r="D939" t="s">
        <v>74</v>
      </c>
      <c r="E939">
        <v>69</v>
      </c>
      <c r="F939">
        <v>69</v>
      </c>
      <c r="G939" t="s">
        <v>80</v>
      </c>
      <c r="H939" t="s">
        <v>80</v>
      </c>
      <c r="I939" t="s">
        <v>90</v>
      </c>
      <c r="J939" t="s">
        <v>67</v>
      </c>
      <c r="K939" s="1">
        <v>46069</v>
      </c>
      <c r="L939" s="1" t="str">
        <f>IF(K939&gt;O939,"Valid","Invalid")</f>
        <v>Valid</v>
      </c>
      <c r="M939" s="1" t="b">
        <f>ISNUMBER(K939)</f>
        <v>1</v>
      </c>
      <c r="N939" s="1" t="b">
        <f>ISNUMBER(O939)</f>
        <v>1</v>
      </c>
      <c r="O939" s="1">
        <v>46067</v>
      </c>
      <c r="P939" t="s">
        <v>4048</v>
      </c>
      <c r="Q939" t="str">
        <f>SUBSTITUTE(SUBSTITUTE(SUBSTITUTE(P939," ",""),"-",""),"+","")</f>
        <v>05184616515</v>
      </c>
      <c r="R939" t="str">
        <f t="shared" si="28"/>
        <v>5184616515</v>
      </c>
      <c r="S939" t="str">
        <f>IF(LEN(R939),"Valid","Invalid")</f>
        <v>Valid</v>
      </c>
      <c r="T939" t="s">
        <v>4047</v>
      </c>
      <c r="V939" t="s">
        <v>57</v>
      </c>
      <c r="X939">
        <v>16076.4</v>
      </c>
      <c r="Y939" t="s">
        <v>17</v>
      </c>
      <c r="Z939">
        <v>270</v>
      </c>
      <c r="AA939">
        <f t="shared" si="29"/>
        <v>270</v>
      </c>
      <c r="AB939" t="s">
        <v>50</v>
      </c>
    </row>
    <row r="940" spans="1:28" x14ac:dyDescent="0.3">
      <c r="A940" t="s">
        <v>4042</v>
      </c>
      <c r="B940" t="s">
        <v>4041</v>
      </c>
      <c r="C940" t="s">
        <v>4041</v>
      </c>
      <c r="D940" t="s">
        <v>74</v>
      </c>
      <c r="E940">
        <v>23</v>
      </c>
      <c r="F940">
        <v>23</v>
      </c>
      <c r="G940" t="s">
        <v>132</v>
      </c>
      <c r="H940" t="s">
        <v>132</v>
      </c>
      <c r="I940" t="s">
        <v>85</v>
      </c>
      <c r="J940" t="s">
        <v>85</v>
      </c>
      <c r="K940" s="1">
        <v>46127</v>
      </c>
      <c r="L940" s="1" t="str">
        <f>IF(K940&gt;O940,"Valid","Invalid")</f>
        <v>Valid</v>
      </c>
      <c r="M940" s="1" t="b">
        <f>ISNUMBER(K940)</f>
        <v>1</v>
      </c>
      <c r="N940" s="1" t="b">
        <f>ISNUMBER(O940)</f>
        <v>1</v>
      </c>
      <c r="O940" s="1">
        <v>46124</v>
      </c>
      <c r="P940" t="s">
        <v>4040</v>
      </c>
      <c r="Q940" t="str">
        <f>SUBSTITUTE(SUBSTITUTE(SUBSTITUTE(P940," ",""),"-",""),"+","")</f>
        <v>914635554251</v>
      </c>
      <c r="R940" t="str">
        <f t="shared" si="28"/>
        <v>4635554251</v>
      </c>
      <c r="S940" t="str">
        <f>IF(LEN(R940),"Valid","Invalid")</f>
        <v>Valid</v>
      </c>
      <c r="T940" t="s">
        <v>4039</v>
      </c>
      <c r="V940" t="s">
        <v>57</v>
      </c>
      <c r="X940">
        <v>17571.3</v>
      </c>
      <c r="Y940" t="s">
        <v>63</v>
      </c>
      <c r="Z940">
        <v>382</v>
      </c>
      <c r="AA940">
        <f t="shared" si="29"/>
        <v>382</v>
      </c>
      <c r="AB940" t="s">
        <v>43</v>
      </c>
    </row>
    <row r="941" spans="1:28" x14ac:dyDescent="0.3">
      <c r="A941" t="s">
        <v>4038</v>
      </c>
      <c r="B941" t="s">
        <v>4037</v>
      </c>
      <c r="C941" t="s">
        <v>4037</v>
      </c>
      <c r="D941" t="s">
        <v>74</v>
      </c>
      <c r="E941">
        <v>7</v>
      </c>
      <c r="F941">
        <v>7</v>
      </c>
      <c r="G941" t="s">
        <v>39</v>
      </c>
      <c r="H941" t="s">
        <v>39</v>
      </c>
      <c r="I941" t="s">
        <v>67</v>
      </c>
      <c r="J941" t="s">
        <v>67</v>
      </c>
      <c r="K941" s="1">
        <v>46170</v>
      </c>
      <c r="L941" s="1" t="str">
        <f>IF(K941&gt;O941,"Valid","Invalid")</f>
        <v>Valid</v>
      </c>
      <c r="M941" s="1" t="b">
        <f>ISNUMBER(K941)</f>
        <v>1</v>
      </c>
      <c r="N941" s="1" t="b">
        <f>ISNUMBER(O941)</f>
        <v>1</v>
      </c>
      <c r="O941" s="1">
        <v>46140</v>
      </c>
      <c r="P941" t="s">
        <v>4036</v>
      </c>
      <c r="Q941" t="str">
        <f>SUBSTITUTE(SUBSTITUTE(SUBSTITUTE(P941," ",""),"-",""),"+","")</f>
        <v>917542095639</v>
      </c>
      <c r="R941" t="str">
        <f t="shared" si="28"/>
        <v>7542095639</v>
      </c>
      <c r="S941" t="str">
        <f>IF(LEN(R941),"Valid","Invalid")</f>
        <v>Valid</v>
      </c>
      <c r="T941" t="s">
        <v>4035</v>
      </c>
      <c r="V941" t="s">
        <v>123</v>
      </c>
      <c r="X941">
        <v>4680.68</v>
      </c>
      <c r="Y941" t="s">
        <v>123</v>
      </c>
      <c r="Z941">
        <v>344</v>
      </c>
      <c r="AA941">
        <f t="shared" si="29"/>
        <v>344</v>
      </c>
      <c r="AB941" t="s">
        <v>34</v>
      </c>
    </row>
    <row r="942" spans="1:28" x14ac:dyDescent="0.3">
      <c r="A942" t="s">
        <v>4034</v>
      </c>
      <c r="B942" t="s">
        <v>4033</v>
      </c>
      <c r="C942" t="s">
        <v>4033</v>
      </c>
      <c r="D942" t="s">
        <v>0</v>
      </c>
      <c r="E942">
        <v>34</v>
      </c>
      <c r="F942">
        <v>34</v>
      </c>
      <c r="G942" t="s">
        <v>47</v>
      </c>
      <c r="H942" t="s">
        <v>47</v>
      </c>
      <c r="I942" t="s">
        <v>53</v>
      </c>
      <c r="J942" t="s">
        <v>20</v>
      </c>
      <c r="K942" s="1">
        <v>46133</v>
      </c>
      <c r="L942" s="1" t="str">
        <f>IF(K942&gt;O942,"Valid","Invalid")</f>
        <v>Valid</v>
      </c>
      <c r="M942" s="1" t="b">
        <f>ISNUMBER(K942)</f>
        <v>1</v>
      </c>
      <c r="N942" s="1" t="b">
        <f>ISNUMBER(O942)</f>
        <v>1</v>
      </c>
      <c r="O942" s="1">
        <v>46112</v>
      </c>
      <c r="P942" t="s">
        <v>4032</v>
      </c>
      <c r="Q942" t="str">
        <f>SUBSTITUTE(SUBSTITUTE(SUBSTITUTE(P942," ",""),"-",""),"+","")</f>
        <v>919264941056</v>
      </c>
      <c r="R942" t="str">
        <f t="shared" si="28"/>
        <v>9264941056</v>
      </c>
      <c r="S942" t="str">
        <f>IF(LEN(R942),"Valid","Invalid")</f>
        <v>Valid</v>
      </c>
      <c r="T942" t="s">
        <v>4031</v>
      </c>
      <c r="V942" t="s">
        <v>35</v>
      </c>
      <c r="X942">
        <v>3738.22</v>
      </c>
      <c r="Y942" t="s">
        <v>63</v>
      </c>
      <c r="Z942">
        <v>127</v>
      </c>
      <c r="AA942">
        <f t="shared" si="29"/>
        <v>127</v>
      </c>
      <c r="AB942" t="s">
        <v>25</v>
      </c>
    </row>
    <row r="943" spans="1:28" x14ac:dyDescent="0.3">
      <c r="A943" t="s">
        <v>4030</v>
      </c>
      <c r="B943" t="s">
        <v>4029</v>
      </c>
      <c r="C943" t="s">
        <v>4029</v>
      </c>
      <c r="D943" t="s">
        <v>60</v>
      </c>
      <c r="E943">
        <v>32</v>
      </c>
      <c r="F943">
        <v>32</v>
      </c>
      <c r="G943" t="s">
        <v>54</v>
      </c>
      <c r="H943" t="s">
        <v>54</v>
      </c>
      <c r="I943" t="s">
        <v>85</v>
      </c>
      <c r="J943" t="s">
        <v>85</v>
      </c>
      <c r="K943" s="1">
        <v>46132</v>
      </c>
      <c r="L943" s="1" t="str">
        <f>IF(K943&gt;O943,"Valid","Invalid")</f>
        <v>Valid</v>
      </c>
      <c r="M943" s="1" t="b">
        <f>ISNUMBER(K943)</f>
        <v>1</v>
      </c>
      <c r="N943" s="1" t="b">
        <f>ISNUMBER(O943)</f>
        <v>1</v>
      </c>
      <c r="O943" s="1">
        <v>46127</v>
      </c>
      <c r="P943" t="s">
        <v>4028</v>
      </c>
      <c r="Q943" t="str">
        <f>SUBSTITUTE(SUBSTITUTE(SUBSTITUTE(P943," ",""),"-",""),"+","")</f>
        <v>00560221981</v>
      </c>
      <c r="R943" t="str">
        <f t="shared" si="28"/>
        <v>0560221981</v>
      </c>
      <c r="S943" t="str">
        <f>IF(LEN(R943),"Valid","Invalid")</f>
        <v>Valid</v>
      </c>
      <c r="T943" t="s">
        <v>4027</v>
      </c>
      <c r="V943" t="s">
        <v>123</v>
      </c>
      <c r="X943">
        <v>24658.91</v>
      </c>
      <c r="Y943" t="s">
        <v>123</v>
      </c>
      <c r="Z943">
        <v>357</v>
      </c>
      <c r="AA943">
        <f t="shared" si="29"/>
        <v>357</v>
      </c>
      <c r="AB943" t="s">
        <v>43</v>
      </c>
    </row>
    <row r="944" spans="1:28" x14ac:dyDescent="0.3">
      <c r="A944" t="s">
        <v>4026</v>
      </c>
      <c r="B944" t="s">
        <v>4025</v>
      </c>
      <c r="C944" t="s">
        <v>4025</v>
      </c>
      <c r="D944" t="s">
        <v>22</v>
      </c>
      <c r="E944">
        <v>55</v>
      </c>
      <c r="F944">
        <v>55</v>
      </c>
      <c r="G944" t="s">
        <v>21</v>
      </c>
      <c r="H944" t="s">
        <v>21</v>
      </c>
      <c r="I944" t="s">
        <v>30</v>
      </c>
      <c r="J944" t="s">
        <v>30</v>
      </c>
      <c r="K944" s="1">
        <v>46154</v>
      </c>
      <c r="L944" s="1" t="str">
        <f>IF(K944&gt;O944,"Valid","Invalid")</f>
        <v>Valid</v>
      </c>
      <c r="M944" s="1" t="b">
        <f>ISNUMBER(K944)</f>
        <v>1</v>
      </c>
      <c r="N944" s="1" t="b">
        <f>ISNUMBER(O944)</f>
        <v>1</v>
      </c>
      <c r="O944" s="1">
        <v>46134</v>
      </c>
      <c r="P944" t="s">
        <v>4024</v>
      </c>
      <c r="Q944" t="str">
        <f>SUBSTITUTE(SUBSTITUTE(SUBSTITUTE(P944," ",""),"-",""),"+","")</f>
        <v>913179638749</v>
      </c>
      <c r="R944" t="str">
        <f t="shared" si="28"/>
        <v>3179638749</v>
      </c>
      <c r="S944" t="str">
        <f>IF(LEN(R944),"Valid","Invalid")</f>
        <v>Valid</v>
      </c>
      <c r="T944" t="s">
        <v>4023</v>
      </c>
      <c r="V944" t="s">
        <v>64</v>
      </c>
      <c r="X944">
        <v>23696.880000000001</v>
      </c>
      <c r="Y944" t="s">
        <v>123</v>
      </c>
      <c r="Z944">
        <v>494</v>
      </c>
      <c r="AA944">
        <f t="shared" si="29"/>
        <v>494</v>
      </c>
      <c r="AB944" t="s">
        <v>43</v>
      </c>
    </row>
    <row r="945" spans="1:28" x14ac:dyDescent="0.3">
      <c r="A945" t="s">
        <v>4022</v>
      </c>
      <c r="B945" t="s">
        <v>4021</v>
      </c>
      <c r="C945" t="s">
        <v>4021</v>
      </c>
      <c r="D945" t="s">
        <v>74</v>
      </c>
      <c r="E945">
        <v>82</v>
      </c>
      <c r="F945">
        <v>82</v>
      </c>
      <c r="G945" t="s">
        <v>80</v>
      </c>
      <c r="H945" t="s">
        <v>80</v>
      </c>
      <c r="I945" t="s">
        <v>20</v>
      </c>
      <c r="J945" t="s">
        <v>20</v>
      </c>
      <c r="K945" s="1">
        <v>46153</v>
      </c>
      <c r="L945" s="1" t="str">
        <f>IF(K945&gt;O945,"Valid","Invalid")</f>
        <v>Valid</v>
      </c>
      <c r="M945" s="1" t="b">
        <f>ISNUMBER(K945)</f>
        <v>1</v>
      </c>
      <c r="N945" s="1" t="b">
        <f>ISNUMBER(O945)</f>
        <v>1</v>
      </c>
      <c r="O945" s="1">
        <v>46130</v>
      </c>
      <c r="P945" t="s">
        <v>4020</v>
      </c>
      <c r="Q945" t="str">
        <f>SUBSTITUTE(SUBSTITUTE(SUBSTITUTE(P945," ",""),"-",""),"+","")</f>
        <v>9621844967</v>
      </c>
      <c r="R945" t="str">
        <f t="shared" si="28"/>
        <v>9621844967</v>
      </c>
      <c r="S945" t="str">
        <f>IF(LEN(R945),"Valid","Invalid")</f>
        <v>Valid</v>
      </c>
      <c r="T945" t="s">
        <v>4019</v>
      </c>
      <c r="V945" t="s">
        <v>17</v>
      </c>
      <c r="X945">
        <v>23632.7</v>
      </c>
      <c r="Y945" t="s">
        <v>26</v>
      </c>
      <c r="Z945">
        <v>394</v>
      </c>
      <c r="AA945">
        <f t="shared" si="29"/>
        <v>394</v>
      </c>
      <c r="AB945" t="s">
        <v>77</v>
      </c>
    </row>
    <row r="946" spans="1:28" x14ac:dyDescent="0.3">
      <c r="A946" t="s">
        <v>4018</v>
      </c>
      <c r="B946" t="s">
        <v>4017</v>
      </c>
      <c r="C946" t="s">
        <v>4017</v>
      </c>
      <c r="D946" t="s">
        <v>74</v>
      </c>
      <c r="E946">
        <v>37</v>
      </c>
      <c r="F946">
        <v>37</v>
      </c>
      <c r="G946" t="s">
        <v>68</v>
      </c>
      <c r="H946" t="s">
        <v>68</v>
      </c>
      <c r="I946" t="s">
        <v>46</v>
      </c>
      <c r="J946" t="s">
        <v>46</v>
      </c>
      <c r="K946" s="1">
        <v>46035</v>
      </c>
      <c r="L946" s="1" t="str">
        <f>IF(K946&gt;O946,"Valid","Invalid")</f>
        <v>Valid</v>
      </c>
      <c r="M946" s="1" t="b">
        <f>ISNUMBER(K946)</f>
        <v>1</v>
      </c>
      <c r="N946" s="1" t="b">
        <f>ISNUMBER(O946)</f>
        <v>1</v>
      </c>
      <c r="O946" s="1">
        <v>46005</v>
      </c>
      <c r="P946" t="s">
        <v>4016</v>
      </c>
      <c r="Q946" t="str">
        <f>SUBSTITUTE(SUBSTITUTE(SUBSTITUTE(P946," ",""),"-",""),"+","")</f>
        <v>918649838528</v>
      </c>
      <c r="R946" t="str">
        <f t="shared" si="28"/>
        <v>8649838528</v>
      </c>
      <c r="S946" t="str">
        <f>IF(LEN(R946),"Valid","Invalid")</f>
        <v>Valid</v>
      </c>
      <c r="T946" t="s">
        <v>4015</v>
      </c>
      <c r="V946" t="s">
        <v>123</v>
      </c>
      <c r="X946">
        <v>16990.419999999998</v>
      </c>
      <c r="Y946" t="s">
        <v>26</v>
      </c>
      <c r="Z946">
        <v>345</v>
      </c>
      <c r="AA946">
        <f t="shared" si="29"/>
        <v>345</v>
      </c>
      <c r="AB946" t="s">
        <v>16</v>
      </c>
    </row>
    <row r="947" spans="1:28" x14ac:dyDescent="0.3">
      <c r="A947" t="s">
        <v>4014</v>
      </c>
      <c r="B947" t="s">
        <v>4013</v>
      </c>
      <c r="C947" t="s">
        <v>4013</v>
      </c>
      <c r="D947" t="s">
        <v>74</v>
      </c>
      <c r="E947">
        <v>52</v>
      </c>
      <c r="F947">
        <v>52</v>
      </c>
      <c r="G947" t="s">
        <v>47</v>
      </c>
      <c r="H947" t="s">
        <v>47</v>
      </c>
      <c r="I947" t="s">
        <v>38</v>
      </c>
      <c r="J947" t="s">
        <v>8077</v>
      </c>
      <c r="K947" s="1">
        <v>46148</v>
      </c>
      <c r="L947" s="1" t="str">
        <f>IF(K947&gt;O947,"Valid","Invalid")</f>
        <v>Valid</v>
      </c>
      <c r="M947" s="1" t="b">
        <f>ISNUMBER(K947)</f>
        <v>1</v>
      </c>
      <c r="N947" s="1" t="b">
        <f>ISNUMBER(O947)</f>
        <v>1</v>
      </c>
      <c r="O947" s="1">
        <v>46119</v>
      </c>
      <c r="P947" t="s">
        <v>4012</v>
      </c>
      <c r="Q947" t="str">
        <f>SUBSTITUTE(SUBSTITUTE(SUBSTITUTE(P947," ",""),"-",""),"+","")</f>
        <v>05250882702</v>
      </c>
      <c r="R947" t="str">
        <f t="shared" si="28"/>
        <v>5250882702</v>
      </c>
      <c r="S947" t="str">
        <f>IF(LEN(R947),"Valid","Invalid")</f>
        <v>Valid</v>
      </c>
      <c r="T947" t="s">
        <v>4011</v>
      </c>
      <c r="V947" t="s">
        <v>27</v>
      </c>
      <c r="X947">
        <v>17911.169999999998</v>
      </c>
      <c r="Y947" t="s">
        <v>17</v>
      </c>
      <c r="Z947">
        <v>225</v>
      </c>
      <c r="AA947">
        <f t="shared" si="29"/>
        <v>225</v>
      </c>
      <c r="AB947" t="s">
        <v>25</v>
      </c>
    </row>
    <row r="948" spans="1:28" x14ac:dyDescent="0.3">
      <c r="A948" t="s">
        <v>4010</v>
      </c>
      <c r="B948" t="s">
        <v>4009</v>
      </c>
      <c r="C948" t="s">
        <v>4009</v>
      </c>
      <c r="D948" t="s">
        <v>40</v>
      </c>
      <c r="E948">
        <v>78</v>
      </c>
      <c r="F948">
        <v>78</v>
      </c>
      <c r="G948" t="s">
        <v>68</v>
      </c>
      <c r="H948" t="s">
        <v>68</v>
      </c>
      <c r="I948" t="s">
        <v>53</v>
      </c>
      <c r="J948" t="s">
        <v>20</v>
      </c>
      <c r="K948" s="1">
        <v>46097</v>
      </c>
      <c r="L948" s="1" t="str">
        <f>IF(K948&gt;O948,"Valid","Invalid")</f>
        <v>Valid</v>
      </c>
      <c r="M948" s="1" t="b">
        <f>ISNUMBER(K948)</f>
        <v>1</v>
      </c>
      <c r="N948" s="1" t="b">
        <f>ISNUMBER(O948)</f>
        <v>1</v>
      </c>
      <c r="O948" s="1">
        <v>46076</v>
      </c>
      <c r="P948" t="s">
        <v>4008</v>
      </c>
      <c r="Q948" t="str">
        <f>SUBSTITUTE(SUBSTITUTE(SUBSTITUTE(P948," ",""),"-",""),"+","")</f>
        <v>6175337366</v>
      </c>
      <c r="R948" t="str">
        <f t="shared" si="28"/>
        <v>6175337366</v>
      </c>
      <c r="S948" t="str">
        <f>IF(LEN(R948),"Valid","Invalid")</f>
        <v>Valid</v>
      </c>
      <c r="T948" t="s">
        <v>4007</v>
      </c>
      <c r="V948" t="s">
        <v>17</v>
      </c>
      <c r="X948">
        <v>4535.3900000000003</v>
      </c>
      <c r="Y948" t="s">
        <v>17</v>
      </c>
      <c r="Z948">
        <v>529</v>
      </c>
      <c r="AA948">
        <f t="shared" si="29"/>
        <v>529</v>
      </c>
      <c r="AB948" t="s">
        <v>71</v>
      </c>
    </row>
    <row r="949" spans="1:28" x14ac:dyDescent="0.3">
      <c r="A949" t="s">
        <v>4006</v>
      </c>
      <c r="B949" t="s">
        <v>4005</v>
      </c>
      <c r="C949" t="s">
        <v>4005</v>
      </c>
      <c r="D949" t="s">
        <v>60</v>
      </c>
      <c r="E949">
        <v>7</v>
      </c>
      <c r="F949">
        <v>7</v>
      </c>
      <c r="G949" t="s">
        <v>54</v>
      </c>
      <c r="H949" t="s">
        <v>54</v>
      </c>
      <c r="I949" t="s">
        <v>85</v>
      </c>
      <c r="J949" t="s">
        <v>85</v>
      </c>
      <c r="K949" s="1">
        <v>46010</v>
      </c>
      <c r="L949" s="1" t="str">
        <f>IF(K949&gt;O949,"Valid","Invalid")</f>
        <v>Valid</v>
      </c>
      <c r="M949" s="1" t="b">
        <f>ISNUMBER(K949)</f>
        <v>1</v>
      </c>
      <c r="N949" s="1" t="b">
        <f>ISNUMBER(O949)</f>
        <v>1</v>
      </c>
      <c r="O949" s="1">
        <v>45998</v>
      </c>
      <c r="P949" t="s">
        <v>4004</v>
      </c>
      <c r="Q949" t="str">
        <f>SUBSTITUTE(SUBSTITUTE(SUBSTITUTE(P949," ",""),"-",""),"+","")</f>
        <v>919016251720</v>
      </c>
      <c r="R949" t="str">
        <f t="shared" si="28"/>
        <v>9016251720</v>
      </c>
      <c r="S949" t="str">
        <f>IF(LEN(R949),"Valid","Invalid")</f>
        <v>Valid</v>
      </c>
      <c r="T949" t="s">
        <v>4003</v>
      </c>
      <c r="V949" t="s">
        <v>35</v>
      </c>
      <c r="X949">
        <v>9457.44</v>
      </c>
      <c r="Y949" t="s">
        <v>64</v>
      </c>
      <c r="Z949">
        <v>273</v>
      </c>
      <c r="AA949">
        <f t="shared" si="29"/>
        <v>273</v>
      </c>
      <c r="AB949" t="s">
        <v>25</v>
      </c>
    </row>
    <row r="950" spans="1:28" x14ac:dyDescent="0.3">
      <c r="A950" t="s">
        <v>4002</v>
      </c>
      <c r="B950" t="s">
        <v>4001</v>
      </c>
      <c r="C950" t="s">
        <v>4001</v>
      </c>
      <c r="D950" t="s">
        <v>1</v>
      </c>
      <c r="E950">
        <v>70</v>
      </c>
      <c r="F950">
        <v>70</v>
      </c>
      <c r="G950" t="s">
        <v>80</v>
      </c>
      <c r="H950" t="s">
        <v>80</v>
      </c>
      <c r="I950" t="s">
        <v>30</v>
      </c>
      <c r="J950" t="s">
        <v>30</v>
      </c>
      <c r="K950" s="1">
        <v>46072</v>
      </c>
      <c r="L950" s="1" t="str">
        <f>IF(K950&gt;O950,"Valid","Invalid")</f>
        <v>Valid</v>
      </c>
      <c r="M950" s="1" t="b">
        <f>ISNUMBER(K950)</f>
        <v>1</v>
      </c>
      <c r="N950" s="1" t="b">
        <f>ISNUMBER(O950)</f>
        <v>1</v>
      </c>
      <c r="O950" s="1">
        <v>46063</v>
      </c>
      <c r="P950" t="s">
        <v>4000</v>
      </c>
      <c r="Q950" t="str">
        <f>SUBSTITUTE(SUBSTITUTE(SUBSTITUTE(P950," ",""),"-",""),"+","")</f>
        <v>913597869992</v>
      </c>
      <c r="R950" t="str">
        <f t="shared" si="28"/>
        <v>3597869992</v>
      </c>
      <c r="S950" t="str">
        <f>IF(LEN(R950),"Valid","Invalid")</f>
        <v>Valid</v>
      </c>
      <c r="T950" t="s">
        <v>3999</v>
      </c>
      <c r="V950" t="s">
        <v>123</v>
      </c>
      <c r="X950">
        <v>7479.92</v>
      </c>
      <c r="Y950" t="s">
        <v>57</v>
      </c>
      <c r="Z950">
        <v>101</v>
      </c>
      <c r="AA950">
        <f t="shared" si="29"/>
        <v>101</v>
      </c>
      <c r="AB950" t="s">
        <v>25</v>
      </c>
    </row>
    <row r="951" spans="1:28" x14ac:dyDescent="0.3">
      <c r="A951" t="s">
        <v>3998</v>
      </c>
      <c r="B951" t="s">
        <v>3997</v>
      </c>
      <c r="C951" t="s">
        <v>3997</v>
      </c>
      <c r="D951" t="s">
        <v>123</v>
      </c>
      <c r="E951">
        <v>28</v>
      </c>
      <c r="F951">
        <v>28</v>
      </c>
      <c r="G951" t="s">
        <v>132</v>
      </c>
      <c r="H951" t="s">
        <v>132</v>
      </c>
      <c r="I951" t="s">
        <v>46</v>
      </c>
      <c r="J951" t="s">
        <v>46</v>
      </c>
      <c r="K951" s="1">
        <v>46123</v>
      </c>
      <c r="L951" s="1" t="str">
        <f>IF(K951&gt;O951,"Valid","Invalid")</f>
        <v>Valid</v>
      </c>
      <c r="M951" s="1" t="b">
        <f>ISNUMBER(K951)</f>
        <v>1</v>
      </c>
      <c r="N951" s="1" t="b">
        <f>ISNUMBER(O951)</f>
        <v>1</v>
      </c>
      <c r="O951" s="1">
        <v>46094</v>
      </c>
      <c r="P951" t="s">
        <v>3996</v>
      </c>
      <c r="Q951" t="str">
        <f>SUBSTITUTE(SUBSTITUTE(SUBSTITUTE(P951," ",""),"-",""),"+","")</f>
        <v>00072927338</v>
      </c>
      <c r="R951" t="str">
        <f t="shared" si="28"/>
        <v>0072927338</v>
      </c>
      <c r="S951" t="str">
        <f>IF(LEN(R951),"Valid","Invalid")</f>
        <v>Valid</v>
      </c>
      <c r="T951" t="s">
        <v>3995</v>
      </c>
      <c r="V951" t="s">
        <v>123</v>
      </c>
      <c r="X951">
        <v>22333.85</v>
      </c>
      <c r="Y951" t="s">
        <v>123</v>
      </c>
      <c r="Z951">
        <v>129</v>
      </c>
      <c r="AA951">
        <f t="shared" si="29"/>
        <v>129</v>
      </c>
      <c r="AB951" t="s">
        <v>43</v>
      </c>
    </row>
    <row r="952" spans="1:28" x14ac:dyDescent="0.3">
      <c r="A952" t="s">
        <v>3994</v>
      </c>
      <c r="B952" t="s">
        <v>3993</v>
      </c>
      <c r="C952" t="s">
        <v>3993</v>
      </c>
      <c r="D952" t="s">
        <v>40</v>
      </c>
      <c r="E952">
        <v>79</v>
      </c>
      <c r="F952">
        <v>79</v>
      </c>
      <c r="G952" t="s">
        <v>68</v>
      </c>
      <c r="H952" t="s">
        <v>68</v>
      </c>
      <c r="I952" t="s">
        <v>67</v>
      </c>
      <c r="J952" t="s">
        <v>67</v>
      </c>
      <c r="K952" s="1">
        <v>46051</v>
      </c>
      <c r="L952" s="1" t="str">
        <f>IF(K952&gt;O952,"Valid","Invalid")</f>
        <v>Valid</v>
      </c>
      <c r="M952" s="1" t="b">
        <f>ISNUMBER(K952)</f>
        <v>1</v>
      </c>
      <c r="N952" s="1" t="b">
        <f>ISNUMBER(O952)</f>
        <v>1</v>
      </c>
      <c r="O952" s="1">
        <v>46042</v>
      </c>
      <c r="P952" t="s">
        <v>3992</v>
      </c>
      <c r="Q952" t="str">
        <f>SUBSTITUTE(SUBSTITUTE(SUBSTITUTE(P952," ",""),"-",""),"+","")</f>
        <v>0070025256</v>
      </c>
      <c r="R952" t="str">
        <f t="shared" si="28"/>
        <v>0070025256</v>
      </c>
      <c r="S952" t="str">
        <f>IF(LEN(R952),"Valid","Invalid")</f>
        <v>Valid</v>
      </c>
      <c r="T952" t="s">
        <v>3991</v>
      </c>
      <c r="V952" t="s">
        <v>57</v>
      </c>
      <c r="X952">
        <v>2857.67</v>
      </c>
      <c r="Y952" t="s">
        <v>17</v>
      </c>
      <c r="Z952">
        <v>469</v>
      </c>
      <c r="AA952">
        <f t="shared" si="29"/>
        <v>469</v>
      </c>
      <c r="AB952" t="s">
        <v>71</v>
      </c>
    </row>
    <row r="953" spans="1:28" x14ac:dyDescent="0.3">
      <c r="A953" t="s">
        <v>3990</v>
      </c>
      <c r="B953" t="s">
        <v>3989</v>
      </c>
      <c r="C953" t="s">
        <v>3989</v>
      </c>
      <c r="D953" t="s">
        <v>123</v>
      </c>
      <c r="E953">
        <v>46</v>
      </c>
      <c r="F953">
        <v>46</v>
      </c>
      <c r="G953" t="s">
        <v>47</v>
      </c>
      <c r="H953" t="s">
        <v>47</v>
      </c>
      <c r="I953" t="s">
        <v>20</v>
      </c>
      <c r="J953" t="s">
        <v>20</v>
      </c>
      <c r="K953" s="1">
        <v>46104</v>
      </c>
      <c r="L953" s="1" t="str">
        <f>IF(K953&gt;O953,"Valid","Invalid")</f>
        <v>Valid</v>
      </c>
      <c r="M953" s="1" t="b">
        <f>ISNUMBER(K953)</f>
        <v>1</v>
      </c>
      <c r="N953" s="1" t="b">
        <f>ISNUMBER(O953)</f>
        <v>1</v>
      </c>
      <c r="O953" s="1">
        <v>46091</v>
      </c>
      <c r="P953" t="s">
        <v>3988</v>
      </c>
      <c r="Q953" t="str">
        <f>SUBSTITUTE(SUBSTITUTE(SUBSTITUTE(P953," ",""),"-",""),"+","")</f>
        <v>05556437645</v>
      </c>
      <c r="R953" t="str">
        <f t="shared" si="28"/>
        <v>5556437645</v>
      </c>
      <c r="S953" t="str">
        <f>IF(LEN(R953),"Valid","Invalid")</f>
        <v>Valid</v>
      </c>
      <c r="T953" t="s">
        <v>3987</v>
      </c>
      <c r="V953" t="s">
        <v>123</v>
      </c>
      <c r="X953">
        <v>5099.1000000000004</v>
      </c>
      <c r="Y953" t="s">
        <v>26</v>
      </c>
      <c r="Z953">
        <v>310</v>
      </c>
      <c r="AA953">
        <f t="shared" si="29"/>
        <v>310</v>
      </c>
      <c r="AB953" t="s">
        <v>77</v>
      </c>
    </row>
    <row r="954" spans="1:28" x14ac:dyDescent="0.3">
      <c r="A954" t="s">
        <v>3986</v>
      </c>
      <c r="B954" t="s">
        <v>3985</v>
      </c>
      <c r="C954" t="s">
        <v>3985</v>
      </c>
      <c r="E954">
        <v>1</v>
      </c>
      <c r="F954">
        <v>1</v>
      </c>
      <c r="G954" t="s">
        <v>39</v>
      </c>
      <c r="H954" t="s">
        <v>39</v>
      </c>
      <c r="I954" t="s">
        <v>30</v>
      </c>
      <c r="J954" t="s">
        <v>30</v>
      </c>
      <c r="K954" s="1">
        <v>46119</v>
      </c>
      <c r="L954" s="1" t="str">
        <f>IF(K954&gt;O954,"Valid","Invalid")</f>
        <v>Valid</v>
      </c>
      <c r="M954" s="1" t="b">
        <f>ISNUMBER(K954)</f>
        <v>1</v>
      </c>
      <c r="N954" s="1" t="b">
        <f>ISNUMBER(O954)</f>
        <v>1</v>
      </c>
      <c r="O954" s="1">
        <v>46112</v>
      </c>
      <c r="P954" t="s">
        <v>3984</v>
      </c>
      <c r="Q954" t="str">
        <f>SUBSTITUTE(SUBSTITUTE(SUBSTITUTE(P954," ",""),"-",""),"+","")</f>
        <v>4111083259</v>
      </c>
      <c r="R954" t="str">
        <f t="shared" si="28"/>
        <v>4111083259</v>
      </c>
      <c r="S954" t="str">
        <f>IF(LEN(R954),"Valid","Invalid")</f>
        <v>Valid</v>
      </c>
      <c r="T954" t="s">
        <v>3983</v>
      </c>
      <c r="V954" t="s">
        <v>123</v>
      </c>
      <c r="X954">
        <v>10004.9</v>
      </c>
      <c r="Y954" t="s">
        <v>63</v>
      </c>
      <c r="Z954">
        <v>286</v>
      </c>
      <c r="AA954">
        <f t="shared" si="29"/>
        <v>286</v>
      </c>
      <c r="AB954" t="s">
        <v>16</v>
      </c>
    </row>
    <row r="955" spans="1:28" x14ac:dyDescent="0.3">
      <c r="A955" t="s">
        <v>3982</v>
      </c>
      <c r="B955" t="s">
        <v>3981</v>
      </c>
      <c r="C955" t="s">
        <v>3981</v>
      </c>
      <c r="D955" t="s">
        <v>0</v>
      </c>
      <c r="E955">
        <v>69</v>
      </c>
      <c r="F955">
        <v>69</v>
      </c>
      <c r="G955" t="s">
        <v>132</v>
      </c>
      <c r="H955" t="s">
        <v>132</v>
      </c>
      <c r="I955" t="s">
        <v>20</v>
      </c>
      <c r="J955" t="s">
        <v>20</v>
      </c>
      <c r="K955" s="1">
        <v>46037</v>
      </c>
      <c r="L955" s="1" t="str">
        <f>IF(K955&gt;O955,"Valid","Invalid")</f>
        <v>Valid</v>
      </c>
      <c r="M955" s="1" t="b">
        <f>ISNUMBER(K955)</f>
        <v>1</v>
      </c>
      <c r="N955" s="1" t="b">
        <f>ISNUMBER(O955)</f>
        <v>1</v>
      </c>
      <c r="O955" s="1">
        <v>46023</v>
      </c>
      <c r="P955" t="s">
        <v>3980</v>
      </c>
      <c r="Q955" t="str">
        <f>SUBSTITUTE(SUBSTITUTE(SUBSTITUTE(P955," ",""),"-",""),"+","")</f>
        <v>910784498078</v>
      </c>
      <c r="R955" t="str">
        <f t="shared" si="28"/>
        <v>0784498078</v>
      </c>
      <c r="S955" t="str">
        <f>IF(LEN(R955),"Valid","Invalid")</f>
        <v>Valid</v>
      </c>
      <c r="T955" t="s">
        <v>3979</v>
      </c>
      <c r="V955" t="s">
        <v>123</v>
      </c>
      <c r="X955">
        <v>4213.49</v>
      </c>
      <c r="Y955" t="s">
        <v>17</v>
      </c>
      <c r="Z955">
        <v>482</v>
      </c>
      <c r="AA955">
        <f t="shared" si="29"/>
        <v>482</v>
      </c>
      <c r="AB955" t="s">
        <v>16</v>
      </c>
    </row>
    <row r="956" spans="1:28" x14ac:dyDescent="0.3">
      <c r="A956" t="s">
        <v>3978</v>
      </c>
      <c r="B956" t="s">
        <v>3977</v>
      </c>
      <c r="C956" t="s">
        <v>3977</v>
      </c>
      <c r="D956" t="s">
        <v>40</v>
      </c>
      <c r="E956">
        <v>46</v>
      </c>
      <c r="F956">
        <v>46</v>
      </c>
      <c r="G956" t="s">
        <v>21</v>
      </c>
      <c r="H956" t="s">
        <v>21</v>
      </c>
      <c r="I956" t="s">
        <v>20</v>
      </c>
      <c r="J956" t="s">
        <v>20</v>
      </c>
      <c r="K956" s="1">
        <v>46038</v>
      </c>
      <c r="L956" s="1" t="str">
        <f>IF(K956&gt;O956,"Valid","Invalid")</f>
        <v>Valid</v>
      </c>
      <c r="M956" s="1" t="b">
        <f>ISNUMBER(K956)</f>
        <v>1</v>
      </c>
      <c r="N956" s="1" t="b">
        <f>ISNUMBER(O956)</f>
        <v>1</v>
      </c>
      <c r="O956" s="1">
        <v>46032</v>
      </c>
      <c r="P956" t="s">
        <v>3976</v>
      </c>
      <c r="Q956" t="str">
        <f>SUBSTITUTE(SUBSTITUTE(SUBSTITUTE(P956," ",""),"-",""),"+","")</f>
        <v>0808941296</v>
      </c>
      <c r="R956" t="str">
        <f t="shared" si="28"/>
        <v>0808941296</v>
      </c>
      <c r="S956" t="str">
        <f>IF(LEN(R956),"Valid","Invalid")</f>
        <v>Valid</v>
      </c>
      <c r="T956" t="s">
        <v>3975</v>
      </c>
      <c r="V956" t="s">
        <v>26</v>
      </c>
      <c r="X956">
        <v>1198.3599999999999</v>
      </c>
      <c r="Y956" t="s">
        <v>123</v>
      </c>
      <c r="Z956">
        <v>315</v>
      </c>
      <c r="AA956">
        <f t="shared" si="29"/>
        <v>315</v>
      </c>
      <c r="AB956" t="s">
        <v>25</v>
      </c>
    </row>
    <row r="957" spans="1:28" x14ac:dyDescent="0.3">
      <c r="A957" t="s">
        <v>3974</v>
      </c>
      <c r="B957" t="s">
        <v>3973</v>
      </c>
      <c r="C957" t="s">
        <v>3973</v>
      </c>
      <c r="D957" t="s">
        <v>60</v>
      </c>
      <c r="E957">
        <v>5</v>
      </c>
      <c r="F957">
        <v>5</v>
      </c>
      <c r="G957" t="s">
        <v>39</v>
      </c>
      <c r="H957" t="s">
        <v>39</v>
      </c>
      <c r="I957" t="s">
        <v>38</v>
      </c>
      <c r="J957" t="s">
        <v>8077</v>
      </c>
      <c r="K957" s="1">
        <v>46051</v>
      </c>
      <c r="L957" s="1" t="str">
        <f>IF(K957&gt;O957,"Valid","Invalid")</f>
        <v>Valid</v>
      </c>
      <c r="M957" s="1" t="b">
        <f>ISNUMBER(K957)</f>
        <v>1</v>
      </c>
      <c r="N957" s="1" t="b">
        <f>ISNUMBER(O957)</f>
        <v>1</v>
      </c>
      <c r="O957" s="1">
        <v>46021</v>
      </c>
      <c r="P957" t="s">
        <v>3972</v>
      </c>
      <c r="Q957" t="str">
        <f>SUBSTITUTE(SUBSTITUTE(SUBSTITUTE(P957," ",""),"-",""),"+","")</f>
        <v>915921132202</v>
      </c>
      <c r="R957" t="str">
        <f t="shared" si="28"/>
        <v>5921132202</v>
      </c>
      <c r="S957" t="str">
        <f>IF(LEN(R957),"Valid","Invalid")</f>
        <v>Valid</v>
      </c>
      <c r="T957" t="s">
        <v>3971</v>
      </c>
      <c r="V957" t="s">
        <v>123</v>
      </c>
      <c r="X957">
        <v>24000.53</v>
      </c>
      <c r="Y957" t="s">
        <v>63</v>
      </c>
      <c r="Z957">
        <v>160</v>
      </c>
      <c r="AA957">
        <f t="shared" si="29"/>
        <v>160</v>
      </c>
      <c r="AB957" t="s">
        <v>16</v>
      </c>
    </row>
    <row r="958" spans="1:28" x14ac:dyDescent="0.3">
      <c r="A958" t="s">
        <v>3970</v>
      </c>
      <c r="B958" t="s">
        <v>3969</v>
      </c>
      <c r="C958" t="s">
        <v>3969</v>
      </c>
      <c r="E958">
        <v>71</v>
      </c>
      <c r="F958">
        <v>71</v>
      </c>
      <c r="G958" t="s">
        <v>68</v>
      </c>
      <c r="H958" t="s">
        <v>68</v>
      </c>
      <c r="I958" t="s">
        <v>53</v>
      </c>
      <c r="J958" t="s">
        <v>20</v>
      </c>
      <c r="K958" s="1">
        <v>46002</v>
      </c>
      <c r="L958" s="1" t="str">
        <f>IF(K958&gt;O958,"Valid","Invalid")</f>
        <v>Valid</v>
      </c>
      <c r="M958" s="1" t="b">
        <f>ISNUMBER(K958)</f>
        <v>1</v>
      </c>
      <c r="N958" s="1" t="b">
        <f>ISNUMBER(O958)</f>
        <v>1</v>
      </c>
      <c r="O958" s="1">
        <v>45992</v>
      </c>
      <c r="P958" t="s">
        <v>3968</v>
      </c>
      <c r="Q958" t="str">
        <f>SUBSTITUTE(SUBSTITUTE(SUBSTITUTE(P958," ",""),"-",""),"+","")</f>
        <v>918437379337</v>
      </c>
      <c r="R958" t="str">
        <f t="shared" si="28"/>
        <v>8437379337</v>
      </c>
      <c r="S958" t="str">
        <f>IF(LEN(R958),"Valid","Invalid")</f>
        <v>Valid</v>
      </c>
      <c r="T958" t="s">
        <v>3967</v>
      </c>
      <c r="V958" t="s">
        <v>123</v>
      </c>
      <c r="X958">
        <v>12646.09</v>
      </c>
      <c r="Y958" t="s">
        <v>123</v>
      </c>
      <c r="Z958">
        <v>167</v>
      </c>
      <c r="AA958">
        <f t="shared" si="29"/>
        <v>167</v>
      </c>
      <c r="AB958" t="s">
        <v>77</v>
      </c>
    </row>
    <row r="959" spans="1:28" x14ac:dyDescent="0.3">
      <c r="A959" t="s">
        <v>3966</v>
      </c>
      <c r="B959" t="s">
        <v>3965</v>
      </c>
      <c r="C959" t="s">
        <v>3965</v>
      </c>
      <c r="D959" t="s">
        <v>74</v>
      </c>
      <c r="E959">
        <v>3</v>
      </c>
      <c r="F959">
        <v>3</v>
      </c>
      <c r="G959" t="s">
        <v>39</v>
      </c>
      <c r="H959" t="s">
        <v>39</v>
      </c>
      <c r="I959" t="s">
        <v>53</v>
      </c>
      <c r="J959" t="s">
        <v>20</v>
      </c>
      <c r="K959" s="1">
        <v>46037</v>
      </c>
      <c r="L959" s="1" t="str">
        <f>IF(K959&gt;O959,"Valid","Invalid")</f>
        <v>Valid</v>
      </c>
      <c r="M959" s="1" t="b">
        <f>ISNUMBER(K959)</f>
        <v>1</v>
      </c>
      <c r="N959" s="1" t="b">
        <f>ISNUMBER(O959)</f>
        <v>1</v>
      </c>
      <c r="O959" s="1">
        <v>46026</v>
      </c>
      <c r="P959" t="s">
        <v>510</v>
      </c>
      <c r="Q959" t="str">
        <f>SUBSTITUTE(SUBSTITUTE(SUBSTITUTE(P959," ",""),"-",""),"+","")</f>
        <v>12345</v>
      </c>
      <c r="R959" t="str">
        <f t="shared" si="28"/>
        <v>12345</v>
      </c>
      <c r="S959" t="str">
        <f>IF(LEN(R959),"Valid","Invalid")</f>
        <v>Valid</v>
      </c>
      <c r="T959" t="s">
        <v>3964</v>
      </c>
      <c r="V959" t="s">
        <v>27</v>
      </c>
      <c r="X959">
        <v>19231.150000000001</v>
      </c>
      <c r="Y959" t="s">
        <v>57</v>
      </c>
      <c r="Z959">
        <v>126</v>
      </c>
      <c r="AA959">
        <f t="shared" si="29"/>
        <v>126</v>
      </c>
      <c r="AB959" t="s">
        <v>25</v>
      </c>
    </row>
    <row r="960" spans="1:28" x14ac:dyDescent="0.3">
      <c r="A960" t="s">
        <v>3963</v>
      </c>
      <c r="B960" t="s">
        <v>3962</v>
      </c>
      <c r="C960" t="s">
        <v>3962</v>
      </c>
      <c r="D960" t="s">
        <v>60</v>
      </c>
      <c r="E960">
        <v>55</v>
      </c>
      <c r="F960">
        <v>55</v>
      </c>
      <c r="G960" t="s">
        <v>47</v>
      </c>
      <c r="H960" t="s">
        <v>47</v>
      </c>
      <c r="I960" t="s">
        <v>90</v>
      </c>
      <c r="J960" t="s">
        <v>67</v>
      </c>
      <c r="K960" s="1">
        <v>46115</v>
      </c>
      <c r="L960" s="1" t="str">
        <f>IF(K960&gt;O960,"Valid","Invalid")</f>
        <v>Valid</v>
      </c>
      <c r="M960" s="1" t="b">
        <f>ISNUMBER(K960)</f>
        <v>1</v>
      </c>
      <c r="N960" s="1" t="b">
        <f>ISNUMBER(O960)</f>
        <v>1</v>
      </c>
      <c r="O960" s="1">
        <v>46100</v>
      </c>
      <c r="P960" t="s">
        <v>3961</v>
      </c>
      <c r="Q960" t="str">
        <f>SUBSTITUTE(SUBSTITUTE(SUBSTITUTE(P960," ",""),"-",""),"+","")</f>
        <v>6338327272</v>
      </c>
      <c r="R960" t="str">
        <f t="shared" si="28"/>
        <v>6338327272</v>
      </c>
      <c r="S960" t="str">
        <f>IF(LEN(R960),"Valid","Invalid")</f>
        <v>Valid</v>
      </c>
      <c r="T960" t="s">
        <v>3960</v>
      </c>
      <c r="V960" t="s">
        <v>26</v>
      </c>
      <c r="X960">
        <v>7199.14</v>
      </c>
      <c r="Y960" t="s">
        <v>64</v>
      </c>
      <c r="Z960">
        <v>489</v>
      </c>
      <c r="AA960">
        <f t="shared" si="29"/>
        <v>489</v>
      </c>
      <c r="AB960" t="s">
        <v>16</v>
      </c>
    </row>
    <row r="961" spans="1:28" x14ac:dyDescent="0.3">
      <c r="A961" t="s">
        <v>3959</v>
      </c>
      <c r="B961" t="s">
        <v>3958</v>
      </c>
      <c r="C961" t="s">
        <v>3958</v>
      </c>
      <c r="D961" t="s">
        <v>1</v>
      </c>
      <c r="E961">
        <v>80</v>
      </c>
      <c r="F961">
        <v>80</v>
      </c>
      <c r="G961" t="s">
        <v>39</v>
      </c>
      <c r="H961" t="s">
        <v>39</v>
      </c>
      <c r="I961" t="s">
        <v>53</v>
      </c>
      <c r="J961" t="s">
        <v>20</v>
      </c>
      <c r="K961" s="1">
        <v>46002</v>
      </c>
      <c r="L961" s="1" t="str">
        <f>IF(K961&gt;O961,"Valid","Invalid")</f>
        <v>Valid</v>
      </c>
      <c r="M961" s="1" t="b">
        <f>ISNUMBER(K961)</f>
        <v>1</v>
      </c>
      <c r="N961" s="1" t="b">
        <f>ISNUMBER(O961)</f>
        <v>1</v>
      </c>
      <c r="O961" s="1">
        <v>45995</v>
      </c>
      <c r="P961" t="s">
        <v>3957</v>
      </c>
      <c r="Q961" t="str">
        <f>SUBSTITUTE(SUBSTITUTE(SUBSTITUTE(P961," ",""),"-",""),"+","")</f>
        <v>08464570622</v>
      </c>
      <c r="R961" t="str">
        <f t="shared" si="28"/>
        <v>8464570622</v>
      </c>
      <c r="S961" t="str">
        <f>IF(LEN(R961),"Valid","Invalid")</f>
        <v>Valid</v>
      </c>
      <c r="T961" t="s">
        <v>3956</v>
      </c>
      <c r="V961" t="s">
        <v>26</v>
      </c>
      <c r="X961">
        <v>19214.84</v>
      </c>
      <c r="Y961" t="s">
        <v>63</v>
      </c>
      <c r="Z961">
        <v>458</v>
      </c>
      <c r="AA961">
        <f t="shared" si="29"/>
        <v>458</v>
      </c>
      <c r="AB961" t="s">
        <v>71</v>
      </c>
    </row>
    <row r="962" spans="1:28" x14ac:dyDescent="0.3">
      <c r="A962" t="s">
        <v>3955</v>
      </c>
      <c r="B962" t="s">
        <v>3954</v>
      </c>
      <c r="C962" t="s">
        <v>3954</v>
      </c>
      <c r="D962" t="s">
        <v>123</v>
      </c>
      <c r="E962">
        <v>26</v>
      </c>
      <c r="F962">
        <v>26</v>
      </c>
      <c r="G962" t="s">
        <v>68</v>
      </c>
      <c r="H962" t="s">
        <v>68</v>
      </c>
      <c r="I962" t="s">
        <v>20</v>
      </c>
      <c r="J962" t="s">
        <v>20</v>
      </c>
      <c r="K962" s="1">
        <v>46139</v>
      </c>
      <c r="L962" s="1" t="str">
        <f>IF(K962&gt;O962,"Valid","Invalid")</f>
        <v>Valid</v>
      </c>
      <c r="M962" s="1" t="b">
        <f>ISNUMBER(K962)</f>
        <v>1</v>
      </c>
      <c r="N962" s="1" t="b">
        <f>ISNUMBER(O962)</f>
        <v>1</v>
      </c>
      <c r="O962" s="1">
        <v>46117</v>
      </c>
      <c r="P962" t="s">
        <v>3953</v>
      </c>
      <c r="Q962" t="str">
        <f>SUBSTITUTE(SUBSTITUTE(SUBSTITUTE(P962," ",""),"-",""),"+","")</f>
        <v>7904575340</v>
      </c>
      <c r="R962" t="str">
        <f t="shared" si="28"/>
        <v>7904575340</v>
      </c>
      <c r="S962" t="str">
        <f>IF(LEN(R962),"Valid","Invalid")</f>
        <v>Valid</v>
      </c>
      <c r="T962" t="s">
        <v>3952</v>
      </c>
      <c r="V962" t="s">
        <v>35</v>
      </c>
      <c r="X962">
        <v>4878.99</v>
      </c>
      <c r="Y962" t="s">
        <v>26</v>
      </c>
      <c r="Z962">
        <v>217</v>
      </c>
      <c r="AA962">
        <f t="shared" si="29"/>
        <v>217</v>
      </c>
      <c r="AB962" t="s">
        <v>77</v>
      </c>
    </row>
    <row r="963" spans="1:28" x14ac:dyDescent="0.3">
      <c r="A963" t="s">
        <v>3951</v>
      </c>
      <c r="B963" t="s">
        <v>3950</v>
      </c>
      <c r="C963" t="s">
        <v>3950</v>
      </c>
      <c r="D963" t="s">
        <v>0</v>
      </c>
      <c r="E963">
        <v>52</v>
      </c>
      <c r="F963">
        <v>52</v>
      </c>
      <c r="G963" t="s">
        <v>47</v>
      </c>
      <c r="H963" t="s">
        <v>47</v>
      </c>
      <c r="I963" t="s">
        <v>30</v>
      </c>
      <c r="J963" t="s">
        <v>30</v>
      </c>
      <c r="K963" s="1">
        <v>46068</v>
      </c>
      <c r="L963" s="1" t="str">
        <f>IF(K963&gt;O963,"Valid","Invalid")</f>
        <v>Valid</v>
      </c>
      <c r="M963" s="1" t="b">
        <f>ISNUMBER(K963)</f>
        <v>1</v>
      </c>
      <c r="N963" s="1" t="b">
        <f>ISNUMBER(O963)</f>
        <v>1</v>
      </c>
      <c r="O963" s="1">
        <v>46062</v>
      </c>
      <c r="P963" t="s">
        <v>3949</v>
      </c>
      <c r="Q963" t="str">
        <f>SUBSTITUTE(SUBSTITUTE(SUBSTITUTE(P963," ",""),"-",""),"+","")</f>
        <v>01027368229</v>
      </c>
      <c r="R963" t="str">
        <f t="shared" si="28"/>
        <v>1027368229</v>
      </c>
      <c r="S963" t="str">
        <f>IF(LEN(R963),"Valid","Invalid")</f>
        <v>Valid</v>
      </c>
      <c r="T963" t="s">
        <v>3948</v>
      </c>
      <c r="V963" t="s">
        <v>35</v>
      </c>
      <c r="X963">
        <v>10772.31</v>
      </c>
      <c r="Y963" t="s">
        <v>57</v>
      </c>
      <c r="Z963">
        <v>146</v>
      </c>
      <c r="AA963">
        <f t="shared" si="29"/>
        <v>146</v>
      </c>
      <c r="AB963" t="s">
        <v>50</v>
      </c>
    </row>
    <row r="964" spans="1:28" x14ac:dyDescent="0.3">
      <c r="A964" t="s">
        <v>3944</v>
      </c>
      <c r="B964" t="s">
        <v>3943</v>
      </c>
      <c r="C964" t="s">
        <v>3943</v>
      </c>
      <c r="D964" t="s">
        <v>123</v>
      </c>
      <c r="E964">
        <v>83</v>
      </c>
      <c r="F964">
        <v>83</v>
      </c>
      <c r="G964" t="s">
        <v>47</v>
      </c>
      <c r="H964" t="s">
        <v>47</v>
      </c>
      <c r="I964" t="s">
        <v>30</v>
      </c>
      <c r="J964" t="s">
        <v>30</v>
      </c>
      <c r="K964" s="1">
        <v>46051</v>
      </c>
      <c r="L964" s="1" t="str">
        <f>IF(K964&gt;O964,"Valid","Invalid")</f>
        <v>Valid</v>
      </c>
      <c r="M964" s="1" t="b">
        <f>ISNUMBER(K964)</f>
        <v>1</v>
      </c>
      <c r="N964" s="1" t="b">
        <f>ISNUMBER(O964)</f>
        <v>1</v>
      </c>
      <c r="O964" s="1">
        <v>46048</v>
      </c>
      <c r="P964" t="s">
        <v>3942</v>
      </c>
      <c r="Q964" t="str">
        <f>SUBSTITUTE(SUBSTITUTE(SUBSTITUTE(P964," ",""),"-",""),"+","")</f>
        <v>07041425516</v>
      </c>
      <c r="R964" t="str">
        <f t="shared" si="28"/>
        <v>7041425516</v>
      </c>
      <c r="S964" t="str">
        <f>IF(LEN(R964),"Valid","Invalid")</f>
        <v>Valid</v>
      </c>
      <c r="T964" t="s">
        <v>3941</v>
      </c>
      <c r="V964" t="s">
        <v>26</v>
      </c>
      <c r="X964">
        <v>9216.69</v>
      </c>
      <c r="Y964" t="s">
        <v>17</v>
      </c>
      <c r="Z964">
        <v>464</v>
      </c>
      <c r="AA964">
        <f t="shared" si="29"/>
        <v>464</v>
      </c>
      <c r="AB964" t="s">
        <v>16</v>
      </c>
    </row>
    <row r="965" spans="1:28" x14ac:dyDescent="0.3">
      <c r="A965" t="s">
        <v>3940</v>
      </c>
      <c r="B965" t="s">
        <v>3939</v>
      </c>
      <c r="C965" t="s">
        <v>3939</v>
      </c>
      <c r="D965" t="s">
        <v>1</v>
      </c>
      <c r="E965">
        <v>41</v>
      </c>
      <c r="F965">
        <v>41</v>
      </c>
      <c r="G965" t="s">
        <v>47</v>
      </c>
      <c r="H965" t="s">
        <v>47</v>
      </c>
      <c r="I965" t="s">
        <v>53</v>
      </c>
      <c r="J965" t="s">
        <v>20</v>
      </c>
      <c r="K965" s="1">
        <v>46048</v>
      </c>
      <c r="L965" s="1" t="str">
        <f>IF(K965&gt;O965,"Valid","Invalid")</f>
        <v>Valid</v>
      </c>
      <c r="M965" s="1" t="b">
        <f>ISNUMBER(K965)</f>
        <v>1</v>
      </c>
      <c r="N965" s="1" t="b">
        <f>ISNUMBER(O965)</f>
        <v>1</v>
      </c>
      <c r="O965" s="1">
        <v>46047</v>
      </c>
      <c r="P965" t="s">
        <v>3938</v>
      </c>
      <c r="Q965" t="str">
        <f>SUBSTITUTE(SUBSTITUTE(SUBSTITUTE(P965," ",""),"-",""),"+","")</f>
        <v>04201535713</v>
      </c>
      <c r="R965" t="str">
        <f t="shared" ref="R965:R1028" si="30">RIGHT(Q965,10)</f>
        <v>4201535713</v>
      </c>
      <c r="S965" t="str">
        <f>IF(LEN(R965),"Valid","Invalid")</f>
        <v>Valid</v>
      </c>
      <c r="T965" t="s">
        <v>3937</v>
      </c>
      <c r="V965" t="s">
        <v>27</v>
      </c>
      <c r="X965">
        <v>1492.84</v>
      </c>
      <c r="Y965" t="s">
        <v>17</v>
      </c>
      <c r="Z965">
        <v>208</v>
      </c>
      <c r="AA965">
        <f t="shared" ref="AA965:AA1028" si="31">IF(Z965="Room-x",0,Z965)</f>
        <v>208</v>
      </c>
      <c r="AB965" t="s">
        <v>43</v>
      </c>
    </row>
    <row r="966" spans="1:28" x14ac:dyDescent="0.3">
      <c r="A966" t="s">
        <v>3936</v>
      </c>
      <c r="B966" t="s">
        <v>3935</v>
      </c>
      <c r="C966" t="s">
        <v>3935</v>
      </c>
      <c r="E966">
        <v>36</v>
      </c>
      <c r="F966">
        <v>36</v>
      </c>
      <c r="G966" t="s">
        <v>80</v>
      </c>
      <c r="H966" t="s">
        <v>80</v>
      </c>
      <c r="I966" t="s">
        <v>90</v>
      </c>
      <c r="J966" t="s">
        <v>67</v>
      </c>
      <c r="K966" s="1">
        <v>46059</v>
      </c>
      <c r="L966" s="1" t="str">
        <f>IF(K966&gt;O966,"Valid","Invalid")</f>
        <v>Valid</v>
      </c>
      <c r="M966" s="1" t="b">
        <f>ISNUMBER(K966)</f>
        <v>1</v>
      </c>
      <c r="N966" s="1" t="b">
        <f>ISNUMBER(O966)</f>
        <v>1</v>
      </c>
      <c r="O966" s="1">
        <v>46054</v>
      </c>
      <c r="P966" t="s">
        <v>3934</v>
      </c>
      <c r="Q966" t="str">
        <f>SUBSTITUTE(SUBSTITUTE(SUBSTITUTE(P966," ",""),"-",""),"+","")</f>
        <v>918372814091</v>
      </c>
      <c r="R966" t="str">
        <f t="shared" si="30"/>
        <v>8372814091</v>
      </c>
      <c r="S966" t="str">
        <f>IF(LEN(R966),"Valid","Invalid")</f>
        <v>Valid</v>
      </c>
      <c r="T966" t="s">
        <v>3933</v>
      </c>
      <c r="V966" t="s">
        <v>26</v>
      </c>
      <c r="X966">
        <v>23718.54</v>
      </c>
      <c r="Y966" t="s">
        <v>17</v>
      </c>
      <c r="Z966">
        <v>271</v>
      </c>
      <c r="AA966">
        <f t="shared" si="31"/>
        <v>271</v>
      </c>
      <c r="AB966" t="s">
        <v>43</v>
      </c>
    </row>
    <row r="967" spans="1:28" x14ac:dyDescent="0.3">
      <c r="A967" t="s">
        <v>3932</v>
      </c>
      <c r="B967" t="s">
        <v>3931</v>
      </c>
      <c r="C967" t="s">
        <v>3931</v>
      </c>
      <c r="D967" t="s">
        <v>74</v>
      </c>
      <c r="E967">
        <v>13</v>
      </c>
      <c r="F967">
        <v>13</v>
      </c>
      <c r="G967" t="s">
        <v>47</v>
      </c>
      <c r="H967" t="s">
        <v>47</v>
      </c>
      <c r="I967" t="s">
        <v>53</v>
      </c>
      <c r="J967" t="s">
        <v>20</v>
      </c>
      <c r="K967" s="1">
        <v>46021</v>
      </c>
      <c r="L967" s="1" t="str">
        <f>IF(K967&gt;O967,"Valid","Invalid")</f>
        <v>Valid</v>
      </c>
      <c r="M967" s="1" t="b">
        <f>ISNUMBER(K967)</f>
        <v>1</v>
      </c>
      <c r="N967" s="1" t="b">
        <f>ISNUMBER(O967)</f>
        <v>1</v>
      </c>
      <c r="O967" s="1">
        <v>46011</v>
      </c>
      <c r="P967" t="s">
        <v>3930</v>
      </c>
      <c r="Q967" t="str">
        <f>SUBSTITUTE(SUBSTITUTE(SUBSTITUTE(P967," ",""),"-",""),"+","")</f>
        <v>04922734686</v>
      </c>
      <c r="R967" t="str">
        <f t="shared" si="30"/>
        <v>4922734686</v>
      </c>
      <c r="S967" t="str">
        <f>IF(LEN(R967),"Valid","Invalid")</f>
        <v>Valid</v>
      </c>
      <c r="T967" t="s">
        <v>3929</v>
      </c>
      <c r="V967" t="s">
        <v>57</v>
      </c>
      <c r="X967">
        <v>18584.04</v>
      </c>
      <c r="Y967" t="s">
        <v>17</v>
      </c>
      <c r="Z967">
        <v>480</v>
      </c>
      <c r="AA967">
        <f t="shared" si="31"/>
        <v>480</v>
      </c>
      <c r="AB967" t="s">
        <v>50</v>
      </c>
    </row>
    <row r="968" spans="1:28" x14ac:dyDescent="0.3">
      <c r="A968" t="s">
        <v>3928</v>
      </c>
      <c r="B968" t="s">
        <v>3927</v>
      </c>
      <c r="C968" t="s">
        <v>3927</v>
      </c>
      <c r="D968" t="s">
        <v>60</v>
      </c>
      <c r="E968">
        <v>31</v>
      </c>
      <c r="F968">
        <v>31</v>
      </c>
      <c r="G968" t="s">
        <v>132</v>
      </c>
      <c r="H968" t="s">
        <v>132</v>
      </c>
      <c r="I968" t="s">
        <v>38</v>
      </c>
      <c r="J968" t="s">
        <v>8077</v>
      </c>
      <c r="K968" s="1">
        <v>46164</v>
      </c>
      <c r="L968" s="1" t="str">
        <f>IF(K968&gt;O968,"Valid","Invalid")</f>
        <v>Valid</v>
      </c>
      <c r="M968" s="1" t="b">
        <f>ISNUMBER(K968)</f>
        <v>1</v>
      </c>
      <c r="N968" s="1" t="b">
        <f>ISNUMBER(O968)</f>
        <v>1</v>
      </c>
      <c r="O968" s="1">
        <v>46146</v>
      </c>
      <c r="P968" t="s">
        <v>3926</v>
      </c>
      <c r="Q968" t="str">
        <f>SUBSTITUTE(SUBSTITUTE(SUBSTITUTE(P968," ",""),"-",""),"+","")</f>
        <v>05839191603</v>
      </c>
      <c r="R968" t="str">
        <f t="shared" si="30"/>
        <v>5839191603</v>
      </c>
      <c r="S968" t="str">
        <f>IF(LEN(R968),"Valid","Invalid")</f>
        <v>Valid</v>
      </c>
      <c r="T968" t="s">
        <v>3925</v>
      </c>
      <c r="V968" t="s">
        <v>123</v>
      </c>
      <c r="X968">
        <v>2363.33</v>
      </c>
      <c r="Y968" t="s">
        <v>64</v>
      </c>
      <c r="Z968">
        <v>166</v>
      </c>
      <c r="AA968">
        <f t="shared" si="31"/>
        <v>166</v>
      </c>
      <c r="AB968" t="s">
        <v>25</v>
      </c>
    </row>
    <row r="969" spans="1:28" x14ac:dyDescent="0.3">
      <c r="A969" t="s">
        <v>3924</v>
      </c>
      <c r="B969" t="s">
        <v>3923</v>
      </c>
      <c r="C969" t="s">
        <v>3923</v>
      </c>
      <c r="D969" t="s">
        <v>74</v>
      </c>
      <c r="E969">
        <v>6</v>
      </c>
      <c r="F969">
        <v>6</v>
      </c>
      <c r="G969" t="s">
        <v>21</v>
      </c>
      <c r="H969" t="s">
        <v>21</v>
      </c>
      <c r="I969" t="s">
        <v>38</v>
      </c>
      <c r="J969" t="s">
        <v>8077</v>
      </c>
      <c r="K969" s="1">
        <v>46074</v>
      </c>
      <c r="L969" s="1" t="str">
        <f>IF(K969&gt;O969,"Valid","Invalid")</f>
        <v>Valid</v>
      </c>
      <c r="M969" s="1" t="b">
        <f>ISNUMBER(K969)</f>
        <v>1</v>
      </c>
      <c r="N969" s="1" t="b">
        <f>ISNUMBER(O969)</f>
        <v>1</v>
      </c>
      <c r="O969" s="1">
        <v>46052</v>
      </c>
      <c r="P969" t="s">
        <v>3922</v>
      </c>
      <c r="Q969" t="str">
        <f>SUBSTITUTE(SUBSTITUTE(SUBSTITUTE(P969," ",""),"-",""),"+","")</f>
        <v>7298016429</v>
      </c>
      <c r="R969" t="str">
        <f t="shared" si="30"/>
        <v>7298016429</v>
      </c>
      <c r="S969" t="str">
        <f>IF(LEN(R969),"Valid","Invalid")</f>
        <v>Valid</v>
      </c>
      <c r="T969" t="s">
        <v>3921</v>
      </c>
      <c r="V969" t="s">
        <v>123</v>
      </c>
      <c r="X969">
        <v>23152.42</v>
      </c>
      <c r="Y969" t="s">
        <v>64</v>
      </c>
      <c r="Z969">
        <v>379</v>
      </c>
      <c r="AA969">
        <f t="shared" si="31"/>
        <v>379</v>
      </c>
      <c r="AB969" t="s">
        <v>34</v>
      </c>
    </row>
    <row r="970" spans="1:28" x14ac:dyDescent="0.3">
      <c r="A970" t="s">
        <v>3920</v>
      </c>
      <c r="B970" t="s">
        <v>3919</v>
      </c>
      <c r="C970" t="s">
        <v>3919</v>
      </c>
      <c r="D970" t="s">
        <v>60</v>
      </c>
      <c r="E970">
        <v>39</v>
      </c>
      <c r="F970">
        <v>39</v>
      </c>
      <c r="G970" t="s">
        <v>68</v>
      </c>
      <c r="H970" t="s">
        <v>68</v>
      </c>
      <c r="I970" t="s">
        <v>38</v>
      </c>
      <c r="J970" t="s">
        <v>8077</v>
      </c>
      <c r="K970" s="1">
        <v>46114</v>
      </c>
      <c r="L970" s="1" t="str">
        <f>IF(K970&gt;O970,"Valid","Invalid")</f>
        <v>Valid</v>
      </c>
      <c r="M970" s="1" t="b">
        <f>ISNUMBER(K970)</f>
        <v>1</v>
      </c>
      <c r="N970" s="1" t="b">
        <f>ISNUMBER(O970)</f>
        <v>1</v>
      </c>
      <c r="O970" s="1">
        <v>46097</v>
      </c>
      <c r="P970" t="s">
        <v>3918</v>
      </c>
      <c r="Q970" t="str">
        <f>SUBSTITUTE(SUBSTITUTE(SUBSTITUTE(P970," ",""),"-",""),"+","")</f>
        <v>917850687657</v>
      </c>
      <c r="R970" t="str">
        <f t="shared" si="30"/>
        <v>7850687657</v>
      </c>
      <c r="S970" t="str">
        <f>IF(LEN(R970),"Valid","Invalid")</f>
        <v>Valid</v>
      </c>
      <c r="T970" t="s">
        <v>3917</v>
      </c>
      <c r="V970" t="s">
        <v>35</v>
      </c>
      <c r="X970">
        <v>1286.52</v>
      </c>
      <c r="Y970" t="s">
        <v>57</v>
      </c>
      <c r="Z970">
        <v>314</v>
      </c>
      <c r="AA970">
        <f t="shared" si="31"/>
        <v>314</v>
      </c>
      <c r="AB970" t="s">
        <v>34</v>
      </c>
    </row>
    <row r="971" spans="1:28" x14ac:dyDescent="0.3">
      <c r="A971" t="s">
        <v>3916</v>
      </c>
      <c r="B971" t="s">
        <v>3915</v>
      </c>
      <c r="C971" t="s">
        <v>3915</v>
      </c>
      <c r="D971" t="s">
        <v>22</v>
      </c>
      <c r="E971">
        <v>72</v>
      </c>
      <c r="F971">
        <v>72</v>
      </c>
      <c r="G971" t="s">
        <v>31</v>
      </c>
      <c r="H971" t="s">
        <v>31</v>
      </c>
      <c r="I971" t="s">
        <v>67</v>
      </c>
      <c r="J971" t="s">
        <v>67</v>
      </c>
      <c r="K971" s="1">
        <v>46025</v>
      </c>
      <c r="L971" s="1" t="str">
        <f>IF(K971&gt;O971,"Valid","Invalid")</f>
        <v>Valid</v>
      </c>
      <c r="M971" s="1" t="b">
        <f>ISNUMBER(K971)</f>
        <v>1</v>
      </c>
      <c r="N971" s="1" t="b">
        <f>ISNUMBER(O971)</f>
        <v>1</v>
      </c>
      <c r="O971" s="1">
        <v>46011</v>
      </c>
      <c r="P971" t="s">
        <v>3914</v>
      </c>
      <c r="Q971" t="str">
        <f>SUBSTITUTE(SUBSTITUTE(SUBSTITUTE(P971," ",""),"-",""),"+","")</f>
        <v>914472720803</v>
      </c>
      <c r="R971" t="str">
        <f t="shared" si="30"/>
        <v>4472720803</v>
      </c>
      <c r="S971" t="str">
        <f>IF(LEN(R971),"Valid","Invalid")</f>
        <v>Valid</v>
      </c>
      <c r="T971" t="s">
        <v>3913</v>
      </c>
      <c r="V971" t="s">
        <v>64</v>
      </c>
      <c r="X971">
        <v>22789.06</v>
      </c>
      <c r="Y971" t="s">
        <v>64</v>
      </c>
      <c r="Z971">
        <v>347</v>
      </c>
      <c r="AA971">
        <f t="shared" si="31"/>
        <v>347</v>
      </c>
      <c r="AB971" t="s">
        <v>16</v>
      </c>
    </row>
    <row r="972" spans="1:28" x14ac:dyDescent="0.3">
      <c r="A972" t="s">
        <v>3912</v>
      </c>
      <c r="B972" t="s">
        <v>3911</v>
      </c>
      <c r="C972" t="s">
        <v>3911</v>
      </c>
      <c r="D972" t="s">
        <v>40</v>
      </c>
      <c r="E972">
        <v>22</v>
      </c>
      <c r="F972">
        <v>22</v>
      </c>
      <c r="G972" t="s">
        <v>132</v>
      </c>
      <c r="H972" t="s">
        <v>132</v>
      </c>
      <c r="I972" t="s">
        <v>53</v>
      </c>
      <c r="J972" t="s">
        <v>20</v>
      </c>
      <c r="K972" s="1">
        <v>45992</v>
      </c>
      <c r="L972" s="1" t="str">
        <f>IF(K972&gt;O972,"Valid","Invalid")</f>
        <v>Valid</v>
      </c>
      <c r="M972" s="1" t="b">
        <f>ISNUMBER(K972)</f>
        <v>1</v>
      </c>
      <c r="N972" s="1" t="b">
        <f>ISNUMBER(O972)</f>
        <v>1</v>
      </c>
      <c r="O972" s="1">
        <v>45983</v>
      </c>
      <c r="P972" t="s">
        <v>3910</v>
      </c>
      <c r="Q972" t="str">
        <f>SUBSTITUTE(SUBSTITUTE(SUBSTITUTE(P972," ",""),"-",""),"+","")</f>
        <v>0762692864</v>
      </c>
      <c r="R972" t="str">
        <f t="shared" si="30"/>
        <v>0762692864</v>
      </c>
      <c r="S972" t="str">
        <f>IF(LEN(R972),"Valid","Invalid")</f>
        <v>Valid</v>
      </c>
      <c r="T972" t="s">
        <v>3909</v>
      </c>
      <c r="V972" t="s">
        <v>27</v>
      </c>
      <c r="X972">
        <v>23903.91</v>
      </c>
      <c r="Y972" t="s">
        <v>27</v>
      </c>
      <c r="Z972">
        <v>506</v>
      </c>
      <c r="AA972">
        <f t="shared" si="31"/>
        <v>506</v>
      </c>
      <c r="AB972" t="s">
        <v>25</v>
      </c>
    </row>
    <row r="973" spans="1:28" x14ac:dyDescent="0.3">
      <c r="A973" t="s">
        <v>3908</v>
      </c>
      <c r="B973" t="s">
        <v>3907</v>
      </c>
      <c r="C973" t="s">
        <v>3907</v>
      </c>
      <c r="D973" t="s">
        <v>1</v>
      </c>
      <c r="E973">
        <v>51</v>
      </c>
      <c r="F973">
        <v>51</v>
      </c>
      <c r="G973" t="s">
        <v>68</v>
      </c>
      <c r="H973" t="s">
        <v>68</v>
      </c>
      <c r="I973" t="s">
        <v>20</v>
      </c>
      <c r="J973" t="s">
        <v>20</v>
      </c>
      <c r="K973" s="1">
        <v>46062</v>
      </c>
      <c r="L973" s="1" t="str">
        <f>IF(K973&gt;O973,"Valid","Invalid")</f>
        <v>Valid</v>
      </c>
      <c r="M973" s="1" t="b">
        <f>ISNUMBER(K973)</f>
        <v>1</v>
      </c>
      <c r="N973" s="1" t="b">
        <f>ISNUMBER(O973)</f>
        <v>1</v>
      </c>
      <c r="O973" s="1">
        <v>46057</v>
      </c>
      <c r="P973" t="s">
        <v>3906</v>
      </c>
      <c r="Q973" t="str">
        <f>SUBSTITUTE(SUBSTITUTE(SUBSTITUTE(P973," ",""),"-",""),"+","")</f>
        <v>919688846532</v>
      </c>
      <c r="R973" t="str">
        <f t="shared" si="30"/>
        <v>9688846532</v>
      </c>
      <c r="S973" t="str">
        <f>IF(LEN(R973),"Valid","Invalid")</f>
        <v>Valid</v>
      </c>
      <c r="T973" t="s">
        <v>3905</v>
      </c>
      <c r="V973" t="s">
        <v>123</v>
      </c>
      <c r="X973">
        <v>18818.05</v>
      </c>
      <c r="Y973" t="s">
        <v>123</v>
      </c>
      <c r="Z973">
        <v>387</v>
      </c>
      <c r="AA973">
        <f t="shared" si="31"/>
        <v>387</v>
      </c>
      <c r="AB973" t="s">
        <v>50</v>
      </c>
    </row>
    <row r="974" spans="1:28" x14ac:dyDescent="0.3">
      <c r="A974" t="s">
        <v>3904</v>
      </c>
      <c r="B974" t="s">
        <v>3903</v>
      </c>
      <c r="C974" t="s">
        <v>3903</v>
      </c>
      <c r="D974" t="s">
        <v>123</v>
      </c>
      <c r="E974">
        <v>52</v>
      </c>
      <c r="F974">
        <v>52</v>
      </c>
      <c r="G974" t="s">
        <v>132</v>
      </c>
      <c r="H974" t="s">
        <v>132</v>
      </c>
      <c r="I974" t="s">
        <v>38</v>
      </c>
      <c r="J974" t="s">
        <v>8077</v>
      </c>
      <c r="K974" s="1">
        <v>46136</v>
      </c>
      <c r="L974" s="1" t="str">
        <f>IF(K974&gt;O974,"Valid","Invalid")</f>
        <v>Valid</v>
      </c>
      <c r="M974" s="1" t="b">
        <f>ISNUMBER(K974)</f>
        <v>1</v>
      </c>
      <c r="N974" s="1" t="b">
        <f>ISNUMBER(O974)</f>
        <v>1</v>
      </c>
      <c r="O974" s="1">
        <v>46131</v>
      </c>
      <c r="P974" t="s">
        <v>3902</v>
      </c>
      <c r="Q974" t="str">
        <f>SUBSTITUTE(SUBSTITUTE(SUBSTITUTE(P974," ",""),"-",""),"+","")</f>
        <v>916007189550</v>
      </c>
      <c r="R974" t="str">
        <f t="shared" si="30"/>
        <v>6007189550</v>
      </c>
      <c r="S974" t="str">
        <f>IF(LEN(R974),"Valid","Invalid")</f>
        <v>Valid</v>
      </c>
      <c r="T974" t="s">
        <v>3901</v>
      </c>
      <c r="V974" t="s">
        <v>27</v>
      </c>
      <c r="X974">
        <v>4168.08</v>
      </c>
      <c r="Y974" t="s">
        <v>57</v>
      </c>
      <c r="Z974">
        <v>403</v>
      </c>
      <c r="AA974">
        <f t="shared" si="31"/>
        <v>403</v>
      </c>
      <c r="AB974" t="s">
        <v>25</v>
      </c>
    </row>
    <row r="975" spans="1:28" x14ac:dyDescent="0.3">
      <c r="A975" t="s">
        <v>3900</v>
      </c>
      <c r="B975" t="s">
        <v>3899</v>
      </c>
      <c r="C975" t="s">
        <v>3899</v>
      </c>
      <c r="D975" t="s">
        <v>40</v>
      </c>
      <c r="E975">
        <v>66</v>
      </c>
      <c r="F975">
        <v>66</v>
      </c>
      <c r="G975" t="s">
        <v>68</v>
      </c>
      <c r="H975" t="s">
        <v>68</v>
      </c>
      <c r="I975" t="s">
        <v>30</v>
      </c>
      <c r="J975" t="s">
        <v>30</v>
      </c>
      <c r="K975" s="1">
        <v>46102</v>
      </c>
      <c r="L975" s="1" t="str">
        <f>IF(K975&gt;O975,"Valid","Invalid")</f>
        <v>Valid</v>
      </c>
      <c r="M975" s="1" t="b">
        <f>ISNUMBER(K975)</f>
        <v>1</v>
      </c>
      <c r="N975" s="1" t="b">
        <f>ISNUMBER(O975)</f>
        <v>1</v>
      </c>
      <c r="O975" s="1">
        <v>46093</v>
      </c>
      <c r="P975" t="s">
        <v>3898</v>
      </c>
      <c r="Q975" t="str">
        <f>SUBSTITUTE(SUBSTITUTE(SUBSTITUTE(P975," ",""),"-",""),"+","")</f>
        <v>04308843804</v>
      </c>
      <c r="R975" t="str">
        <f t="shared" si="30"/>
        <v>4308843804</v>
      </c>
      <c r="S975" t="str">
        <f>IF(LEN(R975),"Valid","Invalid")</f>
        <v>Valid</v>
      </c>
      <c r="T975" t="s">
        <v>3897</v>
      </c>
      <c r="V975" t="s">
        <v>17</v>
      </c>
      <c r="X975">
        <v>7549.82</v>
      </c>
      <c r="Y975" t="s">
        <v>63</v>
      </c>
      <c r="Z975">
        <v>382</v>
      </c>
      <c r="AA975">
        <f t="shared" si="31"/>
        <v>382</v>
      </c>
      <c r="AB975" t="s">
        <v>77</v>
      </c>
    </row>
    <row r="976" spans="1:28" x14ac:dyDescent="0.3">
      <c r="A976" t="s">
        <v>3896</v>
      </c>
      <c r="B976" t="s">
        <v>3895</v>
      </c>
      <c r="C976" t="s">
        <v>3895</v>
      </c>
      <c r="D976" t="s">
        <v>0</v>
      </c>
      <c r="E976">
        <v>29</v>
      </c>
      <c r="F976">
        <v>29</v>
      </c>
      <c r="G976" t="s">
        <v>47</v>
      </c>
      <c r="H976" t="s">
        <v>47</v>
      </c>
      <c r="I976" t="s">
        <v>38</v>
      </c>
      <c r="J976" t="s">
        <v>8077</v>
      </c>
      <c r="K976" s="1">
        <v>46071</v>
      </c>
      <c r="L976" s="1" t="str">
        <f>IF(K976&gt;O976,"Valid","Invalid")</f>
        <v>Valid</v>
      </c>
      <c r="M976" s="1" t="b">
        <f>ISNUMBER(K976)</f>
        <v>1</v>
      </c>
      <c r="N976" s="1" t="b">
        <f>ISNUMBER(O976)</f>
        <v>1</v>
      </c>
      <c r="O976" s="1">
        <v>46062</v>
      </c>
      <c r="P976" t="s">
        <v>3894</v>
      </c>
      <c r="Q976" t="str">
        <f>SUBSTITUTE(SUBSTITUTE(SUBSTITUTE(P976," ",""),"-",""),"+","")</f>
        <v>911355735011</v>
      </c>
      <c r="R976" t="str">
        <f t="shared" si="30"/>
        <v>1355735011</v>
      </c>
      <c r="S976" t="str">
        <f>IF(LEN(R976),"Valid","Invalid")</f>
        <v>Valid</v>
      </c>
      <c r="T976" t="s">
        <v>3893</v>
      </c>
      <c r="V976" t="s">
        <v>27</v>
      </c>
      <c r="X976">
        <v>16062.46</v>
      </c>
      <c r="Y976" t="s">
        <v>63</v>
      </c>
      <c r="Z976">
        <v>168</v>
      </c>
      <c r="AA976">
        <f t="shared" si="31"/>
        <v>168</v>
      </c>
      <c r="AB976" t="s">
        <v>43</v>
      </c>
    </row>
    <row r="977" spans="1:28" x14ac:dyDescent="0.3">
      <c r="A977" t="s">
        <v>3892</v>
      </c>
      <c r="B977" t="s">
        <v>3891</v>
      </c>
      <c r="C977" t="s">
        <v>3891</v>
      </c>
      <c r="D977" t="s">
        <v>40</v>
      </c>
      <c r="E977">
        <v>83</v>
      </c>
      <c r="F977">
        <v>83</v>
      </c>
      <c r="G977" t="s">
        <v>21</v>
      </c>
      <c r="H977" t="s">
        <v>21</v>
      </c>
      <c r="I977" t="s">
        <v>38</v>
      </c>
      <c r="J977" t="s">
        <v>8077</v>
      </c>
      <c r="K977" s="1">
        <v>46069</v>
      </c>
      <c r="L977" s="1" t="str">
        <f>IF(K977&gt;O977,"Valid","Invalid")</f>
        <v>Valid</v>
      </c>
      <c r="M977" s="1" t="b">
        <f>ISNUMBER(K977)</f>
        <v>1</v>
      </c>
      <c r="N977" s="1" t="b">
        <f>ISNUMBER(O977)</f>
        <v>1</v>
      </c>
      <c r="O977" s="1">
        <v>46052</v>
      </c>
      <c r="P977" t="s">
        <v>3890</v>
      </c>
      <c r="Q977" t="str">
        <f>SUBSTITUTE(SUBSTITUTE(SUBSTITUTE(P977," ",""),"-",""),"+","")</f>
        <v>7984376988</v>
      </c>
      <c r="R977" t="str">
        <f t="shared" si="30"/>
        <v>7984376988</v>
      </c>
      <c r="S977" t="str">
        <f>IF(LEN(R977),"Valid","Invalid")</f>
        <v>Valid</v>
      </c>
      <c r="T977" t="s">
        <v>3889</v>
      </c>
      <c r="V977" t="s">
        <v>64</v>
      </c>
      <c r="X977">
        <v>234.72</v>
      </c>
      <c r="Y977" t="s">
        <v>17</v>
      </c>
      <c r="Z977">
        <v>423</v>
      </c>
      <c r="AA977">
        <f t="shared" si="31"/>
        <v>423</v>
      </c>
      <c r="AB977" t="s">
        <v>34</v>
      </c>
    </row>
    <row r="978" spans="1:28" x14ac:dyDescent="0.3">
      <c r="A978" t="s">
        <v>3888</v>
      </c>
      <c r="B978" t="s">
        <v>3887</v>
      </c>
      <c r="C978" t="s">
        <v>3887</v>
      </c>
      <c r="D978" t="s">
        <v>60</v>
      </c>
      <c r="E978">
        <v>42</v>
      </c>
      <c r="F978">
        <v>42</v>
      </c>
      <c r="G978" t="s">
        <v>80</v>
      </c>
      <c r="H978" t="s">
        <v>80</v>
      </c>
      <c r="I978" t="s">
        <v>30</v>
      </c>
      <c r="J978" t="s">
        <v>30</v>
      </c>
      <c r="K978" s="1">
        <v>46088</v>
      </c>
      <c r="L978" s="1" t="str">
        <f>IF(K978&gt;O978,"Valid","Invalid")</f>
        <v>Valid</v>
      </c>
      <c r="M978" s="1" t="b">
        <f>ISNUMBER(K978)</f>
        <v>1</v>
      </c>
      <c r="N978" s="1" t="b">
        <f>ISNUMBER(O978)</f>
        <v>1</v>
      </c>
      <c r="O978" s="1">
        <v>46065</v>
      </c>
      <c r="P978" t="s">
        <v>3886</v>
      </c>
      <c r="Q978" t="str">
        <f>SUBSTITUTE(SUBSTITUTE(SUBSTITUTE(P978," ",""),"-",""),"+","")</f>
        <v>918487502372</v>
      </c>
      <c r="R978" t="str">
        <f t="shared" si="30"/>
        <v>8487502372</v>
      </c>
      <c r="S978" t="str">
        <f>IF(LEN(R978),"Valid","Invalid")</f>
        <v>Valid</v>
      </c>
      <c r="T978" t="s">
        <v>3885</v>
      </c>
      <c r="V978" t="s">
        <v>35</v>
      </c>
      <c r="X978">
        <v>10326.9</v>
      </c>
      <c r="Y978" t="s">
        <v>63</v>
      </c>
      <c r="Z978">
        <v>266</v>
      </c>
      <c r="AA978">
        <f t="shared" si="31"/>
        <v>266</v>
      </c>
      <c r="AB978" t="s">
        <v>77</v>
      </c>
    </row>
    <row r="979" spans="1:28" x14ac:dyDescent="0.3">
      <c r="A979" t="s">
        <v>3884</v>
      </c>
      <c r="B979" t="s">
        <v>3883</v>
      </c>
      <c r="C979" t="s">
        <v>3883</v>
      </c>
      <c r="D979" t="s">
        <v>40</v>
      </c>
      <c r="E979">
        <v>46</v>
      </c>
      <c r="F979">
        <v>46</v>
      </c>
      <c r="G979" t="s">
        <v>21</v>
      </c>
      <c r="H979" t="s">
        <v>21</v>
      </c>
      <c r="I979" t="s">
        <v>30</v>
      </c>
      <c r="J979" t="s">
        <v>30</v>
      </c>
      <c r="K979" s="1">
        <v>46132</v>
      </c>
      <c r="L979" s="1" t="str">
        <f>IF(K979&gt;O979,"Valid","Invalid")</f>
        <v>Valid</v>
      </c>
      <c r="M979" s="1" t="b">
        <f>ISNUMBER(K979)</f>
        <v>1</v>
      </c>
      <c r="N979" s="1" t="b">
        <f>ISNUMBER(O979)</f>
        <v>1</v>
      </c>
      <c r="O979" s="1">
        <v>46127</v>
      </c>
      <c r="P979" t="s">
        <v>3882</v>
      </c>
      <c r="Q979" t="str">
        <f>SUBSTITUTE(SUBSTITUTE(SUBSTITUTE(P979," ",""),"-",""),"+","")</f>
        <v>3207744536</v>
      </c>
      <c r="R979" t="str">
        <f t="shared" si="30"/>
        <v>3207744536</v>
      </c>
      <c r="S979" t="str">
        <f>IF(LEN(R979),"Valid","Invalid")</f>
        <v>Valid</v>
      </c>
      <c r="T979" t="s">
        <v>3881</v>
      </c>
      <c r="V979" t="s">
        <v>26</v>
      </c>
      <c r="X979">
        <v>24295.8</v>
      </c>
      <c r="Y979" t="s">
        <v>64</v>
      </c>
      <c r="Z979">
        <v>469</v>
      </c>
      <c r="AA979">
        <f t="shared" si="31"/>
        <v>469</v>
      </c>
      <c r="AB979" t="s">
        <v>25</v>
      </c>
    </row>
    <row r="980" spans="1:28" x14ac:dyDescent="0.3">
      <c r="A980" t="s">
        <v>3880</v>
      </c>
      <c r="B980" t="s">
        <v>3879</v>
      </c>
      <c r="C980" t="s">
        <v>3879</v>
      </c>
      <c r="D980" t="s">
        <v>123</v>
      </c>
      <c r="E980">
        <v>84</v>
      </c>
      <c r="F980">
        <v>84</v>
      </c>
      <c r="G980" t="s">
        <v>132</v>
      </c>
      <c r="H980" t="s">
        <v>132</v>
      </c>
      <c r="I980" t="s">
        <v>38</v>
      </c>
      <c r="J980" t="s">
        <v>8077</v>
      </c>
      <c r="K980" s="1">
        <v>46140</v>
      </c>
      <c r="L980" s="1" t="str">
        <f>IF(K980&gt;O980,"Valid","Invalid")</f>
        <v>Valid</v>
      </c>
      <c r="M980" s="1" t="b">
        <f>ISNUMBER(K980)</f>
        <v>1</v>
      </c>
      <c r="N980" s="1" t="b">
        <f>ISNUMBER(O980)</f>
        <v>1</v>
      </c>
      <c r="O980" s="1">
        <v>46114</v>
      </c>
      <c r="P980" t="s">
        <v>3878</v>
      </c>
      <c r="Q980" t="str">
        <f>SUBSTITUTE(SUBSTITUTE(SUBSTITUTE(P980," ",""),"-",""),"+","")</f>
        <v>919868560133</v>
      </c>
      <c r="R980" t="str">
        <f t="shared" si="30"/>
        <v>9868560133</v>
      </c>
      <c r="S980" t="str">
        <f>IF(LEN(R980),"Valid","Invalid")</f>
        <v>Valid</v>
      </c>
      <c r="T980" t="s">
        <v>3877</v>
      </c>
      <c r="V980" t="s">
        <v>123</v>
      </c>
      <c r="X980">
        <v>5671.85</v>
      </c>
      <c r="Y980" t="s">
        <v>63</v>
      </c>
      <c r="Z980">
        <v>204</v>
      </c>
      <c r="AA980">
        <f t="shared" si="31"/>
        <v>204</v>
      </c>
      <c r="AB980" t="s">
        <v>34</v>
      </c>
    </row>
    <row r="981" spans="1:28" x14ac:dyDescent="0.3">
      <c r="A981" t="s">
        <v>3876</v>
      </c>
      <c r="B981" t="s">
        <v>3875</v>
      </c>
      <c r="C981" t="s">
        <v>3875</v>
      </c>
      <c r="D981" t="s">
        <v>123</v>
      </c>
      <c r="E981">
        <v>20</v>
      </c>
      <c r="F981">
        <v>20</v>
      </c>
      <c r="G981" t="s">
        <v>68</v>
      </c>
      <c r="H981" t="s">
        <v>68</v>
      </c>
      <c r="I981" t="s">
        <v>38</v>
      </c>
      <c r="J981" t="s">
        <v>8077</v>
      </c>
      <c r="K981" s="1">
        <v>46081</v>
      </c>
      <c r="L981" s="1" t="str">
        <f>IF(K981&gt;O981,"Valid","Invalid")</f>
        <v>Valid</v>
      </c>
      <c r="M981" s="1" t="b">
        <f>ISNUMBER(K981)</f>
        <v>1</v>
      </c>
      <c r="N981" s="1" t="b">
        <f>ISNUMBER(O981)</f>
        <v>1</v>
      </c>
      <c r="O981" s="1">
        <v>46058</v>
      </c>
      <c r="P981" t="s">
        <v>3874</v>
      </c>
      <c r="Q981" t="str">
        <f>SUBSTITUTE(SUBSTITUTE(SUBSTITUTE(P981," ",""),"-",""),"+","")</f>
        <v>915715165797</v>
      </c>
      <c r="R981" t="str">
        <f t="shared" si="30"/>
        <v>5715165797</v>
      </c>
      <c r="S981" t="str">
        <f>IF(LEN(R981),"Valid","Invalid")</f>
        <v>Valid</v>
      </c>
      <c r="T981" t="s">
        <v>3873</v>
      </c>
      <c r="V981" t="s">
        <v>123</v>
      </c>
      <c r="X981">
        <v>9342.27</v>
      </c>
      <c r="Y981" t="s">
        <v>123</v>
      </c>
      <c r="Z981">
        <v>147</v>
      </c>
      <c r="AA981">
        <f t="shared" si="31"/>
        <v>147</v>
      </c>
      <c r="AB981" t="s">
        <v>16</v>
      </c>
    </row>
    <row r="982" spans="1:28" x14ac:dyDescent="0.3">
      <c r="A982" t="s">
        <v>3872</v>
      </c>
      <c r="B982" t="s">
        <v>1638</v>
      </c>
      <c r="C982" t="s">
        <v>1638</v>
      </c>
      <c r="D982" t="s">
        <v>0</v>
      </c>
      <c r="E982">
        <v>59</v>
      </c>
      <c r="F982">
        <v>59</v>
      </c>
      <c r="G982" t="s">
        <v>39</v>
      </c>
      <c r="H982" t="s">
        <v>39</v>
      </c>
      <c r="I982" t="s">
        <v>53</v>
      </c>
      <c r="J982" t="s">
        <v>20</v>
      </c>
      <c r="K982" s="1">
        <v>46004</v>
      </c>
      <c r="L982" s="1" t="str">
        <f>IF(K982&gt;O982,"Valid","Invalid")</f>
        <v>Valid</v>
      </c>
      <c r="M982" s="1" t="b">
        <f>ISNUMBER(K982)</f>
        <v>1</v>
      </c>
      <c r="N982" s="1" t="b">
        <f>ISNUMBER(O982)</f>
        <v>1</v>
      </c>
      <c r="O982" s="1">
        <v>45998</v>
      </c>
      <c r="P982" t="s">
        <v>3871</v>
      </c>
      <c r="Q982" t="str">
        <f>SUBSTITUTE(SUBSTITUTE(SUBSTITUTE(P982," ",""),"-",""),"+","")</f>
        <v>02809203832</v>
      </c>
      <c r="R982" t="str">
        <f t="shared" si="30"/>
        <v>2809203832</v>
      </c>
      <c r="S982" t="str">
        <f>IF(LEN(R982),"Valid","Invalid")</f>
        <v>Valid</v>
      </c>
      <c r="T982" t="s">
        <v>3870</v>
      </c>
      <c r="V982" t="s">
        <v>123</v>
      </c>
      <c r="X982">
        <v>23595.21</v>
      </c>
      <c r="Y982" t="s">
        <v>26</v>
      </c>
      <c r="Z982">
        <v>431</v>
      </c>
      <c r="AA982">
        <f t="shared" si="31"/>
        <v>431</v>
      </c>
      <c r="AB982" t="s">
        <v>43</v>
      </c>
    </row>
    <row r="983" spans="1:28" x14ac:dyDescent="0.3">
      <c r="A983" t="s">
        <v>3866</v>
      </c>
      <c r="B983" t="s">
        <v>3865</v>
      </c>
      <c r="C983" t="s">
        <v>3865</v>
      </c>
      <c r="D983" t="s">
        <v>74</v>
      </c>
      <c r="E983">
        <v>55</v>
      </c>
      <c r="F983">
        <v>55</v>
      </c>
      <c r="G983" t="s">
        <v>21</v>
      </c>
      <c r="H983" t="s">
        <v>21</v>
      </c>
      <c r="I983" t="s">
        <v>85</v>
      </c>
      <c r="J983" t="s">
        <v>85</v>
      </c>
      <c r="K983" s="1">
        <v>46096</v>
      </c>
      <c r="L983" s="1" t="str">
        <f>IF(K983&gt;O983,"Valid","Invalid")</f>
        <v>Valid</v>
      </c>
      <c r="M983" s="1" t="b">
        <f>ISNUMBER(K983)</f>
        <v>1</v>
      </c>
      <c r="N983" s="1" t="b">
        <f>ISNUMBER(O983)</f>
        <v>1</v>
      </c>
      <c r="O983" s="1">
        <v>46067</v>
      </c>
      <c r="P983" t="s">
        <v>3864</v>
      </c>
      <c r="Q983" t="str">
        <f>SUBSTITUTE(SUBSTITUTE(SUBSTITUTE(P983," ",""),"-",""),"+","")</f>
        <v>912762179692</v>
      </c>
      <c r="R983" t="str">
        <f t="shared" si="30"/>
        <v>2762179692</v>
      </c>
      <c r="S983" t="str">
        <f>IF(LEN(R983),"Valid","Invalid")</f>
        <v>Valid</v>
      </c>
      <c r="T983" t="s">
        <v>3863</v>
      </c>
      <c r="V983" t="s">
        <v>123</v>
      </c>
      <c r="X983">
        <v>2685.8</v>
      </c>
      <c r="Y983" t="s">
        <v>26</v>
      </c>
      <c r="Z983">
        <v>472</v>
      </c>
      <c r="AA983">
        <f t="shared" si="31"/>
        <v>472</v>
      </c>
      <c r="AB983" t="s">
        <v>50</v>
      </c>
    </row>
    <row r="984" spans="1:28" x14ac:dyDescent="0.3">
      <c r="A984" t="s">
        <v>3862</v>
      </c>
      <c r="B984" t="s">
        <v>3861</v>
      </c>
      <c r="C984" t="s">
        <v>3861</v>
      </c>
      <c r="D984" t="s">
        <v>40</v>
      </c>
      <c r="E984">
        <v>78</v>
      </c>
      <c r="F984">
        <v>78</v>
      </c>
      <c r="G984" t="s">
        <v>80</v>
      </c>
      <c r="H984" t="s">
        <v>80</v>
      </c>
      <c r="I984" t="s">
        <v>90</v>
      </c>
      <c r="J984" t="s">
        <v>67</v>
      </c>
      <c r="K984" s="1">
        <v>46069</v>
      </c>
      <c r="L984" s="1" t="str">
        <f>IF(K984&gt;O984,"Valid","Invalid")</f>
        <v>Valid</v>
      </c>
      <c r="M984" s="1" t="b">
        <f>ISNUMBER(K984)</f>
        <v>1</v>
      </c>
      <c r="N984" s="1" t="b">
        <f>ISNUMBER(O984)</f>
        <v>1</v>
      </c>
      <c r="O984" s="1">
        <v>46057</v>
      </c>
      <c r="P984" t="s">
        <v>3860</v>
      </c>
      <c r="Q984" t="str">
        <f>SUBSTITUTE(SUBSTITUTE(SUBSTITUTE(P984," ",""),"-",""),"+","")</f>
        <v>4211413529</v>
      </c>
      <c r="R984" t="str">
        <f t="shared" si="30"/>
        <v>4211413529</v>
      </c>
      <c r="S984" t="str">
        <f>IF(LEN(R984),"Valid","Invalid")</f>
        <v>Valid</v>
      </c>
      <c r="T984" t="s">
        <v>3859</v>
      </c>
      <c r="V984" t="s">
        <v>27</v>
      </c>
      <c r="X984">
        <v>2928.88</v>
      </c>
      <c r="Y984" t="s">
        <v>27</v>
      </c>
      <c r="Z984">
        <v>490</v>
      </c>
      <c r="AA984">
        <f t="shared" si="31"/>
        <v>490</v>
      </c>
      <c r="AB984" t="s">
        <v>50</v>
      </c>
    </row>
    <row r="985" spans="1:28" x14ac:dyDescent="0.3">
      <c r="A985" t="s">
        <v>3858</v>
      </c>
      <c r="B985" t="s">
        <v>3857</v>
      </c>
      <c r="C985" t="s">
        <v>3857</v>
      </c>
      <c r="D985" t="s">
        <v>40</v>
      </c>
      <c r="E985">
        <v>17</v>
      </c>
      <c r="F985">
        <v>17</v>
      </c>
      <c r="G985" t="s">
        <v>21</v>
      </c>
      <c r="H985" t="s">
        <v>21</v>
      </c>
      <c r="I985" t="s">
        <v>20</v>
      </c>
      <c r="J985" t="s">
        <v>20</v>
      </c>
      <c r="K985" s="1">
        <v>46025</v>
      </c>
      <c r="L985" s="1" t="str">
        <f>IF(K985&gt;O985,"Valid","Invalid")</f>
        <v>Valid</v>
      </c>
      <c r="M985" s="1" t="b">
        <f>ISNUMBER(K985)</f>
        <v>1</v>
      </c>
      <c r="N985" s="1" t="b">
        <f>ISNUMBER(O985)</f>
        <v>1</v>
      </c>
      <c r="O985" s="1">
        <v>46017</v>
      </c>
      <c r="P985" t="s">
        <v>3856</v>
      </c>
      <c r="Q985" t="str">
        <f>SUBSTITUTE(SUBSTITUTE(SUBSTITUTE(P985," ",""),"-",""),"+","")</f>
        <v>8329216080</v>
      </c>
      <c r="R985" t="str">
        <f t="shared" si="30"/>
        <v>8329216080</v>
      </c>
      <c r="S985" t="str">
        <f>IF(LEN(R985),"Valid","Invalid")</f>
        <v>Valid</v>
      </c>
      <c r="T985" t="s">
        <v>3855</v>
      </c>
      <c r="V985" t="s">
        <v>35</v>
      </c>
      <c r="X985">
        <v>23477.24</v>
      </c>
      <c r="Y985" t="s">
        <v>27</v>
      </c>
      <c r="Z985">
        <v>505</v>
      </c>
      <c r="AA985">
        <f t="shared" si="31"/>
        <v>505</v>
      </c>
      <c r="AB985" t="s">
        <v>77</v>
      </c>
    </row>
    <row r="986" spans="1:28" x14ac:dyDescent="0.3">
      <c r="A986" t="s">
        <v>3854</v>
      </c>
      <c r="B986" t="s">
        <v>3853</v>
      </c>
      <c r="C986" t="s">
        <v>3853</v>
      </c>
      <c r="D986" t="s">
        <v>74</v>
      </c>
      <c r="E986">
        <v>70</v>
      </c>
      <c r="F986">
        <v>70</v>
      </c>
      <c r="G986" t="s">
        <v>31</v>
      </c>
      <c r="H986" t="s">
        <v>31</v>
      </c>
      <c r="I986" t="s">
        <v>20</v>
      </c>
      <c r="J986" t="s">
        <v>20</v>
      </c>
      <c r="K986" s="1">
        <v>46063</v>
      </c>
      <c r="L986" s="1" t="str">
        <f>IF(K986&gt;O986,"Valid","Invalid")</f>
        <v>Valid</v>
      </c>
      <c r="M986" s="1" t="b">
        <f>ISNUMBER(K986)</f>
        <v>1</v>
      </c>
      <c r="N986" s="1" t="b">
        <f>ISNUMBER(O986)</f>
        <v>1</v>
      </c>
      <c r="O986" s="1">
        <v>46057</v>
      </c>
      <c r="P986" t="s">
        <v>3852</v>
      </c>
      <c r="Q986" t="str">
        <f>SUBSTITUTE(SUBSTITUTE(SUBSTITUTE(P986," ",""),"-",""),"+","")</f>
        <v>918814240007</v>
      </c>
      <c r="R986" t="str">
        <f t="shared" si="30"/>
        <v>8814240007</v>
      </c>
      <c r="S986" t="str">
        <f>IF(LEN(R986),"Valid","Invalid")</f>
        <v>Valid</v>
      </c>
      <c r="T986" t="s">
        <v>3851</v>
      </c>
      <c r="V986" t="s">
        <v>35</v>
      </c>
      <c r="X986">
        <v>12114.55</v>
      </c>
      <c r="Y986" t="s">
        <v>123</v>
      </c>
      <c r="Z986">
        <v>517</v>
      </c>
      <c r="AA986">
        <f t="shared" si="31"/>
        <v>517</v>
      </c>
      <c r="AB986" t="s">
        <v>71</v>
      </c>
    </row>
    <row r="987" spans="1:28" x14ac:dyDescent="0.3">
      <c r="A987" t="s">
        <v>3850</v>
      </c>
      <c r="B987" t="s">
        <v>3849</v>
      </c>
      <c r="C987" t="s">
        <v>3849</v>
      </c>
      <c r="D987" t="s">
        <v>22</v>
      </c>
      <c r="E987">
        <v>43</v>
      </c>
      <c r="F987">
        <v>43</v>
      </c>
      <c r="G987" t="s">
        <v>68</v>
      </c>
      <c r="H987" t="s">
        <v>68</v>
      </c>
      <c r="I987" t="s">
        <v>53</v>
      </c>
      <c r="J987" t="s">
        <v>20</v>
      </c>
      <c r="K987" s="1">
        <v>46038</v>
      </c>
      <c r="L987" s="1" t="str">
        <f>IF(K987&gt;O987,"Valid","Invalid")</f>
        <v>Valid</v>
      </c>
      <c r="M987" s="1" t="b">
        <f>ISNUMBER(K987)</f>
        <v>1</v>
      </c>
      <c r="N987" s="1" t="b">
        <f>ISNUMBER(O987)</f>
        <v>1</v>
      </c>
      <c r="O987" s="1">
        <v>46031</v>
      </c>
      <c r="P987" t="s">
        <v>3848</v>
      </c>
      <c r="Q987" t="str">
        <f>SUBSTITUTE(SUBSTITUTE(SUBSTITUTE(P987," ",""),"-",""),"+","")</f>
        <v>6934346490</v>
      </c>
      <c r="R987" t="str">
        <f t="shared" si="30"/>
        <v>6934346490</v>
      </c>
      <c r="S987" t="str">
        <f>IF(LEN(R987),"Valid","Invalid")</f>
        <v>Valid</v>
      </c>
      <c r="T987" t="s">
        <v>3847</v>
      </c>
      <c r="V987" t="s">
        <v>27</v>
      </c>
      <c r="X987">
        <v>13679.46</v>
      </c>
      <c r="Y987" t="s">
        <v>63</v>
      </c>
      <c r="Z987">
        <v>421</v>
      </c>
      <c r="AA987">
        <f t="shared" si="31"/>
        <v>421</v>
      </c>
      <c r="AB987" t="s">
        <v>34</v>
      </c>
    </row>
    <row r="988" spans="1:28" x14ac:dyDescent="0.3">
      <c r="A988" t="s">
        <v>3846</v>
      </c>
      <c r="B988" t="s">
        <v>3845</v>
      </c>
      <c r="C988" t="s">
        <v>3845</v>
      </c>
      <c r="D988" t="s">
        <v>74</v>
      </c>
      <c r="E988">
        <v>3</v>
      </c>
      <c r="F988">
        <v>3</v>
      </c>
      <c r="G988" t="s">
        <v>47</v>
      </c>
      <c r="H988" t="s">
        <v>47</v>
      </c>
      <c r="I988" t="s">
        <v>20</v>
      </c>
      <c r="J988" t="s">
        <v>20</v>
      </c>
      <c r="K988" s="1">
        <v>46014</v>
      </c>
      <c r="L988" s="1" t="str">
        <f>IF(K988&gt;O988,"Valid","Invalid")</f>
        <v>Valid</v>
      </c>
      <c r="M988" s="1" t="b">
        <f>ISNUMBER(K988)</f>
        <v>1</v>
      </c>
      <c r="N988" s="1" t="b">
        <f>ISNUMBER(O988)</f>
        <v>1</v>
      </c>
      <c r="O988" s="1">
        <v>45997</v>
      </c>
      <c r="P988" t="s">
        <v>3844</v>
      </c>
      <c r="Q988" t="str">
        <f>SUBSTITUTE(SUBSTITUTE(SUBSTITUTE(P988," ",""),"-",""),"+","")</f>
        <v>05074420033</v>
      </c>
      <c r="R988" t="str">
        <f t="shared" si="30"/>
        <v>5074420033</v>
      </c>
      <c r="S988" t="str">
        <f>IF(LEN(R988),"Valid","Invalid")</f>
        <v>Valid</v>
      </c>
      <c r="T988" t="s">
        <v>3843</v>
      </c>
      <c r="V988" t="s">
        <v>26</v>
      </c>
      <c r="X988">
        <v>2743.64</v>
      </c>
      <c r="Y988" t="s">
        <v>123</v>
      </c>
      <c r="Z988">
        <v>172</v>
      </c>
      <c r="AA988">
        <f t="shared" si="31"/>
        <v>172</v>
      </c>
      <c r="AB988" t="s">
        <v>77</v>
      </c>
    </row>
    <row r="989" spans="1:28" x14ac:dyDescent="0.3">
      <c r="A989" t="s">
        <v>3842</v>
      </c>
      <c r="B989" t="s">
        <v>3841</v>
      </c>
      <c r="C989" t="s">
        <v>3841</v>
      </c>
      <c r="D989" t="s">
        <v>1</v>
      </c>
      <c r="E989">
        <v>4</v>
      </c>
      <c r="F989">
        <v>4</v>
      </c>
      <c r="G989" t="s">
        <v>21</v>
      </c>
      <c r="H989" t="s">
        <v>21</v>
      </c>
      <c r="I989" t="s">
        <v>90</v>
      </c>
      <c r="J989" t="s">
        <v>67</v>
      </c>
      <c r="K989" s="1">
        <v>46073</v>
      </c>
      <c r="L989" s="1" t="str">
        <f>IF(K989&gt;O989,"Valid","Invalid")</f>
        <v>Valid</v>
      </c>
      <c r="M989" s="1" t="b">
        <f>ISNUMBER(K989)</f>
        <v>1</v>
      </c>
      <c r="N989" s="1" t="b">
        <f>ISNUMBER(O989)</f>
        <v>1</v>
      </c>
      <c r="O989" s="1">
        <v>46061</v>
      </c>
      <c r="P989" t="s">
        <v>3840</v>
      </c>
      <c r="Q989" t="str">
        <f>SUBSTITUTE(SUBSTITUTE(SUBSTITUTE(P989," ",""),"-",""),"+","")</f>
        <v>3954961585</v>
      </c>
      <c r="R989" t="str">
        <f t="shared" si="30"/>
        <v>3954961585</v>
      </c>
      <c r="S989" t="str">
        <f>IF(LEN(R989),"Valid","Invalid")</f>
        <v>Valid</v>
      </c>
      <c r="T989" t="s">
        <v>3839</v>
      </c>
      <c r="V989" t="s">
        <v>35</v>
      </c>
      <c r="X989">
        <v>8962.09</v>
      </c>
      <c r="Y989" t="s">
        <v>63</v>
      </c>
      <c r="Z989">
        <v>215</v>
      </c>
      <c r="AA989">
        <f t="shared" si="31"/>
        <v>215</v>
      </c>
      <c r="AB989" t="s">
        <v>25</v>
      </c>
    </row>
    <row r="990" spans="1:28" x14ac:dyDescent="0.3">
      <c r="A990" t="s">
        <v>3838</v>
      </c>
      <c r="B990" t="s">
        <v>3837</v>
      </c>
      <c r="C990" t="s">
        <v>3837</v>
      </c>
      <c r="D990" t="s">
        <v>123</v>
      </c>
      <c r="E990">
        <v>88</v>
      </c>
      <c r="F990">
        <v>88</v>
      </c>
      <c r="G990" t="s">
        <v>80</v>
      </c>
      <c r="H990" t="s">
        <v>80</v>
      </c>
      <c r="I990" t="s">
        <v>85</v>
      </c>
      <c r="J990" t="s">
        <v>85</v>
      </c>
      <c r="K990" s="1">
        <v>46033</v>
      </c>
      <c r="L990" s="1" t="str">
        <f>IF(K990&gt;O990,"Valid","Invalid")</f>
        <v>Valid</v>
      </c>
      <c r="M990" s="1" t="b">
        <f>ISNUMBER(K990)</f>
        <v>1</v>
      </c>
      <c r="N990" s="1" t="b">
        <f>ISNUMBER(O990)</f>
        <v>1</v>
      </c>
      <c r="O990" s="1">
        <v>46028</v>
      </c>
      <c r="P990" t="s">
        <v>3836</v>
      </c>
      <c r="Q990" t="str">
        <f>SUBSTITUTE(SUBSTITUTE(SUBSTITUTE(P990," ",""),"-",""),"+","")</f>
        <v>04912840758</v>
      </c>
      <c r="R990" t="str">
        <f t="shared" si="30"/>
        <v>4912840758</v>
      </c>
      <c r="S990" t="str">
        <f>IF(LEN(R990),"Valid","Invalid")</f>
        <v>Valid</v>
      </c>
      <c r="T990" t="s">
        <v>3835</v>
      </c>
      <c r="V990" t="s">
        <v>64</v>
      </c>
      <c r="X990">
        <v>5768.16</v>
      </c>
      <c r="Y990" t="s">
        <v>63</v>
      </c>
      <c r="Z990">
        <v>282</v>
      </c>
      <c r="AA990">
        <f t="shared" si="31"/>
        <v>282</v>
      </c>
      <c r="AB990" t="s">
        <v>77</v>
      </c>
    </row>
    <row r="991" spans="1:28" x14ac:dyDescent="0.3">
      <c r="A991" t="s">
        <v>3834</v>
      </c>
      <c r="B991" t="s">
        <v>3833</v>
      </c>
      <c r="C991" t="s">
        <v>3833</v>
      </c>
      <c r="D991" t="s">
        <v>60</v>
      </c>
      <c r="E991">
        <v>16</v>
      </c>
      <c r="F991">
        <v>16</v>
      </c>
      <c r="G991" t="s">
        <v>31</v>
      </c>
      <c r="H991" t="s">
        <v>31</v>
      </c>
      <c r="I991" t="s">
        <v>20</v>
      </c>
      <c r="J991" t="s">
        <v>20</v>
      </c>
      <c r="K991" s="1">
        <v>46151</v>
      </c>
      <c r="L991" s="1" t="str">
        <f>IF(K991&gt;O991,"Valid","Invalid")</f>
        <v>Valid</v>
      </c>
      <c r="M991" s="1" t="b">
        <f>ISNUMBER(K991)</f>
        <v>1</v>
      </c>
      <c r="N991" s="1" t="b">
        <f>ISNUMBER(O991)</f>
        <v>1</v>
      </c>
      <c r="O991" s="1">
        <v>46123</v>
      </c>
      <c r="P991" t="s">
        <v>3832</v>
      </c>
      <c r="Q991" t="str">
        <f>SUBSTITUTE(SUBSTITUTE(SUBSTITUTE(P991," ",""),"-",""),"+","")</f>
        <v>916512028767</v>
      </c>
      <c r="R991" t="str">
        <f t="shared" si="30"/>
        <v>6512028767</v>
      </c>
      <c r="S991" t="str">
        <f>IF(LEN(R991),"Valid","Invalid")</f>
        <v>Valid</v>
      </c>
      <c r="T991" t="s">
        <v>3831</v>
      </c>
      <c r="V991" t="s">
        <v>27</v>
      </c>
      <c r="X991">
        <v>15191.76</v>
      </c>
      <c r="Y991" t="s">
        <v>26</v>
      </c>
      <c r="Z991">
        <v>319</v>
      </c>
      <c r="AA991">
        <f t="shared" si="31"/>
        <v>319</v>
      </c>
      <c r="AB991" t="s">
        <v>34</v>
      </c>
    </row>
    <row r="992" spans="1:28" x14ac:dyDescent="0.3">
      <c r="A992" t="s">
        <v>3830</v>
      </c>
      <c r="B992" t="s">
        <v>3829</v>
      </c>
      <c r="C992" t="s">
        <v>3829</v>
      </c>
      <c r="D992" t="s">
        <v>60</v>
      </c>
      <c r="E992">
        <v>77</v>
      </c>
      <c r="F992">
        <v>77</v>
      </c>
      <c r="G992" t="s">
        <v>39</v>
      </c>
      <c r="H992" t="s">
        <v>39</v>
      </c>
      <c r="I992" t="s">
        <v>90</v>
      </c>
      <c r="J992" t="s">
        <v>67</v>
      </c>
      <c r="K992" s="1">
        <v>45980</v>
      </c>
      <c r="L992" s="1" t="str">
        <f>IF(K992&gt;O992,"Valid","Invalid")</f>
        <v>Valid</v>
      </c>
      <c r="M992" s="1" t="b">
        <f>ISNUMBER(K992)</f>
        <v>1</v>
      </c>
      <c r="N992" s="1" t="b">
        <f>ISNUMBER(O992)</f>
        <v>1</v>
      </c>
      <c r="O992" s="1">
        <v>45976</v>
      </c>
      <c r="P992" t="s">
        <v>3828</v>
      </c>
      <c r="Q992" t="str">
        <f>SUBSTITUTE(SUBSTITUTE(SUBSTITUTE(P992," ",""),"-",""),"+","")</f>
        <v>07194390327</v>
      </c>
      <c r="R992" t="str">
        <f t="shared" si="30"/>
        <v>7194390327</v>
      </c>
      <c r="S992" t="str">
        <f>IF(LEN(R992),"Valid","Invalid")</f>
        <v>Valid</v>
      </c>
      <c r="T992" t="s">
        <v>3827</v>
      </c>
      <c r="V992" t="s">
        <v>26</v>
      </c>
      <c r="X992" t="s">
        <v>488</v>
      </c>
      <c r="Y992" t="s">
        <v>63</v>
      </c>
      <c r="Z992" t="s">
        <v>347</v>
      </c>
      <c r="AA992">
        <f t="shared" si="31"/>
        <v>0</v>
      </c>
      <c r="AB992" t="s">
        <v>77</v>
      </c>
    </row>
    <row r="993" spans="1:28" x14ac:dyDescent="0.3">
      <c r="A993" t="s">
        <v>3826</v>
      </c>
      <c r="B993" t="s">
        <v>3825</v>
      </c>
      <c r="C993" t="s">
        <v>3825</v>
      </c>
      <c r="D993" t="s">
        <v>22</v>
      </c>
      <c r="E993">
        <v>64</v>
      </c>
      <c r="F993">
        <v>64</v>
      </c>
      <c r="G993" t="s">
        <v>31</v>
      </c>
      <c r="H993" t="s">
        <v>31</v>
      </c>
      <c r="I993" t="s">
        <v>30</v>
      </c>
      <c r="J993" t="s">
        <v>30</v>
      </c>
      <c r="K993" s="1">
        <v>46099</v>
      </c>
      <c r="L993" s="1" t="str">
        <f>IF(K993&gt;O993,"Valid","Invalid")</f>
        <v>Valid</v>
      </c>
      <c r="M993" s="1" t="b">
        <f>ISNUMBER(K993)</f>
        <v>1</v>
      </c>
      <c r="N993" s="1" t="b">
        <f>ISNUMBER(O993)</f>
        <v>1</v>
      </c>
      <c r="O993" s="1">
        <v>46074</v>
      </c>
      <c r="P993" t="s">
        <v>3824</v>
      </c>
      <c r="Q993" t="str">
        <f>SUBSTITUTE(SUBSTITUTE(SUBSTITUTE(P993," ",""),"-",""),"+","")</f>
        <v>04917593585</v>
      </c>
      <c r="R993" t="str">
        <f t="shared" si="30"/>
        <v>4917593585</v>
      </c>
      <c r="S993" t="str">
        <f>IF(LEN(R993),"Valid","Invalid")</f>
        <v>Valid</v>
      </c>
      <c r="T993" t="s">
        <v>3823</v>
      </c>
      <c r="V993" t="s">
        <v>64</v>
      </c>
      <c r="X993">
        <v>19763.63</v>
      </c>
      <c r="Y993" t="s">
        <v>26</v>
      </c>
      <c r="Z993">
        <v>498</v>
      </c>
      <c r="AA993">
        <f t="shared" si="31"/>
        <v>498</v>
      </c>
      <c r="AB993" t="s">
        <v>25</v>
      </c>
    </row>
    <row r="994" spans="1:28" x14ac:dyDescent="0.3">
      <c r="A994" t="s">
        <v>3822</v>
      </c>
      <c r="B994" t="s">
        <v>3821</v>
      </c>
      <c r="C994" t="s">
        <v>3821</v>
      </c>
      <c r="D994" t="s">
        <v>0</v>
      </c>
      <c r="E994">
        <v>41</v>
      </c>
      <c r="F994">
        <v>41</v>
      </c>
      <c r="G994" t="s">
        <v>39</v>
      </c>
      <c r="H994" t="s">
        <v>39</v>
      </c>
      <c r="I994" t="s">
        <v>90</v>
      </c>
      <c r="J994" t="s">
        <v>67</v>
      </c>
      <c r="K994" s="1">
        <v>46071</v>
      </c>
      <c r="L994" s="1" t="str">
        <f>IF(K994&gt;O994,"Valid","Invalid")</f>
        <v>Valid</v>
      </c>
      <c r="M994" s="1" t="b">
        <f>ISNUMBER(K994)</f>
        <v>1</v>
      </c>
      <c r="N994" s="1" t="b">
        <f>ISNUMBER(O994)</f>
        <v>1</v>
      </c>
      <c r="O994" s="1">
        <v>46057</v>
      </c>
      <c r="P994" t="s">
        <v>3820</v>
      </c>
      <c r="Q994" t="str">
        <f>SUBSTITUTE(SUBSTITUTE(SUBSTITUTE(P994," ",""),"-",""),"+","")</f>
        <v>6259907094</v>
      </c>
      <c r="R994" t="str">
        <f t="shared" si="30"/>
        <v>6259907094</v>
      </c>
      <c r="S994" t="str">
        <f>IF(LEN(R994),"Valid","Invalid")</f>
        <v>Valid</v>
      </c>
      <c r="T994" t="s">
        <v>3819</v>
      </c>
      <c r="V994" t="s">
        <v>123</v>
      </c>
      <c r="X994">
        <v>20403.310000000001</v>
      </c>
      <c r="Y994" t="s">
        <v>64</v>
      </c>
      <c r="Z994">
        <v>395</v>
      </c>
      <c r="AA994">
        <f t="shared" si="31"/>
        <v>395</v>
      </c>
      <c r="AB994" t="s">
        <v>16</v>
      </c>
    </row>
    <row r="995" spans="1:28" x14ac:dyDescent="0.3">
      <c r="A995" t="s">
        <v>3818</v>
      </c>
      <c r="B995" t="s">
        <v>3817</v>
      </c>
      <c r="C995" t="s">
        <v>3817</v>
      </c>
      <c r="D995" t="s">
        <v>22</v>
      </c>
      <c r="E995">
        <v>19</v>
      </c>
      <c r="F995">
        <v>19</v>
      </c>
      <c r="G995" t="s">
        <v>80</v>
      </c>
      <c r="H995" t="s">
        <v>80</v>
      </c>
      <c r="I995" t="s">
        <v>67</v>
      </c>
      <c r="J995" t="s">
        <v>67</v>
      </c>
      <c r="K995" s="1">
        <v>46008</v>
      </c>
      <c r="L995" s="1" t="str">
        <f>IF(K995&gt;O995,"Valid","Invalid")</f>
        <v>Valid</v>
      </c>
      <c r="M995" s="1" t="b">
        <f>ISNUMBER(K995)</f>
        <v>1</v>
      </c>
      <c r="N995" s="1" t="b">
        <f>ISNUMBER(O995)</f>
        <v>1</v>
      </c>
      <c r="O995" s="1">
        <v>46004</v>
      </c>
      <c r="P995" t="s">
        <v>3816</v>
      </c>
      <c r="Q995" t="str">
        <f>SUBSTITUTE(SUBSTITUTE(SUBSTITUTE(P995," ",""),"-",""),"+","")</f>
        <v>07010183185</v>
      </c>
      <c r="R995" t="str">
        <f t="shared" si="30"/>
        <v>7010183185</v>
      </c>
      <c r="S995" t="str">
        <f>IF(LEN(R995),"Valid","Invalid")</f>
        <v>Valid</v>
      </c>
      <c r="T995" t="s">
        <v>3815</v>
      </c>
      <c r="V995" t="s">
        <v>35</v>
      </c>
      <c r="X995">
        <v>19234.88</v>
      </c>
      <c r="Y995" t="s">
        <v>17</v>
      </c>
      <c r="Z995">
        <v>263</v>
      </c>
      <c r="AA995">
        <f t="shared" si="31"/>
        <v>263</v>
      </c>
      <c r="AB995" t="s">
        <v>16</v>
      </c>
    </row>
    <row r="996" spans="1:28" x14ac:dyDescent="0.3">
      <c r="A996" t="s">
        <v>3814</v>
      </c>
      <c r="B996" t="s">
        <v>3813</v>
      </c>
      <c r="C996" t="s">
        <v>3813</v>
      </c>
      <c r="D996" t="s">
        <v>123</v>
      </c>
      <c r="E996">
        <v>62</v>
      </c>
      <c r="F996">
        <v>62</v>
      </c>
      <c r="G996" t="s">
        <v>54</v>
      </c>
      <c r="H996" t="s">
        <v>54</v>
      </c>
      <c r="I996" t="s">
        <v>67</v>
      </c>
      <c r="J996" t="s">
        <v>67</v>
      </c>
      <c r="K996" s="1">
        <v>46006</v>
      </c>
      <c r="L996" s="1" t="str">
        <f>IF(K996&gt;O996,"Valid","Invalid")</f>
        <v>Valid</v>
      </c>
      <c r="M996" s="1" t="b">
        <f>ISNUMBER(K996)</f>
        <v>1</v>
      </c>
      <c r="N996" s="1" t="b">
        <f>ISNUMBER(O996)</f>
        <v>1</v>
      </c>
      <c r="O996" s="1">
        <v>46002</v>
      </c>
      <c r="P996" t="s">
        <v>3812</v>
      </c>
      <c r="Q996" t="str">
        <f>SUBSTITUTE(SUBSTITUTE(SUBSTITUTE(P996," ",""),"-",""),"+","")</f>
        <v>6908966057</v>
      </c>
      <c r="R996" t="str">
        <f t="shared" si="30"/>
        <v>6908966057</v>
      </c>
      <c r="S996" t="str">
        <f>IF(LEN(R996),"Valid","Invalid")</f>
        <v>Valid</v>
      </c>
      <c r="T996" t="s">
        <v>3811</v>
      </c>
      <c r="V996" t="s">
        <v>17</v>
      </c>
      <c r="X996">
        <v>9702.99</v>
      </c>
      <c r="Y996" t="s">
        <v>123</v>
      </c>
      <c r="Z996">
        <v>375</v>
      </c>
      <c r="AA996">
        <f t="shared" si="31"/>
        <v>375</v>
      </c>
      <c r="AB996" t="s">
        <v>34</v>
      </c>
    </row>
    <row r="997" spans="1:28" x14ac:dyDescent="0.3">
      <c r="A997" t="s">
        <v>3810</v>
      </c>
      <c r="B997" t="s">
        <v>3809</v>
      </c>
      <c r="C997" t="s">
        <v>3809</v>
      </c>
      <c r="E997">
        <v>69</v>
      </c>
      <c r="F997">
        <v>69</v>
      </c>
      <c r="G997" t="s">
        <v>21</v>
      </c>
      <c r="H997" t="s">
        <v>21</v>
      </c>
      <c r="I997" t="s">
        <v>90</v>
      </c>
      <c r="J997" t="s">
        <v>67</v>
      </c>
      <c r="K997" s="1">
        <v>46029</v>
      </c>
      <c r="L997" s="1" t="str">
        <f>IF(K997&gt;O997,"Valid","Invalid")</f>
        <v>Valid</v>
      </c>
      <c r="M997" s="1" t="b">
        <f>ISNUMBER(K997)</f>
        <v>1</v>
      </c>
      <c r="N997" s="1" t="b">
        <f>ISNUMBER(O997)</f>
        <v>1</v>
      </c>
      <c r="O997" s="1">
        <v>46027</v>
      </c>
      <c r="P997" t="s">
        <v>3808</v>
      </c>
      <c r="Q997" t="str">
        <f>SUBSTITUTE(SUBSTITUTE(SUBSTITUTE(P997," ",""),"-",""),"+","")</f>
        <v>6221418128</v>
      </c>
      <c r="R997" t="str">
        <f t="shared" si="30"/>
        <v>6221418128</v>
      </c>
      <c r="S997" t="str">
        <f>IF(LEN(R997),"Valid","Invalid")</f>
        <v>Valid</v>
      </c>
      <c r="T997" t="s">
        <v>3807</v>
      </c>
      <c r="V997" t="s">
        <v>123</v>
      </c>
      <c r="X997">
        <v>13268.26</v>
      </c>
      <c r="Y997" t="s">
        <v>57</v>
      </c>
      <c r="Z997">
        <v>459</v>
      </c>
      <c r="AA997">
        <f t="shared" si="31"/>
        <v>459</v>
      </c>
      <c r="AB997" t="s">
        <v>77</v>
      </c>
    </row>
    <row r="998" spans="1:28" x14ac:dyDescent="0.3">
      <c r="A998" t="s">
        <v>3806</v>
      </c>
      <c r="B998" t="s">
        <v>3805</v>
      </c>
      <c r="C998" t="s">
        <v>3805</v>
      </c>
      <c r="D998" t="s">
        <v>1</v>
      </c>
      <c r="E998">
        <v>47</v>
      </c>
      <c r="F998">
        <v>47</v>
      </c>
      <c r="G998" t="s">
        <v>47</v>
      </c>
      <c r="H998" t="s">
        <v>47</v>
      </c>
      <c r="I998" t="s">
        <v>38</v>
      </c>
      <c r="J998" t="s">
        <v>8077</v>
      </c>
      <c r="K998" s="1">
        <v>46007</v>
      </c>
      <c r="L998" s="1" t="str">
        <f>IF(K998&gt;O998,"Valid","Invalid")</f>
        <v>Valid</v>
      </c>
      <c r="M998" s="1" t="b">
        <f>ISNUMBER(K998)</f>
        <v>1</v>
      </c>
      <c r="N998" s="1" t="b">
        <f>ISNUMBER(O998)</f>
        <v>1</v>
      </c>
      <c r="O998" s="1">
        <v>45980</v>
      </c>
      <c r="P998" t="s">
        <v>3804</v>
      </c>
      <c r="Q998" t="str">
        <f>SUBSTITUTE(SUBSTITUTE(SUBSTITUTE(P998," ",""),"-",""),"+","")</f>
        <v>3178409759</v>
      </c>
      <c r="R998" t="str">
        <f t="shared" si="30"/>
        <v>3178409759</v>
      </c>
      <c r="S998" t="str">
        <f>IF(LEN(R998),"Valid","Invalid")</f>
        <v>Valid</v>
      </c>
      <c r="T998" t="s">
        <v>3803</v>
      </c>
      <c r="V998" t="s">
        <v>27</v>
      </c>
      <c r="X998">
        <v>9187.48</v>
      </c>
      <c r="Y998" t="s">
        <v>123</v>
      </c>
      <c r="Z998">
        <v>168</v>
      </c>
      <c r="AA998">
        <f t="shared" si="31"/>
        <v>168</v>
      </c>
      <c r="AB998" t="s">
        <v>77</v>
      </c>
    </row>
    <row r="999" spans="1:28" x14ac:dyDescent="0.3">
      <c r="A999" t="s">
        <v>3802</v>
      </c>
      <c r="B999" t="s">
        <v>3801</v>
      </c>
      <c r="C999" t="s">
        <v>3801</v>
      </c>
      <c r="D999" t="s">
        <v>40</v>
      </c>
      <c r="E999">
        <v>45</v>
      </c>
      <c r="F999">
        <v>45</v>
      </c>
      <c r="G999" t="s">
        <v>31</v>
      </c>
      <c r="H999" t="s">
        <v>31</v>
      </c>
      <c r="I999" t="s">
        <v>53</v>
      </c>
      <c r="J999" t="s">
        <v>20</v>
      </c>
      <c r="K999" s="1">
        <v>46033</v>
      </c>
      <c r="L999" s="1" t="str">
        <f>IF(K999&gt;O999,"Valid","Invalid")</f>
        <v>Valid</v>
      </c>
      <c r="M999" s="1" t="b">
        <f>ISNUMBER(K999)</f>
        <v>1</v>
      </c>
      <c r="N999" s="1" t="b">
        <f>ISNUMBER(O999)</f>
        <v>1</v>
      </c>
      <c r="O999" s="1">
        <v>46024</v>
      </c>
      <c r="P999" t="s">
        <v>3800</v>
      </c>
      <c r="Q999" t="str">
        <f>SUBSTITUTE(SUBSTITUTE(SUBSTITUTE(P999," ",""),"-",""),"+","")</f>
        <v>915252904998</v>
      </c>
      <c r="R999" t="str">
        <f t="shared" si="30"/>
        <v>5252904998</v>
      </c>
      <c r="S999" t="str">
        <f>IF(LEN(R999),"Valid","Invalid")</f>
        <v>Valid</v>
      </c>
      <c r="T999" t="s">
        <v>3799</v>
      </c>
      <c r="V999" t="s">
        <v>123</v>
      </c>
      <c r="X999">
        <v>3774.68</v>
      </c>
      <c r="Y999" t="s">
        <v>123</v>
      </c>
      <c r="Z999">
        <v>224</v>
      </c>
      <c r="AA999">
        <f t="shared" si="31"/>
        <v>224</v>
      </c>
      <c r="AB999" t="s">
        <v>71</v>
      </c>
    </row>
    <row r="1000" spans="1:28" x14ac:dyDescent="0.3">
      <c r="A1000" t="s">
        <v>3798</v>
      </c>
      <c r="B1000" t="s">
        <v>3797</v>
      </c>
      <c r="C1000" t="s">
        <v>3797</v>
      </c>
      <c r="D1000" t="s">
        <v>1</v>
      </c>
      <c r="E1000">
        <v>8</v>
      </c>
      <c r="F1000">
        <v>8</v>
      </c>
      <c r="G1000" t="s">
        <v>39</v>
      </c>
      <c r="H1000" t="s">
        <v>39</v>
      </c>
      <c r="I1000" t="s">
        <v>20</v>
      </c>
      <c r="J1000" t="s">
        <v>20</v>
      </c>
      <c r="K1000" s="1">
        <v>46062</v>
      </c>
      <c r="L1000" s="1" t="str">
        <f>IF(K1000&gt;O1000,"Valid","Invalid")</f>
        <v>Valid</v>
      </c>
      <c r="M1000" s="1" t="b">
        <f>ISNUMBER(K1000)</f>
        <v>1</v>
      </c>
      <c r="N1000" s="1" t="b">
        <f>ISNUMBER(O1000)</f>
        <v>1</v>
      </c>
      <c r="O1000" s="1">
        <v>46032</v>
      </c>
      <c r="P1000" t="s">
        <v>3796</v>
      </c>
      <c r="Q1000" t="str">
        <f>SUBSTITUTE(SUBSTITUTE(SUBSTITUTE(P1000," ",""),"-",""),"+","")</f>
        <v>02701755101</v>
      </c>
      <c r="R1000" t="str">
        <f t="shared" si="30"/>
        <v>2701755101</v>
      </c>
      <c r="S1000" t="str">
        <f>IF(LEN(R1000),"Valid","Invalid")</f>
        <v>Valid</v>
      </c>
      <c r="T1000" t="s">
        <v>3795</v>
      </c>
      <c r="V1000" t="s">
        <v>35</v>
      </c>
      <c r="X1000">
        <v>9561.0300000000007</v>
      </c>
      <c r="Y1000" t="s">
        <v>27</v>
      </c>
      <c r="Z1000">
        <v>456</v>
      </c>
      <c r="AA1000">
        <f t="shared" si="31"/>
        <v>456</v>
      </c>
      <c r="AB1000" t="s">
        <v>16</v>
      </c>
    </row>
    <row r="1001" spans="1:28" x14ac:dyDescent="0.3">
      <c r="A1001" t="s">
        <v>3794</v>
      </c>
      <c r="B1001" t="s">
        <v>3793</v>
      </c>
      <c r="C1001" t="s">
        <v>3793</v>
      </c>
      <c r="D1001" t="s">
        <v>60</v>
      </c>
      <c r="E1001">
        <v>7</v>
      </c>
      <c r="F1001">
        <v>7</v>
      </c>
      <c r="G1001" t="s">
        <v>80</v>
      </c>
      <c r="H1001" t="s">
        <v>80</v>
      </c>
      <c r="I1001" t="s">
        <v>20</v>
      </c>
      <c r="J1001" t="s">
        <v>20</v>
      </c>
      <c r="K1001" s="1">
        <v>46114</v>
      </c>
      <c r="L1001" s="1" t="str">
        <f>IF(K1001&gt;O1001,"Valid","Invalid")</f>
        <v>Valid</v>
      </c>
      <c r="M1001" s="1" t="b">
        <f>ISNUMBER(K1001)</f>
        <v>1</v>
      </c>
      <c r="N1001" s="1" t="b">
        <f>ISNUMBER(O1001)</f>
        <v>1</v>
      </c>
      <c r="O1001" s="1">
        <v>46099</v>
      </c>
      <c r="P1001" t="s">
        <v>3792</v>
      </c>
      <c r="Q1001" t="str">
        <f>SUBSTITUTE(SUBSTITUTE(SUBSTITUTE(P1001," ",""),"-",""),"+","")</f>
        <v>04457489183</v>
      </c>
      <c r="R1001" t="str">
        <f t="shared" si="30"/>
        <v>4457489183</v>
      </c>
      <c r="S1001" t="str">
        <f>IF(LEN(R1001),"Valid","Invalid")</f>
        <v>Valid</v>
      </c>
      <c r="T1001" t="s">
        <v>3791</v>
      </c>
      <c r="V1001" t="s">
        <v>35</v>
      </c>
      <c r="X1001">
        <v>948.61</v>
      </c>
      <c r="Y1001" t="s">
        <v>17</v>
      </c>
      <c r="Z1001">
        <v>172</v>
      </c>
      <c r="AA1001">
        <f t="shared" si="31"/>
        <v>172</v>
      </c>
      <c r="AB1001" t="s">
        <v>77</v>
      </c>
    </row>
    <row r="1002" spans="1:28" x14ac:dyDescent="0.3">
      <c r="A1002" t="s">
        <v>3790</v>
      </c>
      <c r="B1002" t="s">
        <v>3789</v>
      </c>
      <c r="C1002" t="s">
        <v>3789</v>
      </c>
      <c r="D1002" t="s">
        <v>1</v>
      </c>
      <c r="E1002">
        <v>10</v>
      </c>
      <c r="F1002">
        <v>10</v>
      </c>
      <c r="G1002" t="s">
        <v>47</v>
      </c>
      <c r="H1002" t="s">
        <v>47</v>
      </c>
      <c r="I1002" t="s">
        <v>90</v>
      </c>
      <c r="J1002" t="s">
        <v>67</v>
      </c>
      <c r="K1002" s="1">
        <v>46119</v>
      </c>
      <c r="L1002" s="1" t="str">
        <f>IF(K1002&gt;O1002,"Valid","Invalid")</f>
        <v>Valid</v>
      </c>
      <c r="M1002" s="1" t="b">
        <f>ISNUMBER(K1002)</f>
        <v>1</v>
      </c>
      <c r="N1002" s="1" t="b">
        <f>ISNUMBER(O1002)</f>
        <v>1</v>
      </c>
      <c r="O1002" s="1">
        <v>46115</v>
      </c>
      <c r="P1002" t="s">
        <v>3788</v>
      </c>
      <c r="Q1002" t="str">
        <f>SUBSTITUTE(SUBSTITUTE(SUBSTITUTE(P1002," ",""),"-",""),"+","")</f>
        <v>917962730480</v>
      </c>
      <c r="R1002" t="str">
        <f t="shared" si="30"/>
        <v>7962730480</v>
      </c>
      <c r="S1002" t="str">
        <f>IF(LEN(R1002),"Valid","Invalid")</f>
        <v>Valid</v>
      </c>
      <c r="T1002" t="s">
        <v>3787</v>
      </c>
      <c r="V1002" t="s">
        <v>35</v>
      </c>
      <c r="X1002">
        <v>11850.17</v>
      </c>
      <c r="Y1002" t="s">
        <v>26</v>
      </c>
      <c r="Z1002">
        <v>483</v>
      </c>
      <c r="AA1002">
        <f t="shared" si="31"/>
        <v>483</v>
      </c>
      <c r="AB1002" t="s">
        <v>34</v>
      </c>
    </row>
    <row r="1003" spans="1:28" x14ac:dyDescent="0.3">
      <c r="A1003" t="s">
        <v>3786</v>
      </c>
      <c r="B1003" t="s">
        <v>3785</v>
      </c>
      <c r="C1003" t="s">
        <v>3785</v>
      </c>
      <c r="D1003" t="s">
        <v>22</v>
      </c>
      <c r="E1003">
        <v>61</v>
      </c>
      <c r="F1003">
        <v>61</v>
      </c>
      <c r="G1003" t="s">
        <v>54</v>
      </c>
      <c r="H1003" t="s">
        <v>54</v>
      </c>
      <c r="I1003" t="s">
        <v>67</v>
      </c>
      <c r="J1003" t="s">
        <v>67</v>
      </c>
      <c r="K1003" s="1">
        <v>46126</v>
      </c>
      <c r="L1003" s="1" t="str">
        <f>IF(K1003&gt;O1003,"Valid","Invalid")</f>
        <v>Valid</v>
      </c>
      <c r="M1003" s="1" t="b">
        <f>ISNUMBER(K1003)</f>
        <v>1</v>
      </c>
      <c r="N1003" s="1" t="b">
        <f>ISNUMBER(O1003)</f>
        <v>1</v>
      </c>
      <c r="O1003" s="1">
        <v>46112</v>
      </c>
      <c r="P1003" t="s">
        <v>3784</v>
      </c>
      <c r="Q1003" t="str">
        <f>SUBSTITUTE(SUBSTITUTE(SUBSTITUTE(P1003," ",""),"-",""),"+","")</f>
        <v>7763551430</v>
      </c>
      <c r="R1003" t="str">
        <f t="shared" si="30"/>
        <v>7763551430</v>
      </c>
      <c r="S1003" t="str">
        <f>IF(LEN(R1003),"Valid","Invalid")</f>
        <v>Valid</v>
      </c>
      <c r="T1003" t="s">
        <v>3783</v>
      </c>
      <c r="V1003" t="s">
        <v>27</v>
      </c>
      <c r="X1003">
        <v>7311.87</v>
      </c>
      <c r="Y1003" t="s">
        <v>26</v>
      </c>
      <c r="Z1003">
        <v>130</v>
      </c>
      <c r="AA1003">
        <f t="shared" si="31"/>
        <v>130</v>
      </c>
      <c r="AB1003" t="s">
        <v>25</v>
      </c>
    </row>
    <row r="1004" spans="1:28" x14ac:dyDescent="0.3">
      <c r="A1004" t="s">
        <v>3778</v>
      </c>
      <c r="B1004" t="s">
        <v>3777</v>
      </c>
      <c r="C1004" t="s">
        <v>3777</v>
      </c>
      <c r="D1004" t="s">
        <v>22</v>
      </c>
      <c r="E1004">
        <v>74</v>
      </c>
      <c r="F1004">
        <v>74</v>
      </c>
      <c r="G1004" t="s">
        <v>132</v>
      </c>
      <c r="H1004" t="s">
        <v>132</v>
      </c>
      <c r="I1004" t="s">
        <v>38</v>
      </c>
      <c r="J1004" t="s">
        <v>8077</v>
      </c>
      <c r="K1004" s="1">
        <v>46142</v>
      </c>
      <c r="L1004" s="1" t="str">
        <f>IF(K1004&gt;O1004,"Valid","Invalid")</f>
        <v>Valid</v>
      </c>
      <c r="M1004" s="1" t="b">
        <f>ISNUMBER(K1004)</f>
        <v>1</v>
      </c>
      <c r="N1004" s="1" t="b">
        <f>ISNUMBER(O1004)</f>
        <v>1</v>
      </c>
      <c r="O1004" s="1">
        <v>46129</v>
      </c>
      <c r="P1004" t="s">
        <v>3776</v>
      </c>
      <c r="Q1004" t="str">
        <f>SUBSTITUTE(SUBSTITUTE(SUBSTITUTE(P1004," ",""),"-",""),"+","")</f>
        <v>00610441180</v>
      </c>
      <c r="R1004" t="str">
        <f t="shared" si="30"/>
        <v>0610441180</v>
      </c>
      <c r="S1004" t="str">
        <f>IF(LEN(R1004),"Valid","Invalid")</f>
        <v>Valid</v>
      </c>
      <c r="T1004" t="s">
        <v>3775</v>
      </c>
      <c r="V1004" t="s">
        <v>35</v>
      </c>
      <c r="X1004">
        <v>6941.32</v>
      </c>
      <c r="Y1004" t="s">
        <v>64</v>
      </c>
      <c r="Z1004">
        <v>367</v>
      </c>
      <c r="AA1004">
        <f t="shared" si="31"/>
        <v>367</v>
      </c>
      <c r="AB1004" t="s">
        <v>16</v>
      </c>
    </row>
    <row r="1005" spans="1:28" x14ac:dyDescent="0.3">
      <c r="A1005" t="s">
        <v>3774</v>
      </c>
      <c r="B1005" t="s">
        <v>3773</v>
      </c>
      <c r="C1005" t="s">
        <v>3773</v>
      </c>
      <c r="D1005" t="s">
        <v>0</v>
      </c>
      <c r="E1005">
        <v>28</v>
      </c>
      <c r="F1005">
        <v>28</v>
      </c>
      <c r="G1005" t="s">
        <v>54</v>
      </c>
      <c r="H1005" t="s">
        <v>54</v>
      </c>
      <c r="I1005" t="s">
        <v>46</v>
      </c>
      <c r="J1005" t="s">
        <v>46</v>
      </c>
      <c r="K1005" s="1">
        <v>45993</v>
      </c>
      <c r="L1005" s="1" t="str">
        <f>IF(K1005&gt;O1005,"Valid","Invalid")</f>
        <v>Valid</v>
      </c>
      <c r="M1005" s="1" t="b">
        <f>ISNUMBER(K1005)</f>
        <v>1</v>
      </c>
      <c r="N1005" s="1" t="b">
        <f>ISNUMBER(O1005)</f>
        <v>1</v>
      </c>
      <c r="O1005" s="1">
        <v>45986</v>
      </c>
      <c r="P1005" t="s">
        <v>3772</v>
      </c>
      <c r="Q1005" t="str">
        <f>SUBSTITUTE(SUBSTITUTE(SUBSTITUTE(P1005," ",""),"-",""),"+","")</f>
        <v>6352863387</v>
      </c>
      <c r="R1005" t="str">
        <f t="shared" si="30"/>
        <v>6352863387</v>
      </c>
      <c r="S1005" t="str">
        <f>IF(LEN(R1005),"Valid","Invalid")</f>
        <v>Valid</v>
      </c>
      <c r="T1005" t="s">
        <v>3771</v>
      </c>
      <c r="V1005" t="s">
        <v>123</v>
      </c>
      <c r="X1005">
        <v>4755.6099999999997</v>
      </c>
      <c r="Y1005" t="s">
        <v>64</v>
      </c>
      <c r="Z1005">
        <v>518</v>
      </c>
      <c r="AA1005">
        <f t="shared" si="31"/>
        <v>518</v>
      </c>
      <c r="AB1005" t="s">
        <v>25</v>
      </c>
    </row>
    <row r="1006" spans="1:28" x14ac:dyDescent="0.3">
      <c r="A1006" t="s">
        <v>3770</v>
      </c>
      <c r="B1006" t="s">
        <v>3769</v>
      </c>
      <c r="C1006" t="s">
        <v>3769</v>
      </c>
      <c r="E1006">
        <v>62</v>
      </c>
      <c r="F1006">
        <v>62</v>
      </c>
      <c r="G1006" t="s">
        <v>31</v>
      </c>
      <c r="H1006" t="s">
        <v>31</v>
      </c>
      <c r="I1006" t="s">
        <v>90</v>
      </c>
      <c r="J1006" t="s">
        <v>67</v>
      </c>
      <c r="K1006" s="1">
        <v>46106</v>
      </c>
      <c r="L1006" s="1" t="str">
        <f>IF(K1006&gt;O1006,"Valid","Invalid")</f>
        <v>Valid</v>
      </c>
      <c r="M1006" s="1" t="b">
        <f>ISNUMBER(K1006)</f>
        <v>1</v>
      </c>
      <c r="N1006" s="1" t="b">
        <f>ISNUMBER(O1006)</f>
        <v>1</v>
      </c>
      <c r="O1006" s="1">
        <v>46080</v>
      </c>
      <c r="P1006" t="s">
        <v>3768</v>
      </c>
      <c r="Q1006" t="str">
        <f>SUBSTITUTE(SUBSTITUTE(SUBSTITUTE(P1006," ",""),"-",""),"+","")</f>
        <v>5368939095</v>
      </c>
      <c r="R1006" t="str">
        <f t="shared" si="30"/>
        <v>5368939095</v>
      </c>
      <c r="S1006" t="str">
        <f>IF(LEN(R1006),"Valid","Invalid")</f>
        <v>Valid</v>
      </c>
      <c r="T1006" t="s">
        <v>3767</v>
      </c>
      <c r="V1006" t="s">
        <v>123</v>
      </c>
      <c r="X1006">
        <v>4287.6400000000003</v>
      </c>
      <c r="Y1006" t="s">
        <v>17</v>
      </c>
      <c r="Z1006">
        <v>431</v>
      </c>
      <c r="AA1006">
        <f t="shared" si="31"/>
        <v>431</v>
      </c>
      <c r="AB1006" t="s">
        <v>16</v>
      </c>
    </row>
    <row r="1007" spans="1:28" x14ac:dyDescent="0.3">
      <c r="A1007" t="s">
        <v>3766</v>
      </c>
      <c r="B1007" t="s">
        <v>3765</v>
      </c>
      <c r="C1007" t="s">
        <v>3765</v>
      </c>
      <c r="D1007" t="s">
        <v>1</v>
      </c>
      <c r="E1007">
        <v>35</v>
      </c>
      <c r="F1007">
        <v>35</v>
      </c>
      <c r="G1007" t="s">
        <v>80</v>
      </c>
      <c r="H1007" t="s">
        <v>80</v>
      </c>
      <c r="I1007" t="s">
        <v>20</v>
      </c>
      <c r="J1007" t="s">
        <v>20</v>
      </c>
      <c r="K1007" s="1">
        <v>46020</v>
      </c>
      <c r="L1007" s="1" t="str">
        <f>IF(K1007&gt;O1007,"Valid","Invalid")</f>
        <v>Valid</v>
      </c>
      <c r="M1007" s="1" t="b">
        <f>ISNUMBER(K1007)</f>
        <v>1</v>
      </c>
      <c r="N1007" s="1" t="b">
        <f>ISNUMBER(O1007)</f>
        <v>1</v>
      </c>
      <c r="O1007" s="1">
        <v>46018</v>
      </c>
      <c r="P1007" t="s">
        <v>3764</v>
      </c>
      <c r="Q1007" t="str">
        <f>SUBSTITUTE(SUBSTITUTE(SUBSTITUTE(P1007," ",""),"-",""),"+","")</f>
        <v>916083586367</v>
      </c>
      <c r="R1007" t="str">
        <f t="shared" si="30"/>
        <v>6083586367</v>
      </c>
      <c r="S1007" t="str">
        <f>IF(LEN(R1007),"Valid","Invalid")</f>
        <v>Valid</v>
      </c>
      <c r="T1007" t="s">
        <v>3763</v>
      </c>
      <c r="V1007" t="s">
        <v>57</v>
      </c>
      <c r="X1007">
        <v>15159.12</v>
      </c>
      <c r="Y1007" t="s">
        <v>17</v>
      </c>
      <c r="Z1007">
        <v>114</v>
      </c>
      <c r="AA1007">
        <f t="shared" si="31"/>
        <v>114</v>
      </c>
      <c r="AB1007" t="s">
        <v>71</v>
      </c>
    </row>
    <row r="1008" spans="1:28" x14ac:dyDescent="0.3">
      <c r="A1008" t="s">
        <v>3762</v>
      </c>
      <c r="B1008" t="s">
        <v>3761</v>
      </c>
      <c r="C1008" t="s">
        <v>3761</v>
      </c>
      <c r="D1008" t="s">
        <v>22</v>
      </c>
      <c r="E1008">
        <v>21</v>
      </c>
      <c r="F1008">
        <v>21</v>
      </c>
      <c r="G1008" t="s">
        <v>80</v>
      </c>
      <c r="H1008" t="s">
        <v>80</v>
      </c>
      <c r="I1008" t="s">
        <v>20</v>
      </c>
      <c r="J1008" t="s">
        <v>20</v>
      </c>
      <c r="K1008" s="1">
        <v>46001</v>
      </c>
      <c r="L1008" s="1" t="str">
        <f>IF(K1008&gt;O1008,"Valid","Invalid")</f>
        <v>Valid</v>
      </c>
      <c r="M1008" s="1" t="b">
        <f>ISNUMBER(K1008)</f>
        <v>1</v>
      </c>
      <c r="N1008" s="1" t="b">
        <f>ISNUMBER(O1008)</f>
        <v>1</v>
      </c>
      <c r="O1008" s="1">
        <v>45995</v>
      </c>
      <c r="P1008" t="s">
        <v>3760</v>
      </c>
      <c r="Q1008" t="str">
        <f>SUBSTITUTE(SUBSTITUTE(SUBSTITUTE(P1008," ",""),"-",""),"+","")</f>
        <v>00418730057</v>
      </c>
      <c r="R1008" t="str">
        <f t="shared" si="30"/>
        <v>0418730057</v>
      </c>
      <c r="S1008" t="str">
        <f>IF(LEN(R1008),"Valid","Invalid")</f>
        <v>Valid</v>
      </c>
      <c r="T1008" t="s">
        <v>3759</v>
      </c>
      <c r="V1008" t="s">
        <v>27</v>
      </c>
      <c r="X1008">
        <v>18961.73</v>
      </c>
      <c r="Y1008" t="s">
        <v>63</v>
      </c>
      <c r="Z1008">
        <v>196</v>
      </c>
      <c r="AA1008">
        <f t="shared" si="31"/>
        <v>196</v>
      </c>
      <c r="AB1008" t="s">
        <v>34</v>
      </c>
    </row>
    <row r="1009" spans="1:28" x14ac:dyDescent="0.3">
      <c r="A1009" t="s">
        <v>3758</v>
      </c>
      <c r="B1009" t="s">
        <v>3757</v>
      </c>
      <c r="C1009" t="s">
        <v>3757</v>
      </c>
      <c r="D1009" t="s">
        <v>1</v>
      </c>
      <c r="E1009">
        <v>82</v>
      </c>
      <c r="F1009">
        <v>82</v>
      </c>
      <c r="G1009" t="s">
        <v>47</v>
      </c>
      <c r="H1009" t="s">
        <v>47</v>
      </c>
      <c r="I1009" t="s">
        <v>38</v>
      </c>
      <c r="J1009" t="s">
        <v>8077</v>
      </c>
      <c r="K1009" s="1">
        <v>46069</v>
      </c>
      <c r="L1009" s="1" t="str">
        <f>IF(K1009&gt;O1009,"Valid","Invalid")</f>
        <v>Valid</v>
      </c>
      <c r="M1009" s="1" t="b">
        <f>ISNUMBER(K1009)</f>
        <v>1</v>
      </c>
      <c r="N1009" s="1" t="b">
        <f>ISNUMBER(O1009)</f>
        <v>1</v>
      </c>
      <c r="O1009" s="1">
        <v>46061</v>
      </c>
      <c r="P1009" t="s">
        <v>3756</v>
      </c>
      <c r="Q1009" t="str">
        <f>SUBSTITUTE(SUBSTITUTE(SUBSTITUTE(P1009," ",""),"-",""),"+","")</f>
        <v>02711683424</v>
      </c>
      <c r="R1009" t="str">
        <f t="shared" si="30"/>
        <v>2711683424</v>
      </c>
      <c r="S1009" t="str">
        <f>IF(LEN(R1009),"Valid","Invalid")</f>
        <v>Valid</v>
      </c>
      <c r="T1009" t="s">
        <v>3755</v>
      </c>
      <c r="V1009" t="s">
        <v>64</v>
      </c>
      <c r="X1009">
        <v>24421.25</v>
      </c>
      <c r="Y1009" t="s">
        <v>27</v>
      </c>
      <c r="Z1009">
        <v>388</v>
      </c>
      <c r="AA1009">
        <f t="shared" si="31"/>
        <v>388</v>
      </c>
      <c r="AB1009" t="s">
        <v>50</v>
      </c>
    </row>
    <row r="1010" spans="1:28" x14ac:dyDescent="0.3">
      <c r="A1010" t="s">
        <v>3754</v>
      </c>
      <c r="B1010" t="s">
        <v>3753</v>
      </c>
      <c r="C1010" t="s">
        <v>3753</v>
      </c>
      <c r="E1010">
        <v>6</v>
      </c>
      <c r="F1010">
        <v>6</v>
      </c>
      <c r="G1010" t="s">
        <v>47</v>
      </c>
      <c r="H1010" t="s">
        <v>47</v>
      </c>
      <c r="I1010" t="s">
        <v>67</v>
      </c>
      <c r="J1010" t="s">
        <v>67</v>
      </c>
      <c r="K1010" s="1">
        <v>46135</v>
      </c>
      <c r="L1010" s="1" t="str">
        <f>IF(K1010&gt;O1010,"Valid","Invalid")</f>
        <v>Valid</v>
      </c>
      <c r="M1010" s="1" t="b">
        <f>ISNUMBER(K1010)</f>
        <v>1</v>
      </c>
      <c r="N1010" s="1" t="b">
        <f>ISNUMBER(O1010)</f>
        <v>1</v>
      </c>
      <c r="O1010" s="1">
        <v>46133</v>
      </c>
      <c r="P1010" t="s">
        <v>3752</v>
      </c>
      <c r="Q1010" t="str">
        <f>SUBSTITUTE(SUBSTITUTE(SUBSTITUTE(P1010," ",""),"-",""),"+","")</f>
        <v>916901118964</v>
      </c>
      <c r="R1010" t="str">
        <f t="shared" si="30"/>
        <v>6901118964</v>
      </c>
      <c r="S1010" t="str">
        <f>IF(LEN(R1010),"Valid","Invalid")</f>
        <v>Valid</v>
      </c>
      <c r="T1010" t="s">
        <v>3751</v>
      </c>
      <c r="V1010" t="s">
        <v>26</v>
      </c>
      <c r="X1010">
        <v>410.27</v>
      </c>
      <c r="Y1010" t="s">
        <v>17</v>
      </c>
      <c r="Z1010">
        <v>484</v>
      </c>
      <c r="AA1010">
        <f t="shared" si="31"/>
        <v>484</v>
      </c>
      <c r="AB1010" t="s">
        <v>43</v>
      </c>
    </row>
    <row r="1011" spans="1:28" x14ac:dyDescent="0.3">
      <c r="A1011" t="s">
        <v>3750</v>
      </c>
      <c r="B1011" t="s">
        <v>3749</v>
      </c>
      <c r="C1011" t="s">
        <v>3749</v>
      </c>
      <c r="D1011" t="s">
        <v>123</v>
      </c>
      <c r="E1011">
        <v>65</v>
      </c>
      <c r="F1011">
        <v>65</v>
      </c>
      <c r="G1011" t="s">
        <v>21</v>
      </c>
      <c r="H1011" t="s">
        <v>21</v>
      </c>
      <c r="I1011" t="s">
        <v>67</v>
      </c>
      <c r="J1011" t="s">
        <v>67</v>
      </c>
      <c r="K1011" s="1">
        <v>46168</v>
      </c>
      <c r="L1011" s="1" t="str">
        <f>IF(K1011&gt;O1011,"Valid","Invalid")</f>
        <v>Valid</v>
      </c>
      <c r="M1011" s="1" t="b">
        <f>ISNUMBER(K1011)</f>
        <v>1</v>
      </c>
      <c r="N1011" s="1" t="b">
        <f>ISNUMBER(O1011)</f>
        <v>1</v>
      </c>
      <c r="O1011" s="1">
        <v>46144</v>
      </c>
      <c r="P1011" t="s">
        <v>3748</v>
      </c>
      <c r="Q1011" t="str">
        <f>SUBSTITUTE(SUBSTITUTE(SUBSTITUTE(P1011," ",""),"-",""),"+","")</f>
        <v>05893226798</v>
      </c>
      <c r="R1011" t="str">
        <f t="shared" si="30"/>
        <v>5893226798</v>
      </c>
      <c r="S1011" t="str">
        <f>IF(LEN(R1011),"Valid","Invalid")</f>
        <v>Valid</v>
      </c>
      <c r="T1011" t="s">
        <v>3747</v>
      </c>
      <c r="V1011" t="s">
        <v>123</v>
      </c>
      <c r="X1011">
        <v>18197.07</v>
      </c>
      <c r="Y1011" t="s">
        <v>26</v>
      </c>
      <c r="Z1011">
        <v>459</v>
      </c>
      <c r="AA1011">
        <f t="shared" si="31"/>
        <v>459</v>
      </c>
      <c r="AB1011" t="s">
        <v>25</v>
      </c>
    </row>
    <row r="1012" spans="1:28" x14ac:dyDescent="0.3">
      <c r="A1012" t="s">
        <v>3746</v>
      </c>
      <c r="B1012" t="s">
        <v>3745</v>
      </c>
      <c r="C1012" t="s">
        <v>3745</v>
      </c>
      <c r="D1012" t="s">
        <v>74</v>
      </c>
      <c r="E1012">
        <v>43</v>
      </c>
      <c r="F1012">
        <v>43</v>
      </c>
      <c r="G1012" t="s">
        <v>54</v>
      </c>
      <c r="H1012" t="s">
        <v>54</v>
      </c>
      <c r="I1012" t="s">
        <v>20</v>
      </c>
      <c r="J1012" t="s">
        <v>20</v>
      </c>
      <c r="K1012" s="1">
        <v>46108</v>
      </c>
      <c r="L1012" s="1" t="str">
        <f>IF(K1012&gt;O1012,"Valid","Invalid")</f>
        <v>Valid</v>
      </c>
      <c r="M1012" s="1" t="b">
        <f>ISNUMBER(K1012)</f>
        <v>1</v>
      </c>
      <c r="N1012" s="1" t="b">
        <f>ISNUMBER(O1012)</f>
        <v>1</v>
      </c>
      <c r="O1012" s="1">
        <v>46092</v>
      </c>
      <c r="P1012" t="s">
        <v>3744</v>
      </c>
      <c r="Q1012" t="str">
        <f>SUBSTITUTE(SUBSTITUTE(SUBSTITUTE(P1012," ",""),"-",""),"+","")</f>
        <v>916211604235</v>
      </c>
      <c r="R1012" t="str">
        <f t="shared" si="30"/>
        <v>6211604235</v>
      </c>
      <c r="S1012" t="str">
        <f>IF(LEN(R1012),"Valid","Invalid")</f>
        <v>Valid</v>
      </c>
      <c r="T1012" t="s">
        <v>3743</v>
      </c>
      <c r="V1012" t="s">
        <v>35</v>
      </c>
      <c r="X1012">
        <v>787.4</v>
      </c>
      <c r="Y1012" t="s">
        <v>123</v>
      </c>
      <c r="Z1012">
        <v>344</v>
      </c>
      <c r="AA1012">
        <f t="shared" si="31"/>
        <v>344</v>
      </c>
      <c r="AB1012" t="s">
        <v>34</v>
      </c>
    </row>
    <row r="1013" spans="1:28" x14ac:dyDescent="0.3">
      <c r="A1013" t="s">
        <v>3742</v>
      </c>
      <c r="B1013" t="s">
        <v>3741</v>
      </c>
      <c r="C1013" t="s">
        <v>3741</v>
      </c>
      <c r="D1013" t="s">
        <v>40</v>
      </c>
      <c r="E1013">
        <v>38</v>
      </c>
      <c r="F1013">
        <v>38</v>
      </c>
      <c r="G1013" t="s">
        <v>39</v>
      </c>
      <c r="H1013" t="s">
        <v>39</v>
      </c>
      <c r="I1013" t="s">
        <v>53</v>
      </c>
      <c r="J1013" t="s">
        <v>20</v>
      </c>
      <c r="K1013" s="1">
        <v>46082</v>
      </c>
      <c r="L1013" s="1" t="str">
        <f>IF(K1013&gt;O1013,"Valid","Invalid")</f>
        <v>Valid</v>
      </c>
      <c r="M1013" s="1" t="b">
        <f>ISNUMBER(K1013)</f>
        <v>1</v>
      </c>
      <c r="N1013" s="1" t="b">
        <f>ISNUMBER(O1013)</f>
        <v>1</v>
      </c>
      <c r="O1013" s="1">
        <v>46061</v>
      </c>
      <c r="P1013" t="s">
        <v>3740</v>
      </c>
      <c r="Q1013" t="str">
        <f>SUBSTITUTE(SUBSTITUTE(SUBSTITUTE(P1013," ",""),"-",""),"+","")</f>
        <v>00108405943</v>
      </c>
      <c r="R1013" t="str">
        <f t="shared" si="30"/>
        <v>0108405943</v>
      </c>
      <c r="S1013" t="str">
        <f>IF(LEN(R1013),"Valid","Invalid")</f>
        <v>Valid</v>
      </c>
      <c r="T1013" t="s">
        <v>3739</v>
      </c>
      <c r="V1013" t="s">
        <v>123</v>
      </c>
      <c r="X1013">
        <v>2153.0700000000002</v>
      </c>
      <c r="Y1013" t="s">
        <v>64</v>
      </c>
      <c r="Z1013">
        <v>467</v>
      </c>
      <c r="AA1013">
        <f t="shared" si="31"/>
        <v>467</v>
      </c>
      <c r="AB1013" t="s">
        <v>71</v>
      </c>
    </row>
    <row r="1014" spans="1:28" x14ac:dyDescent="0.3">
      <c r="A1014" t="s">
        <v>3738</v>
      </c>
      <c r="B1014" t="s">
        <v>3737</v>
      </c>
      <c r="C1014" t="s">
        <v>3737</v>
      </c>
      <c r="D1014" t="s">
        <v>1</v>
      </c>
      <c r="E1014">
        <v>88</v>
      </c>
      <c r="F1014">
        <v>88</v>
      </c>
      <c r="G1014" t="s">
        <v>39</v>
      </c>
      <c r="H1014" t="s">
        <v>39</v>
      </c>
      <c r="I1014" t="s">
        <v>53</v>
      </c>
      <c r="J1014" t="s">
        <v>20</v>
      </c>
      <c r="K1014" s="1">
        <v>46169</v>
      </c>
      <c r="L1014" s="1" t="str">
        <f>IF(K1014&gt;O1014,"Valid","Invalid")</f>
        <v>Valid</v>
      </c>
      <c r="M1014" s="1" t="b">
        <f>ISNUMBER(K1014)</f>
        <v>1</v>
      </c>
      <c r="N1014" s="1" t="b">
        <f>ISNUMBER(O1014)</f>
        <v>1</v>
      </c>
      <c r="O1014" s="1">
        <v>46139</v>
      </c>
      <c r="P1014" t="s">
        <v>3736</v>
      </c>
      <c r="Q1014" t="str">
        <f>SUBSTITUTE(SUBSTITUTE(SUBSTITUTE(P1014," ",""),"-",""),"+","")</f>
        <v>911773336981</v>
      </c>
      <c r="R1014" t="str">
        <f t="shared" si="30"/>
        <v>1773336981</v>
      </c>
      <c r="S1014" t="str">
        <f>IF(LEN(R1014),"Valid","Invalid")</f>
        <v>Valid</v>
      </c>
      <c r="T1014" t="s">
        <v>3735</v>
      </c>
      <c r="V1014" t="s">
        <v>57</v>
      </c>
      <c r="X1014">
        <v>11297.51</v>
      </c>
      <c r="Y1014" t="s">
        <v>26</v>
      </c>
      <c r="Z1014">
        <v>273</v>
      </c>
      <c r="AA1014">
        <f t="shared" si="31"/>
        <v>273</v>
      </c>
      <c r="AB1014" t="s">
        <v>43</v>
      </c>
    </row>
    <row r="1015" spans="1:28" x14ac:dyDescent="0.3">
      <c r="A1015" t="s">
        <v>3734</v>
      </c>
      <c r="B1015" t="s">
        <v>3733</v>
      </c>
      <c r="C1015" t="s">
        <v>3733</v>
      </c>
      <c r="D1015" t="s">
        <v>60</v>
      </c>
      <c r="E1015">
        <v>80</v>
      </c>
      <c r="F1015">
        <v>80</v>
      </c>
      <c r="G1015" t="s">
        <v>54</v>
      </c>
      <c r="H1015" t="s">
        <v>54</v>
      </c>
      <c r="I1015" t="s">
        <v>46</v>
      </c>
      <c r="J1015" t="s">
        <v>46</v>
      </c>
      <c r="K1015" s="1">
        <v>46046</v>
      </c>
      <c r="L1015" s="1" t="str">
        <f>IF(K1015&gt;O1015,"Valid","Invalid")</f>
        <v>Valid</v>
      </c>
      <c r="M1015" s="1" t="b">
        <f>ISNUMBER(K1015)</f>
        <v>1</v>
      </c>
      <c r="N1015" s="1" t="b">
        <f>ISNUMBER(O1015)</f>
        <v>1</v>
      </c>
      <c r="O1015" s="1">
        <v>46018</v>
      </c>
      <c r="P1015" t="s">
        <v>3732</v>
      </c>
      <c r="Q1015" t="str">
        <f>SUBSTITUTE(SUBSTITUTE(SUBSTITUTE(P1015," ",""),"-",""),"+","")</f>
        <v>09403260145</v>
      </c>
      <c r="R1015" t="str">
        <f t="shared" si="30"/>
        <v>9403260145</v>
      </c>
      <c r="S1015" t="str">
        <f>IF(LEN(R1015),"Valid","Invalid")</f>
        <v>Valid</v>
      </c>
      <c r="T1015" t="s">
        <v>3731</v>
      </c>
      <c r="V1015" t="s">
        <v>123</v>
      </c>
      <c r="X1015">
        <v>6129.94</v>
      </c>
      <c r="Y1015" t="s">
        <v>64</v>
      </c>
      <c r="Z1015">
        <v>178</v>
      </c>
      <c r="AA1015">
        <f t="shared" si="31"/>
        <v>178</v>
      </c>
      <c r="AB1015" t="s">
        <v>34</v>
      </c>
    </row>
    <row r="1016" spans="1:28" x14ac:dyDescent="0.3">
      <c r="A1016" t="s">
        <v>3730</v>
      </c>
      <c r="B1016" t="s">
        <v>3729</v>
      </c>
      <c r="C1016" t="s">
        <v>3729</v>
      </c>
      <c r="E1016">
        <v>13</v>
      </c>
      <c r="F1016">
        <v>13</v>
      </c>
      <c r="G1016" t="s">
        <v>47</v>
      </c>
      <c r="H1016" t="s">
        <v>47</v>
      </c>
      <c r="I1016" t="s">
        <v>53</v>
      </c>
      <c r="J1016" t="s">
        <v>20</v>
      </c>
      <c r="K1016" s="1">
        <v>46006</v>
      </c>
      <c r="L1016" s="1" t="str">
        <f>IF(K1016&gt;O1016,"Valid","Invalid")</f>
        <v>Valid</v>
      </c>
      <c r="M1016" s="1" t="b">
        <f>ISNUMBER(K1016)</f>
        <v>1</v>
      </c>
      <c r="N1016" s="1" t="b">
        <f>ISNUMBER(O1016)</f>
        <v>1</v>
      </c>
      <c r="O1016" s="1">
        <v>45982</v>
      </c>
      <c r="P1016" t="s">
        <v>3728</v>
      </c>
      <c r="Q1016" t="str">
        <f>SUBSTITUTE(SUBSTITUTE(SUBSTITUTE(P1016," ",""),"-",""),"+","")</f>
        <v>918409516332</v>
      </c>
      <c r="R1016" t="str">
        <f t="shared" si="30"/>
        <v>8409516332</v>
      </c>
      <c r="S1016" t="str">
        <f>IF(LEN(R1016),"Valid","Invalid")</f>
        <v>Valid</v>
      </c>
      <c r="T1016" t="s">
        <v>3727</v>
      </c>
      <c r="V1016" t="s">
        <v>26</v>
      </c>
      <c r="X1016">
        <v>13768.97</v>
      </c>
      <c r="Y1016" t="s">
        <v>64</v>
      </c>
      <c r="Z1016">
        <v>355</v>
      </c>
      <c r="AA1016">
        <f t="shared" si="31"/>
        <v>355</v>
      </c>
      <c r="AB1016" t="s">
        <v>77</v>
      </c>
    </row>
    <row r="1017" spans="1:28" x14ac:dyDescent="0.3">
      <c r="A1017" t="s">
        <v>3726</v>
      </c>
      <c r="B1017" t="s">
        <v>3725</v>
      </c>
      <c r="C1017" t="s">
        <v>3725</v>
      </c>
      <c r="E1017">
        <v>41</v>
      </c>
      <c r="F1017">
        <v>41</v>
      </c>
      <c r="G1017" t="s">
        <v>39</v>
      </c>
      <c r="H1017" t="s">
        <v>39</v>
      </c>
      <c r="I1017" t="s">
        <v>30</v>
      </c>
      <c r="J1017" t="s">
        <v>30</v>
      </c>
      <c r="K1017" s="1">
        <v>46023</v>
      </c>
      <c r="L1017" s="1" t="str">
        <f>IF(K1017&gt;O1017,"Valid","Invalid")</f>
        <v>Valid</v>
      </c>
      <c r="M1017" s="1" t="b">
        <f>ISNUMBER(K1017)</f>
        <v>1</v>
      </c>
      <c r="N1017" s="1" t="b">
        <f>ISNUMBER(O1017)</f>
        <v>1</v>
      </c>
      <c r="O1017" s="1">
        <v>46018</v>
      </c>
      <c r="P1017" t="s">
        <v>3724</v>
      </c>
      <c r="Q1017" t="str">
        <f>SUBSTITUTE(SUBSTITUTE(SUBSTITUTE(P1017," ",""),"-",""),"+","")</f>
        <v>911102234605</v>
      </c>
      <c r="R1017" t="str">
        <f t="shared" si="30"/>
        <v>1102234605</v>
      </c>
      <c r="S1017" t="str">
        <f>IF(LEN(R1017),"Valid","Invalid")</f>
        <v>Valid</v>
      </c>
      <c r="T1017" t="s">
        <v>3723</v>
      </c>
      <c r="V1017" t="s">
        <v>64</v>
      </c>
      <c r="X1017">
        <v>7146.91</v>
      </c>
      <c r="Y1017" t="s">
        <v>17</v>
      </c>
      <c r="Z1017">
        <v>280</v>
      </c>
      <c r="AA1017">
        <f t="shared" si="31"/>
        <v>280</v>
      </c>
      <c r="AB1017" t="s">
        <v>77</v>
      </c>
    </row>
    <row r="1018" spans="1:28" x14ac:dyDescent="0.3">
      <c r="A1018" t="s">
        <v>3722</v>
      </c>
      <c r="B1018" t="s">
        <v>3721</v>
      </c>
      <c r="C1018" t="s">
        <v>3721</v>
      </c>
      <c r="D1018" t="s">
        <v>74</v>
      </c>
      <c r="E1018">
        <v>23</v>
      </c>
      <c r="F1018">
        <v>23</v>
      </c>
      <c r="G1018" t="s">
        <v>68</v>
      </c>
      <c r="H1018" t="s">
        <v>68</v>
      </c>
      <c r="I1018" t="s">
        <v>30</v>
      </c>
      <c r="J1018" t="s">
        <v>30</v>
      </c>
      <c r="K1018" s="1">
        <v>46070</v>
      </c>
      <c r="L1018" s="1" t="str">
        <f>IF(K1018&gt;O1018,"Valid","Invalid")</f>
        <v>Valid</v>
      </c>
      <c r="M1018" s="1" t="b">
        <f>ISNUMBER(K1018)</f>
        <v>1</v>
      </c>
      <c r="N1018" s="1" t="b">
        <f>ISNUMBER(O1018)</f>
        <v>1</v>
      </c>
      <c r="O1018" s="1">
        <v>46055</v>
      </c>
      <c r="P1018" t="s">
        <v>3720</v>
      </c>
      <c r="Q1018" t="str">
        <f>SUBSTITUTE(SUBSTITUTE(SUBSTITUTE(P1018," ",""),"-",""),"+","")</f>
        <v>03391161613</v>
      </c>
      <c r="R1018" t="str">
        <f t="shared" si="30"/>
        <v>3391161613</v>
      </c>
      <c r="S1018" t="str">
        <f>IF(LEN(R1018),"Valid","Invalid")</f>
        <v>Valid</v>
      </c>
      <c r="T1018" t="s">
        <v>3719</v>
      </c>
      <c r="V1018" t="s">
        <v>26</v>
      </c>
      <c r="X1018">
        <v>19126.03</v>
      </c>
      <c r="Y1018" t="s">
        <v>123</v>
      </c>
      <c r="Z1018">
        <v>432</v>
      </c>
      <c r="AA1018">
        <f t="shared" si="31"/>
        <v>432</v>
      </c>
      <c r="AB1018" t="s">
        <v>71</v>
      </c>
    </row>
    <row r="1019" spans="1:28" x14ac:dyDescent="0.3">
      <c r="A1019" t="s">
        <v>3718</v>
      </c>
      <c r="B1019" t="s">
        <v>3717</v>
      </c>
      <c r="C1019" t="s">
        <v>3717</v>
      </c>
      <c r="D1019" t="s">
        <v>74</v>
      </c>
      <c r="E1019">
        <v>73</v>
      </c>
      <c r="F1019">
        <v>73</v>
      </c>
      <c r="G1019" t="s">
        <v>68</v>
      </c>
      <c r="H1019" t="s">
        <v>68</v>
      </c>
      <c r="I1019" t="s">
        <v>46</v>
      </c>
      <c r="J1019" t="s">
        <v>46</v>
      </c>
      <c r="K1019" s="1">
        <v>46096</v>
      </c>
      <c r="L1019" s="1" t="str">
        <f>IF(K1019&gt;O1019,"Valid","Invalid")</f>
        <v>Valid</v>
      </c>
      <c r="M1019" s="1" t="b">
        <f>ISNUMBER(K1019)</f>
        <v>1</v>
      </c>
      <c r="N1019" s="1" t="b">
        <f>ISNUMBER(O1019)</f>
        <v>1</v>
      </c>
      <c r="O1019" s="1">
        <v>46085</v>
      </c>
      <c r="P1019" t="s">
        <v>3716</v>
      </c>
      <c r="Q1019" t="str">
        <f>SUBSTITUTE(SUBSTITUTE(SUBSTITUTE(P1019," ",""),"-",""),"+","")</f>
        <v>8365821949</v>
      </c>
      <c r="R1019" t="str">
        <f t="shared" si="30"/>
        <v>8365821949</v>
      </c>
      <c r="S1019" t="str">
        <f>IF(LEN(R1019),"Valid","Invalid")</f>
        <v>Valid</v>
      </c>
      <c r="T1019" t="s">
        <v>3715</v>
      </c>
      <c r="V1019" t="s">
        <v>26</v>
      </c>
      <c r="X1019">
        <v>10143.290000000001</v>
      </c>
      <c r="Y1019" t="s">
        <v>26</v>
      </c>
      <c r="Z1019">
        <v>325</v>
      </c>
      <c r="AA1019">
        <f t="shared" si="31"/>
        <v>325</v>
      </c>
      <c r="AB1019" t="s">
        <v>43</v>
      </c>
    </row>
    <row r="1020" spans="1:28" x14ac:dyDescent="0.3">
      <c r="A1020" t="s">
        <v>3714</v>
      </c>
      <c r="B1020" t="s">
        <v>3713</v>
      </c>
      <c r="C1020" t="s">
        <v>3713</v>
      </c>
      <c r="D1020" t="s">
        <v>60</v>
      </c>
      <c r="E1020">
        <v>48</v>
      </c>
      <c r="F1020">
        <v>48</v>
      </c>
      <c r="G1020" t="s">
        <v>80</v>
      </c>
      <c r="H1020" t="s">
        <v>80</v>
      </c>
      <c r="I1020" t="s">
        <v>90</v>
      </c>
      <c r="J1020" t="s">
        <v>67</v>
      </c>
      <c r="K1020" s="1">
        <v>46059</v>
      </c>
      <c r="L1020" s="1" t="str">
        <f>IF(K1020&gt;O1020,"Valid","Invalid")</f>
        <v>Valid</v>
      </c>
      <c r="M1020" s="1" t="b">
        <f>ISNUMBER(K1020)</f>
        <v>1</v>
      </c>
      <c r="N1020" s="1" t="b">
        <f>ISNUMBER(O1020)</f>
        <v>1</v>
      </c>
      <c r="O1020" s="1">
        <v>46043</v>
      </c>
      <c r="P1020" t="s">
        <v>3712</v>
      </c>
      <c r="Q1020" t="str">
        <f>SUBSTITUTE(SUBSTITUTE(SUBSTITUTE(P1020," ",""),"-",""),"+","")</f>
        <v>01062541013</v>
      </c>
      <c r="R1020" t="str">
        <f t="shared" si="30"/>
        <v>1062541013</v>
      </c>
      <c r="S1020" t="str">
        <f>IF(LEN(R1020),"Valid","Invalid")</f>
        <v>Valid</v>
      </c>
      <c r="T1020" t="s">
        <v>3711</v>
      </c>
      <c r="V1020" t="s">
        <v>123</v>
      </c>
      <c r="X1020">
        <v>6718.12</v>
      </c>
      <c r="Y1020" t="s">
        <v>27</v>
      </c>
      <c r="Z1020">
        <v>417</v>
      </c>
      <c r="AA1020">
        <f t="shared" si="31"/>
        <v>417</v>
      </c>
      <c r="AB1020" t="s">
        <v>25</v>
      </c>
    </row>
    <row r="1021" spans="1:28" x14ac:dyDescent="0.3">
      <c r="A1021" t="s">
        <v>3710</v>
      </c>
      <c r="B1021" t="s">
        <v>3709</v>
      </c>
      <c r="C1021" t="s">
        <v>8058</v>
      </c>
      <c r="D1021" t="s">
        <v>40</v>
      </c>
      <c r="E1021">
        <v>32</v>
      </c>
      <c r="F1021">
        <v>32</v>
      </c>
      <c r="G1021" t="s">
        <v>3708</v>
      </c>
      <c r="H1021" t="s">
        <v>3708</v>
      </c>
      <c r="I1021" t="s">
        <v>53</v>
      </c>
      <c r="J1021" t="s">
        <v>20</v>
      </c>
      <c r="K1021" s="1">
        <v>46173</v>
      </c>
      <c r="L1021" s="1" t="str">
        <f>IF(K1021&gt;O1021,"Valid","Invalid")</f>
        <v>Valid</v>
      </c>
      <c r="M1021" s="1" t="b">
        <f>ISNUMBER(K1021)</f>
        <v>1</v>
      </c>
      <c r="N1021" s="1" t="b">
        <f>ISNUMBER(O1021)</f>
        <v>1</v>
      </c>
      <c r="O1021" s="1">
        <v>46146</v>
      </c>
      <c r="P1021" t="s">
        <v>3707</v>
      </c>
      <c r="Q1021" t="str">
        <f>SUBSTITUTE(SUBSTITUTE(SUBSTITUTE(P1021," ",""),"-",""),"+","")</f>
        <v>05335065232</v>
      </c>
      <c r="R1021" t="str">
        <f t="shared" si="30"/>
        <v>5335065232</v>
      </c>
      <c r="S1021" t="str">
        <f>IF(LEN(R1021),"Valid","Invalid")</f>
        <v>Valid</v>
      </c>
      <c r="T1021" t="s">
        <v>3706</v>
      </c>
      <c r="V1021" t="s">
        <v>64</v>
      </c>
      <c r="X1021">
        <v>7408.38</v>
      </c>
      <c r="Y1021" t="s">
        <v>26</v>
      </c>
      <c r="Z1021">
        <v>391</v>
      </c>
      <c r="AA1021">
        <f t="shared" si="31"/>
        <v>391</v>
      </c>
      <c r="AB1021" t="s">
        <v>16</v>
      </c>
    </row>
    <row r="1022" spans="1:28" x14ac:dyDescent="0.3">
      <c r="A1022" t="s">
        <v>3705</v>
      </c>
      <c r="B1022" t="s">
        <v>3704</v>
      </c>
      <c r="C1022" t="s">
        <v>3704</v>
      </c>
      <c r="D1022" t="s">
        <v>74</v>
      </c>
      <c r="E1022">
        <v>29</v>
      </c>
      <c r="F1022">
        <v>29</v>
      </c>
      <c r="G1022" t="s">
        <v>54</v>
      </c>
      <c r="H1022" t="s">
        <v>54</v>
      </c>
      <c r="I1022" t="s">
        <v>85</v>
      </c>
      <c r="J1022" t="s">
        <v>85</v>
      </c>
      <c r="K1022" s="1">
        <v>46080</v>
      </c>
      <c r="L1022" s="1" t="str">
        <f>IF(K1022&gt;O1022,"Valid","Invalid")</f>
        <v>Valid</v>
      </c>
      <c r="M1022" s="1" t="b">
        <f>ISNUMBER(K1022)</f>
        <v>1</v>
      </c>
      <c r="N1022" s="1" t="b">
        <f>ISNUMBER(O1022)</f>
        <v>1</v>
      </c>
      <c r="O1022" s="1">
        <v>46059</v>
      </c>
      <c r="P1022" t="s">
        <v>3703</v>
      </c>
      <c r="Q1022" t="str">
        <f>SUBSTITUTE(SUBSTITUTE(SUBSTITUTE(P1022," ",""),"-",""),"+","")</f>
        <v>3963545883</v>
      </c>
      <c r="R1022" t="str">
        <f t="shared" si="30"/>
        <v>3963545883</v>
      </c>
      <c r="S1022" t="str">
        <f>IF(LEN(R1022),"Valid","Invalid")</f>
        <v>Valid</v>
      </c>
      <c r="T1022" t="s">
        <v>3702</v>
      </c>
      <c r="V1022" t="s">
        <v>64</v>
      </c>
      <c r="X1022">
        <v>8853.66</v>
      </c>
      <c r="Y1022" t="s">
        <v>123</v>
      </c>
      <c r="Z1022">
        <v>428</v>
      </c>
      <c r="AA1022">
        <f t="shared" si="31"/>
        <v>428</v>
      </c>
      <c r="AB1022" t="s">
        <v>34</v>
      </c>
    </row>
    <row r="1023" spans="1:28" x14ac:dyDescent="0.3">
      <c r="A1023" t="s">
        <v>3701</v>
      </c>
      <c r="B1023" t="s">
        <v>3700</v>
      </c>
      <c r="C1023" t="s">
        <v>3700</v>
      </c>
      <c r="E1023">
        <v>14</v>
      </c>
      <c r="F1023">
        <v>14</v>
      </c>
      <c r="G1023" t="s">
        <v>80</v>
      </c>
      <c r="H1023" t="s">
        <v>80</v>
      </c>
      <c r="I1023" t="s">
        <v>53</v>
      </c>
      <c r="J1023" t="s">
        <v>20</v>
      </c>
      <c r="K1023" s="1">
        <v>46030</v>
      </c>
      <c r="L1023" s="1" t="str">
        <f>IF(K1023&gt;O1023,"Valid","Invalid")</f>
        <v>Valid</v>
      </c>
      <c r="M1023" s="1" t="b">
        <f>ISNUMBER(K1023)</f>
        <v>1</v>
      </c>
      <c r="N1023" s="1" t="b">
        <f>ISNUMBER(O1023)</f>
        <v>1</v>
      </c>
      <c r="O1023" s="1">
        <v>46007</v>
      </c>
      <c r="P1023" t="s">
        <v>3699</v>
      </c>
      <c r="Q1023" t="str">
        <f>SUBSTITUTE(SUBSTITUTE(SUBSTITUTE(P1023," ",""),"-",""),"+","")</f>
        <v>1531881648</v>
      </c>
      <c r="R1023" t="str">
        <f t="shared" si="30"/>
        <v>1531881648</v>
      </c>
      <c r="S1023" t="str">
        <f>IF(LEN(R1023),"Valid","Invalid")</f>
        <v>Valid</v>
      </c>
      <c r="T1023" t="s">
        <v>3698</v>
      </c>
      <c r="V1023" t="s">
        <v>64</v>
      </c>
      <c r="X1023">
        <v>22953.02</v>
      </c>
      <c r="Y1023" t="s">
        <v>123</v>
      </c>
      <c r="Z1023">
        <v>493</v>
      </c>
      <c r="AA1023">
        <f t="shared" si="31"/>
        <v>493</v>
      </c>
      <c r="AB1023" t="s">
        <v>16</v>
      </c>
    </row>
    <row r="1024" spans="1:28" x14ac:dyDescent="0.3">
      <c r="A1024" t="s">
        <v>3697</v>
      </c>
      <c r="B1024" t="s">
        <v>3696</v>
      </c>
      <c r="C1024" t="s">
        <v>3696</v>
      </c>
      <c r="D1024" t="s">
        <v>1</v>
      </c>
      <c r="E1024">
        <v>52</v>
      </c>
      <c r="F1024">
        <v>52</v>
      </c>
      <c r="G1024" t="s">
        <v>31</v>
      </c>
      <c r="H1024" t="s">
        <v>31</v>
      </c>
      <c r="I1024" t="s">
        <v>20</v>
      </c>
      <c r="J1024" t="s">
        <v>20</v>
      </c>
      <c r="K1024" s="1">
        <v>46000</v>
      </c>
      <c r="L1024" s="1" t="str">
        <f>IF(K1024&gt;O1024,"Valid","Invalid")</f>
        <v>Valid</v>
      </c>
      <c r="M1024" s="1" t="b">
        <f>ISNUMBER(K1024)</f>
        <v>1</v>
      </c>
      <c r="N1024" s="1" t="b">
        <f>ISNUMBER(O1024)</f>
        <v>1</v>
      </c>
      <c r="O1024" s="1">
        <v>45990</v>
      </c>
      <c r="P1024" t="s">
        <v>3695</v>
      </c>
      <c r="Q1024" t="str">
        <f>SUBSTITUTE(SUBSTITUTE(SUBSTITUTE(P1024," ",""),"-",""),"+","")</f>
        <v>9479334483</v>
      </c>
      <c r="R1024" t="str">
        <f t="shared" si="30"/>
        <v>9479334483</v>
      </c>
      <c r="S1024" t="str">
        <f>IF(LEN(R1024),"Valid","Invalid")</f>
        <v>Valid</v>
      </c>
      <c r="T1024" t="s">
        <v>3694</v>
      </c>
      <c r="V1024" t="s">
        <v>57</v>
      </c>
      <c r="X1024">
        <v>24911.67</v>
      </c>
      <c r="Y1024" t="s">
        <v>123</v>
      </c>
      <c r="Z1024">
        <v>208</v>
      </c>
      <c r="AA1024">
        <f t="shared" si="31"/>
        <v>208</v>
      </c>
      <c r="AB1024" t="s">
        <v>25</v>
      </c>
    </row>
    <row r="1025" spans="1:28" x14ac:dyDescent="0.3">
      <c r="A1025" t="s">
        <v>3693</v>
      </c>
      <c r="B1025" t="s">
        <v>3692</v>
      </c>
      <c r="C1025" t="s">
        <v>3692</v>
      </c>
      <c r="E1025">
        <v>15</v>
      </c>
      <c r="F1025">
        <v>15</v>
      </c>
      <c r="G1025" t="s">
        <v>132</v>
      </c>
      <c r="H1025" t="s">
        <v>132</v>
      </c>
      <c r="I1025" t="s">
        <v>85</v>
      </c>
      <c r="J1025" t="s">
        <v>85</v>
      </c>
      <c r="K1025" s="1">
        <v>46137</v>
      </c>
      <c r="L1025" s="1" t="str">
        <f>IF(K1025&gt;O1025,"Valid","Invalid")</f>
        <v>Valid</v>
      </c>
      <c r="M1025" s="1" t="b">
        <f>ISNUMBER(K1025)</f>
        <v>1</v>
      </c>
      <c r="N1025" s="1" t="b">
        <f>ISNUMBER(O1025)</f>
        <v>1</v>
      </c>
      <c r="O1025" s="1">
        <v>46136</v>
      </c>
      <c r="P1025" t="s">
        <v>3691</v>
      </c>
      <c r="Q1025" t="str">
        <f>SUBSTITUTE(SUBSTITUTE(SUBSTITUTE(P1025," ",""),"-",""),"+","")</f>
        <v>916452818167</v>
      </c>
      <c r="R1025" t="str">
        <f t="shared" si="30"/>
        <v>6452818167</v>
      </c>
      <c r="S1025" t="str">
        <f>IF(LEN(R1025),"Valid","Invalid")</f>
        <v>Valid</v>
      </c>
      <c r="T1025" t="s">
        <v>3690</v>
      </c>
      <c r="V1025" t="s">
        <v>35</v>
      </c>
      <c r="X1025">
        <v>23723.64</v>
      </c>
      <c r="Y1025" t="s">
        <v>26</v>
      </c>
      <c r="Z1025">
        <v>427</v>
      </c>
      <c r="AA1025">
        <f t="shared" si="31"/>
        <v>427</v>
      </c>
      <c r="AB1025" t="s">
        <v>71</v>
      </c>
    </row>
    <row r="1026" spans="1:28" x14ac:dyDescent="0.3">
      <c r="A1026" t="s">
        <v>3685</v>
      </c>
      <c r="B1026" t="s">
        <v>3684</v>
      </c>
      <c r="C1026" t="s">
        <v>3684</v>
      </c>
      <c r="D1026" t="s">
        <v>1</v>
      </c>
      <c r="E1026">
        <v>3</v>
      </c>
      <c r="F1026">
        <v>3</v>
      </c>
      <c r="G1026" t="s">
        <v>54</v>
      </c>
      <c r="H1026" t="s">
        <v>54</v>
      </c>
      <c r="I1026" t="s">
        <v>30</v>
      </c>
      <c r="J1026" t="s">
        <v>30</v>
      </c>
      <c r="K1026" s="1">
        <v>46008</v>
      </c>
      <c r="L1026" s="1" t="str">
        <f>IF(K1026&gt;O1026,"Valid","Invalid")</f>
        <v>Valid</v>
      </c>
      <c r="M1026" s="1" t="b">
        <f>ISNUMBER(K1026)</f>
        <v>1</v>
      </c>
      <c r="N1026" s="1" t="b">
        <f>ISNUMBER(O1026)</f>
        <v>1</v>
      </c>
      <c r="O1026" s="1">
        <v>46000</v>
      </c>
      <c r="P1026" t="s">
        <v>3683</v>
      </c>
      <c r="Q1026" t="str">
        <f>SUBSTITUTE(SUBSTITUTE(SUBSTITUTE(P1026," ",""),"-",""),"+","")</f>
        <v>8116734796</v>
      </c>
      <c r="R1026" t="str">
        <f t="shared" si="30"/>
        <v>8116734796</v>
      </c>
      <c r="S1026" t="str">
        <f>IF(LEN(R1026),"Valid","Invalid")</f>
        <v>Valid</v>
      </c>
      <c r="T1026" t="s">
        <v>3682</v>
      </c>
      <c r="V1026" t="s">
        <v>35</v>
      </c>
      <c r="X1026">
        <v>2273.06</v>
      </c>
      <c r="Y1026" t="s">
        <v>64</v>
      </c>
      <c r="Z1026">
        <v>240</v>
      </c>
      <c r="AA1026">
        <f t="shared" si="31"/>
        <v>240</v>
      </c>
      <c r="AB1026" t="s">
        <v>16</v>
      </c>
    </row>
    <row r="1027" spans="1:28" x14ac:dyDescent="0.3">
      <c r="A1027" t="s">
        <v>3681</v>
      </c>
      <c r="B1027" t="s">
        <v>3680</v>
      </c>
      <c r="C1027" t="s">
        <v>3680</v>
      </c>
      <c r="D1027" t="s">
        <v>74</v>
      </c>
      <c r="E1027">
        <v>39</v>
      </c>
      <c r="F1027">
        <v>39</v>
      </c>
      <c r="G1027" t="s">
        <v>68</v>
      </c>
      <c r="H1027" t="s">
        <v>68</v>
      </c>
      <c r="I1027" t="s">
        <v>90</v>
      </c>
      <c r="J1027" t="s">
        <v>67</v>
      </c>
      <c r="K1027" s="1">
        <v>46088</v>
      </c>
      <c r="L1027" s="1" t="str">
        <f>IF(K1027&gt;O1027,"Valid","Invalid")</f>
        <v>Valid</v>
      </c>
      <c r="M1027" s="1" t="b">
        <f>ISNUMBER(K1027)</f>
        <v>1</v>
      </c>
      <c r="N1027" s="1" t="b">
        <f>ISNUMBER(O1027)</f>
        <v>1</v>
      </c>
      <c r="O1027" s="1">
        <v>46072</v>
      </c>
      <c r="P1027" t="s">
        <v>3679</v>
      </c>
      <c r="Q1027" t="str">
        <f>SUBSTITUTE(SUBSTITUTE(SUBSTITUTE(P1027," ",""),"-",""),"+","")</f>
        <v>1090695959</v>
      </c>
      <c r="R1027" t="str">
        <f t="shared" si="30"/>
        <v>1090695959</v>
      </c>
      <c r="S1027" t="str">
        <f>IF(LEN(R1027),"Valid","Invalid")</f>
        <v>Valid</v>
      </c>
      <c r="T1027" t="s">
        <v>3678</v>
      </c>
      <c r="V1027" t="s">
        <v>17</v>
      </c>
      <c r="X1027">
        <v>16807.18</v>
      </c>
      <c r="Y1027" t="s">
        <v>63</v>
      </c>
      <c r="Z1027">
        <v>194</v>
      </c>
      <c r="AA1027">
        <f t="shared" si="31"/>
        <v>194</v>
      </c>
      <c r="AB1027" t="s">
        <v>50</v>
      </c>
    </row>
    <row r="1028" spans="1:28" x14ac:dyDescent="0.3">
      <c r="A1028" t="s">
        <v>3677</v>
      </c>
      <c r="B1028" t="s">
        <v>3676</v>
      </c>
      <c r="C1028" t="s">
        <v>3676</v>
      </c>
      <c r="D1028" t="s">
        <v>40</v>
      </c>
      <c r="E1028">
        <v>12</v>
      </c>
      <c r="F1028">
        <v>12</v>
      </c>
      <c r="G1028" t="s">
        <v>54</v>
      </c>
      <c r="H1028" t="s">
        <v>54</v>
      </c>
      <c r="I1028" t="s">
        <v>67</v>
      </c>
      <c r="J1028" t="s">
        <v>67</v>
      </c>
      <c r="K1028" s="1">
        <v>46081</v>
      </c>
      <c r="L1028" s="1" t="str">
        <f>IF(K1028&gt;O1028,"Valid","Invalid")</f>
        <v>Valid</v>
      </c>
      <c r="M1028" s="1" t="b">
        <f>ISNUMBER(K1028)</f>
        <v>1</v>
      </c>
      <c r="N1028" s="1" t="b">
        <f>ISNUMBER(O1028)</f>
        <v>1</v>
      </c>
      <c r="O1028" s="1">
        <v>46051</v>
      </c>
      <c r="P1028" t="s">
        <v>3675</v>
      </c>
      <c r="Q1028" t="str">
        <f>SUBSTITUTE(SUBSTITUTE(SUBSTITUTE(P1028," ",""),"-",""),"+","")</f>
        <v>917516060642</v>
      </c>
      <c r="R1028" t="str">
        <f t="shared" si="30"/>
        <v>7516060642</v>
      </c>
      <c r="S1028" t="str">
        <f>IF(LEN(R1028),"Valid","Invalid")</f>
        <v>Valid</v>
      </c>
      <c r="T1028" t="s">
        <v>3674</v>
      </c>
      <c r="V1028" t="s">
        <v>26</v>
      </c>
      <c r="X1028">
        <v>4280.43</v>
      </c>
      <c r="Y1028" t="s">
        <v>17</v>
      </c>
      <c r="Z1028">
        <v>314</v>
      </c>
      <c r="AA1028">
        <f t="shared" si="31"/>
        <v>314</v>
      </c>
      <c r="AB1028" t="s">
        <v>16</v>
      </c>
    </row>
    <row r="1029" spans="1:28" x14ac:dyDescent="0.3">
      <c r="A1029" t="s">
        <v>3673</v>
      </c>
      <c r="B1029" t="s">
        <v>3672</v>
      </c>
      <c r="C1029" t="s">
        <v>3672</v>
      </c>
      <c r="E1029">
        <v>69</v>
      </c>
      <c r="F1029">
        <v>69</v>
      </c>
      <c r="G1029" t="s">
        <v>39</v>
      </c>
      <c r="H1029" t="s">
        <v>39</v>
      </c>
      <c r="I1029" t="s">
        <v>90</v>
      </c>
      <c r="J1029" t="s">
        <v>67</v>
      </c>
      <c r="K1029" s="1">
        <v>46065</v>
      </c>
      <c r="L1029" s="1" t="str">
        <f>IF(K1029&gt;O1029,"Valid","Invalid")</f>
        <v>Valid</v>
      </c>
      <c r="M1029" s="1" t="b">
        <f>ISNUMBER(K1029)</f>
        <v>1</v>
      </c>
      <c r="N1029" s="1" t="b">
        <f>ISNUMBER(O1029)</f>
        <v>1</v>
      </c>
      <c r="O1029" s="1">
        <v>46054</v>
      </c>
      <c r="P1029" t="s">
        <v>3671</v>
      </c>
      <c r="Q1029" t="str">
        <f>SUBSTITUTE(SUBSTITUTE(SUBSTITUTE(P1029," ",""),"-",""),"+","")</f>
        <v>8821908730</v>
      </c>
      <c r="R1029" t="str">
        <f t="shared" ref="R1029:R1092" si="32">RIGHT(Q1029,10)</f>
        <v>8821908730</v>
      </c>
      <c r="S1029" t="str">
        <f>IF(LEN(R1029),"Valid","Invalid")</f>
        <v>Valid</v>
      </c>
      <c r="T1029" t="s">
        <v>3670</v>
      </c>
      <c r="V1029" t="s">
        <v>123</v>
      </c>
      <c r="X1029">
        <v>20610.79</v>
      </c>
      <c r="Y1029" t="s">
        <v>57</v>
      </c>
      <c r="Z1029">
        <v>139</v>
      </c>
      <c r="AA1029">
        <f t="shared" ref="AA1029:AA1092" si="33">IF(Z1029="Room-x",0,Z1029)</f>
        <v>139</v>
      </c>
      <c r="AB1029" t="s">
        <v>25</v>
      </c>
    </row>
    <row r="1030" spans="1:28" x14ac:dyDescent="0.3">
      <c r="A1030" t="s">
        <v>3669</v>
      </c>
      <c r="B1030" t="s">
        <v>3668</v>
      </c>
      <c r="C1030" t="s">
        <v>3668</v>
      </c>
      <c r="D1030" t="s">
        <v>0</v>
      </c>
      <c r="E1030">
        <v>42</v>
      </c>
      <c r="F1030">
        <v>42</v>
      </c>
      <c r="G1030" t="s">
        <v>31</v>
      </c>
      <c r="H1030" t="s">
        <v>31</v>
      </c>
      <c r="I1030" t="s">
        <v>46</v>
      </c>
      <c r="J1030" t="s">
        <v>46</v>
      </c>
      <c r="K1030" s="1">
        <v>46133</v>
      </c>
      <c r="L1030" s="1" t="str">
        <f>IF(K1030&gt;O1030,"Valid","Invalid")</f>
        <v>Valid</v>
      </c>
      <c r="M1030" s="1" t="b">
        <f>ISNUMBER(K1030)</f>
        <v>1</v>
      </c>
      <c r="N1030" s="1" t="b">
        <f>ISNUMBER(O1030)</f>
        <v>1</v>
      </c>
      <c r="O1030" s="1">
        <v>46129</v>
      </c>
      <c r="P1030" t="s">
        <v>3667</v>
      </c>
      <c r="Q1030" t="str">
        <f>SUBSTITUTE(SUBSTITUTE(SUBSTITUTE(P1030," ",""),"-",""),"+","")</f>
        <v>2989717242</v>
      </c>
      <c r="R1030" t="str">
        <f t="shared" si="32"/>
        <v>2989717242</v>
      </c>
      <c r="S1030" t="str">
        <f>IF(LEN(R1030),"Valid","Invalid")</f>
        <v>Valid</v>
      </c>
      <c r="T1030" t="s">
        <v>3666</v>
      </c>
      <c r="V1030" t="s">
        <v>123</v>
      </c>
      <c r="X1030">
        <v>23358.720000000001</v>
      </c>
      <c r="Y1030" t="s">
        <v>123</v>
      </c>
      <c r="Z1030">
        <v>542</v>
      </c>
      <c r="AA1030">
        <f t="shared" si="33"/>
        <v>542</v>
      </c>
      <c r="AB1030" t="s">
        <v>43</v>
      </c>
    </row>
    <row r="1031" spans="1:28" x14ac:dyDescent="0.3">
      <c r="A1031" t="s">
        <v>3665</v>
      </c>
      <c r="B1031" t="s">
        <v>3664</v>
      </c>
      <c r="C1031" t="s">
        <v>3664</v>
      </c>
      <c r="D1031" t="s">
        <v>74</v>
      </c>
      <c r="E1031">
        <v>87</v>
      </c>
      <c r="F1031">
        <v>87</v>
      </c>
      <c r="G1031" t="s">
        <v>54</v>
      </c>
      <c r="H1031" t="s">
        <v>54</v>
      </c>
      <c r="I1031" t="s">
        <v>30</v>
      </c>
      <c r="J1031" t="s">
        <v>30</v>
      </c>
      <c r="K1031" s="1">
        <v>46008</v>
      </c>
      <c r="L1031" s="1" t="str">
        <f>IF(K1031&gt;O1031,"Valid","Invalid")</f>
        <v>Valid</v>
      </c>
      <c r="M1031" s="1" t="b">
        <f>ISNUMBER(K1031)</f>
        <v>1</v>
      </c>
      <c r="N1031" s="1" t="b">
        <f>ISNUMBER(O1031)</f>
        <v>1</v>
      </c>
      <c r="O1031" s="1">
        <v>45992</v>
      </c>
      <c r="P1031" t="s">
        <v>3663</v>
      </c>
      <c r="Q1031" t="str">
        <f>SUBSTITUTE(SUBSTITUTE(SUBSTITUTE(P1031," ",""),"-",""),"+","")</f>
        <v>00743383478</v>
      </c>
      <c r="R1031" t="str">
        <f t="shared" si="32"/>
        <v>0743383478</v>
      </c>
      <c r="S1031" t="str">
        <f>IF(LEN(R1031),"Valid","Invalid")</f>
        <v>Valid</v>
      </c>
      <c r="T1031" t="s">
        <v>3662</v>
      </c>
      <c r="V1031" t="s">
        <v>27</v>
      </c>
      <c r="X1031">
        <v>24708.32</v>
      </c>
      <c r="Y1031" t="s">
        <v>26</v>
      </c>
      <c r="Z1031">
        <v>424</v>
      </c>
      <c r="AA1031">
        <f t="shared" si="33"/>
        <v>424</v>
      </c>
      <c r="AB1031" t="s">
        <v>16</v>
      </c>
    </row>
    <row r="1032" spans="1:28" x14ac:dyDescent="0.3">
      <c r="A1032" t="s">
        <v>3661</v>
      </c>
      <c r="B1032" t="s">
        <v>3660</v>
      </c>
      <c r="C1032" t="s">
        <v>3660</v>
      </c>
      <c r="D1032" t="s">
        <v>74</v>
      </c>
      <c r="E1032">
        <v>5</v>
      </c>
      <c r="F1032">
        <v>5</v>
      </c>
      <c r="G1032" t="s">
        <v>21</v>
      </c>
      <c r="H1032" t="s">
        <v>21</v>
      </c>
      <c r="I1032" t="s">
        <v>38</v>
      </c>
      <c r="J1032" t="s">
        <v>8077</v>
      </c>
      <c r="K1032" s="1">
        <v>46157</v>
      </c>
      <c r="L1032" s="1" t="str">
        <f>IF(K1032&gt;O1032,"Valid","Invalid")</f>
        <v>Valid</v>
      </c>
      <c r="M1032" s="1" t="b">
        <f>ISNUMBER(K1032)</f>
        <v>1</v>
      </c>
      <c r="N1032" s="1" t="b">
        <f>ISNUMBER(O1032)</f>
        <v>1</v>
      </c>
      <c r="O1032" s="1">
        <v>46144</v>
      </c>
      <c r="P1032" t="s">
        <v>3659</v>
      </c>
      <c r="Q1032" t="str">
        <f>SUBSTITUTE(SUBSTITUTE(SUBSTITUTE(P1032," ",""),"-",""),"+","")</f>
        <v>3703350099</v>
      </c>
      <c r="R1032" t="str">
        <f t="shared" si="32"/>
        <v>3703350099</v>
      </c>
      <c r="S1032" t="str">
        <f>IF(LEN(R1032),"Valid","Invalid")</f>
        <v>Valid</v>
      </c>
      <c r="T1032" t="s">
        <v>3658</v>
      </c>
      <c r="V1032" t="s">
        <v>35</v>
      </c>
      <c r="X1032">
        <v>15103.4</v>
      </c>
      <c r="Y1032" t="s">
        <v>57</v>
      </c>
      <c r="Z1032">
        <v>278</v>
      </c>
      <c r="AA1032">
        <f t="shared" si="33"/>
        <v>278</v>
      </c>
      <c r="AB1032" t="s">
        <v>71</v>
      </c>
    </row>
    <row r="1033" spans="1:28" x14ac:dyDescent="0.3">
      <c r="A1033" t="s">
        <v>3657</v>
      </c>
      <c r="B1033" t="s">
        <v>3656</v>
      </c>
      <c r="C1033" t="s">
        <v>3656</v>
      </c>
      <c r="D1033" t="s">
        <v>1</v>
      </c>
      <c r="E1033">
        <v>87</v>
      </c>
      <c r="F1033">
        <v>87</v>
      </c>
      <c r="G1033" t="s">
        <v>47</v>
      </c>
      <c r="H1033" t="s">
        <v>47</v>
      </c>
      <c r="I1033" t="s">
        <v>67</v>
      </c>
      <c r="J1033" t="s">
        <v>67</v>
      </c>
      <c r="K1033" s="1">
        <v>46018</v>
      </c>
      <c r="L1033" s="1" t="str">
        <f>IF(K1033&gt;O1033,"Valid","Invalid")</f>
        <v>Valid</v>
      </c>
      <c r="M1033" s="1" t="b">
        <f>ISNUMBER(K1033)</f>
        <v>1</v>
      </c>
      <c r="N1033" s="1" t="b">
        <f>ISNUMBER(O1033)</f>
        <v>1</v>
      </c>
      <c r="O1033" s="1">
        <v>45992</v>
      </c>
      <c r="P1033" t="s">
        <v>3655</v>
      </c>
      <c r="Q1033" t="str">
        <f>SUBSTITUTE(SUBSTITUTE(SUBSTITUTE(P1033," ",""),"-",""),"+","")</f>
        <v>914265046961</v>
      </c>
      <c r="R1033" t="str">
        <f t="shared" si="32"/>
        <v>4265046961</v>
      </c>
      <c r="S1033" t="str">
        <f>IF(LEN(R1033),"Valid","Invalid")</f>
        <v>Valid</v>
      </c>
      <c r="T1033" t="s">
        <v>3654</v>
      </c>
      <c r="V1033" t="s">
        <v>57</v>
      </c>
      <c r="X1033">
        <v>601.54</v>
      </c>
      <c r="Y1033" t="s">
        <v>63</v>
      </c>
      <c r="Z1033">
        <v>357</v>
      </c>
      <c r="AA1033">
        <f t="shared" si="33"/>
        <v>357</v>
      </c>
      <c r="AB1033" t="s">
        <v>50</v>
      </c>
    </row>
    <row r="1034" spans="1:28" x14ac:dyDescent="0.3">
      <c r="A1034" t="s">
        <v>3653</v>
      </c>
      <c r="B1034" t="s">
        <v>3652</v>
      </c>
      <c r="C1034" t="s">
        <v>8059</v>
      </c>
      <c r="D1034" t="s">
        <v>74</v>
      </c>
      <c r="E1034">
        <v>90</v>
      </c>
      <c r="F1034">
        <v>90</v>
      </c>
      <c r="G1034" t="s">
        <v>68</v>
      </c>
      <c r="H1034" t="s">
        <v>68</v>
      </c>
      <c r="I1034" t="s">
        <v>85</v>
      </c>
      <c r="J1034" t="s">
        <v>85</v>
      </c>
      <c r="K1034" s="1">
        <v>46059</v>
      </c>
      <c r="L1034" s="1" t="str">
        <f>IF(K1034&gt;O1034,"Valid","Invalid")</f>
        <v>Valid</v>
      </c>
      <c r="M1034" s="1" t="b">
        <f>ISNUMBER(K1034)</f>
        <v>1</v>
      </c>
      <c r="N1034" s="1" t="b">
        <f>ISNUMBER(O1034)</f>
        <v>1</v>
      </c>
      <c r="O1034" s="1">
        <v>46046</v>
      </c>
      <c r="P1034" t="s">
        <v>3651</v>
      </c>
      <c r="Q1034" t="str">
        <f>SUBSTITUTE(SUBSTITUTE(SUBSTITUTE(P1034," ",""),"-",""),"+","")</f>
        <v>03745910029</v>
      </c>
      <c r="R1034" t="str">
        <f t="shared" si="32"/>
        <v>3745910029</v>
      </c>
      <c r="S1034" t="str">
        <f>IF(LEN(R1034),"Valid","Invalid")</f>
        <v>Valid</v>
      </c>
      <c r="T1034" t="s">
        <v>3650</v>
      </c>
      <c r="V1034" t="s">
        <v>123</v>
      </c>
      <c r="X1034">
        <v>8922.8799999999992</v>
      </c>
      <c r="Y1034" t="s">
        <v>123</v>
      </c>
      <c r="Z1034">
        <v>367</v>
      </c>
      <c r="AA1034">
        <f t="shared" si="33"/>
        <v>367</v>
      </c>
      <c r="AB1034" t="s">
        <v>50</v>
      </c>
    </row>
    <row r="1035" spans="1:28" x14ac:dyDescent="0.3">
      <c r="A1035" t="s">
        <v>3649</v>
      </c>
      <c r="B1035" t="s">
        <v>3648</v>
      </c>
      <c r="C1035" t="s">
        <v>8060</v>
      </c>
      <c r="D1035" t="s">
        <v>60</v>
      </c>
      <c r="E1035">
        <v>15</v>
      </c>
      <c r="F1035">
        <v>15</v>
      </c>
      <c r="G1035" t="s">
        <v>39</v>
      </c>
      <c r="H1035" t="s">
        <v>39</v>
      </c>
      <c r="I1035" t="s">
        <v>85</v>
      </c>
      <c r="J1035" t="s">
        <v>85</v>
      </c>
      <c r="K1035" s="1">
        <v>46029</v>
      </c>
      <c r="L1035" s="1" t="str">
        <f>IF(K1035&gt;O1035,"Valid","Invalid")</f>
        <v>Valid</v>
      </c>
      <c r="M1035" s="1" t="b">
        <f>ISNUMBER(K1035)</f>
        <v>1</v>
      </c>
      <c r="N1035" s="1" t="b">
        <f>ISNUMBER(O1035)</f>
        <v>1</v>
      </c>
      <c r="O1035" s="1">
        <v>46016</v>
      </c>
      <c r="P1035" t="s">
        <v>3647</v>
      </c>
      <c r="Q1035" t="str">
        <f>SUBSTITUTE(SUBSTITUTE(SUBSTITUTE(P1035," ",""),"-",""),"+","")</f>
        <v>04425654971</v>
      </c>
      <c r="R1035" t="str">
        <f t="shared" si="32"/>
        <v>4425654971</v>
      </c>
      <c r="S1035" t="str">
        <f>IF(LEN(R1035),"Valid","Invalid")</f>
        <v>Valid</v>
      </c>
      <c r="T1035" t="s">
        <v>3646</v>
      </c>
      <c r="V1035" t="s">
        <v>57</v>
      </c>
      <c r="X1035">
        <v>4587</v>
      </c>
      <c r="Y1035" t="s">
        <v>26</v>
      </c>
      <c r="Z1035">
        <v>377</v>
      </c>
      <c r="AA1035">
        <f t="shared" si="33"/>
        <v>377</v>
      </c>
      <c r="AB1035" t="s">
        <v>16</v>
      </c>
    </row>
    <row r="1036" spans="1:28" x14ac:dyDescent="0.3">
      <c r="A1036" t="s">
        <v>3645</v>
      </c>
      <c r="B1036" t="s">
        <v>3644</v>
      </c>
      <c r="C1036" t="s">
        <v>3644</v>
      </c>
      <c r="D1036" t="s">
        <v>123</v>
      </c>
      <c r="E1036">
        <v>37</v>
      </c>
      <c r="F1036">
        <v>37</v>
      </c>
      <c r="G1036" t="s">
        <v>54</v>
      </c>
      <c r="H1036" t="s">
        <v>54</v>
      </c>
      <c r="I1036" t="s">
        <v>30</v>
      </c>
      <c r="J1036" t="s">
        <v>30</v>
      </c>
      <c r="K1036" s="1">
        <v>46076</v>
      </c>
      <c r="L1036" s="1" t="str">
        <f>IF(K1036&gt;O1036,"Valid","Invalid")</f>
        <v>Valid</v>
      </c>
      <c r="M1036" s="1" t="b">
        <f>ISNUMBER(K1036)</f>
        <v>1</v>
      </c>
      <c r="N1036" s="1" t="b">
        <f>ISNUMBER(O1036)</f>
        <v>1</v>
      </c>
      <c r="O1036" s="1">
        <v>46054</v>
      </c>
      <c r="P1036" t="s">
        <v>3643</v>
      </c>
      <c r="Q1036" t="str">
        <f>SUBSTITUTE(SUBSTITUTE(SUBSTITUTE(P1036," ",""),"-",""),"+","")</f>
        <v>08222664220</v>
      </c>
      <c r="R1036" t="str">
        <f t="shared" si="32"/>
        <v>8222664220</v>
      </c>
      <c r="S1036" t="str">
        <f>IF(LEN(R1036),"Valid","Invalid")</f>
        <v>Valid</v>
      </c>
      <c r="T1036" t="s">
        <v>3642</v>
      </c>
      <c r="V1036" t="s">
        <v>64</v>
      </c>
      <c r="X1036">
        <v>24885.01</v>
      </c>
      <c r="Y1036" t="s">
        <v>64</v>
      </c>
      <c r="Z1036">
        <v>145</v>
      </c>
      <c r="AA1036">
        <f t="shared" si="33"/>
        <v>145</v>
      </c>
      <c r="AB1036" t="s">
        <v>25</v>
      </c>
    </row>
    <row r="1037" spans="1:28" x14ac:dyDescent="0.3">
      <c r="A1037" t="s">
        <v>3641</v>
      </c>
      <c r="B1037" t="s">
        <v>3640</v>
      </c>
      <c r="C1037" t="s">
        <v>3640</v>
      </c>
      <c r="D1037" t="s">
        <v>40</v>
      </c>
      <c r="E1037">
        <v>79</v>
      </c>
      <c r="F1037">
        <v>79</v>
      </c>
      <c r="G1037" t="s">
        <v>54</v>
      </c>
      <c r="H1037" t="s">
        <v>54</v>
      </c>
      <c r="I1037" t="s">
        <v>20</v>
      </c>
      <c r="J1037" t="s">
        <v>20</v>
      </c>
      <c r="K1037" s="1">
        <v>46114</v>
      </c>
      <c r="L1037" s="1" t="str">
        <f>IF(K1037&gt;O1037,"Valid","Invalid")</f>
        <v>Valid</v>
      </c>
      <c r="M1037" s="1" t="b">
        <f>ISNUMBER(K1037)</f>
        <v>1</v>
      </c>
      <c r="N1037" s="1" t="b">
        <f>ISNUMBER(O1037)</f>
        <v>1</v>
      </c>
      <c r="O1037" s="1">
        <v>46099</v>
      </c>
      <c r="P1037" t="s">
        <v>3639</v>
      </c>
      <c r="Q1037" t="str">
        <f>SUBSTITUTE(SUBSTITUTE(SUBSTITUTE(P1037," ",""),"-",""),"+","")</f>
        <v>3970982823</v>
      </c>
      <c r="R1037" t="str">
        <f t="shared" si="32"/>
        <v>3970982823</v>
      </c>
      <c r="S1037" t="str">
        <f>IF(LEN(R1037),"Valid","Invalid")</f>
        <v>Valid</v>
      </c>
      <c r="T1037" t="s">
        <v>3638</v>
      </c>
      <c r="V1037" t="s">
        <v>64</v>
      </c>
      <c r="X1037">
        <v>15911.42</v>
      </c>
      <c r="Y1037" t="s">
        <v>27</v>
      </c>
      <c r="Z1037">
        <v>441</v>
      </c>
      <c r="AA1037">
        <f t="shared" si="33"/>
        <v>441</v>
      </c>
      <c r="AB1037" t="s">
        <v>43</v>
      </c>
    </row>
    <row r="1038" spans="1:28" x14ac:dyDescent="0.3">
      <c r="A1038" t="s">
        <v>3637</v>
      </c>
      <c r="B1038" t="s">
        <v>3636</v>
      </c>
      <c r="C1038" t="s">
        <v>3636</v>
      </c>
      <c r="D1038" t="s">
        <v>123</v>
      </c>
      <c r="E1038">
        <v>28</v>
      </c>
      <c r="F1038">
        <v>28</v>
      </c>
      <c r="G1038" t="s">
        <v>21</v>
      </c>
      <c r="H1038" t="s">
        <v>21</v>
      </c>
      <c r="I1038" t="s">
        <v>85</v>
      </c>
      <c r="J1038" t="s">
        <v>85</v>
      </c>
      <c r="K1038" s="1">
        <v>46159</v>
      </c>
      <c r="L1038" s="1" t="str">
        <f>IF(K1038&gt;O1038,"Valid","Invalid")</f>
        <v>Valid</v>
      </c>
      <c r="M1038" s="1" t="b">
        <f>ISNUMBER(K1038)</f>
        <v>1</v>
      </c>
      <c r="N1038" s="1" t="b">
        <f>ISNUMBER(O1038)</f>
        <v>1</v>
      </c>
      <c r="O1038" s="1">
        <v>46142</v>
      </c>
      <c r="P1038" t="s">
        <v>3635</v>
      </c>
      <c r="Q1038" t="str">
        <f>SUBSTITUTE(SUBSTITUTE(SUBSTITUTE(P1038," ",""),"-",""),"+","")</f>
        <v>2888597947</v>
      </c>
      <c r="R1038" t="str">
        <f t="shared" si="32"/>
        <v>2888597947</v>
      </c>
      <c r="S1038" t="str">
        <f>IF(LEN(R1038),"Valid","Invalid")</f>
        <v>Valid</v>
      </c>
      <c r="T1038" t="s">
        <v>3634</v>
      </c>
      <c r="V1038" t="s">
        <v>123</v>
      </c>
      <c r="X1038">
        <v>3039.63</v>
      </c>
      <c r="Y1038" t="s">
        <v>123</v>
      </c>
      <c r="Z1038">
        <v>163</v>
      </c>
      <c r="AA1038">
        <f t="shared" si="33"/>
        <v>163</v>
      </c>
      <c r="AB1038" t="s">
        <v>43</v>
      </c>
    </row>
    <row r="1039" spans="1:28" x14ac:dyDescent="0.3">
      <c r="A1039" t="s">
        <v>3633</v>
      </c>
      <c r="B1039" t="s">
        <v>3632</v>
      </c>
      <c r="C1039" t="s">
        <v>3632</v>
      </c>
      <c r="E1039">
        <v>53</v>
      </c>
      <c r="F1039">
        <v>53</v>
      </c>
      <c r="G1039" t="s">
        <v>54</v>
      </c>
      <c r="H1039" t="s">
        <v>54</v>
      </c>
      <c r="I1039" t="s">
        <v>46</v>
      </c>
      <c r="J1039" t="s">
        <v>46</v>
      </c>
      <c r="K1039" s="1">
        <v>46155</v>
      </c>
      <c r="L1039" s="1" t="str">
        <f>IF(K1039&gt;O1039,"Valid","Invalid")</f>
        <v>Valid</v>
      </c>
      <c r="M1039" s="1" t="b">
        <f>ISNUMBER(K1039)</f>
        <v>1</v>
      </c>
      <c r="N1039" s="1" t="b">
        <f>ISNUMBER(O1039)</f>
        <v>1</v>
      </c>
      <c r="O1039" s="1">
        <v>46125</v>
      </c>
      <c r="P1039" t="s">
        <v>3631</v>
      </c>
      <c r="Q1039" t="str">
        <f>SUBSTITUTE(SUBSTITUTE(SUBSTITUTE(P1039," ",""),"-",""),"+","")</f>
        <v>3008441599</v>
      </c>
      <c r="R1039" t="str">
        <f t="shared" si="32"/>
        <v>3008441599</v>
      </c>
      <c r="S1039" t="str">
        <f>IF(LEN(R1039),"Valid","Invalid")</f>
        <v>Valid</v>
      </c>
      <c r="T1039" t="s">
        <v>3630</v>
      </c>
      <c r="V1039" t="s">
        <v>57</v>
      </c>
      <c r="X1039">
        <v>19598.46</v>
      </c>
      <c r="Y1039" t="s">
        <v>63</v>
      </c>
      <c r="Z1039">
        <v>237</v>
      </c>
      <c r="AA1039">
        <f t="shared" si="33"/>
        <v>237</v>
      </c>
      <c r="AB1039" t="s">
        <v>25</v>
      </c>
    </row>
    <row r="1040" spans="1:28" x14ac:dyDescent="0.3">
      <c r="A1040" t="s">
        <v>3625</v>
      </c>
      <c r="B1040" t="s">
        <v>3624</v>
      </c>
      <c r="C1040" t="s">
        <v>3624</v>
      </c>
      <c r="D1040" t="s">
        <v>60</v>
      </c>
      <c r="E1040">
        <v>67</v>
      </c>
      <c r="F1040">
        <v>67</v>
      </c>
      <c r="G1040" t="s">
        <v>31</v>
      </c>
      <c r="H1040" t="s">
        <v>31</v>
      </c>
      <c r="I1040" t="s">
        <v>67</v>
      </c>
      <c r="J1040" t="s">
        <v>67</v>
      </c>
      <c r="K1040" s="1">
        <v>45988</v>
      </c>
      <c r="L1040" s="1" t="str">
        <f>IF(K1040&gt;O1040,"Valid","Invalid")</f>
        <v>Valid</v>
      </c>
      <c r="M1040" s="1" t="b">
        <f>ISNUMBER(K1040)</f>
        <v>1</v>
      </c>
      <c r="N1040" s="1" t="b">
        <f>ISNUMBER(O1040)</f>
        <v>1</v>
      </c>
      <c r="O1040" s="1">
        <v>45983</v>
      </c>
      <c r="P1040" t="s">
        <v>3623</v>
      </c>
      <c r="Q1040" t="str">
        <f>SUBSTITUTE(SUBSTITUTE(SUBSTITUTE(P1040," ",""),"-",""),"+","")</f>
        <v>02850752240</v>
      </c>
      <c r="R1040" t="str">
        <f t="shared" si="32"/>
        <v>2850752240</v>
      </c>
      <c r="S1040" t="str">
        <f>IF(LEN(R1040),"Valid","Invalid")</f>
        <v>Valid</v>
      </c>
      <c r="T1040" t="s">
        <v>3622</v>
      </c>
      <c r="V1040" t="s">
        <v>123</v>
      </c>
      <c r="X1040">
        <v>6197.41</v>
      </c>
      <c r="Y1040" t="s">
        <v>123</v>
      </c>
      <c r="Z1040">
        <v>198</v>
      </c>
      <c r="AA1040">
        <f t="shared" si="33"/>
        <v>198</v>
      </c>
      <c r="AB1040" t="s">
        <v>34</v>
      </c>
    </row>
    <row r="1041" spans="1:28" x14ac:dyDescent="0.3">
      <c r="A1041" t="s">
        <v>3621</v>
      </c>
      <c r="B1041" t="s">
        <v>3620</v>
      </c>
      <c r="C1041" t="s">
        <v>3620</v>
      </c>
      <c r="D1041" t="s">
        <v>123</v>
      </c>
      <c r="E1041">
        <v>7</v>
      </c>
      <c r="F1041">
        <v>7</v>
      </c>
      <c r="G1041" t="s">
        <v>54</v>
      </c>
      <c r="H1041" t="s">
        <v>54</v>
      </c>
      <c r="I1041" t="s">
        <v>53</v>
      </c>
      <c r="J1041" t="s">
        <v>20</v>
      </c>
      <c r="K1041" s="1">
        <v>46154</v>
      </c>
      <c r="L1041" s="1" t="str">
        <f>IF(K1041&gt;O1041,"Valid","Invalid")</f>
        <v>Valid</v>
      </c>
      <c r="M1041" s="1" t="b">
        <f>ISNUMBER(K1041)</f>
        <v>1</v>
      </c>
      <c r="N1041" s="1" t="b">
        <f>ISNUMBER(O1041)</f>
        <v>1</v>
      </c>
      <c r="O1041" s="1">
        <v>46124</v>
      </c>
      <c r="P1041" t="s">
        <v>3619</v>
      </c>
      <c r="Q1041" t="str">
        <f>SUBSTITUTE(SUBSTITUTE(SUBSTITUTE(P1041," ",""),"-",""),"+","")</f>
        <v>4039042433</v>
      </c>
      <c r="R1041" t="str">
        <f t="shared" si="32"/>
        <v>4039042433</v>
      </c>
      <c r="S1041" t="str">
        <f>IF(LEN(R1041),"Valid","Invalid")</f>
        <v>Valid</v>
      </c>
      <c r="T1041" t="s">
        <v>3618</v>
      </c>
      <c r="V1041" t="s">
        <v>123</v>
      </c>
      <c r="X1041">
        <v>24438.42</v>
      </c>
      <c r="Y1041" t="s">
        <v>26</v>
      </c>
      <c r="Z1041">
        <v>306</v>
      </c>
      <c r="AA1041">
        <f t="shared" si="33"/>
        <v>306</v>
      </c>
      <c r="AB1041" t="s">
        <v>43</v>
      </c>
    </row>
    <row r="1042" spans="1:28" x14ac:dyDescent="0.3">
      <c r="A1042" t="s">
        <v>3617</v>
      </c>
      <c r="B1042" t="s">
        <v>3616</v>
      </c>
      <c r="C1042" t="s">
        <v>3616</v>
      </c>
      <c r="D1042" t="s">
        <v>0</v>
      </c>
      <c r="E1042">
        <v>56</v>
      </c>
      <c r="F1042">
        <v>56</v>
      </c>
      <c r="G1042" t="s">
        <v>21</v>
      </c>
      <c r="H1042" t="s">
        <v>21</v>
      </c>
      <c r="I1042" t="s">
        <v>20</v>
      </c>
      <c r="J1042" t="s">
        <v>20</v>
      </c>
      <c r="K1042" s="1">
        <v>46010</v>
      </c>
      <c r="L1042" s="1" t="str">
        <f>IF(K1042&gt;O1042,"Valid","Invalid")</f>
        <v>Valid</v>
      </c>
      <c r="M1042" s="1" t="b">
        <f>ISNUMBER(K1042)</f>
        <v>1</v>
      </c>
      <c r="N1042" s="1" t="b">
        <f>ISNUMBER(O1042)</f>
        <v>1</v>
      </c>
      <c r="O1042" s="1">
        <v>45988</v>
      </c>
      <c r="P1042" t="s">
        <v>3615</v>
      </c>
      <c r="Q1042" t="str">
        <f>SUBSTITUTE(SUBSTITUTE(SUBSTITUTE(P1042," ",""),"-",""),"+","")</f>
        <v>5391152225</v>
      </c>
      <c r="R1042" t="str">
        <f t="shared" si="32"/>
        <v>5391152225</v>
      </c>
      <c r="S1042" t="str">
        <f>IF(LEN(R1042),"Valid","Invalid")</f>
        <v>Valid</v>
      </c>
      <c r="T1042" t="s">
        <v>3614</v>
      </c>
      <c r="V1042" t="s">
        <v>35</v>
      </c>
      <c r="X1042">
        <v>12705.57</v>
      </c>
      <c r="Y1042" t="s">
        <v>123</v>
      </c>
      <c r="Z1042">
        <v>531</v>
      </c>
      <c r="AA1042">
        <f t="shared" si="33"/>
        <v>531</v>
      </c>
      <c r="AB1042" t="s">
        <v>50</v>
      </c>
    </row>
    <row r="1043" spans="1:28" x14ac:dyDescent="0.3">
      <c r="A1043" t="s">
        <v>3613</v>
      </c>
      <c r="B1043" t="s">
        <v>3612</v>
      </c>
      <c r="C1043" t="s">
        <v>3612</v>
      </c>
      <c r="D1043" t="s">
        <v>22</v>
      </c>
      <c r="E1043">
        <v>71</v>
      </c>
      <c r="F1043">
        <v>71</v>
      </c>
      <c r="G1043" t="s">
        <v>39</v>
      </c>
      <c r="H1043" t="s">
        <v>39</v>
      </c>
      <c r="I1043" t="s">
        <v>67</v>
      </c>
      <c r="J1043" t="s">
        <v>67</v>
      </c>
      <c r="K1043" s="1">
        <v>46113</v>
      </c>
      <c r="L1043" s="1" t="str">
        <f>IF(K1043&gt;O1043,"Valid","Invalid")</f>
        <v>Valid</v>
      </c>
      <c r="M1043" s="1" t="b">
        <f>ISNUMBER(K1043)</f>
        <v>1</v>
      </c>
      <c r="N1043" s="1" t="b">
        <f>ISNUMBER(O1043)</f>
        <v>1</v>
      </c>
      <c r="O1043" s="1">
        <v>46107</v>
      </c>
      <c r="P1043" t="s">
        <v>3611</v>
      </c>
      <c r="Q1043" t="str">
        <f>SUBSTITUTE(SUBSTITUTE(SUBSTITUTE(P1043," ",""),"-",""),"+","")</f>
        <v>2446752881</v>
      </c>
      <c r="R1043" t="str">
        <f t="shared" si="32"/>
        <v>2446752881</v>
      </c>
      <c r="S1043" t="str">
        <f>IF(LEN(R1043),"Valid","Invalid")</f>
        <v>Valid</v>
      </c>
      <c r="T1043" t="s">
        <v>3610</v>
      </c>
      <c r="V1043" t="s">
        <v>64</v>
      </c>
      <c r="X1043">
        <v>2512.98</v>
      </c>
      <c r="Y1043" t="s">
        <v>123</v>
      </c>
      <c r="Z1043">
        <v>105</v>
      </c>
      <c r="AA1043">
        <f t="shared" si="33"/>
        <v>105</v>
      </c>
      <c r="AB1043" t="s">
        <v>25</v>
      </c>
    </row>
    <row r="1044" spans="1:28" x14ac:dyDescent="0.3">
      <c r="A1044" t="s">
        <v>3605</v>
      </c>
      <c r="B1044" t="s">
        <v>3604</v>
      </c>
      <c r="C1044" t="s">
        <v>3604</v>
      </c>
      <c r="D1044" t="s">
        <v>1</v>
      </c>
      <c r="E1044">
        <v>39</v>
      </c>
      <c r="F1044">
        <v>39</v>
      </c>
      <c r="G1044" t="s">
        <v>21</v>
      </c>
      <c r="H1044" t="s">
        <v>21</v>
      </c>
      <c r="I1044" t="s">
        <v>38</v>
      </c>
      <c r="J1044" t="s">
        <v>8077</v>
      </c>
      <c r="K1044" s="1">
        <v>46064</v>
      </c>
      <c r="L1044" s="1" t="str">
        <f>IF(K1044&gt;O1044,"Valid","Invalid")</f>
        <v>Valid</v>
      </c>
      <c r="M1044" s="1" t="b">
        <f>ISNUMBER(K1044)</f>
        <v>1</v>
      </c>
      <c r="N1044" s="1" t="b">
        <f>ISNUMBER(O1044)</f>
        <v>1</v>
      </c>
      <c r="O1044" s="1">
        <v>46041</v>
      </c>
      <c r="P1044" t="s">
        <v>3603</v>
      </c>
      <c r="Q1044" t="str">
        <f>SUBSTITUTE(SUBSTITUTE(SUBSTITUTE(P1044," ",""),"-",""),"+","")</f>
        <v>08618773868</v>
      </c>
      <c r="R1044" t="str">
        <f t="shared" si="32"/>
        <v>8618773868</v>
      </c>
      <c r="S1044" t="str">
        <f>IF(LEN(R1044),"Valid","Invalid")</f>
        <v>Valid</v>
      </c>
      <c r="T1044" t="s">
        <v>3602</v>
      </c>
      <c r="V1044" t="s">
        <v>123</v>
      </c>
      <c r="X1044">
        <v>19305.71</v>
      </c>
      <c r="Y1044" t="s">
        <v>27</v>
      </c>
      <c r="Z1044">
        <v>240</v>
      </c>
      <c r="AA1044">
        <f t="shared" si="33"/>
        <v>240</v>
      </c>
      <c r="AB1044" t="s">
        <v>77</v>
      </c>
    </row>
    <row r="1045" spans="1:28" x14ac:dyDescent="0.3">
      <c r="A1045" t="s">
        <v>3601</v>
      </c>
      <c r="B1045" t="s">
        <v>3600</v>
      </c>
      <c r="C1045" t="s">
        <v>3600</v>
      </c>
      <c r="D1045" t="s">
        <v>0</v>
      </c>
      <c r="E1045">
        <v>81</v>
      </c>
      <c r="F1045">
        <v>81</v>
      </c>
      <c r="G1045" t="s">
        <v>47</v>
      </c>
      <c r="H1045" t="s">
        <v>47</v>
      </c>
      <c r="I1045" t="s">
        <v>20</v>
      </c>
      <c r="J1045" t="s">
        <v>20</v>
      </c>
      <c r="K1045" s="1">
        <v>46073</v>
      </c>
      <c r="L1045" s="1" t="str">
        <f>IF(K1045&gt;O1045,"Valid","Invalid")</f>
        <v>Valid</v>
      </c>
      <c r="M1045" s="1" t="b">
        <f>ISNUMBER(K1045)</f>
        <v>1</v>
      </c>
      <c r="N1045" s="1" t="b">
        <f>ISNUMBER(O1045)</f>
        <v>1</v>
      </c>
      <c r="O1045" s="1">
        <v>46070</v>
      </c>
      <c r="P1045" t="s">
        <v>3599</v>
      </c>
      <c r="Q1045" t="str">
        <f>SUBSTITUTE(SUBSTITUTE(SUBSTITUTE(P1045," ",""),"-",""),"+","")</f>
        <v>7085238699</v>
      </c>
      <c r="R1045" t="str">
        <f t="shared" si="32"/>
        <v>7085238699</v>
      </c>
      <c r="S1045" t="str">
        <f>IF(LEN(R1045),"Valid","Invalid")</f>
        <v>Valid</v>
      </c>
      <c r="T1045" t="s">
        <v>3598</v>
      </c>
      <c r="V1045" t="s">
        <v>123</v>
      </c>
      <c r="X1045">
        <v>23194.54</v>
      </c>
      <c r="Y1045" t="s">
        <v>64</v>
      </c>
      <c r="Z1045">
        <v>154</v>
      </c>
      <c r="AA1045">
        <f t="shared" si="33"/>
        <v>154</v>
      </c>
      <c r="AB1045" t="s">
        <v>71</v>
      </c>
    </row>
    <row r="1046" spans="1:28" x14ac:dyDescent="0.3">
      <c r="A1046" t="s">
        <v>3597</v>
      </c>
      <c r="B1046" t="s">
        <v>3596</v>
      </c>
      <c r="C1046" t="s">
        <v>3596</v>
      </c>
      <c r="D1046" t="s">
        <v>22</v>
      </c>
      <c r="E1046">
        <v>34</v>
      </c>
      <c r="F1046">
        <v>34</v>
      </c>
      <c r="G1046" t="s">
        <v>39</v>
      </c>
      <c r="H1046" t="s">
        <v>39</v>
      </c>
      <c r="I1046" t="s">
        <v>20</v>
      </c>
      <c r="J1046" t="s">
        <v>20</v>
      </c>
      <c r="K1046" s="1">
        <v>46019</v>
      </c>
      <c r="L1046" s="1" t="str">
        <f>IF(K1046&gt;O1046,"Valid","Invalid")</f>
        <v>Valid</v>
      </c>
      <c r="M1046" s="1" t="b">
        <f>ISNUMBER(K1046)</f>
        <v>1</v>
      </c>
      <c r="N1046" s="1" t="b">
        <f>ISNUMBER(O1046)</f>
        <v>1</v>
      </c>
      <c r="O1046" s="1">
        <v>46017</v>
      </c>
      <c r="P1046" t="s">
        <v>3595</v>
      </c>
      <c r="Q1046" t="str">
        <f>SUBSTITUTE(SUBSTITUTE(SUBSTITUTE(P1046," ",""),"-",""),"+","")</f>
        <v>916233869077</v>
      </c>
      <c r="R1046" t="str">
        <f t="shared" si="32"/>
        <v>6233869077</v>
      </c>
      <c r="S1046" t="str">
        <f>IF(LEN(R1046),"Valid","Invalid")</f>
        <v>Valid</v>
      </c>
      <c r="T1046" t="s">
        <v>3594</v>
      </c>
      <c r="V1046" t="s">
        <v>123</v>
      </c>
      <c r="X1046">
        <v>21146.67</v>
      </c>
      <c r="Y1046" t="s">
        <v>57</v>
      </c>
      <c r="Z1046">
        <v>300</v>
      </c>
      <c r="AA1046">
        <f t="shared" si="33"/>
        <v>300</v>
      </c>
      <c r="AB1046" t="s">
        <v>77</v>
      </c>
    </row>
    <row r="1047" spans="1:28" x14ac:dyDescent="0.3">
      <c r="A1047" t="s">
        <v>3593</v>
      </c>
      <c r="B1047" t="s">
        <v>3592</v>
      </c>
      <c r="C1047" t="s">
        <v>3592</v>
      </c>
      <c r="E1047">
        <v>3</v>
      </c>
      <c r="F1047">
        <v>3</v>
      </c>
      <c r="G1047" t="s">
        <v>54</v>
      </c>
      <c r="H1047" t="s">
        <v>54</v>
      </c>
      <c r="I1047" t="s">
        <v>20</v>
      </c>
      <c r="J1047" t="s">
        <v>20</v>
      </c>
      <c r="K1047" s="1">
        <v>46121</v>
      </c>
      <c r="L1047" s="1" t="str">
        <f>IF(K1047&gt;O1047,"Valid","Invalid")</f>
        <v>Valid</v>
      </c>
      <c r="M1047" s="1" t="b">
        <f>ISNUMBER(K1047)</f>
        <v>1</v>
      </c>
      <c r="N1047" s="1" t="b">
        <f>ISNUMBER(O1047)</f>
        <v>1</v>
      </c>
      <c r="O1047" s="1">
        <v>46106</v>
      </c>
      <c r="P1047" t="s">
        <v>3591</v>
      </c>
      <c r="Q1047" t="str">
        <f>SUBSTITUTE(SUBSTITUTE(SUBSTITUTE(P1047," ",""),"-",""),"+","")</f>
        <v>3477591025</v>
      </c>
      <c r="R1047" t="str">
        <f t="shared" si="32"/>
        <v>3477591025</v>
      </c>
      <c r="S1047" t="str">
        <f>IF(LEN(R1047),"Valid","Invalid")</f>
        <v>Valid</v>
      </c>
      <c r="T1047" t="s">
        <v>3590</v>
      </c>
      <c r="V1047" t="s">
        <v>64</v>
      </c>
      <c r="X1047">
        <v>5415.34</v>
      </c>
      <c r="Y1047" t="s">
        <v>123</v>
      </c>
      <c r="Z1047">
        <v>292</v>
      </c>
      <c r="AA1047">
        <f t="shared" si="33"/>
        <v>292</v>
      </c>
      <c r="AB1047" t="s">
        <v>43</v>
      </c>
    </row>
    <row r="1048" spans="1:28" x14ac:dyDescent="0.3">
      <c r="A1048" t="s">
        <v>3585</v>
      </c>
      <c r="B1048" t="s">
        <v>3584</v>
      </c>
      <c r="C1048" t="s">
        <v>3584</v>
      </c>
      <c r="D1048" t="s">
        <v>60</v>
      </c>
      <c r="E1048">
        <v>62</v>
      </c>
      <c r="F1048">
        <v>62</v>
      </c>
      <c r="G1048" t="s">
        <v>47</v>
      </c>
      <c r="H1048" t="s">
        <v>47</v>
      </c>
      <c r="I1048" t="s">
        <v>53</v>
      </c>
      <c r="J1048" t="s">
        <v>20</v>
      </c>
      <c r="K1048" s="1">
        <v>45993</v>
      </c>
      <c r="L1048" s="1" t="str">
        <f>IF(K1048&gt;O1048,"Valid","Invalid")</f>
        <v>Valid</v>
      </c>
      <c r="M1048" s="1" t="b">
        <f>ISNUMBER(K1048)</f>
        <v>1</v>
      </c>
      <c r="N1048" s="1" t="b">
        <f>ISNUMBER(O1048)</f>
        <v>1</v>
      </c>
      <c r="O1048" s="1">
        <v>45977</v>
      </c>
      <c r="P1048" t="s">
        <v>3583</v>
      </c>
      <c r="Q1048" t="str">
        <f>SUBSTITUTE(SUBSTITUTE(SUBSTITUTE(P1048," ",""),"-",""),"+","")</f>
        <v>919221884655</v>
      </c>
      <c r="R1048" t="str">
        <f t="shared" si="32"/>
        <v>9221884655</v>
      </c>
      <c r="S1048" t="str">
        <f>IF(LEN(R1048),"Valid","Invalid")</f>
        <v>Valid</v>
      </c>
      <c r="T1048" t="s">
        <v>3582</v>
      </c>
      <c r="V1048" t="s">
        <v>26</v>
      </c>
      <c r="X1048">
        <v>23179.26</v>
      </c>
      <c r="Y1048" t="s">
        <v>57</v>
      </c>
      <c r="Z1048">
        <v>410</v>
      </c>
      <c r="AA1048">
        <f t="shared" si="33"/>
        <v>410</v>
      </c>
      <c r="AB1048" t="s">
        <v>77</v>
      </c>
    </row>
    <row r="1049" spans="1:28" x14ac:dyDescent="0.3">
      <c r="A1049" t="s">
        <v>3581</v>
      </c>
      <c r="B1049" t="s">
        <v>3580</v>
      </c>
      <c r="C1049" t="s">
        <v>3580</v>
      </c>
      <c r="D1049" t="s">
        <v>40</v>
      </c>
      <c r="E1049">
        <v>67</v>
      </c>
      <c r="F1049">
        <v>67</v>
      </c>
      <c r="G1049" t="s">
        <v>39</v>
      </c>
      <c r="H1049" t="s">
        <v>39</v>
      </c>
      <c r="I1049" t="s">
        <v>38</v>
      </c>
      <c r="J1049" t="s">
        <v>8077</v>
      </c>
      <c r="K1049" s="1">
        <v>46108</v>
      </c>
      <c r="L1049" s="1" t="str">
        <f>IF(K1049&gt;O1049,"Valid","Invalid")</f>
        <v>Valid</v>
      </c>
      <c r="M1049" s="1" t="b">
        <f>ISNUMBER(K1049)</f>
        <v>1</v>
      </c>
      <c r="N1049" s="1" t="b">
        <f>ISNUMBER(O1049)</f>
        <v>1</v>
      </c>
      <c r="O1049" s="1">
        <v>46081</v>
      </c>
      <c r="P1049" t="s">
        <v>3579</v>
      </c>
      <c r="Q1049" t="str">
        <f>SUBSTITUTE(SUBSTITUTE(SUBSTITUTE(P1049," ",""),"-",""),"+","")</f>
        <v>2747569809</v>
      </c>
      <c r="R1049" t="str">
        <f t="shared" si="32"/>
        <v>2747569809</v>
      </c>
      <c r="S1049" t="str">
        <f>IF(LEN(R1049),"Valid","Invalid")</f>
        <v>Valid</v>
      </c>
      <c r="T1049" t="s">
        <v>3578</v>
      </c>
      <c r="V1049" t="s">
        <v>57</v>
      </c>
      <c r="X1049">
        <v>3046.75</v>
      </c>
      <c r="Y1049" t="s">
        <v>57</v>
      </c>
      <c r="Z1049">
        <v>115</v>
      </c>
      <c r="AA1049">
        <f t="shared" si="33"/>
        <v>115</v>
      </c>
      <c r="AB1049" t="s">
        <v>43</v>
      </c>
    </row>
    <row r="1050" spans="1:28" x14ac:dyDescent="0.3">
      <c r="A1050" t="s">
        <v>3577</v>
      </c>
      <c r="B1050" t="s">
        <v>3576</v>
      </c>
      <c r="C1050" t="s">
        <v>3576</v>
      </c>
      <c r="D1050" t="s">
        <v>0</v>
      </c>
      <c r="E1050">
        <v>29</v>
      </c>
      <c r="F1050">
        <v>29</v>
      </c>
      <c r="G1050" t="s">
        <v>80</v>
      </c>
      <c r="H1050" t="s">
        <v>80</v>
      </c>
      <c r="I1050" t="s">
        <v>53</v>
      </c>
      <c r="J1050" t="s">
        <v>20</v>
      </c>
      <c r="K1050" s="1">
        <v>46043</v>
      </c>
      <c r="L1050" s="1" t="str">
        <f>IF(K1050&gt;O1050,"Valid","Invalid")</f>
        <v>Valid</v>
      </c>
      <c r="M1050" s="1" t="b">
        <f>ISNUMBER(K1050)</f>
        <v>1</v>
      </c>
      <c r="N1050" s="1" t="b">
        <f>ISNUMBER(O1050)</f>
        <v>1</v>
      </c>
      <c r="O1050" s="1">
        <v>46035</v>
      </c>
      <c r="P1050" t="s">
        <v>3575</v>
      </c>
      <c r="Q1050" t="str">
        <f>SUBSTITUTE(SUBSTITUTE(SUBSTITUTE(P1050," ",""),"-",""),"+","")</f>
        <v>03062251629</v>
      </c>
      <c r="R1050" t="str">
        <f t="shared" si="32"/>
        <v>3062251629</v>
      </c>
      <c r="S1050" t="str">
        <f>IF(LEN(R1050),"Valid","Invalid")</f>
        <v>Valid</v>
      </c>
      <c r="T1050" t="s">
        <v>3574</v>
      </c>
      <c r="V1050" t="s">
        <v>26</v>
      </c>
      <c r="X1050">
        <v>12143.06</v>
      </c>
      <c r="Y1050" t="s">
        <v>64</v>
      </c>
      <c r="Z1050">
        <v>278</v>
      </c>
      <c r="AA1050">
        <f t="shared" si="33"/>
        <v>278</v>
      </c>
      <c r="AB1050" t="s">
        <v>25</v>
      </c>
    </row>
    <row r="1051" spans="1:28" x14ac:dyDescent="0.3">
      <c r="A1051" t="s">
        <v>3573</v>
      </c>
      <c r="B1051" t="s">
        <v>3572</v>
      </c>
      <c r="C1051" t="s">
        <v>3572</v>
      </c>
      <c r="D1051" t="s">
        <v>22</v>
      </c>
      <c r="E1051">
        <v>60</v>
      </c>
      <c r="F1051">
        <v>60</v>
      </c>
      <c r="G1051" t="s">
        <v>68</v>
      </c>
      <c r="H1051" t="s">
        <v>68</v>
      </c>
      <c r="I1051" t="s">
        <v>90</v>
      </c>
      <c r="J1051" t="s">
        <v>67</v>
      </c>
      <c r="K1051" s="1">
        <v>46066</v>
      </c>
      <c r="L1051" s="1" t="str">
        <f>IF(K1051&gt;O1051,"Valid","Invalid")</f>
        <v>Valid</v>
      </c>
      <c r="M1051" s="1" t="b">
        <f>ISNUMBER(K1051)</f>
        <v>1</v>
      </c>
      <c r="N1051" s="1" t="b">
        <f>ISNUMBER(O1051)</f>
        <v>1</v>
      </c>
      <c r="O1051" s="1">
        <v>46050</v>
      </c>
      <c r="P1051" t="s">
        <v>3571</v>
      </c>
      <c r="Q1051" t="str">
        <f>SUBSTITUTE(SUBSTITUTE(SUBSTITUTE(P1051," ",""),"-",""),"+","")</f>
        <v>5909333792</v>
      </c>
      <c r="R1051" t="str">
        <f t="shared" si="32"/>
        <v>5909333792</v>
      </c>
      <c r="S1051" t="str">
        <f>IF(LEN(R1051),"Valid","Invalid")</f>
        <v>Valid</v>
      </c>
      <c r="T1051" t="s">
        <v>3570</v>
      </c>
      <c r="V1051" t="s">
        <v>123</v>
      </c>
      <c r="X1051">
        <v>23074.23</v>
      </c>
      <c r="Y1051" t="s">
        <v>63</v>
      </c>
      <c r="Z1051">
        <v>188</v>
      </c>
      <c r="AA1051">
        <f t="shared" si="33"/>
        <v>188</v>
      </c>
      <c r="AB1051" t="s">
        <v>71</v>
      </c>
    </row>
    <row r="1052" spans="1:28" x14ac:dyDescent="0.3">
      <c r="A1052" t="s">
        <v>3569</v>
      </c>
      <c r="B1052" t="s">
        <v>3568</v>
      </c>
      <c r="C1052" t="s">
        <v>3568</v>
      </c>
      <c r="D1052" t="s">
        <v>22</v>
      </c>
      <c r="E1052">
        <v>51</v>
      </c>
      <c r="F1052">
        <v>51</v>
      </c>
      <c r="G1052" t="s">
        <v>80</v>
      </c>
      <c r="H1052" t="s">
        <v>80</v>
      </c>
      <c r="I1052" t="s">
        <v>30</v>
      </c>
      <c r="J1052" t="s">
        <v>30</v>
      </c>
      <c r="K1052" s="1">
        <v>45985</v>
      </c>
      <c r="L1052" s="1" t="str">
        <f>IF(K1052&gt;O1052,"Valid","Invalid")</f>
        <v>Valid</v>
      </c>
      <c r="M1052" s="1" t="b">
        <f>ISNUMBER(K1052)</f>
        <v>1</v>
      </c>
      <c r="N1052" s="1" t="b">
        <f>ISNUMBER(O1052)</f>
        <v>1</v>
      </c>
      <c r="O1052" s="1">
        <v>45980</v>
      </c>
      <c r="P1052" t="s">
        <v>3567</v>
      </c>
      <c r="Q1052" t="str">
        <f>SUBSTITUTE(SUBSTITUTE(SUBSTITUTE(P1052," ",""),"-",""),"+","")</f>
        <v>5986185671</v>
      </c>
      <c r="R1052" t="str">
        <f t="shared" si="32"/>
        <v>5986185671</v>
      </c>
      <c r="S1052" t="str">
        <f>IF(LEN(R1052),"Valid","Invalid")</f>
        <v>Valid</v>
      </c>
      <c r="T1052" t="s">
        <v>3566</v>
      </c>
      <c r="V1052" t="s">
        <v>17</v>
      </c>
      <c r="X1052">
        <v>23853.3</v>
      </c>
      <c r="Y1052" t="s">
        <v>123</v>
      </c>
      <c r="Z1052">
        <v>321</v>
      </c>
      <c r="AA1052">
        <f t="shared" si="33"/>
        <v>321</v>
      </c>
      <c r="AB1052" t="s">
        <v>16</v>
      </c>
    </row>
    <row r="1053" spans="1:28" x14ac:dyDescent="0.3">
      <c r="A1053" t="s">
        <v>3565</v>
      </c>
      <c r="B1053" t="s">
        <v>3564</v>
      </c>
      <c r="C1053" t="s">
        <v>3564</v>
      </c>
      <c r="D1053" t="s">
        <v>123</v>
      </c>
      <c r="E1053">
        <v>77</v>
      </c>
      <c r="F1053">
        <v>77</v>
      </c>
      <c r="G1053" t="s">
        <v>132</v>
      </c>
      <c r="H1053" t="s">
        <v>132</v>
      </c>
      <c r="I1053" t="s">
        <v>67</v>
      </c>
      <c r="J1053" t="s">
        <v>67</v>
      </c>
      <c r="K1053" s="1">
        <v>46062</v>
      </c>
      <c r="L1053" s="1" t="str">
        <f>IF(K1053&gt;O1053,"Valid","Invalid")</f>
        <v>Valid</v>
      </c>
      <c r="M1053" s="1" t="b">
        <f>ISNUMBER(K1053)</f>
        <v>1</v>
      </c>
      <c r="N1053" s="1" t="b">
        <f>ISNUMBER(O1053)</f>
        <v>1</v>
      </c>
      <c r="O1053" s="1">
        <v>46043</v>
      </c>
      <c r="P1053" t="s">
        <v>3563</v>
      </c>
      <c r="Q1053" t="str">
        <f>SUBSTITUTE(SUBSTITUTE(SUBSTITUTE(P1053," ",""),"-",""),"+","")</f>
        <v>07844279749</v>
      </c>
      <c r="R1053" t="str">
        <f t="shared" si="32"/>
        <v>7844279749</v>
      </c>
      <c r="S1053" t="str">
        <f>IF(LEN(R1053),"Valid","Invalid")</f>
        <v>Valid</v>
      </c>
      <c r="T1053" t="s">
        <v>3562</v>
      </c>
      <c r="V1053" t="s">
        <v>64</v>
      </c>
      <c r="X1053">
        <v>15260.93</v>
      </c>
      <c r="Y1053" t="s">
        <v>123</v>
      </c>
      <c r="Z1053">
        <v>202</v>
      </c>
      <c r="AA1053">
        <f t="shared" si="33"/>
        <v>202</v>
      </c>
      <c r="AB1053" t="s">
        <v>34</v>
      </c>
    </row>
    <row r="1054" spans="1:28" x14ac:dyDescent="0.3">
      <c r="A1054" t="s">
        <v>3561</v>
      </c>
      <c r="B1054" t="s">
        <v>3560</v>
      </c>
      <c r="C1054" t="s">
        <v>3560</v>
      </c>
      <c r="D1054" t="s">
        <v>60</v>
      </c>
      <c r="E1054">
        <v>48</v>
      </c>
      <c r="F1054">
        <v>48</v>
      </c>
      <c r="G1054" t="s">
        <v>80</v>
      </c>
      <c r="H1054" t="s">
        <v>80</v>
      </c>
      <c r="I1054" t="s">
        <v>85</v>
      </c>
      <c r="J1054" t="s">
        <v>85</v>
      </c>
      <c r="K1054" s="1">
        <v>46094</v>
      </c>
      <c r="L1054" s="1" t="str">
        <f>IF(K1054&gt;O1054,"Valid","Invalid")</f>
        <v>Valid</v>
      </c>
      <c r="M1054" s="1" t="b">
        <f>ISNUMBER(K1054)</f>
        <v>1</v>
      </c>
      <c r="N1054" s="1" t="b">
        <f>ISNUMBER(O1054)</f>
        <v>1</v>
      </c>
      <c r="O1054" s="1">
        <v>46089</v>
      </c>
      <c r="P1054" t="s">
        <v>3559</v>
      </c>
      <c r="Q1054" t="str">
        <f>SUBSTITUTE(SUBSTITUTE(SUBSTITUTE(P1054," ",""),"-",""),"+","")</f>
        <v>919741377310</v>
      </c>
      <c r="R1054" t="str">
        <f t="shared" si="32"/>
        <v>9741377310</v>
      </c>
      <c r="S1054" t="str">
        <f>IF(LEN(R1054),"Valid","Invalid")</f>
        <v>Valid</v>
      </c>
      <c r="T1054" t="s">
        <v>3558</v>
      </c>
      <c r="V1054" t="s">
        <v>27</v>
      </c>
      <c r="X1054">
        <v>23960.82</v>
      </c>
      <c r="Y1054" t="s">
        <v>63</v>
      </c>
      <c r="Z1054">
        <v>400</v>
      </c>
      <c r="AA1054">
        <f t="shared" si="33"/>
        <v>400</v>
      </c>
      <c r="AB1054" t="s">
        <v>16</v>
      </c>
    </row>
    <row r="1055" spans="1:28" x14ac:dyDescent="0.3">
      <c r="A1055" t="s">
        <v>3553</v>
      </c>
      <c r="B1055" t="s">
        <v>3552</v>
      </c>
      <c r="C1055" t="s">
        <v>3552</v>
      </c>
      <c r="D1055" t="s">
        <v>0</v>
      </c>
      <c r="E1055">
        <v>46</v>
      </c>
      <c r="F1055">
        <v>46</v>
      </c>
      <c r="G1055" t="s">
        <v>21</v>
      </c>
      <c r="H1055" t="s">
        <v>21</v>
      </c>
      <c r="I1055" t="s">
        <v>20</v>
      </c>
      <c r="J1055" t="s">
        <v>20</v>
      </c>
      <c r="K1055" s="1">
        <v>46005</v>
      </c>
      <c r="L1055" s="1" t="str">
        <f>IF(K1055&gt;O1055,"Valid","Invalid")</f>
        <v>Valid</v>
      </c>
      <c r="M1055" s="1" t="b">
        <f>ISNUMBER(K1055)</f>
        <v>1</v>
      </c>
      <c r="N1055" s="1" t="b">
        <f>ISNUMBER(O1055)</f>
        <v>1</v>
      </c>
      <c r="O1055" s="1">
        <v>45999</v>
      </c>
      <c r="P1055" t="s">
        <v>3551</v>
      </c>
      <c r="Q1055" t="str">
        <f>SUBSTITUTE(SUBSTITUTE(SUBSTITUTE(P1055," ",""),"-",""),"+","")</f>
        <v>06179366536</v>
      </c>
      <c r="R1055" t="str">
        <f t="shared" si="32"/>
        <v>6179366536</v>
      </c>
      <c r="S1055" t="str">
        <f>IF(LEN(R1055),"Valid","Invalid")</f>
        <v>Valid</v>
      </c>
      <c r="T1055" t="s">
        <v>3550</v>
      </c>
      <c r="V1055" t="s">
        <v>57</v>
      </c>
      <c r="X1055">
        <v>9424.7099999999991</v>
      </c>
      <c r="Y1055" t="s">
        <v>17</v>
      </c>
      <c r="Z1055">
        <v>162</v>
      </c>
      <c r="AA1055">
        <f t="shared" si="33"/>
        <v>162</v>
      </c>
      <c r="AB1055" t="s">
        <v>77</v>
      </c>
    </row>
    <row r="1056" spans="1:28" x14ac:dyDescent="0.3">
      <c r="A1056" t="s">
        <v>3546</v>
      </c>
      <c r="B1056" t="s">
        <v>3545</v>
      </c>
      <c r="C1056" t="s">
        <v>3545</v>
      </c>
      <c r="D1056" t="s">
        <v>74</v>
      </c>
      <c r="E1056">
        <v>50</v>
      </c>
      <c r="F1056">
        <v>50</v>
      </c>
      <c r="G1056" t="s">
        <v>132</v>
      </c>
      <c r="H1056" t="s">
        <v>132</v>
      </c>
      <c r="I1056" t="s">
        <v>38</v>
      </c>
      <c r="J1056" t="s">
        <v>8077</v>
      </c>
      <c r="K1056" s="1">
        <v>46033</v>
      </c>
      <c r="L1056" s="1" t="str">
        <f>IF(K1056&gt;O1056,"Valid","Invalid")</f>
        <v>Valid</v>
      </c>
      <c r="M1056" s="1" t="b">
        <f>ISNUMBER(K1056)</f>
        <v>1</v>
      </c>
      <c r="N1056" s="1" t="b">
        <f>ISNUMBER(O1056)</f>
        <v>1</v>
      </c>
      <c r="O1056" s="1">
        <v>46017</v>
      </c>
      <c r="P1056" t="s">
        <v>3544</v>
      </c>
      <c r="Q1056" t="str">
        <f>SUBSTITUTE(SUBSTITUTE(SUBSTITUTE(P1056," ",""),"-",""),"+","")</f>
        <v>918705229853</v>
      </c>
      <c r="R1056" t="str">
        <f t="shared" si="32"/>
        <v>8705229853</v>
      </c>
      <c r="S1056" t="str">
        <f>IF(LEN(R1056),"Valid","Invalid")</f>
        <v>Valid</v>
      </c>
      <c r="T1056" t="s">
        <v>3543</v>
      </c>
      <c r="V1056" t="s">
        <v>17</v>
      </c>
      <c r="X1056">
        <v>2752.42</v>
      </c>
      <c r="Y1056" t="s">
        <v>63</v>
      </c>
      <c r="Z1056">
        <v>466</v>
      </c>
      <c r="AA1056">
        <f t="shared" si="33"/>
        <v>466</v>
      </c>
      <c r="AB1056" t="s">
        <v>34</v>
      </c>
    </row>
    <row r="1057" spans="1:28" x14ac:dyDescent="0.3">
      <c r="A1057" t="s">
        <v>3542</v>
      </c>
      <c r="B1057" t="s">
        <v>3541</v>
      </c>
      <c r="C1057" t="s">
        <v>3541</v>
      </c>
      <c r="D1057" t="s">
        <v>74</v>
      </c>
      <c r="E1057">
        <v>74</v>
      </c>
      <c r="F1057">
        <v>74</v>
      </c>
      <c r="G1057" t="s">
        <v>54</v>
      </c>
      <c r="H1057" t="s">
        <v>54</v>
      </c>
      <c r="I1057" t="s">
        <v>90</v>
      </c>
      <c r="J1057" t="s">
        <v>67</v>
      </c>
      <c r="K1057" s="1">
        <v>46147</v>
      </c>
      <c r="L1057" s="1" t="str">
        <f>IF(K1057&gt;O1057,"Valid","Invalid")</f>
        <v>Valid</v>
      </c>
      <c r="M1057" s="1" t="b">
        <f>ISNUMBER(K1057)</f>
        <v>1</v>
      </c>
      <c r="N1057" s="1" t="b">
        <f>ISNUMBER(O1057)</f>
        <v>1</v>
      </c>
      <c r="O1057" s="1">
        <v>46137</v>
      </c>
      <c r="P1057" t="s">
        <v>3540</v>
      </c>
      <c r="Q1057" t="str">
        <f>SUBSTITUTE(SUBSTITUTE(SUBSTITUTE(P1057," ",""),"-",""),"+","")</f>
        <v>919558987889</v>
      </c>
      <c r="R1057" t="str">
        <f t="shared" si="32"/>
        <v>9558987889</v>
      </c>
      <c r="S1057" t="str">
        <f>IF(LEN(R1057),"Valid","Invalid")</f>
        <v>Valid</v>
      </c>
      <c r="T1057" t="s">
        <v>3539</v>
      </c>
      <c r="V1057" t="s">
        <v>57</v>
      </c>
      <c r="X1057">
        <v>5114.13</v>
      </c>
      <c r="Y1057" t="s">
        <v>27</v>
      </c>
      <c r="Z1057">
        <v>510</v>
      </c>
      <c r="AA1057">
        <f t="shared" si="33"/>
        <v>510</v>
      </c>
      <c r="AB1057" t="s">
        <v>16</v>
      </c>
    </row>
    <row r="1058" spans="1:28" x14ac:dyDescent="0.3">
      <c r="A1058" t="s">
        <v>3538</v>
      </c>
      <c r="B1058" t="s">
        <v>3537</v>
      </c>
      <c r="C1058" t="s">
        <v>3537</v>
      </c>
      <c r="E1058">
        <v>6</v>
      </c>
      <c r="F1058">
        <v>6</v>
      </c>
      <c r="G1058" t="s">
        <v>132</v>
      </c>
      <c r="H1058" t="s">
        <v>132</v>
      </c>
      <c r="I1058" t="s">
        <v>90</v>
      </c>
      <c r="J1058" t="s">
        <v>67</v>
      </c>
      <c r="K1058" s="1">
        <v>46095</v>
      </c>
      <c r="L1058" s="1" t="str">
        <f>IF(K1058&gt;O1058,"Valid","Invalid")</f>
        <v>Valid</v>
      </c>
      <c r="M1058" s="1" t="b">
        <f>ISNUMBER(K1058)</f>
        <v>1</v>
      </c>
      <c r="N1058" s="1" t="b">
        <f>ISNUMBER(O1058)</f>
        <v>1</v>
      </c>
      <c r="O1058" s="1">
        <v>46092</v>
      </c>
      <c r="P1058" t="s">
        <v>3536</v>
      </c>
      <c r="Q1058" t="str">
        <f>SUBSTITUTE(SUBSTITUTE(SUBSTITUTE(P1058," ",""),"-",""),"+","")</f>
        <v>914913450420</v>
      </c>
      <c r="R1058" t="str">
        <f t="shared" si="32"/>
        <v>4913450420</v>
      </c>
      <c r="S1058" t="str">
        <f>IF(LEN(R1058),"Valid","Invalid")</f>
        <v>Valid</v>
      </c>
      <c r="T1058" t="s">
        <v>3535</v>
      </c>
      <c r="V1058" t="s">
        <v>64</v>
      </c>
      <c r="X1058">
        <v>11429.07</v>
      </c>
      <c r="Y1058" t="s">
        <v>17</v>
      </c>
      <c r="Z1058">
        <v>402</v>
      </c>
      <c r="AA1058">
        <f t="shared" si="33"/>
        <v>402</v>
      </c>
      <c r="AB1058" t="s">
        <v>16</v>
      </c>
    </row>
    <row r="1059" spans="1:28" x14ac:dyDescent="0.3">
      <c r="A1059" t="s">
        <v>3530</v>
      </c>
      <c r="B1059" t="s">
        <v>3529</v>
      </c>
      <c r="C1059" t="s">
        <v>3529</v>
      </c>
      <c r="D1059" t="s">
        <v>123</v>
      </c>
      <c r="E1059">
        <v>5</v>
      </c>
      <c r="F1059">
        <v>5</v>
      </c>
      <c r="G1059" t="s">
        <v>47</v>
      </c>
      <c r="H1059" t="s">
        <v>47</v>
      </c>
      <c r="I1059" t="s">
        <v>67</v>
      </c>
      <c r="J1059" t="s">
        <v>67</v>
      </c>
      <c r="K1059" s="1">
        <v>46012</v>
      </c>
      <c r="L1059" s="1" t="str">
        <f>IF(K1059&gt;O1059,"Valid","Invalid")</f>
        <v>Valid</v>
      </c>
      <c r="M1059" s="1" t="b">
        <f>ISNUMBER(K1059)</f>
        <v>1</v>
      </c>
      <c r="N1059" s="1" t="b">
        <f>ISNUMBER(O1059)</f>
        <v>1</v>
      </c>
      <c r="O1059" s="1">
        <v>45992</v>
      </c>
      <c r="P1059" t="s">
        <v>3528</v>
      </c>
      <c r="Q1059" t="str">
        <f>SUBSTITUTE(SUBSTITUTE(SUBSTITUTE(P1059," ",""),"-",""),"+","")</f>
        <v>0927567874</v>
      </c>
      <c r="R1059" t="str">
        <f t="shared" si="32"/>
        <v>0927567874</v>
      </c>
      <c r="S1059" t="str">
        <f>IF(LEN(R1059),"Valid","Invalid")</f>
        <v>Valid</v>
      </c>
      <c r="T1059" t="s">
        <v>3527</v>
      </c>
      <c r="V1059" t="s">
        <v>27</v>
      </c>
      <c r="X1059">
        <v>1922.46</v>
      </c>
      <c r="Y1059" t="s">
        <v>64</v>
      </c>
      <c r="Z1059">
        <v>524</v>
      </c>
      <c r="AA1059">
        <f t="shared" si="33"/>
        <v>524</v>
      </c>
      <c r="AB1059" t="s">
        <v>50</v>
      </c>
    </row>
    <row r="1060" spans="1:28" x14ac:dyDescent="0.3">
      <c r="A1060" t="s">
        <v>3526</v>
      </c>
      <c r="B1060" t="s">
        <v>3525</v>
      </c>
      <c r="C1060" t="s">
        <v>3525</v>
      </c>
      <c r="D1060" t="s">
        <v>123</v>
      </c>
      <c r="E1060">
        <v>39</v>
      </c>
      <c r="F1060">
        <v>39</v>
      </c>
      <c r="G1060" t="s">
        <v>132</v>
      </c>
      <c r="H1060" t="s">
        <v>132</v>
      </c>
      <c r="I1060" t="s">
        <v>67</v>
      </c>
      <c r="J1060" t="s">
        <v>67</v>
      </c>
      <c r="K1060" s="1">
        <v>46096</v>
      </c>
      <c r="L1060" s="1" t="str">
        <f>IF(K1060&gt;O1060,"Valid","Invalid")</f>
        <v>Valid</v>
      </c>
      <c r="M1060" s="1" t="b">
        <f>ISNUMBER(K1060)</f>
        <v>1</v>
      </c>
      <c r="N1060" s="1" t="b">
        <f>ISNUMBER(O1060)</f>
        <v>1</v>
      </c>
      <c r="O1060" s="1">
        <v>46072</v>
      </c>
      <c r="P1060" t="s">
        <v>3524</v>
      </c>
      <c r="Q1060" t="str">
        <f>SUBSTITUTE(SUBSTITUTE(SUBSTITUTE(P1060," ",""),"-",""),"+","")</f>
        <v>912531434910</v>
      </c>
      <c r="R1060" t="str">
        <f t="shared" si="32"/>
        <v>2531434910</v>
      </c>
      <c r="S1060" t="str">
        <f>IF(LEN(R1060),"Valid","Invalid")</f>
        <v>Valid</v>
      </c>
      <c r="T1060" t="s">
        <v>3523</v>
      </c>
      <c r="V1060" t="s">
        <v>57</v>
      </c>
      <c r="X1060">
        <v>10128.540000000001</v>
      </c>
      <c r="Y1060" t="s">
        <v>17</v>
      </c>
      <c r="Z1060">
        <v>352</v>
      </c>
      <c r="AA1060">
        <f t="shared" si="33"/>
        <v>352</v>
      </c>
      <c r="AB1060" t="s">
        <v>34</v>
      </c>
    </row>
    <row r="1061" spans="1:28" x14ac:dyDescent="0.3">
      <c r="A1061" t="s">
        <v>3522</v>
      </c>
      <c r="B1061" t="s">
        <v>3521</v>
      </c>
      <c r="C1061" t="s">
        <v>3521</v>
      </c>
      <c r="D1061" t="s">
        <v>40</v>
      </c>
      <c r="E1061">
        <v>51</v>
      </c>
      <c r="F1061">
        <v>51</v>
      </c>
      <c r="G1061" t="s">
        <v>132</v>
      </c>
      <c r="H1061" t="s">
        <v>132</v>
      </c>
      <c r="I1061" t="s">
        <v>85</v>
      </c>
      <c r="J1061" t="s">
        <v>85</v>
      </c>
      <c r="K1061" s="1">
        <v>46074</v>
      </c>
      <c r="L1061" s="1" t="str">
        <f>IF(K1061&gt;O1061,"Valid","Invalid")</f>
        <v>Valid</v>
      </c>
      <c r="M1061" s="1" t="b">
        <f>ISNUMBER(K1061)</f>
        <v>1</v>
      </c>
      <c r="N1061" s="1" t="b">
        <f>ISNUMBER(O1061)</f>
        <v>1</v>
      </c>
      <c r="O1061" s="1">
        <v>46059</v>
      </c>
      <c r="P1061" t="s">
        <v>3520</v>
      </c>
      <c r="Q1061" t="str">
        <f>SUBSTITUTE(SUBSTITUTE(SUBSTITUTE(P1061," ",""),"-",""),"+","")</f>
        <v>919613502561</v>
      </c>
      <c r="R1061" t="str">
        <f t="shared" si="32"/>
        <v>9613502561</v>
      </c>
      <c r="S1061" t="str">
        <f>IF(LEN(R1061),"Valid","Invalid")</f>
        <v>Valid</v>
      </c>
      <c r="T1061" t="s">
        <v>3519</v>
      </c>
      <c r="V1061" t="s">
        <v>64</v>
      </c>
      <c r="X1061">
        <v>21108.28</v>
      </c>
      <c r="Y1061" t="s">
        <v>64</v>
      </c>
      <c r="Z1061">
        <v>114</v>
      </c>
      <c r="AA1061">
        <f t="shared" si="33"/>
        <v>114</v>
      </c>
      <c r="AB1061" t="s">
        <v>71</v>
      </c>
    </row>
    <row r="1062" spans="1:28" x14ac:dyDescent="0.3">
      <c r="A1062" t="s">
        <v>3518</v>
      </c>
      <c r="B1062" t="s">
        <v>3517</v>
      </c>
      <c r="C1062" t="s">
        <v>3517</v>
      </c>
      <c r="D1062" t="s">
        <v>40</v>
      </c>
      <c r="E1062">
        <v>2</v>
      </c>
      <c r="F1062">
        <v>2</v>
      </c>
      <c r="G1062" t="s">
        <v>39</v>
      </c>
      <c r="H1062" t="s">
        <v>39</v>
      </c>
      <c r="I1062" t="s">
        <v>20</v>
      </c>
      <c r="J1062" t="s">
        <v>20</v>
      </c>
      <c r="K1062" s="1">
        <v>46035</v>
      </c>
      <c r="L1062" s="1" t="str">
        <f>IF(K1062&gt;O1062,"Valid","Invalid")</f>
        <v>Valid</v>
      </c>
      <c r="M1062" s="1" t="b">
        <f>ISNUMBER(K1062)</f>
        <v>1</v>
      </c>
      <c r="N1062" s="1" t="b">
        <f>ISNUMBER(O1062)</f>
        <v>1</v>
      </c>
      <c r="O1062" s="1">
        <v>46025</v>
      </c>
      <c r="P1062" t="s">
        <v>3516</v>
      </c>
      <c r="Q1062" t="str">
        <f>SUBSTITUTE(SUBSTITUTE(SUBSTITUTE(P1062," ",""),"-",""),"+","")</f>
        <v>5288546945</v>
      </c>
      <c r="R1062" t="str">
        <f t="shared" si="32"/>
        <v>5288546945</v>
      </c>
      <c r="S1062" t="str">
        <f>IF(LEN(R1062),"Valid","Invalid")</f>
        <v>Valid</v>
      </c>
      <c r="T1062" t="s">
        <v>3515</v>
      </c>
      <c r="V1062" t="s">
        <v>123</v>
      </c>
      <c r="X1062">
        <v>5813.26</v>
      </c>
      <c r="Y1062" t="s">
        <v>64</v>
      </c>
      <c r="Z1062">
        <v>197</v>
      </c>
      <c r="AA1062">
        <f t="shared" si="33"/>
        <v>197</v>
      </c>
      <c r="AB1062" t="s">
        <v>25</v>
      </c>
    </row>
    <row r="1063" spans="1:28" x14ac:dyDescent="0.3">
      <c r="A1063" t="s">
        <v>3514</v>
      </c>
      <c r="B1063" t="s">
        <v>3513</v>
      </c>
      <c r="C1063" t="s">
        <v>3513</v>
      </c>
      <c r="D1063" t="s">
        <v>60</v>
      </c>
      <c r="E1063">
        <v>69</v>
      </c>
      <c r="F1063">
        <v>69</v>
      </c>
      <c r="G1063" t="s">
        <v>47</v>
      </c>
      <c r="H1063" t="s">
        <v>47</v>
      </c>
      <c r="I1063" t="s">
        <v>46</v>
      </c>
      <c r="J1063" t="s">
        <v>46</v>
      </c>
      <c r="K1063" s="1">
        <v>46147</v>
      </c>
      <c r="L1063" s="1" t="str">
        <f>IF(K1063&gt;O1063,"Valid","Invalid")</f>
        <v>Valid</v>
      </c>
      <c r="M1063" s="1" t="b">
        <f>ISNUMBER(K1063)</f>
        <v>1</v>
      </c>
      <c r="N1063" s="1" t="b">
        <f>ISNUMBER(O1063)</f>
        <v>1</v>
      </c>
      <c r="O1063" s="1">
        <v>46139</v>
      </c>
      <c r="P1063" t="s">
        <v>3512</v>
      </c>
      <c r="Q1063" t="str">
        <f>SUBSTITUTE(SUBSTITUTE(SUBSTITUTE(P1063," ",""),"-",""),"+","")</f>
        <v>4440492661</v>
      </c>
      <c r="R1063" t="str">
        <f t="shared" si="32"/>
        <v>4440492661</v>
      </c>
      <c r="S1063" t="str">
        <f>IF(LEN(R1063),"Valid","Invalid")</f>
        <v>Valid</v>
      </c>
      <c r="T1063" t="s">
        <v>3511</v>
      </c>
      <c r="V1063" t="s">
        <v>27</v>
      </c>
      <c r="X1063">
        <v>2947.93</v>
      </c>
      <c r="Y1063" t="s">
        <v>63</v>
      </c>
      <c r="Z1063">
        <v>138</v>
      </c>
      <c r="AA1063">
        <f t="shared" si="33"/>
        <v>138</v>
      </c>
      <c r="AB1063" t="s">
        <v>43</v>
      </c>
    </row>
    <row r="1064" spans="1:28" x14ac:dyDescent="0.3">
      <c r="A1064" t="s">
        <v>3510</v>
      </c>
      <c r="B1064" t="s">
        <v>3509</v>
      </c>
      <c r="C1064" t="s">
        <v>3509</v>
      </c>
      <c r="D1064" t="s">
        <v>60</v>
      </c>
      <c r="E1064">
        <v>89</v>
      </c>
      <c r="F1064">
        <v>89</v>
      </c>
      <c r="G1064" t="s">
        <v>54</v>
      </c>
      <c r="H1064" t="s">
        <v>54</v>
      </c>
      <c r="I1064" t="s">
        <v>30</v>
      </c>
      <c r="J1064" t="s">
        <v>30</v>
      </c>
      <c r="K1064" s="1">
        <v>46103</v>
      </c>
      <c r="L1064" s="1" t="str">
        <f>IF(K1064&gt;O1064,"Valid","Invalid")</f>
        <v>Valid</v>
      </c>
      <c r="M1064" s="1" t="b">
        <f>ISNUMBER(K1064)</f>
        <v>1</v>
      </c>
      <c r="N1064" s="1" t="b">
        <f>ISNUMBER(O1064)</f>
        <v>1</v>
      </c>
      <c r="O1064" s="1">
        <v>46081</v>
      </c>
      <c r="P1064" t="s">
        <v>3508</v>
      </c>
      <c r="Q1064" t="str">
        <f>SUBSTITUTE(SUBSTITUTE(SUBSTITUTE(P1064," ",""),"-",""),"+","")</f>
        <v>915060441158</v>
      </c>
      <c r="R1064" t="str">
        <f t="shared" si="32"/>
        <v>5060441158</v>
      </c>
      <c r="S1064" t="str">
        <f>IF(LEN(R1064),"Valid","Invalid")</f>
        <v>Valid</v>
      </c>
      <c r="T1064" t="s">
        <v>3507</v>
      </c>
      <c r="V1064" t="s">
        <v>35</v>
      </c>
      <c r="X1064">
        <v>23136.49</v>
      </c>
      <c r="Y1064" t="s">
        <v>123</v>
      </c>
      <c r="Z1064">
        <v>161</v>
      </c>
      <c r="AA1064">
        <f t="shared" si="33"/>
        <v>161</v>
      </c>
      <c r="AB1064" t="s">
        <v>71</v>
      </c>
    </row>
    <row r="1065" spans="1:28" x14ac:dyDescent="0.3">
      <c r="A1065" t="s">
        <v>3506</v>
      </c>
      <c r="B1065" t="s">
        <v>3505</v>
      </c>
      <c r="C1065" t="s">
        <v>3505</v>
      </c>
      <c r="D1065" t="s">
        <v>60</v>
      </c>
      <c r="E1065">
        <v>19</v>
      </c>
      <c r="F1065">
        <v>19</v>
      </c>
      <c r="G1065" t="s">
        <v>54</v>
      </c>
      <c r="H1065" t="s">
        <v>54</v>
      </c>
      <c r="I1065" t="s">
        <v>85</v>
      </c>
      <c r="J1065" t="s">
        <v>85</v>
      </c>
      <c r="K1065" s="1">
        <v>46014</v>
      </c>
      <c r="L1065" s="1" t="str">
        <f>IF(K1065&gt;O1065,"Valid","Invalid")</f>
        <v>Valid</v>
      </c>
      <c r="M1065" s="1" t="b">
        <f>ISNUMBER(K1065)</f>
        <v>1</v>
      </c>
      <c r="N1065" s="1" t="b">
        <f>ISNUMBER(O1065)</f>
        <v>1</v>
      </c>
      <c r="O1065" s="1">
        <v>45993</v>
      </c>
      <c r="P1065" t="s">
        <v>3504</v>
      </c>
      <c r="Q1065" t="str">
        <f>SUBSTITUTE(SUBSTITUTE(SUBSTITUTE(P1065," ",""),"-",""),"+","")</f>
        <v>5911411450</v>
      </c>
      <c r="R1065" t="str">
        <f t="shared" si="32"/>
        <v>5911411450</v>
      </c>
      <c r="S1065" t="str">
        <f>IF(LEN(R1065),"Valid","Invalid")</f>
        <v>Valid</v>
      </c>
      <c r="T1065" t="s">
        <v>3503</v>
      </c>
      <c r="V1065" t="s">
        <v>64</v>
      </c>
      <c r="X1065">
        <v>13139.74</v>
      </c>
      <c r="Y1065" t="s">
        <v>57</v>
      </c>
      <c r="Z1065">
        <v>395</v>
      </c>
      <c r="AA1065">
        <f t="shared" si="33"/>
        <v>395</v>
      </c>
      <c r="AB1065" t="s">
        <v>16</v>
      </c>
    </row>
    <row r="1066" spans="1:28" x14ac:dyDescent="0.3">
      <c r="A1066" t="s">
        <v>3502</v>
      </c>
      <c r="B1066" t="s">
        <v>3501</v>
      </c>
      <c r="C1066" t="s">
        <v>3501</v>
      </c>
      <c r="E1066">
        <v>36</v>
      </c>
      <c r="F1066">
        <v>36</v>
      </c>
      <c r="G1066" t="s">
        <v>31</v>
      </c>
      <c r="H1066" t="s">
        <v>31</v>
      </c>
      <c r="I1066" t="s">
        <v>85</v>
      </c>
      <c r="J1066" t="s">
        <v>85</v>
      </c>
      <c r="K1066" s="1">
        <v>46030</v>
      </c>
      <c r="L1066" s="1" t="str">
        <f>IF(K1066&gt;O1066,"Valid","Invalid")</f>
        <v>Valid</v>
      </c>
      <c r="M1066" s="1" t="b">
        <f>ISNUMBER(K1066)</f>
        <v>1</v>
      </c>
      <c r="N1066" s="1" t="b">
        <f>ISNUMBER(O1066)</f>
        <v>1</v>
      </c>
      <c r="O1066" s="1">
        <v>46023</v>
      </c>
      <c r="P1066" t="s">
        <v>3500</v>
      </c>
      <c r="Q1066" t="str">
        <f>SUBSTITUTE(SUBSTITUTE(SUBSTITUTE(P1066," ",""),"-",""),"+","")</f>
        <v>4577524955</v>
      </c>
      <c r="R1066" t="str">
        <f t="shared" si="32"/>
        <v>4577524955</v>
      </c>
      <c r="S1066" t="str">
        <f>IF(LEN(R1066),"Valid","Invalid")</f>
        <v>Valid</v>
      </c>
      <c r="T1066" t="s">
        <v>3499</v>
      </c>
      <c r="V1066" t="s">
        <v>64</v>
      </c>
      <c r="X1066">
        <v>6742.54</v>
      </c>
      <c r="Y1066" t="s">
        <v>63</v>
      </c>
      <c r="Z1066">
        <v>464</v>
      </c>
      <c r="AA1066">
        <f t="shared" si="33"/>
        <v>464</v>
      </c>
      <c r="AB1066" t="s">
        <v>77</v>
      </c>
    </row>
    <row r="1067" spans="1:28" x14ac:dyDescent="0.3">
      <c r="A1067" t="s">
        <v>3498</v>
      </c>
      <c r="B1067" t="s">
        <v>3497</v>
      </c>
      <c r="C1067" t="s">
        <v>3497</v>
      </c>
      <c r="D1067" t="s">
        <v>60</v>
      </c>
      <c r="E1067">
        <v>72</v>
      </c>
      <c r="F1067">
        <v>72</v>
      </c>
      <c r="G1067" t="s">
        <v>21</v>
      </c>
      <c r="H1067" t="s">
        <v>21</v>
      </c>
      <c r="I1067" t="s">
        <v>38</v>
      </c>
      <c r="J1067" t="s">
        <v>8077</v>
      </c>
      <c r="K1067" s="1">
        <v>46006</v>
      </c>
      <c r="L1067" s="1" t="str">
        <f>IF(K1067&gt;O1067,"Valid","Invalid")</f>
        <v>Valid</v>
      </c>
      <c r="M1067" s="1" t="b">
        <f>ISNUMBER(K1067)</f>
        <v>1</v>
      </c>
      <c r="N1067" s="1" t="b">
        <f>ISNUMBER(O1067)</f>
        <v>1</v>
      </c>
      <c r="O1067" s="1">
        <v>45984</v>
      </c>
      <c r="P1067" t="s">
        <v>3496</v>
      </c>
      <c r="Q1067" t="str">
        <f>SUBSTITUTE(SUBSTITUTE(SUBSTITUTE(P1067," ",""),"-",""),"+","")</f>
        <v>915232543377</v>
      </c>
      <c r="R1067" t="str">
        <f t="shared" si="32"/>
        <v>5232543377</v>
      </c>
      <c r="S1067" t="str">
        <f>IF(LEN(R1067),"Valid","Invalid")</f>
        <v>Valid</v>
      </c>
      <c r="T1067" t="s">
        <v>3495</v>
      </c>
      <c r="V1067" t="s">
        <v>64</v>
      </c>
      <c r="X1067">
        <v>2063.58</v>
      </c>
      <c r="Y1067" t="s">
        <v>123</v>
      </c>
      <c r="Z1067">
        <v>130</v>
      </c>
      <c r="AA1067">
        <f t="shared" si="33"/>
        <v>130</v>
      </c>
      <c r="AB1067" t="s">
        <v>71</v>
      </c>
    </row>
    <row r="1068" spans="1:28" x14ac:dyDescent="0.3">
      <c r="A1068" t="s">
        <v>3494</v>
      </c>
      <c r="B1068" t="s">
        <v>3493</v>
      </c>
      <c r="C1068" t="s">
        <v>3493</v>
      </c>
      <c r="D1068" t="s">
        <v>40</v>
      </c>
      <c r="E1068">
        <v>86</v>
      </c>
      <c r="F1068">
        <v>86</v>
      </c>
      <c r="G1068" t="s">
        <v>21</v>
      </c>
      <c r="H1068" t="s">
        <v>21</v>
      </c>
      <c r="I1068" t="s">
        <v>85</v>
      </c>
      <c r="J1068" t="s">
        <v>85</v>
      </c>
      <c r="K1068" s="1">
        <v>46150</v>
      </c>
      <c r="L1068" s="1" t="str">
        <f>IF(K1068&gt;O1068,"Valid","Invalid")</f>
        <v>Valid</v>
      </c>
      <c r="M1068" s="1" t="b">
        <f>ISNUMBER(K1068)</f>
        <v>1</v>
      </c>
      <c r="N1068" s="1" t="b">
        <f>ISNUMBER(O1068)</f>
        <v>1</v>
      </c>
      <c r="O1068" s="1">
        <v>46124</v>
      </c>
      <c r="P1068" t="s">
        <v>3492</v>
      </c>
      <c r="Q1068" t="str">
        <f>SUBSTITUTE(SUBSTITUTE(SUBSTITUTE(P1068," ",""),"-",""),"+","")</f>
        <v>07271802702</v>
      </c>
      <c r="R1068" t="str">
        <f t="shared" si="32"/>
        <v>7271802702</v>
      </c>
      <c r="S1068" t="str">
        <f>IF(LEN(R1068),"Valid","Invalid")</f>
        <v>Valid</v>
      </c>
      <c r="T1068" t="s">
        <v>3491</v>
      </c>
      <c r="V1068" t="s">
        <v>123</v>
      </c>
      <c r="X1068">
        <v>4860.3500000000004</v>
      </c>
      <c r="Y1068" t="s">
        <v>64</v>
      </c>
      <c r="Z1068">
        <v>274</v>
      </c>
      <c r="AA1068">
        <f t="shared" si="33"/>
        <v>274</v>
      </c>
      <c r="AB1068" t="s">
        <v>71</v>
      </c>
    </row>
    <row r="1069" spans="1:28" x14ac:dyDescent="0.3">
      <c r="A1069" t="s">
        <v>3490</v>
      </c>
      <c r="B1069" t="s">
        <v>3489</v>
      </c>
      <c r="C1069" t="s">
        <v>3489</v>
      </c>
      <c r="D1069" t="s">
        <v>60</v>
      </c>
      <c r="E1069">
        <v>40</v>
      </c>
      <c r="F1069">
        <v>40</v>
      </c>
      <c r="G1069" t="s">
        <v>68</v>
      </c>
      <c r="H1069" t="s">
        <v>68</v>
      </c>
      <c r="I1069" t="s">
        <v>53</v>
      </c>
      <c r="J1069" t="s">
        <v>20</v>
      </c>
      <c r="K1069" s="1">
        <v>46176</v>
      </c>
      <c r="L1069" s="1" t="str">
        <f>IF(K1069&gt;O1069,"Valid","Invalid")</f>
        <v>Valid</v>
      </c>
      <c r="M1069" s="1" t="b">
        <f>ISNUMBER(K1069)</f>
        <v>1</v>
      </c>
      <c r="N1069" s="1" t="b">
        <f>ISNUMBER(O1069)</f>
        <v>1</v>
      </c>
      <c r="O1069" s="1">
        <v>46149</v>
      </c>
      <c r="P1069" t="s">
        <v>3488</v>
      </c>
      <c r="Q1069" t="str">
        <f>SUBSTITUTE(SUBSTITUTE(SUBSTITUTE(P1069," ",""),"-",""),"+","")</f>
        <v>2896750647</v>
      </c>
      <c r="R1069" t="str">
        <f t="shared" si="32"/>
        <v>2896750647</v>
      </c>
      <c r="S1069" t="str">
        <f>IF(LEN(R1069),"Valid","Invalid")</f>
        <v>Valid</v>
      </c>
      <c r="T1069" t="s">
        <v>3487</v>
      </c>
      <c r="V1069" t="s">
        <v>64</v>
      </c>
      <c r="X1069">
        <v>22870.31</v>
      </c>
      <c r="Y1069" t="s">
        <v>57</v>
      </c>
      <c r="Z1069">
        <v>286</v>
      </c>
      <c r="AA1069">
        <f t="shared" si="33"/>
        <v>286</v>
      </c>
      <c r="AB1069" t="s">
        <v>16</v>
      </c>
    </row>
    <row r="1070" spans="1:28" x14ac:dyDescent="0.3">
      <c r="A1070" t="s">
        <v>3486</v>
      </c>
      <c r="B1070" t="s">
        <v>3485</v>
      </c>
      <c r="C1070" t="s">
        <v>3485</v>
      </c>
      <c r="E1070">
        <v>80</v>
      </c>
      <c r="F1070">
        <v>80</v>
      </c>
      <c r="G1070" t="s">
        <v>21</v>
      </c>
      <c r="H1070" t="s">
        <v>21</v>
      </c>
      <c r="I1070" t="s">
        <v>90</v>
      </c>
      <c r="J1070" t="s">
        <v>67</v>
      </c>
      <c r="K1070" s="1">
        <v>46018</v>
      </c>
      <c r="L1070" s="1" t="str">
        <f>IF(K1070&gt;O1070,"Valid","Invalid")</f>
        <v>Valid</v>
      </c>
      <c r="M1070" s="1" t="b">
        <f>ISNUMBER(K1070)</f>
        <v>1</v>
      </c>
      <c r="N1070" s="1" t="b">
        <f>ISNUMBER(O1070)</f>
        <v>1</v>
      </c>
      <c r="O1070" s="1">
        <v>46012</v>
      </c>
      <c r="P1070" t="s">
        <v>3484</v>
      </c>
      <c r="Q1070" t="str">
        <f>SUBSTITUTE(SUBSTITUTE(SUBSTITUTE(P1070," ",""),"-",""),"+","")</f>
        <v>915182675786</v>
      </c>
      <c r="R1070" t="str">
        <f t="shared" si="32"/>
        <v>5182675786</v>
      </c>
      <c r="S1070" t="str">
        <f>IF(LEN(R1070),"Valid","Invalid")</f>
        <v>Valid</v>
      </c>
      <c r="T1070" t="s">
        <v>3483</v>
      </c>
      <c r="V1070" t="s">
        <v>64</v>
      </c>
      <c r="X1070">
        <v>7090.39</v>
      </c>
      <c r="Y1070" t="s">
        <v>26</v>
      </c>
      <c r="Z1070">
        <v>451</v>
      </c>
      <c r="AA1070">
        <f t="shared" si="33"/>
        <v>451</v>
      </c>
      <c r="AB1070" t="s">
        <v>43</v>
      </c>
    </row>
    <row r="1071" spans="1:28" x14ac:dyDescent="0.3">
      <c r="A1071" t="s">
        <v>3482</v>
      </c>
      <c r="B1071" t="s">
        <v>3481</v>
      </c>
      <c r="C1071" t="s">
        <v>3481</v>
      </c>
      <c r="D1071" t="s">
        <v>74</v>
      </c>
      <c r="E1071">
        <v>19</v>
      </c>
      <c r="F1071">
        <v>19</v>
      </c>
      <c r="G1071" t="s">
        <v>68</v>
      </c>
      <c r="H1071" t="s">
        <v>68</v>
      </c>
      <c r="I1071" t="s">
        <v>20</v>
      </c>
      <c r="J1071" t="s">
        <v>20</v>
      </c>
      <c r="K1071" s="1">
        <v>46005</v>
      </c>
      <c r="L1071" s="1" t="str">
        <f>IF(K1071&gt;O1071,"Valid","Invalid")</f>
        <v>Valid</v>
      </c>
      <c r="M1071" s="1" t="b">
        <f>ISNUMBER(K1071)</f>
        <v>1</v>
      </c>
      <c r="N1071" s="1" t="b">
        <f>ISNUMBER(O1071)</f>
        <v>1</v>
      </c>
      <c r="O1071" s="1">
        <v>45982</v>
      </c>
      <c r="P1071" t="s">
        <v>3480</v>
      </c>
      <c r="Q1071" t="str">
        <f>SUBSTITUTE(SUBSTITUTE(SUBSTITUTE(P1071," ",""),"-",""),"+","")</f>
        <v>916458148488</v>
      </c>
      <c r="R1071" t="str">
        <f t="shared" si="32"/>
        <v>6458148488</v>
      </c>
      <c r="S1071" t="str">
        <f>IF(LEN(R1071),"Valid","Invalid")</f>
        <v>Valid</v>
      </c>
      <c r="T1071" t="s">
        <v>3479</v>
      </c>
      <c r="V1071" t="s">
        <v>64</v>
      </c>
      <c r="X1071">
        <v>6165.95</v>
      </c>
      <c r="Y1071" t="s">
        <v>123</v>
      </c>
      <c r="Z1071">
        <v>195</v>
      </c>
      <c r="AA1071">
        <f t="shared" si="33"/>
        <v>195</v>
      </c>
      <c r="AB1071" t="s">
        <v>43</v>
      </c>
    </row>
    <row r="1072" spans="1:28" x14ac:dyDescent="0.3">
      <c r="A1072" t="s">
        <v>3478</v>
      </c>
      <c r="B1072" t="s">
        <v>3477</v>
      </c>
      <c r="C1072" t="s">
        <v>3477</v>
      </c>
      <c r="D1072" t="s">
        <v>40</v>
      </c>
      <c r="E1072">
        <v>61</v>
      </c>
      <c r="F1072">
        <v>61</v>
      </c>
      <c r="G1072" t="s">
        <v>68</v>
      </c>
      <c r="H1072" t="s">
        <v>68</v>
      </c>
      <c r="I1072" t="s">
        <v>67</v>
      </c>
      <c r="J1072" t="s">
        <v>67</v>
      </c>
      <c r="K1072" s="1">
        <v>46084</v>
      </c>
      <c r="L1072" s="1" t="str">
        <f>IF(K1072&gt;O1072,"Valid","Invalid")</f>
        <v>Valid</v>
      </c>
      <c r="M1072" s="1" t="b">
        <f>ISNUMBER(K1072)</f>
        <v>1</v>
      </c>
      <c r="N1072" s="1" t="b">
        <f>ISNUMBER(O1072)</f>
        <v>1</v>
      </c>
      <c r="O1072" s="1">
        <v>46076</v>
      </c>
      <c r="P1072" t="s">
        <v>3476</v>
      </c>
      <c r="Q1072" t="str">
        <f>SUBSTITUTE(SUBSTITUTE(SUBSTITUTE(P1072," ",""),"-",""),"+","")</f>
        <v>06422855898</v>
      </c>
      <c r="R1072" t="str">
        <f t="shared" si="32"/>
        <v>6422855898</v>
      </c>
      <c r="S1072" t="str">
        <f>IF(LEN(R1072),"Valid","Invalid")</f>
        <v>Valid</v>
      </c>
      <c r="T1072" t="s">
        <v>3475</v>
      </c>
      <c r="V1072" t="s">
        <v>64</v>
      </c>
      <c r="X1072">
        <v>23187.81</v>
      </c>
      <c r="Y1072" t="s">
        <v>64</v>
      </c>
      <c r="Z1072">
        <v>281</v>
      </c>
      <c r="AA1072">
        <f t="shared" si="33"/>
        <v>281</v>
      </c>
      <c r="AB1072" t="s">
        <v>16</v>
      </c>
    </row>
    <row r="1073" spans="1:28" x14ac:dyDescent="0.3">
      <c r="A1073" t="s">
        <v>3474</v>
      </c>
      <c r="B1073" t="s">
        <v>3473</v>
      </c>
      <c r="C1073" t="s">
        <v>3473</v>
      </c>
      <c r="D1073" t="s">
        <v>1</v>
      </c>
      <c r="E1073">
        <v>20</v>
      </c>
      <c r="F1073">
        <v>20</v>
      </c>
      <c r="G1073" t="s">
        <v>54</v>
      </c>
      <c r="H1073" t="s">
        <v>54</v>
      </c>
      <c r="I1073" t="s">
        <v>90</v>
      </c>
      <c r="J1073" t="s">
        <v>67</v>
      </c>
      <c r="K1073" s="1">
        <v>46031</v>
      </c>
      <c r="L1073" s="1" t="str">
        <f>IF(K1073&gt;O1073,"Valid","Invalid")</f>
        <v>Valid</v>
      </c>
      <c r="M1073" s="1" t="b">
        <f>ISNUMBER(K1073)</f>
        <v>1</v>
      </c>
      <c r="N1073" s="1" t="b">
        <f>ISNUMBER(O1073)</f>
        <v>1</v>
      </c>
      <c r="O1073" s="1">
        <v>46015</v>
      </c>
      <c r="P1073" t="s">
        <v>3472</v>
      </c>
      <c r="Q1073" t="str">
        <f>SUBSTITUTE(SUBSTITUTE(SUBSTITUTE(P1073," ",""),"-",""),"+","")</f>
        <v>913782250981</v>
      </c>
      <c r="R1073" t="str">
        <f t="shared" si="32"/>
        <v>3782250981</v>
      </c>
      <c r="S1073" t="str">
        <f>IF(LEN(R1073),"Valid","Invalid")</f>
        <v>Valid</v>
      </c>
      <c r="T1073" t="s">
        <v>3471</v>
      </c>
      <c r="V1073" t="s">
        <v>57</v>
      </c>
      <c r="X1073">
        <v>1518.3</v>
      </c>
      <c r="Y1073" t="s">
        <v>63</v>
      </c>
      <c r="Z1073">
        <v>289</v>
      </c>
      <c r="AA1073">
        <f t="shared" si="33"/>
        <v>289</v>
      </c>
      <c r="AB1073" t="s">
        <v>77</v>
      </c>
    </row>
    <row r="1074" spans="1:28" x14ac:dyDescent="0.3">
      <c r="A1074" t="s">
        <v>3470</v>
      </c>
      <c r="B1074" t="s">
        <v>3469</v>
      </c>
      <c r="C1074" t="s">
        <v>3469</v>
      </c>
      <c r="D1074" t="s">
        <v>40</v>
      </c>
      <c r="E1074">
        <v>84</v>
      </c>
      <c r="F1074">
        <v>84</v>
      </c>
      <c r="G1074" t="s">
        <v>54</v>
      </c>
      <c r="H1074" t="s">
        <v>54</v>
      </c>
      <c r="I1074" t="s">
        <v>90</v>
      </c>
      <c r="J1074" t="s">
        <v>67</v>
      </c>
      <c r="K1074" s="1">
        <v>46035</v>
      </c>
      <c r="L1074" s="1" t="str">
        <f>IF(K1074&gt;O1074,"Valid","Invalid")</f>
        <v>Valid</v>
      </c>
      <c r="M1074" s="1" t="b">
        <f>ISNUMBER(K1074)</f>
        <v>1</v>
      </c>
      <c r="N1074" s="1" t="b">
        <f>ISNUMBER(O1074)</f>
        <v>1</v>
      </c>
      <c r="O1074" s="1">
        <v>46029</v>
      </c>
      <c r="P1074" t="s">
        <v>3468</v>
      </c>
      <c r="Q1074" t="str">
        <f>SUBSTITUTE(SUBSTITUTE(SUBSTITUTE(P1074," ",""),"-",""),"+","")</f>
        <v>915243154637</v>
      </c>
      <c r="R1074" t="str">
        <f t="shared" si="32"/>
        <v>5243154637</v>
      </c>
      <c r="S1074" t="str">
        <f>IF(LEN(R1074),"Valid","Invalid")</f>
        <v>Valid</v>
      </c>
      <c r="T1074" t="s">
        <v>3467</v>
      </c>
      <c r="V1074" t="s">
        <v>26</v>
      </c>
      <c r="X1074">
        <v>4898.3500000000004</v>
      </c>
      <c r="Y1074" t="s">
        <v>26</v>
      </c>
      <c r="Z1074">
        <v>404</v>
      </c>
      <c r="AA1074">
        <f t="shared" si="33"/>
        <v>404</v>
      </c>
      <c r="AB1074" t="s">
        <v>43</v>
      </c>
    </row>
    <row r="1075" spans="1:28" x14ac:dyDescent="0.3">
      <c r="A1075" t="s">
        <v>3466</v>
      </c>
      <c r="B1075" t="s">
        <v>3465</v>
      </c>
      <c r="C1075" t="s">
        <v>3465</v>
      </c>
      <c r="E1075">
        <v>67</v>
      </c>
      <c r="F1075">
        <v>67</v>
      </c>
      <c r="G1075" t="s">
        <v>54</v>
      </c>
      <c r="H1075" t="s">
        <v>54</v>
      </c>
      <c r="I1075" t="s">
        <v>20</v>
      </c>
      <c r="J1075" t="s">
        <v>20</v>
      </c>
      <c r="K1075" s="1">
        <v>46050</v>
      </c>
      <c r="L1075" s="1" t="str">
        <f>IF(K1075&gt;O1075,"Valid","Invalid")</f>
        <v>Valid</v>
      </c>
      <c r="M1075" s="1" t="b">
        <f>ISNUMBER(K1075)</f>
        <v>1</v>
      </c>
      <c r="N1075" s="1" t="b">
        <f>ISNUMBER(O1075)</f>
        <v>1</v>
      </c>
      <c r="O1075" s="1">
        <v>46029</v>
      </c>
      <c r="P1075" t="s">
        <v>3464</v>
      </c>
      <c r="Q1075" t="str">
        <f>SUBSTITUTE(SUBSTITUTE(SUBSTITUTE(P1075," ",""),"-",""),"+","")</f>
        <v>919172240295</v>
      </c>
      <c r="R1075" t="str">
        <f t="shared" si="32"/>
        <v>9172240295</v>
      </c>
      <c r="S1075" t="str">
        <f>IF(LEN(R1075),"Valid","Invalid")</f>
        <v>Valid</v>
      </c>
      <c r="T1075" t="s">
        <v>3463</v>
      </c>
      <c r="V1075" t="s">
        <v>27</v>
      </c>
      <c r="X1075">
        <v>16229.35</v>
      </c>
      <c r="Y1075" t="s">
        <v>64</v>
      </c>
      <c r="Z1075">
        <v>212</v>
      </c>
      <c r="AA1075">
        <f t="shared" si="33"/>
        <v>212</v>
      </c>
      <c r="AB1075" t="s">
        <v>77</v>
      </c>
    </row>
    <row r="1076" spans="1:28" x14ac:dyDescent="0.3">
      <c r="A1076" t="s">
        <v>3462</v>
      </c>
      <c r="B1076" t="s">
        <v>3461</v>
      </c>
      <c r="C1076" t="s">
        <v>3461</v>
      </c>
      <c r="D1076" t="s">
        <v>40</v>
      </c>
      <c r="E1076">
        <v>5</v>
      </c>
      <c r="F1076">
        <v>5</v>
      </c>
      <c r="G1076" t="s">
        <v>132</v>
      </c>
      <c r="H1076" t="s">
        <v>132</v>
      </c>
      <c r="I1076" t="s">
        <v>38</v>
      </c>
      <c r="J1076" t="s">
        <v>8077</v>
      </c>
      <c r="K1076" s="1">
        <v>46140</v>
      </c>
      <c r="L1076" s="1" t="str">
        <f>IF(K1076&gt;O1076,"Valid","Invalid")</f>
        <v>Valid</v>
      </c>
      <c r="M1076" s="1" t="b">
        <f>ISNUMBER(K1076)</f>
        <v>1</v>
      </c>
      <c r="N1076" s="1" t="b">
        <f>ISNUMBER(O1076)</f>
        <v>1</v>
      </c>
      <c r="O1076" s="1">
        <v>46138</v>
      </c>
      <c r="P1076" t="s">
        <v>3460</v>
      </c>
      <c r="Q1076" t="str">
        <f>SUBSTITUTE(SUBSTITUTE(SUBSTITUTE(P1076," ",""),"-",""),"+","")</f>
        <v>6086660256</v>
      </c>
      <c r="R1076" t="str">
        <f t="shared" si="32"/>
        <v>6086660256</v>
      </c>
      <c r="S1076" t="str">
        <f>IF(LEN(R1076),"Valid","Invalid")</f>
        <v>Valid</v>
      </c>
      <c r="T1076" t="s">
        <v>3459</v>
      </c>
      <c r="V1076" t="s">
        <v>64</v>
      </c>
      <c r="X1076">
        <v>7031.4</v>
      </c>
      <c r="Y1076" t="s">
        <v>123</v>
      </c>
      <c r="Z1076">
        <v>300</v>
      </c>
      <c r="AA1076">
        <f t="shared" si="33"/>
        <v>300</v>
      </c>
      <c r="AB1076" t="s">
        <v>16</v>
      </c>
    </row>
    <row r="1077" spans="1:28" x14ac:dyDescent="0.3">
      <c r="A1077" t="s">
        <v>3458</v>
      </c>
      <c r="B1077" t="s">
        <v>3457</v>
      </c>
      <c r="C1077" t="s">
        <v>3457</v>
      </c>
      <c r="D1077" t="s">
        <v>74</v>
      </c>
      <c r="E1077">
        <v>29</v>
      </c>
      <c r="F1077">
        <v>29</v>
      </c>
      <c r="G1077" t="s">
        <v>132</v>
      </c>
      <c r="H1077" t="s">
        <v>132</v>
      </c>
      <c r="I1077" t="s">
        <v>85</v>
      </c>
      <c r="J1077" t="s">
        <v>85</v>
      </c>
      <c r="K1077" s="1">
        <v>46094</v>
      </c>
      <c r="L1077" s="1" t="str">
        <f>IF(K1077&gt;O1077,"Valid","Invalid")</f>
        <v>Valid</v>
      </c>
      <c r="M1077" s="1" t="b">
        <f>ISNUMBER(K1077)</f>
        <v>1</v>
      </c>
      <c r="N1077" s="1" t="b">
        <f>ISNUMBER(O1077)</f>
        <v>1</v>
      </c>
      <c r="O1077" s="1">
        <v>46088</v>
      </c>
      <c r="P1077" t="s">
        <v>3456</v>
      </c>
      <c r="Q1077" t="str">
        <f>SUBSTITUTE(SUBSTITUTE(SUBSTITUTE(P1077," ",""),"-",""),"+","")</f>
        <v>00604374140</v>
      </c>
      <c r="R1077" t="str">
        <f t="shared" si="32"/>
        <v>0604374140</v>
      </c>
      <c r="S1077" t="str">
        <f>IF(LEN(R1077),"Valid","Invalid")</f>
        <v>Valid</v>
      </c>
      <c r="T1077" t="s">
        <v>3455</v>
      </c>
      <c r="V1077" t="s">
        <v>35</v>
      </c>
      <c r="X1077">
        <v>19686.05</v>
      </c>
      <c r="Y1077" t="s">
        <v>17</v>
      </c>
      <c r="Z1077">
        <v>426</v>
      </c>
      <c r="AA1077">
        <f t="shared" si="33"/>
        <v>426</v>
      </c>
      <c r="AB1077" t="s">
        <v>43</v>
      </c>
    </row>
    <row r="1078" spans="1:28" x14ac:dyDescent="0.3">
      <c r="A1078" t="s">
        <v>3454</v>
      </c>
      <c r="B1078" t="s">
        <v>3453</v>
      </c>
      <c r="C1078" t="s">
        <v>3453</v>
      </c>
      <c r="D1078" t="s">
        <v>22</v>
      </c>
      <c r="E1078">
        <v>1</v>
      </c>
      <c r="F1078">
        <v>1</v>
      </c>
      <c r="G1078" t="s">
        <v>80</v>
      </c>
      <c r="H1078" t="s">
        <v>80</v>
      </c>
      <c r="I1078" t="s">
        <v>53</v>
      </c>
      <c r="J1078" t="s">
        <v>20</v>
      </c>
      <c r="K1078" s="1">
        <v>46123</v>
      </c>
      <c r="L1078" s="1" t="str">
        <f>IF(K1078&gt;O1078,"Valid","Invalid")</f>
        <v>Valid</v>
      </c>
      <c r="M1078" s="1" t="b">
        <f>ISNUMBER(K1078)</f>
        <v>1</v>
      </c>
      <c r="N1078" s="1" t="b">
        <f>ISNUMBER(O1078)</f>
        <v>1</v>
      </c>
      <c r="O1078" s="1">
        <v>46107</v>
      </c>
      <c r="P1078" t="s">
        <v>3452</v>
      </c>
      <c r="Q1078" t="str">
        <f>SUBSTITUTE(SUBSTITUTE(SUBSTITUTE(P1078," ",""),"-",""),"+","")</f>
        <v>919161245002</v>
      </c>
      <c r="R1078" t="str">
        <f t="shared" si="32"/>
        <v>9161245002</v>
      </c>
      <c r="S1078" t="str">
        <f>IF(LEN(R1078),"Valid","Invalid")</f>
        <v>Valid</v>
      </c>
      <c r="T1078" t="s">
        <v>3451</v>
      </c>
      <c r="V1078" t="s">
        <v>123</v>
      </c>
      <c r="X1078">
        <v>18529.45</v>
      </c>
      <c r="Y1078" t="s">
        <v>57</v>
      </c>
      <c r="Z1078">
        <v>187</v>
      </c>
      <c r="AA1078">
        <f t="shared" si="33"/>
        <v>187</v>
      </c>
      <c r="AB1078" t="s">
        <v>43</v>
      </c>
    </row>
    <row r="1079" spans="1:28" x14ac:dyDescent="0.3">
      <c r="A1079" t="s">
        <v>3450</v>
      </c>
      <c r="B1079" t="s">
        <v>3449</v>
      </c>
      <c r="C1079" t="s">
        <v>3449</v>
      </c>
      <c r="D1079" t="s">
        <v>74</v>
      </c>
      <c r="E1079">
        <v>22</v>
      </c>
      <c r="F1079">
        <v>22</v>
      </c>
      <c r="G1079" t="s">
        <v>39</v>
      </c>
      <c r="H1079" t="s">
        <v>39</v>
      </c>
      <c r="I1079" t="s">
        <v>67</v>
      </c>
      <c r="J1079" t="s">
        <v>67</v>
      </c>
      <c r="K1079" s="1">
        <v>46096</v>
      </c>
      <c r="L1079" s="1" t="str">
        <f>IF(K1079&gt;O1079,"Valid","Invalid")</f>
        <v>Valid</v>
      </c>
      <c r="M1079" s="1" t="b">
        <f>ISNUMBER(K1079)</f>
        <v>1</v>
      </c>
      <c r="N1079" s="1" t="b">
        <f>ISNUMBER(O1079)</f>
        <v>1</v>
      </c>
      <c r="O1079" s="1">
        <v>46068</v>
      </c>
      <c r="P1079" t="s">
        <v>3448</v>
      </c>
      <c r="Q1079" t="str">
        <f>SUBSTITUTE(SUBSTITUTE(SUBSTITUTE(P1079," ",""),"-",""),"+","")</f>
        <v>919580324190</v>
      </c>
      <c r="R1079" t="str">
        <f t="shared" si="32"/>
        <v>9580324190</v>
      </c>
      <c r="S1079" t="str">
        <f>IF(LEN(R1079),"Valid","Invalid")</f>
        <v>Valid</v>
      </c>
      <c r="T1079" t="s">
        <v>3447</v>
      </c>
      <c r="V1079" t="s">
        <v>123</v>
      </c>
      <c r="X1079">
        <v>3717.47</v>
      </c>
      <c r="Y1079" t="s">
        <v>27</v>
      </c>
      <c r="Z1079">
        <v>441</v>
      </c>
      <c r="AA1079">
        <f t="shared" si="33"/>
        <v>441</v>
      </c>
      <c r="AB1079" t="s">
        <v>16</v>
      </c>
    </row>
    <row r="1080" spans="1:28" x14ac:dyDescent="0.3">
      <c r="A1080" t="s">
        <v>3446</v>
      </c>
      <c r="B1080" t="s">
        <v>3445</v>
      </c>
      <c r="C1080" t="s">
        <v>3445</v>
      </c>
      <c r="D1080" t="s">
        <v>123</v>
      </c>
      <c r="E1080">
        <v>43</v>
      </c>
      <c r="F1080">
        <v>43</v>
      </c>
      <c r="G1080" t="s">
        <v>47</v>
      </c>
      <c r="H1080" t="s">
        <v>47</v>
      </c>
      <c r="I1080" t="s">
        <v>53</v>
      </c>
      <c r="J1080" t="s">
        <v>20</v>
      </c>
      <c r="K1080" s="1">
        <v>46098</v>
      </c>
      <c r="L1080" s="1" t="str">
        <f>IF(K1080&gt;O1080,"Valid","Invalid")</f>
        <v>Valid</v>
      </c>
      <c r="M1080" s="1" t="b">
        <f>ISNUMBER(K1080)</f>
        <v>1</v>
      </c>
      <c r="N1080" s="1" t="b">
        <f>ISNUMBER(O1080)</f>
        <v>1</v>
      </c>
      <c r="O1080" s="1">
        <v>46090</v>
      </c>
      <c r="P1080" t="s">
        <v>3444</v>
      </c>
      <c r="Q1080" t="str">
        <f>SUBSTITUTE(SUBSTITUTE(SUBSTITUTE(P1080," ",""),"-",""),"+","")</f>
        <v>911681093260</v>
      </c>
      <c r="R1080" t="str">
        <f t="shared" si="32"/>
        <v>1681093260</v>
      </c>
      <c r="S1080" t="str">
        <f>IF(LEN(R1080),"Valid","Invalid")</f>
        <v>Valid</v>
      </c>
      <c r="T1080" t="s">
        <v>3443</v>
      </c>
      <c r="V1080" t="s">
        <v>64</v>
      </c>
      <c r="X1080">
        <v>4433.9799999999996</v>
      </c>
      <c r="Y1080" t="s">
        <v>27</v>
      </c>
      <c r="Z1080">
        <v>404</v>
      </c>
      <c r="AA1080">
        <f t="shared" si="33"/>
        <v>404</v>
      </c>
      <c r="AB1080" t="s">
        <v>43</v>
      </c>
    </row>
    <row r="1081" spans="1:28" x14ac:dyDescent="0.3">
      <c r="A1081" t="s">
        <v>3442</v>
      </c>
      <c r="B1081" t="s">
        <v>3441</v>
      </c>
      <c r="C1081" t="s">
        <v>3441</v>
      </c>
      <c r="E1081">
        <v>75</v>
      </c>
      <c r="F1081">
        <v>75</v>
      </c>
      <c r="G1081" t="s">
        <v>47</v>
      </c>
      <c r="H1081" t="s">
        <v>47</v>
      </c>
      <c r="I1081" t="s">
        <v>85</v>
      </c>
      <c r="J1081" t="s">
        <v>85</v>
      </c>
      <c r="K1081" s="1">
        <v>46119</v>
      </c>
      <c r="L1081" s="1" t="str">
        <f>IF(K1081&gt;O1081,"Valid","Invalid")</f>
        <v>Valid</v>
      </c>
      <c r="M1081" s="1" t="b">
        <f>ISNUMBER(K1081)</f>
        <v>1</v>
      </c>
      <c r="N1081" s="1" t="b">
        <f>ISNUMBER(O1081)</f>
        <v>1</v>
      </c>
      <c r="O1081" s="1">
        <v>46092</v>
      </c>
      <c r="P1081" t="s">
        <v>3440</v>
      </c>
      <c r="Q1081" t="str">
        <f>SUBSTITUTE(SUBSTITUTE(SUBSTITUTE(P1081," ",""),"-",""),"+","")</f>
        <v>916370404939</v>
      </c>
      <c r="R1081" t="str">
        <f t="shared" si="32"/>
        <v>6370404939</v>
      </c>
      <c r="S1081" t="str">
        <f>IF(LEN(R1081),"Valid","Invalid")</f>
        <v>Valid</v>
      </c>
      <c r="T1081" t="s">
        <v>3439</v>
      </c>
      <c r="V1081" t="s">
        <v>17</v>
      </c>
      <c r="X1081">
        <v>11919.69</v>
      </c>
      <c r="Y1081" t="s">
        <v>27</v>
      </c>
      <c r="Z1081">
        <v>519</v>
      </c>
      <c r="AA1081">
        <f t="shared" si="33"/>
        <v>519</v>
      </c>
      <c r="AB1081" t="s">
        <v>77</v>
      </c>
    </row>
    <row r="1082" spans="1:28" x14ac:dyDescent="0.3">
      <c r="A1082" t="s">
        <v>3438</v>
      </c>
      <c r="B1082" t="s">
        <v>3437</v>
      </c>
      <c r="C1082" t="s">
        <v>3437</v>
      </c>
      <c r="D1082" t="s">
        <v>22</v>
      </c>
      <c r="E1082">
        <v>30</v>
      </c>
      <c r="F1082">
        <v>30</v>
      </c>
      <c r="G1082" t="s">
        <v>39</v>
      </c>
      <c r="H1082" t="s">
        <v>39</v>
      </c>
      <c r="I1082" t="s">
        <v>53</v>
      </c>
      <c r="J1082" t="s">
        <v>20</v>
      </c>
      <c r="K1082" s="1">
        <v>46069</v>
      </c>
      <c r="L1082" s="1" t="str">
        <f>IF(K1082&gt;O1082,"Valid","Invalid")</f>
        <v>Valid</v>
      </c>
      <c r="M1082" s="1" t="b">
        <f>ISNUMBER(K1082)</f>
        <v>1</v>
      </c>
      <c r="N1082" s="1" t="b">
        <f>ISNUMBER(O1082)</f>
        <v>1</v>
      </c>
      <c r="O1082" s="1">
        <v>46045</v>
      </c>
      <c r="P1082" t="s">
        <v>3436</v>
      </c>
      <c r="Q1082" t="str">
        <f>SUBSTITUTE(SUBSTITUTE(SUBSTITUTE(P1082," ",""),"-",""),"+","")</f>
        <v>2230310422</v>
      </c>
      <c r="R1082" t="str">
        <f t="shared" si="32"/>
        <v>2230310422</v>
      </c>
      <c r="S1082" t="str">
        <f>IF(LEN(R1082),"Valid","Invalid")</f>
        <v>Valid</v>
      </c>
      <c r="T1082" t="s">
        <v>3435</v>
      </c>
      <c r="V1082" t="s">
        <v>64</v>
      </c>
      <c r="X1082">
        <v>2679.81</v>
      </c>
      <c r="Y1082" t="s">
        <v>17</v>
      </c>
      <c r="Z1082">
        <v>331</v>
      </c>
      <c r="AA1082">
        <f t="shared" si="33"/>
        <v>331</v>
      </c>
      <c r="AB1082" t="s">
        <v>16</v>
      </c>
    </row>
    <row r="1083" spans="1:28" x14ac:dyDescent="0.3">
      <c r="A1083" t="s">
        <v>3434</v>
      </c>
      <c r="B1083" t="s">
        <v>3433</v>
      </c>
      <c r="C1083" t="s">
        <v>3433</v>
      </c>
      <c r="D1083" t="s">
        <v>60</v>
      </c>
      <c r="E1083">
        <v>70</v>
      </c>
      <c r="F1083">
        <v>70</v>
      </c>
      <c r="G1083" t="s">
        <v>132</v>
      </c>
      <c r="H1083" t="s">
        <v>132</v>
      </c>
      <c r="I1083" t="s">
        <v>85</v>
      </c>
      <c r="J1083" t="s">
        <v>85</v>
      </c>
      <c r="K1083" s="1">
        <v>45994</v>
      </c>
      <c r="L1083" s="1" t="str">
        <f>IF(K1083&gt;O1083,"Valid","Invalid")</f>
        <v>Valid</v>
      </c>
      <c r="M1083" s="1" t="b">
        <f>ISNUMBER(K1083)</f>
        <v>1</v>
      </c>
      <c r="N1083" s="1" t="b">
        <f>ISNUMBER(O1083)</f>
        <v>1</v>
      </c>
      <c r="O1083" s="1">
        <v>45986</v>
      </c>
      <c r="P1083" t="s">
        <v>3432</v>
      </c>
      <c r="Q1083" t="str">
        <f>SUBSTITUTE(SUBSTITUTE(SUBSTITUTE(P1083," ",""),"-",""),"+","")</f>
        <v>05546115681</v>
      </c>
      <c r="R1083" t="str">
        <f t="shared" si="32"/>
        <v>5546115681</v>
      </c>
      <c r="S1083" t="str">
        <f>IF(LEN(R1083),"Valid","Invalid")</f>
        <v>Valid</v>
      </c>
      <c r="T1083" t="s">
        <v>3431</v>
      </c>
      <c r="V1083" t="s">
        <v>57</v>
      </c>
      <c r="X1083">
        <v>11577.02</v>
      </c>
      <c r="Y1083" t="s">
        <v>17</v>
      </c>
      <c r="Z1083">
        <v>254</v>
      </c>
      <c r="AA1083">
        <f t="shared" si="33"/>
        <v>254</v>
      </c>
      <c r="AB1083" t="s">
        <v>25</v>
      </c>
    </row>
    <row r="1084" spans="1:28" x14ac:dyDescent="0.3">
      <c r="A1084" t="s">
        <v>3430</v>
      </c>
      <c r="B1084" t="s">
        <v>3429</v>
      </c>
      <c r="C1084" t="s">
        <v>3429</v>
      </c>
      <c r="D1084" t="s">
        <v>60</v>
      </c>
      <c r="E1084">
        <v>67</v>
      </c>
      <c r="F1084">
        <v>67</v>
      </c>
      <c r="G1084" t="s">
        <v>68</v>
      </c>
      <c r="H1084" t="s">
        <v>68</v>
      </c>
      <c r="I1084" t="s">
        <v>20</v>
      </c>
      <c r="J1084" t="s">
        <v>20</v>
      </c>
      <c r="K1084" s="1">
        <v>46052</v>
      </c>
      <c r="L1084" s="1" t="str">
        <f>IF(K1084&gt;O1084,"Valid","Invalid")</f>
        <v>Valid</v>
      </c>
      <c r="M1084" s="1" t="b">
        <f>ISNUMBER(K1084)</f>
        <v>1</v>
      </c>
      <c r="N1084" s="1" t="b">
        <f>ISNUMBER(O1084)</f>
        <v>1</v>
      </c>
      <c r="O1084" s="1">
        <v>46044</v>
      </c>
      <c r="P1084" t="s">
        <v>3428</v>
      </c>
      <c r="Q1084" t="str">
        <f>SUBSTITUTE(SUBSTITUTE(SUBSTITUTE(P1084," ",""),"-",""),"+","")</f>
        <v>918266138949</v>
      </c>
      <c r="R1084" t="str">
        <f t="shared" si="32"/>
        <v>8266138949</v>
      </c>
      <c r="S1084" t="str">
        <f>IF(LEN(R1084),"Valid","Invalid")</f>
        <v>Valid</v>
      </c>
      <c r="T1084" t="s">
        <v>3427</v>
      </c>
      <c r="V1084" t="s">
        <v>27</v>
      </c>
      <c r="X1084">
        <v>3867.93</v>
      </c>
      <c r="Y1084" t="s">
        <v>123</v>
      </c>
      <c r="Z1084">
        <v>538</v>
      </c>
      <c r="AA1084">
        <f t="shared" si="33"/>
        <v>538</v>
      </c>
      <c r="AB1084" t="s">
        <v>71</v>
      </c>
    </row>
    <row r="1085" spans="1:28" x14ac:dyDescent="0.3">
      <c r="A1085" t="s">
        <v>3426</v>
      </c>
      <c r="B1085" t="s">
        <v>3425</v>
      </c>
      <c r="C1085" t="s">
        <v>3425</v>
      </c>
      <c r="D1085" t="s">
        <v>0</v>
      </c>
      <c r="E1085">
        <v>46</v>
      </c>
      <c r="F1085">
        <v>46</v>
      </c>
      <c r="G1085" t="s">
        <v>68</v>
      </c>
      <c r="H1085" t="s">
        <v>68</v>
      </c>
      <c r="I1085" t="s">
        <v>46</v>
      </c>
      <c r="J1085" t="s">
        <v>46</v>
      </c>
      <c r="K1085" s="1">
        <v>46022</v>
      </c>
      <c r="L1085" s="1" t="str">
        <f>IF(K1085&gt;O1085,"Valid","Invalid")</f>
        <v>Valid</v>
      </c>
      <c r="M1085" s="1" t="b">
        <f>ISNUMBER(K1085)</f>
        <v>1</v>
      </c>
      <c r="N1085" s="1" t="b">
        <f>ISNUMBER(O1085)</f>
        <v>1</v>
      </c>
      <c r="O1085" s="1">
        <v>46015</v>
      </c>
      <c r="P1085" t="s">
        <v>3424</v>
      </c>
      <c r="Q1085" t="str">
        <f>SUBSTITUTE(SUBSTITUTE(SUBSTITUTE(P1085," ",""),"-",""),"+","")</f>
        <v>5672624602</v>
      </c>
      <c r="R1085" t="str">
        <f t="shared" si="32"/>
        <v>5672624602</v>
      </c>
      <c r="S1085" t="str">
        <f>IF(LEN(R1085),"Valid","Invalid")</f>
        <v>Valid</v>
      </c>
      <c r="T1085" t="s">
        <v>3423</v>
      </c>
      <c r="V1085" t="s">
        <v>123</v>
      </c>
      <c r="X1085">
        <v>9113.61</v>
      </c>
      <c r="Y1085" t="s">
        <v>64</v>
      </c>
      <c r="Z1085">
        <v>199</v>
      </c>
      <c r="AA1085">
        <f t="shared" si="33"/>
        <v>199</v>
      </c>
      <c r="AB1085" t="s">
        <v>16</v>
      </c>
    </row>
    <row r="1086" spans="1:28" x14ac:dyDescent="0.3">
      <c r="A1086" t="s">
        <v>3422</v>
      </c>
      <c r="B1086" t="s">
        <v>3421</v>
      </c>
      <c r="C1086" t="s">
        <v>3421</v>
      </c>
      <c r="D1086" t="s">
        <v>74</v>
      </c>
      <c r="E1086">
        <v>36</v>
      </c>
      <c r="F1086">
        <v>36</v>
      </c>
      <c r="G1086" t="s">
        <v>68</v>
      </c>
      <c r="H1086" t="s">
        <v>68</v>
      </c>
      <c r="I1086" t="s">
        <v>53</v>
      </c>
      <c r="J1086" t="s">
        <v>20</v>
      </c>
      <c r="K1086" s="1">
        <v>46155</v>
      </c>
      <c r="L1086" s="1" t="str">
        <f>IF(K1086&gt;O1086,"Valid","Invalid")</f>
        <v>Valid</v>
      </c>
      <c r="M1086" s="1" t="b">
        <f>ISNUMBER(K1086)</f>
        <v>1</v>
      </c>
      <c r="N1086" s="1" t="b">
        <f>ISNUMBER(O1086)</f>
        <v>1</v>
      </c>
      <c r="O1086" s="1">
        <v>46147</v>
      </c>
      <c r="P1086" t="s">
        <v>3420</v>
      </c>
      <c r="Q1086" t="str">
        <f>SUBSTITUTE(SUBSTITUTE(SUBSTITUTE(P1086," ",""),"-",""),"+","")</f>
        <v>916404054080</v>
      </c>
      <c r="R1086" t="str">
        <f t="shared" si="32"/>
        <v>6404054080</v>
      </c>
      <c r="S1086" t="str">
        <f>IF(LEN(R1086),"Valid","Invalid")</f>
        <v>Valid</v>
      </c>
      <c r="T1086" t="s">
        <v>3419</v>
      </c>
      <c r="V1086" t="s">
        <v>57</v>
      </c>
      <c r="X1086">
        <v>22222.27</v>
      </c>
      <c r="Y1086" t="s">
        <v>123</v>
      </c>
      <c r="Z1086">
        <v>401</v>
      </c>
      <c r="AA1086">
        <f t="shared" si="33"/>
        <v>401</v>
      </c>
      <c r="AB1086" t="s">
        <v>16</v>
      </c>
    </row>
    <row r="1087" spans="1:28" x14ac:dyDescent="0.3">
      <c r="A1087" t="s">
        <v>3418</v>
      </c>
      <c r="B1087" t="s">
        <v>3417</v>
      </c>
      <c r="C1087" t="s">
        <v>3417</v>
      </c>
      <c r="D1087" t="s">
        <v>22</v>
      </c>
      <c r="E1087">
        <v>40</v>
      </c>
      <c r="F1087">
        <v>40</v>
      </c>
      <c r="G1087" t="s">
        <v>21</v>
      </c>
      <c r="H1087" t="s">
        <v>21</v>
      </c>
      <c r="I1087" t="s">
        <v>46</v>
      </c>
      <c r="J1087" t="s">
        <v>46</v>
      </c>
      <c r="K1087" s="1">
        <v>46033</v>
      </c>
      <c r="L1087" s="1" t="str">
        <f>IF(K1087&gt;O1087,"Valid","Invalid")</f>
        <v>Valid</v>
      </c>
      <c r="M1087" s="1" t="b">
        <f>ISNUMBER(K1087)</f>
        <v>1</v>
      </c>
      <c r="N1087" s="1" t="b">
        <f>ISNUMBER(O1087)</f>
        <v>1</v>
      </c>
      <c r="O1087" s="1">
        <v>46015</v>
      </c>
      <c r="P1087" t="s">
        <v>3416</v>
      </c>
      <c r="Q1087" t="str">
        <f>SUBSTITUTE(SUBSTITUTE(SUBSTITUTE(P1087," ",""),"-",""),"+","")</f>
        <v>914019206396</v>
      </c>
      <c r="R1087" t="str">
        <f t="shared" si="32"/>
        <v>4019206396</v>
      </c>
      <c r="S1087" t="str">
        <f>IF(LEN(R1087),"Valid","Invalid")</f>
        <v>Valid</v>
      </c>
      <c r="T1087" t="s">
        <v>3415</v>
      </c>
      <c r="V1087" t="s">
        <v>57</v>
      </c>
      <c r="X1087">
        <v>20887.45</v>
      </c>
      <c r="Y1087" t="s">
        <v>64</v>
      </c>
      <c r="Z1087">
        <v>321</v>
      </c>
      <c r="AA1087">
        <f t="shared" si="33"/>
        <v>321</v>
      </c>
      <c r="AB1087" t="s">
        <v>50</v>
      </c>
    </row>
    <row r="1088" spans="1:28" x14ac:dyDescent="0.3">
      <c r="A1088" t="s">
        <v>3414</v>
      </c>
      <c r="B1088" t="s">
        <v>3413</v>
      </c>
      <c r="C1088" t="s">
        <v>3413</v>
      </c>
      <c r="E1088">
        <v>73</v>
      </c>
      <c r="F1088">
        <v>73</v>
      </c>
      <c r="G1088" t="s">
        <v>31</v>
      </c>
      <c r="H1088" t="s">
        <v>31</v>
      </c>
      <c r="I1088" t="s">
        <v>30</v>
      </c>
      <c r="J1088" t="s">
        <v>30</v>
      </c>
      <c r="K1088" s="1">
        <v>46029</v>
      </c>
      <c r="L1088" s="1" t="str">
        <f>IF(K1088&gt;O1088,"Valid","Invalid")</f>
        <v>Valid</v>
      </c>
      <c r="M1088" s="1" t="b">
        <f>ISNUMBER(K1088)</f>
        <v>1</v>
      </c>
      <c r="N1088" s="1" t="b">
        <f>ISNUMBER(O1088)</f>
        <v>1</v>
      </c>
      <c r="O1088" s="1">
        <v>46026</v>
      </c>
      <c r="P1088" t="s">
        <v>3412</v>
      </c>
      <c r="Q1088" t="str">
        <f>SUBSTITUTE(SUBSTITUTE(SUBSTITUTE(P1088," ",""),"-",""),"+","")</f>
        <v>1381549318</v>
      </c>
      <c r="R1088" t="str">
        <f t="shared" si="32"/>
        <v>1381549318</v>
      </c>
      <c r="S1088" t="str">
        <f>IF(LEN(R1088),"Valid","Invalid")</f>
        <v>Valid</v>
      </c>
      <c r="T1088" t="s">
        <v>3411</v>
      </c>
      <c r="V1088" t="s">
        <v>27</v>
      </c>
      <c r="X1088">
        <v>12573.39</v>
      </c>
      <c r="Y1088" t="s">
        <v>26</v>
      </c>
      <c r="Z1088">
        <v>338</v>
      </c>
      <c r="AA1088">
        <f t="shared" si="33"/>
        <v>338</v>
      </c>
      <c r="AB1088" t="s">
        <v>25</v>
      </c>
    </row>
    <row r="1089" spans="1:28" x14ac:dyDescent="0.3">
      <c r="A1089" t="s">
        <v>3410</v>
      </c>
      <c r="B1089" t="s">
        <v>3409</v>
      </c>
      <c r="C1089" t="s">
        <v>3409</v>
      </c>
      <c r="D1089" t="s">
        <v>0</v>
      </c>
      <c r="E1089">
        <v>67</v>
      </c>
      <c r="F1089">
        <v>67</v>
      </c>
      <c r="G1089" t="s">
        <v>132</v>
      </c>
      <c r="H1089" t="s">
        <v>132</v>
      </c>
      <c r="I1089" t="s">
        <v>53</v>
      </c>
      <c r="J1089" t="s">
        <v>20</v>
      </c>
      <c r="K1089" s="1">
        <v>46151</v>
      </c>
      <c r="L1089" s="1" t="str">
        <f>IF(K1089&gt;O1089,"Valid","Invalid")</f>
        <v>Valid</v>
      </c>
      <c r="M1089" s="1" t="b">
        <f>ISNUMBER(K1089)</f>
        <v>1</v>
      </c>
      <c r="N1089" s="1" t="b">
        <f>ISNUMBER(O1089)</f>
        <v>1</v>
      </c>
      <c r="O1089" s="1">
        <v>46142</v>
      </c>
      <c r="P1089" t="s">
        <v>3408</v>
      </c>
      <c r="Q1089" t="str">
        <f>SUBSTITUTE(SUBSTITUTE(SUBSTITUTE(P1089," ",""),"-",""),"+","")</f>
        <v>5906890113</v>
      </c>
      <c r="R1089" t="str">
        <f t="shared" si="32"/>
        <v>5906890113</v>
      </c>
      <c r="S1089" t="str">
        <f>IF(LEN(R1089),"Valid","Invalid")</f>
        <v>Valid</v>
      </c>
      <c r="T1089" t="s">
        <v>3407</v>
      </c>
      <c r="V1089" t="s">
        <v>123</v>
      </c>
      <c r="X1089">
        <v>7348.85</v>
      </c>
      <c r="Y1089" t="s">
        <v>63</v>
      </c>
      <c r="Z1089">
        <v>107</v>
      </c>
      <c r="AA1089">
        <f t="shared" si="33"/>
        <v>107</v>
      </c>
      <c r="AB1089" t="s">
        <v>16</v>
      </c>
    </row>
    <row r="1090" spans="1:28" x14ac:dyDescent="0.3">
      <c r="A1090" t="s">
        <v>3406</v>
      </c>
      <c r="B1090" t="s">
        <v>3405</v>
      </c>
      <c r="C1090" t="s">
        <v>3405</v>
      </c>
      <c r="D1090" t="s">
        <v>40</v>
      </c>
      <c r="E1090">
        <v>28</v>
      </c>
      <c r="F1090">
        <v>28</v>
      </c>
      <c r="G1090" t="s">
        <v>132</v>
      </c>
      <c r="H1090" t="s">
        <v>132</v>
      </c>
      <c r="I1090" t="s">
        <v>20</v>
      </c>
      <c r="J1090" t="s">
        <v>20</v>
      </c>
      <c r="K1090" s="1">
        <v>46012</v>
      </c>
      <c r="L1090" s="1" t="str">
        <f>IF(K1090&gt;O1090,"Valid","Invalid")</f>
        <v>Valid</v>
      </c>
      <c r="M1090" s="1" t="b">
        <f>ISNUMBER(K1090)</f>
        <v>1</v>
      </c>
      <c r="N1090" s="1" t="b">
        <f>ISNUMBER(O1090)</f>
        <v>1</v>
      </c>
      <c r="O1090" s="1">
        <v>46011</v>
      </c>
      <c r="P1090" t="s">
        <v>3404</v>
      </c>
      <c r="Q1090" t="str">
        <f>SUBSTITUTE(SUBSTITUTE(SUBSTITUTE(P1090," ",""),"-",""),"+","")</f>
        <v>08330868876</v>
      </c>
      <c r="R1090" t="str">
        <f t="shared" si="32"/>
        <v>8330868876</v>
      </c>
      <c r="S1090" t="str">
        <f>IF(LEN(R1090),"Valid","Invalid")</f>
        <v>Valid</v>
      </c>
      <c r="T1090" t="s">
        <v>3403</v>
      </c>
      <c r="V1090" t="s">
        <v>123</v>
      </c>
      <c r="X1090">
        <v>7784.37</v>
      </c>
      <c r="Y1090" t="s">
        <v>123</v>
      </c>
      <c r="Z1090">
        <v>280</v>
      </c>
      <c r="AA1090">
        <f t="shared" si="33"/>
        <v>280</v>
      </c>
      <c r="AB1090" t="s">
        <v>25</v>
      </c>
    </row>
    <row r="1091" spans="1:28" x14ac:dyDescent="0.3">
      <c r="A1091" t="s">
        <v>3402</v>
      </c>
      <c r="B1091" t="s">
        <v>3401</v>
      </c>
      <c r="C1091" t="s">
        <v>3401</v>
      </c>
      <c r="D1091" t="s">
        <v>40</v>
      </c>
      <c r="E1091">
        <v>7</v>
      </c>
      <c r="F1091">
        <v>7</v>
      </c>
      <c r="G1091" t="s">
        <v>132</v>
      </c>
      <c r="H1091" t="s">
        <v>132</v>
      </c>
      <c r="I1091" t="s">
        <v>53</v>
      </c>
      <c r="J1091" t="s">
        <v>20</v>
      </c>
      <c r="K1091" s="1">
        <v>46038</v>
      </c>
      <c r="L1091" s="1" t="str">
        <f>IF(K1091&gt;O1091,"Valid","Invalid")</f>
        <v>Valid</v>
      </c>
      <c r="M1091" s="1" t="b">
        <f>ISNUMBER(K1091)</f>
        <v>1</v>
      </c>
      <c r="N1091" s="1" t="b">
        <f>ISNUMBER(O1091)</f>
        <v>1</v>
      </c>
      <c r="O1091" s="1">
        <v>46027</v>
      </c>
      <c r="P1091" t="s">
        <v>3400</v>
      </c>
      <c r="Q1091" t="str">
        <f>SUBSTITUTE(SUBSTITUTE(SUBSTITUTE(P1091," ",""),"-",""),"+","")</f>
        <v>01759052197</v>
      </c>
      <c r="R1091" t="str">
        <f t="shared" si="32"/>
        <v>1759052197</v>
      </c>
      <c r="S1091" t="str">
        <f>IF(LEN(R1091),"Valid","Invalid")</f>
        <v>Valid</v>
      </c>
      <c r="T1091" t="s">
        <v>3399</v>
      </c>
      <c r="V1091" t="s">
        <v>26</v>
      </c>
      <c r="X1091">
        <v>19674.53</v>
      </c>
      <c r="Y1091" t="s">
        <v>26</v>
      </c>
      <c r="Z1091">
        <v>144</v>
      </c>
      <c r="AA1091">
        <f t="shared" si="33"/>
        <v>144</v>
      </c>
      <c r="AB1091" t="s">
        <v>25</v>
      </c>
    </row>
    <row r="1092" spans="1:28" x14ac:dyDescent="0.3">
      <c r="A1092" t="s">
        <v>3398</v>
      </c>
      <c r="B1092" t="s">
        <v>3397</v>
      </c>
      <c r="C1092" t="s">
        <v>3397</v>
      </c>
      <c r="D1092" t="s">
        <v>22</v>
      </c>
      <c r="E1092">
        <v>19</v>
      </c>
      <c r="F1092">
        <v>19</v>
      </c>
      <c r="G1092" t="s">
        <v>21</v>
      </c>
      <c r="H1092" t="s">
        <v>21</v>
      </c>
      <c r="I1092" t="s">
        <v>90</v>
      </c>
      <c r="J1092" t="s">
        <v>67</v>
      </c>
      <c r="K1092" s="1">
        <v>46155</v>
      </c>
      <c r="L1092" s="1" t="str">
        <f>IF(K1092&gt;O1092,"Valid","Invalid")</f>
        <v>Valid</v>
      </c>
      <c r="M1092" s="1" t="b">
        <f>ISNUMBER(K1092)</f>
        <v>1</v>
      </c>
      <c r="N1092" s="1" t="b">
        <f>ISNUMBER(O1092)</f>
        <v>1</v>
      </c>
      <c r="O1092" s="1">
        <v>46137</v>
      </c>
      <c r="P1092" t="s">
        <v>3396</v>
      </c>
      <c r="Q1092" t="str">
        <f>SUBSTITUTE(SUBSTITUTE(SUBSTITUTE(P1092," ",""),"-",""),"+","")</f>
        <v>07977281695</v>
      </c>
      <c r="R1092" t="str">
        <f t="shared" si="32"/>
        <v>7977281695</v>
      </c>
      <c r="S1092" t="str">
        <f>IF(LEN(R1092),"Valid","Invalid")</f>
        <v>Valid</v>
      </c>
      <c r="T1092" t="s">
        <v>3395</v>
      </c>
      <c r="V1092" t="s">
        <v>64</v>
      </c>
      <c r="X1092">
        <v>7411.89</v>
      </c>
      <c r="Y1092" t="s">
        <v>27</v>
      </c>
      <c r="Z1092">
        <v>342</v>
      </c>
      <c r="AA1092">
        <f t="shared" si="33"/>
        <v>342</v>
      </c>
      <c r="AB1092" t="s">
        <v>43</v>
      </c>
    </row>
    <row r="1093" spans="1:28" x14ac:dyDescent="0.3">
      <c r="A1093" t="s">
        <v>3394</v>
      </c>
      <c r="B1093" t="s">
        <v>3393</v>
      </c>
      <c r="C1093" t="s">
        <v>3393</v>
      </c>
      <c r="D1093" t="s">
        <v>1</v>
      </c>
      <c r="E1093">
        <v>87</v>
      </c>
      <c r="F1093">
        <v>87</v>
      </c>
      <c r="G1093" t="s">
        <v>54</v>
      </c>
      <c r="H1093" t="s">
        <v>54</v>
      </c>
      <c r="I1093" t="s">
        <v>90</v>
      </c>
      <c r="J1093" t="s">
        <v>67</v>
      </c>
      <c r="K1093" s="1">
        <v>46084</v>
      </c>
      <c r="L1093" s="1" t="str">
        <f>IF(K1093&gt;O1093,"Valid","Invalid")</f>
        <v>Valid</v>
      </c>
      <c r="M1093" s="1" t="b">
        <f>ISNUMBER(K1093)</f>
        <v>1</v>
      </c>
      <c r="N1093" s="1" t="b">
        <f>ISNUMBER(O1093)</f>
        <v>1</v>
      </c>
      <c r="O1093" s="1">
        <v>46072</v>
      </c>
      <c r="P1093" t="s">
        <v>3392</v>
      </c>
      <c r="Q1093" t="str">
        <f>SUBSTITUTE(SUBSTITUTE(SUBSTITUTE(P1093," ",""),"-",""),"+","")</f>
        <v>04406297637</v>
      </c>
      <c r="R1093" t="str">
        <f t="shared" ref="R1093:R1156" si="34">RIGHT(Q1093,10)</f>
        <v>4406297637</v>
      </c>
      <c r="S1093" t="str">
        <f>IF(LEN(R1093),"Valid","Invalid")</f>
        <v>Valid</v>
      </c>
      <c r="T1093" t="s">
        <v>3391</v>
      </c>
      <c r="V1093" t="s">
        <v>64</v>
      </c>
      <c r="X1093">
        <v>22347.23</v>
      </c>
      <c r="Y1093" t="s">
        <v>63</v>
      </c>
      <c r="Z1093">
        <v>405</v>
      </c>
      <c r="AA1093">
        <f t="shared" ref="AA1093:AA1156" si="35">IF(Z1093="Room-x",0,Z1093)</f>
        <v>405</v>
      </c>
      <c r="AB1093" t="s">
        <v>43</v>
      </c>
    </row>
    <row r="1094" spans="1:28" x14ac:dyDescent="0.3">
      <c r="A1094" t="s">
        <v>3390</v>
      </c>
      <c r="B1094" t="s">
        <v>3389</v>
      </c>
      <c r="C1094" t="s">
        <v>3389</v>
      </c>
      <c r="D1094" t="s">
        <v>0</v>
      </c>
      <c r="E1094">
        <v>73</v>
      </c>
      <c r="F1094">
        <v>73</v>
      </c>
      <c r="G1094" t="s">
        <v>54</v>
      </c>
      <c r="H1094" t="s">
        <v>54</v>
      </c>
      <c r="I1094" t="s">
        <v>67</v>
      </c>
      <c r="J1094" t="s">
        <v>67</v>
      </c>
      <c r="K1094" s="1">
        <v>46114</v>
      </c>
      <c r="L1094" s="1" t="str">
        <f>IF(K1094&gt;O1094,"Valid","Invalid")</f>
        <v>Valid</v>
      </c>
      <c r="M1094" s="1" t="b">
        <f>ISNUMBER(K1094)</f>
        <v>1</v>
      </c>
      <c r="N1094" s="1" t="b">
        <f>ISNUMBER(O1094)</f>
        <v>1</v>
      </c>
      <c r="O1094" s="1">
        <v>46089</v>
      </c>
      <c r="P1094" t="s">
        <v>510</v>
      </c>
      <c r="Q1094" t="str">
        <f>SUBSTITUTE(SUBSTITUTE(SUBSTITUTE(P1094," ",""),"-",""),"+","")</f>
        <v>12345</v>
      </c>
      <c r="R1094" t="str">
        <f t="shared" si="34"/>
        <v>12345</v>
      </c>
      <c r="S1094" t="str">
        <f>IF(LEN(R1094),"Valid","Invalid")</f>
        <v>Valid</v>
      </c>
      <c r="T1094" t="s">
        <v>3388</v>
      </c>
      <c r="V1094" t="s">
        <v>35</v>
      </c>
      <c r="X1094">
        <v>17146.37</v>
      </c>
      <c r="Y1094" t="s">
        <v>57</v>
      </c>
      <c r="Z1094">
        <v>228</v>
      </c>
      <c r="AA1094">
        <f t="shared" si="35"/>
        <v>228</v>
      </c>
      <c r="AB1094" t="s">
        <v>71</v>
      </c>
    </row>
    <row r="1095" spans="1:28" x14ac:dyDescent="0.3">
      <c r="A1095" t="s">
        <v>3387</v>
      </c>
      <c r="B1095" t="s">
        <v>3386</v>
      </c>
      <c r="C1095" t="s">
        <v>3386</v>
      </c>
      <c r="D1095" t="s">
        <v>123</v>
      </c>
      <c r="E1095">
        <v>71</v>
      </c>
      <c r="F1095">
        <v>71</v>
      </c>
      <c r="G1095" t="s">
        <v>21</v>
      </c>
      <c r="H1095" t="s">
        <v>21</v>
      </c>
      <c r="I1095" t="s">
        <v>30</v>
      </c>
      <c r="J1095" t="s">
        <v>30</v>
      </c>
      <c r="K1095" s="1">
        <v>46118</v>
      </c>
      <c r="L1095" s="1" t="str">
        <f>IF(K1095&gt;O1095,"Valid","Invalid")</f>
        <v>Valid</v>
      </c>
      <c r="M1095" s="1" t="b">
        <f>ISNUMBER(K1095)</f>
        <v>1</v>
      </c>
      <c r="N1095" s="1" t="b">
        <f>ISNUMBER(O1095)</f>
        <v>1</v>
      </c>
      <c r="O1095" s="1">
        <v>46109</v>
      </c>
      <c r="P1095" t="s">
        <v>3385</v>
      </c>
      <c r="Q1095" t="str">
        <f>SUBSTITUTE(SUBSTITUTE(SUBSTITUTE(P1095," ",""),"-",""),"+","")</f>
        <v>910423872244</v>
      </c>
      <c r="R1095" t="str">
        <f t="shared" si="34"/>
        <v>0423872244</v>
      </c>
      <c r="S1095" t="str">
        <f>IF(LEN(R1095),"Valid","Invalid")</f>
        <v>Valid</v>
      </c>
      <c r="T1095" t="s">
        <v>3384</v>
      </c>
      <c r="V1095" t="s">
        <v>64</v>
      </c>
      <c r="X1095">
        <v>7573.89</v>
      </c>
      <c r="Y1095" t="s">
        <v>123</v>
      </c>
      <c r="Z1095">
        <v>379</v>
      </c>
      <c r="AA1095">
        <f t="shared" si="35"/>
        <v>379</v>
      </c>
      <c r="AB1095" t="s">
        <v>71</v>
      </c>
    </row>
    <row r="1096" spans="1:28" x14ac:dyDescent="0.3">
      <c r="A1096" t="s">
        <v>3383</v>
      </c>
      <c r="B1096" t="s">
        <v>3382</v>
      </c>
      <c r="C1096" t="s">
        <v>3382</v>
      </c>
      <c r="D1096" t="s">
        <v>123</v>
      </c>
      <c r="E1096">
        <v>56</v>
      </c>
      <c r="F1096">
        <v>56</v>
      </c>
      <c r="G1096" t="s">
        <v>80</v>
      </c>
      <c r="H1096" t="s">
        <v>80</v>
      </c>
      <c r="I1096" t="s">
        <v>53</v>
      </c>
      <c r="J1096" t="s">
        <v>20</v>
      </c>
      <c r="K1096" s="1">
        <v>46132</v>
      </c>
      <c r="L1096" s="1" t="str">
        <f>IF(K1096&gt;O1096,"Valid","Invalid")</f>
        <v>Valid</v>
      </c>
      <c r="M1096" s="1" t="b">
        <f>ISNUMBER(K1096)</f>
        <v>1</v>
      </c>
      <c r="N1096" s="1" t="b">
        <f>ISNUMBER(O1096)</f>
        <v>1</v>
      </c>
      <c r="O1096" s="1">
        <v>46116</v>
      </c>
      <c r="P1096" t="s">
        <v>3381</v>
      </c>
      <c r="Q1096" t="str">
        <f>SUBSTITUTE(SUBSTITUTE(SUBSTITUTE(P1096," ",""),"-",""),"+","")</f>
        <v>9830476764</v>
      </c>
      <c r="R1096" t="str">
        <f t="shared" si="34"/>
        <v>9830476764</v>
      </c>
      <c r="S1096" t="str">
        <f>IF(LEN(R1096),"Valid","Invalid")</f>
        <v>Valid</v>
      </c>
      <c r="T1096" t="s">
        <v>3380</v>
      </c>
      <c r="V1096" t="s">
        <v>123</v>
      </c>
      <c r="X1096">
        <v>17414.509999999998</v>
      </c>
      <c r="Y1096" t="s">
        <v>17</v>
      </c>
      <c r="Z1096">
        <v>339</v>
      </c>
      <c r="AA1096">
        <f t="shared" si="35"/>
        <v>339</v>
      </c>
      <c r="AB1096" t="s">
        <v>43</v>
      </c>
    </row>
    <row r="1097" spans="1:28" x14ac:dyDescent="0.3">
      <c r="A1097" t="s">
        <v>3379</v>
      </c>
      <c r="B1097" t="s">
        <v>3378</v>
      </c>
      <c r="C1097" t="s">
        <v>3378</v>
      </c>
      <c r="D1097" t="s">
        <v>123</v>
      </c>
      <c r="E1097">
        <v>60</v>
      </c>
      <c r="F1097">
        <v>60</v>
      </c>
      <c r="G1097" t="s">
        <v>54</v>
      </c>
      <c r="H1097" t="s">
        <v>54</v>
      </c>
      <c r="I1097" t="s">
        <v>90</v>
      </c>
      <c r="J1097" t="s">
        <v>67</v>
      </c>
      <c r="K1097" s="1">
        <v>46114</v>
      </c>
      <c r="L1097" s="1" t="str">
        <f>IF(K1097&gt;O1097,"Valid","Invalid")</f>
        <v>Valid</v>
      </c>
      <c r="M1097" s="1" t="b">
        <f>ISNUMBER(K1097)</f>
        <v>1</v>
      </c>
      <c r="N1097" s="1" t="b">
        <f>ISNUMBER(O1097)</f>
        <v>1</v>
      </c>
      <c r="O1097" s="1">
        <v>46100</v>
      </c>
      <c r="P1097" t="s">
        <v>3377</v>
      </c>
      <c r="Q1097" t="str">
        <f>SUBSTITUTE(SUBSTITUTE(SUBSTITUTE(P1097," ",""),"-",""),"+","")</f>
        <v>912037843942</v>
      </c>
      <c r="R1097" t="str">
        <f t="shared" si="34"/>
        <v>2037843942</v>
      </c>
      <c r="S1097" t="str">
        <f>IF(LEN(R1097),"Valid","Invalid")</f>
        <v>Valid</v>
      </c>
      <c r="T1097" t="s">
        <v>3376</v>
      </c>
      <c r="V1097" t="s">
        <v>27</v>
      </c>
      <c r="X1097">
        <v>22831.45</v>
      </c>
      <c r="Y1097" t="s">
        <v>27</v>
      </c>
      <c r="Z1097">
        <v>492</v>
      </c>
      <c r="AA1097">
        <f t="shared" si="35"/>
        <v>492</v>
      </c>
      <c r="AB1097" t="s">
        <v>16</v>
      </c>
    </row>
    <row r="1098" spans="1:28" x14ac:dyDescent="0.3">
      <c r="A1098" t="s">
        <v>3375</v>
      </c>
      <c r="B1098" t="s">
        <v>3374</v>
      </c>
      <c r="C1098" t="s">
        <v>3374</v>
      </c>
      <c r="D1098" t="s">
        <v>74</v>
      </c>
      <c r="E1098">
        <v>18</v>
      </c>
      <c r="F1098">
        <v>18</v>
      </c>
      <c r="G1098" t="s">
        <v>132</v>
      </c>
      <c r="H1098" t="s">
        <v>132</v>
      </c>
      <c r="I1098" t="s">
        <v>38</v>
      </c>
      <c r="J1098" t="s">
        <v>8077</v>
      </c>
      <c r="K1098" s="1">
        <v>46130</v>
      </c>
      <c r="L1098" s="1" t="str">
        <f>IF(K1098&gt;O1098,"Valid","Invalid")</f>
        <v>Valid</v>
      </c>
      <c r="M1098" s="1" t="b">
        <f>ISNUMBER(K1098)</f>
        <v>1</v>
      </c>
      <c r="N1098" s="1" t="b">
        <f>ISNUMBER(O1098)</f>
        <v>1</v>
      </c>
      <c r="O1098" s="1">
        <v>46112</v>
      </c>
      <c r="P1098" t="s">
        <v>3373</v>
      </c>
      <c r="Q1098" t="str">
        <f>SUBSTITUTE(SUBSTITUTE(SUBSTITUTE(P1098," ",""),"-",""),"+","")</f>
        <v>08527681609</v>
      </c>
      <c r="R1098" t="str">
        <f t="shared" si="34"/>
        <v>8527681609</v>
      </c>
      <c r="S1098" t="str">
        <f>IF(LEN(R1098),"Valid","Invalid")</f>
        <v>Valid</v>
      </c>
      <c r="T1098" t="s">
        <v>3372</v>
      </c>
      <c r="V1098" t="s">
        <v>57</v>
      </c>
      <c r="X1098">
        <v>3356.42</v>
      </c>
      <c r="Y1098" t="s">
        <v>63</v>
      </c>
      <c r="Z1098">
        <v>127</v>
      </c>
      <c r="AA1098">
        <f t="shared" si="35"/>
        <v>127</v>
      </c>
      <c r="AB1098" t="s">
        <v>50</v>
      </c>
    </row>
    <row r="1099" spans="1:28" x14ac:dyDescent="0.3">
      <c r="A1099" t="s">
        <v>3371</v>
      </c>
      <c r="B1099" t="s">
        <v>3370</v>
      </c>
      <c r="C1099" t="s">
        <v>3370</v>
      </c>
      <c r="D1099" t="s">
        <v>123</v>
      </c>
      <c r="E1099">
        <v>17</v>
      </c>
      <c r="F1099">
        <v>17</v>
      </c>
      <c r="G1099" t="s">
        <v>54</v>
      </c>
      <c r="H1099" t="s">
        <v>54</v>
      </c>
      <c r="I1099" t="s">
        <v>46</v>
      </c>
      <c r="J1099" t="s">
        <v>46</v>
      </c>
      <c r="K1099" s="1">
        <v>46082</v>
      </c>
      <c r="L1099" s="1" t="str">
        <f>IF(K1099&gt;O1099,"Valid","Invalid")</f>
        <v>Valid</v>
      </c>
      <c r="M1099" s="1" t="b">
        <f>ISNUMBER(K1099)</f>
        <v>1</v>
      </c>
      <c r="N1099" s="1" t="b">
        <f>ISNUMBER(O1099)</f>
        <v>1</v>
      </c>
      <c r="O1099" s="1">
        <v>46068</v>
      </c>
      <c r="P1099" t="s">
        <v>3369</v>
      </c>
      <c r="Q1099" t="str">
        <f>SUBSTITUTE(SUBSTITUTE(SUBSTITUTE(P1099," ",""),"-",""),"+","")</f>
        <v>0176201077</v>
      </c>
      <c r="R1099" t="str">
        <f t="shared" si="34"/>
        <v>0176201077</v>
      </c>
      <c r="S1099" t="str">
        <f>IF(LEN(R1099),"Valid","Invalid")</f>
        <v>Valid</v>
      </c>
      <c r="T1099" t="s">
        <v>3368</v>
      </c>
      <c r="V1099" t="s">
        <v>123</v>
      </c>
      <c r="X1099">
        <v>21012.11</v>
      </c>
      <c r="Y1099" t="s">
        <v>64</v>
      </c>
      <c r="Z1099">
        <v>128</v>
      </c>
      <c r="AA1099">
        <f t="shared" si="35"/>
        <v>128</v>
      </c>
      <c r="AB1099" t="s">
        <v>43</v>
      </c>
    </row>
    <row r="1100" spans="1:28" x14ac:dyDescent="0.3">
      <c r="A1100" t="s">
        <v>3367</v>
      </c>
      <c r="B1100" t="s">
        <v>3366</v>
      </c>
      <c r="C1100" t="s">
        <v>8061</v>
      </c>
      <c r="D1100" t="s">
        <v>74</v>
      </c>
      <c r="E1100">
        <v>43</v>
      </c>
      <c r="F1100">
        <v>43</v>
      </c>
      <c r="G1100" t="s">
        <v>80</v>
      </c>
      <c r="H1100" t="s">
        <v>80</v>
      </c>
      <c r="I1100" t="s">
        <v>30</v>
      </c>
      <c r="J1100" t="s">
        <v>30</v>
      </c>
      <c r="K1100" s="1">
        <v>46004</v>
      </c>
      <c r="L1100" s="1" t="str">
        <f>IF(K1100&gt;O1100,"Valid","Invalid")</f>
        <v>Valid</v>
      </c>
      <c r="M1100" s="1" t="b">
        <f>ISNUMBER(K1100)</f>
        <v>1</v>
      </c>
      <c r="N1100" s="1" t="b">
        <f>ISNUMBER(O1100)</f>
        <v>1</v>
      </c>
      <c r="O1100" s="1">
        <v>45986</v>
      </c>
      <c r="P1100" t="s">
        <v>3365</v>
      </c>
      <c r="Q1100" t="str">
        <f>SUBSTITUTE(SUBSTITUTE(SUBSTITUTE(P1100," ",""),"-",""),"+","")</f>
        <v>918397644650</v>
      </c>
      <c r="R1100" t="str">
        <f t="shared" si="34"/>
        <v>8397644650</v>
      </c>
      <c r="S1100" t="str">
        <f>IF(LEN(R1100),"Valid","Invalid")</f>
        <v>Valid</v>
      </c>
      <c r="T1100" t="s">
        <v>3364</v>
      </c>
      <c r="V1100" t="s">
        <v>123</v>
      </c>
      <c r="X1100">
        <v>17326.7</v>
      </c>
      <c r="Y1100" t="s">
        <v>27</v>
      </c>
      <c r="Z1100">
        <v>162</v>
      </c>
      <c r="AA1100">
        <f t="shared" si="35"/>
        <v>162</v>
      </c>
      <c r="AB1100" t="s">
        <v>25</v>
      </c>
    </row>
    <row r="1101" spans="1:28" x14ac:dyDescent="0.3">
      <c r="A1101" t="s">
        <v>3363</v>
      </c>
      <c r="B1101" t="s">
        <v>3362</v>
      </c>
      <c r="C1101" t="s">
        <v>3362</v>
      </c>
      <c r="D1101" t="s">
        <v>40</v>
      </c>
      <c r="E1101">
        <v>90</v>
      </c>
      <c r="F1101">
        <v>90</v>
      </c>
      <c r="G1101" t="s">
        <v>21</v>
      </c>
      <c r="H1101" t="s">
        <v>21</v>
      </c>
      <c r="I1101" t="s">
        <v>53</v>
      </c>
      <c r="J1101" t="s">
        <v>20</v>
      </c>
      <c r="K1101" s="1">
        <v>46047</v>
      </c>
      <c r="L1101" s="1" t="str">
        <f>IF(K1101&gt;O1101,"Valid","Invalid")</f>
        <v>Valid</v>
      </c>
      <c r="M1101" s="1" t="b">
        <f>ISNUMBER(K1101)</f>
        <v>1</v>
      </c>
      <c r="N1101" s="1" t="b">
        <f>ISNUMBER(O1101)</f>
        <v>1</v>
      </c>
      <c r="O1101" s="1">
        <v>46030</v>
      </c>
      <c r="P1101" t="s">
        <v>3361</v>
      </c>
      <c r="Q1101" t="str">
        <f>SUBSTITUTE(SUBSTITUTE(SUBSTITUTE(P1101," ",""),"-",""),"+","")</f>
        <v>08428214359</v>
      </c>
      <c r="R1101" t="str">
        <f t="shared" si="34"/>
        <v>8428214359</v>
      </c>
      <c r="S1101" t="str">
        <f>IF(LEN(R1101),"Valid","Invalid")</f>
        <v>Valid</v>
      </c>
      <c r="T1101" t="s">
        <v>3360</v>
      </c>
      <c r="V1101" t="s">
        <v>123</v>
      </c>
      <c r="X1101">
        <v>3582.79</v>
      </c>
      <c r="Y1101" t="s">
        <v>26</v>
      </c>
      <c r="Z1101">
        <v>254</v>
      </c>
      <c r="AA1101">
        <f t="shared" si="35"/>
        <v>254</v>
      </c>
      <c r="AB1101" t="s">
        <v>25</v>
      </c>
    </row>
    <row r="1102" spans="1:28" x14ac:dyDescent="0.3">
      <c r="A1102" t="s">
        <v>3359</v>
      </c>
      <c r="B1102" t="s">
        <v>3358</v>
      </c>
      <c r="C1102" t="s">
        <v>3358</v>
      </c>
      <c r="D1102" t="s">
        <v>22</v>
      </c>
      <c r="E1102">
        <v>1</v>
      </c>
      <c r="F1102">
        <v>1</v>
      </c>
      <c r="G1102" t="s">
        <v>68</v>
      </c>
      <c r="H1102" t="s">
        <v>68</v>
      </c>
      <c r="I1102" t="s">
        <v>38</v>
      </c>
      <c r="J1102" t="s">
        <v>8077</v>
      </c>
      <c r="K1102" s="1">
        <v>46077</v>
      </c>
      <c r="L1102" s="1" t="str">
        <f>IF(K1102&gt;O1102,"Valid","Invalid")</f>
        <v>Valid</v>
      </c>
      <c r="M1102" s="1" t="b">
        <f>ISNUMBER(K1102)</f>
        <v>1</v>
      </c>
      <c r="N1102" s="1" t="b">
        <f>ISNUMBER(O1102)</f>
        <v>1</v>
      </c>
      <c r="O1102" s="1">
        <v>46074</v>
      </c>
      <c r="P1102" t="s">
        <v>3357</v>
      </c>
      <c r="Q1102" t="str">
        <f>SUBSTITUTE(SUBSTITUTE(SUBSTITUTE(P1102," ",""),"-",""),"+","")</f>
        <v>04880699937</v>
      </c>
      <c r="R1102" t="str">
        <f t="shared" si="34"/>
        <v>4880699937</v>
      </c>
      <c r="S1102" t="str">
        <f>IF(LEN(R1102),"Valid","Invalid")</f>
        <v>Valid</v>
      </c>
      <c r="T1102" t="s">
        <v>3356</v>
      </c>
      <c r="V1102" t="s">
        <v>64</v>
      </c>
      <c r="X1102">
        <v>200.89</v>
      </c>
      <c r="Y1102" t="s">
        <v>64</v>
      </c>
      <c r="Z1102">
        <v>366</v>
      </c>
      <c r="AA1102">
        <f t="shared" si="35"/>
        <v>366</v>
      </c>
      <c r="AB1102" t="s">
        <v>77</v>
      </c>
    </row>
    <row r="1103" spans="1:28" x14ac:dyDescent="0.3">
      <c r="A1103" t="s">
        <v>3347</v>
      </c>
      <c r="B1103" t="s">
        <v>3346</v>
      </c>
      <c r="C1103" t="s">
        <v>3346</v>
      </c>
      <c r="D1103" t="s">
        <v>40</v>
      </c>
      <c r="E1103">
        <v>24</v>
      </c>
      <c r="F1103">
        <v>24</v>
      </c>
      <c r="G1103" t="s">
        <v>39</v>
      </c>
      <c r="H1103" t="s">
        <v>39</v>
      </c>
      <c r="I1103" t="s">
        <v>38</v>
      </c>
      <c r="J1103" t="s">
        <v>8077</v>
      </c>
      <c r="K1103" s="1">
        <v>46080</v>
      </c>
      <c r="L1103" s="1" t="str">
        <f>IF(K1103&gt;O1103,"Valid","Invalid")</f>
        <v>Valid</v>
      </c>
      <c r="M1103" s="1" t="b">
        <f>ISNUMBER(K1103)</f>
        <v>1</v>
      </c>
      <c r="N1103" s="1" t="b">
        <f>ISNUMBER(O1103)</f>
        <v>1</v>
      </c>
      <c r="O1103" s="1">
        <v>46075</v>
      </c>
      <c r="P1103" t="s">
        <v>3345</v>
      </c>
      <c r="Q1103" t="str">
        <f>SUBSTITUTE(SUBSTITUTE(SUBSTITUTE(P1103," ",""),"-",""),"+","")</f>
        <v>04922570680</v>
      </c>
      <c r="R1103" t="str">
        <f t="shared" si="34"/>
        <v>4922570680</v>
      </c>
      <c r="S1103" t="str">
        <f>IF(LEN(R1103),"Valid","Invalid")</f>
        <v>Valid</v>
      </c>
      <c r="T1103" t="s">
        <v>3344</v>
      </c>
      <c r="V1103" t="s">
        <v>17</v>
      </c>
      <c r="X1103">
        <v>12008.73</v>
      </c>
      <c r="Y1103" t="s">
        <v>63</v>
      </c>
      <c r="Z1103">
        <v>248</v>
      </c>
      <c r="AA1103">
        <f t="shared" si="35"/>
        <v>248</v>
      </c>
      <c r="AB1103" t="s">
        <v>25</v>
      </c>
    </row>
    <row r="1104" spans="1:28" x14ac:dyDescent="0.3">
      <c r="A1104" t="s">
        <v>3343</v>
      </c>
      <c r="B1104" t="s">
        <v>3342</v>
      </c>
      <c r="C1104" t="s">
        <v>3342</v>
      </c>
      <c r="D1104" t="s">
        <v>74</v>
      </c>
      <c r="E1104">
        <v>76</v>
      </c>
      <c r="F1104">
        <v>76</v>
      </c>
      <c r="G1104" t="s">
        <v>68</v>
      </c>
      <c r="H1104" t="s">
        <v>68</v>
      </c>
      <c r="I1104" t="s">
        <v>67</v>
      </c>
      <c r="J1104" t="s">
        <v>67</v>
      </c>
      <c r="K1104" s="1">
        <v>46016</v>
      </c>
      <c r="L1104" s="1" t="str">
        <f>IF(K1104&gt;O1104,"Valid","Invalid")</f>
        <v>Valid</v>
      </c>
      <c r="M1104" s="1" t="b">
        <f>ISNUMBER(K1104)</f>
        <v>1</v>
      </c>
      <c r="N1104" s="1" t="b">
        <f>ISNUMBER(O1104)</f>
        <v>1</v>
      </c>
      <c r="O1104" s="1">
        <v>45995</v>
      </c>
      <c r="P1104" t="s">
        <v>3341</v>
      </c>
      <c r="Q1104" t="str">
        <f>SUBSTITUTE(SUBSTITUTE(SUBSTITUTE(P1104," ",""),"-",""),"+","")</f>
        <v>917103333690</v>
      </c>
      <c r="R1104" t="str">
        <f t="shared" si="34"/>
        <v>7103333690</v>
      </c>
      <c r="S1104" t="str">
        <f>IF(LEN(R1104),"Valid","Invalid")</f>
        <v>Valid</v>
      </c>
      <c r="T1104" t="s">
        <v>3340</v>
      </c>
      <c r="V1104" t="s">
        <v>26</v>
      </c>
      <c r="X1104">
        <v>9901.49</v>
      </c>
      <c r="Y1104" t="s">
        <v>64</v>
      </c>
      <c r="Z1104">
        <v>337</v>
      </c>
      <c r="AA1104">
        <f t="shared" si="35"/>
        <v>337</v>
      </c>
      <c r="AB1104" t="s">
        <v>16</v>
      </c>
    </row>
    <row r="1105" spans="1:28" x14ac:dyDescent="0.3">
      <c r="A1105" t="s">
        <v>3339</v>
      </c>
      <c r="B1105" t="s">
        <v>3338</v>
      </c>
      <c r="C1105" t="s">
        <v>3338</v>
      </c>
      <c r="D1105" t="s">
        <v>123</v>
      </c>
      <c r="E1105">
        <v>19</v>
      </c>
      <c r="F1105">
        <v>19</v>
      </c>
      <c r="G1105" t="s">
        <v>47</v>
      </c>
      <c r="H1105" t="s">
        <v>47</v>
      </c>
      <c r="I1105" t="s">
        <v>30</v>
      </c>
      <c r="J1105" t="s">
        <v>30</v>
      </c>
      <c r="K1105" s="1">
        <v>46115</v>
      </c>
      <c r="L1105" s="1" t="str">
        <f>IF(K1105&gt;O1105,"Valid","Invalid")</f>
        <v>Valid</v>
      </c>
      <c r="M1105" s="1" t="b">
        <f>ISNUMBER(K1105)</f>
        <v>1</v>
      </c>
      <c r="N1105" s="1" t="b">
        <f>ISNUMBER(O1105)</f>
        <v>1</v>
      </c>
      <c r="O1105" s="1">
        <v>46101</v>
      </c>
      <c r="P1105" t="s">
        <v>3337</v>
      </c>
      <c r="Q1105" t="str">
        <f>SUBSTITUTE(SUBSTITUTE(SUBSTITUTE(P1105," ",""),"-",""),"+","")</f>
        <v>8929058175</v>
      </c>
      <c r="R1105" t="str">
        <f t="shared" si="34"/>
        <v>8929058175</v>
      </c>
      <c r="S1105" t="str">
        <f>IF(LEN(R1105),"Valid","Invalid")</f>
        <v>Valid</v>
      </c>
      <c r="T1105" t="s">
        <v>3336</v>
      </c>
      <c r="V1105" t="s">
        <v>64</v>
      </c>
      <c r="X1105">
        <v>14192.39</v>
      </c>
      <c r="Y1105" t="s">
        <v>27</v>
      </c>
      <c r="Z1105">
        <v>397</v>
      </c>
      <c r="AA1105">
        <f t="shared" si="35"/>
        <v>397</v>
      </c>
      <c r="AB1105" t="s">
        <v>43</v>
      </c>
    </row>
    <row r="1106" spans="1:28" x14ac:dyDescent="0.3">
      <c r="A1106" t="s">
        <v>3335</v>
      </c>
      <c r="B1106" t="s">
        <v>3334</v>
      </c>
      <c r="C1106" t="s">
        <v>3334</v>
      </c>
      <c r="D1106" t="s">
        <v>40</v>
      </c>
      <c r="E1106">
        <v>83</v>
      </c>
      <c r="F1106">
        <v>83</v>
      </c>
      <c r="G1106" t="s">
        <v>68</v>
      </c>
      <c r="H1106" t="s">
        <v>68</v>
      </c>
      <c r="I1106" t="s">
        <v>46</v>
      </c>
      <c r="J1106" t="s">
        <v>46</v>
      </c>
      <c r="K1106" s="1">
        <v>46143</v>
      </c>
      <c r="L1106" s="1" t="str">
        <f>IF(K1106&gt;O1106,"Valid","Invalid")</f>
        <v>Valid</v>
      </c>
      <c r="M1106" s="1" t="b">
        <f>ISNUMBER(K1106)</f>
        <v>1</v>
      </c>
      <c r="N1106" s="1" t="b">
        <f>ISNUMBER(O1106)</f>
        <v>1</v>
      </c>
      <c r="O1106" s="1">
        <v>46114</v>
      </c>
      <c r="P1106" t="s">
        <v>3333</v>
      </c>
      <c r="Q1106" t="str">
        <f>SUBSTITUTE(SUBSTITUTE(SUBSTITUTE(P1106," ",""),"-",""),"+","")</f>
        <v>0718419040</v>
      </c>
      <c r="R1106" t="str">
        <f t="shared" si="34"/>
        <v>0718419040</v>
      </c>
      <c r="S1106" t="str">
        <f>IF(LEN(R1106),"Valid","Invalid")</f>
        <v>Valid</v>
      </c>
      <c r="T1106" t="s">
        <v>3332</v>
      </c>
      <c r="V1106" t="s">
        <v>57</v>
      </c>
      <c r="X1106">
        <v>24077.35</v>
      </c>
      <c r="Y1106" t="s">
        <v>123</v>
      </c>
      <c r="Z1106">
        <v>470</v>
      </c>
      <c r="AA1106">
        <f t="shared" si="35"/>
        <v>470</v>
      </c>
      <c r="AB1106" t="s">
        <v>16</v>
      </c>
    </row>
    <row r="1107" spans="1:28" x14ac:dyDescent="0.3">
      <c r="A1107" t="s">
        <v>3331</v>
      </c>
      <c r="B1107" t="s">
        <v>3330</v>
      </c>
      <c r="C1107" t="s">
        <v>3330</v>
      </c>
      <c r="D1107" t="s">
        <v>22</v>
      </c>
      <c r="E1107">
        <v>2</v>
      </c>
      <c r="F1107">
        <v>2</v>
      </c>
      <c r="G1107" t="s">
        <v>39</v>
      </c>
      <c r="H1107" t="s">
        <v>39</v>
      </c>
      <c r="I1107" t="s">
        <v>67</v>
      </c>
      <c r="J1107" t="s">
        <v>67</v>
      </c>
      <c r="K1107" s="1">
        <v>46088</v>
      </c>
      <c r="L1107" s="1" t="str">
        <f>IF(K1107&gt;O1107,"Valid","Invalid")</f>
        <v>Valid</v>
      </c>
      <c r="M1107" s="1" t="b">
        <f>ISNUMBER(K1107)</f>
        <v>1</v>
      </c>
      <c r="N1107" s="1" t="b">
        <f>ISNUMBER(O1107)</f>
        <v>1</v>
      </c>
      <c r="O1107" s="1">
        <v>46072</v>
      </c>
      <c r="P1107" t="s">
        <v>3329</v>
      </c>
      <c r="Q1107" t="str">
        <f>SUBSTITUTE(SUBSTITUTE(SUBSTITUTE(P1107," ",""),"-",""),"+","")</f>
        <v>04414689183</v>
      </c>
      <c r="R1107" t="str">
        <f t="shared" si="34"/>
        <v>4414689183</v>
      </c>
      <c r="S1107" t="str">
        <f>IF(LEN(R1107),"Valid","Invalid")</f>
        <v>Valid</v>
      </c>
      <c r="T1107" t="s">
        <v>3328</v>
      </c>
      <c r="V1107" t="s">
        <v>17</v>
      </c>
      <c r="X1107">
        <v>8851.09</v>
      </c>
      <c r="Y1107" t="s">
        <v>123</v>
      </c>
      <c r="Z1107">
        <v>362</v>
      </c>
      <c r="AA1107">
        <f t="shared" si="35"/>
        <v>362</v>
      </c>
      <c r="AB1107" t="s">
        <v>77</v>
      </c>
    </row>
    <row r="1108" spans="1:28" x14ac:dyDescent="0.3">
      <c r="A1108" t="s">
        <v>3327</v>
      </c>
      <c r="B1108" t="s">
        <v>3326</v>
      </c>
      <c r="C1108" t="s">
        <v>3326</v>
      </c>
      <c r="D1108" t="s">
        <v>0</v>
      </c>
      <c r="E1108">
        <v>84</v>
      </c>
      <c r="F1108">
        <v>84</v>
      </c>
      <c r="G1108" t="s">
        <v>39</v>
      </c>
      <c r="H1108" t="s">
        <v>39</v>
      </c>
      <c r="I1108" t="s">
        <v>67</v>
      </c>
      <c r="J1108" t="s">
        <v>67</v>
      </c>
      <c r="K1108" s="1">
        <v>46026</v>
      </c>
      <c r="L1108" s="1" t="str">
        <f>IF(K1108&gt;O1108,"Valid","Invalid")</f>
        <v>Valid</v>
      </c>
      <c r="M1108" s="1" t="b">
        <f>ISNUMBER(K1108)</f>
        <v>1</v>
      </c>
      <c r="N1108" s="1" t="b">
        <f>ISNUMBER(O1108)</f>
        <v>1</v>
      </c>
      <c r="O1108" s="1">
        <v>46006</v>
      </c>
      <c r="P1108" t="s">
        <v>3325</v>
      </c>
      <c r="Q1108" t="str">
        <f>SUBSTITUTE(SUBSTITUTE(SUBSTITUTE(P1108," ",""),"-",""),"+","")</f>
        <v>910854153750</v>
      </c>
      <c r="R1108" t="str">
        <f t="shared" si="34"/>
        <v>0854153750</v>
      </c>
      <c r="S1108" t="str">
        <f>IF(LEN(R1108),"Valid","Invalid")</f>
        <v>Valid</v>
      </c>
      <c r="T1108" t="s">
        <v>3324</v>
      </c>
      <c r="V1108" t="s">
        <v>57</v>
      </c>
      <c r="X1108">
        <v>11595.15</v>
      </c>
      <c r="Y1108" t="s">
        <v>26</v>
      </c>
      <c r="Z1108">
        <v>242</v>
      </c>
      <c r="AA1108">
        <f t="shared" si="35"/>
        <v>242</v>
      </c>
      <c r="AB1108" t="s">
        <v>50</v>
      </c>
    </row>
    <row r="1109" spans="1:28" x14ac:dyDescent="0.3">
      <c r="A1109" t="s">
        <v>3323</v>
      </c>
      <c r="B1109" t="s">
        <v>3322</v>
      </c>
      <c r="C1109" t="s">
        <v>3322</v>
      </c>
      <c r="D1109" t="s">
        <v>22</v>
      </c>
      <c r="E1109">
        <v>51</v>
      </c>
      <c r="F1109">
        <v>51</v>
      </c>
      <c r="G1109" t="s">
        <v>80</v>
      </c>
      <c r="H1109" t="s">
        <v>80</v>
      </c>
      <c r="I1109" t="s">
        <v>85</v>
      </c>
      <c r="J1109" t="s">
        <v>85</v>
      </c>
      <c r="K1109" s="1">
        <v>45999</v>
      </c>
      <c r="L1109" s="1" t="str">
        <f>IF(K1109&gt;O1109,"Valid","Invalid")</f>
        <v>Valid</v>
      </c>
      <c r="M1109" s="1" t="b">
        <f>ISNUMBER(K1109)</f>
        <v>1</v>
      </c>
      <c r="N1109" s="1" t="b">
        <f>ISNUMBER(O1109)</f>
        <v>1</v>
      </c>
      <c r="O1109" s="1">
        <v>45987</v>
      </c>
      <c r="P1109" t="s">
        <v>3321</v>
      </c>
      <c r="Q1109" t="str">
        <f>SUBSTITUTE(SUBSTITUTE(SUBSTITUTE(P1109," ",""),"-",""),"+","")</f>
        <v>8306001388</v>
      </c>
      <c r="R1109" t="str">
        <f t="shared" si="34"/>
        <v>8306001388</v>
      </c>
      <c r="S1109" t="str">
        <f>IF(LEN(R1109),"Valid","Invalid")</f>
        <v>Valid</v>
      </c>
      <c r="T1109" t="s">
        <v>3320</v>
      </c>
      <c r="V1109" t="s">
        <v>123</v>
      </c>
      <c r="X1109">
        <v>15224.88</v>
      </c>
      <c r="Y1109" t="s">
        <v>26</v>
      </c>
      <c r="Z1109">
        <v>394</v>
      </c>
      <c r="AA1109">
        <f t="shared" si="35"/>
        <v>394</v>
      </c>
      <c r="AB1109" t="s">
        <v>25</v>
      </c>
    </row>
    <row r="1110" spans="1:28" x14ac:dyDescent="0.3">
      <c r="A1110" t="s">
        <v>3319</v>
      </c>
      <c r="B1110" t="s">
        <v>3318</v>
      </c>
      <c r="C1110" t="s">
        <v>3318</v>
      </c>
      <c r="D1110" t="s">
        <v>22</v>
      </c>
      <c r="E1110">
        <v>17</v>
      </c>
      <c r="F1110">
        <v>17</v>
      </c>
      <c r="G1110" t="s">
        <v>31</v>
      </c>
      <c r="H1110" t="s">
        <v>31</v>
      </c>
      <c r="I1110" t="s">
        <v>67</v>
      </c>
      <c r="J1110" t="s">
        <v>67</v>
      </c>
      <c r="K1110" s="1">
        <v>46106</v>
      </c>
      <c r="L1110" s="1" t="str">
        <f>IF(K1110&gt;O1110,"Valid","Invalid")</f>
        <v>Valid</v>
      </c>
      <c r="M1110" s="1" t="b">
        <f>ISNUMBER(K1110)</f>
        <v>1</v>
      </c>
      <c r="N1110" s="1" t="b">
        <f>ISNUMBER(O1110)</f>
        <v>1</v>
      </c>
      <c r="O1110" s="1">
        <v>46088</v>
      </c>
      <c r="P1110" t="s">
        <v>3317</v>
      </c>
      <c r="Q1110" t="str">
        <f>SUBSTITUTE(SUBSTITUTE(SUBSTITUTE(P1110," ",""),"-",""),"+","")</f>
        <v>914567237361</v>
      </c>
      <c r="R1110" t="str">
        <f t="shared" si="34"/>
        <v>4567237361</v>
      </c>
      <c r="S1110" t="str">
        <f>IF(LEN(R1110),"Valid","Invalid")</f>
        <v>Valid</v>
      </c>
      <c r="T1110" t="s">
        <v>3316</v>
      </c>
      <c r="V1110" t="s">
        <v>123</v>
      </c>
      <c r="X1110">
        <v>1875.74</v>
      </c>
      <c r="Y1110" t="s">
        <v>27</v>
      </c>
      <c r="Z1110">
        <v>536</v>
      </c>
      <c r="AA1110">
        <f t="shared" si="35"/>
        <v>536</v>
      </c>
      <c r="AB1110" t="s">
        <v>25</v>
      </c>
    </row>
    <row r="1111" spans="1:28" x14ac:dyDescent="0.3">
      <c r="A1111" t="s">
        <v>3315</v>
      </c>
      <c r="B1111" t="s">
        <v>3314</v>
      </c>
      <c r="C1111" t="s">
        <v>3314</v>
      </c>
      <c r="D1111" t="s">
        <v>0</v>
      </c>
      <c r="E1111">
        <v>30</v>
      </c>
      <c r="F1111">
        <v>30</v>
      </c>
      <c r="G1111" t="s">
        <v>80</v>
      </c>
      <c r="H1111" t="s">
        <v>80</v>
      </c>
      <c r="I1111" t="s">
        <v>20</v>
      </c>
      <c r="J1111" t="s">
        <v>20</v>
      </c>
      <c r="K1111" s="1">
        <v>46056</v>
      </c>
      <c r="L1111" s="1" t="str">
        <f>IF(K1111&gt;O1111,"Valid","Invalid")</f>
        <v>Valid</v>
      </c>
      <c r="M1111" s="1" t="b">
        <f>ISNUMBER(K1111)</f>
        <v>1</v>
      </c>
      <c r="N1111" s="1" t="b">
        <f>ISNUMBER(O1111)</f>
        <v>1</v>
      </c>
      <c r="O1111" s="1">
        <v>46041</v>
      </c>
      <c r="P1111" t="s">
        <v>3313</v>
      </c>
      <c r="Q1111" t="str">
        <f>SUBSTITUTE(SUBSTITUTE(SUBSTITUTE(P1111," ",""),"-",""),"+","")</f>
        <v>00973414635</v>
      </c>
      <c r="R1111" t="str">
        <f t="shared" si="34"/>
        <v>0973414635</v>
      </c>
      <c r="S1111" t="str">
        <f>IF(LEN(R1111),"Valid","Invalid")</f>
        <v>Valid</v>
      </c>
      <c r="T1111" t="s">
        <v>3312</v>
      </c>
      <c r="V1111" t="s">
        <v>123</v>
      </c>
      <c r="X1111">
        <v>8226.75</v>
      </c>
      <c r="Y1111" t="s">
        <v>57</v>
      </c>
      <c r="Z1111">
        <v>495</v>
      </c>
      <c r="AA1111">
        <f t="shared" si="35"/>
        <v>495</v>
      </c>
      <c r="AB1111" t="s">
        <v>50</v>
      </c>
    </row>
    <row r="1112" spans="1:28" x14ac:dyDescent="0.3">
      <c r="A1112" t="s">
        <v>3311</v>
      </c>
      <c r="B1112" t="s">
        <v>3310</v>
      </c>
      <c r="C1112" t="s">
        <v>3310</v>
      </c>
      <c r="D1112" t="s">
        <v>1</v>
      </c>
      <c r="E1112">
        <v>14</v>
      </c>
      <c r="F1112">
        <v>14</v>
      </c>
      <c r="G1112" t="s">
        <v>39</v>
      </c>
      <c r="H1112" t="s">
        <v>39</v>
      </c>
      <c r="I1112" t="s">
        <v>90</v>
      </c>
      <c r="J1112" t="s">
        <v>67</v>
      </c>
      <c r="K1112" s="1">
        <v>46021</v>
      </c>
      <c r="L1112" s="1" t="str">
        <f>IF(K1112&gt;O1112,"Valid","Invalid")</f>
        <v>Valid</v>
      </c>
      <c r="M1112" s="1" t="b">
        <f>ISNUMBER(K1112)</f>
        <v>1</v>
      </c>
      <c r="N1112" s="1" t="b">
        <f>ISNUMBER(O1112)</f>
        <v>1</v>
      </c>
      <c r="O1112" s="1">
        <v>45997</v>
      </c>
      <c r="P1112" t="s">
        <v>3309</v>
      </c>
      <c r="Q1112" t="str">
        <f>SUBSTITUTE(SUBSTITUTE(SUBSTITUTE(P1112," ",""),"-",""),"+","")</f>
        <v>03137310686</v>
      </c>
      <c r="R1112" t="str">
        <f t="shared" si="34"/>
        <v>3137310686</v>
      </c>
      <c r="S1112" t="str">
        <f>IF(LEN(R1112),"Valid","Invalid")</f>
        <v>Valid</v>
      </c>
      <c r="T1112" t="s">
        <v>3308</v>
      </c>
      <c r="V1112" t="s">
        <v>123</v>
      </c>
      <c r="X1112">
        <v>23074.92</v>
      </c>
      <c r="Y1112" t="s">
        <v>27</v>
      </c>
      <c r="Z1112">
        <v>413</v>
      </c>
      <c r="AA1112">
        <f t="shared" si="35"/>
        <v>413</v>
      </c>
      <c r="AB1112" t="s">
        <v>43</v>
      </c>
    </row>
    <row r="1113" spans="1:28" x14ac:dyDescent="0.3">
      <c r="A1113" t="s">
        <v>3307</v>
      </c>
      <c r="B1113" t="s">
        <v>3306</v>
      </c>
      <c r="C1113" t="s">
        <v>3306</v>
      </c>
      <c r="D1113" t="s">
        <v>74</v>
      </c>
      <c r="E1113">
        <v>5</v>
      </c>
      <c r="F1113">
        <v>5</v>
      </c>
      <c r="G1113" t="s">
        <v>80</v>
      </c>
      <c r="H1113" t="s">
        <v>80</v>
      </c>
      <c r="I1113" t="s">
        <v>85</v>
      </c>
      <c r="J1113" t="s">
        <v>85</v>
      </c>
      <c r="K1113" s="1">
        <v>46111</v>
      </c>
      <c r="L1113" s="1" t="str">
        <f>IF(K1113&gt;O1113,"Valid","Invalid")</f>
        <v>Valid</v>
      </c>
      <c r="M1113" s="1" t="b">
        <f>ISNUMBER(K1113)</f>
        <v>1</v>
      </c>
      <c r="N1113" s="1" t="b">
        <f>ISNUMBER(O1113)</f>
        <v>1</v>
      </c>
      <c r="O1113" s="1">
        <v>46087</v>
      </c>
      <c r="P1113" t="s">
        <v>3305</v>
      </c>
      <c r="Q1113" t="str">
        <f>SUBSTITUTE(SUBSTITUTE(SUBSTITUTE(P1113," ",""),"-",""),"+","")</f>
        <v>2305296489</v>
      </c>
      <c r="R1113" t="str">
        <f t="shared" si="34"/>
        <v>2305296489</v>
      </c>
      <c r="S1113" t="str">
        <f>IF(LEN(R1113),"Valid","Invalid")</f>
        <v>Valid</v>
      </c>
      <c r="T1113" t="s">
        <v>3304</v>
      </c>
      <c r="V1113" t="s">
        <v>57</v>
      </c>
      <c r="X1113">
        <v>15242.03</v>
      </c>
      <c r="Y1113" t="s">
        <v>27</v>
      </c>
      <c r="Z1113">
        <v>189</v>
      </c>
      <c r="AA1113">
        <f t="shared" si="35"/>
        <v>189</v>
      </c>
      <c r="AB1113" t="s">
        <v>43</v>
      </c>
    </row>
    <row r="1114" spans="1:28" x14ac:dyDescent="0.3">
      <c r="A1114" t="s">
        <v>3303</v>
      </c>
      <c r="B1114" t="s">
        <v>3302</v>
      </c>
      <c r="C1114" t="s">
        <v>3302</v>
      </c>
      <c r="D1114" t="s">
        <v>74</v>
      </c>
      <c r="E1114">
        <v>90</v>
      </c>
      <c r="F1114">
        <v>90</v>
      </c>
      <c r="G1114" t="s">
        <v>68</v>
      </c>
      <c r="H1114" t="s">
        <v>68</v>
      </c>
      <c r="I1114" t="s">
        <v>90</v>
      </c>
      <c r="J1114" t="s">
        <v>67</v>
      </c>
      <c r="K1114" s="1">
        <v>45985</v>
      </c>
      <c r="L1114" s="1" t="str">
        <f>IF(K1114&gt;O1114,"Valid","Invalid")</f>
        <v>Valid</v>
      </c>
      <c r="M1114" s="1" t="b">
        <f>ISNUMBER(K1114)</f>
        <v>1</v>
      </c>
      <c r="N1114" s="1" t="b">
        <f>ISNUMBER(O1114)</f>
        <v>1</v>
      </c>
      <c r="O1114" s="1">
        <v>45981</v>
      </c>
      <c r="P1114" t="s">
        <v>3301</v>
      </c>
      <c r="Q1114" t="str">
        <f>SUBSTITUTE(SUBSTITUTE(SUBSTITUTE(P1114," ",""),"-",""),"+","")</f>
        <v>04384027696</v>
      </c>
      <c r="R1114" t="str">
        <f t="shared" si="34"/>
        <v>4384027696</v>
      </c>
      <c r="S1114" t="str">
        <f>IF(LEN(R1114),"Valid","Invalid")</f>
        <v>Valid</v>
      </c>
      <c r="T1114" t="s">
        <v>3300</v>
      </c>
      <c r="V1114" t="s">
        <v>17</v>
      </c>
      <c r="X1114">
        <v>5053.8100000000004</v>
      </c>
      <c r="Y1114" t="s">
        <v>123</v>
      </c>
      <c r="Z1114">
        <v>324</v>
      </c>
      <c r="AA1114">
        <f t="shared" si="35"/>
        <v>324</v>
      </c>
      <c r="AB1114" t="s">
        <v>25</v>
      </c>
    </row>
    <row r="1115" spans="1:28" x14ac:dyDescent="0.3">
      <c r="A1115" t="s">
        <v>3299</v>
      </c>
      <c r="B1115" t="s">
        <v>3298</v>
      </c>
      <c r="C1115" t="s">
        <v>3298</v>
      </c>
      <c r="D1115" t="s">
        <v>22</v>
      </c>
      <c r="E1115">
        <v>29</v>
      </c>
      <c r="F1115">
        <v>29</v>
      </c>
      <c r="G1115" t="s">
        <v>21</v>
      </c>
      <c r="H1115" t="s">
        <v>21</v>
      </c>
      <c r="I1115" t="s">
        <v>53</v>
      </c>
      <c r="J1115" t="s">
        <v>20</v>
      </c>
      <c r="K1115" s="1">
        <v>46028</v>
      </c>
      <c r="L1115" s="1" t="str">
        <f>IF(K1115&gt;O1115,"Valid","Invalid")</f>
        <v>Valid</v>
      </c>
      <c r="M1115" s="1" t="b">
        <f>ISNUMBER(K1115)</f>
        <v>1</v>
      </c>
      <c r="N1115" s="1" t="b">
        <f>ISNUMBER(O1115)</f>
        <v>1</v>
      </c>
      <c r="O1115" s="1">
        <v>46015</v>
      </c>
      <c r="P1115" t="s">
        <v>3297</v>
      </c>
      <c r="Q1115" t="str">
        <f>SUBSTITUTE(SUBSTITUTE(SUBSTITUTE(P1115," ",""),"-",""),"+","")</f>
        <v>1561807062</v>
      </c>
      <c r="R1115" t="str">
        <f t="shared" si="34"/>
        <v>1561807062</v>
      </c>
      <c r="S1115" t="str">
        <f>IF(LEN(R1115),"Valid","Invalid")</f>
        <v>Valid</v>
      </c>
      <c r="T1115" t="s">
        <v>3296</v>
      </c>
      <c r="V1115" t="s">
        <v>17</v>
      </c>
      <c r="X1115">
        <v>2333.25</v>
      </c>
      <c r="Y1115" t="s">
        <v>27</v>
      </c>
      <c r="Z1115">
        <v>422</v>
      </c>
      <c r="AA1115">
        <f t="shared" si="35"/>
        <v>422</v>
      </c>
      <c r="AB1115" t="s">
        <v>25</v>
      </c>
    </row>
    <row r="1116" spans="1:28" x14ac:dyDescent="0.3">
      <c r="A1116" t="s">
        <v>3295</v>
      </c>
      <c r="B1116" t="s">
        <v>3294</v>
      </c>
      <c r="C1116" t="s">
        <v>3294</v>
      </c>
      <c r="D1116" t="s">
        <v>74</v>
      </c>
      <c r="E1116">
        <v>27</v>
      </c>
      <c r="F1116">
        <v>27</v>
      </c>
      <c r="G1116" t="s">
        <v>47</v>
      </c>
      <c r="H1116" t="s">
        <v>47</v>
      </c>
      <c r="I1116" t="s">
        <v>53</v>
      </c>
      <c r="J1116" t="s">
        <v>20</v>
      </c>
      <c r="K1116" s="1">
        <v>46052</v>
      </c>
      <c r="L1116" s="1" t="str">
        <f>IF(K1116&gt;O1116,"Valid","Invalid")</f>
        <v>Valid</v>
      </c>
      <c r="M1116" s="1" t="b">
        <f>ISNUMBER(K1116)</f>
        <v>1</v>
      </c>
      <c r="N1116" s="1" t="b">
        <f>ISNUMBER(O1116)</f>
        <v>1</v>
      </c>
      <c r="O1116" s="1">
        <v>46024</v>
      </c>
      <c r="P1116" t="s">
        <v>3293</v>
      </c>
      <c r="Q1116" t="str">
        <f>SUBSTITUTE(SUBSTITUTE(SUBSTITUTE(P1116," ",""),"-",""),"+","")</f>
        <v>912103922719</v>
      </c>
      <c r="R1116" t="str">
        <f t="shared" si="34"/>
        <v>2103922719</v>
      </c>
      <c r="S1116" t="str">
        <f>IF(LEN(R1116),"Valid","Invalid")</f>
        <v>Valid</v>
      </c>
      <c r="T1116" t="s">
        <v>3292</v>
      </c>
      <c r="V1116" t="s">
        <v>27</v>
      </c>
      <c r="X1116">
        <v>9117.11</v>
      </c>
      <c r="Y1116" t="s">
        <v>123</v>
      </c>
      <c r="Z1116">
        <v>390</v>
      </c>
      <c r="AA1116">
        <f t="shared" si="35"/>
        <v>390</v>
      </c>
      <c r="AB1116" t="s">
        <v>34</v>
      </c>
    </row>
    <row r="1117" spans="1:28" x14ac:dyDescent="0.3">
      <c r="A1117" t="s">
        <v>3291</v>
      </c>
      <c r="B1117" t="s">
        <v>3290</v>
      </c>
      <c r="C1117" t="s">
        <v>3290</v>
      </c>
      <c r="D1117" t="s">
        <v>74</v>
      </c>
      <c r="E1117">
        <v>44</v>
      </c>
      <c r="F1117">
        <v>44</v>
      </c>
      <c r="G1117" t="s">
        <v>39</v>
      </c>
      <c r="H1117" t="s">
        <v>39</v>
      </c>
      <c r="I1117" t="s">
        <v>85</v>
      </c>
      <c r="J1117" t="s">
        <v>85</v>
      </c>
      <c r="K1117" s="1">
        <v>46008</v>
      </c>
      <c r="L1117" s="1" t="str">
        <f>IF(K1117&gt;O1117,"Valid","Invalid")</f>
        <v>Valid</v>
      </c>
      <c r="M1117" s="1" t="b">
        <f>ISNUMBER(K1117)</f>
        <v>1</v>
      </c>
      <c r="N1117" s="1" t="b">
        <f>ISNUMBER(O1117)</f>
        <v>1</v>
      </c>
      <c r="O1117" s="1">
        <v>46002</v>
      </c>
      <c r="P1117" t="s">
        <v>3289</v>
      </c>
      <c r="Q1117" t="str">
        <f>SUBSTITUTE(SUBSTITUTE(SUBSTITUTE(P1117," ",""),"-",""),"+","")</f>
        <v>7525184978</v>
      </c>
      <c r="R1117" t="str">
        <f t="shared" si="34"/>
        <v>7525184978</v>
      </c>
      <c r="S1117" t="str">
        <f>IF(LEN(R1117),"Valid","Invalid")</f>
        <v>Valid</v>
      </c>
      <c r="T1117" t="s">
        <v>3288</v>
      </c>
      <c r="V1117" t="s">
        <v>17</v>
      </c>
      <c r="X1117">
        <v>14345.18</v>
      </c>
      <c r="Y1117" t="s">
        <v>123</v>
      </c>
      <c r="Z1117">
        <v>356</v>
      </c>
      <c r="AA1117">
        <f t="shared" si="35"/>
        <v>356</v>
      </c>
      <c r="AB1117" t="s">
        <v>43</v>
      </c>
    </row>
    <row r="1118" spans="1:28" x14ac:dyDescent="0.3">
      <c r="A1118" t="s">
        <v>3287</v>
      </c>
      <c r="B1118" t="s">
        <v>3286</v>
      </c>
      <c r="C1118" t="s">
        <v>3286</v>
      </c>
      <c r="D1118" t="s">
        <v>60</v>
      </c>
      <c r="E1118">
        <v>80</v>
      </c>
      <c r="F1118">
        <v>80</v>
      </c>
      <c r="G1118" t="s">
        <v>39</v>
      </c>
      <c r="H1118" t="s">
        <v>39</v>
      </c>
      <c r="I1118" t="s">
        <v>20</v>
      </c>
      <c r="J1118" t="s">
        <v>20</v>
      </c>
      <c r="K1118" s="1">
        <v>46036</v>
      </c>
      <c r="L1118" s="1" t="str">
        <f>IF(K1118&gt;O1118,"Valid","Invalid")</f>
        <v>Valid</v>
      </c>
      <c r="M1118" s="1" t="b">
        <f>ISNUMBER(K1118)</f>
        <v>1</v>
      </c>
      <c r="N1118" s="1" t="b">
        <f>ISNUMBER(O1118)</f>
        <v>1</v>
      </c>
      <c r="O1118" s="1">
        <v>46022</v>
      </c>
      <c r="P1118" t="s">
        <v>3285</v>
      </c>
      <c r="Q1118" t="str">
        <f>SUBSTITUTE(SUBSTITUTE(SUBSTITUTE(P1118," ",""),"-",""),"+","")</f>
        <v>07542978097</v>
      </c>
      <c r="R1118" t="str">
        <f t="shared" si="34"/>
        <v>7542978097</v>
      </c>
      <c r="S1118" t="str">
        <f>IF(LEN(R1118),"Valid","Invalid")</f>
        <v>Valid</v>
      </c>
      <c r="T1118" t="s">
        <v>3284</v>
      </c>
      <c r="V1118" t="s">
        <v>123</v>
      </c>
      <c r="X1118">
        <v>15711.67</v>
      </c>
      <c r="Y1118" t="s">
        <v>64</v>
      </c>
      <c r="Z1118">
        <v>391</v>
      </c>
      <c r="AA1118">
        <f t="shared" si="35"/>
        <v>391</v>
      </c>
      <c r="AB1118" t="s">
        <v>77</v>
      </c>
    </row>
    <row r="1119" spans="1:28" x14ac:dyDescent="0.3">
      <c r="A1119" t="s">
        <v>3283</v>
      </c>
      <c r="B1119" t="s">
        <v>3282</v>
      </c>
      <c r="C1119" t="s">
        <v>3282</v>
      </c>
      <c r="D1119" t="s">
        <v>0</v>
      </c>
      <c r="E1119">
        <v>67</v>
      </c>
      <c r="F1119">
        <v>67</v>
      </c>
      <c r="G1119" t="s">
        <v>132</v>
      </c>
      <c r="H1119" t="s">
        <v>132</v>
      </c>
      <c r="I1119" t="s">
        <v>20</v>
      </c>
      <c r="J1119" t="s">
        <v>20</v>
      </c>
      <c r="K1119" s="1">
        <v>45992</v>
      </c>
      <c r="L1119" s="1" t="str">
        <f>IF(K1119&gt;O1119,"Valid","Invalid")</f>
        <v>Valid</v>
      </c>
      <c r="M1119" s="1" t="b">
        <f>ISNUMBER(K1119)</f>
        <v>1</v>
      </c>
      <c r="N1119" s="1" t="b">
        <f>ISNUMBER(O1119)</f>
        <v>1</v>
      </c>
      <c r="O1119" s="1">
        <v>45989</v>
      </c>
      <c r="P1119" t="s">
        <v>3281</v>
      </c>
      <c r="Q1119" t="str">
        <f>SUBSTITUTE(SUBSTITUTE(SUBSTITUTE(P1119," ",""),"-",""),"+","")</f>
        <v>916839488081</v>
      </c>
      <c r="R1119" t="str">
        <f t="shared" si="34"/>
        <v>6839488081</v>
      </c>
      <c r="S1119" t="str">
        <f>IF(LEN(R1119),"Valid","Invalid")</f>
        <v>Valid</v>
      </c>
      <c r="T1119" t="s">
        <v>3280</v>
      </c>
      <c r="V1119" t="s">
        <v>123</v>
      </c>
      <c r="X1119">
        <v>5918.22</v>
      </c>
      <c r="Y1119" t="s">
        <v>17</v>
      </c>
      <c r="Z1119">
        <v>111</v>
      </c>
      <c r="AA1119">
        <f t="shared" si="35"/>
        <v>111</v>
      </c>
      <c r="AB1119" t="s">
        <v>71</v>
      </c>
    </row>
    <row r="1120" spans="1:28" x14ac:dyDescent="0.3">
      <c r="A1120" t="s">
        <v>3279</v>
      </c>
      <c r="B1120" t="s">
        <v>3278</v>
      </c>
      <c r="C1120" t="s">
        <v>3278</v>
      </c>
      <c r="D1120" t="s">
        <v>22</v>
      </c>
      <c r="E1120">
        <v>33</v>
      </c>
      <c r="F1120">
        <v>33</v>
      </c>
      <c r="G1120" t="s">
        <v>54</v>
      </c>
      <c r="H1120" t="s">
        <v>54</v>
      </c>
      <c r="I1120" t="s">
        <v>67</v>
      </c>
      <c r="J1120" t="s">
        <v>67</v>
      </c>
      <c r="K1120" s="1">
        <v>46123</v>
      </c>
      <c r="L1120" s="1" t="str">
        <f>IF(K1120&gt;O1120,"Valid","Invalid")</f>
        <v>Valid</v>
      </c>
      <c r="M1120" s="1" t="b">
        <f>ISNUMBER(K1120)</f>
        <v>1</v>
      </c>
      <c r="N1120" s="1" t="b">
        <f>ISNUMBER(O1120)</f>
        <v>1</v>
      </c>
      <c r="O1120" s="1">
        <v>46121</v>
      </c>
      <c r="P1120" t="s">
        <v>3277</v>
      </c>
      <c r="Q1120" t="str">
        <f>SUBSTITUTE(SUBSTITUTE(SUBSTITUTE(P1120," ",""),"-",""),"+","")</f>
        <v>918008393394</v>
      </c>
      <c r="R1120" t="str">
        <f t="shared" si="34"/>
        <v>8008393394</v>
      </c>
      <c r="S1120" t="str">
        <f>IF(LEN(R1120),"Valid","Invalid")</f>
        <v>Valid</v>
      </c>
      <c r="T1120" t="s">
        <v>3276</v>
      </c>
      <c r="V1120" t="s">
        <v>35</v>
      </c>
      <c r="X1120">
        <v>24209.25</v>
      </c>
      <c r="Y1120" t="s">
        <v>64</v>
      </c>
      <c r="Z1120">
        <v>373</v>
      </c>
      <c r="AA1120">
        <f t="shared" si="35"/>
        <v>373</v>
      </c>
      <c r="AB1120" t="s">
        <v>34</v>
      </c>
    </row>
    <row r="1121" spans="1:28" x14ac:dyDescent="0.3">
      <c r="A1121" t="s">
        <v>3275</v>
      </c>
      <c r="B1121" t="s">
        <v>3274</v>
      </c>
      <c r="C1121" t="s">
        <v>3274</v>
      </c>
      <c r="D1121" t="s">
        <v>1</v>
      </c>
      <c r="E1121">
        <v>67</v>
      </c>
      <c r="F1121">
        <v>67</v>
      </c>
      <c r="G1121" t="s">
        <v>132</v>
      </c>
      <c r="H1121" t="s">
        <v>132</v>
      </c>
      <c r="I1121" t="s">
        <v>90</v>
      </c>
      <c r="J1121" t="s">
        <v>67</v>
      </c>
      <c r="K1121" s="1">
        <v>46022</v>
      </c>
      <c r="L1121" s="1" t="str">
        <f>IF(K1121&gt;O1121,"Valid","Invalid")</f>
        <v>Valid</v>
      </c>
      <c r="M1121" s="1" t="b">
        <f>ISNUMBER(K1121)</f>
        <v>1</v>
      </c>
      <c r="N1121" s="1" t="b">
        <f>ISNUMBER(O1121)</f>
        <v>1</v>
      </c>
      <c r="O1121" s="1">
        <v>46003</v>
      </c>
      <c r="P1121" t="s">
        <v>3273</v>
      </c>
      <c r="Q1121" t="str">
        <f>SUBSTITUTE(SUBSTITUTE(SUBSTITUTE(P1121," ",""),"-",""),"+","")</f>
        <v>8119271474</v>
      </c>
      <c r="R1121" t="str">
        <f t="shared" si="34"/>
        <v>8119271474</v>
      </c>
      <c r="S1121" t="str">
        <f>IF(LEN(R1121),"Valid","Invalid")</f>
        <v>Valid</v>
      </c>
      <c r="T1121" t="s">
        <v>3272</v>
      </c>
      <c r="V1121" t="s">
        <v>27</v>
      </c>
      <c r="X1121">
        <v>13739.35</v>
      </c>
      <c r="Y1121" t="s">
        <v>64</v>
      </c>
      <c r="Z1121">
        <v>398</v>
      </c>
      <c r="AA1121">
        <f t="shared" si="35"/>
        <v>398</v>
      </c>
      <c r="AB1121" t="s">
        <v>16</v>
      </c>
    </row>
    <row r="1122" spans="1:28" x14ac:dyDescent="0.3">
      <c r="A1122" t="s">
        <v>3268</v>
      </c>
      <c r="B1122" t="s">
        <v>3267</v>
      </c>
      <c r="C1122" t="s">
        <v>3267</v>
      </c>
      <c r="D1122" t="s">
        <v>0</v>
      </c>
      <c r="E1122">
        <v>27</v>
      </c>
      <c r="F1122">
        <v>27</v>
      </c>
      <c r="G1122" t="s">
        <v>31</v>
      </c>
      <c r="H1122" t="s">
        <v>31</v>
      </c>
      <c r="I1122" t="s">
        <v>46</v>
      </c>
      <c r="J1122" t="s">
        <v>46</v>
      </c>
      <c r="K1122" s="1">
        <v>46048</v>
      </c>
      <c r="L1122" s="1" t="str">
        <f>IF(K1122&gt;O1122,"Valid","Invalid")</f>
        <v>Valid</v>
      </c>
      <c r="M1122" s="1" t="b">
        <f>ISNUMBER(K1122)</f>
        <v>1</v>
      </c>
      <c r="N1122" s="1" t="b">
        <f>ISNUMBER(O1122)</f>
        <v>1</v>
      </c>
      <c r="O1122" s="1">
        <v>46041</v>
      </c>
      <c r="P1122" t="s">
        <v>3266</v>
      </c>
      <c r="Q1122" t="str">
        <f>SUBSTITUTE(SUBSTITUTE(SUBSTITUTE(P1122," ",""),"-",""),"+","")</f>
        <v>5315750077</v>
      </c>
      <c r="R1122" t="str">
        <f t="shared" si="34"/>
        <v>5315750077</v>
      </c>
      <c r="S1122" t="str">
        <f>IF(LEN(R1122),"Valid","Invalid")</f>
        <v>Valid</v>
      </c>
      <c r="T1122" t="s">
        <v>3265</v>
      </c>
      <c r="V1122" t="s">
        <v>123</v>
      </c>
      <c r="X1122">
        <v>2008.22</v>
      </c>
      <c r="Y1122" t="s">
        <v>27</v>
      </c>
      <c r="Z1122">
        <v>277</v>
      </c>
      <c r="AA1122">
        <f t="shared" si="35"/>
        <v>277</v>
      </c>
      <c r="AB1122" t="s">
        <v>77</v>
      </c>
    </row>
    <row r="1123" spans="1:28" x14ac:dyDescent="0.3">
      <c r="A1123" t="s">
        <v>3264</v>
      </c>
      <c r="B1123" t="s">
        <v>3263</v>
      </c>
      <c r="C1123" t="s">
        <v>3263</v>
      </c>
      <c r="D1123" t="s">
        <v>123</v>
      </c>
      <c r="E1123">
        <v>77</v>
      </c>
      <c r="F1123">
        <v>77</v>
      </c>
      <c r="G1123" t="s">
        <v>80</v>
      </c>
      <c r="H1123" t="s">
        <v>80</v>
      </c>
      <c r="I1123" t="s">
        <v>85</v>
      </c>
      <c r="J1123" t="s">
        <v>85</v>
      </c>
      <c r="K1123" s="1">
        <v>46037</v>
      </c>
      <c r="L1123" s="1" t="str">
        <f>IF(K1123&gt;O1123,"Valid","Invalid")</f>
        <v>Valid</v>
      </c>
      <c r="M1123" s="1" t="b">
        <f>ISNUMBER(K1123)</f>
        <v>1</v>
      </c>
      <c r="N1123" s="1" t="b">
        <f>ISNUMBER(O1123)</f>
        <v>1</v>
      </c>
      <c r="O1123" s="1">
        <v>46007</v>
      </c>
      <c r="P1123" t="s">
        <v>3262</v>
      </c>
      <c r="Q1123" t="str">
        <f>SUBSTITUTE(SUBSTITUTE(SUBSTITUTE(P1123," ",""),"-",""),"+","")</f>
        <v>910434819560</v>
      </c>
      <c r="R1123" t="str">
        <f t="shared" si="34"/>
        <v>0434819560</v>
      </c>
      <c r="S1123" t="str">
        <f>IF(LEN(R1123),"Valid","Invalid")</f>
        <v>Valid</v>
      </c>
      <c r="T1123" t="s">
        <v>3261</v>
      </c>
      <c r="V1123" t="s">
        <v>35</v>
      </c>
      <c r="X1123">
        <v>6908.61</v>
      </c>
      <c r="Y1123" t="s">
        <v>27</v>
      </c>
      <c r="Z1123">
        <v>153</v>
      </c>
      <c r="AA1123">
        <f t="shared" si="35"/>
        <v>153</v>
      </c>
      <c r="AB1123" t="s">
        <v>77</v>
      </c>
    </row>
    <row r="1124" spans="1:28" x14ac:dyDescent="0.3">
      <c r="A1124" t="s">
        <v>3260</v>
      </c>
      <c r="B1124" t="s">
        <v>3259</v>
      </c>
      <c r="C1124" t="s">
        <v>3259</v>
      </c>
      <c r="E1124">
        <v>65</v>
      </c>
      <c r="F1124">
        <v>65</v>
      </c>
      <c r="G1124" t="s">
        <v>21</v>
      </c>
      <c r="H1124" t="s">
        <v>21</v>
      </c>
      <c r="I1124" t="s">
        <v>67</v>
      </c>
      <c r="J1124" t="s">
        <v>67</v>
      </c>
      <c r="K1124" s="1">
        <v>46116</v>
      </c>
      <c r="L1124" s="1" t="str">
        <f>IF(K1124&gt;O1124,"Valid","Invalid")</f>
        <v>Valid</v>
      </c>
      <c r="M1124" s="1" t="b">
        <f>ISNUMBER(K1124)</f>
        <v>1</v>
      </c>
      <c r="N1124" s="1" t="b">
        <f>ISNUMBER(O1124)</f>
        <v>1</v>
      </c>
      <c r="O1124" s="1">
        <v>46103</v>
      </c>
      <c r="P1124" t="s">
        <v>3258</v>
      </c>
      <c r="Q1124" t="str">
        <f>SUBSTITUTE(SUBSTITUTE(SUBSTITUTE(P1124," ",""),"-",""),"+","")</f>
        <v>913158193485</v>
      </c>
      <c r="R1124" t="str">
        <f t="shared" si="34"/>
        <v>3158193485</v>
      </c>
      <c r="S1124" t="str">
        <f>IF(LEN(R1124),"Valid","Invalid")</f>
        <v>Valid</v>
      </c>
      <c r="T1124" t="s">
        <v>3257</v>
      </c>
      <c r="V1124" t="s">
        <v>123</v>
      </c>
      <c r="X1124">
        <v>7724.78</v>
      </c>
      <c r="Y1124" t="s">
        <v>57</v>
      </c>
      <c r="Z1124">
        <v>110</v>
      </c>
      <c r="AA1124">
        <f t="shared" si="35"/>
        <v>110</v>
      </c>
      <c r="AB1124" t="s">
        <v>77</v>
      </c>
    </row>
    <row r="1125" spans="1:28" x14ac:dyDescent="0.3">
      <c r="A1125" t="s">
        <v>3256</v>
      </c>
      <c r="B1125" t="s">
        <v>3255</v>
      </c>
      <c r="C1125" t="s">
        <v>3255</v>
      </c>
      <c r="D1125" t="s">
        <v>40</v>
      </c>
      <c r="E1125">
        <v>26</v>
      </c>
      <c r="F1125">
        <v>26</v>
      </c>
      <c r="G1125" t="s">
        <v>54</v>
      </c>
      <c r="H1125" t="s">
        <v>54</v>
      </c>
      <c r="I1125" t="s">
        <v>46</v>
      </c>
      <c r="J1125" t="s">
        <v>46</v>
      </c>
      <c r="K1125" s="1">
        <v>46129</v>
      </c>
      <c r="L1125" s="1" t="str">
        <f>IF(K1125&gt;O1125,"Valid","Invalid")</f>
        <v>Valid</v>
      </c>
      <c r="M1125" s="1" t="b">
        <f>ISNUMBER(K1125)</f>
        <v>1</v>
      </c>
      <c r="N1125" s="1" t="b">
        <f>ISNUMBER(O1125)</f>
        <v>1</v>
      </c>
      <c r="O1125" s="1">
        <v>46112</v>
      </c>
      <c r="P1125" t="s">
        <v>3254</v>
      </c>
      <c r="Q1125" t="str">
        <f>SUBSTITUTE(SUBSTITUTE(SUBSTITUTE(P1125," ",""),"-",""),"+","")</f>
        <v>02796711373</v>
      </c>
      <c r="R1125" t="str">
        <f t="shared" si="34"/>
        <v>2796711373</v>
      </c>
      <c r="S1125" t="str">
        <f>IF(LEN(R1125),"Valid","Invalid")</f>
        <v>Valid</v>
      </c>
      <c r="T1125" t="s">
        <v>3253</v>
      </c>
      <c r="V1125" t="s">
        <v>123</v>
      </c>
      <c r="X1125">
        <v>1493.08</v>
      </c>
      <c r="Y1125" t="s">
        <v>123</v>
      </c>
      <c r="Z1125">
        <v>456</v>
      </c>
      <c r="AA1125">
        <f t="shared" si="35"/>
        <v>456</v>
      </c>
      <c r="AB1125" t="s">
        <v>71</v>
      </c>
    </row>
    <row r="1126" spans="1:28" x14ac:dyDescent="0.3">
      <c r="A1126" t="s">
        <v>3252</v>
      </c>
      <c r="B1126" t="s">
        <v>3251</v>
      </c>
      <c r="C1126" t="s">
        <v>3251</v>
      </c>
      <c r="D1126" t="s">
        <v>123</v>
      </c>
      <c r="E1126">
        <v>90</v>
      </c>
      <c r="F1126">
        <v>90</v>
      </c>
      <c r="G1126" t="s">
        <v>54</v>
      </c>
      <c r="H1126" t="s">
        <v>54</v>
      </c>
      <c r="I1126" t="s">
        <v>53</v>
      </c>
      <c r="J1126" t="s">
        <v>20</v>
      </c>
      <c r="K1126" s="1">
        <v>46129</v>
      </c>
      <c r="L1126" s="1" t="str">
        <f>IF(K1126&gt;O1126,"Valid","Invalid")</f>
        <v>Valid</v>
      </c>
      <c r="M1126" s="1" t="b">
        <f>ISNUMBER(K1126)</f>
        <v>1</v>
      </c>
      <c r="N1126" s="1" t="b">
        <f>ISNUMBER(O1126)</f>
        <v>1</v>
      </c>
      <c r="O1126" s="1">
        <v>46126</v>
      </c>
      <c r="P1126" t="s">
        <v>3250</v>
      </c>
      <c r="Q1126" t="str">
        <f>SUBSTITUTE(SUBSTITUTE(SUBSTITUTE(P1126," ",""),"-",""),"+","")</f>
        <v>04096683021</v>
      </c>
      <c r="R1126" t="str">
        <f t="shared" si="34"/>
        <v>4096683021</v>
      </c>
      <c r="S1126" t="str">
        <f>IF(LEN(R1126),"Valid","Invalid")</f>
        <v>Valid</v>
      </c>
      <c r="T1126" t="s">
        <v>3249</v>
      </c>
      <c r="V1126" t="s">
        <v>123</v>
      </c>
      <c r="X1126">
        <v>3126.22</v>
      </c>
      <c r="Y1126" t="s">
        <v>17</v>
      </c>
      <c r="Z1126">
        <v>280</v>
      </c>
      <c r="AA1126">
        <f t="shared" si="35"/>
        <v>280</v>
      </c>
      <c r="AB1126" t="s">
        <v>71</v>
      </c>
    </row>
    <row r="1127" spans="1:28" x14ac:dyDescent="0.3">
      <c r="A1127" t="s">
        <v>3248</v>
      </c>
      <c r="B1127" t="s">
        <v>3247</v>
      </c>
      <c r="C1127" t="s">
        <v>3247</v>
      </c>
      <c r="D1127" t="s">
        <v>60</v>
      </c>
      <c r="E1127">
        <v>56</v>
      </c>
      <c r="F1127">
        <v>56</v>
      </c>
      <c r="G1127" t="s">
        <v>47</v>
      </c>
      <c r="H1127" t="s">
        <v>47</v>
      </c>
      <c r="I1127" t="s">
        <v>38</v>
      </c>
      <c r="J1127" t="s">
        <v>8077</v>
      </c>
      <c r="K1127" s="1">
        <v>46025</v>
      </c>
      <c r="L1127" s="1" t="str">
        <f>IF(K1127&gt;O1127,"Valid","Invalid")</f>
        <v>Valid</v>
      </c>
      <c r="M1127" s="1" t="b">
        <f>ISNUMBER(K1127)</f>
        <v>1</v>
      </c>
      <c r="N1127" s="1" t="b">
        <f>ISNUMBER(O1127)</f>
        <v>1</v>
      </c>
      <c r="O1127" s="1">
        <v>46018</v>
      </c>
      <c r="P1127" t="s">
        <v>3246</v>
      </c>
      <c r="Q1127" t="str">
        <f>SUBSTITUTE(SUBSTITUTE(SUBSTITUTE(P1127," ",""),"-",""),"+","")</f>
        <v>8148360842</v>
      </c>
      <c r="R1127" t="str">
        <f t="shared" si="34"/>
        <v>8148360842</v>
      </c>
      <c r="S1127" t="str">
        <f>IF(LEN(R1127),"Valid","Invalid")</f>
        <v>Valid</v>
      </c>
      <c r="T1127" t="s">
        <v>3245</v>
      </c>
      <c r="V1127" t="s">
        <v>64</v>
      </c>
      <c r="X1127">
        <v>14797.71</v>
      </c>
      <c r="Y1127" t="s">
        <v>57</v>
      </c>
      <c r="Z1127">
        <v>311</v>
      </c>
      <c r="AA1127">
        <f t="shared" si="35"/>
        <v>311</v>
      </c>
      <c r="AB1127" t="s">
        <v>25</v>
      </c>
    </row>
    <row r="1128" spans="1:28" x14ac:dyDescent="0.3">
      <c r="A1128" t="s">
        <v>3244</v>
      </c>
      <c r="B1128" t="s">
        <v>3243</v>
      </c>
      <c r="C1128" t="s">
        <v>3243</v>
      </c>
      <c r="D1128" t="s">
        <v>40</v>
      </c>
      <c r="E1128">
        <v>2</v>
      </c>
      <c r="F1128">
        <v>2</v>
      </c>
      <c r="G1128" t="s">
        <v>21</v>
      </c>
      <c r="H1128" t="s">
        <v>21</v>
      </c>
      <c r="I1128" t="s">
        <v>46</v>
      </c>
      <c r="J1128" t="s">
        <v>46</v>
      </c>
      <c r="K1128" s="1">
        <v>46012</v>
      </c>
      <c r="L1128" s="1" t="str">
        <f>IF(K1128&gt;O1128,"Valid","Invalid")</f>
        <v>Valid</v>
      </c>
      <c r="M1128" s="1" t="b">
        <f>ISNUMBER(K1128)</f>
        <v>1</v>
      </c>
      <c r="N1128" s="1" t="b">
        <f>ISNUMBER(O1128)</f>
        <v>1</v>
      </c>
      <c r="O1128" s="1">
        <v>46010</v>
      </c>
      <c r="P1128" t="s">
        <v>3242</v>
      </c>
      <c r="Q1128" t="str">
        <f>SUBSTITUTE(SUBSTITUTE(SUBSTITUTE(P1128," ",""),"-",""),"+","")</f>
        <v>4386796731</v>
      </c>
      <c r="R1128" t="str">
        <f t="shared" si="34"/>
        <v>4386796731</v>
      </c>
      <c r="S1128" t="str">
        <f>IF(LEN(R1128),"Valid","Invalid")</f>
        <v>Valid</v>
      </c>
      <c r="T1128" t="s">
        <v>3241</v>
      </c>
      <c r="V1128" t="s">
        <v>27</v>
      </c>
      <c r="X1128">
        <v>3342.55</v>
      </c>
      <c r="Y1128" t="s">
        <v>26</v>
      </c>
      <c r="Z1128">
        <v>244</v>
      </c>
      <c r="AA1128">
        <f t="shared" si="35"/>
        <v>244</v>
      </c>
      <c r="AB1128" t="s">
        <v>77</v>
      </c>
    </row>
    <row r="1129" spans="1:28" x14ac:dyDescent="0.3">
      <c r="A1129" t="s">
        <v>3240</v>
      </c>
      <c r="B1129" t="s">
        <v>3239</v>
      </c>
      <c r="C1129" t="s">
        <v>3239</v>
      </c>
      <c r="D1129" t="s">
        <v>60</v>
      </c>
      <c r="E1129">
        <v>45</v>
      </c>
      <c r="F1129">
        <v>45</v>
      </c>
      <c r="G1129" t="s">
        <v>21</v>
      </c>
      <c r="H1129" t="s">
        <v>21</v>
      </c>
      <c r="I1129" t="s">
        <v>30</v>
      </c>
      <c r="J1129" t="s">
        <v>30</v>
      </c>
      <c r="K1129" s="1">
        <v>45981</v>
      </c>
      <c r="L1129" s="1" t="str">
        <f>IF(K1129&gt;O1129,"Valid","Invalid")</f>
        <v>Valid</v>
      </c>
      <c r="M1129" s="1" t="b">
        <f>ISNUMBER(K1129)</f>
        <v>1</v>
      </c>
      <c r="N1129" s="1" t="b">
        <f>ISNUMBER(O1129)</f>
        <v>1</v>
      </c>
      <c r="O1129" s="1">
        <v>45977</v>
      </c>
      <c r="P1129" t="s">
        <v>3238</v>
      </c>
      <c r="Q1129" t="str">
        <f>SUBSTITUTE(SUBSTITUTE(SUBSTITUTE(P1129," ",""),"-",""),"+","")</f>
        <v>03964561949</v>
      </c>
      <c r="R1129" t="str">
        <f t="shared" si="34"/>
        <v>3964561949</v>
      </c>
      <c r="S1129" t="str">
        <f>IF(LEN(R1129),"Valid","Invalid")</f>
        <v>Valid</v>
      </c>
      <c r="T1129" t="s">
        <v>3237</v>
      </c>
      <c r="V1129" t="s">
        <v>123</v>
      </c>
      <c r="X1129">
        <v>12071.79</v>
      </c>
      <c r="Y1129" t="s">
        <v>64</v>
      </c>
      <c r="Z1129">
        <v>436</v>
      </c>
      <c r="AA1129">
        <f t="shared" si="35"/>
        <v>436</v>
      </c>
      <c r="AB1129" t="s">
        <v>77</v>
      </c>
    </row>
    <row r="1130" spans="1:28" x14ac:dyDescent="0.3">
      <c r="A1130" t="s">
        <v>3236</v>
      </c>
      <c r="B1130" t="s">
        <v>3235</v>
      </c>
      <c r="C1130" t="s">
        <v>3235</v>
      </c>
      <c r="D1130" t="s">
        <v>74</v>
      </c>
      <c r="E1130">
        <v>33</v>
      </c>
      <c r="F1130">
        <v>33</v>
      </c>
      <c r="G1130" t="s">
        <v>21</v>
      </c>
      <c r="H1130" t="s">
        <v>21</v>
      </c>
      <c r="I1130" t="s">
        <v>85</v>
      </c>
      <c r="J1130" t="s">
        <v>85</v>
      </c>
      <c r="K1130" s="1">
        <v>46003</v>
      </c>
      <c r="L1130" s="1" t="str">
        <f>IF(K1130&gt;O1130,"Valid","Invalid")</f>
        <v>Valid</v>
      </c>
      <c r="M1130" s="1" t="b">
        <f>ISNUMBER(K1130)</f>
        <v>1</v>
      </c>
      <c r="N1130" s="1" t="b">
        <f>ISNUMBER(O1130)</f>
        <v>1</v>
      </c>
      <c r="O1130" s="1">
        <v>45981</v>
      </c>
      <c r="P1130" t="s">
        <v>3234</v>
      </c>
      <c r="Q1130" t="str">
        <f>SUBSTITUTE(SUBSTITUTE(SUBSTITUTE(P1130," ",""),"-",""),"+","")</f>
        <v>914128583522</v>
      </c>
      <c r="R1130" t="str">
        <f t="shared" si="34"/>
        <v>4128583522</v>
      </c>
      <c r="S1130" t="str">
        <f>IF(LEN(R1130),"Valid","Invalid")</f>
        <v>Valid</v>
      </c>
      <c r="T1130" t="s">
        <v>3233</v>
      </c>
      <c r="V1130" t="s">
        <v>57</v>
      </c>
      <c r="X1130">
        <v>22461.48</v>
      </c>
      <c r="Y1130" t="s">
        <v>57</v>
      </c>
      <c r="Z1130">
        <v>327</v>
      </c>
      <c r="AA1130">
        <f t="shared" si="35"/>
        <v>327</v>
      </c>
      <c r="AB1130" t="s">
        <v>25</v>
      </c>
    </row>
    <row r="1131" spans="1:28" x14ac:dyDescent="0.3">
      <c r="A1131" t="s">
        <v>3232</v>
      </c>
      <c r="B1131" t="s">
        <v>3231</v>
      </c>
      <c r="C1131" t="s">
        <v>3231</v>
      </c>
      <c r="D1131" t="s">
        <v>22</v>
      </c>
      <c r="E1131">
        <v>47</v>
      </c>
      <c r="F1131">
        <v>47</v>
      </c>
      <c r="G1131" t="s">
        <v>850</v>
      </c>
      <c r="H1131" t="s">
        <v>850</v>
      </c>
      <c r="I1131" t="s">
        <v>38</v>
      </c>
      <c r="J1131" t="s">
        <v>8077</v>
      </c>
      <c r="K1131" s="1">
        <v>46008</v>
      </c>
      <c r="L1131" s="1" t="str">
        <f>IF(K1131&gt;O1131,"Valid","Invalid")</f>
        <v>Valid</v>
      </c>
      <c r="M1131" s="1" t="b">
        <f>ISNUMBER(K1131)</f>
        <v>1</v>
      </c>
      <c r="N1131" s="1" t="b">
        <f>ISNUMBER(O1131)</f>
        <v>1</v>
      </c>
      <c r="O1131" s="1">
        <v>45992</v>
      </c>
      <c r="P1131" t="s">
        <v>3230</v>
      </c>
      <c r="Q1131" t="str">
        <f>SUBSTITUTE(SUBSTITUTE(SUBSTITUTE(P1131," ",""),"-",""),"+","")</f>
        <v>915668833507</v>
      </c>
      <c r="R1131" t="str">
        <f t="shared" si="34"/>
        <v>5668833507</v>
      </c>
      <c r="S1131" t="str">
        <f>IF(LEN(R1131),"Valid","Invalid")</f>
        <v>Valid</v>
      </c>
      <c r="T1131" t="s">
        <v>123</v>
      </c>
      <c r="V1131" t="s">
        <v>26</v>
      </c>
      <c r="X1131">
        <v>8107.7</v>
      </c>
      <c r="Y1131" t="s">
        <v>64</v>
      </c>
      <c r="Z1131">
        <v>127</v>
      </c>
      <c r="AA1131">
        <f t="shared" si="35"/>
        <v>127</v>
      </c>
      <c r="AB1131" t="s">
        <v>43</v>
      </c>
    </row>
    <row r="1132" spans="1:28" x14ac:dyDescent="0.3">
      <c r="A1132" t="s">
        <v>3229</v>
      </c>
      <c r="B1132" t="s">
        <v>3228</v>
      </c>
      <c r="C1132" t="s">
        <v>3228</v>
      </c>
      <c r="D1132" t="s">
        <v>123</v>
      </c>
      <c r="E1132">
        <v>80</v>
      </c>
      <c r="F1132">
        <v>80</v>
      </c>
      <c r="G1132" t="s">
        <v>68</v>
      </c>
      <c r="H1132" t="s">
        <v>68</v>
      </c>
      <c r="I1132" t="s">
        <v>30</v>
      </c>
      <c r="J1132" t="s">
        <v>30</v>
      </c>
      <c r="K1132" s="1">
        <v>46086</v>
      </c>
      <c r="L1132" s="1" t="str">
        <f>IF(K1132&gt;O1132,"Valid","Invalid")</f>
        <v>Valid</v>
      </c>
      <c r="M1132" s="1" t="b">
        <f>ISNUMBER(K1132)</f>
        <v>1</v>
      </c>
      <c r="N1132" s="1" t="b">
        <f>ISNUMBER(O1132)</f>
        <v>1</v>
      </c>
      <c r="O1132" s="1">
        <v>46084</v>
      </c>
      <c r="P1132" t="s">
        <v>3227</v>
      </c>
      <c r="Q1132" t="str">
        <f>SUBSTITUTE(SUBSTITUTE(SUBSTITUTE(P1132," ",""),"-",""),"+","")</f>
        <v>04544180053</v>
      </c>
      <c r="R1132" t="str">
        <f t="shared" si="34"/>
        <v>4544180053</v>
      </c>
      <c r="S1132" t="str">
        <f>IF(LEN(R1132),"Valid","Invalid")</f>
        <v>Valid</v>
      </c>
      <c r="T1132" t="s">
        <v>3226</v>
      </c>
      <c r="V1132" t="s">
        <v>17</v>
      </c>
      <c r="X1132">
        <v>22818.82</v>
      </c>
      <c r="Y1132" t="s">
        <v>57</v>
      </c>
      <c r="Z1132">
        <v>256</v>
      </c>
      <c r="AA1132">
        <f t="shared" si="35"/>
        <v>256</v>
      </c>
      <c r="AB1132" t="s">
        <v>25</v>
      </c>
    </row>
    <row r="1133" spans="1:28" x14ac:dyDescent="0.3">
      <c r="A1133" t="s">
        <v>3225</v>
      </c>
      <c r="B1133" t="s">
        <v>3224</v>
      </c>
      <c r="C1133" t="s">
        <v>3224</v>
      </c>
      <c r="D1133" t="s">
        <v>1</v>
      </c>
      <c r="E1133">
        <v>16</v>
      </c>
      <c r="F1133">
        <v>16</v>
      </c>
      <c r="G1133" t="s">
        <v>31</v>
      </c>
      <c r="H1133" t="s">
        <v>31</v>
      </c>
      <c r="I1133" t="s">
        <v>53</v>
      </c>
      <c r="J1133" t="s">
        <v>20</v>
      </c>
      <c r="K1133" s="1">
        <v>46037</v>
      </c>
      <c r="L1133" s="1" t="str">
        <f>IF(K1133&gt;O1133,"Valid","Invalid")</f>
        <v>Valid</v>
      </c>
      <c r="M1133" s="1" t="b">
        <f>ISNUMBER(K1133)</f>
        <v>1</v>
      </c>
      <c r="N1133" s="1" t="b">
        <f>ISNUMBER(O1133)</f>
        <v>1</v>
      </c>
      <c r="O1133" s="1">
        <v>46036</v>
      </c>
      <c r="P1133" t="s">
        <v>3223</v>
      </c>
      <c r="Q1133" t="str">
        <f>SUBSTITUTE(SUBSTITUTE(SUBSTITUTE(P1133," ",""),"-",""),"+","")</f>
        <v>5267543290</v>
      </c>
      <c r="R1133" t="str">
        <f t="shared" si="34"/>
        <v>5267543290</v>
      </c>
      <c r="S1133" t="str">
        <f>IF(LEN(R1133),"Valid","Invalid")</f>
        <v>Valid</v>
      </c>
      <c r="T1133" t="s">
        <v>3222</v>
      </c>
      <c r="V1133" t="s">
        <v>17</v>
      </c>
      <c r="X1133">
        <v>17518.88</v>
      </c>
      <c r="Y1133" t="s">
        <v>123</v>
      </c>
      <c r="Z1133">
        <v>158</v>
      </c>
      <c r="AA1133">
        <f t="shared" si="35"/>
        <v>158</v>
      </c>
      <c r="AB1133" t="s">
        <v>77</v>
      </c>
    </row>
    <row r="1134" spans="1:28" x14ac:dyDescent="0.3">
      <c r="A1134" t="s">
        <v>3221</v>
      </c>
      <c r="B1134" t="s">
        <v>3220</v>
      </c>
      <c r="C1134" t="s">
        <v>3220</v>
      </c>
      <c r="E1134">
        <v>5</v>
      </c>
      <c r="F1134">
        <v>5</v>
      </c>
      <c r="G1134" t="s">
        <v>132</v>
      </c>
      <c r="H1134" t="s">
        <v>132</v>
      </c>
      <c r="I1134" t="s">
        <v>30</v>
      </c>
      <c r="J1134" t="s">
        <v>30</v>
      </c>
      <c r="K1134" s="1">
        <v>46106</v>
      </c>
      <c r="L1134" s="1" t="str">
        <f>IF(K1134&gt;O1134,"Valid","Invalid")</f>
        <v>Valid</v>
      </c>
      <c r="M1134" s="1" t="b">
        <f>ISNUMBER(K1134)</f>
        <v>1</v>
      </c>
      <c r="N1134" s="1" t="b">
        <f>ISNUMBER(O1134)</f>
        <v>1</v>
      </c>
      <c r="O1134" s="1">
        <v>46088</v>
      </c>
      <c r="P1134" t="s">
        <v>3219</v>
      </c>
      <c r="Q1134" t="str">
        <f>SUBSTITUTE(SUBSTITUTE(SUBSTITUTE(P1134," ",""),"-",""),"+","")</f>
        <v>02458067735</v>
      </c>
      <c r="R1134" t="str">
        <f t="shared" si="34"/>
        <v>2458067735</v>
      </c>
      <c r="S1134" t="str">
        <f>IF(LEN(R1134),"Valid","Invalid")</f>
        <v>Valid</v>
      </c>
      <c r="T1134" t="s">
        <v>3218</v>
      </c>
      <c r="V1134" t="s">
        <v>123</v>
      </c>
      <c r="X1134">
        <v>7650.24</v>
      </c>
      <c r="Y1134" t="s">
        <v>64</v>
      </c>
      <c r="Z1134">
        <v>130</v>
      </c>
      <c r="AA1134">
        <f t="shared" si="35"/>
        <v>130</v>
      </c>
      <c r="AB1134" t="s">
        <v>43</v>
      </c>
    </row>
    <row r="1135" spans="1:28" x14ac:dyDescent="0.3">
      <c r="A1135" t="s">
        <v>3217</v>
      </c>
      <c r="B1135" t="s">
        <v>3216</v>
      </c>
      <c r="C1135" t="s">
        <v>3216</v>
      </c>
      <c r="D1135" t="s">
        <v>123</v>
      </c>
      <c r="E1135">
        <v>64</v>
      </c>
      <c r="F1135">
        <v>64</v>
      </c>
      <c r="G1135" t="s">
        <v>47</v>
      </c>
      <c r="H1135" t="s">
        <v>47</v>
      </c>
      <c r="I1135" t="s">
        <v>90</v>
      </c>
      <c r="J1135" t="s">
        <v>67</v>
      </c>
      <c r="K1135" s="1">
        <v>46068</v>
      </c>
      <c r="L1135" s="1" t="str">
        <f>IF(K1135&gt;O1135,"Valid","Invalid")</f>
        <v>Valid</v>
      </c>
      <c r="M1135" s="1" t="b">
        <f>ISNUMBER(K1135)</f>
        <v>1</v>
      </c>
      <c r="N1135" s="1" t="b">
        <f>ISNUMBER(O1135)</f>
        <v>1</v>
      </c>
      <c r="O1135" s="1">
        <v>46056</v>
      </c>
      <c r="P1135" t="s">
        <v>3215</v>
      </c>
      <c r="Q1135" t="str">
        <f>SUBSTITUTE(SUBSTITUTE(SUBSTITUTE(P1135," ",""),"-",""),"+","")</f>
        <v>00044523680</v>
      </c>
      <c r="R1135" t="str">
        <f t="shared" si="34"/>
        <v>0044523680</v>
      </c>
      <c r="S1135" t="str">
        <f>IF(LEN(R1135),"Valid","Invalid")</f>
        <v>Valid</v>
      </c>
      <c r="T1135" t="s">
        <v>3214</v>
      </c>
      <c r="V1135" t="s">
        <v>123</v>
      </c>
      <c r="X1135">
        <v>1301.51</v>
      </c>
      <c r="Y1135" t="s">
        <v>57</v>
      </c>
      <c r="Z1135">
        <v>294</v>
      </c>
      <c r="AA1135">
        <f t="shared" si="35"/>
        <v>294</v>
      </c>
      <c r="AB1135" t="s">
        <v>71</v>
      </c>
    </row>
    <row r="1136" spans="1:28" x14ac:dyDescent="0.3">
      <c r="A1136" t="s">
        <v>3213</v>
      </c>
      <c r="B1136" t="s">
        <v>3212</v>
      </c>
      <c r="C1136" t="s">
        <v>3212</v>
      </c>
      <c r="D1136" t="s">
        <v>123</v>
      </c>
      <c r="E1136">
        <v>69</v>
      </c>
      <c r="F1136">
        <v>69</v>
      </c>
      <c r="G1136" t="s">
        <v>47</v>
      </c>
      <c r="H1136" t="s">
        <v>47</v>
      </c>
      <c r="I1136" t="s">
        <v>30</v>
      </c>
      <c r="J1136" t="s">
        <v>30</v>
      </c>
      <c r="K1136" s="1">
        <v>46043</v>
      </c>
      <c r="L1136" s="1" t="str">
        <f>IF(K1136&gt;O1136,"Valid","Invalid")</f>
        <v>Valid</v>
      </c>
      <c r="M1136" s="1" t="b">
        <f>ISNUMBER(K1136)</f>
        <v>1</v>
      </c>
      <c r="N1136" s="1" t="b">
        <f>ISNUMBER(O1136)</f>
        <v>1</v>
      </c>
      <c r="O1136" s="1">
        <v>46042</v>
      </c>
      <c r="P1136" t="s">
        <v>3211</v>
      </c>
      <c r="Q1136" t="str">
        <f>SUBSTITUTE(SUBSTITUTE(SUBSTITUTE(P1136," ",""),"-",""),"+","")</f>
        <v>7283369397</v>
      </c>
      <c r="R1136" t="str">
        <f t="shared" si="34"/>
        <v>7283369397</v>
      </c>
      <c r="S1136" t="str">
        <f>IF(LEN(R1136),"Valid","Invalid")</f>
        <v>Valid</v>
      </c>
      <c r="T1136" t="s">
        <v>3210</v>
      </c>
      <c r="V1136" t="s">
        <v>57</v>
      </c>
      <c r="X1136">
        <v>23443.15</v>
      </c>
      <c r="Y1136" t="s">
        <v>17</v>
      </c>
      <c r="Z1136">
        <v>524</v>
      </c>
      <c r="AA1136">
        <f t="shared" si="35"/>
        <v>524</v>
      </c>
      <c r="AB1136" t="s">
        <v>43</v>
      </c>
    </row>
    <row r="1137" spans="1:28" x14ac:dyDescent="0.3">
      <c r="A1137" t="s">
        <v>3209</v>
      </c>
      <c r="B1137" t="s">
        <v>3208</v>
      </c>
      <c r="C1137" t="s">
        <v>3208</v>
      </c>
      <c r="D1137" t="s">
        <v>1</v>
      </c>
      <c r="E1137">
        <v>4</v>
      </c>
      <c r="F1137">
        <v>4</v>
      </c>
      <c r="G1137" t="s">
        <v>31</v>
      </c>
      <c r="H1137" t="s">
        <v>31</v>
      </c>
      <c r="I1137" t="s">
        <v>90</v>
      </c>
      <c r="J1137" t="s">
        <v>67</v>
      </c>
      <c r="K1137" s="1">
        <v>46017</v>
      </c>
      <c r="L1137" s="1" t="str">
        <f>IF(K1137&gt;O1137,"Valid","Invalid")</f>
        <v>Valid</v>
      </c>
      <c r="M1137" s="1" t="b">
        <f>ISNUMBER(K1137)</f>
        <v>1</v>
      </c>
      <c r="N1137" s="1" t="b">
        <f>ISNUMBER(O1137)</f>
        <v>1</v>
      </c>
      <c r="O1137" s="1">
        <v>45990</v>
      </c>
      <c r="P1137" t="s">
        <v>3207</v>
      </c>
      <c r="Q1137" t="str">
        <f>SUBSTITUTE(SUBSTITUTE(SUBSTITUTE(P1137," ",""),"-",""),"+","")</f>
        <v>919397281919</v>
      </c>
      <c r="R1137" t="str">
        <f t="shared" si="34"/>
        <v>9397281919</v>
      </c>
      <c r="S1137" t="str">
        <f>IF(LEN(R1137),"Valid","Invalid")</f>
        <v>Valid</v>
      </c>
      <c r="T1137" t="s">
        <v>3206</v>
      </c>
      <c r="V1137" t="s">
        <v>123</v>
      </c>
      <c r="X1137">
        <v>19608.79</v>
      </c>
      <c r="Y1137" t="s">
        <v>27</v>
      </c>
      <c r="Z1137">
        <v>513</v>
      </c>
      <c r="AA1137">
        <f t="shared" si="35"/>
        <v>513</v>
      </c>
      <c r="AB1137" t="s">
        <v>77</v>
      </c>
    </row>
    <row r="1138" spans="1:28" x14ac:dyDescent="0.3">
      <c r="A1138" t="s">
        <v>3205</v>
      </c>
      <c r="B1138" t="s">
        <v>3204</v>
      </c>
      <c r="C1138" t="s">
        <v>3204</v>
      </c>
      <c r="D1138" t="s">
        <v>123</v>
      </c>
      <c r="E1138">
        <v>87</v>
      </c>
      <c r="F1138">
        <v>87</v>
      </c>
      <c r="G1138" t="s">
        <v>132</v>
      </c>
      <c r="H1138" t="s">
        <v>132</v>
      </c>
      <c r="I1138" t="s">
        <v>85</v>
      </c>
      <c r="J1138" t="s">
        <v>85</v>
      </c>
      <c r="K1138" s="1">
        <v>46149</v>
      </c>
      <c r="L1138" s="1" t="str">
        <f>IF(K1138&gt;O1138,"Valid","Invalid")</f>
        <v>Valid</v>
      </c>
      <c r="M1138" s="1" t="b">
        <f>ISNUMBER(K1138)</f>
        <v>1</v>
      </c>
      <c r="N1138" s="1" t="b">
        <f>ISNUMBER(O1138)</f>
        <v>1</v>
      </c>
      <c r="O1138" s="1">
        <v>46136</v>
      </c>
      <c r="P1138" t="s">
        <v>3203</v>
      </c>
      <c r="Q1138" t="str">
        <f>SUBSTITUTE(SUBSTITUTE(SUBSTITUTE(P1138," ",""),"-",""),"+","")</f>
        <v>04619709700</v>
      </c>
      <c r="R1138" t="str">
        <f t="shared" si="34"/>
        <v>4619709700</v>
      </c>
      <c r="S1138" t="str">
        <f>IF(LEN(R1138),"Valid","Invalid")</f>
        <v>Valid</v>
      </c>
      <c r="T1138" t="s">
        <v>3202</v>
      </c>
      <c r="V1138" t="s">
        <v>26</v>
      </c>
      <c r="X1138">
        <v>4231.21</v>
      </c>
      <c r="Y1138" t="s">
        <v>123</v>
      </c>
      <c r="Z1138">
        <v>339</v>
      </c>
      <c r="AA1138">
        <f t="shared" si="35"/>
        <v>339</v>
      </c>
      <c r="AB1138" t="s">
        <v>25</v>
      </c>
    </row>
    <row r="1139" spans="1:28" x14ac:dyDescent="0.3">
      <c r="A1139" t="s">
        <v>3201</v>
      </c>
      <c r="B1139" t="s">
        <v>3200</v>
      </c>
      <c r="C1139" t="s">
        <v>3200</v>
      </c>
      <c r="D1139" t="s">
        <v>1</v>
      </c>
      <c r="E1139">
        <v>17</v>
      </c>
      <c r="F1139">
        <v>17</v>
      </c>
      <c r="G1139" t="s">
        <v>47</v>
      </c>
      <c r="H1139" t="s">
        <v>47</v>
      </c>
      <c r="I1139" t="s">
        <v>30</v>
      </c>
      <c r="J1139" t="s">
        <v>30</v>
      </c>
      <c r="K1139" s="1">
        <v>46130</v>
      </c>
      <c r="L1139" s="1" t="str">
        <f>IF(K1139&gt;O1139,"Valid","Invalid")</f>
        <v>Valid</v>
      </c>
      <c r="M1139" s="1" t="b">
        <f>ISNUMBER(K1139)</f>
        <v>1</v>
      </c>
      <c r="N1139" s="1" t="b">
        <f>ISNUMBER(O1139)</f>
        <v>1</v>
      </c>
      <c r="O1139" s="1">
        <v>46105</v>
      </c>
      <c r="P1139" t="s">
        <v>3199</v>
      </c>
      <c r="Q1139" t="str">
        <f>SUBSTITUTE(SUBSTITUTE(SUBSTITUTE(P1139," ",""),"-",""),"+","")</f>
        <v>06184233065</v>
      </c>
      <c r="R1139" t="str">
        <f t="shared" si="34"/>
        <v>6184233065</v>
      </c>
      <c r="S1139" t="str">
        <f>IF(LEN(R1139),"Valid","Invalid")</f>
        <v>Valid</v>
      </c>
      <c r="T1139" t="s">
        <v>3198</v>
      </c>
      <c r="V1139" t="s">
        <v>26</v>
      </c>
      <c r="X1139">
        <v>2321.31</v>
      </c>
      <c r="Y1139" t="s">
        <v>57</v>
      </c>
      <c r="Z1139">
        <v>494</v>
      </c>
      <c r="AA1139">
        <f t="shared" si="35"/>
        <v>494</v>
      </c>
      <c r="AB1139" t="s">
        <v>34</v>
      </c>
    </row>
    <row r="1140" spans="1:28" x14ac:dyDescent="0.3">
      <c r="A1140" t="s">
        <v>3197</v>
      </c>
      <c r="B1140" t="s">
        <v>3196</v>
      </c>
      <c r="C1140" t="s">
        <v>3196</v>
      </c>
      <c r="D1140" t="s">
        <v>22</v>
      </c>
      <c r="E1140">
        <v>44</v>
      </c>
      <c r="F1140">
        <v>44</v>
      </c>
      <c r="G1140" t="s">
        <v>54</v>
      </c>
      <c r="H1140" t="s">
        <v>54</v>
      </c>
      <c r="I1140" t="s">
        <v>46</v>
      </c>
      <c r="J1140" t="s">
        <v>46</v>
      </c>
      <c r="K1140" s="1">
        <v>46003</v>
      </c>
      <c r="L1140" s="1" t="str">
        <f>IF(K1140&gt;O1140,"Valid","Invalid")</f>
        <v>Valid</v>
      </c>
      <c r="M1140" s="1" t="b">
        <f>ISNUMBER(K1140)</f>
        <v>1</v>
      </c>
      <c r="N1140" s="1" t="b">
        <f>ISNUMBER(O1140)</f>
        <v>1</v>
      </c>
      <c r="O1140" s="1">
        <v>45984</v>
      </c>
      <c r="P1140" t="s">
        <v>3195</v>
      </c>
      <c r="Q1140" t="str">
        <f>SUBSTITUTE(SUBSTITUTE(SUBSTITUTE(P1140," ",""),"-",""),"+","")</f>
        <v>919130497379</v>
      </c>
      <c r="R1140" t="str">
        <f t="shared" si="34"/>
        <v>9130497379</v>
      </c>
      <c r="S1140" t="str">
        <f>IF(LEN(R1140),"Valid","Invalid")</f>
        <v>Valid</v>
      </c>
      <c r="T1140" t="s">
        <v>3194</v>
      </c>
      <c r="V1140" t="s">
        <v>26</v>
      </c>
      <c r="X1140">
        <v>9170.0300000000007</v>
      </c>
      <c r="Y1140" t="s">
        <v>63</v>
      </c>
      <c r="Z1140">
        <v>500</v>
      </c>
      <c r="AA1140">
        <f t="shared" si="35"/>
        <v>500</v>
      </c>
      <c r="AB1140" t="s">
        <v>25</v>
      </c>
    </row>
    <row r="1141" spans="1:28" x14ac:dyDescent="0.3">
      <c r="A1141" t="s">
        <v>3193</v>
      </c>
      <c r="B1141" t="s">
        <v>3192</v>
      </c>
      <c r="C1141" t="s">
        <v>3192</v>
      </c>
      <c r="D1141" t="s">
        <v>40</v>
      </c>
      <c r="E1141">
        <v>16</v>
      </c>
      <c r="F1141">
        <v>16</v>
      </c>
      <c r="G1141" t="s">
        <v>132</v>
      </c>
      <c r="H1141" t="s">
        <v>132</v>
      </c>
      <c r="I1141" t="s">
        <v>67</v>
      </c>
      <c r="J1141" t="s">
        <v>67</v>
      </c>
      <c r="K1141" s="1">
        <v>46106</v>
      </c>
      <c r="L1141" s="1" t="str">
        <f>IF(K1141&gt;O1141,"Valid","Invalid")</f>
        <v>Valid</v>
      </c>
      <c r="M1141" s="1" t="b">
        <f>ISNUMBER(K1141)</f>
        <v>1</v>
      </c>
      <c r="N1141" s="1" t="b">
        <f>ISNUMBER(O1141)</f>
        <v>1</v>
      </c>
      <c r="O1141" s="1">
        <v>46080</v>
      </c>
      <c r="P1141" t="s">
        <v>3191</v>
      </c>
      <c r="Q1141" t="str">
        <f>SUBSTITUTE(SUBSTITUTE(SUBSTITUTE(P1141," ",""),"-",""),"+","")</f>
        <v>912708977456</v>
      </c>
      <c r="R1141" t="str">
        <f t="shared" si="34"/>
        <v>2708977456</v>
      </c>
      <c r="S1141" t="str">
        <f>IF(LEN(R1141),"Valid","Invalid")</f>
        <v>Valid</v>
      </c>
      <c r="T1141" t="s">
        <v>3190</v>
      </c>
      <c r="V1141" t="s">
        <v>26</v>
      </c>
      <c r="X1141">
        <v>21220.3</v>
      </c>
      <c r="Y1141" t="s">
        <v>123</v>
      </c>
      <c r="Z1141">
        <v>336</v>
      </c>
      <c r="AA1141">
        <f t="shared" si="35"/>
        <v>336</v>
      </c>
      <c r="AB1141" t="s">
        <v>77</v>
      </c>
    </row>
    <row r="1142" spans="1:28" x14ac:dyDescent="0.3">
      <c r="A1142" t="s">
        <v>3189</v>
      </c>
      <c r="B1142" t="s">
        <v>3188</v>
      </c>
      <c r="C1142" t="s">
        <v>3188</v>
      </c>
      <c r="E1142">
        <v>2</v>
      </c>
      <c r="F1142">
        <v>2</v>
      </c>
      <c r="G1142" t="s">
        <v>68</v>
      </c>
      <c r="H1142" t="s">
        <v>68</v>
      </c>
      <c r="I1142" t="s">
        <v>46</v>
      </c>
      <c r="J1142" t="s">
        <v>46</v>
      </c>
      <c r="K1142" s="1">
        <v>46119</v>
      </c>
      <c r="L1142" s="1" t="str">
        <f>IF(K1142&gt;O1142,"Valid","Invalid")</f>
        <v>Valid</v>
      </c>
      <c r="M1142" s="1" t="b">
        <f>ISNUMBER(K1142)</f>
        <v>1</v>
      </c>
      <c r="N1142" s="1" t="b">
        <f>ISNUMBER(O1142)</f>
        <v>1</v>
      </c>
      <c r="O1142" s="1">
        <v>46089</v>
      </c>
      <c r="P1142" t="s">
        <v>3187</v>
      </c>
      <c r="Q1142" t="str">
        <f>SUBSTITUTE(SUBSTITUTE(SUBSTITUTE(P1142," ",""),"-",""),"+","")</f>
        <v>6922466372</v>
      </c>
      <c r="R1142" t="str">
        <f t="shared" si="34"/>
        <v>6922466372</v>
      </c>
      <c r="S1142" t="str">
        <f>IF(LEN(R1142),"Valid","Invalid")</f>
        <v>Valid</v>
      </c>
      <c r="T1142" t="s">
        <v>3186</v>
      </c>
      <c r="V1142" t="s">
        <v>57</v>
      </c>
      <c r="X1142">
        <v>12109.16</v>
      </c>
      <c r="Y1142" t="s">
        <v>57</v>
      </c>
      <c r="Z1142">
        <v>309</v>
      </c>
      <c r="AA1142">
        <f t="shared" si="35"/>
        <v>309</v>
      </c>
      <c r="AB1142" t="s">
        <v>77</v>
      </c>
    </row>
    <row r="1143" spans="1:28" x14ac:dyDescent="0.3">
      <c r="A1143" t="s">
        <v>3185</v>
      </c>
      <c r="B1143" t="s">
        <v>3184</v>
      </c>
      <c r="C1143" t="s">
        <v>3184</v>
      </c>
      <c r="D1143" t="s">
        <v>74</v>
      </c>
      <c r="E1143">
        <v>36</v>
      </c>
      <c r="F1143">
        <v>36</v>
      </c>
      <c r="G1143" t="s">
        <v>31</v>
      </c>
      <c r="H1143" t="s">
        <v>31</v>
      </c>
      <c r="I1143" t="s">
        <v>20</v>
      </c>
      <c r="J1143" t="s">
        <v>20</v>
      </c>
      <c r="K1143" s="1">
        <v>46110</v>
      </c>
      <c r="L1143" s="1" t="str">
        <f>IF(K1143&gt;O1143,"Valid","Invalid")</f>
        <v>Valid</v>
      </c>
      <c r="M1143" s="1" t="b">
        <f>ISNUMBER(K1143)</f>
        <v>1</v>
      </c>
      <c r="N1143" s="1" t="b">
        <f>ISNUMBER(O1143)</f>
        <v>1</v>
      </c>
      <c r="O1143" s="1">
        <v>46096</v>
      </c>
      <c r="P1143" t="s">
        <v>3183</v>
      </c>
      <c r="Q1143" t="str">
        <f>SUBSTITUTE(SUBSTITUTE(SUBSTITUTE(P1143," ",""),"-",""),"+","")</f>
        <v>03106052402</v>
      </c>
      <c r="R1143" t="str">
        <f t="shared" si="34"/>
        <v>3106052402</v>
      </c>
      <c r="S1143" t="str">
        <f>IF(LEN(R1143),"Valid","Invalid")</f>
        <v>Valid</v>
      </c>
      <c r="T1143" t="s">
        <v>3182</v>
      </c>
      <c r="V1143" t="s">
        <v>35</v>
      </c>
      <c r="X1143">
        <v>6598.57</v>
      </c>
      <c r="Y1143" t="s">
        <v>63</v>
      </c>
      <c r="Z1143">
        <v>232</v>
      </c>
      <c r="AA1143">
        <f t="shared" si="35"/>
        <v>232</v>
      </c>
      <c r="AB1143" t="s">
        <v>50</v>
      </c>
    </row>
    <row r="1144" spans="1:28" x14ac:dyDescent="0.3">
      <c r="A1144" t="s">
        <v>3181</v>
      </c>
      <c r="B1144" t="s">
        <v>3180</v>
      </c>
      <c r="C1144" t="s">
        <v>3180</v>
      </c>
      <c r="E1144">
        <v>17</v>
      </c>
      <c r="F1144">
        <v>17</v>
      </c>
      <c r="G1144" t="s">
        <v>21</v>
      </c>
      <c r="H1144" t="s">
        <v>21</v>
      </c>
      <c r="I1144" t="s">
        <v>53</v>
      </c>
      <c r="J1144" t="s">
        <v>20</v>
      </c>
      <c r="K1144" s="1">
        <v>45983</v>
      </c>
      <c r="L1144" s="1" t="str">
        <f>IF(K1144&gt;O1144,"Valid","Invalid")</f>
        <v>Valid</v>
      </c>
      <c r="M1144" s="1" t="b">
        <f>ISNUMBER(K1144)</f>
        <v>1</v>
      </c>
      <c r="N1144" s="1" t="b">
        <f>ISNUMBER(O1144)</f>
        <v>1</v>
      </c>
      <c r="O1144" s="1">
        <v>45979</v>
      </c>
      <c r="P1144" t="s">
        <v>3179</v>
      </c>
      <c r="Q1144" t="str">
        <f>SUBSTITUTE(SUBSTITUTE(SUBSTITUTE(P1144," ",""),"-",""),"+","")</f>
        <v>06769225157</v>
      </c>
      <c r="R1144" t="str">
        <f t="shared" si="34"/>
        <v>6769225157</v>
      </c>
      <c r="S1144" t="str">
        <f>IF(LEN(R1144),"Valid","Invalid")</f>
        <v>Valid</v>
      </c>
      <c r="T1144" t="s">
        <v>3178</v>
      </c>
      <c r="V1144" t="s">
        <v>27</v>
      </c>
      <c r="X1144">
        <v>5970.28</v>
      </c>
      <c r="Y1144" t="s">
        <v>27</v>
      </c>
      <c r="Z1144">
        <v>194</v>
      </c>
      <c r="AA1144">
        <f t="shared" si="35"/>
        <v>194</v>
      </c>
      <c r="AB1144" t="s">
        <v>25</v>
      </c>
    </row>
    <row r="1145" spans="1:28" x14ac:dyDescent="0.3">
      <c r="A1145" t="s">
        <v>3177</v>
      </c>
      <c r="B1145" t="s">
        <v>3176</v>
      </c>
      <c r="C1145" t="s">
        <v>3176</v>
      </c>
      <c r="E1145">
        <v>75</v>
      </c>
      <c r="F1145">
        <v>75</v>
      </c>
      <c r="G1145" t="s">
        <v>31</v>
      </c>
      <c r="H1145" t="s">
        <v>31</v>
      </c>
      <c r="I1145" t="s">
        <v>46</v>
      </c>
      <c r="J1145" t="s">
        <v>46</v>
      </c>
      <c r="K1145" s="1">
        <v>46081</v>
      </c>
      <c r="L1145" s="1" t="str">
        <f>IF(K1145&gt;O1145,"Valid","Invalid")</f>
        <v>Valid</v>
      </c>
      <c r="M1145" s="1" t="b">
        <f>ISNUMBER(K1145)</f>
        <v>1</v>
      </c>
      <c r="N1145" s="1" t="b">
        <f>ISNUMBER(O1145)</f>
        <v>1</v>
      </c>
      <c r="O1145" s="1">
        <v>46064</v>
      </c>
      <c r="P1145" t="s">
        <v>3175</v>
      </c>
      <c r="Q1145" t="str">
        <f>SUBSTITUTE(SUBSTITUTE(SUBSTITUTE(P1145," ",""),"-",""),"+","")</f>
        <v>4418735947</v>
      </c>
      <c r="R1145" t="str">
        <f t="shared" si="34"/>
        <v>4418735947</v>
      </c>
      <c r="S1145" t="str">
        <f>IF(LEN(R1145),"Valid","Invalid")</f>
        <v>Valid</v>
      </c>
      <c r="T1145" t="s">
        <v>3174</v>
      </c>
      <c r="V1145" t="s">
        <v>17</v>
      </c>
      <c r="X1145">
        <v>1708.16</v>
      </c>
      <c r="Y1145" t="s">
        <v>63</v>
      </c>
      <c r="Z1145">
        <v>231</v>
      </c>
      <c r="AA1145">
        <f t="shared" si="35"/>
        <v>231</v>
      </c>
      <c r="AB1145" t="s">
        <v>77</v>
      </c>
    </row>
    <row r="1146" spans="1:28" x14ac:dyDescent="0.3">
      <c r="A1146" t="s">
        <v>3173</v>
      </c>
      <c r="B1146" t="s">
        <v>3172</v>
      </c>
      <c r="C1146" t="s">
        <v>3172</v>
      </c>
      <c r="D1146" t="s">
        <v>60</v>
      </c>
      <c r="E1146">
        <v>70</v>
      </c>
      <c r="F1146">
        <v>70</v>
      </c>
      <c r="G1146" t="s">
        <v>47</v>
      </c>
      <c r="H1146" t="s">
        <v>47</v>
      </c>
      <c r="I1146" t="s">
        <v>38</v>
      </c>
      <c r="J1146" t="s">
        <v>8077</v>
      </c>
      <c r="K1146" s="1">
        <v>46095</v>
      </c>
      <c r="L1146" s="1" t="str">
        <f>IF(K1146&gt;O1146,"Valid","Invalid")</f>
        <v>Valid</v>
      </c>
      <c r="M1146" s="1" t="b">
        <f>ISNUMBER(K1146)</f>
        <v>1</v>
      </c>
      <c r="N1146" s="1" t="b">
        <f>ISNUMBER(O1146)</f>
        <v>1</v>
      </c>
      <c r="O1146" s="1">
        <v>46084</v>
      </c>
      <c r="P1146" t="s">
        <v>3171</v>
      </c>
      <c r="Q1146" t="str">
        <f>SUBSTITUTE(SUBSTITUTE(SUBSTITUTE(P1146," ",""),"-",""),"+","")</f>
        <v>05180539659</v>
      </c>
      <c r="R1146" t="str">
        <f t="shared" si="34"/>
        <v>5180539659</v>
      </c>
      <c r="S1146" t="str">
        <f>IF(LEN(R1146),"Valid","Invalid")</f>
        <v>Valid</v>
      </c>
      <c r="T1146" t="s">
        <v>3170</v>
      </c>
      <c r="V1146" t="s">
        <v>64</v>
      </c>
      <c r="X1146">
        <v>2121.48</v>
      </c>
      <c r="Y1146" t="s">
        <v>123</v>
      </c>
      <c r="Z1146">
        <v>157</v>
      </c>
      <c r="AA1146">
        <f t="shared" si="35"/>
        <v>157</v>
      </c>
      <c r="AB1146" t="s">
        <v>34</v>
      </c>
    </row>
    <row r="1147" spans="1:28" x14ac:dyDescent="0.3">
      <c r="A1147" t="s">
        <v>3169</v>
      </c>
      <c r="B1147" t="s">
        <v>3168</v>
      </c>
      <c r="C1147" t="s">
        <v>3168</v>
      </c>
      <c r="D1147" t="s">
        <v>74</v>
      </c>
      <c r="E1147">
        <v>31</v>
      </c>
      <c r="F1147">
        <v>31</v>
      </c>
      <c r="G1147" t="s">
        <v>21</v>
      </c>
      <c r="H1147" t="s">
        <v>21</v>
      </c>
      <c r="I1147" t="s">
        <v>67</v>
      </c>
      <c r="J1147" t="s">
        <v>67</v>
      </c>
      <c r="K1147" s="1">
        <v>46069</v>
      </c>
      <c r="L1147" s="1" t="str">
        <f>IF(K1147&gt;O1147,"Valid","Invalid")</f>
        <v>Valid</v>
      </c>
      <c r="M1147" s="1" t="b">
        <f>ISNUMBER(K1147)</f>
        <v>1</v>
      </c>
      <c r="N1147" s="1" t="b">
        <f>ISNUMBER(O1147)</f>
        <v>1</v>
      </c>
      <c r="O1147" s="1">
        <v>46051</v>
      </c>
      <c r="P1147" t="s">
        <v>3167</v>
      </c>
      <c r="Q1147" t="str">
        <f>SUBSTITUTE(SUBSTITUTE(SUBSTITUTE(P1147," ",""),"-",""),"+","")</f>
        <v>913264210121</v>
      </c>
      <c r="R1147" t="str">
        <f t="shared" si="34"/>
        <v>3264210121</v>
      </c>
      <c r="S1147" t="str">
        <f>IF(LEN(R1147),"Valid","Invalid")</f>
        <v>Valid</v>
      </c>
      <c r="T1147" t="s">
        <v>3166</v>
      </c>
      <c r="V1147" t="s">
        <v>57</v>
      </c>
      <c r="X1147">
        <v>20762.62</v>
      </c>
      <c r="Y1147" t="s">
        <v>123</v>
      </c>
      <c r="Z1147">
        <v>136</v>
      </c>
      <c r="AA1147">
        <f t="shared" si="35"/>
        <v>136</v>
      </c>
      <c r="AB1147" t="s">
        <v>25</v>
      </c>
    </row>
    <row r="1148" spans="1:28" x14ac:dyDescent="0.3">
      <c r="A1148" t="s">
        <v>3165</v>
      </c>
      <c r="B1148" t="s">
        <v>3164</v>
      </c>
      <c r="C1148" t="s">
        <v>3164</v>
      </c>
      <c r="D1148" t="s">
        <v>123</v>
      </c>
      <c r="E1148">
        <v>37</v>
      </c>
      <c r="F1148">
        <v>37</v>
      </c>
      <c r="G1148" t="s">
        <v>39</v>
      </c>
      <c r="H1148" t="s">
        <v>39</v>
      </c>
      <c r="I1148" t="s">
        <v>46</v>
      </c>
      <c r="J1148" t="s">
        <v>46</v>
      </c>
      <c r="K1148" s="1">
        <v>46131</v>
      </c>
      <c r="L1148" s="1" t="str">
        <f>IF(K1148&gt;O1148,"Valid","Invalid")</f>
        <v>Valid</v>
      </c>
      <c r="M1148" s="1" t="b">
        <f>ISNUMBER(K1148)</f>
        <v>1</v>
      </c>
      <c r="N1148" s="1" t="b">
        <f>ISNUMBER(O1148)</f>
        <v>1</v>
      </c>
      <c r="O1148" s="1">
        <v>46121</v>
      </c>
      <c r="P1148" t="s">
        <v>3163</v>
      </c>
      <c r="Q1148" t="str">
        <f>SUBSTITUTE(SUBSTITUTE(SUBSTITUTE(P1148," ",""),"-",""),"+","")</f>
        <v>7326096426</v>
      </c>
      <c r="R1148" t="str">
        <f t="shared" si="34"/>
        <v>7326096426</v>
      </c>
      <c r="S1148" t="str">
        <f>IF(LEN(R1148),"Valid","Invalid")</f>
        <v>Valid</v>
      </c>
      <c r="T1148" t="s">
        <v>3162</v>
      </c>
      <c r="V1148" t="s">
        <v>57</v>
      </c>
      <c r="X1148">
        <v>8507.65</v>
      </c>
      <c r="Y1148" t="s">
        <v>123</v>
      </c>
      <c r="Z1148">
        <v>433</v>
      </c>
      <c r="AA1148">
        <f t="shared" si="35"/>
        <v>433</v>
      </c>
      <c r="AB1148" t="s">
        <v>43</v>
      </c>
    </row>
    <row r="1149" spans="1:28" x14ac:dyDescent="0.3">
      <c r="A1149" t="s">
        <v>3161</v>
      </c>
      <c r="B1149" t="s">
        <v>3160</v>
      </c>
      <c r="C1149" t="s">
        <v>3160</v>
      </c>
      <c r="E1149">
        <v>38</v>
      </c>
      <c r="F1149">
        <v>38</v>
      </c>
      <c r="G1149" t="s">
        <v>47</v>
      </c>
      <c r="H1149" t="s">
        <v>47</v>
      </c>
      <c r="I1149" t="s">
        <v>53</v>
      </c>
      <c r="J1149" t="s">
        <v>20</v>
      </c>
      <c r="K1149" s="1">
        <v>46063</v>
      </c>
      <c r="L1149" s="1" t="str">
        <f>IF(K1149&gt;O1149,"Valid","Invalid")</f>
        <v>Valid</v>
      </c>
      <c r="M1149" s="1" t="b">
        <f>ISNUMBER(K1149)</f>
        <v>1</v>
      </c>
      <c r="N1149" s="1" t="b">
        <f>ISNUMBER(O1149)</f>
        <v>1</v>
      </c>
      <c r="O1149" s="1">
        <v>46052</v>
      </c>
      <c r="P1149" t="s">
        <v>3159</v>
      </c>
      <c r="Q1149" t="str">
        <f>SUBSTITUTE(SUBSTITUTE(SUBSTITUTE(P1149," ",""),"-",""),"+","")</f>
        <v>9664344706</v>
      </c>
      <c r="R1149" t="str">
        <f t="shared" si="34"/>
        <v>9664344706</v>
      </c>
      <c r="S1149" t="str">
        <f>IF(LEN(R1149),"Valid","Invalid")</f>
        <v>Valid</v>
      </c>
      <c r="T1149" t="s">
        <v>3158</v>
      </c>
      <c r="V1149" t="s">
        <v>27</v>
      </c>
      <c r="X1149">
        <v>7413.64</v>
      </c>
      <c r="Y1149" t="s">
        <v>26</v>
      </c>
      <c r="Z1149">
        <v>402</v>
      </c>
      <c r="AA1149">
        <f t="shared" si="35"/>
        <v>402</v>
      </c>
      <c r="AB1149" t="s">
        <v>77</v>
      </c>
    </row>
    <row r="1150" spans="1:28" x14ac:dyDescent="0.3">
      <c r="A1150" t="s">
        <v>3157</v>
      </c>
      <c r="B1150" t="s">
        <v>3156</v>
      </c>
      <c r="C1150" t="s">
        <v>3156</v>
      </c>
      <c r="D1150" t="s">
        <v>74</v>
      </c>
      <c r="E1150">
        <v>78</v>
      </c>
      <c r="F1150">
        <v>78</v>
      </c>
      <c r="G1150" t="s">
        <v>21</v>
      </c>
      <c r="H1150" t="s">
        <v>21</v>
      </c>
      <c r="I1150" t="s">
        <v>67</v>
      </c>
      <c r="J1150" t="s">
        <v>67</v>
      </c>
      <c r="K1150" s="1">
        <v>46046</v>
      </c>
      <c r="L1150" s="1" t="str">
        <f>IF(K1150&gt;O1150,"Valid","Invalid")</f>
        <v>Valid</v>
      </c>
      <c r="M1150" s="1" t="b">
        <f>ISNUMBER(K1150)</f>
        <v>1</v>
      </c>
      <c r="N1150" s="1" t="b">
        <f>ISNUMBER(O1150)</f>
        <v>1</v>
      </c>
      <c r="O1150" s="1">
        <v>46030</v>
      </c>
      <c r="P1150" t="s">
        <v>3155</v>
      </c>
      <c r="Q1150" t="str">
        <f>SUBSTITUTE(SUBSTITUTE(SUBSTITUTE(P1150," ",""),"-",""),"+","")</f>
        <v>6451539348</v>
      </c>
      <c r="R1150" t="str">
        <f t="shared" si="34"/>
        <v>6451539348</v>
      </c>
      <c r="S1150" t="str">
        <f>IF(LEN(R1150),"Valid","Invalid")</f>
        <v>Valid</v>
      </c>
      <c r="T1150" t="s">
        <v>3154</v>
      </c>
      <c r="V1150" t="s">
        <v>57</v>
      </c>
      <c r="X1150">
        <v>23510.51</v>
      </c>
      <c r="Y1150" t="s">
        <v>123</v>
      </c>
      <c r="Z1150">
        <v>525</v>
      </c>
      <c r="AA1150">
        <f t="shared" si="35"/>
        <v>525</v>
      </c>
      <c r="AB1150" t="s">
        <v>34</v>
      </c>
    </row>
    <row r="1151" spans="1:28" x14ac:dyDescent="0.3">
      <c r="A1151" t="s">
        <v>3153</v>
      </c>
      <c r="B1151" t="s">
        <v>3152</v>
      </c>
      <c r="C1151" t="s">
        <v>3152</v>
      </c>
      <c r="D1151" t="s">
        <v>40</v>
      </c>
      <c r="E1151">
        <v>85</v>
      </c>
      <c r="F1151">
        <v>85</v>
      </c>
      <c r="G1151" t="s">
        <v>39</v>
      </c>
      <c r="H1151" t="s">
        <v>39</v>
      </c>
      <c r="I1151" t="s">
        <v>90</v>
      </c>
      <c r="J1151" t="s">
        <v>67</v>
      </c>
      <c r="K1151" s="1">
        <v>46016</v>
      </c>
      <c r="L1151" s="1" t="str">
        <f>IF(K1151&gt;O1151,"Valid","Invalid")</f>
        <v>Valid</v>
      </c>
      <c r="M1151" s="1" t="b">
        <f>ISNUMBER(K1151)</f>
        <v>1</v>
      </c>
      <c r="N1151" s="1" t="b">
        <f>ISNUMBER(O1151)</f>
        <v>1</v>
      </c>
      <c r="O1151" s="1">
        <v>45992</v>
      </c>
      <c r="P1151" t="s">
        <v>3151</v>
      </c>
      <c r="Q1151" t="str">
        <f>SUBSTITUTE(SUBSTITUTE(SUBSTITUTE(P1151," ",""),"-",""),"+","")</f>
        <v>0832775299</v>
      </c>
      <c r="R1151" t="str">
        <f t="shared" si="34"/>
        <v>0832775299</v>
      </c>
      <c r="S1151" t="str">
        <f>IF(LEN(R1151),"Valid","Invalid")</f>
        <v>Valid</v>
      </c>
      <c r="T1151" t="s">
        <v>3150</v>
      </c>
      <c r="V1151" t="s">
        <v>64</v>
      </c>
      <c r="X1151">
        <v>23888.45</v>
      </c>
      <c r="Y1151" t="s">
        <v>57</v>
      </c>
      <c r="Z1151">
        <v>389</v>
      </c>
      <c r="AA1151">
        <f t="shared" si="35"/>
        <v>389</v>
      </c>
      <c r="AB1151" t="s">
        <v>34</v>
      </c>
    </row>
    <row r="1152" spans="1:28" x14ac:dyDescent="0.3">
      <c r="A1152" t="s">
        <v>3149</v>
      </c>
      <c r="B1152" t="s">
        <v>3148</v>
      </c>
      <c r="C1152" t="s">
        <v>3148</v>
      </c>
      <c r="D1152" t="s">
        <v>123</v>
      </c>
      <c r="E1152">
        <v>69</v>
      </c>
      <c r="F1152">
        <v>69</v>
      </c>
      <c r="G1152" t="s">
        <v>80</v>
      </c>
      <c r="H1152" t="s">
        <v>80</v>
      </c>
      <c r="I1152" t="s">
        <v>46</v>
      </c>
      <c r="J1152" t="s">
        <v>46</v>
      </c>
      <c r="K1152" s="1">
        <v>46077</v>
      </c>
      <c r="L1152" s="1" t="str">
        <f>IF(K1152&gt;O1152,"Valid","Invalid")</f>
        <v>Valid</v>
      </c>
      <c r="M1152" s="1" t="b">
        <f>ISNUMBER(K1152)</f>
        <v>1</v>
      </c>
      <c r="N1152" s="1" t="b">
        <f>ISNUMBER(O1152)</f>
        <v>1</v>
      </c>
      <c r="O1152" s="1">
        <v>46058</v>
      </c>
      <c r="P1152" t="s">
        <v>3147</v>
      </c>
      <c r="Q1152" t="str">
        <f>SUBSTITUTE(SUBSTITUTE(SUBSTITUTE(P1152," ",""),"-",""),"+","")</f>
        <v>08400605285</v>
      </c>
      <c r="R1152" t="str">
        <f t="shared" si="34"/>
        <v>8400605285</v>
      </c>
      <c r="S1152" t="str">
        <f>IF(LEN(R1152),"Valid","Invalid")</f>
        <v>Valid</v>
      </c>
      <c r="T1152" t="s">
        <v>3146</v>
      </c>
      <c r="V1152" t="s">
        <v>123</v>
      </c>
      <c r="X1152">
        <v>16548.099999999999</v>
      </c>
      <c r="Y1152" t="s">
        <v>123</v>
      </c>
      <c r="Z1152">
        <v>262</v>
      </c>
      <c r="AA1152">
        <f t="shared" si="35"/>
        <v>262</v>
      </c>
      <c r="AB1152" t="s">
        <v>43</v>
      </c>
    </row>
    <row r="1153" spans="1:28" x14ac:dyDescent="0.3">
      <c r="A1153" t="s">
        <v>3145</v>
      </c>
      <c r="B1153" t="s">
        <v>3144</v>
      </c>
      <c r="C1153" t="s">
        <v>3144</v>
      </c>
      <c r="D1153" t="s">
        <v>1</v>
      </c>
      <c r="E1153">
        <v>74</v>
      </c>
      <c r="F1153">
        <v>74</v>
      </c>
      <c r="G1153" t="s">
        <v>132</v>
      </c>
      <c r="H1153" t="s">
        <v>132</v>
      </c>
      <c r="I1153" t="s">
        <v>38</v>
      </c>
      <c r="J1153" t="s">
        <v>8077</v>
      </c>
      <c r="K1153" s="1">
        <v>45986</v>
      </c>
      <c r="L1153" s="1" t="str">
        <f>IF(K1153&gt;O1153,"Valid","Invalid")</f>
        <v>Valid</v>
      </c>
      <c r="M1153" s="1" t="b">
        <f>ISNUMBER(K1153)</f>
        <v>1</v>
      </c>
      <c r="N1153" s="1" t="b">
        <f>ISNUMBER(O1153)</f>
        <v>1</v>
      </c>
      <c r="O1153" s="1">
        <v>45976</v>
      </c>
      <c r="P1153" t="s">
        <v>3143</v>
      </c>
      <c r="Q1153" t="str">
        <f>SUBSTITUTE(SUBSTITUTE(SUBSTITUTE(P1153," ",""),"-",""),"+","")</f>
        <v>06118732298</v>
      </c>
      <c r="R1153" t="str">
        <f t="shared" si="34"/>
        <v>6118732298</v>
      </c>
      <c r="S1153" t="str">
        <f>IF(LEN(R1153),"Valid","Invalid")</f>
        <v>Valid</v>
      </c>
      <c r="T1153" t="s">
        <v>3142</v>
      </c>
      <c r="V1153" t="s">
        <v>17</v>
      </c>
      <c r="X1153">
        <v>20015.349999999999</v>
      </c>
      <c r="Y1153" t="s">
        <v>17</v>
      </c>
      <c r="Z1153">
        <v>218</v>
      </c>
      <c r="AA1153">
        <f t="shared" si="35"/>
        <v>218</v>
      </c>
      <c r="AB1153" t="s">
        <v>16</v>
      </c>
    </row>
    <row r="1154" spans="1:28" x14ac:dyDescent="0.3">
      <c r="A1154" t="s">
        <v>3141</v>
      </c>
      <c r="B1154" t="s">
        <v>3140</v>
      </c>
      <c r="C1154" t="s">
        <v>3140</v>
      </c>
      <c r="D1154" t="s">
        <v>60</v>
      </c>
      <c r="E1154">
        <v>15</v>
      </c>
      <c r="F1154">
        <v>15</v>
      </c>
      <c r="G1154" t="s">
        <v>21</v>
      </c>
      <c r="H1154" t="s">
        <v>21</v>
      </c>
      <c r="I1154" t="s">
        <v>85</v>
      </c>
      <c r="J1154" t="s">
        <v>85</v>
      </c>
      <c r="K1154" s="1">
        <v>46046</v>
      </c>
      <c r="L1154" s="1" t="str">
        <f>IF(K1154&gt;O1154,"Valid","Invalid")</f>
        <v>Valid</v>
      </c>
      <c r="M1154" s="1" t="b">
        <f>ISNUMBER(K1154)</f>
        <v>1</v>
      </c>
      <c r="N1154" s="1" t="b">
        <f>ISNUMBER(O1154)</f>
        <v>1</v>
      </c>
      <c r="O1154" s="1">
        <v>46023</v>
      </c>
      <c r="P1154" t="s">
        <v>3139</v>
      </c>
      <c r="Q1154" t="str">
        <f>SUBSTITUTE(SUBSTITUTE(SUBSTITUTE(P1154," ",""),"-",""),"+","")</f>
        <v>07959633846</v>
      </c>
      <c r="R1154" t="str">
        <f t="shared" si="34"/>
        <v>7959633846</v>
      </c>
      <c r="S1154" t="str">
        <f>IF(LEN(R1154),"Valid","Invalid")</f>
        <v>Valid</v>
      </c>
      <c r="T1154" t="s">
        <v>3138</v>
      </c>
      <c r="V1154" t="s">
        <v>123</v>
      </c>
      <c r="X1154">
        <v>9174.65</v>
      </c>
      <c r="Y1154" t="s">
        <v>17</v>
      </c>
      <c r="Z1154">
        <v>386</v>
      </c>
      <c r="AA1154">
        <f t="shared" si="35"/>
        <v>386</v>
      </c>
      <c r="AB1154" t="s">
        <v>34</v>
      </c>
    </row>
    <row r="1155" spans="1:28" x14ac:dyDescent="0.3">
      <c r="A1155" t="s">
        <v>3137</v>
      </c>
      <c r="B1155" t="s">
        <v>3136</v>
      </c>
      <c r="C1155" t="s">
        <v>3136</v>
      </c>
      <c r="D1155" t="s">
        <v>74</v>
      </c>
      <c r="E1155">
        <v>47</v>
      </c>
      <c r="F1155">
        <v>47</v>
      </c>
      <c r="G1155" t="s">
        <v>68</v>
      </c>
      <c r="H1155" t="s">
        <v>68</v>
      </c>
      <c r="I1155" t="s">
        <v>38</v>
      </c>
      <c r="J1155" t="s">
        <v>8077</v>
      </c>
      <c r="K1155" s="1">
        <v>46150</v>
      </c>
      <c r="L1155" s="1" t="str">
        <f>IF(K1155&gt;O1155,"Valid","Invalid")</f>
        <v>Valid</v>
      </c>
      <c r="M1155" s="1" t="b">
        <f>ISNUMBER(K1155)</f>
        <v>1</v>
      </c>
      <c r="N1155" s="1" t="b">
        <f>ISNUMBER(O1155)</f>
        <v>1</v>
      </c>
      <c r="O1155" s="1">
        <v>46136</v>
      </c>
      <c r="P1155" t="s">
        <v>3135</v>
      </c>
      <c r="Q1155" t="str">
        <f>SUBSTITUTE(SUBSTITUTE(SUBSTITUTE(P1155," ",""),"-",""),"+","")</f>
        <v>7966495979</v>
      </c>
      <c r="R1155" t="str">
        <f t="shared" si="34"/>
        <v>7966495979</v>
      </c>
      <c r="S1155" t="str">
        <f>IF(LEN(R1155),"Valid","Invalid")</f>
        <v>Valid</v>
      </c>
      <c r="T1155" t="s">
        <v>3134</v>
      </c>
      <c r="V1155" t="s">
        <v>123</v>
      </c>
      <c r="X1155">
        <v>5898.13</v>
      </c>
      <c r="Y1155" t="s">
        <v>26</v>
      </c>
      <c r="Z1155">
        <v>375</v>
      </c>
      <c r="AA1155">
        <f t="shared" si="35"/>
        <v>375</v>
      </c>
      <c r="AB1155" t="s">
        <v>71</v>
      </c>
    </row>
    <row r="1156" spans="1:28" x14ac:dyDescent="0.3">
      <c r="A1156" t="s">
        <v>3133</v>
      </c>
      <c r="B1156" t="s">
        <v>3132</v>
      </c>
      <c r="C1156" t="s">
        <v>3132</v>
      </c>
      <c r="D1156" t="s">
        <v>123</v>
      </c>
      <c r="E1156">
        <v>87</v>
      </c>
      <c r="F1156">
        <v>87</v>
      </c>
      <c r="G1156" t="s">
        <v>39</v>
      </c>
      <c r="H1156" t="s">
        <v>39</v>
      </c>
      <c r="I1156" t="s">
        <v>30</v>
      </c>
      <c r="J1156" t="s">
        <v>30</v>
      </c>
      <c r="K1156" s="1">
        <v>46096</v>
      </c>
      <c r="L1156" s="1" t="str">
        <f>IF(K1156&gt;O1156,"Valid","Invalid")</f>
        <v>Valid</v>
      </c>
      <c r="M1156" s="1" t="b">
        <f>ISNUMBER(K1156)</f>
        <v>1</v>
      </c>
      <c r="N1156" s="1" t="b">
        <f>ISNUMBER(O1156)</f>
        <v>1</v>
      </c>
      <c r="O1156" s="1">
        <v>46071</v>
      </c>
      <c r="P1156" t="s">
        <v>3131</v>
      </c>
      <c r="Q1156" t="str">
        <f>SUBSTITUTE(SUBSTITUTE(SUBSTITUTE(P1156," ",""),"-",""),"+","")</f>
        <v>4095736096</v>
      </c>
      <c r="R1156" t="str">
        <f t="shared" si="34"/>
        <v>4095736096</v>
      </c>
      <c r="S1156" t="str">
        <f>IF(LEN(R1156),"Valid","Invalid")</f>
        <v>Valid</v>
      </c>
      <c r="T1156" t="s">
        <v>3130</v>
      </c>
      <c r="V1156" t="s">
        <v>26</v>
      </c>
      <c r="X1156">
        <v>8670.98</v>
      </c>
      <c r="Y1156" t="s">
        <v>64</v>
      </c>
      <c r="Z1156" t="s">
        <v>347</v>
      </c>
      <c r="AA1156">
        <f t="shared" si="35"/>
        <v>0</v>
      </c>
      <c r="AB1156" t="s">
        <v>16</v>
      </c>
    </row>
    <row r="1157" spans="1:28" x14ac:dyDescent="0.3">
      <c r="A1157" t="s">
        <v>3129</v>
      </c>
      <c r="B1157" t="s">
        <v>3128</v>
      </c>
      <c r="C1157" t="s">
        <v>3128</v>
      </c>
      <c r="D1157" t="s">
        <v>123</v>
      </c>
      <c r="E1157">
        <v>65</v>
      </c>
      <c r="F1157">
        <v>65</v>
      </c>
      <c r="G1157" t="s">
        <v>39</v>
      </c>
      <c r="H1157" t="s">
        <v>39</v>
      </c>
      <c r="I1157" t="s">
        <v>85</v>
      </c>
      <c r="J1157" t="s">
        <v>85</v>
      </c>
      <c r="K1157" s="1">
        <v>46105</v>
      </c>
      <c r="L1157" s="1" t="str">
        <f>IF(K1157&gt;O1157,"Valid","Invalid")</f>
        <v>Valid</v>
      </c>
      <c r="M1157" s="1" t="b">
        <f>ISNUMBER(K1157)</f>
        <v>1</v>
      </c>
      <c r="N1157" s="1" t="b">
        <f>ISNUMBER(O1157)</f>
        <v>1</v>
      </c>
      <c r="O1157" s="1">
        <v>46085</v>
      </c>
      <c r="P1157" t="s">
        <v>3127</v>
      </c>
      <c r="Q1157" t="str">
        <f>SUBSTITUTE(SUBSTITUTE(SUBSTITUTE(P1157," ",""),"-",""),"+","")</f>
        <v>914202367587</v>
      </c>
      <c r="R1157" t="str">
        <f t="shared" ref="R1157:R1220" si="36">RIGHT(Q1157,10)</f>
        <v>4202367587</v>
      </c>
      <c r="S1157" t="str">
        <f>IF(LEN(R1157),"Valid","Invalid")</f>
        <v>Valid</v>
      </c>
      <c r="T1157" t="s">
        <v>3126</v>
      </c>
      <c r="V1157" t="s">
        <v>17</v>
      </c>
      <c r="X1157">
        <v>22516.84</v>
      </c>
      <c r="Y1157" t="s">
        <v>123</v>
      </c>
      <c r="Z1157">
        <v>107</v>
      </c>
      <c r="AA1157">
        <f t="shared" ref="AA1157:AA1220" si="37">IF(Z1157="Room-x",0,Z1157)</f>
        <v>107</v>
      </c>
      <c r="AB1157" t="s">
        <v>71</v>
      </c>
    </row>
    <row r="1158" spans="1:28" x14ac:dyDescent="0.3">
      <c r="A1158" t="s">
        <v>3125</v>
      </c>
      <c r="B1158" t="s">
        <v>3124</v>
      </c>
      <c r="C1158" t="s">
        <v>3124</v>
      </c>
      <c r="D1158" t="s">
        <v>74</v>
      </c>
      <c r="E1158">
        <v>54</v>
      </c>
      <c r="F1158">
        <v>54</v>
      </c>
      <c r="G1158" t="s">
        <v>132</v>
      </c>
      <c r="H1158" t="s">
        <v>132</v>
      </c>
      <c r="I1158" t="s">
        <v>85</v>
      </c>
      <c r="J1158" t="s">
        <v>85</v>
      </c>
      <c r="K1158" s="1">
        <v>46013</v>
      </c>
      <c r="L1158" s="1" t="str">
        <f>IF(K1158&gt;O1158,"Valid","Invalid")</f>
        <v>Valid</v>
      </c>
      <c r="M1158" s="1" t="b">
        <f>ISNUMBER(K1158)</f>
        <v>1</v>
      </c>
      <c r="N1158" s="1" t="b">
        <f>ISNUMBER(O1158)</f>
        <v>1</v>
      </c>
      <c r="O1158" s="1">
        <v>45990</v>
      </c>
      <c r="P1158" t="s">
        <v>3123</v>
      </c>
      <c r="Q1158" t="str">
        <f>SUBSTITUTE(SUBSTITUTE(SUBSTITUTE(P1158," ",""),"-",""),"+","")</f>
        <v>914063659091</v>
      </c>
      <c r="R1158" t="str">
        <f t="shared" si="36"/>
        <v>4063659091</v>
      </c>
      <c r="S1158" t="str">
        <f>IF(LEN(R1158),"Valid","Invalid")</f>
        <v>Valid</v>
      </c>
      <c r="T1158" t="s">
        <v>3122</v>
      </c>
      <c r="V1158" t="s">
        <v>64</v>
      </c>
      <c r="X1158">
        <v>3334.67</v>
      </c>
      <c r="Y1158" t="s">
        <v>27</v>
      </c>
      <c r="Z1158">
        <v>526</v>
      </c>
      <c r="AA1158">
        <f t="shared" si="37"/>
        <v>526</v>
      </c>
      <c r="AB1158" t="s">
        <v>16</v>
      </c>
    </row>
    <row r="1159" spans="1:28" x14ac:dyDescent="0.3">
      <c r="A1159" t="s">
        <v>3121</v>
      </c>
      <c r="B1159" t="s">
        <v>3120</v>
      </c>
      <c r="C1159" t="s">
        <v>3120</v>
      </c>
      <c r="D1159" t="s">
        <v>40</v>
      </c>
      <c r="E1159">
        <v>89</v>
      </c>
      <c r="F1159">
        <v>89</v>
      </c>
      <c r="G1159" t="s">
        <v>39</v>
      </c>
      <c r="H1159" t="s">
        <v>39</v>
      </c>
      <c r="I1159" t="s">
        <v>20</v>
      </c>
      <c r="J1159" t="s">
        <v>20</v>
      </c>
      <c r="K1159" s="1">
        <v>46059</v>
      </c>
      <c r="L1159" s="1" t="str">
        <f>IF(K1159&gt;O1159,"Valid","Invalid")</f>
        <v>Valid</v>
      </c>
      <c r="M1159" s="1" t="b">
        <f>ISNUMBER(K1159)</f>
        <v>1</v>
      </c>
      <c r="N1159" s="1" t="b">
        <f>ISNUMBER(O1159)</f>
        <v>1</v>
      </c>
      <c r="O1159" s="1">
        <v>46055</v>
      </c>
      <c r="P1159" t="s">
        <v>3119</v>
      </c>
      <c r="Q1159" t="str">
        <f>SUBSTITUTE(SUBSTITUTE(SUBSTITUTE(P1159," ",""),"-",""),"+","")</f>
        <v>914748529609</v>
      </c>
      <c r="R1159" t="str">
        <f t="shared" si="36"/>
        <v>4748529609</v>
      </c>
      <c r="S1159" t="str">
        <f>IF(LEN(R1159),"Valid","Invalid")</f>
        <v>Valid</v>
      </c>
      <c r="T1159" t="s">
        <v>3118</v>
      </c>
      <c r="V1159" t="s">
        <v>123</v>
      </c>
      <c r="X1159">
        <v>22625.66</v>
      </c>
      <c r="Y1159" t="s">
        <v>17</v>
      </c>
      <c r="Z1159">
        <v>165</v>
      </c>
      <c r="AA1159">
        <f t="shared" si="37"/>
        <v>165</v>
      </c>
      <c r="AB1159" t="s">
        <v>16</v>
      </c>
    </row>
    <row r="1160" spans="1:28" x14ac:dyDescent="0.3">
      <c r="A1160" t="s">
        <v>3117</v>
      </c>
      <c r="B1160" t="s">
        <v>3116</v>
      </c>
      <c r="C1160" t="s">
        <v>3116</v>
      </c>
      <c r="D1160" t="s">
        <v>1</v>
      </c>
      <c r="E1160">
        <v>38</v>
      </c>
      <c r="F1160">
        <v>38</v>
      </c>
      <c r="G1160" t="s">
        <v>80</v>
      </c>
      <c r="H1160" t="s">
        <v>80</v>
      </c>
      <c r="I1160" t="s">
        <v>67</v>
      </c>
      <c r="J1160" t="s">
        <v>67</v>
      </c>
      <c r="K1160" s="1">
        <v>46128</v>
      </c>
      <c r="L1160" s="1" t="str">
        <f>IF(K1160&gt;O1160,"Valid","Invalid")</f>
        <v>Valid</v>
      </c>
      <c r="M1160" s="1" t="b">
        <f>ISNUMBER(K1160)</f>
        <v>1</v>
      </c>
      <c r="N1160" s="1" t="b">
        <f>ISNUMBER(O1160)</f>
        <v>1</v>
      </c>
      <c r="O1160" s="1">
        <v>46100</v>
      </c>
      <c r="P1160" t="s">
        <v>3115</v>
      </c>
      <c r="Q1160" t="str">
        <f>SUBSTITUTE(SUBSTITUTE(SUBSTITUTE(P1160," ",""),"-",""),"+","")</f>
        <v>919037738305</v>
      </c>
      <c r="R1160" t="str">
        <f t="shared" si="36"/>
        <v>9037738305</v>
      </c>
      <c r="S1160" t="str">
        <f>IF(LEN(R1160),"Valid","Invalid")</f>
        <v>Valid</v>
      </c>
      <c r="T1160" t="s">
        <v>3114</v>
      </c>
      <c r="V1160" t="s">
        <v>57</v>
      </c>
      <c r="X1160">
        <v>14868.65</v>
      </c>
      <c r="Y1160" t="s">
        <v>64</v>
      </c>
      <c r="Z1160">
        <v>469</v>
      </c>
      <c r="AA1160">
        <f t="shared" si="37"/>
        <v>469</v>
      </c>
      <c r="AB1160" t="s">
        <v>77</v>
      </c>
    </row>
    <row r="1161" spans="1:28" x14ac:dyDescent="0.3">
      <c r="A1161" t="s">
        <v>3113</v>
      </c>
      <c r="B1161" t="s">
        <v>3112</v>
      </c>
      <c r="C1161" t="s">
        <v>3112</v>
      </c>
      <c r="D1161" t="s">
        <v>74</v>
      </c>
      <c r="E1161">
        <v>46</v>
      </c>
      <c r="F1161">
        <v>46</v>
      </c>
      <c r="G1161" t="s">
        <v>68</v>
      </c>
      <c r="H1161" t="s">
        <v>68</v>
      </c>
      <c r="I1161" t="s">
        <v>90</v>
      </c>
      <c r="J1161" t="s">
        <v>67</v>
      </c>
      <c r="K1161" s="1">
        <v>46113</v>
      </c>
      <c r="L1161" s="1" t="str">
        <f>IF(K1161&gt;O1161,"Valid","Invalid")</f>
        <v>Valid</v>
      </c>
      <c r="M1161" s="1" t="b">
        <f>ISNUMBER(K1161)</f>
        <v>1</v>
      </c>
      <c r="N1161" s="1" t="b">
        <f>ISNUMBER(O1161)</f>
        <v>1</v>
      </c>
      <c r="O1161" s="1">
        <v>46093</v>
      </c>
      <c r="P1161" t="s">
        <v>3111</v>
      </c>
      <c r="Q1161" t="str">
        <f>SUBSTITUTE(SUBSTITUTE(SUBSTITUTE(P1161," ",""),"-",""),"+","")</f>
        <v>917712776407</v>
      </c>
      <c r="R1161" t="str">
        <f t="shared" si="36"/>
        <v>7712776407</v>
      </c>
      <c r="S1161" t="str">
        <f>IF(LEN(R1161),"Valid","Invalid")</f>
        <v>Valid</v>
      </c>
      <c r="T1161" t="s">
        <v>3110</v>
      </c>
      <c r="V1161" t="s">
        <v>123</v>
      </c>
      <c r="X1161">
        <v>18569.3</v>
      </c>
      <c r="Y1161" t="s">
        <v>123</v>
      </c>
      <c r="Z1161">
        <v>248</v>
      </c>
      <c r="AA1161">
        <f t="shared" si="37"/>
        <v>248</v>
      </c>
      <c r="AB1161" t="s">
        <v>50</v>
      </c>
    </row>
    <row r="1162" spans="1:28" x14ac:dyDescent="0.3">
      <c r="A1162" t="s">
        <v>3109</v>
      </c>
      <c r="B1162" t="s">
        <v>3108</v>
      </c>
      <c r="C1162" t="s">
        <v>3108</v>
      </c>
      <c r="E1162">
        <v>90</v>
      </c>
      <c r="F1162">
        <v>90</v>
      </c>
      <c r="G1162" t="s">
        <v>39</v>
      </c>
      <c r="H1162" t="s">
        <v>39</v>
      </c>
      <c r="I1162" t="s">
        <v>53</v>
      </c>
      <c r="J1162" t="s">
        <v>20</v>
      </c>
      <c r="K1162" s="1">
        <v>46139</v>
      </c>
      <c r="L1162" s="1" t="str">
        <f>IF(K1162&gt;O1162,"Valid","Invalid")</f>
        <v>Valid</v>
      </c>
      <c r="M1162" s="1" t="b">
        <f>ISNUMBER(K1162)</f>
        <v>1</v>
      </c>
      <c r="N1162" s="1" t="b">
        <f>ISNUMBER(O1162)</f>
        <v>1</v>
      </c>
      <c r="O1162" s="1">
        <v>46116</v>
      </c>
      <c r="P1162" t="s">
        <v>3107</v>
      </c>
      <c r="Q1162" t="str">
        <f>SUBSTITUTE(SUBSTITUTE(SUBSTITUTE(P1162," ",""),"-",""),"+","")</f>
        <v>09896940944</v>
      </c>
      <c r="R1162" t="str">
        <f t="shared" si="36"/>
        <v>9896940944</v>
      </c>
      <c r="S1162" t="str">
        <f>IF(LEN(R1162),"Valid","Invalid")</f>
        <v>Valid</v>
      </c>
      <c r="T1162" t="s">
        <v>3106</v>
      </c>
      <c r="V1162" t="s">
        <v>64</v>
      </c>
      <c r="X1162">
        <v>3975.96</v>
      </c>
      <c r="Y1162" t="s">
        <v>27</v>
      </c>
      <c r="Z1162">
        <v>403</v>
      </c>
      <c r="AA1162">
        <f t="shared" si="37"/>
        <v>403</v>
      </c>
      <c r="AB1162" t="s">
        <v>34</v>
      </c>
    </row>
    <row r="1163" spans="1:28" x14ac:dyDescent="0.3">
      <c r="A1163" t="s">
        <v>3105</v>
      </c>
      <c r="B1163" t="s">
        <v>3104</v>
      </c>
      <c r="C1163" t="s">
        <v>3104</v>
      </c>
      <c r="D1163" t="s">
        <v>60</v>
      </c>
      <c r="E1163">
        <v>87</v>
      </c>
      <c r="F1163">
        <v>87</v>
      </c>
      <c r="G1163" t="s">
        <v>68</v>
      </c>
      <c r="H1163" t="s">
        <v>68</v>
      </c>
      <c r="I1163" t="s">
        <v>90</v>
      </c>
      <c r="J1163" t="s">
        <v>67</v>
      </c>
      <c r="K1163" s="1">
        <v>46082</v>
      </c>
      <c r="L1163" s="1" t="str">
        <f>IF(K1163&gt;O1163,"Valid","Invalid")</f>
        <v>Valid</v>
      </c>
      <c r="M1163" s="1" t="b">
        <f>ISNUMBER(K1163)</f>
        <v>1</v>
      </c>
      <c r="N1163" s="1" t="b">
        <f>ISNUMBER(O1163)</f>
        <v>1</v>
      </c>
      <c r="O1163" s="1">
        <v>46072</v>
      </c>
      <c r="P1163" t="s">
        <v>3103</v>
      </c>
      <c r="Q1163" t="str">
        <f>SUBSTITUTE(SUBSTITUTE(SUBSTITUTE(P1163," ",""),"-",""),"+","")</f>
        <v>1273724037</v>
      </c>
      <c r="R1163" t="str">
        <f t="shared" si="36"/>
        <v>1273724037</v>
      </c>
      <c r="S1163" t="str">
        <f>IF(LEN(R1163),"Valid","Invalid")</f>
        <v>Valid</v>
      </c>
      <c r="T1163" t="s">
        <v>3102</v>
      </c>
      <c r="V1163" t="s">
        <v>123</v>
      </c>
      <c r="X1163">
        <v>4582.71</v>
      </c>
      <c r="Y1163" t="s">
        <v>63</v>
      </c>
      <c r="Z1163">
        <v>495</v>
      </c>
      <c r="AA1163">
        <f t="shared" si="37"/>
        <v>495</v>
      </c>
      <c r="AB1163" t="s">
        <v>77</v>
      </c>
    </row>
    <row r="1164" spans="1:28" x14ac:dyDescent="0.3">
      <c r="A1164" t="s">
        <v>3101</v>
      </c>
      <c r="B1164" t="s">
        <v>3100</v>
      </c>
      <c r="C1164" t="s">
        <v>3100</v>
      </c>
      <c r="D1164" t="s">
        <v>1</v>
      </c>
      <c r="E1164">
        <v>39</v>
      </c>
      <c r="F1164">
        <v>39</v>
      </c>
      <c r="G1164" t="s">
        <v>68</v>
      </c>
      <c r="H1164" t="s">
        <v>68</v>
      </c>
      <c r="I1164" t="s">
        <v>67</v>
      </c>
      <c r="J1164" t="s">
        <v>67</v>
      </c>
      <c r="K1164" s="1">
        <v>46035</v>
      </c>
      <c r="L1164" s="1" t="str">
        <f>IF(K1164&gt;O1164,"Valid","Invalid")</f>
        <v>Valid</v>
      </c>
      <c r="M1164" s="1" t="b">
        <f>ISNUMBER(K1164)</f>
        <v>1</v>
      </c>
      <c r="N1164" s="1" t="b">
        <f>ISNUMBER(O1164)</f>
        <v>1</v>
      </c>
      <c r="O1164" s="1">
        <v>46034</v>
      </c>
      <c r="P1164" t="s">
        <v>3099</v>
      </c>
      <c r="Q1164" t="str">
        <f>SUBSTITUTE(SUBSTITUTE(SUBSTITUTE(P1164," ",""),"-",""),"+","")</f>
        <v>01899826107</v>
      </c>
      <c r="R1164" t="str">
        <f t="shared" si="36"/>
        <v>1899826107</v>
      </c>
      <c r="S1164" t="str">
        <f>IF(LEN(R1164),"Valid","Invalid")</f>
        <v>Valid</v>
      </c>
      <c r="T1164" t="s">
        <v>3098</v>
      </c>
      <c r="V1164" t="s">
        <v>123</v>
      </c>
      <c r="X1164">
        <v>7274.38</v>
      </c>
      <c r="Y1164" t="s">
        <v>123</v>
      </c>
      <c r="Z1164">
        <v>263</v>
      </c>
      <c r="AA1164">
        <f t="shared" si="37"/>
        <v>263</v>
      </c>
      <c r="AB1164" t="s">
        <v>50</v>
      </c>
    </row>
    <row r="1165" spans="1:28" x14ac:dyDescent="0.3">
      <c r="A1165" t="s">
        <v>3097</v>
      </c>
      <c r="B1165" t="s">
        <v>3096</v>
      </c>
      <c r="C1165" t="s">
        <v>3096</v>
      </c>
      <c r="D1165" t="s">
        <v>0</v>
      </c>
      <c r="E1165">
        <v>19</v>
      </c>
      <c r="F1165">
        <v>19</v>
      </c>
      <c r="G1165" t="s">
        <v>47</v>
      </c>
      <c r="H1165" t="s">
        <v>47</v>
      </c>
      <c r="I1165" t="s">
        <v>38</v>
      </c>
      <c r="J1165" t="s">
        <v>8077</v>
      </c>
      <c r="K1165" s="1">
        <v>46040</v>
      </c>
      <c r="L1165" s="1" t="str">
        <f>IF(K1165&gt;O1165,"Valid","Invalid")</f>
        <v>Valid</v>
      </c>
      <c r="M1165" s="1" t="b">
        <f>ISNUMBER(K1165)</f>
        <v>1</v>
      </c>
      <c r="N1165" s="1" t="b">
        <f>ISNUMBER(O1165)</f>
        <v>1</v>
      </c>
      <c r="O1165" s="1">
        <v>46027</v>
      </c>
      <c r="P1165" t="s">
        <v>3095</v>
      </c>
      <c r="Q1165" t="str">
        <f>SUBSTITUTE(SUBSTITUTE(SUBSTITUTE(P1165," ",""),"-",""),"+","")</f>
        <v>913000001895</v>
      </c>
      <c r="R1165" t="str">
        <f t="shared" si="36"/>
        <v>3000001895</v>
      </c>
      <c r="S1165" t="str">
        <f>IF(LEN(R1165),"Valid","Invalid")</f>
        <v>Valid</v>
      </c>
      <c r="T1165" t="s">
        <v>3094</v>
      </c>
      <c r="V1165" t="s">
        <v>26</v>
      </c>
      <c r="X1165">
        <v>14463.42</v>
      </c>
      <c r="Y1165" t="s">
        <v>17</v>
      </c>
      <c r="Z1165">
        <v>150</v>
      </c>
      <c r="AA1165">
        <f t="shared" si="37"/>
        <v>150</v>
      </c>
      <c r="AB1165" t="s">
        <v>43</v>
      </c>
    </row>
    <row r="1166" spans="1:28" x14ac:dyDescent="0.3">
      <c r="A1166" t="s">
        <v>3093</v>
      </c>
      <c r="B1166" t="s">
        <v>3092</v>
      </c>
      <c r="C1166" t="s">
        <v>3092</v>
      </c>
      <c r="D1166" t="s">
        <v>22</v>
      </c>
      <c r="E1166">
        <v>22</v>
      </c>
      <c r="F1166">
        <v>22</v>
      </c>
      <c r="G1166" t="s">
        <v>80</v>
      </c>
      <c r="H1166" t="s">
        <v>80</v>
      </c>
      <c r="I1166" t="s">
        <v>30</v>
      </c>
      <c r="J1166" t="s">
        <v>30</v>
      </c>
      <c r="K1166" s="1">
        <v>46083</v>
      </c>
      <c r="L1166" s="1" t="str">
        <f>IF(K1166&gt;O1166,"Valid","Invalid")</f>
        <v>Valid</v>
      </c>
      <c r="M1166" s="1" t="b">
        <f>ISNUMBER(K1166)</f>
        <v>1</v>
      </c>
      <c r="N1166" s="1" t="b">
        <f>ISNUMBER(O1166)</f>
        <v>1</v>
      </c>
      <c r="O1166" s="1">
        <v>46075</v>
      </c>
      <c r="P1166" t="s">
        <v>3091</v>
      </c>
      <c r="Q1166" t="str">
        <f>SUBSTITUTE(SUBSTITUTE(SUBSTITUTE(P1166," ",""),"-",""),"+","")</f>
        <v>05891207857</v>
      </c>
      <c r="R1166" t="str">
        <f t="shared" si="36"/>
        <v>5891207857</v>
      </c>
      <c r="S1166" t="str">
        <f>IF(LEN(R1166),"Valid","Invalid")</f>
        <v>Valid</v>
      </c>
      <c r="T1166" t="s">
        <v>3090</v>
      </c>
      <c r="V1166" t="s">
        <v>123</v>
      </c>
      <c r="X1166">
        <v>11085.14</v>
      </c>
      <c r="Y1166" t="s">
        <v>26</v>
      </c>
      <c r="Z1166">
        <v>247</v>
      </c>
      <c r="AA1166">
        <f t="shared" si="37"/>
        <v>247</v>
      </c>
      <c r="AB1166" t="s">
        <v>43</v>
      </c>
    </row>
    <row r="1167" spans="1:28" x14ac:dyDescent="0.3">
      <c r="A1167" t="s">
        <v>3089</v>
      </c>
      <c r="B1167" t="s">
        <v>3088</v>
      </c>
      <c r="C1167" t="s">
        <v>3088</v>
      </c>
      <c r="D1167" t="s">
        <v>74</v>
      </c>
      <c r="E1167">
        <v>30</v>
      </c>
      <c r="F1167">
        <v>30</v>
      </c>
      <c r="G1167" t="s">
        <v>132</v>
      </c>
      <c r="H1167" t="s">
        <v>132</v>
      </c>
      <c r="I1167" t="s">
        <v>53</v>
      </c>
      <c r="J1167" t="s">
        <v>20</v>
      </c>
      <c r="K1167" s="1">
        <v>45982</v>
      </c>
      <c r="L1167" s="1" t="str">
        <f>IF(K1167&gt;O1167,"Valid","Invalid")</f>
        <v>Valid</v>
      </c>
      <c r="M1167" s="1" t="b">
        <f>ISNUMBER(K1167)</f>
        <v>1</v>
      </c>
      <c r="N1167" s="1" t="b">
        <f>ISNUMBER(O1167)</f>
        <v>1</v>
      </c>
      <c r="O1167" s="1">
        <v>45979</v>
      </c>
      <c r="P1167" t="s">
        <v>3087</v>
      </c>
      <c r="Q1167" t="str">
        <f>SUBSTITUTE(SUBSTITUTE(SUBSTITUTE(P1167," ",""),"-",""),"+","")</f>
        <v>03716167667</v>
      </c>
      <c r="R1167" t="str">
        <f t="shared" si="36"/>
        <v>3716167667</v>
      </c>
      <c r="S1167" t="str">
        <f>IF(LEN(R1167),"Valid","Invalid")</f>
        <v>Valid</v>
      </c>
      <c r="T1167" t="s">
        <v>3086</v>
      </c>
      <c r="V1167" t="s">
        <v>17</v>
      </c>
      <c r="X1167">
        <v>13893.65</v>
      </c>
      <c r="Y1167" t="s">
        <v>26</v>
      </c>
      <c r="Z1167">
        <v>114</v>
      </c>
      <c r="AA1167">
        <f t="shared" si="37"/>
        <v>114</v>
      </c>
      <c r="AB1167" t="s">
        <v>34</v>
      </c>
    </row>
    <row r="1168" spans="1:28" x14ac:dyDescent="0.3">
      <c r="A1168" t="s">
        <v>3085</v>
      </c>
      <c r="B1168" t="s">
        <v>3084</v>
      </c>
      <c r="C1168" t="s">
        <v>3084</v>
      </c>
      <c r="D1168" t="s">
        <v>40</v>
      </c>
      <c r="E1168">
        <v>70</v>
      </c>
      <c r="F1168">
        <v>70</v>
      </c>
      <c r="G1168" t="s">
        <v>21</v>
      </c>
      <c r="H1168" t="s">
        <v>21</v>
      </c>
      <c r="I1168" t="s">
        <v>46</v>
      </c>
      <c r="J1168" t="s">
        <v>46</v>
      </c>
      <c r="K1168" s="1">
        <v>46098</v>
      </c>
      <c r="L1168" s="1" t="str">
        <f>IF(K1168&gt;O1168,"Valid","Invalid")</f>
        <v>Valid</v>
      </c>
      <c r="M1168" s="1" t="b">
        <f>ISNUMBER(K1168)</f>
        <v>1</v>
      </c>
      <c r="N1168" s="1" t="b">
        <f>ISNUMBER(O1168)</f>
        <v>1</v>
      </c>
      <c r="O1168" s="1">
        <v>46083</v>
      </c>
      <c r="P1168" t="s">
        <v>3083</v>
      </c>
      <c r="Q1168" t="str">
        <f>SUBSTITUTE(SUBSTITUTE(SUBSTITUTE(P1168," ",""),"-",""),"+","")</f>
        <v>06670141908</v>
      </c>
      <c r="R1168" t="str">
        <f t="shared" si="36"/>
        <v>6670141908</v>
      </c>
      <c r="S1168" t="str">
        <f>IF(LEN(R1168),"Valid","Invalid")</f>
        <v>Valid</v>
      </c>
      <c r="T1168" t="s">
        <v>3082</v>
      </c>
      <c r="V1168" t="s">
        <v>27</v>
      </c>
      <c r="X1168">
        <v>9364.61</v>
      </c>
      <c r="Y1168" t="s">
        <v>63</v>
      </c>
      <c r="Z1168">
        <v>392</v>
      </c>
      <c r="AA1168">
        <f t="shared" si="37"/>
        <v>392</v>
      </c>
      <c r="AB1168" t="s">
        <v>16</v>
      </c>
    </row>
    <row r="1169" spans="1:28" x14ac:dyDescent="0.3">
      <c r="A1169" t="s">
        <v>3081</v>
      </c>
      <c r="B1169" t="s">
        <v>3080</v>
      </c>
      <c r="C1169" t="s">
        <v>3080</v>
      </c>
      <c r="E1169">
        <v>67</v>
      </c>
      <c r="F1169">
        <v>67</v>
      </c>
      <c r="G1169" t="s">
        <v>39</v>
      </c>
      <c r="H1169" t="s">
        <v>39</v>
      </c>
      <c r="I1169" t="s">
        <v>85</v>
      </c>
      <c r="J1169" t="s">
        <v>85</v>
      </c>
      <c r="K1169" s="1">
        <v>46070</v>
      </c>
      <c r="L1169" s="1" t="str">
        <f>IF(K1169&gt;O1169,"Valid","Invalid")</f>
        <v>Valid</v>
      </c>
      <c r="M1169" s="1" t="b">
        <f>ISNUMBER(K1169)</f>
        <v>1</v>
      </c>
      <c r="N1169" s="1" t="b">
        <f>ISNUMBER(O1169)</f>
        <v>1</v>
      </c>
      <c r="O1169" s="1">
        <v>46061</v>
      </c>
      <c r="P1169" t="s">
        <v>3079</v>
      </c>
      <c r="Q1169" t="str">
        <f>SUBSTITUTE(SUBSTITUTE(SUBSTITUTE(P1169," ",""),"-",""),"+","")</f>
        <v>02660193883</v>
      </c>
      <c r="R1169" t="str">
        <f t="shared" si="36"/>
        <v>2660193883</v>
      </c>
      <c r="S1169" t="str">
        <f>IF(LEN(R1169),"Valid","Invalid")</f>
        <v>Valid</v>
      </c>
      <c r="T1169" t="s">
        <v>3078</v>
      </c>
      <c r="V1169" t="s">
        <v>64</v>
      </c>
      <c r="X1169">
        <v>17963.02</v>
      </c>
      <c r="Y1169" t="s">
        <v>64</v>
      </c>
      <c r="Z1169">
        <v>327</v>
      </c>
      <c r="AA1169">
        <f t="shared" si="37"/>
        <v>327</v>
      </c>
      <c r="AB1169" t="s">
        <v>16</v>
      </c>
    </row>
    <row r="1170" spans="1:28" x14ac:dyDescent="0.3">
      <c r="A1170" t="s">
        <v>3077</v>
      </c>
      <c r="B1170" t="s">
        <v>3076</v>
      </c>
      <c r="C1170" t="s">
        <v>3076</v>
      </c>
      <c r="E1170">
        <v>34</v>
      </c>
      <c r="F1170">
        <v>34</v>
      </c>
      <c r="G1170" t="s">
        <v>80</v>
      </c>
      <c r="H1170" t="s">
        <v>80</v>
      </c>
      <c r="I1170" t="s">
        <v>53</v>
      </c>
      <c r="J1170" t="s">
        <v>20</v>
      </c>
      <c r="K1170" s="1">
        <v>46052</v>
      </c>
      <c r="L1170" s="1" t="str">
        <f>IF(K1170&gt;O1170,"Valid","Invalid")</f>
        <v>Valid</v>
      </c>
      <c r="M1170" s="1" t="b">
        <f>ISNUMBER(K1170)</f>
        <v>1</v>
      </c>
      <c r="N1170" s="1" t="b">
        <f>ISNUMBER(O1170)</f>
        <v>1</v>
      </c>
      <c r="O1170" s="1">
        <v>46044</v>
      </c>
      <c r="P1170" t="s">
        <v>3075</v>
      </c>
      <c r="Q1170" t="str">
        <f>SUBSTITUTE(SUBSTITUTE(SUBSTITUTE(P1170," ",""),"-",""),"+","")</f>
        <v>02417740745</v>
      </c>
      <c r="R1170" t="str">
        <f t="shared" si="36"/>
        <v>2417740745</v>
      </c>
      <c r="S1170" t="str">
        <f>IF(LEN(R1170),"Valid","Invalid")</f>
        <v>Valid</v>
      </c>
      <c r="T1170" t="s">
        <v>3074</v>
      </c>
      <c r="V1170" t="s">
        <v>64</v>
      </c>
      <c r="X1170">
        <v>24217.3</v>
      </c>
      <c r="Y1170" t="s">
        <v>64</v>
      </c>
      <c r="Z1170">
        <v>481</v>
      </c>
      <c r="AA1170">
        <f t="shared" si="37"/>
        <v>481</v>
      </c>
      <c r="AB1170" t="s">
        <v>50</v>
      </c>
    </row>
    <row r="1171" spans="1:28" x14ac:dyDescent="0.3">
      <c r="A1171" t="s">
        <v>3069</v>
      </c>
      <c r="B1171" t="s">
        <v>3068</v>
      </c>
      <c r="C1171" t="s">
        <v>3068</v>
      </c>
      <c r="D1171" t="s">
        <v>60</v>
      </c>
      <c r="E1171">
        <v>5</v>
      </c>
      <c r="F1171">
        <v>5</v>
      </c>
      <c r="G1171" t="s">
        <v>54</v>
      </c>
      <c r="H1171" t="s">
        <v>54</v>
      </c>
      <c r="I1171" t="s">
        <v>20</v>
      </c>
      <c r="J1171" t="s">
        <v>20</v>
      </c>
      <c r="K1171" s="1">
        <v>46143</v>
      </c>
      <c r="L1171" s="1" t="str">
        <f>IF(K1171&gt;O1171,"Valid","Invalid")</f>
        <v>Valid</v>
      </c>
      <c r="M1171" s="1" t="b">
        <f>ISNUMBER(K1171)</f>
        <v>1</v>
      </c>
      <c r="N1171" s="1" t="b">
        <f>ISNUMBER(O1171)</f>
        <v>1</v>
      </c>
      <c r="O1171" s="1">
        <v>46114</v>
      </c>
      <c r="P1171" t="s">
        <v>3067</v>
      </c>
      <c r="Q1171" t="str">
        <f>SUBSTITUTE(SUBSTITUTE(SUBSTITUTE(P1171," ",""),"-",""),"+","")</f>
        <v>3872451595</v>
      </c>
      <c r="R1171" t="str">
        <f t="shared" si="36"/>
        <v>3872451595</v>
      </c>
      <c r="S1171" t="str">
        <f>IF(LEN(R1171),"Valid","Invalid")</f>
        <v>Valid</v>
      </c>
      <c r="T1171" t="s">
        <v>3066</v>
      </c>
      <c r="V1171" t="s">
        <v>57</v>
      </c>
      <c r="X1171">
        <v>4921.8900000000003</v>
      </c>
      <c r="Y1171" t="s">
        <v>27</v>
      </c>
      <c r="Z1171">
        <v>424</v>
      </c>
      <c r="AA1171">
        <f t="shared" si="37"/>
        <v>424</v>
      </c>
      <c r="AB1171" t="s">
        <v>25</v>
      </c>
    </row>
    <row r="1172" spans="1:28" x14ac:dyDescent="0.3">
      <c r="A1172" t="s">
        <v>3065</v>
      </c>
      <c r="B1172" t="s">
        <v>3064</v>
      </c>
      <c r="C1172" t="s">
        <v>3064</v>
      </c>
      <c r="D1172" t="s">
        <v>40</v>
      </c>
      <c r="E1172">
        <v>32</v>
      </c>
      <c r="F1172">
        <v>32</v>
      </c>
      <c r="G1172" t="s">
        <v>39</v>
      </c>
      <c r="H1172" t="s">
        <v>39</v>
      </c>
      <c r="I1172" t="s">
        <v>90</v>
      </c>
      <c r="J1172" t="s">
        <v>67</v>
      </c>
      <c r="K1172" s="1">
        <v>46009</v>
      </c>
      <c r="L1172" s="1" t="str">
        <f>IF(K1172&gt;O1172,"Valid","Invalid")</f>
        <v>Valid</v>
      </c>
      <c r="M1172" s="1" t="b">
        <f>ISNUMBER(K1172)</f>
        <v>1</v>
      </c>
      <c r="N1172" s="1" t="b">
        <f>ISNUMBER(O1172)</f>
        <v>1</v>
      </c>
      <c r="O1172" s="1">
        <v>45982</v>
      </c>
      <c r="P1172" t="s">
        <v>3063</v>
      </c>
      <c r="Q1172" t="str">
        <f>SUBSTITUTE(SUBSTITUTE(SUBSTITUTE(P1172," ",""),"-",""),"+","")</f>
        <v>0871995426</v>
      </c>
      <c r="R1172" t="str">
        <f t="shared" si="36"/>
        <v>0871995426</v>
      </c>
      <c r="S1172" t="str">
        <f>IF(LEN(R1172),"Valid","Invalid")</f>
        <v>Valid</v>
      </c>
      <c r="T1172" t="s">
        <v>3062</v>
      </c>
      <c r="V1172" t="s">
        <v>17</v>
      </c>
      <c r="X1172">
        <v>16899.02</v>
      </c>
      <c r="Y1172" t="s">
        <v>63</v>
      </c>
      <c r="Z1172">
        <v>340</v>
      </c>
      <c r="AA1172">
        <f t="shared" si="37"/>
        <v>340</v>
      </c>
      <c r="AB1172" t="s">
        <v>71</v>
      </c>
    </row>
    <row r="1173" spans="1:28" x14ac:dyDescent="0.3">
      <c r="A1173" t="s">
        <v>3061</v>
      </c>
      <c r="B1173" t="s">
        <v>2172</v>
      </c>
      <c r="C1173" t="s">
        <v>2172</v>
      </c>
      <c r="E1173">
        <v>24</v>
      </c>
      <c r="F1173">
        <v>24</v>
      </c>
      <c r="G1173" t="s">
        <v>68</v>
      </c>
      <c r="H1173" t="s">
        <v>68</v>
      </c>
      <c r="I1173" t="s">
        <v>30</v>
      </c>
      <c r="J1173" t="s">
        <v>30</v>
      </c>
      <c r="K1173" s="1">
        <v>46013</v>
      </c>
      <c r="L1173" s="1" t="str">
        <f>IF(K1173&gt;O1173,"Valid","Invalid")</f>
        <v>Valid</v>
      </c>
      <c r="M1173" s="1" t="b">
        <f>ISNUMBER(K1173)</f>
        <v>1</v>
      </c>
      <c r="N1173" s="1" t="b">
        <f>ISNUMBER(O1173)</f>
        <v>1</v>
      </c>
      <c r="O1173" s="1">
        <v>46009</v>
      </c>
      <c r="P1173" t="s">
        <v>3060</v>
      </c>
      <c r="Q1173" t="str">
        <f>SUBSTITUTE(SUBSTITUTE(SUBSTITUTE(P1173," ",""),"-",""),"+","")</f>
        <v>2235428765</v>
      </c>
      <c r="R1173" t="str">
        <f t="shared" si="36"/>
        <v>2235428765</v>
      </c>
      <c r="S1173" t="str">
        <f>IF(LEN(R1173),"Valid","Invalid")</f>
        <v>Valid</v>
      </c>
      <c r="T1173" t="s">
        <v>3059</v>
      </c>
      <c r="V1173" t="s">
        <v>17</v>
      </c>
      <c r="X1173">
        <v>15942.36</v>
      </c>
      <c r="Y1173" t="s">
        <v>64</v>
      </c>
      <c r="Z1173">
        <v>364</v>
      </c>
      <c r="AA1173">
        <f t="shared" si="37"/>
        <v>364</v>
      </c>
      <c r="AB1173" t="s">
        <v>50</v>
      </c>
    </row>
    <row r="1174" spans="1:28" x14ac:dyDescent="0.3">
      <c r="A1174" t="s">
        <v>3058</v>
      </c>
      <c r="B1174" t="s">
        <v>3057</v>
      </c>
      <c r="C1174" t="s">
        <v>3057</v>
      </c>
      <c r="D1174" t="s">
        <v>1</v>
      </c>
      <c r="E1174">
        <v>1</v>
      </c>
      <c r="F1174">
        <v>1</v>
      </c>
      <c r="G1174" t="s">
        <v>54</v>
      </c>
      <c r="H1174" t="s">
        <v>54</v>
      </c>
      <c r="I1174" t="s">
        <v>20</v>
      </c>
      <c r="J1174" t="s">
        <v>20</v>
      </c>
      <c r="K1174" s="1">
        <v>46063</v>
      </c>
      <c r="L1174" s="1" t="str">
        <f>IF(K1174&gt;O1174,"Valid","Invalid")</f>
        <v>Valid</v>
      </c>
      <c r="M1174" s="1" t="b">
        <f>ISNUMBER(K1174)</f>
        <v>1</v>
      </c>
      <c r="N1174" s="1" t="b">
        <f>ISNUMBER(O1174)</f>
        <v>1</v>
      </c>
      <c r="O1174" s="1">
        <v>46048</v>
      </c>
      <c r="P1174" t="s">
        <v>3056</v>
      </c>
      <c r="Q1174" t="str">
        <f>SUBSTITUTE(SUBSTITUTE(SUBSTITUTE(P1174," ",""),"-",""),"+","")</f>
        <v>913642850397</v>
      </c>
      <c r="R1174" t="str">
        <f t="shared" si="36"/>
        <v>3642850397</v>
      </c>
      <c r="S1174" t="str">
        <f>IF(LEN(R1174),"Valid","Invalid")</f>
        <v>Valid</v>
      </c>
      <c r="T1174" t="s">
        <v>3055</v>
      </c>
      <c r="V1174" t="s">
        <v>17</v>
      </c>
      <c r="X1174">
        <v>17807.759999999998</v>
      </c>
      <c r="Y1174" t="s">
        <v>27</v>
      </c>
      <c r="Z1174">
        <v>314</v>
      </c>
      <c r="AA1174">
        <f t="shared" si="37"/>
        <v>314</v>
      </c>
      <c r="AB1174" t="s">
        <v>25</v>
      </c>
    </row>
    <row r="1175" spans="1:28" x14ac:dyDescent="0.3">
      <c r="A1175" t="s">
        <v>3054</v>
      </c>
      <c r="B1175" t="s">
        <v>3053</v>
      </c>
      <c r="C1175" t="s">
        <v>3053</v>
      </c>
      <c r="D1175" t="s">
        <v>22</v>
      </c>
      <c r="E1175">
        <v>79</v>
      </c>
      <c r="F1175">
        <v>79</v>
      </c>
      <c r="G1175" t="s">
        <v>54</v>
      </c>
      <c r="H1175" t="s">
        <v>54</v>
      </c>
      <c r="I1175" t="s">
        <v>38</v>
      </c>
      <c r="J1175" t="s">
        <v>8077</v>
      </c>
      <c r="K1175" s="1">
        <v>46082</v>
      </c>
      <c r="L1175" s="1" t="str">
        <f>IF(K1175&gt;O1175,"Valid","Invalid")</f>
        <v>Valid</v>
      </c>
      <c r="M1175" s="1" t="b">
        <f>ISNUMBER(K1175)</f>
        <v>1</v>
      </c>
      <c r="N1175" s="1" t="b">
        <f>ISNUMBER(O1175)</f>
        <v>1</v>
      </c>
      <c r="O1175" s="1">
        <v>46062</v>
      </c>
      <c r="P1175" t="s">
        <v>3052</v>
      </c>
      <c r="Q1175" t="str">
        <f>SUBSTITUTE(SUBSTITUTE(SUBSTITUTE(P1175," ",""),"-",""),"+","")</f>
        <v>919644168251</v>
      </c>
      <c r="R1175" t="str">
        <f t="shared" si="36"/>
        <v>9644168251</v>
      </c>
      <c r="S1175" t="str">
        <f>IF(LEN(R1175),"Valid","Invalid")</f>
        <v>Valid</v>
      </c>
      <c r="T1175" t="s">
        <v>3051</v>
      </c>
      <c r="V1175" t="s">
        <v>57</v>
      </c>
      <c r="X1175">
        <v>12208.98</v>
      </c>
      <c r="Y1175" t="s">
        <v>26</v>
      </c>
      <c r="Z1175">
        <v>549</v>
      </c>
      <c r="AA1175">
        <f t="shared" si="37"/>
        <v>549</v>
      </c>
      <c r="AB1175" t="s">
        <v>43</v>
      </c>
    </row>
    <row r="1176" spans="1:28" x14ac:dyDescent="0.3">
      <c r="A1176" t="s">
        <v>3050</v>
      </c>
      <c r="B1176" t="s">
        <v>3049</v>
      </c>
      <c r="C1176" t="s">
        <v>8062</v>
      </c>
      <c r="D1176" t="s">
        <v>1</v>
      </c>
      <c r="E1176">
        <v>38</v>
      </c>
      <c r="F1176">
        <v>38</v>
      </c>
      <c r="G1176" t="s">
        <v>68</v>
      </c>
      <c r="H1176" t="s">
        <v>68</v>
      </c>
      <c r="I1176" t="s">
        <v>85</v>
      </c>
      <c r="J1176" t="s">
        <v>85</v>
      </c>
      <c r="K1176" s="1">
        <v>46051</v>
      </c>
      <c r="L1176" s="1" t="str">
        <f>IF(K1176&gt;O1176,"Valid","Invalid")</f>
        <v>Valid</v>
      </c>
      <c r="M1176" s="1" t="b">
        <f>ISNUMBER(K1176)</f>
        <v>1</v>
      </c>
      <c r="N1176" s="1" t="b">
        <f>ISNUMBER(O1176)</f>
        <v>1</v>
      </c>
      <c r="O1176" s="1">
        <v>46026</v>
      </c>
      <c r="P1176" t="s">
        <v>3048</v>
      </c>
      <c r="Q1176" t="str">
        <f>SUBSTITUTE(SUBSTITUTE(SUBSTITUTE(P1176," ",""),"-",""),"+","")</f>
        <v>913356117664</v>
      </c>
      <c r="R1176" t="str">
        <f t="shared" si="36"/>
        <v>3356117664</v>
      </c>
      <c r="S1176" t="str">
        <f>IF(LEN(R1176),"Valid","Invalid")</f>
        <v>Valid</v>
      </c>
      <c r="T1176" t="s">
        <v>3047</v>
      </c>
      <c r="V1176" t="s">
        <v>123</v>
      </c>
      <c r="X1176">
        <v>15026.48</v>
      </c>
      <c r="Y1176" t="s">
        <v>123</v>
      </c>
      <c r="Z1176">
        <v>251</v>
      </c>
      <c r="AA1176">
        <f t="shared" si="37"/>
        <v>251</v>
      </c>
      <c r="AB1176" t="s">
        <v>77</v>
      </c>
    </row>
    <row r="1177" spans="1:28" x14ac:dyDescent="0.3">
      <c r="A1177" t="s">
        <v>3046</v>
      </c>
      <c r="B1177" t="s">
        <v>3045</v>
      </c>
      <c r="C1177" t="s">
        <v>3045</v>
      </c>
      <c r="D1177" t="s">
        <v>1</v>
      </c>
      <c r="E1177">
        <v>15</v>
      </c>
      <c r="F1177">
        <v>15</v>
      </c>
      <c r="G1177" t="s">
        <v>132</v>
      </c>
      <c r="H1177" t="s">
        <v>132</v>
      </c>
      <c r="I1177" t="s">
        <v>90</v>
      </c>
      <c r="J1177" t="s">
        <v>67</v>
      </c>
      <c r="K1177" s="1">
        <v>46056</v>
      </c>
      <c r="L1177" s="1" t="str">
        <f>IF(K1177&gt;O1177,"Valid","Invalid")</f>
        <v>Valid</v>
      </c>
      <c r="M1177" s="1" t="b">
        <f>ISNUMBER(K1177)</f>
        <v>1</v>
      </c>
      <c r="N1177" s="1" t="b">
        <f>ISNUMBER(O1177)</f>
        <v>1</v>
      </c>
      <c r="O1177" s="1">
        <v>46042</v>
      </c>
      <c r="P1177" t="s">
        <v>3044</v>
      </c>
      <c r="Q1177" t="str">
        <f>SUBSTITUTE(SUBSTITUTE(SUBSTITUTE(P1177," ",""),"-",""),"+","")</f>
        <v>0444800845</v>
      </c>
      <c r="R1177" t="str">
        <f t="shared" si="36"/>
        <v>0444800845</v>
      </c>
      <c r="S1177" t="str">
        <f>IF(LEN(R1177),"Valid","Invalid")</f>
        <v>Valid</v>
      </c>
      <c r="T1177" t="s">
        <v>3043</v>
      </c>
      <c r="V1177" t="s">
        <v>57</v>
      </c>
      <c r="X1177">
        <v>6335.43</v>
      </c>
      <c r="Y1177" t="s">
        <v>123</v>
      </c>
      <c r="Z1177">
        <v>159</v>
      </c>
      <c r="AA1177">
        <f t="shared" si="37"/>
        <v>159</v>
      </c>
      <c r="AB1177" t="s">
        <v>71</v>
      </c>
    </row>
    <row r="1178" spans="1:28" x14ac:dyDescent="0.3">
      <c r="A1178" t="s">
        <v>3042</v>
      </c>
      <c r="B1178" t="s">
        <v>3041</v>
      </c>
      <c r="C1178" t="s">
        <v>3041</v>
      </c>
      <c r="E1178">
        <v>41</v>
      </c>
      <c r="F1178">
        <v>41</v>
      </c>
      <c r="G1178" t="s">
        <v>80</v>
      </c>
      <c r="H1178" t="s">
        <v>80</v>
      </c>
      <c r="I1178" t="s">
        <v>67</v>
      </c>
      <c r="J1178" t="s">
        <v>67</v>
      </c>
      <c r="K1178" s="1">
        <v>46150</v>
      </c>
      <c r="L1178" s="1" t="str">
        <f>IF(K1178&gt;O1178,"Valid","Invalid")</f>
        <v>Valid</v>
      </c>
      <c r="M1178" s="1" t="b">
        <f>ISNUMBER(K1178)</f>
        <v>1</v>
      </c>
      <c r="N1178" s="1" t="b">
        <f>ISNUMBER(O1178)</f>
        <v>1</v>
      </c>
      <c r="O1178" s="1">
        <v>46128</v>
      </c>
      <c r="P1178" t="s">
        <v>3040</v>
      </c>
      <c r="Q1178" t="str">
        <f>SUBSTITUTE(SUBSTITUTE(SUBSTITUTE(P1178," ",""),"-",""),"+","")</f>
        <v>03239542865</v>
      </c>
      <c r="R1178" t="str">
        <f t="shared" si="36"/>
        <v>3239542865</v>
      </c>
      <c r="S1178" t="str">
        <f>IF(LEN(R1178),"Valid","Invalid")</f>
        <v>Valid</v>
      </c>
      <c r="T1178" t="s">
        <v>3039</v>
      </c>
      <c r="V1178" t="s">
        <v>123</v>
      </c>
      <c r="X1178">
        <v>17679.509999999998</v>
      </c>
      <c r="Y1178" t="s">
        <v>123</v>
      </c>
      <c r="Z1178">
        <v>530</v>
      </c>
      <c r="AA1178">
        <f t="shared" si="37"/>
        <v>530</v>
      </c>
      <c r="AB1178" t="s">
        <v>50</v>
      </c>
    </row>
    <row r="1179" spans="1:28" x14ac:dyDescent="0.3">
      <c r="A1179" t="s">
        <v>3034</v>
      </c>
      <c r="B1179" t="s">
        <v>3033</v>
      </c>
      <c r="C1179" t="s">
        <v>3033</v>
      </c>
      <c r="D1179" t="s">
        <v>123</v>
      </c>
      <c r="E1179">
        <v>8</v>
      </c>
      <c r="F1179">
        <v>8</v>
      </c>
      <c r="G1179" t="s">
        <v>31</v>
      </c>
      <c r="H1179" t="s">
        <v>31</v>
      </c>
      <c r="I1179" t="s">
        <v>30</v>
      </c>
      <c r="J1179" t="s">
        <v>30</v>
      </c>
      <c r="K1179" s="1">
        <v>46009</v>
      </c>
      <c r="L1179" s="1" t="str">
        <f>IF(K1179&gt;O1179,"Valid","Invalid")</f>
        <v>Valid</v>
      </c>
      <c r="M1179" s="1" t="b">
        <f>ISNUMBER(K1179)</f>
        <v>1</v>
      </c>
      <c r="N1179" s="1" t="b">
        <f>ISNUMBER(O1179)</f>
        <v>1</v>
      </c>
      <c r="O1179" s="1">
        <v>45988</v>
      </c>
      <c r="P1179" t="s">
        <v>3032</v>
      </c>
      <c r="Q1179" t="str">
        <f>SUBSTITUTE(SUBSTITUTE(SUBSTITUTE(P1179," ",""),"-",""),"+","")</f>
        <v>8167722781</v>
      </c>
      <c r="R1179" t="str">
        <f t="shared" si="36"/>
        <v>8167722781</v>
      </c>
      <c r="S1179" t="str">
        <f>IF(LEN(R1179),"Valid","Invalid")</f>
        <v>Valid</v>
      </c>
      <c r="T1179" t="s">
        <v>3031</v>
      </c>
      <c r="V1179" t="s">
        <v>57</v>
      </c>
      <c r="X1179">
        <v>10398.48</v>
      </c>
      <c r="Y1179" t="s">
        <v>123</v>
      </c>
      <c r="Z1179">
        <v>317</v>
      </c>
      <c r="AA1179">
        <f t="shared" si="37"/>
        <v>317</v>
      </c>
      <c r="AB1179" t="s">
        <v>16</v>
      </c>
    </row>
    <row r="1180" spans="1:28" x14ac:dyDescent="0.3">
      <c r="A1180" t="s">
        <v>3030</v>
      </c>
      <c r="B1180" t="s">
        <v>3029</v>
      </c>
      <c r="C1180" t="s">
        <v>3029</v>
      </c>
      <c r="D1180" t="s">
        <v>22</v>
      </c>
      <c r="E1180">
        <v>7</v>
      </c>
      <c r="F1180">
        <v>7</v>
      </c>
      <c r="G1180" t="s">
        <v>132</v>
      </c>
      <c r="H1180" t="s">
        <v>132</v>
      </c>
      <c r="I1180" t="s">
        <v>85</v>
      </c>
      <c r="J1180" t="s">
        <v>85</v>
      </c>
      <c r="K1180" s="1">
        <v>46172</v>
      </c>
      <c r="L1180" s="1" t="str">
        <f>IF(K1180&gt;O1180,"Valid","Invalid")</f>
        <v>Valid</v>
      </c>
      <c r="M1180" s="1" t="b">
        <f>ISNUMBER(K1180)</f>
        <v>1</v>
      </c>
      <c r="N1180" s="1" t="b">
        <f>ISNUMBER(O1180)</f>
        <v>1</v>
      </c>
      <c r="O1180" s="1">
        <v>46149</v>
      </c>
      <c r="P1180" t="s">
        <v>3028</v>
      </c>
      <c r="Q1180" t="str">
        <f>SUBSTITUTE(SUBSTITUTE(SUBSTITUTE(P1180," ",""),"-",""),"+","")</f>
        <v>916614894683</v>
      </c>
      <c r="R1180" t="str">
        <f t="shared" si="36"/>
        <v>6614894683</v>
      </c>
      <c r="S1180" t="str">
        <f>IF(LEN(R1180),"Valid","Invalid")</f>
        <v>Valid</v>
      </c>
      <c r="T1180" t="s">
        <v>3027</v>
      </c>
      <c r="V1180" t="s">
        <v>17</v>
      </c>
      <c r="X1180">
        <v>8628.07</v>
      </c>
      <c r="Y1180" t="s">
        <v>27</v>
      </c>
      <c r="Z1180">
        <v>257</v>
      </c>
      <c r="AA1180">
        <f t="shared" si="37"/>
        <v>257</v>
      </c>
      <c r="AB1180" t="s">
        <v>16</v>
      </c>
    </row>
    <row r="1181" spans="1:28" x14ac:dyDescent="0.3">
      <c r="A1181" t="s">
        <v>3026</v>
      </c>
      <c r="B1181" t="s">
        <v>3025</v>
      </c>
      <c r="C1181" t="s">
        <v>3025</v>
      </c>
      <c r="D1181" t="s">
        <v>123</v>
      </c>
      <c r="E1181">
        <v>29</v>
      </c>
      <c r="F1181">
        <v>29</v>
      </c>
      <c r="G1181" t="s">
        <v>39</v>
      </c>
      <c r="H1181" t="s">
        <v>39</v>
      </c>
      <c r="I1181" t="s">
        <v>38</v>
      </c>
      <c r="J1181" t="s">
        <v>8077</v>
      </c>
      <c r="K1181" s="1">
        <v>46111</v>
      </c>
      <c r="L1181" s="1" t="str">
        <f>IF(K1181&gt;O1181,"Valid","Invalid")</f>
        <v>Valid</v>
      </c>
      <c r="M1181" s="1" t="b">
        <f>ISNUMBER(K1181)</f>
        <v>1</v>
      </c>
      <c r="N1181" s="1" t="b">
        <f>ISNUMBER(O1181)</f>
        <v>1</v>
      </c>
      <c r="O1181" s="1">
        <v>46087</v>
      </c>
      <c r="P1181" t="s">
        <v>3024</v>
      </c>
      <c r="Q1181" t="str">
        <f>SUBSTITUTE(SUBSTITUTE(SUBSTITUTE(P1181," ",""),"-",""),"+","")</f>
        <v>03122288891</v>
      </c>
      <c r="R1181" t="str">
        <f t="shared" si="36"/>
        <v>3122288891</v>
      </c>
      <c r="S1181" t="str">
        <f>IF(LEN(R1181),"Valid","Invalid")</f>
        <v>Valid</v>
      </c>
      <c r="T1181" t="s">
        <v>3023</v>
      </c>
      <c r="V1181" t="s">
        <v>64</v>
      </c>
      <c r="X1181">
        <v>23707.37</v>
      </c>
      <c r="Y1181" t="s">
        <v>17</v>
      </c>
      <c r="Z1181">
        <v>166</v>
      </c>
      <c r="AA1181">
        <f t="shared" si="37"/>
        <v>166</v>
      </c>
      <c r="AB1181" t="s">
        <v>34</v>
      </c>
    </row>
    <row r="1182" spans="1:28" x14ac:dyDescent="0.3">
      <c r="A1182" t="s">
        <v>3022</v>
      </c>
      <c r="B1182" t="s">
        <v>3021</v>
      </c>
      <c r="C1182" t="s">
        <v>3021</v>
      </c>
      <c r="D1182" t="s">
        <v>40</v>
      </c>
      <c r="E1182">
        <v>3</v>
      </c>
      <c r="F1182">
        <v>3</v>
      </c>
      <c r="G1182" t="s">
        <v>54</v>
      </c>
      <c r="H1182" t="s">
        <v>54</v>
      </c>
      <c r="I1182" t="s">
        <v>20</v>
      </c>
      <c r="J1182" t="s">
        <v>20</v>
      </c>
      <c r="K1182" s="1">
        <v>46088</v>
      </c>
      <c r="L1182" s="1" t="str">
        <f>IF(K1182&gt;O1182,"Valid","Invalid")</f>
        <v>Valid</v>
      </c>
      <c r="M1182" s="1" t="b">
        <f>ISNUMBER(K1182)</f>
        <v>1</v>
      </c>
      <c r="N1182" s="1" t="b">
        <f>ISNUMBER(O1182)</f>
        <v>1</v>
      </c>
      <c r="O1182" s="1">
        <v>46064</v>
      </c>
      <c r="P1182" t="s">
        <v>3020</v>
      </c>
      <c r="Q1182" t="str">
        <f>SUBSTITUTE(SUBSTITUTE(SUBSTITUTE(P1182," ",""),"-",""),"+","")</f>
        <v>1991266705</v>
      </c>
      <c r="R1182" t="str">
        <f t="shared" si="36"/>
        <v>1991266705</v>
      </c>
      <c r="S1182" t="str">
        <f>IF(LEN(R1182),"Valid","Invalid")</f>
        <v>Valid</v>
      </c>
      <c r="T1182" t="s">
        <v>3019</v>
      </c>
      <c r="V1182" t="s">
        <v>57</v>
      </c>
      <c r="X1182">
        <v>22823.27</v>
      </c>
      <c r="Y1182" t="s">
        <v>64</v>
      </c>
      <c r="Z1182">
        <v>435</v>
      </c>
      <c r="AA1182">
        <f t="shared" si="37"/>
        <v>435</v>
      </c>
      <c r="AB1182" t="s">
        <v>77</v>
      </c>
    </row>
    <row r="1183" spans="1:28" x14ac:dyDescent="0.3">
      <c r="A1183" t="s">
        <v>3018</v>
      </c>
      <c r="B1183" t="s">
        <v>3017</v>
      </c>
      <c r="C1183" t="s">
        <v>3017</v>
      </c>
      <c r="D1183" t="s">
        <v>1</v>
      </c>
      <c r="E1183">
        <v>47</v>
      </c>
      <c r="F1183">
        <v>47</v>
      </c>
      <c r="G1183" t="s">
        <v>21</v>
      </c>
      <c r="H1183" t="s">
        <v>21</v>
      </c>
      <c r="I1183" t="s">
        <v>53</v>
      </c>
      <c r="J1183" t="s">
        <v>20</v>
      </c>
      <c r="K1183" s="1">
        <v>46061</v>
      </c>
      <c r="L1183" s="1" t="str">
        <f>IF(K1183&gt;O1183,"Valid","Invalid")</f>
        <v>Valid</v>
      </c>
      <c r="M1183" s="1" t="b">
        <f>ISNUMBER(K1183)</f>
        <v>1</v>
      </c>
      <c r="N1183" s="1" t="b">
        <f>ISNUMBER(O1183)</f>
        <v>1</v>
      </c>
      <c r="O1183" s="1">
        <v>46035</v>
      </c>
      <c r="P1183" t="s">
        <v>3016</v>
      </c>
      <c r="Q1183" t="str">
        <f>SUBSTITUTE(SUBSTITUTE(SUBSTITUTE(P1183," ",""),"-",""),"+","")</f>
        <v>08680573863</v>
      </c>
      <c r="R1183" t="str">
        <f t="shared" si="36"/>
        <v>8680573863</v>
      </c>
      <c r="S1183" t="str">
        <f>IF(LEN(R1183),"Valid","Invalid")</f>
        <v>Valid</v>
      </c>
      <c r="T1183" t="s">
        <v>3015</v>
      </c>
      <c r="V1183" t="s">
        <v>123</v>
      </c>
      <c r="X1183">
        <v>21521.13</v>
      </c>
      <c r="Y1183" t="s">
        <v>57</v>
      </c>
      <c r="Z1183">
        <v>248</v>
      </c>
      <c r="AA1183">
        <f t="shared" si="37"/>
        <v>248</v>
      </c>
      <c r="AB1183" t="s">
        <v>50</v>
      </c>
    </row>
    <row r="1184" spans="1:28" x14ac:dyDescent="0.3">
      <c r="A1184" t="s">
        <v>3014</v>
      </c>
      <c r="B1184" t="s">
        <v>3013</v>
      </c>
      <c r="C1184" t="s">
        <v>3013</v>
      </c>
      <c r="D1184" t="s">
        <v>0</v>
      </c>
      <c r="E1184">
        <v>48</v>
      </c>
      <c r="F1184">
        <v>48</v>
      </c>
      <c r="G1184" t="s">
        <v>31</v>
      </c>
      <c r="H1184" t="s">
        <v>31</v>
      </c>
      <c r="I1184" t="s">
        <v>90</v>
      </c>
      <c r="J1184" t="s">
        <v>67</v>
      </c>
      <c r="K1184" s="1">
        <v>46048</v>
      </c>
      <c r="L1184" s="1" t="str">
        <f>IF(K1184&gt;O1184,"Valid","Invalid")</f>
        <v>Valid</v>
      </c>
      <c r="M1184" s="1" t="b">
        <f>ISNUMBER(K1184)</f>
        <v>1</v>
      </c>
      <c r="N1184" s="1" t="b">
        <f>ISNUMBER(O1184)</f>
        <v>1</v>
      </c>
      <c r="O1184" s="1">
        <v>46042</v>
      </c>
      <c r="P1184" t="s">
        <v>3012</v>
      </c>
      <c r="Q1184" t="str">
        <f>SUBSTITUTE(SUBSTITUTE(SUBSTITUTE(P1184," ",""),"-",""),"+","")</f>
        <v>09265029545</v>
      </c>
      <c r="R1184" t="str">
        <f t="shared" si="36"/>
        <v>9265029545</v>
      </c>
      <c r="S1184" t="str">
        <f>IF(LEN(R1184),"Valid","Invalid")</f>
        <v>Valid</v>
      </c>
      <c r="T1184" t="s">
        <v>3011</v>
      </c>
      <c r="V1184" t="s">
        <v>17</v>
      </c>
      <c r="X1184">
        <v>23512.34</v>
      </c>
      <c r="Y1184" t="s">
        <v>27</v>
      </c>
      <c r="Z1184">
        <v>532</v>
      </c>
      <c r="AA1184">
        <f t="shared" si="37"/>
        <v>532</v>
      </c>
      <c r="AB1184" t="s">
        <v>77</v>
      </c>
    </row>
    <row r="1185" spans="1:28" x14ac:dyDescent="0.3">
      <c r="A1185" t="s">
        <v>3010</v>
      </c>
      <c r="B1185" t="s">
        <v>3009</v>
      </c>
      <c r="C1185" t="s">
        <v>3009</v>
      </c>
      <c r="D1185" t="s">
        <v>74</v>
      </c>
      <c r="E1185">
        <v>65</v>
      </c>
      <c r="F1185">
        <v>65</v>
      </c>
      <c r="G1185" t="s">
        <v>54</v>
      </c>
      <c r="H1185" t="s">
        <v>54</v>
      </c>
      <c r="I1185" t="s">
        <v>85</v>
      </c>
      <c r="J1185" t="s">
        <v>85</v>
      </c>
      <c r="K1185" s="1">
        <v>46089</v>
      </c>
      <c r="L1185" s="1" t="str">
        <f>IF(K1185&gt;O1185,"Valid","Invalid")</f>
        <v>Valid</v>
      </c>
      <c r="M1185" s="1" t="b">
        <f>ISNUMBER(K1185)</f>
        <v>1</v>
      </c>
      <c r="N1185" s="1" t="b">
        <f>ISNUMBER(O1185)</f>
        <v>1</v>
      </c>
      <c r="O1185" s="1">
        <v>46088</v>
      </c>
      <c r="P1185" t="s">
        <v>3008</v>
      </c>
      <c r="Q1185" t="str">
        <f>SUBSTITUTE(SUBSTITUTE(SUBSTITUTE(P1185," ",""),"-",""),"+","")</f>
        <v>03147758955</v>
      </c>
      <c r="R1185" t="str">
        <f t="shared" si="36"/>
        <v>3147758955</v>
      </c>
      <c r="S1185" t="str">
        <f>IF(LEN(R1185),"Valid","Invalid")</f>
        <v>Valid</v>
      </c>
      <c r="T1185" t="s">
        <v>3007</v>
      </c>
      <c r="V1185" t="s">
        <v>35</v>
      </c>
      <c r="X1185">
        <v>7220.63</v>
      </c>
      <c r="Y1185" t="s">
        <v>27</v>
      </c>
      <c r="Z1185">
        <v>217</v>
      </c>
      <c r="AA1185">
        <f t="shared" si="37"/>
        <v>217</v>
      </c>
      <c r="AB1185" t="s">
        <v>25</v>
      </c>
    </row>
    <row r="1186" spans="1:28" x14ac:dyDescent="0.3">
      <c r="A1186" t="s">
        <v>3006</v>
      </c>
      <c r="B1186" t="s">
        <v>2427</v>
      </c>
      <c r="C1186" t="s">
        <v>2427</v>
      </c>
      <c r="D1186" t="s">
        <v>1</v>
      </c>
      <c r="E1186">
        <v>5</v>
      </c>
      <c r="F1186">
        <v>5</v>
      </c>
      <c r="G1186" t="s">
        <v>132</v>
      </c>
      <c r="H1186" t="s">
        <v>132</v>
      </c>
      <c r="I1186" t="s">
        <v>20</v>
      </c>
      <c r="J1186" t="s">
        <v>20</v>
      </c>
      <c r="K1186" s="1">
        <v>46154</v>
      </c>
      <c r="L1186" s="1" t="str">
        <f>IF(K1186&gt;O1186,"Valid","Invalid")</f>
        <v>Valid</v>
      </c>
      <c r="M1186" s="1" t="b">
        <f>ISNUMBER(K1186)</f>
        <v>1</v>
      </c>
      <c r="N1186" s="1" t="b">
        <f>ISNUMBER(O1186)</f>
        <v>1</v>
      </c>
      <c r="O1186" s="1">
        <v>46128</v>
      </c>
      <c r="P1186" t="s">
        <v>3005</v>
      </c>
      <c r="Q1186" t="str">
        <f>SUBSTITUTE(SUBSTITUTE(SUBSTITUTE(P1186," ",""),"-",""),"+","")</f>
        <v>03117880937</v>
      </c>
      <c r="R1186" t="str">
        <f t="shared" si="36"/>
        <v>3117880937</v>
      </c>
      <c r="S1186" t="str">
        <f>IF(LEN(R1186),"Valid","Invalid")</f>
        <v>Valid</v>
      </c>
      <c r="T1186" t="s">
        <v>3004</v>
      </c>
      <c r="V1186" t="s">
        <v>123</v>
      </c>
      <c r="X1186">
        <v>16450.84</v>
      </c>
      <c r="Y1186" t="s">
        <v>26</v>
      </c>
      <c r="Z1186">
        <v>518</v>
      </c>
      <c r="AA1186">
        <f t="shared" si="37"/>
        <v>518</v>
      </c>
      <c r="AB1186" t="s">
        <v>25</v>
      </c>
    </row>
    <row r="1187" spans="1:28" x14ac:dyDescent="0.3">
      <c r="A1187" t="s">
        <v>3003</v>
      </c>
      <c r="B1187" t="s">
        <v>3002</v>
      </c>
      <c r="C1187" t="s">
        <v>3002</v>
      </c>
      <c r="D1187" t="s">
        <v>22</v>
      </c>
      <c r="E1187">
        <v>11</v>
      </c>
      <c r="F1187">
        <v>11</v>
      </c>
      <c r="G1187" t="s">
        <v>80</v>
      </c>
      <c r="H1187" t="s">
        <v>80</v>
      </c>
      <c r="I1187" t="s">
        <v>20</v>
      </c>
      <c r="J1187" t="s">
        <v>20</v>
      </c>
      <c r="K1187" s="1">
        <v>46023</v>
      </c>
      <c r="L1187" s="1" t="str">
        <f>IF(K1187&gt;O1187,"Valid","Invalid")</f>
        <v>Valid</v>
      </c>
      <c r="M1187" s="1" t="b">
        <f>ISNUMBER(K1187)</f>
        <v>1</v>
      </c>
      <c r="N1187" s="1" t="b">
        <f>ISNUMBER(O1187)</f>
        <v>1</v>
      </c>
      <c r="O1187" s="1">
        <v>46007</v>
      </c>
      <c r="P1187" t="s">
        <v>3001</v>
      </c>
      <c r="Q1187" t="str">
        <f>SUBSTITUTE(SUBSTITUTE(SUBSTITUTE(P1187," ",""),"-",""),"+","")</f>
        <v>00043970214</v>
      </c>
      <c r="R1187" t="str">
        <f t="shared" si="36"/>
        <v>0043970214</v>
      </c>
      <c r="S1187" t="str">
        <f>IF(LEN(R1187),"Valid","Invalid")</f>
        <v>Valid</v>
      </c>
      <c r="T1187" t="s">
        <v>3000</v>
      </c>
      <c r="V1187" t="s">
        <v>123</v>
      </c>
      <c r="X1187">
        <v>699.82</v>
      </c>
      <c r="Y1187" t="s">
        <v>26</v>
      </c>
      <c r="Z1187">
        <v>148</v>
      </c>
      <c r="AA1187">
        <f t="shared" si="37"/>
        <v>148</v>
      </c>
      <c r="AB1187" t="s">
        <v>25</v>
      </c>
    </row>
    <row r="1188" spans="1:28" x14ac:dyDescent="0.3">
      <c r="A1188" t="s">
        <v>2999</v>
      </c>
      <c r="B1188" t="s">
        <v>2998</v>
      </c>
      <c r="C1188" t="s">
        <v>2998</v>
      </c>
      <c r="D1188" t="s">
        <v>123</v>
      </c>
      <c r="E1188">
        <v>25</v>
      </c>
      <c r="F1188">
        <v>25</v>
      </c>
      <c r="G1188" t="s">
        <v>132</v>
      </c>
      <c r="H1188" t="s">
        <v>132</v>
      </c>
      <c r="I1188" t="s">
        <v>67</v>
      </c>
      <c r="J1188" t="s">
        <v>67</v>
      </c>
      <c r="K1188" s="1">
        <v>46106</v>
      </c>
      <c r="L1188" s="1" t="str">
        <f>IF(K1188&gt;O1188,"Valid","Invalid")</f>
        <v>Valid</v>
      </c>
      <c r="M1188" s="1" t="b">
        <f>ISNUMBER(K1188)</f>
        <v>1</v>
      </c>
      <c r="N1188" s="1" t="b">
        <f>ISNUMBER(O1188)</f>
        <v>1</v>
      </c>
      <c r="O1188" s="1">
        <v>46093</v>
      </c>
      <c r="P1188" t="s">
        <v>2997</v>
      </c>
      <c r="Q1188" t="str">
        <f>SUBSTITUTE(SUBSTITUTE(SUBSTITUTE(P1188," ",""),"-",""),"+","")</f>
        <v>04415564689</v>
      </c>
      <c r="R1188" t="str">
        <f t="shared" si="36"/>
        <v>4415564689</v>
      </c>
      <c r="S1188" t="str">
        <f>IF(LEN(R1188),"Valid","Invalid")</f>
        <v>Valid</v>
      </c>
      <c r="T1188" t="s">
        <v>2996</v>
      </c>
      <c r="V1188" t="s">
        <v>27</v>
      </c>
      <c r="X1188">
        <v>7693.42</v>
      </c>
      <c r="Y1188" t="s">
        <v>123</v>
      </c>
      <c r="Z1188">
        <v>203</v>
      </c>
      <c r="AA1188">
        <f t="shared" si="37"/>
        <v>203</v>
      </c>
      <c r="AB1188" t="s">
        <v>77</v>
      </c>
    </row>
    <row r="1189" spans="1:28" x14ac:dyDescent="0.3">
      <c r="A1189" t="s">
        <v>2987</v>
      </c>
      <c r="B1189" t="s">
        <v>2986</v>
      </c>
      <c r="C1189" t="s">
        <v>2986</v>
      </c>
      <c r="D1189" t="s">
        <v>74</v>
      </c>
      <c r="E1189">
        <v>58</v>
      </c>
      <c r="F1189">
        <v>58</v>
      </c>
      <c r="G1189" t="s">
        <v>21</v>
      </c>
      <c r="H1189" t="s">
        <v>21</v>
      </c>
      <c r="I1189" t="s">
        <v>46</v>
      </c>
      <c r="J1189" t="s">
        <v>46</v>
      </c>
      <c r="K1189" s="1">
        <v>46141</v>
      </c>
      <c r="L1189" s="1" t="str">
        <f>IF(K1189&gt;O1189,"Valid","Invalid")</f>
        <v>Valid</v>
      </c>
      <c r="M1189" s="1" t="b">
        <f>ISNUMBER(K1189)</f>
        <v>1</v>
      </c>
      <c r="N1189" s="1" t="b">
        <f>ISNUMBER(O1189)</f>
        <v>1</v>
      </c>
      <c r="O1189" s="1">
        <v>46129</v>
      </c>
      <c r="P1189" t="s">
        <v>2985</v>
      </c>
      <c r="Q1189" t="str">
        <f>SUBSTITUTE(SUBSTITUTE(SUBSTITUTE(P1189," ",""),"-",""),"+","")</f>
        <v>9437153273</v>
      </c>
      <c r="R1189" t="str">
        <f t="shared" si="36"/>
        <v>9437153273</v>
      </c>
      <c r="S1189" t="str">
        <f>IF(LEN(R1189),"Valid","Invalid")</f>
        <v>Valid</v>
      </c>
      <c r="T1189" t="s">
        <v>2984</v>
      </c>
      <c r="V1189" t="s">
        <v>17</v>
      </c>
      <c r="X1189">
        <v>11287.72</v>
      </c>
      <c r="Y1189" t="s">
        <v>123</v>
      </c>
      <c r="Z1189">
        <v>388</v>
      </c>
      <c r="AA1189">
        <f t="shared" si="37"/>
        <v>388</v>
      </c>
      <c r="AB1189" t="s">
        <v>77</v>
      </c>
    </row>
    <row r="1190" spans="1:28" x14ac:dyDescent="0.3">
      <c r="A1190" t="s">
        <v>2983</v>
      </c>
      <c r="B1190" t="s">
        <v>2982</v>
      </c>
      <c r="C1190" t="s">
        <v>2982</v>
      </c>
      <c r="D1190" t="s">
        <v>22</v>
      </c>
      <c r="E1190">
        <v>43</v>
      </c>
      <c r="F1190">
        <v>43</v>
      </c>
      <c r="G1190" t="s">
        <v>39</v>
      </c>
      <c r="H1190" t="s">
        <v>39</v>
      </c>
      <c r="I1190" t="s">
        <v>20</v>
      </c>
      <c r="J1190" t="s">
        <v>20</v>
      </c>
      <c r="K1190" s="1">
        <v>45991</v>
      </c>
      <c r="L1190" s="1" t="str">
        <f>IF(K1190&gt;O1190,"Valid","Invalid")</f>
        <v>Valid</v>
      </c>
      <c r="M1190" s="1" t="b">
        <f>ISNUMBER(K1190)</f>
        <v>1</v>
      </c>
      <c r="N1190" s="1" t="b">
        <f>ISNUMBER(O1190)</f>
        <v>1</v>
      </c>
      <c r="O1190" s="1">
        <v>45988</v>
      </c>
      <c r="P1190" t="s">
        <v>2981</v>
      </c>
      <c r="Q1190" t="str">
        <f>SUBSTITUTE(SUBSTITUTE(SUBSTITUTE(P1190," ",""),"-",""),"+","")</f>
        <v>09369403302</v>
      </c>
      <c r="R1190" t="str">
        <f t="shared" si="36"/>
        <v>9369403302</v>
      </c>
      <c r="S1190" t="str">
        <f>IF(LEN(R1190),"Valid","Invalid")</f>
        <v>Valid</v>
      </c>
      <c r="T1190" t="s">
        <v>2980</v>
      </c>
      <c r="V1190" t="s">
        <v>35</v>
      </c>
      <c r="X1190">
        <v>5350.51</v>
      </c>
      <c r="Y1190" t="s">
        <v>123</v>
      </c>
      <c r="Z1190">
        <v>403</v>
      </c>
      <c r="AA1190">
        <f t="shared" si="37"/>
        <v>403</v>
      </c>
      <c r="AB1190" t="s">
        <v>71</v>
      </c>
    </row>
    <row r="1191" spans="1:28" x14ac:dyDescent="0.3">
      <c r="A1191" t="s">
        <v>2979</v>
      </c>
      <c r="B1191" t="s">
        <v>2978</v>
      </c>
      <c r="C1191" t="s">
        <v>2978</v>
      </c>
      <c r="D1191" t="s">
        <v>74</v>
      </c>
      <c r="E1191">
        <v>19</v>
      </c>
      <c r="F1191">
        <v>19</v>
      </c>
      <c r="G1191" t="s">
        <v>54</v>
      </c>
      <c r="H1191" t="s">
        <v>54</v>
      </c>
      <c r="I1191" t="s">
        <v>85</v>
      </c>
      <c r="J1191" t="s">
        <v>85</v>
      </c>
      <c r="K1191" s="1">
        <v>46044</v>
      </c>
      <c r="L1191" s="1" t="str">
        <f>IF(K1191&gt;O1191,"Valid","Invalid")</f>
        <v>Valid</v>
      </c>
      <c r="M1191" s="1" t="b">
        <f>ISNUMBER(K1191)</f>
        <v>1</v>
      </c>
      <c r="N1191" s="1" t="b">
        <f>ISNUMBER(O1191)</f>
        <v>1</v>
      </c>
      <c r="O1191" s="1">
        <v>46028</v>
      </c>
      <c r="P1191" t="s">
        <v>2977</v>
      </c>
      <c r="Q1191" t="str">
        <f>SUBSTITUTE(SUBSTITUTE(SUBSTITUTE(P1191," ",""),"-",""),"+","")</f>
        <v>3401854967</v>
      </c>
      <c r="R1191" t="str">
        <f t="shared" si="36"/>
        <v>3401854967</v>
      </c>
      <c r="S1191" t="str">
        <f>IF(LEN(R1191),"Valid","Invalid")</f>
        <v>Valid</v>
      </c>
      <c r="T1191" t="s">
        <v>2976</v>
      </c>
      <c r="V1191" t="s">
        <v>17</v>
      </c>
      <c r="X1191">
        <v>1661.54</v>
      </c>
      <c r="Y1191" t="s">
        <v>123</v>
      </c>
      <c r="Z1191">
        <v>229</v>
      </c>
      <c r="AA1191">
        <f t="shared" si="37"/>
        <v>229</v>
      </c>
      <c r="AB1191" t="s">
        <v>16</v>
      </c>
    </row>
    <row r="1192" spans="1:28" x14ac:dyDescent="0.3">
      <c r="A1192" t="s">
        <v>2975</v>
      </c>
      <c r="B1192" t="s">
        <v>2974</v>
      </c>
      <c r="C1192" t="s">
        <v>2974</v>
      </c>
      <c r="D1192" t="s">
        <v>22</v>
      </c>
      <c r="E1192">
        <v>44</v>
      </c>
      <c r="F1192">
        <v>44</v>
      </c>
      <c r="G1192" t="s">
        <v>39</v>
      </c>
      <c r="H1192" t="s">
        <v>39</v>
      </c>
      <c r="I1192" t="s">
        <v>46</v>
      </c>
      <c r="J1192" t="s">
        <v>46</v>
      </c>
      <c r="K1192" s="1">
        <v>46042</v>
      </c>
      <c r="L1192" s="1" t="str">
        <f>IF(K1192&gt;O1192,"Valid","Invalid")</f>
        <v>Valid</v>
      </c>
      <c r="M1192" s="1" t="b">
        <f>ISNUMBER(K1192)</f>
        <v>1</v>
      </c>
      <c r="N1192" s="1" t="b">
        <f>ISNUMBER(O1192)</f>
        <v>1</v>
      </c>
      <c r="O1192" s="1">
        <v>46032</v>
      </c>
      <c r="P1192" t="s">
        <v>2973</v>
      </c>
      <c r="Q1192" t="str">
        <f>SUBSTITUTE(SUBSTITUTE(SUBSTITUTE(P1192," ",""),"-",""),"+","")</f>
        <v>4257767544</v>
      </c>
      <c r="R1192" t="str">
        <f t="shared" si="36"/>
        <v>4257767544</v>
      </c>
      <c r="S1192" t="str">
        <f>IF(LEN(R1192),"Valid","Invalid")</f>
        <v>Valid</v>
      </c>
      <c r="T1192" t="s">
        <v>2972</v>
      </c>
      <c r="V1192" t="s">
        <v>123</v>
      </c>
      <c r="X1192">
        <v>21811.41</v>
      </c>
      <c r="Y1192" t="s">
        <v>63</v>
      </c>
      <c r="Z1192">
        <v>453</v>
      </c>
      <c r="AA1192">
        <f t="shared" si="37"/>
        <v>453</v>
      </c>
      <c r="AB1192" t="s">
        <v>71</v>
      </c>
    </row>
    <row r="1193" spans="1:28" x14ac:dyDescent="0.3">
      <c r="A1193" t="s">
        <v>2971</v>
      </c>
      <c r="B1193" t="s">
        <v>2970</v>
      </c>
      <c r="C1193" t="s">
        <v>2970</v>
      </c>
      <c r="E1193">
        <v>70</v>
      </c>
      <c r="F1193">
        <v>70</v>
      </c>
      <c r="G1193" t="s">
        <v>68</v>
      </c>
      <c r="H1193" t="s">
        <v>68</v>
      </c>
      <c r="I1193" t="s">
        <v>67</v>
      </c>
      <c r="J1193" t="s">
        <v>67</v>
      </c>
      <c r="K1193" s="1">
        <v>46079</v>
      </c>
      <c r="L1193" s="1" t="str">
        <f>IF(K1193&gt;O1193,"Valid","Invalid")</f>
        <v>Valid</v>
      </c>
      <c r="M1193" s="1" t="b">
        <f>ISNUMBER(K1193)</f>
        <v>1</v>
      </c>
      <c r="N1193" s="1" t="b">
        <f>ISNUMBER(O1193)</f>
        <v>1</v>
      </c>
      <c r="O1193" s="1">
        <v>46049</v>
      </c>
      <c r="P1193" t="s">
        <v>2969</v>
      </c>
      <c r="Q1193" t="str">
        <f>SUBSTITUTE(SUBSTITUTE(SUBSTITUTE(P1193," ",""),"-",""),"+","")</f>
        <v>912608673334</v>
      </c>
      <c r="R1193" t="str">
        <f t="shared" si="36"/>
        <v>2608673334</v>
      </c>
      <c r="S1193" t="str">
        <f>IF(LEN(R1193),"Valid","Invalid")</f>
        <v>Valid</v>
      </c>
      <c r="T1193" t="s">
        <v>2968</v>
      </c>
      <c r="V1193" t="s">
        <v>17</v>
      </c>
      <c r="X1193">
        <v>8181.58</v>
      </c>
      <c r="Y1193" t="s">
        <v>123</v>
      </c>
      <c r="Z1193">
        <v>363</v>
      </c>
      <c r="AA1193">
        <f t="shared" si="37"/>
        <v>363</v>
      </c>
      <c r="AB1193" t="s">
        <v>34</v>
      </c>
    </row>
    <row r="1194" spans="1:28" x14ac:dyDescent="0.3">
      <c r="A1194" t="s">
        <v>2967</v>
      </c>
      <c r="B1194" t="s">
        <v>2966</v>
      </c>
      <c r="C1194" t="s">
        <v>2966</v>
      </c>
      <c r="D1194" t="s">
        <v>74</v>
      </c>
      <c r="E1194">
        <v>14</v>
      </c>
      <c r="F1194">
        <v>14</v>
      </c>
      <c r="G1194" t="s">
        <v>54</v>
      </c>
      <c r="H1194" t="s">
        <v>54</v>
      </c>
      <c r="I1194" t="s">
        <v>20</v>
      </c>
      <c r="J1194" t="s">
        <v>20</v>
      </c>
      <c r="K1194" s="1">
        <v>46089</v>
      </c>
      <c r="L1194" s="1" t="str">
        <f>IF(K1194&gt;O1194,"Valid","Invalid")</f>
        <v>Valid</v>
      </c>
      <c r="M1194" s="1" t="b">
        <f>ISNUMBER(K1194)</f>
        <v>1</v>
      </c>
      <c r="N1194" s="1" t="b">
        <f>ISNUMBER(O1194)</f>
        <v>1</v>
      </c>
      <c r="O1194" s="1">
        <v>46077</v>
      </c>
      <c r="P1194" t="s">
        <v>2965</v>
      </c>
      <c r="Q1194" t="str">
        <f>SUBSTITUTE(SUBSTITUTE(SUBSTITUTE(P1194," ",""),"-",""),"+","")</f>
        <v>00523140912</v>
      </c>
      <c r="R1194" t="str">
        <f t="shared" si="36"/>
        <v>0523140912</v>
      </c>
      <c r="S1194" t="str">
        <f>IF(LEN(R1194),"Valid","Invalid")</f>
        <v>Valid</v>
      </c>
      <c r="T1194" t="s">
        <v>2964</v>
      </c>
      <c r="V1194" t="s">
        <v>35</v>
      </c>
      <c r="X1194">
        <v>18970.79</v>
      </c>
      <c r="Y1194" t="s">
        <v>26</v>
      </c>
      <c r="Z1194">
        <v>366</v>
      </c>
      <c r="AA1194">
        <f t="shared" si="37"/>
        <v>366</v>
      </c>
      <c r="AB1194" t="s">
        <v>25</v>
      </c>
    </row>
    <row r="1195" spans="1:28" x14ac:dyDescent="0.3">
      <c r="A1195" t="s">
        <v>2963</v>
      </c>
      <c r="B1195" t="s">
        <v>2962</v>
      </c>
      <c r="C1195" t="s">
        <v>2962</v>
      </c>
      <c r="D1195" t="s">
        <v>74</v>
      </c>
      <c r="E1195">
        <v>22</v>
      </c>
      <c r="F1195">
        <v>22</v>
      </c>
      <c r="G1195" t="s">
        <v>21</v>
      </c>
      <c r="H1195" t="s">
        <v>21</v>
      </c>
      <c r="I1195" t="s">
        <v>85</v>
      </c>
      <c r="J1195" t="s">
        <v>85</v>
      </c>
      <c r="K1195" s="1">
        <v>46156</v>
      </c>
      <c r="L1195" s="1" t="str">
        <f>IF(K1195&gt;O1195,"Valid","Invalid")</f>
        <v>Valid</v>
      </c>
      <c r="M1195" s="1" t="b">
        <f>ISNUMBER(K1195)</f>
        <v>1</v>
      </c>
      <c r="N1195" s="1" t="b">
        <f>ISNUMBER(O1195)</f>
        <v>1</v>
      </c>
      <c r="O1195" s="1">
        <v>46129</v>
      </c>
      <c r="P1195" t="s">
        <v>2961</v>
      </c>
      <c r="Q1195" t="str">
        <f>SUBSTITUTE(SUBSTITUTE(SUBSTITUTE(P1195," ",""),"-",""),"+","")</f>
        <v>917415510271</v>
      </c>
      <c r="R1195" t="str">
        <f t="shared" si="36"/>
        <v>7415510271</v>
      </c>
      <c r="S1195" t="str">
        <f>IF(LEN(R1195),"Valid","Invalid")</f>
        <v>Valid</v>
      </c>
      <c r="T1195" t="s">
        <v>2960</v>
      </c>
      <c r="V1195" t="s">
        <v>64</v>
      </c>
      <c r="X1195">
        <v>1168.74</v>
      </c>
      <c r="Y1195" t="s">
        <v>123</v>
      </c>
      <c r="Z1195">
        <v>353</v>
      </c>
      <c r="AA1195">
        <f t="shared" si="37"/>
        <v>353</v>
      </c>
      <c r="AB1195" t="s">
        <v>71</v>
      </c>
    </row>
    <row r="1196" spans="1:28" x14ac:dyDescent="0.3">
      <c r="A1196" t="s">
        <v>2955</v>
      </c>
      <c r="B1196" t="s">
        <v>2954</v>
      </c>
      <c r="C1196" t="s">
        <v>2954</v>
      </c>
      <c r="D1196" t="s">
        <v>22</v>
      </c>
      <c r="E1196">
        <v>67</v>
      </c>
      <c r="F1196">
        <v>67</v>
      </c>
      <c r="G1196" t="s">
        <v>31</v>
      </c>
      <c r="H1196" t="s">
        <v>31</v>
      </c>
      <c r="I1196" t="s">
        <v>67</v>
      </c>
      <c r="J1196" t="s">
        <v>67</v>
      </c>
      <c r="K1196" s="1">
        <v>46122</v>
      </c>
      <c r="L1196" s="1" t="str">
        <f>IF(K1196&gt;O1196,"Valid","Invalid")</f>
        <v>Valid</v>
      </c>
      <c r="M1196" s="1" t="b">
        <f>ISNUMBER(K1196)</f>
        <v>1</v>
      </c>
      <c r="N1196" s="1" t="b">
        <f>ISNUMBER(O1196)</f>
        <v>1</v>
      </c>
      <c r="O1196" s="1">
        <v>46104</v>
      </c>
      <c r="P1196" t="s">
        <v>2953</v>
      </c>
      <c r="Q1196" t="str">
        <f>SUBSTITUTE(SUBSTITUTE(SUBSTITUTE(P1196," ",""),"-",""),"+","")</f>
        <v>8751238813</v>
      </c>
      <c r="R1196" t="str">
        <f t="shared" si="36"/>
        <v>8751238813</v>
      </c>
      <c r="S1196" t="str">
        <f>IF(LEN(R1196),"Valid","Invalid")</f>
        <v>Valid</v>
      </c>
      <c r="T1196" t="s">
        <v>2952</v>
      </c>
      <c r="V1196" t="s">
        <v>35</v>
      </c>
      <c r="X1196">
        <v>3709.64</v>
      </c>
      <c r="Y1196" t="s">
        <v>57</v>
      </c>
      <c r="Z1196">
        <v>511</v>
      </c>
      <c r="AA1196">
        <f t="shared" si="37"/>
        <v>511</v>
      </c>
      <c r="AB1196" t="s">
        <v>34</v>
      </c>
    </row>
    <row r="1197" spans="1:28" x14ac:dyDescent="0.3">
      <c r="A1197" t="s">
        <v>2951</v>
      </c>
      <c r="B1197" t="s">
        <v>2950</v>
      </c>
      <c r="C1197" t="s">
        <v>2950</v>
      </c>
      <c r="D1197" t="s">
        <v>60</v>
      </c>
      <c r="E1197">
        <v>67</v>
      </c>
      <c r="F1197">
        <v>67</v>
      </c>
      <c r="G1197" t="s">
        <v>132</v>
      </c>
      <c r="H1197" t="s">
        <v>132</v>
      </c>
      <c r="I1197" t="s">
        <v>85</v>
      </c>
      <c r="J1197" t="s">
        <v>85</v>
      </c>
      <c r="K1197" s="1">
        <v>46131</v>
      </c>
      <c r="L1197" s="1" t="str">
        <f>IF(K1197&gt;O1197,"Valid","Invalid")</f>
        <v>Valid</v>
      </c>
      <c r="M1197" s="1" t="b">
        <f>ISNUMBER(K1197)</f>
        <v>1</v>
      </c>
      <c r="N1197" s="1" t="b">
        <f>ISNUMBER(O1197)</f>
        <v>1</v>
      </c>
      <c r="O1197" s="1">
        <v>46117</v>
      </c>
      <c r="P1197" t="s">
        <v>2949</v>
      </c>
      <c r="Q1197" t="str">
        <f>SUBSTITUTE(SUBSTITUTE(SUBSTITUTE(P1197," ",""),"-",""),"+","")</f>
        <v>1849925221</v>
      </c>
      <c r="R1197" t="str">
        <f t="shared" si="36"/>
        <v>1849925221</v>
      </c>
      <c r="S1197" t="str">
        <f>IF(LEN(R1197),"Valid","Invalid")</f>
        <v>Valid</v>
      </c>
      <c r="T1197" t="s">
        <v>2948</v>
      </c>
      <c r="V1197" t="s">
        <v>17</v>
      </c>
      <c r="X1197">
        <v>23417.82</v>
      </c>
      <c r="Y1197" t="s">
        <v>26</v>
      </c>
      <c r="Z1197">
        <v>184</v>
      </c>
      <c r="AA1197">
        <f t="shared" si="37"/>
        <v>184</v>
      </c>
      <c r="AB1197" t="s">
        <v>34</v>
      </c>
    </row>
    <row r="1198" spans="1:28" x14ac:dyDescent="0.3">
      <c r="A1198" t="s">
        <v>2947</v>
      </c>
      <c r="B1198" t="s">
        <v>2946</v>
      </c>
      <c r="C1198" t="s">
        <v>2946</v>
      </c>
      <c r="E1198">
        <v>2</v>
      </c>
      <c r="F1198">
        <v>2</v>
      </c>
      <c r="G1198" t="s">
        <v>31</v>
      </c>
      <c r="H1198" t="s">
        <v>31</v>
      </c>
      <c r="I1198" t="s">
        <v>90</v>
      </c>
      <c r="J1198" t="s">
        <v>67</v>
      </c>
      <c r="K1198" s="1">
        <v>46112</v>
      </c>
      <c r="L1198" s="1" t="str">
        <f>IF(K1198&gt;O1198,"Valid","Invalid")</f>
        <v>Valid</v>
      </c>
      <c r="M1198" s="1" t="b">
        <f>ISNUMBER(K1198)</f>
        <v>1</v>
      </c>
      <c r="N1198" s="1" t="b">
        <f>ISNUMBER(O1198)</f>
        <v>1</v>
      </c>
      <c r="O1198" s="1">
        <v>46107</v>
      </c>
      <c r="P1198" t="s">
        <v>2945</v>
      </c>
      <c r="Q1198" t="str">
        <f>SUBSTITUTE(SUBSTITUTE(SUBSTITUTE(P1198," ",""),"-",""),"+","")</f>
        <v>5865543293</v>
      </c>
      <c r="R1198" t="str">
        <f t="shared" si="36"/>
        <v>5865543293</v>
      </c>
      <c r="S1198" t="str">
        <f>IF(LEN(R1198),"Valid","Invalid")</f>
        <v>Valid</v>
      </c>
      <c r="T1198" t="s">
        <v>2944</v>
      </c>
      <c r="V1198" t="s">
        <v>35</v>
      </c>
      <c r="X1198">
        <v>11868.24</v>
      </c>
      <c r="Y1198" t="s">
        <v>27</v>
      </c>
      <c r="Z1198">
        <v>259</v>
      </c>
      <c r="AA1198">
        <f t="shared" si="37"/>
        <v>259</v>
      </c>
      <c r="AB1198" t="s">
        <v>25</v>
      </c>
    </row>
    <row r="1199" spans="1:28" x14ac:dyDescent="0.3">
      <c r="A1199" t="s">
        <v>2943</v>
      </c>
      <c r="B1199" t="s">
        <v>2942</v>
      </c>
      <c r="C1199" t="s">
        <v>2942</v>
      </c>
      <c r="D1199" t="s">
        <v>1</v>
      </c>
      <c r="E1199">
        <v>26</v>
      </c>
      <c r="F1199">
        <v>26</v>
      </c>
      <c r="G1199" t="s">
        <v>80</v>
      </c>
      <c r="H1199" t="s">
        <v>80</v>
      </c>
      <c r="I1199" t="s">
        <v>85</v>
      </c>
      <c r="J1199" t="s">
        <v>85</v>
      </c>
      <c r="K1199" s="1">
        <v>46139</v>
      </c>
      <c r="L1199" s="1" t="str">
        <f>IF(K1199&gt;O1199,"Valid","Invalid")</f>
        <v>Valid</v>
      </c>
      <c r="M1199" s="1" t="b">
        <f>ISNUMBER(K1199)</f>
        <v>1</v>
      </c>
      <c r="N1199" s="1" t="b">
        <f>ISNUMBER(O1199)</f>
        <v>1</v>
      </c>
      <c r="O1199" s="1">
        <v>46129</v>
      </c>
      <c r="P1199" t="s">
        <v>2941</v>
      </c>
      <c r="Q1199" t="str">
        <f>SUBSTITUTE(SUBSTITUTE(SUBSTITUTE(P1199," ",""),"-",""),"+","")</f>
        <v>03491128593</v>
      </c>
      <c r="R1199" t="str">
        <f t="shared" si="36"/>
        <v>3491128593</v>
      </c>
      <c r="S1199" t="str">
        <f>IF(LEN(R1199),"Valid","Invalid")</f>
        <v>Valid</v>
      </c>
      <c r="T1199" t="s">
        <v>2940</v>
      </c>
      <c r="V1199" t="s">
        <v>64</v>
      </c>
      <c r="X1199">
        <v>1715.47</v>
      </c>
      <c r="Y1199" t="s">
        <v>123</v>
      </c>
      <c r="Z1199">
        <v>404</v>
      </c>
      <c r="AA1199">
        <f t="shared" si="37"/>
        <v>404</v>
      </c>
      <c r="AB1199" t="s">
        <v>71</v>
      </c>
    </row>
    <row r="1200" spans="1:28" x14ac:dyDescent="0.3">
      <c r="A1200" t="s">
        <v>2939</v>
      </c>
      <c r="B1200" t="s">
        <v>2938</v>
      </c>
      <c r="C1200" t="s">
        <v>2938</v>
      </c>
      <c r="D1200" t="s">
        <v>74</v>
      </c>
      <c r="E1200">
        <v>45</v>
      </c>
      <c r="F1200">
        <v>45</v>
      </c>
      <c r="G1200" t="s">
        <v>21</v>
      </c>
      <c r="H1200" t="s">
        <v>21</v>
      </c>
      <c r="I1200" t="s">
        <v>67</v>
      </c>
      <c r="J1200" t="s">
        <v>67</v>
      </c>
      <c r="K1200" s="1">
        <v>46053</v>
      </c>
      <c r="L1200" s="1" t="str">
        <f>IF(K1200&gt;O1200,"Valid","Invalid")</f>
        <v>Valid</v>
      </c>
      <c r="M1200" s="1" t="b">
        <f>ISNUMBER(K1200)</f>
        <v>1</v>
      </c>
      <c r="N1200" s="1" t="b">
        <f>ISNUMBER(O1200)</f>
        <v>1</v>
      </c>
      <c r="O1200" s="1">
        <v>46033</v>
      </c>
      <c r="P1200" t="s">
        <v>2937</v>
      </c>
      <c r="Q1200" t="str">
        <f>SUBSTITUTE(SUBSTITUTE(SUBSTITUTE(P1200," ",""),"-",""),"+","")</f>
        <v>05058637648</v>
      </c>
      <c r="R1200" t="str">
        <f t="shared" si="36"/>
        <v>5058637648</v>
      </c>
      <c r="S1200" t="str">
        <f>IF(LEN(R1200),"Valid","Invalid")</f>
        <v>Valid</v>
      </c>
      <c r="T1200" t="s">
        <v>2936</v>
      </c>
      <c r="V1200" t="s">
        <v>27</v>
      </c>
      <c r="X1200">
        <v>23211.41</v>
      </c>
      <c r="Y1200" t="s">
        <v>63</v>
      </c>
      <c r="Z1200">
        <v>245</v>
      </c>
      <c r="AA1200">
        <f t="shared" si="37"/>
        <v>245</v>
      </c>
      <c r="AB1200" t="s">
        <v>50</v>
      </c>
    </row>
    <row r="1201" spans="1:28" x14ac:dyDescent="0.3">
      <c r="A1201" t="s">
        <v>2935</v>
      </c>
      <c r="B1201" t="s">
        <v>2934</v>
      </c>
      <c r="C1201" t="s">
        <v>2934</v>
      </c>
      <c r="D1201" t="s">
        <v>123</v>
      </c>
      <c r="E1201">
        <v>75</v>
      </c>
      <c r="F1201">
        <v>75</v>
      </c>
      <c r="G1201" t="s">
        <v>132</v>
      </c>
      <c r="H1201" t="s">
        <v>132</v>
      </c>
      <c r="I1201" t="s">
        <v>67</v>
      </c>
      <c r="J1201" t="s">
        <v>67</v>
      </c>
      <c r="K1201" s="1">
        <v>46061</v>
      </c>
      <c r="L1201" s="1" t="str">
        <f>IF(K1201&gt;O1201,"Valid","Invalid")</f>
        <v>Valid</v>
      </c>
      <c r="M1201" s="1" t="b">
        <f>ISNUMBER(K1201)</f>
        <v>1</v>
      </c>
      <c r="N1201" s="1" t="b">
        <f>ISNUMBER(O1201)</f>
        <v>1</v>
      </c>
      <c r="O1201" s="1">
        <v>46042</v>
      </c>
      <c r="P1201" t="s">
        <v>2933</v>
      </c>
      <c r="Q1201" t="str">
        <f>SUBSTITUTE(SUBSTITUTE(SUBSTITUTE(P1201," ",""),"-",""),"+","")</f>
        <v>05313317336</v>
      </c>
      <c r="R1201" t="str">
        <f t="shared" si="36"/>
        <v>5313317336</v>
      </c>
      <c r="S1201" t="str">
        <f>IF(LEN(R1201),"Valid","Invalid")</f>
        <v>Valid</v>
      </c>
      <c r="T1201" t="s">
        <v>2932</v>
      </c>
      <c r="V1201" t="s">
        <v>123</v>
      </c>
      <c r="X1201">
        <v>23370.84</v>
      </c>
      <c r="Y1201" t="s">
        <v>57</v>
      </c>
      <c r="Z1201">
        <v>139</v>
      </c>
      <c r="AA1201">
        <f t="shared" si="37"/>
        <v>139</v>
      </c>
      <c r="AB1201" t="s">
        <v>34</v>
      </c>
    </row>
    <row r="1202" spans="1:28" x14ac:dyDescent="0.3">
      <c r="A1202" t="s">
        <v>2931</v>
      </c>
      <c r="B1202" t="s">
        <v>2930</v>
      </c>
      <c r="C1202" t="s">
        <v>2930</v>
      </c>
      <c r="D1202" t="s">
        <v>0</v>
      </c>
      <c r="E1202">
        <v>14</v>
      </c>
      <c r="F1202">
        <v>14</v>
      </c>
      <c r="G1202" t="s">
        <v>21</v>
      </c>
      <c r="H1202" t="s">
        <v>21</v>
      </c>
      <c r="I1202" t="s">
        <v>30</v>
      </c>
      <c r="J1202" t="s">
        <v>30</v>
      </c>
      <c r="K1202" s="1">
        <v>46068</v>
      </c>
      <c r="L1202" s="1" t="str">
        <f>IF(K1202&gt;O1202,"Valid","Invalid")</f>
        <v>Valid</v>
      </c>
      <c r="M1202" s="1" t="b">
        <f>ISNUMBER(K1202)</f>
        <v>1</v>
      </c>
      <c r="N1202" s="1" t="b">
        <f>ISNUMBER(O1202)</f>
        <v>1</v>
      </c>
      <c r="O1202" s="1">
        <v>46063</v>
      </c>
      <c r="P1202" t="s">
        <v>2929</v>
      </c>
      <c r="Q1202" t="str">
        <f>SUBSTITUTE(SUBSTITUTE(SUBSTITUTE(P1202," ",""),"-",""),"+","")</f>
        <v>8000209677</v>
      </c>
      <c r="R1202" t="str">
        <f t="shared" si="36"/>
        <v>8000209677</v>
      </c>
      <c r="S1202" t="str">
        <f>IF(LEN(R1202),"Valid","Invalid")</f>
        <v>Valid</v>
      </c>
      <c r="T1202" t="s">
        <v>2928</v>
      </c>
      <c r="V1202" t="s">
        <v>26</v>
      </c>
      <c r="X1202">
        <v>14178.76</v>
      </c>
      <c r="Y1202" t="s">
        <v>26</v>
      </c>
      <c r="Z1202">
        <v>508</v>
      </c>
      <c r="AA1202">
        <f t="shared" si="37"/>
        <v>508</v>
      </c>
      <c r="AB1202" t="s">
        <v>34</v>
      </c>
    </row>
    <row r="1203" spans="1:28" x14ac:dyDescent="0.3">
      <c r="A1203" t="s">
        <v>2927</v>
      </c>
      <c r="B1203" t="s">
        <v>2926</v>
      </c>
      <c r="C1203" t="s">
        <v>2926</v>
      </c>
      <c r="D1203" t="s">
        <v>123</v>
      </c>
      <c r="E1203">
        <v>43</v>
      </c>
      <c r="F1203">
        <v>43</v>
      </c>
      <c r="G1203" t="s">
        <v>132</v>
      </c>
      <c r="H1203" t="s">
        <v>132</v>
      </c>
      <c r="I1203" t="s">
        <v>85</v>
      </c>
      <c r="J1203" t="s">
        <v>85</v>
      </c>
      <c r="K1203" s="1">
        <v>46014</v>
      </c>
      <c r="L1203" s="1" t="str">
        <f>IF(K1203&gt;O1203,"Valid","Invalid")</f>
        <v>Valid</v>
      </c>
      <c r="M1203" s="1" t="b">
        <f>ISNUMBER(K1203)</f>
        <v>1</v>
      </c>
      <c r="N1203" s="1" t="b">
        <f>ISNUMBER(O1203)</f>
        <v>1</v>
      </c>
      <c r="O1203" s="1">
        <v>46008</v>
      </c>
      <c r="P1203" t="s">
        <v>2925</v>
      </c>
      <c r="Q1203" t="str">
        <f>SUBSTITUTE(SUBSTITUTE(SUBSTITUTE(P1203," ",""),"-",""),"+","")</f>
        <v>06032131558</v>
      </c>
      <c r="R1203" t="str">
        <f t="shared" si="36"/>
        <v>6032131558</v>
      </c>
      <c r="S1203" t="str">
        <f>IF(LEN(R1203),"Valid","Invalid")</f>
        <v>Valid</v>
      </c>
      <c r="T1203" t="s">
        <v>2924</v>
      </c>
      <c r="V1203" t="s">
        <v>35</v>
      </c>
      <c r="X1203">
        <v>266.24</v>
      </c>
      <c r="Y1203" t="s">
        <v>57</v>
      </c>
      <c r="Z1203">
        <v>210</v>
      </c>
      <c r="AA1203">
        <f t="shared" si="37"/>
        <v>210</v>
      </c>
      <c r="AB1203" t="s">
        <v>77</v>
      </c>
    </row>
    <row r="1204" spans="1:28" x14ac:dyDescent="0.3">
      <c r="A1204" t="s">
        <v>2923</v>
      </c>
      <c r="B1204" t="s">
        <v>2922</v>
      </c>
      <c r="C1204" t="s">
        <v>2922</v>
      </c>
      <c r="D1204" t="s">
        <v>0</v>
      </c>
      <c r="E1204">
        <v>19</v>
      </c>
      <c r="F1204">
        <v>19</v>
      </c>
      <c r="G1204" t="s">
        <v>39</v>
      </c>
      <c r="H1204" t="s">
        <v>39</v>
      </c>
      <c r="I1204" t="s">
        <v>85</v>
      </c>
      <c r="J1204" t="s">
        <v>85</v>
      </c>
      <c r="K1204" s="1">
        <v>46077</v>
      </c>
      <c r="L1204" s="1" t="str">
        <f>IF(K1204&gt;O1204,"Valid","Invalid")</f>
        <v>Valid</v>
      </c>
      <c r="M1204" s="1" t="b">
        <f>ISNUMBER(K1204)</f>
        <v>1</v>
      </c>
      <c r="N1204" s="1" t="b">
        <f>ISNUMBER(O1204)</f>
        <v>1</v>
      </c>
      <c r="O1204" s="1">
        <v>46050</v>
      </c>
      <c r="P1204" t="s">
        <v>2921</v>
      </c>
      <c r="Q1204" t="str">
        <f>SUBSTITUTE(SUBSTITUTE(SUBSTITUTE(P1204," ",""),"-",""),"+","")</f>
        <v>7824411765</v>
      </c>
      <c r="R1204" t="str">
        <f t="shared" si="36"/>
        <v>7824411765</v>
      </c>
      <c r="S1204" t="str">
        <f>IF(LEN(R1204),"Valid","Invalid")</f>
        <v>Valid</v>
      </c>
      <c r="T1204" t="s">
        <v>2920</v>
      </c>
      <c r="V1204" t="s">
        <v>27</v>
      </c>
      <c r="X1204">
        <v>8218.7800000000007</v>
      </c>
      <c r="Y1204" t="s">
        <v>27</v>
      </c>
      <c r="Z1204">
        <v>170</v>
      </c>
      <c r="AA1204">
        <f t="shared" si="37"/>
        <v>170</v>
      </c>
      <c r="AB1204" t="s">
        <v>34</v>
      </c>
    </row>
    <row r="1205" spans="1:28" x14ac:dyDescent="0.3">
      <c r="A1205" t="s">
        <v>2919</v>
      </c>
      <c r="B1205" t="s">
        <v>2918</v>
      </c>
      <c r="C1205" t="s">
        <v>2918</v>
      </c>
      <c r="E1205">
        <v>55</v>
      </c>
      <c r="F1205">
        <v>55</v>
      </c>
      <c r="G1205" t="s">
        <v>68</v>
      </c>
      <c r="H1205" t="s">
        <v>68</v>
      </c>
      <c r="I1205" t="s">
        <v>67</v>
      </c>
      <c r="J1205" t="s">
        <v>67</v>
      </c>
      <c r="K1205" s="1">
        <v>45990</v>
      </c>
      <c r="L1205" s="1" t="str">
        <f>IF(K1205&gt;O1205,"Valid","Invalid")</f>
        <v>Valid</v>
      </c>
      <c r="M1205" s="1" t="b">
        <f>ISNUMBER(K1205)</f>
        <v>1</v>
      </c>
      <c r="N1205" s="1" t="b">
        <f>ISNUMBER(O1205)</f>
        <v>1</v>
      </c>
      <c r="O1205" s="1">
        <v>45981</v>
      </c>
      <c r="P1205" t="s">
        <v>2917</v>
      </c>
      <c r="Q1205" t="str">
        <f>SUBSTITUTE(SUBSTITUTE(SUBSTITUTE(P1205," ",""),"-",""),"+","")</f>
        <v>918393480958</v>
      </c>
      <c r="R1205" t="str">
        <f t="shared" si="36"/>
        <v>8393480958</v>
      </c>
      <c r="S1205" t="str">
        <f>IF(LEN(R1205),"Valid","Invalid")</f>
        <v>Valid</v>
      </c>
      <c r="T1205" t="s">
        <v>2916</v>
      </c>
      <c r="V1205" t="s">
        <v>64</v>
      </c>
      <c r="X1205">
        <v>6171.17</v>
      </c>
      <c r="Y1205" t="s">
        <v>123</v>
      </c>
      <c r="Z1205">
        <v>293</v>
      </c>
      <c r="AA1205">
        <f t="shared" si="37"/>
        <v>293</v>
      </c>
      <c r="AB1205" t="s">
        <v>50</v>
      </c>
    </row>
    <row r="1206" spans="1:28" x14ac:dyDescent="0.3">
      <c r="A1206" t="s">
        <v>2915</v>
      </c>
      <c r="B1206" t="s">
        <v>2914</v>
      </c>
      <c r="C1206" t="s">
        <v>2914</v>
      </c>
      <c r="D1206" t="s">
        <v>123</v>
      </c>
      <c r="E1206">
        <v>61</v>
      </c>
      <c r="F1206">
        <v>61</v>
      </c>
      <c r="G1206" t="s">
        <v>31</v>
      </c>
      <c r="H1206" t="s">
        <v>31</v>
      </c>
      <c r="I1206" t="s">
        <v>30</v>
      </c>
      <c r="J1206" t="s">
        <v>30</v>
      </c>
      <c r="K1206" s="1">
        <v>46049</v>
      </c>
      <c r="L1206" s="1" t="str">
        <f>IF(K1206&gt;O1206,"Valid","Invalid")</f>
        <v>Valid</v>
      </c>
      <c r="M1206" s="1" t="b">
        <f>ISNUMBER(K1206)</f>
        <v>1</v>
      </c>
      <c r="N1206" s="1" t="b">
        <f>ISNUMBER(O1206)</f>
        <v>1</v>
      </c>
      <c r="O1206" s="1">
        <v>46023</v>
      </c>
      <c r="P1206" t="s">
        <v>2913</v>
      </c>
      <c r="Q1206" t="str">
        <f>SUBSTITUTE(SUBSTITUTE(SUBSTITUTE(P1206," ",""),"-",""),"+","")</f>
        <v>919445252249</v>
      </c>
      <c r="R1206" t="str">
        <f t="shared" si="36"/>
        <v>9445252249</v>
      </c>
      <c r="S1206" t="str">
        <f>IF(LEN(R1206),"Valid","Invalid")</f>
        <v>Valid</v>
      </c>
      <c r="T1206" t="s">
        <v>123</v>
      </c>
      <c r="V1206" t="s">
        <v>57</v>
      </c>
      <c r="X1206">
        <v>-500</v>
      </c>
      <c r="Y1206" t="s">
        <v>57</v>
      </c>
      <c r="Z1206">
        <v>185</v>
      </c>
      <c r="AA1206">
        <f t="shared" si="37"/>
        <v>185</v>
      </c>
      <c r="AB1206" t="s">
        <v>25</v>
      </c>
    </row>
    <row r="1207" spans="1:28" x14ac:dyDescent="0.3">
      <c r="A1207" t="s">
        <v>2912</v>
      </c>
      <c r="B1207" t="s">
        <v>2911</v>
      </c>
      <c r="C1207" t="s">
        <v>2911</v>
      </c>
      <c r="D1207" t="s">
        <v>22</v>
      </c>
      <c r="E1207">
        <v>19</v>
      </c>
      <c r="F1207">
        <v>19</v>
      </c>
      <c r="G1207" t="s">
        <v>54</v>
      </c>
      <c r="H1207" t="s">
        <v>54</v>
      </c>
      <c r="I1207" t="s">
        <v>85</v>
      </c>
      <c r="J1207" t="s">
        <v>85</v>
      </c>
      <c r="K1207" s="1">
        <v>46023</v>
      </c>
      <c r="L1207" s="1" t="str">
        <f>IF(K1207&gt;O1207,"Valid","Invalid")</f>
        <v>Valid</v>
      </c>
      <c r="M1207" s="1" t="b">
        <f>ISNUMBER(K1207)</f>
        <v>1</v>
      </c>
      <c r="N1207" s="1" t="b">
        <f>ISNUMBER(O1207)</f>
        <v>1</v>
      </c>
      <c r="O1207" s="1">
        <v>46008</v>
      </c>
      <c r="P1207" t="s">
        <v>2910</v>
      </c>
      <c r="Q1207" t="str">
        <f>SUBSTITUTE(SUBSTITUTE(SUBSTITUTE(P1207," ",""),"-",""),"+","")</f>
        <v>06509288338</v>
      </c>
      <c r="R1207" t="str">
        <f t="shared" si="36"/>
        <v>6509288338</v>
      </c>
      <c r="S1207" t="str">
        <f>IF(LEN(R1207),"Valid","Invalid")</f>
        <v>Valid</v>
      </c>
      <c r="T1207" t="s">
        <v>2909</v>
      </c>
      <c r="V1207" t="s">
        <v>26</v>
      </c>
      <c r="X1207">
        <v>17197.12</v>
      </c>
      <c r="Y1207" t="s">
        <v>123</v>
      </c>
      <c r="Z1207">
        <v>433</v>
      </c>
      <c r="AA1207">
        <f t="shared" si="37"/>
        <v>433</v>
      </c>
      <c r="AB1207" t="s">
        <v>43</v>
      </c>
    </row>
    <row r="1208" spans="1:28" x14ac:dyDescent="0.3">
      <c r="A1208" t="s">
        <v>2908</v>
      </c>
      <c r="B1208" t="s">
        <v>2907</v>
      </c>
      <c r="C1208" t="s">
        <v>2907</v>
      </c>
      <c r="D1208" t="s">
        <v>0</v>
      </c>
      <c r="E1208">
        <v>4</v>
      </c>
      <c r="F1208">
        <v>4</v>
      </c>
      <c r="G1208" t="s">
        <v>31</v>
      </c>
      <c r="H1208" t="s">
        <v>31</v>
      </c>
      <c r="I1208" t="s">
        <v>85</v>
      </c>
      <c r="J1208" t="s">
        <v>85</v>
      </c>
      <c r="K1208" s="1">
        <v>46092</v>
      </c>
      <c r="L1208" s="1" t="str">
        <f>IF(K1208&gt;O1208,"Valid","Invalid")</f>
        <v>Valid</v>
      </c>
      <c r="M1208" s="1" t="b">
        <f>ISNUMBER(K1208)</f>
        <v>1</v>
      </c>
      <c r="N1208" s="1" t="b">
        <f>ISNUMBER(O1208)</f>
        <v>1</v>
      </c>
      <c r="O1208" s="1">
        <v>46068</v>
      </c>
      <c r="P1208" t="s">
        <v>2906</v>
      </c>
      <c r="Q1208" t="str">
        <f>SUBSTITUTE(SUBSTITUTE(SUBSTITUTE(P1208," ",""),"-",""),"+","")</f>
        <v>916197613704</v>
      </c>
      <c r="R1208" t="str">
        <f t="shared" si="36"/>
        <v>6197613704</v>
      </c>
      <c r="S1208" t="str">
        <f>IF(LEN(R1208),"Valid","Invalid")</f>
        <v>Valid</v>
      </c>
      <c r="T1208" t="s">
        <v>2905</v>
      </c>
      <c r="V1208" t="s">
        <v>57</v>
      </c>
      <c r="X1208">
        <v>18266.59</v>
      </c>
      <c r="Y1208" t="s">
        <v>57</v>
      </c>
      <c r="Z1208">
        <v>415</v>
      </c>
      <c r="AA1208">
        <f t="shared" si="37"/>
        <v>415</v>
      </c>
      <c r="AB1208" t="s">
        <v>34</v>
      </c>
    </row>
    <row r="1209" spans="1:28" x14ac:dyDescent="0.3">
      <c r="A1209" t="s">
        <v>2904</v>
      </c>
      <c r="B1209" t="s">
        <v>2903</v>
      </c>
      <c r="C1209" t="s">
        <v>2903</v>
      </c>
      <c r="D1209" t="s">
        <v>1</v>
      </c>
      <c r="E1209">
        <v>49</v>
      </c>
      <c r="F1209">
        <v>49</v>
      </c>
      <c r="G1209" t="s">
        <v>31</v>
      </c>
      <c r="H1209" t="s">
        <v>31</v>
      </c>
      <c r="I1209" t="s">
        <v>53</v>
      </c>
      <c r="J1209" t="s">
        <v>20</v>
      </c>
      <c r="K1209" s="1">
        <v>46075</v>
      </c>
      <c r="L1209" s="1" t="str">
        <f>IF(K1209&gt;O1209,"Valid","Invalid")</f>
        <v>Valid</v>
      </c>
      <c r="M1209" s="1" t="b">
        <f>ISNUMBER(K1209)</f>
        <v>1</v>
      </c>
      <c r="N1209" s="1" t="b">
        <f>ISNUMBER(O1209)</f>
        <v>1</v>
      </c>
      <c r="O1209" s="1">
        <v>46046</v>
      </c>
      <c r="P1209" t="s">
        <v>2902</v>
      </c>
      <c r="Q1209" t="str">
        <f>SUBSTITUTE(SUBSTITUTE(SUBSTITUTE(P1209," ",""),"-",""),"+","")</f>
        <v>04928012159</v>
      </c>
      <c r="R1209" t="str">
        <f t="shared" si="36"/>
        <v>4928012159</v>
      </c>
      <c r="S1209" t="str">
        <f>IF(LEN(R1209),"Valid","Invalid")</f>
        <v>Valid</v>
      </c>
      <c r="T1209" t="s">
        <v>2901</v>
      </c>
      <c r="V1209" t="s">
        <v>27</v>
      </c>
      <c r="X1209">
        <v>5056.7299999999996</v>
      </c>
      <c r="Y1209" t="s">
        <v>17</v>
      </c>
      <c r="Z1209">
        <v>369</v>
      </c>
      <c r="AA1209">
        <f t="shared" si="37"/>
        <v>369</v>
      </c>
      <c r="AB1209" t="s">
        <v>71</v>
      </c>
    </row>
    <row r="1210" spans="1:28" x14ac:dyDescent="0.3">
      <c r="A1210" t="s">
        <v>2900</v>
      </c>
      <c r="B1210" t="s">
        <v>2899</v>
      </c>
      <c r="C1210" t="s">
        <v>2899</v>
      </c>
      <c r="D1210" t="s">
        <v>40</v>
      </c>
      <c r="E1210">
        <v>76</v>
      </c>
      <c r="F1210">
        <v>76</v>
      </c>
      <c r="G1210" t="s">
        <v>132</v>
      </c>
      <c r="H1210" t="s">
        <v>132</v>
      </c>
      <c r="I1210" t="s">
        <v>67</v>
      </c>
      <c r="J1210" t="s">
        <v>67</v>
      </c>
      <c r="K1210" s="1">
        <v>46029</v>
      </c>
      <c r="L1210" s="1" t="str">
        <f>IF(K1210&gt;O1210,"Valid","Invalid")</f>
        <v>Valid</v>
      </c>
      <c r="M1210" s="1" t="b">
        <f>ISNUMBER(K1210)</f>
        <v>1</v>
      </c>
      <c r="N1210" s="1" t="b">
        <f>ISNUMBER(O1210)</f>
        <v>1</v>
      </c>
      <c r="O1210" s="1">
        <v>46026</v>
      </c>
      <c r="P1210" t="s">
        <v>2898</v>
      </c>
      <c r="Q1210" t="str">
        <f>SUBSTITUTE(SUBSTITUTE(SUBSTITUTE(P1210," ",""),"-",""),"+","")</f>
        <v>7703216860</v>
      </c>
      <c r="R1210" t="str">
        <f t="shared" si="36"/>
        <v>7703216860</v>
      </c>
      <c r="S1210" t="str">
        <f>IF(LEN(R1210),"Valid","Invalid")</f>
        <v>Valid</v>
      </c>
      <c r="T1210" t="s">
        <v>2897</v>
      </c>
      <c r="V1210" t="s">
        <v>57</v>
      </c>
      <c r="X1210">
        <v>22912.02</v>
      </c>
      <c r="Y1210" t="s">
        <v>27</v>
      </c>
      <c r="Z1210">
        <v>410</v>
      </c>
      <c r="AA1210">
        <f t="shared" si="37"/>
        <v>410</v>
      </c>
      <c r="AB1210" t="s">
        <v>43</v>
      </c>
    </row>
    <row r="1211" spans="1:28" x14ac:dyDescent="0.3">
      <c r="A1211" t="s">
        <v>2896</v>
      </c>
      <c r="B1211" t="s">
        <v>2895</v>
      </c>
      <c r="C1211" t="s">
        <v>2895</v>
      </c>
      <c r="D1211" t="s">
        <v>40</v>
      </c>
      <c r="E1211">
        <v>83</v>
      </c>
      <c r="F1211">
        <v>83</v>
      </c>
      <c r="G1211" t="s">
        <v>132</v>
      </c>
      <c r="H1211" t="s">
        <v>132</v>
      </c>
      <c r="I1211" t="s">
        <v>85</v>
      </c>
      <c r="J1211" t="s">
        <v>85</v>
      </c>
      <c r="K1211" s="1">
        <v>46056</v>
      </c>
      <c r="L1211" s="1" t="str">
        <f>IF(K1211&gt;O1211,"Valid","Invalid")</f>
        <v>Valid</v>
      </c>
      <c r="M1211" s="1" t="b">
        <f>ISNUMBER(K1211)</f>
        <v>1</v>
      </c>
      <c r="N1211" s="1" t="b">
        <f>ISNUMBER(O1211)</f>
        <v>1</v>
      </c>
      <c r="O1211" s="1">
        <v>46044</v>
      </c>
      <c r="P1211" t="s">
        <v>2894</v>
      </c>
      <c r="Q1211" t="str">
        <f>SUBSTITUTE(SUBSTITUTE(SUBSTITUTE(P1211," ",""),"-",""),"+","")</f>
        <v>915917234639</v>
      </c>
      <c r="R1211" t="str">
        <f t="shared" si="36"/>
        <v>5917234639</v>
      </c>
      <c r="S1211" t="str">
        <f>IF(LEN(R1211),"Valid","Invalid")</f>
        <v>Valid</v>
      </c>
      <c r="T1211" t="s">
        <v>2893</v>
      </c>
      <c r="V1211" t="s">
        <v>27</v>
      </c>
      <c r="X1211">
        <v>24894.3</v>
      </c>
      <c r="Y1211" t="s">
        <v>63</v>
      </c>
      <c r="Z1211">
        <v>240</v>
      </c>
      <c r="AA1211">
        <f t="shared" si="37"/>
        <v>240</v>
      </c>
      <c r="AB1211" t="s">
        <v>25</v>
      </c>
    </row>
    <row r="1212" spans="1:28" x14ac:dyDescent="0.3">
      <c r="A1212" t="s">
        <v>2892</v>
      </c>
      <c r="B1212" t="s">
        <v>2891</v>
      </c>
      <c r="C1212" t="s">
        <v>2891</v>
      </c>
      <c r="D1212" t="s">
        <v>40</v>
      </c>
      <c r="E1212">
        <v>74</v>
      </c>
      <c r="F1212">
        <v>74</v>
      </c>
      <c r="G1212" t="s">
        <v>47</v>
      </c>
      <c r="H1212" t="s">
        <v>47</v>
      </c>
      <c r="I1212" t="s">
        <v>85</v>
      </c>
      <c r="J1212" t="s">
        <v>85</v>
      </c>
      <c r="K1212" s="1">
        <v>46073</v>
      </c>
      <c r="L1212" s="1" t="str">
        <f>IF(K1212&gt;O1212,"Valid","Invalid")</f>
        <v>Valid</v>
      </c>
      <c r="M1212" s="1" t="b">
        <f>ISNUMBER(K1212)</f>
        <v>1</v>
      </c>
      <c r="N1212" s="1" t="b">
        <f>ISNUMBER(O1212)</f>
        <v>1</v>
      </c>
      <c r="O1212" s="1">
        <v>46054</v>
      </c>
      <c r="P1212" t="s">
        <v>2890</v>
      </c>
      <c r="Q1212" t="str">
        <f>SUBSTITUTE(SUBSTITUTE(SUBSTITUTE(P1212," ",""),"-",""),"+","")</f>
        <v>6449663948</v>
      </c>
      <c r="R1212" t="str">
        <f t="shared" si="36"/>
        <v>6449663948</v>
      </c>
      <c r="S1212" t="str">
        <f>IF(LEN(R1212),"Valid","Invalid")</f>
        <v>Valid</v>
      </c>
      <c r="T1212" t="s">
        <v>2889</v>
      </c>
      <c r="V1212" t="s">
        <v>123</v>
      </c>
      <c r="X1212">
        <v>12359.45</v>
      </c>
      <c r="Y1212" t="s">
        <v>123</v>
      </c>
      <c r="Z1212">
        <v>483</v>
      </c>
      <c r="AA1212">
        <f t="shared" si="37"/>
        <v>483</v>
      </c>
      <c r="AB1212" t="s">
        <v>50</v>
      </c>
    </row>
    <row r="1213" spans="1:28" x14ac:dyDescent="0.3">
      <c r="A1213" t="s">
        <v>2888</v>
      </c>
      <c r="B1213" t="s">
        <v>2887</v>
      </c>
      <c r="C1213" t="s">
        <v>2887</v>
      </c>
      <c r="D1213" t="s">
        <v>74</v>
      </c>
      <c r="E1213">
        <v>5</v>
      </c>
      <c r="F1213">
        <v>5</v>
      </c>
      <c r="G1213" t="s">
        <v>31</v>
      </c>
      <c r="H1213" t="s">
        <v>31</v>
      </c>
      <c r="I1213" t="s">
        <v>46</v>
      </c>
      <c r="J1213" t="s">
        <v>46</v>
      </c>
      <c r="K1213" s="1">
        <v>46019</v>
      </c>
      <c r="L1213" s="1" t="str">
        <f>IF(K1213&gt;O1213,"Valid","Invalid")</f>
        <v>Valid</v>
      </c>
      <c r="M1213" s="1" t="b">
        <f>ISNUMBER(K1213)</f>
        <v>1</v>
      </c>
      <c r="N1213" s="1" t="b">
        <f>ISNUMBER(O1213)</f>
        <v>1</v>
      </c>
      <c r="O1213" s="1">
        <v>46000</v>
      </c>
      <c r="P1213" t="s">
        <v>2886</v>
      </c>
      <c r="Q1213" t="str">
        <f>SUBSTITUTE(SUBSTITUTE(SUBSTITUTE(P1213," ",""),"-",""),"+","")</f>
        <v>918014370455</v>
      </c>
      <c r="R1213" t="str">
        <f t="shared" si="36"/>
        <v>8014370455</v>
      </c>
      <c r="S1213" t="str">
        <f>IF(LEN(R1213),"Valid","Invalid")</f>
        <v>Valid</v>
      </c>
      <c r="T1213" t="s">
        <v>2885</v>
      </c>
      <c r="V1213" t="s">
        <v>35</v>
      </c>
      <c r="X1213">
        <v>17699.86</v>
      </c>
      <c r="Y1213" t="s">
        <v>26</v>
      </c>
      <c r="Z1213">
        <v>545</v>
      </c>
      <c r="AA1213">
        <f t="shared" si="37"/>
        <v>545</v>
      </c>
      <c r="AB1213" t="s">
        <v>50</v>
      </c>
    </row>
    <row r="1214" spans="1:28" x14ac:dyDescent="0.3">
      <c r="A1214" t="s">
        <v>2884</v>
      </c>
      <c r="B1214" t="s">
        <v>2883</v>
      </c>
      <c r="C1214" t="s">
        <v>2883</v>
      </c>
      <c r="D1214" t="s">
        <v>0</v>
      </c>
      <c r="E1214">
        <v>11</v>
      </c>
      <c r="F1214">
        <v>11</v>
      </c>
      <c r="G1214" t="s">
        <v>54</v>
      </c>
      <c r="H1214" t="s">
        <v>54</v>
      </c>
      <c r="I1214" t="s">
        <v>20</v>
      </c>
      <c r="J1214" t="s">
        <v>20</v>
      </c>
      <c r="K1214" s="1">
        <v>46110</v>
      </c>
      <c r="L1214" s="1" t="str">
        <f>IF(K1214&gt;O1214,"Valid","Invalid")</f>
        <v>Valid</v>
      </c>
      <c r="M1214" s="1" t="b">
        <f>ISNUMBER(K1214)</f>
        <v>1</v>
      </c>
      <c r="N1214" s="1" t="b">
        <f>ISNUMBER(O1214)</f>
        <v>1</v>
      </c>
      <c r="O1214" s="1">
        <v>46109</v>
      </c>
      <c r="P1214" t="s">
        <v>2882</v>
      </c>
      <c r="Q1214" t="str">
        <f>SUBSTITUTE(SUBSTITUTE(SUBSTITUTE(P1214," ",""),"-",""),"+","")</f>
        <v>09783315443</v>
      </c>
      <c r="R1214" t="str">
        <f t="shared" si="36"/>
        <v>9783315443</v>
      </c>
      <c r="S1214" t="str">
        <f>IF(LEN(R1214),"Valid","Invalid")</f>
        <v>Valid</v>
      </c>
      <c r="T1214" t="s">
        <v>2881</v>
      </c>
      <c r="V1214" t="s">
        <v>123</v>
      </c>
      <c r="X1214">
        <v>16009.46</v>
      </c>
      <c r="Y1214" t="s">
        <v>27</v>
      </c>
      <c r="Z1214">
        <v>260</v>
      </c>
      <c r="AA1214">
        <f t="shared" si="37"/>
        <v>260</v>
      </c>
      <c r="AB1214" t="s">
        <v>77</v>
      </c>
    </row>
    <row r="1215" spans="1:28" x14ac:dyDescent="0.3">
      <c r="A1215" t="s">
        <v>2880</v>
      </c>
      <c r="B1215" t="s">
        <v>2879</v>
      </c>
      <c r="C1215" t="s">
        <v>2879</v>
      </c>
      <c r="D1215" t="s">
        <v>22</v>
      </c>
      <c r="E1215">
        <v>25</v>
      </c>
      <c r="F1215">
        <v>25</v>
      </c>
      <c r="G1215" t="s">
        <v>47</v>
      </c>
      <c r="H1215" t="s">
        <v>47</v>
      </c>
      <c r="I1215" t="s">
        <v>67</v>
      </c>
      <c r="J1215" t="s">
        <v>67</v>
      </c>
      <c r="K1215" s="1">
        <v>46027</v>
      </c>
      <c r="L1215" s="1" t="str">
        <f>IF(K1215&gt;O1215,"Valid","Invalid")</f>
        <v>Valid</v>
      </c>
      <c r="M1215" s="1" t="b">
        <f>ISNUMBER(K1215)</f>
        <v>1</v>
      </c>
      <c r="N1215" s="1" t="b">
        <f>ISNUMBER(O1215)</f>
        <v>1</v>
      </c>
      <c r="O1215" s="1">
        <v>46001</v>
      </c>
      <c r="P1215" t="s">
        <v>2878</v>
      </c>
      <c r="Q1215" t="str">
        <f>SUBSTITUTE(SUBSTITUTE(SUBSTITUTE(P1215," ",""),"-",""),"+","")</f>
        <v>919465120156</v>
      </c>
      <c r="R1215" t="str">
        <f t="shared" si="36"/>
        <v>9465120156</v>
      </c>
      <c r="S1215" t="str">
        <f>IF(LEN(R1215),"Valid","Invalid")</f>
        <v>Valid</v>
      </c>
      <c r="T1215" t="s">
        <v>2877</v>
      </c>
      <c r="V1215" t="s">
        <v>57</v>
      </c>
      <c r="X1215">
        <v>22463.86</v>
      </c>
      <c r="Y1215" t="s">
        <v>26</v>
      </c>
      <c r="Z1215">
        <v>400</v>
      </c>
      <c r="AA1215">
        <f t="shared" si="37"/>
        <v>400</v>
      </c>
      <c r="AB1215" t="s">
        <v>25</v>
      </c>
    </row>
    <row r="1216" spans="1:28" x14ac:dyDescent="0.3">
      <c r="A1216" t="s">
        <v>2876</v>
      </c>
      <c r="B1216" t="s">
        <v>2875</v>
      </c>
      <c r="C1216" t="s">
        <v>2875</v>
      </c>
      <c r="D1216" t="s">
        <v>60</v>
      </c>
      <c r="E1216">
        <v>67</v>
      </c>
      <c r="F1216">
        <v>67</v>
      </c>
      <c r="G1216" t="s">
        <v>47</v>
      </c>
      <c r="H1216" t="s">
        <v>47</v>
      </c>
      <c r="I1216" t="s">
        <v>90</v>
      </c>
      <c r="J1216" t="s">
        <v>67</v>
      </c>
      <c r="K1216" s="1">
        <v>46021</v>
      </c>
      <c r="L1216" s="1" t="str">
        <f>IF(K1216&gt;O1216,"Valid","Invalid")</f>
        <v>Valid</v>
      </c>
      <c r="M1216" s="1" t="b">
        <f>ISNUMBER(K1216)</f>
        <v>1</v>
      </c>
      <c r="N1216" s="1" t="b">
        <f>ISNUMBER(O1216)</f>
        <v>1</v>
      </c>
      <c r="O1216" s="1">
        <v>46008</v>
      </c>
      <c r="P1216" t="s">
        <v>2874</v>
      </c>
      <c r="Q1216" t="str">
        <f>SUBSTITUTE(SUBSTITUTE(SUBSTITUTE(P1216," ",""),"-",""),"+","")</f>
        <v>01375563116</v>
      </c>
      <c r="R1216" t="str">
        <f t="shared" si="36"/>
        <v>1375563116</v>
      </c>
      <c r="S1216" t="str">
        <f>IF(LEN(R1216),"Valid","Invalid")</f>
        <v>Valid</v>
      </c>
      <c r="T1216" t="s">
        <v>2873</v>
      </c>
      <c r="V1216" t="s">
        <v>27</v>
      </c>
      <c r="X1216">
        <v>1810.88</v>
      </c>
      <c r="Y1216" t="s">
        <v>26</v>
      </c>
      <c r="Z1216">
        <v>473</v>
      </c>
      <c r="AA1216">
        <f t="shared" si="37"/>
        <v>473</v>
      </c>
      <c r="AB1216" t="s">
        <v>43</v>
      </c>
    </row>
    <row r="1217" spans="1:28" x14ac:dyDescent="0.3">
      <c r="A1217" t="s">
        <v>2872</v>
      </c>
      <c r="B1217" t="s">
        <v>2871</v>
      </c>
      <c r="C1217" t="s">
        <v>2871</v>
      </c>
      <c r="D1217" t="s">
        <v>74</v>
      </c>
      <c r="E1217">
        <v>23</v>
      </c>
      <c r="F1217">
        <v>23</v>
      </c>
      <c r="G1217" t="s">
        <v>68</v>
      </c>
      <c r="H1217" t="s">
        <v>68</v>
      </c>
      <c r="I1217" t="s">
        <v>46</v>
      </c>
      <c r="J1217" t="s">
        <v>46</v>
      </c>
      <c r="K1217" s="1">
        <v>46102</v>
      </c>
      <c r="L1217" s="1" t="str">
        <f>IF(K1217&gt;O1217,"Valid","Invalid")</f>
        <v>Valid</v>
      </c>
      <c r="M1217" s="1" t="b">
        <f>ISNUMBER(K1217)</f>
        <v>1</v>
      </c>
      <c r="N1217" s="1" t="b">
        <f>ISNUMBER(O1217)</f>
        <v>1</v>
      </c>
      <c r="O1217" s="1">
        <v>46094</v>
      </c>
      <c r="P1217" t="s">
        <v>2870</v>
      </c>
      <c r="Q1217" t="str">
        <f>SUBSTITUTE(SUBSTITUTE(SUBSTITUTE(P1217," ",""),"-",""),"+","")</f>
        <v>917267462581</v>
      </c>
      <c r="R1217" t="str">
        <f t="shared" si="36"/>
        <v>7267462581</v>
      </c>
      <c r="S1217" t="str">
        <f>IF(LEN(R1217),"Valid","Invalid")</f>
        <v>Valid</v>
      </c>
      <c r="T1217" t="s">
        <v>2869</v>
      </c>
      <c r="V1217" t="s">
        <v>17</v>
      </c>
      <c r="X1217">
        <v>17280.169999999998</v>
      </c>
      <c r="Y1217" t="s">
        <v>123</v>
      </c>
      <c r="Z1217">
        <v>188</v>
      </c>
      <c r="AA1217">
        <f t="shared" si="37"/>
        <v>188</v>
      </c>
      <c r="AB1217" t="s">
        <v>25</v>
      </c>
    </row>
    <row r="1218" spans="1:28" x14ac:dyDescent="0.3">
      <c r="A1218" t="s">
        <v>2868</v>
      </c>
      <c r="B1218" t="s">
        <v>2867</v>
      </c>
      <c r="C1218" t="s">
        <v>2867</v>
      </c>
      <c r="D1218" t="s">
        <v>40</v>
      </c>
      <c r="E1218">
        <v>40</v>
      </c>
      <c r="F1218">
        <v>40</v>
      </c>
      <c r="G1218" t="s">
        <v>132</v>
      </c>
      <c r="H1218" t="s">
        <v>132</v>
      </c>
      <c r="I1218" t="s">
        <v>67</v>
      </c>
      <c r="J1218" t="s">
        <v>67</v>
      </c>
      <c r="K1218" s="1">
        <v>46084</v>
      </c>
      <c r="L1218" s="1" t="str">
        <f>IF(K1218&gt;O1218,"Valid","Invalid")</f>
        <v>Valid</v>
      </c>
      <c r="M1218" s="1" t="b">
        <f>ISNUMBER(K1218)</f>
        <v>1</v>
      </c>
      <c r="N1218" s="1" t="b">
        <f>ISNUMBER(O1218)</f>
        <v>1</v>
      </c>
      <c r="O1218" s="1">
        <v>46081</v>
      </c>
      <c r="P1218" t="s">
        <v>2866</v>
      </c>
      <c r="Q1218" t="str">
        <f>SUBSTITUTE(SUBSTITUTE(SUBSTITUTE(P1218," ",""),"-",""),"+","")</f>
        <v>912670588093</v>
      </c>
      <c r="R1218" t="str">
        <f t="shared" si="36"/>
        <v>2670588093</v>
      </c>
      <c r="S1218" t="str">
        <f>IF(LEN(R1218),"Valid","Invalid")</f>
        <v>Valid</v>
      </c>
      <c r="T1218" t="s">
        <v>2865</v>
      </c>
      <c r="V1218" t="s">
        <v>57</v>
      </c>
      <c r="X1218">
        <v>11763.06</v>
      </c>
      <c r="Y1218" t="s">
        <v>64</v>
      </c>
      <c r="Z1218">
        <v>389</v>
      </c>
      <c r="AA1218">
        <f t="shared" si="37"/>
        <v>389</v>
      </c>
      <c r="AB1218" t="s">
        <v>16</v>
      </c>
    </row>
    <row r="1219" spans="1:28" x14ac:dyDescent="0.3">
      <c r="A1219" t="s">
        <v>2864</v>
      </c>
      <c r="B1219" t="s">
        <v>2863</v>
      </c>
      <c r="C1219" t="s">
        <v>8063</v>
      </c>
      <c r="D1219" t="s">
        <v>74</v>
      </c>
      <c r="E1219">
        <v>15</v>
      </c>
      <c r="F1219">
        <v>15</v>
      </c>
      <c r="G1219" t="s">
        <v>80</v>
      </c>
      <c r="H1219" t="s">
        <v>80</v>
      </c>
      <c r="I1219" t="s">
        <v>53</v>
      </c>
      <c r="J1219" t="s">
        <v>20</v>
      </c>
      <c r="K1219" s="1">
        <v>46069</v>
      </c>
      <c r="L1219" s="1" t="str">
        <f>IF(K1219&gt;O1219,"Valid","Invalid")</f>
        <v>Valid</v>
      </c>
      <c r="M1219" s="1" t="b">
        <f>ISNUMBER(K1219)</f>
        <v>1</v>
      </c>
      <c r="N1219" s="1" t="b">
        <f>ISNUMBER(O1219)</f>
        <v>1</v>
      </c>
      <c r="O1219" s="1">
        <v>46046</v>
      </c>
      <c r="P1219" t="s">
        <v>2862</v>
      </c>
      <c r="Q1219" t="str">
        <f>SUBSTITUTE(SUBSTITUTE(SUBSTITUTE(P1219," ",""),"-",""),"+","")</f>
        <v>913015464935</v>
      </c>
      <c r="R1219" t="str">
        <f t="shared" si="36"/>
        <v>3015464935</v>
      </c>
      <c r="S1219" t="str">
        <f>IF(LEN(R1219),"Valid","Invalid")</f>
        <v>Valid</v>
      </c>
      <c r="T1219" t="s">
        <v>2861</v>
      </c>
      <c r="V1219" t="s">
        <v>64</v>
      </c>
      <c r="X1219">
        <v>4804.34</v>
      </c>
      <c r="Y1219" t="s">
        <v>27</v>
      </c>
      <c r="Z1219">
        <v>492</v>
      </c>
      <c r="AA1219">
        <f t="shared" si="37"/>
        <v>492</v>
      </c>
      <c r="AB1219" t="s">
        <v>71</v>
      </c>
    </row>
    <row r="1220" spans="1:28" x14ac:dyDescent="0.3">
      <c r="A1220" t="s">
        <v>2860</v>
      </c>
      <c r="B1220" t="s">
        <v>2859</v>
      </c>
      <c r="C1220" t="s">
        <v>2859</v>
      </c>
      <c r="D1220" t="s">
        <v>40</v>
      </c>
      <c r="E1220">
        <v>28</v>
      </c>
      <c r="F1220">
        <v>28</v>
      </c>
      <c r="G1220" t="s">
        <v>31</v>
      </c>
      <c r="H1220" t="s">
        <v>31</v>
      </c>
      <c r="I1220" t="s">
        <v>85</v>
      </c>
      <c r="J1220" t="s">
        <v>85</v>
      </c>
      <c r="K1220" s="1">
        <v>46025</v>
      </c>
      <c r="L1220" s="1" t="str">
        <f>IF(K1220&gt;O1220,"Valid","Invalid")</f>
        <v>Valid</v>
      </c>
      <c r="M1220" s="1" t="b">
        <f>ISNUMBER(K1220)</f>
        <v>1</v>
      </c>
      <c r="N1220" s="1" t="b">
        <f>ISNUMBER(O1220)</f>
        <v>1</v>
      </c>
      <c r="O1220" s="1">
        <v>46023</v>
      </c>
      <c r="P1220" t="s">
        <v>2858</v>
      </c>
      <c r="Q1220" t="str">
        <f>SUBSTITUTE(SUBSTITUTE(SUBSTITUTE(P1220," ",""),"-",""),"+","")</f>
        <v>918906114159</v>
      </c>
      <c r="R1220" t="str">
        <f t="shared" si="36"/>
        <v>8906114159</v>
      </c>
      <c r="S1220" t="str">
        <f>IF(LEN(R1220),"Valid","Invalid")</f>
        <v>Valid</v>
      </c>
      <c r="T1220" t="s">
        <v>2857</v>
      </c>
      <c r="V1220" t="s">
        <v>17</v>
      </c>
      <c r="X1220">
        <v>7833</v>
      </c>
      <c r="Y1220" t="s">
        <v>57</v>
      </c>
      <c r="Z1220">
        <v>482</v>
      </c>
      <c r="AA1220">
        <f t="shared" si="37"/>
        <v>482</v>
      </c>
      <c r="AB1220" t="s">
        <v>50</v>
      </c>
    </row>
    <row r="1221" spans="1:28" x14ac:dyDescent="0.3">
      <c r="A1221" t="s">
        <v>2856</v>
      </c>
      <c r="B1221" t="s">
        <v>2855</v>
      </c>
      <c r="C1221" t="s">
        <v>2855</v>
      </c>
      <c r="D1221" t="s">
        <v>0</v>
      </c>
      <c r="E1221">
        <v>40</v>
      </c>
      <c r="F1221">
        <v>40</v>
      </c>
      <c r="G1221" t="s">
        <v>47</v>
      </c>
      <c r="H1221" t="s">
        <v>47</v>
      </c>
      <c r="I1221" t="s">
        <v>90</v>
      </c>
      <c r="J1221" t="s">
        <v>67</v>
      </c>
      <c r="K1221" s="1">
        <v>46057</v>
      </c>
      <c r="L1221" s="1" t="str">
        <f>IF(K1221&gt;O1221,"Valid","Invalid")</f>
        <v>Valid</v>
      </c>
      <c r="M1221" s="1" t="b">
        <f>ISNUMBER(K1221)</f>
        <v>1</v>
      </c>
      <c r="N1221" s="1" t="b">
        <f>ISNUMBER(O1221)</f>
        <v>1</v>
      </c>
      <c r="O1221" s="1">
        <v>46035</v>
      </c>
      <c r="P1221" t="s">
        <v>2854</v>
      </c>
      <c r="Q1221" t="str">
        <f>SUBSTITUTE(SUBSTITUTE(SUBSTITUTE(P1221," ",""),"-",""),"+","")</f>
        <v>03477670554</v>
      </c>
      <c r="R1221" t="str">
        <f t="shared" ref="R1221:R1284" si="38">RIGHT(Q1221,10)</f>
        <v>3477670554</v>
      </c>
      <c r="S1221" t="str">
        <f>IF(LEN(R1221),"Valid","Invalid")</f>
        <v>Valid</v>
      </c>
      <c r="T1221" t="s">
        <v>2853</v>
      </c>
      <c r="V1221" t="s">
        <v>26</v>
      </c>
      <c r="X1221">
        <v>4614.5</v>
      </c>
      <c r="Y1221" t="s">
        <v>26</v>
      </c>
      <c r="Z1221">
        <v>389</v>
      </c>
      <c r="AA1221">
        <f t="shared" ref="AA1221:AA1284" si="39">IF(Z1221="Room-x",0,Z1221)</f>
        <v>389</v>
      </c>
      <c r="AB1221" t="s">
        <v>43</v>
      </c>
    </row>
    <row r="1222" spans="1:28" x14ac:dyDescent="0.3">
      <c r="A1222" t="s">
        <v>2852</v>
      </c>
      <c r="B1222" t="s">
        <v>2851</v>
      </c>
      <c r="C1222" t="s">
        <v>2851</v>
      </c>
      <c r="D1222" t="s">
        <v>123</v>
      </c>
      <c r="E1222">
        <v>29</v>
      </c>
      <c r="F1222">
        <v>29</v>
      </c>
      <c r="G1222" t="s">
        <v>21</v>
      </c>
      <c r="H1222" t="s">
        <v>21</v>
      </c>
      <c r="I1222" t="s">
        <v>30</v>
      </c>
      <c r="J1222" t="s">
        <v>30</v>
      </c>
      <c r="K1222" s="1">
        <v>46174</v>
      </c>
      <c r="L1222" s="1" t="str">
        <f>IF(K1222&gt;O1222,"Valid","Invalid")</f>
        <v>Valid</v>
      </c>
      <c r="M1222" s="1" t="b">
        <f>ISNUMBER(K1222)</f>
        <v>1</v>
      </c>
      <c r="N1222" s="1" t="b">
        <f>ISNUMBER(O1222)</f>
        <v>1</v>
      </c>
      <c r="O1222" s="1">
        <v>46146</v>
      </c>
      <c r="P1222" t="s">
        <v>2850</v>
      </c>
      <c r="Q1222" t="str">
        <f>SUBSTITUTE(SUBSTITUTE(SUBSTITUTE(P1222," ",""),"-",""),"+","")</f>
        <v>04181114675</v>
      </c>
      <c r="R1222" t="str">
        <f t="shared" si="38"/>
        <v>4181114675</v>
      </c>
      <c r="S1222" t="str">
        <f>IF(LEN(R1222),"Valid","Invalid")</f>
        <v>Valid</v>
      </c>
      <c r="T1222" t="s">
        <v>2849</v>
      </c>
      <c r="V1222" t="s">
        <v>17</v>
      </c>
      <c r="X1222">
        <v>4592.38</v>
      </c>
      <c r="Y1222" t="s">
        <v>63</v>
      </c>
      <c r="Z1222">
        <v>232</v>
      </c>
      <c r="AA1222">
        <f t="shared" si="39"/>
        <v>232</v>
      </c>
      <c r="AB1222" t="s">
        <v>25</v>
      </c>
    </row>
    <row r="1223" spans="1:28" x14ac:dyDescent="0.3">
      <c r="A1223" t="s">
        <v>2848</v>
      </c>
      <c r="B1223" t="s">
        <v>2847</v>
      </c>
      <c r="C1223" t="s">
        <v>2847</v>
      </c>
      <c r="E1223">
        <v>34</v>
      </c>
      <c r="F1223">
        <v>34</v>
      </c>
      <c r="G1223" t="s">
        <v>80</v>
      </c>
      <c r="H1223" t="s">
        <v>80</v>
      </c>
      <c r="I1223" t="s">
        <v>85</v>
      </c>
      <c r="J1223" t="s">
        <v>85</v>
      </c>
      <c r="K1223" s="1">
        <v>46023</v>
      </c>
      <c r="L1223" s="1" t="str">
        <f>IF(K1223&gt;O1223,"Valid","Invalid")</f>
        <v>Valid</v>
      </c>
      <c r="M1223" s="1" t="b">
        <f>ISNUMBER(K1223)</f>
        <v>1</v>
      </c>
      <c r="N1223" s="1" t="b">
        <f>ISNUMBER(O1223)</f>
        <v>1</v>
      </c>
      <c r="O1223" s="1">
        <v>46012</v>
      </c>
      <c r="P1223" t="s">
        <v>2846</v>
      </c>
      <c r="Q1223" t="str">
        <f>SUBSTITUTE(SUBSTITUTE(SUBSTITUTE(P1223," ",""),"-",""),"+","")</f>
        <v>917310223386</v>
      </c>
      <c r="R1223" t="str">
        <f t="shared" si="38"/>
        <v>7310223386</v>
      </c>
      <c r="S1223" t="str">
        <f>IF(LEN(R1223),"Valid","Invalid")</f>
        <v>Valid</v>
      </c>
      <c r="T1223" t="s">
        <v>2845</v>
      </c>
      <c r="V1223" t="s">
        <v>57</v>
      </c>
      <c r="X1223">
        <v>8851.7099999999991</v>
      </c>
      <c r="Y1223" t="s">
        <v>123</v>
      </c>
      <c r="Z1223">
        <v>524</v>
      </c>
      <c r="AA1223">
        <f t="shared" si="39"/>
        <v>524</v>
      </c>
      <c r="AB1223" t="s">
        <v>25</v>
      </c>
    </row>
    <row r="1224" spans="1:28" x14ac:dyDescent="0.3">
      <c r="A1224" t="s">
        <v>2844</v>
      </c>
      <c r="B1224" t="s">
        <v>2843</v>
      </c>
      <c r="C1224" t="s">
        <v>2843</v>
      </c>
      <c r="D1224" t="s">
        <v>0</v>
      </c>
      <c r="E1224">
        <v>5</v>
      </c>
      <c r="F1224">
        <v>5</v>
      </c>
      <c r="G1224" t="s">
        <v>54</v>
      </c>
      <c r="H1224" t="s">
        <v>54</v>
      </c>
      <c r="I1224" t="s">
        <v>53</v>
      </c>
      <c r="J1224" t="s">
        <v>20</v>
      </c>
      <c r="K1224" s="1">
        <v>45995</v>
      </c>
      <c r="L1224" s="1" t="str">
        <f>IF(K1224&gt;O1224,"Valid","Invalid")</f>
        <v>Valid</v>
      </c>
      <c r="M1224" s="1" t="b">
        <f>ISNUMBER(K1224)</f>
        <v>1</v>
      </c>
      <c r="N1224" s="1" t="b">
        <f>ISNUMBER(O1224)</f>
        <v>1</v>
      </c>
      <c r="O1224" s="1">
        <v>45978</v>
      </c>
      <c r="P1224" t="s">
        <v>2842</v>
      </c>
      <c r="Q1224" t="str">
        <f>SUBSTITUTE(SUBSTITUTE(SUBSTITUTE(P1224," ",""),"-",""),"+","")</f>
        <v>2272925141</v>
      </c>
      <c r="R1224" t="str">
        <f t="shared" si="38"/>
        <v>2272925141</v>
      </c>
      <c r="S1224" t="str">
        <f>IF(LEN(R1224),"Valid","Invalid")</f>
        <v>Valid</v>
      </c>
      <c r="T1224" t="s">
        <v>2841</v>
      </c>
      <c r="V1224" t="s">
        <v>17</v>
      </c>
      <c r="X1224">
        <v>24845.14</v>
      </c>
      <c r="Y1224" t="s">
        <v>123</v>
      </c>
      <c r="Z1224">
        <v>277</v>
      </c>
      <c r="AA1224">
        <f t="shared" si="39"/>
        <v>277</v>
      </c>
      <c r="AB1224" t="s">
        <v>25</v>
      </c>
    </row>
    <row r="1225" spans="1:28" x14ac:dyDescent="0.3">
      <c r="A1225" t="s">
        <v>2840</v>
      </c>
      <c r="B1225" t="s">
        <v>2839</v>
      </c>
      <c r="C1225" t="s">
        <v>2839</v>
      </c>
      <c r="D1225" t="s">
        <v>22</v>
      </c>
      <c r="E1225">
        <v>27</v>
      </c>
      <c r="F1225">
        <v>27</v>
      </c>
      <c r="G1225" t="s">
        <v>31</v>
      </c>
      <c r="H1225" t="s">
        <v>31</v>
      </c>
      <c r="I1225" t="s">
        <v>30</v>
      </c>
      <c r="J1225" t="s">
        <v>30</v>
      </c>
      <c r="K1225" s="1">
        <v>46088</v>
      </c>
      <c r="L1225" s="1" t="str">
        <f>IF(K1225&gt;O1225,"Valid","Invalid")</f>
        <v>Valid</v>
      </c>
      <c r="M1225" s="1" t="b">
        <f>ISNUMBER(K1225)</f>
        <v>1</v>
      </c>
      <c r="N1225" s="1" t="b">
        <f>ISNUMBER(O1225)</f>
        <v>1</v>
      </c>
      <c r="O1225" s="1">
        <v>46086</v>
      </c>
      <c r="P1225" t="s">
        <v>2838</v>
      </c>
      <c r="Q1225" t="str">
        <f>SUBSTITUTE(SUBSTITUTE(SUBSTITUTE(P1225," ",""),"-",""),"+","")</f>
        <v>5001947444</v>
      </c>
      <c r="R1225" t="str">
        <f t="shared" si="38"/>
        <v>5001947444</v>
      </c>
      <c r="S1225" t="str">
        <f>IF(LEN(R1225),"Valid","Invalid")</f>
        <v>Valid</v>
      </c>
      <c r="T1225" t="s">
        <v>2837</v>
      </c>
      <c r="V1225" t="s">
        <v>17</v>
      </c>
      <c r="X1225">
        <v>6603.7</v>
      </c>
      <c r="Y1225" t="s">
        <v>123</v>
      </c>
      <c r="Z1225">
        <v>233</v>
      </c>
      <c r="AA1225">
        <f t="shared" si="39"/>
        <v>233</v>
      </c>
      <c r="AB1225" t="s">
        <v>77</v>
      </c>
    </row>
    <row r="1226" spans="1:28" x14ac:dyDescent="0.3">
      <c r="A1226" t="s">
        <v>2832</v>
      </c>
      <c r="B1226" t="s">
        <v>2831</v>
      </c>
      <c r="C1226" t="s">
        <v>2831</v>
      </c>
      <c r="D1226" t="s">
        <v>40</v>
      </c>
      <c r="E1226">
        <v>42</v>
      </c>
      <c r="F1226">
        <v>42</v>
      </c>
      <c r="G1226" t="s">
        <v>80</v>
      </c>
      <c r="H1226" t="s">
        <v>80</v>
      </c>
      <c r="I1226" t="s">
        <v>67</v>
      </c>
      <c r="J1226" t="s">
        <v>67</v>
      </c>
      <c r="K1226" s="1">
        <v>46073</v>
      </c>
      <c r="L1226" s="1" t="str">
        <f>IF(K1226&gt;O1226,"Valid","Invalid")</f>
        <v>Valid</v>
      </c>
      <c r="M1226" s="1" t="b">
        <f>ISNUMBER(K1226)</f>
        <v>1</v>
      </c>
      <c r="N1226" s="1" t="b">
        <f>ISNUMBER(O1226)</f>
        <v>1</v>
      </c>
      <c r="O1226" s="1">
        <v>46046</v>
      </c>
      <c r="P1226" t="s">
        <v>2830</v>
      </c>
      <c r="Q1226" t="str">
        <f>SUBSTITUTE(SUBSTITUTE(SUBSTITUTE(P1226," ",""),"-",""),"+","")</f>
        <v>09950729293</v>
      </c>
      <c r="R1226" t="str">
        <f t="shared" si="38"/>
        <v>9950729293</v>
      </c>
      <c r="S1226" t="str">
        <f>IF(LEN(R1226),"Valid","Invalid")</f>
        <v>Valid</v>
      </c>
      <c r="T1226" t="s">
        <v>2829</v>
      </c>
      <c r="V1226" t="s">
        <v>27</v>
      </c>
      <c r="X1226">
        <v>4137.01</v>
      </c>
      <c r="Y1226" t="s">
        <v>123</v>
      </c>
      <c r="Z1226">
        <v>271</v>
      </c>
      <c r="AA1226">
        <f t="shared" si="39"/>
        <v>271</v>
      </c>
      <c r="AB1226" t="s">
        <v>43</v>
      </c>
    </row>
    <row r="1227" spans="1:28" x14ac:dyDescent="0.3">
      <c r="A1227" t="s">
        <v>2828</v>
      </c>
      <c r="B1227" t="s">
        <v>2827</v>
      </c>
      <c r="C1227" t="s">
        <v>2827</v>
      </c>
      <c r="D1227" t="s">
        <v>74</v>
      </c>
      <c r="E1227">
        <v>24</v>
      </c>
      <c r="F1227">
        <v>24</v>
      </c>
      <c r="G1227" t="s">
        <v>31</v>
      </c>
      <c r="H1227" t="s">
        <v>31</v>
      </c>
      <c r="I1227" t="s">
        <v>30</v>
      </c>
      <c r="J1227" t="s">
        <v>30</v>
      </c>
      <c r="K1227" s="1">
        <v>46035</v>
      </c>
      <c r="L1227" s="1" t="str">
        <f>IF(K1227&gt;O1227,"Valid","Invalid")</f>
        <v>Valid</v>
      </c>
      <c r="M1227" s="1" t="b">
        <f>ISNUMBER(K1227)</f>
        <v>1</v>
      </c>
      <c r="N1227" s="1" t="b">
        <f>ISNUMBER(O1227)</f>
        <v>1</v>
      </c>
      <c r="O1227" s="1">
        <v>46030</v>
      </c>
      <c r="P1227" t="s">
        <v>2826</v>
      </c>
      <c r="Q1227" t="str">
        <f>SUBSTITUTE(SUBSTITUTE(SUBSTITUTE(P1227," ",""),"-",""),"+","")</f>
        <v>919380188290</v>
      </c>
      <c r="R1227" t="str">
        <f t="shared" si="38"/>
        <v>9380188290</v>
      </c>
      <c r="S1227" t="str">
        <f>IF(LEN(R1227),"Valid","Invalid")</f>
        <v>Valid</v>
      </c>
      <c r="T1227" t="s">
        <v>2825</v>
      </c>
      <c r="V1227" t="s">
        <v>123</v>
      </c>
      <c r="X1227">
        <v>13760.1</v>
      </c>
      <c r="Y1227" t="s">
        <v>27</v>
      </c>
      <c r="Z1227">
        <v>324</v>
      </c>
      <c r="AA1227">
        <f t="shared" si="39"/>
        <v>324</v>
      </c>
      <c r="AB1227" t="s">
        <v>50</v>
      </c>
    </row>
    <row r="1228" spans="1:28" x14ac:dyDescent="0.3">
      <c r="A1228" t="s">
        <v>2824</v>
      </c>
      <c r="B1228" t="s">
        <v>2823</v>
      </c>
      <c r="C1228" t="s">
        <v>2823</v>
      </c>
      <c r="E1228">
        <v>76</v>
      </c>
      <c r="F1228">
        <v>76</v>
      </c>
      <c r="G1228" t="s">
        <v>54</v>
      </c>
      <c r="H1228" t="s">
        <v>54</v>
      </c>
      <c r="I1228" t="s">
        <v>90</v>
      </c>
      <c r="J1228" t="s">
        <v>67</v>
      </c>
      <c r="K1228" s="1">
        <v>46131</v>
      </c>
      <c r="L1228" s="1" t="str">
        <f>IF(K1228&gt;O1228,"Valid","Invalid")</f>
        <v>Valid</v>
      </c>
      <c r="M1228" s="1" t="b">
        <f>ISNUMBER(K1228)</f>
        <v>1</v>
      </c>
      <c r="N1228" s="1" t="b">
        <f>ISNUMBER(O1228)</f>
        <v>1</v>
      </c>
      <c r="O1228" s="1">
        <v>46116</v>
      </c>
      <c r="P1228" t="s">
        <v>2822</v>
      </c>
      <c r="Q1228" t="str">
        <f>SUBSTITUTE(SUBSTITUTE(SUBSTITUTE(P1228," ",""),"-",""),"+","")</f>
        <v>08799479934</v>
      </c>
      <c r="R1228" t="str">
        <f t="shared" si="38"/>
        <v>8799479934</v>
      </c>
      <c r="S1228" t="str">
        <f>IF(LEN(R1228),"Valid","Invalid")</f>
        <v>Valid</v>
      </c>
      <c r="T1228" t="s">
        <v>2821</v>
      </c>
      <c r="V1228" t="s">
        <v>17</v>
      </c>
      <c r="X1228">
        <v>6463.85</v>
      </c>
      <c r="Y1228" t="s">
        <v>17</v>
      </c>
      <c r="Z1228">
        <v>407</v>
      </c>
      <c r="AA1228">
        <f t="shared" si="39"/>
        <v>407</v>
      </c>
      <c r="AB1228" t="s">
        <v>43</v>
      </c>
    </row>
    <row r="1229" spans="1:28" x14ac:dyDescent="0.3">
      <c r="A1229" t="s">
        <v>2820</v>
      </c>
      <c r="B1229" t="s">
        <v>2819</v>
      </c>
      <c r="C1229" t="s">
        <v>2819</v>
      </c>
      <c r="E1229">
        <v>87</v>
      </c>
      <c r="F1229">
        <v>87</v>
      </c>
      <c r="G1229" t="s">
        <v>54</v>
      </c>
      <c r="H1229" t="s">
        <v>54</v>
      </c>
      <c r="I1229" t="s">
        <v>30</v>
      </c>
      <c r="J1229" t="s">
        <v>30</v>
      </c>
      <c r="K1229" s="1">
        <v>46091</v>
      </c>
      <c r="L1229" s="1" t="str">
        <f>IF(K1229&gt;O1229,"Valid","Invalid")</f>
        <v>Valid</v>
      </c>
      <c r="M1229" s="1" t="b">
        <f>ISNUMBER(K1229)</f>
        <v>1</v>
      </c>
      <c r="N1229" s="1" t="b">
        <f>ISNUMBER(O1229)</f>
        <v>1</v>
      </c>
      <c r="O1229" s="1">
        <v>46090</v>
      </c>
      <c r="P1229" t="s">
        <v>2818</v>
      </c>
      <c r="Q1229" t="str">
        <f>SUBSTITUTE(SUBSTITUTE(SUBSTITUTE(P1229," ",""),"-",""),"+","")</f>
        <v>913523298765</v>
      </c>
      <c r="R1229" t="str">
        <f t="shared" si="38"/>
        <v>3523298765</v>
      </c>
      <c r="S1229" t="str">
        <f>IF(LEN(R1229),"Valid","Invalid")</f>
        <v>Valid</v>
      </c>
      <c r="T1229" t="s">
        <v>2817</v>
      </c>
      <c r="V1229" t="s">
        <v>17</v>
      </c>
      <c r="X1229">
        <v>19126.689999999999</v>
      </c>
      <c r="Y1229" t="s">
        <v>64</v>
      </c>
      <c r="Z1229">
        <v>315</v>
      </c>
      <c r="AA1229">
        <f t="shared" si="39"/>
        <v>315</v>
      </c>
      <c r="AB1229" t="s">
        <v>16</v>
      </c>
    </row>
    <row r="1230" spans="1:28" x14ac:dyDescent="0.3">
      <c r="A1230" t="s">
        <v>2816</v>
      </c>
      <c r="B1230" t="s">
        <v>2815</v>
      </c>
      <c r="C1230" t="s">
        <v>2815</v>
      </c>
      <c r="D1230" t="s">
        <v>22</v>
      </c>
      <c r="E1230">
        <v>74</v>
      </c>
      <c r="F1230">
        <v>74</v>
      </c>
      <c r="G1230" t="s">
        <v>54</v>
      </c>
      <c r="H1230" t="s">
        <v>54</v>
      </c>
      <c r="I1230" t="s">
        <v>46</v>
      </c>
      <c r="J1230" t="s">
        <v>46</v>
      </c>
      <c r="K1230" s="1">
        <v>46124</v>
      </c>
      <c r="L1230" s="1" t="str">
        <f>IF(K1230&gt;O1230,"Valid","Invalid")</f>
        <v>Valid</v>
      </c>
      <c r="M1230" s="1" t="b">
        <f>ISNUMBER(K1230)</f>
        <v>1</v>
      </c>
      <c r="N1230" s="1" t="b">
        <f>ISNUMBER(O1230)</f>
        <v>1</v>
      </c>
      <c r="O1230" s="1">
        <v>46119</v>
      </c>
      <c r="P1230" t="s">
        <v>510</v>
      </c>
      <c r="Q1230" t="str">
        <f>SUBSTITUTE(SUBSTITUTE(SUBSTITUTE(P1230," ",""),"-",""),"+","")</f>
        <v>12345</v>
      </c>
      <c r="R1230" t="str">
        <f t="shared" si="38"/>
        <v>12345</v>
      </c>
      <c r="S1230" t="str">
        <f>IF(LEN(R1230),"Valid","Invalid")</f>
        <v>Valid</v>
      </c>
      <c r="T1230" t="s">
        <v>2814</v>
      </c>
      <c r="V1230" t="s">
        <v>35</v>
      </c>
      <c r="X1230">
        <v>23074.37</v>
      </c>
      <c r="Y1230" t="s">
        <v>57</v>
      </c>
      <c r="Z1230">
        <v>390</v>
      </c>
      <c r="AA1230">
        <f t="shared" si="39"/>
        <v>390</v>
      </c>
      <c r="AB1230" t="s">
        <v>50</v>
      </c>
    </row>
    <row r="1231" spans="1:28" x14ac:dyDescent="0.3">
      <c r="A1231" t="s">
        <v>2813</v>
      </c>
      <c r="B1231" t="s">
        <v>2812</v>
      </c>
      <c r="C1231" t="s">
        <v>2812</v>
      </c>
      <c r="D1231" t="s">
        <v>0</v>
      </c>
      <c r="E1231">
        <v>17</v>
      </c>
      <c r="F1231">
        <v>17</v>
      </c>
      <c r="G1231" t="s">
        <v>31</v>
      </c>
      <c r="H1231" t="s">
        <v>31</v>
      </c>
      <c r="I1231" t="s">
        <v>46</v>
      </c>
      <c r="J1231" t="s">
        <v>46</v>
      </c>
      <c r="K1231" s="1">
        <v>46135</v>
      </c>
      <c r="L1231" s="1" t="str">
        <f>IF(K1231&gt;O1231,"Valid","Invalid")</f>
        <v>Valid</v>
      </c>
      <c r="M1231" s="1" t="b">
        <f>ISNUMBER(K1231)</f>
        <v>1</v>
      </c>
      <c r="N1231" s="1" t="b">
        <f>ISNUMBER(O1231)</f>
        <v>1</v>
      </c>
      <c r="O1231" s="1">
        <v>46133</v>
      </c>
      <c r="P1231" t="s">
        <v>2811</v>
      </c>
      <c r="Q1231" t="str">
        <f>SUBSTITUTE(SUBSTITUTE(SUBSTITUTE(P1231," ",""),"-",""),"+","")</f>
        <v>4907610409</v>
      </c>
      <c r="R1231" t="str">
        <f t="shared" si="38"/>
        <v>4907610409</v>
      </c>
      <c r="S1231" t="str">
        <f>IF(LEN(R1231),"Valid","Invalid")</f>
        <v>Valid</v>
      </c>
      <c r="T1231" t="s">
        <v>2810</v>
      </c>
      <c r="V1231" t="s">
        <v>26</v>
      </c>
      <c r="X1231">
        <v>19863.009999999998</v>
      </c>
      <c r="Y1231" t="s">
        <v>26</v>
      </c>
      <c r="Z1231">
        <v>510</v>
      </c>
      <c r="AA1231">
        <f t="shared" si="39"/>
        <v>510</v>
      </c>
      <c r="AB1231" t="s">
        <v>43</v>
      </c>
    </row>
    <row r="1232" spans="1:28" x14ac:dyDescent="0.3">
      <c r="A1232" t="s">
        <v>2805</v>
      </c>
      <c r="B1232" t="s">
        <v>2804</v>
      </c>
      <c r="C1232" t="s">
        <v>2804</v>
      </c>
      <c r="D1232" t="s">
        <v>74</v>
      </c>
      <c r="E1232">
        <v>24</v>
      </c>
      <c r="F1232">
        <v>24</v>
      </c>
      <c r="G1232" t="s">
        <v>21</v>
      </c>
      <c r="H1232" t="s">
        <v>21</v>
      </c>
      <c r="I1232" t="s">
        <v>38</v>
      </c>
      <c r="J1232" t="s">
        <v>8077</v>
      </c>
      <c r="K1232" s="1">
        <v>46133</v>
      </c>
      <c r="L1232" s="1" t="str">
        <f>IF(K1232&gt;O1232,"Valid","Invalid")</f>
        <v>Valid</v>
      </c>
      <c r="M1232" s="1" t="b">
        <f>ISNUMBER(K1232)</f>
        <v>1</v>
      </c>
      <c r="N1232" s="1" t="b">
        <f>ISNUMBER(O1232)</f>
        <v>1</v>
      </c>
      <c r="O1232" s="1">
        <v>46120</v>
      </c>
      <c r="P1232" t="s">
        <v>2803</v>
      </c>
      <c r="Q1232" t="str">
        <f>SUBSTITUTE(SUBSTITUTE(SUBSTITUTE(P1232," ",""),"-",""),"+","")</f>
        <v>03610271287</v>
      </c>
      <c r="R1232" t="str">
        <f t="shared" si="38"/>
        <v>3610271287</v>
      </c>
      <c r="S1232" t="str">
        <f>IF(LEN(R1232),"Valid","Invalid")</f>
        <v>Valid</v>
      </c>
      <c r="T1232" t="s">
        <v>2802</v>
      </c>
      <c r="V1232" t="s">
        <v>64</v>
      </c>
      <c r="X1232">
        <v>18158.53</v>
      </c>
      <c r="Y1232" t="s">
        <v>26</v>
      </c>
      <c r="Z1232">
        <v>450</v>
      </c>
      <c r="AA1232">
        <f t="shared" si="39"/>
        <v>450</v>
      </c>
      <c r="AB1232" t="s">
        <v>34</v>
      </c>
    </row>
    <row r="1233" spans="1:28" x14ac:dyDescent="0.3">
      <c r="A1233" t="s">
        <v>2801</v>
      </c>
      <c r="B1233" t="s">
        <v>2800</v>
      </c>
      <c r="C1233" t="s">
        <v>2800</v>
      </c>
      <c r="D1233" t="s">
        <v>60</v>
      </c>
      <c r="E1233">
        <v>1</v>
      </c>
      <c r="F1233">
        <v>1</v>
      </c>
      <c r="G1233" t="s">
        <v>68</v>
      </c>
      <c r="H1233" t="s">
        <v>68</v>
      </c>
      <c r="I1233" t="s">
        <v>53</v>
      </c>
      <c r="J1233" t="s">
        <v>20</v>
      </c>
      <c r="K1233" s="1">
        <v>45998</v>
      </c>
      <c r="L1233" s="1" t="str">
        <f>IF(K1233&gt;O1233,"Valid","Invalid")</f>
        <v>Valid</v>
      </c>
      <c r="M1233" s="1" t="b">
        <f>ISNUMBER(K1233)</f>
        <v>1</v>
      </c>
      <c r="N1233" s="1" t="b">
        <f>ISNUMBER(O1233)</f>
        <v>1</v>
      </c>
      <c r="O1233" s="1">
        <v>45987</v>
      </c>
      <c r="P1233" t="s">
        <v>2799</v>
      </c>
      <c r="Q1233" t="str">
        <f>SUBSTITUTE(SUBSTITUTE(SUBSTITUTE(P1233," ",""),"-",""),"+","")</f>
        <v>913611827483</v>
      </c>
      <c r="R1233" t="str">
        <f t="shared" si="38"/>
        <v>3611827483</v>
      </c>
      <c r="S1233" t="str">
        <f>IF(LEN(R1233),"Valid","Invalid")</f>
        <v>Valid</v>
      </c>
      <c r="T1233" t="s">
        <v>2798</v>
      </c>
      <c r="V1233" t="s">
        <v>64</v>
      </c>
      <c r="X1233">
        <v>11875.86</v>
      </c>
      <c r="Y1233" t="s">
        <v>123</v>
      </c>
      <c r="Z1233">
        <v>457</v>
      </c>
      <c r="AA1233">
        <f t="shared" si="39"/>
        <v>457</v>
      </c>
      <c r="AB1233" t="s">
        <v>71</v>
      </c>
    </row>
    <row r="1234" spans="1:28" x14ac:dyDescent="0.3">
      <c r="A1234" t="s">
        <v>2797</v>
      </c>
      <c r="B1234" t="s">
        <v>2796</v>
      </c>
      <c r="C1234" t="s">
        <v>2796</v>
      </c>
      <c r="E1234">
        <v>86</v>
      </c>
      <c r="F1234">
        <v>86</v>
      </c>
      <c r="G1234" t="s">
        <v>54</v>
      </c>
      <c r="H1234" t="s">
        <v>54</v>
      </c>
      <c r="I1234" t="s">
        <v>85</v>
      </c>
      <c r="J1234" t="s">
        <v>85</v>
      </c>
      <c r="K1234" s="1">
        <v>46161</v>
      </c>
      <c r="L1234" s="1" t="str">
        <f>IF(K1234&gt;O1234,"Valid","Invalid")</f>
        <v>Valid</v>
      </c>
      <c r="M1234" s="1" t="b">
        <f>ISNUMBER(K1234)</f>
        <v>1</v>
      </c>
      <c r="N1234" s="1" t="b">
        <f>ISNUMBER(O1234)</f>
        <v>1</v>
      </c>
      <c r="O1234" s="1">
        <v>46139</v>
      </c>
      <c r="P1234" t="s">
        <v>2795</v>
      </c>
      <c r="Q1234" t="str">
        <f>SUBSTITUTE(SUBSTITUTE(SUBSTITUTE(P1234," ",""),"-",""),"+","")</f>
        <v>0991987878</v>
      </c>
      <c r="R1234" t="str">
        <f t="shared" si="38"/>
        <v>0991987878</v>
      </c>
      <c r="S1234" t="str">
        <f>IF(LEN(R1234),"Valid","Invalid")</f>
        <v>Valid</v>
      </c>
      <c r="T1234" t="s">
        <v>2794</v>
      </c>
      <c r="V1234" t="s">
        <v>17</v>
      </c>
      <c r="X1234">
        <v>19123.79</v>
      </c>
      <c r="Y1234" t="s">
        <v>64</v>
      </c>
      <c r="Z1234">
        <v>298</v>
      </c>
      <c r="AA1234">
        <f t="shared" si="39"/>
        <v>298</v>
      </c>
      <c r="AB1234" t="s">
        <v>71</v>
      </c>
    </row>
    <row r="1235" spans="1:28" x14ac:dyDescent="0.3">
      <c r="A1235" t="s">
        <v>2793</v>
      </c>
      <c r="B1235" t="s">
        <v>2792</v>
      </c>
      <c r="C1235" t="s">
        <v>2792</v>
      </c>
      <c r="D1235" t="s">
        <v>60</v>
      </c>
      <c r="E1235">
        <v>18</v>
      </c>
      <c r="F1235">
        <v>18</v>
      </c>
      <c r="G1235" t="s">
        <v>54</v>
      </c>
      <c r="H1235" t="s">
        <v>54</v>
      </c>
      <c r="I1235" t="s">
        <v>67</v>
      </c>
      <c r="J1235" t="s">
        <v>67</v>
      </c>
      <c r="K1235" s="1">
        <v>46167</v>
      </c>
      <c r="L1235" s="1" t="str">
        <f>IF(K1235&gt;O1235,"Valid","Invalid")</f>
        <v>Valid</v>
      </c>
      <c r="M1235" s="1" t="b">
        <f>ISNUMBER(K1235)</f>
        <v>1</v>
      </c>
      <c r="N1235" s="1" t="b">
        <f>ISNUMBER(O1235)</f>
        <v>1</v>
      </c>
      <c r="O1235" s="1">
        <v>46139</v>
      </c>
      <c r="P1235" t="s">
        <v>2791</v>
      </c>
      <c r="Q1235" t="str">
        <f>SUBSTITUTE(SUBSTITUTE(SUBSTITUTE(P1235," ",""),"-",""),"+","")</f>
        <v>09388076660</v>
      </c>
      <c r="R1235" t="str">
        <f t="shared" si="38"/>
        <v>9388076660</v>
      </c>
      <c r="S1235" t="str">
        <f>IF(LEN(R1235),"Valid","Invalid")</f>
        <v>Valid</v>
      </c>
      <c r="T1235" t="s">
        <v>2790</v>
      </c>
      <c r="V1235" t="s">
        <v>26</v>
      </c>
      <c r="X1235">
        <v>20530.82</v>
      </c>
      <c r="Y1235" t="s">
        <v>123</v>
      </c>
      <c r="Z1235">
        <v>405</v>
      </c>
      <c r="AA1235">
        <f t="shared" si="39"/>
        <v>405</v>
      </c>
      <c r="AB1235" t="s">
        <v>16</v>
      </c>
    </row>
    <row r="1236" spans="1:28" x14ac:dyDescent="0.3">
      <c r="A1236" t="s">
        <v>2789</v>
      </c>
      <c r="B1236" t="s">
        <v>2788</v>
      </c>
      <c r="C1236" t="s">
        <v>2788</v>
      </c>
      <c r="D1236" t="s">
        <v>74</v>
      </c>
      <c r="E1236">
        <v>45</v>
      </c>
      <c r="F1236">
        <v>45</v>
      </c>
      <c r="G1236" t="s">
        <v>68</v>
      </c>
      <c r="H1236" t="s">
        <v>68</v>
      </c>
      <c r="I1236" t="s">
        <v>46</v>
      </c>
      <c r="J1236" t="s">
        <v>46</v>
      </c>
      <c r="K1236" s="1">
        <v>46094</v>
      </c>
      <c r="L1236" s="1" t="str">
        <f>IF(K1236&gt;O1236,"Valid","Invalid")</f>
        <v>Valid</v>
      </c>
      <c r="M1236" s="1" t="b">
        <f>ISNUMBER(K1236)</f>
        <v>1</v>
      </c>
      <c r="N1236" s="1" t="b">
        <f>ISNUMBER(O1236)</f>
        <v>1</v>
      </c>
      <c r="O1236" s="1">
        <v>46087</v>
      </c>
      <c r="P1236" t="s">
        <v>2787</v>
      </c>
      <c r="Q1236" t="str">
        <f>SUBSTITUTE(SUBSTITUTE(SUBSTITUTE(P1236," ",""),"-",""),"+","")</f>
        <v>05869670999</v>
      </c>
      <c r="R1236" t="str">
        <f t="shared" si="38"/>
        <v>5869670999</v>
      </c>
      <c r="S1236" t="str">
        <f>IF(LEN(R1236),"Valid","Invalid")</f>
        <v>Valid</v>
      </c>
      <c r="T1236" t="s">
        <v>2786</v>
      </c>
      <c r="V1236" t="s">
        <v>35</v>
      </c>
      <c r="X1236">
        <v>19242.53</v>
      </c>
      <c r="Y1236" t="s">
        <v>17</v>
      </c>
      <c r="Z1236">
        <v>285</v>
      </c>
      <c r="AA1236">
        <f t="shared" si="39"/>
        <v>285</v>
      </c>
      <c r="AB1236" t="s">
        <v>43</v>
      </c>
    </row>
    <row r="1237" spans="1:28" x14ac:dyDescent="0.3">
      <c r="A1237" t="s">
        <v>2785</v>
      </c>
      <c r="B1237" t="s">
        <v>2784</v>
      </c>
      <c r="C1237" t="s">
        <v>2784</v>
      </c>
      <c r="D1237" t="s">
        <v>40</v>
      </c>
      <c r="E1237">
        <v>79</v>
      </c>
      <c r="F1237">
        <v>79</v>
      </c>
      <c r="G1237" t="s">
        <v>54</v>
      </c>
      <c r="H1237" t="s">
        <v>54</v>
      </c>
      <c r="I1237" t="s">
        <v>20</v>
      </c>
      <c r="J1237" t="s">
        <v>20</v>
      </c>
      <c r="K1237" s="1">
        <v>46010</v>
      </c>
      <c r="L1237" s="1" t="str">
        <f>IF(K1237&gt;O1237,"Valid","Invalid")</f>
        <v>Valid</v>
      </c>
      <c r="M1237" s="1" t="b">
        <f>ISNUMBER(K1237)</f>
        <v>1</v>
      </c>
      <c r="N1237" s="1" t="b">
        <f>ISNUMBER(O1237)</f>
        <v>1</v>
      </c>
      <c r="O1237" s="1">
        <v>45990</v>
      </c>
      <c r="P1237" t="s">
        <v>2783</v>
      </c>
      <c r="Q1237" t="str">
        <f>SUBSTITUTE(SUBSTITUTE(SUBSTITUTE(P1237," ",""),"-",""),"+","")</f>
        <v>910610488943</v>
      </c>
      <c r="R1237" t="str">
        <f t="shared" si="38"/>
        <v>0610488943</v>
      </c>
      <c r="S1237" t="str">
        <f>IF(LEN(R1237),"Valid","Invalid")</f>
        <v>Valid</v>
      </c>
      <c r="T1237" t="s">
        <v>2782</v>
      </c>
      <c r="V1237" t="s">
        <v>17</v>
      </c>
      <c r="X1237">
        <v>3624.38</v>
      </c>
      <c r="Y1237" t="s">
        <v>57</v>
      </c>
      <c r="Z1237">
        <v>122</v>
      </c>
      <c r="AA1237">
        <f t="shared" si="39"/>
        <v>122</v>
      </c>
      <c r="AB1237" t="s">
        <v>71</v>
      </c>
    </row>
    <row r="1238" spans="1:28" x14ac:dyDescent="0.3">
      <c r="A1238" t="s">
        <v>2781</v>
      </c>
      <c r="B1238" t="s">
        <v>2780</v>
      </c>
      <c r="C1238" t="s">
        <v>2780</v>
      </c>
      <c r="D1238" t="s">
        <v>22</v>
      </c>
      <c r="E1238">
        <v>56</v>
      </c>
      <c r="F1238">
        <v>56</v>
      </c>
      <c r="G1238" t="s">
        <v>80</v>
      </c>
      <c r="H1238" t="s">
        <v>80</v>
      </c>
      <c r="I1238" t="s">
        <v>67</v>
      </c>
      <c r="J1238" t="s">
        <v>67</v>
      </c>
      <c r="K1238" s="1">
        <v>46104</v>
      </c>
      <c r="L1238" s="1" t="str">
        <f>IF(K1238&gt;O1238,"Valid","Invalid")</f>
        <v>Valid</v>
      </c>
      <c r="M1238" s="1" t="b">
        <f>ISNUMBER(K1238)</f>
        <v>1</v>
      </c>
      <c r="N1238" s="1" t="b">
        <f>ISNUMBER(O1238)</f>
        <v>1</v>
      </c>
      <c r="O1238" s="1">
        <v>46092</v>
      </c>
      <c r="P1238" t="s">
        <v>2779</v>
      </c>
      <c r="Q1238" t="str">
        <f>SUBSTITUTE(SUBSTITUTE(SUBSTITUTE(P1238," ",""),"-",""),"+","")</f>
        <v>914272533983</v>
      </c>
      <c r="R1238" t="str">
        <f t="shared" si="38"/>
        <v>4272533983</v>
      </c>
      <c r="S1238" t="str">
        <f>IF(LEN(R1238),"Valid","Invalid")</f>
        <v>Valid</v>
      </c>
      <c r="T1238" t="s">
        <v>2778</v>
      </c>
      <c r="V1238" t="s">
        <v>35</v>
      </c>
      <c r="X1238">
        <v>10757.64</v>
      </c>
      <c r="Y1238" t="s">
        <v>63</v>
      </c>
      <c r="Z1238">
        <v>259</v>
      </c>
      <c r="AA1238">
        <f t="shared" si="39"/>
        <v>259</v>
      </c>
      <c r="AB1238" t="s">
        <v>16</v>
      </c>
    </row>
    <row r="1239" spans="1:28" x14ac:dyDescent="0.3">
      <c r="A1239" t="s">
        <v>2777</v>
      </c>
      <c r="B1239" t="s">
        <v>2776</v>
      </c>
      <c r="C1239" t="s">
        <v>2776</v>
      </c>
      <c r="E1239">
        <v>5</v>
      </c>
      <c r="F1239">
        <v>5</v>
      </c>
      <c r="G1239" t="s">
        <v>132</v>
      </c>
      <c r="H1239" t="s">
        <v>132</v>
      </c>
      <c r="I1239" t="s">
        <v>90</v>
      </c>
      <c r="J1239" t="s">
        <v>67</v>
      </c>
      <c r="K1239" s="1">
        <v>46026</v>
      </c>
      <c r="L1239" s="1" t="str">
        <f>IF(K1239&gt;O1239,"Valid","Invalid")</f>
        <v>Valid</v>
      </c>
      <c r="M1239" s="1" t="b">
        <f>ISNUMBER(K1239)</f>
        <v>1</v>
      </c>
      <c r="N1239" s="1" t="b">
        <f>ISNUMBER(O1239)</f>
        <v>1</v>
      </c>
      <c r="O1239" s="1">
        <v>46021</v>
      </c>
      <c r="P1239" t="s">
        <v>2775</v>
      </c>
      <c r="Q1239" t="str">
        <f>SUBSTITUTE(SUBSTITUTE(SUBSTITUTE(P1239," ",""),"-",""),"+","")</f>
        <v>07713337047</v>
      </c>
      <c r="R1239" t="str">
        <f t="shared" si="38"/>
        <v>7713337047</v>
      </c>
      <c r="S1239" t="str">
        <f>IF(LEN(R1239),"Valid","Invalid")</f>
        <v>Valid</v>
      </c>
      <c r="T1239" t="s">
        <v>2774</v>
      </c>
      <c r="V1239" t="s">
        <v>35</v>
      </c>
      <c r="X1239">
        <v>10075.76</v>
      </c>
      <c r="Y1239" t="s">
        <v>64</v>
      </c>
      <c r="Z1239">
        <v>338</v>
      </c>
      <c r="AA1239">
        <f t="shared" si="39"/>
        <v>338</v>
      </c>
      <c r="AB1239" t="s">
        <v>50</v>
      </c>
    </row>
    <row r="1240" spans="1:28" x14ac:dyDescent="0.3">
      <c r="A1240" t="s">
        <v>2773</v>
      </c>
      <c r="B1240" t="s">
        <v>2772</v>
      </c>
      <c r="C1240" t="s">
        <v>2772</v>
      </c>
      <c r="D1240" t="s">
        <v>74</v>
      </c>
      <c r="E1240">
        <v>45</v>
      </c>
      <c r="F1240">
        <v>45</v>
      </c>
      <c r="G1240" t="s">
        <v>80</v>
      </c>
      <c r="H1240" t="s">
        <v>80</v>
      </c>
      <c r="I1240" t="s">
        <v>90</v>
      </c>
      <c r="J1240" t="s">
        <v>67</v>
      </c>
      <c r="K1240" s="1">
        <v>46105</v>
      </c>
      <c r="L1240" s="1" t="str">
        <f>IF(K1240&gt;O1240,"Valid","Invalid")</f>
        <v>Valid</v>
      </c>
      <c r="M1240" s="1" t="b">
        <f>ISNUMBER(K1240)</f>
        <v>1</v>
      </c>
      <c r="N1240" s="1" t="b">
        <f>ISNUMBER(O1240)</f>
        <v>1</v>
      </c>
      <c r="O1240" s="1">
        <v>46080</v>
      </c>
      <c r="P1240" t="s">
        <v>2771</v>
      </c>
      <c r="Q1240" t="str">
        <f>SUBSTITUTE(SUBSTITUTE(SUBSTITUTE(P1240," ",""),"-",""),"+","")</f>
        <v>4065873055</v>
      </c>
      <c r="R1240" t="str">
        <f t="shared" si="38"/>
        <v>4065873055</v>
      </c>
      <c r="S1240" t="str">
        <f>IF(LEN(R1240),"Valid","Invalid")</f>
        <v>Valid</v>
      </c>
      <c r="T1240" t="s">
        <v>2770</v>
      </c>
      <c r="V1240" t="s">
        <v>27</v>
      </c>
      <c r="X1240">
        <v>4189.92</v>
      </c>
      <c r="Y1240" t="s">
        <v>26</v>
      </c>
      <c r="Z1240">
        <v>394</v>
      </c>
      <c r="AA1240">
        <f t="shared" si="39"/>
        <v>394</v>
      </c>
      <c r="AB1240" t="s">
        <v>34</v>
      </c>
    </row>
    <row r="1241" spans="1:28" x14ac:dyDescent="0.3">
      <c r="A1241" t="s">
        <v>2769</v>
      </c>
      <c r="B1241" t="s">
        <v>2768</v>
      </c>
      <c r="C1241" t="s">
        <v>2768</v>
      </c>
      <c r="D1241" t="s">
        <v>123</v>
      </c>
      <c r="E1241">
        <v>88</v>
      </c>
      <c r="F1241">
        <v>88</v>
      </c>
      <c r="G1241" t="s">
        <v>68</v>
      </c>
      <c r="H1241" t="s">
        <v>68</v>
      </c>
      <c r="I1241" t="s">
        <v>46</v>
      </c>
      <c r="J1241" t="s">
        <v>46</v>
      </c>
      <c r="K1241" s="1">
        <v>46034</v>
      </c>
      <c r="L1241" s="1" t="str">
        <f>IF(K1241&gt;O1241,"Valid","Invalid")</f>
        <v>Valid</v>
      </c>
      <c r="M1241" s="1" t="b">
        <f>ISNUMBER(K1241)</f>
        <v>1</v>
      </c>
      <c r="N1241" s="1" t="b">
        <f>ISNUMBER(O1241)</f>
        <v>1</v>
      </c>
      <c r="O1241" s="1">
        <v>46019</v>
      </c>
      <c r="P1241" t="s">
        <v>2767</v>
      </c>
      <c r="Q1241" t="str">
        <f>SUBSTITUTE(SUBSTITUTE(SUBSTITUTE(P1241," ",""),"-",""),"+","")</f>
        <v>0431900451</v>
      </c>
      <c r="R1241" t="str">
        <f t="shared" si="38"/>
        <v>0431900451</v>
      </c>
      <c r="S1241" t="str">
        <f>IF(LEN(R1241),"Valid","Invalid")</f>
        <v>Valid</v>
      </c>
      <c r="T1241" t="s">
        <v>2766</v>
      </c>
      <c r="V1241" t="s">
        <v>123</v>
      </c>
      <c r="X1241">
        <v>10676.94</v>
      </c>
      <c r="Y1241" t="s">
        <v>27</v>
      </c>
      <c r="Z1241">
        <v>255</v>
      </c>
      <c r="AA1241">
        <f t="shared" si="39"/>
        <v>255</v>
      </c>
      <c r="AB1241" t="s">
        <v>16</v>
      </c>
    </row>
    <row r="1242" spans="1:28" x14ac:dyDescent="0.3">
      <c r="A1242" t="s">
        <v>2765</v>
      </c>
      <c r="B1242" t="s">
        <v>2764</v>
      </c>
      <c r="C1242" t="s">
        <v>2764</v>
      </c>
      <c r="D1242" t="s">
        <v>22</v>
      </c>
      <c r="E1242">
        <v>82</v>
      </c>
      <c r="F1242">
        <v>82</v>
      </c>
      <c r="G1242" t="s">
        <v>80</v>
      </c>
      <c r="H1242" t="s">
        <v>80</v>
      </c>
      <c r="I1242" t="s">
        <v>85</v>
      </c>
      <c r="J1242" t="s">
        <v>85</v>
      </c>
      <c r="K1242" s="1">
        <v>46148</v>
      </c>
      <c r="L1242" s="1" t="str">
        <f>IF(K1242&gt;O1242,"Valid","Invalid")</f>
        <v>Valid</v>
      </c>
      <c r="M1242" s="1" t="b">
        <f>ISNUMBER(K1242)</f>
        <v>1</v>
      </c>
      <c r="N1242" s="1" t="b">
        <f>ISNUMBER(O1242)</f>
        <v>1</v>
      </c>
      <c r="O1242" s="1">
        <v>46132</v>
      </c>
      <c r="P1242" t="s">
        <v>2763</v>
      </c>
      <c r="Q1242" t="str">
        <f>SUBSTITUTE(SUBSTITUTE(SUBSTITUTE(P1242," ",""),"-",""),"+","")</f>
        <v>7257313966</v>
      </c>
      <c r="R1242" t="str">
        <f t="shared" si="38"/>
        <v>7257313966</v>
      </c>
      <c r="S1242" t="str">
        <f>IF(LEN(R1242),"Valid","Invalid")</f>
        <v>Valid</v>
      </c>
      <c r="T1242" t="s">
        <v>2762</v>
      </c>
      <c r="V1242" t="s">
        <v>57</v>
      </c>
      <c r="X1242">
        <v>19568.89</v>
      </c>
      <c r="Y1242" t="s">
        <v>17</v>
      </c>
      <c r="Z1242">
        <v>532</v>
      </c>
      <c r="AA1242">
        <f t="shared" si="39"/>
        <v>532</v>
      </c>
      <c r="AB1242" t="s">
        <v>34</v>
      </c>
    </row>
    <row r="1243" spans="1:28" x14ac:dyDescent="0.3">
      <c r="A1243" t="s">
        <v>2761</v>
      </c>
      <c r="B1243" t="s">
        <v>2760</v>
      </c>
      <c r="C1243" t="s">
        <v>2760</v>
      </c>
      <c r="D1243" t="s">
        <v>60</v>
      </c>
      <c r="E1243">
        <v>15</v>
      </c>
      <c r="F1243">
        <v>15</v>
      </c>
      <c r="G1243" t="s">
        <v>39</v>
      </c>
      <c r="H1243" t="s">
        <v>39</v>
      </c>
      <c r="I1243" t="s">
        <v>90</v>
      </c>
      <c r="J1243" t="s">
        <v>67</v>
      </c>
      <c r="K1243" s="1">
        <v>46144</v>
      </c>
      <c r="L1243" s="1" t="str">
        <f>IF(K1243&gt;O1243,"Valid","Invalid")</f>
        <v>Valid</v>
      </c>
      <c r="M1243" s="1" t="b">
        <f>ISNUMBER(K1243)</f>
        <v>1</v>
      </c>
      <c r="N1243" s="1" t="b">
        <f>ISNUMBER(O1243)</f>
        <v>1</v>
      </c>
      <c r="O1243" s="1">
        <v>46127</v>
      </c>
      <c r="P1243" t="s">
        <v>2759</v>
      </c>
      <c r="Q1243" t="str">
        <f>SUBSTITUTE(SUBSTITUTE(SUBSTITUTE(P1243," ",""),"-",""),"+","")</f>
        <v>915309426691</v>
      </c>
      <c r="R1243" t="str">
        <f t="shared" si="38"/>
        <v>5309426691</v>
      </c>
      <c r="S1243" t="str">
        <f>IF(LEN(R1243),"Valid","Invalid")</f>
        <v>Valid</v>
      </c>
      <c r="T1243" t="s">
        <v>2758</v>
      </c>
      <c r="V1243" t="s">
        <v>123</v>
      </c>
      <c r="X1243">
        <v>21783.79</v>
      </c>
      <c r="Y1243" t="s">
        <v>64</v>
      </c>
      <c r="Z1243">
        <v>176</v>
      </c>
      <c r="AA1243">
        <f t="shared" si="39"/>
        <v>176</v>
      </c>
      <c r="AB1243" t="s">
        <v>77</v>
      </c>
    </row>
    <row r="1244" spans="1:28" x14ac:dyDescent="0.3">
      <c r="A1244" t="s">
        <v>2757</v>
      </c>
      <c r="B1244" t="s">
        <v>2756</v>
      </c>
      <c r="C1244" t="s">
        <v>2756</v>
      </c>
      <c r="D1244" t="s">
        <v>60</v>
      </c>
      <c r="E1244">
        <v>76</v>
      </c>
      <c r="F1244">
        <v>76</v>
      </c>
      <c r="G1244" t="s">
        <v>850</v>
      </c>
      <c r="H1244" t="s">
        <v>850</v>
      </c>
      <c r="I1244" t="s">
        <v>38</v>
      </c>
      <c r="J1244" t="s">
        <v>8077</v>
      </c>
      <c r="K1244" s="1">
        <v>46030</v>
      </c>
      <c r="L1244" s="1" t="str">
        <f>IF(K1244&gt;O1244,"Valid","Invalid")</f>
        <v>Valid</v>
      </c>
      <c r="M1244" s="1" t="b">
        <f>ISNUMBER(K1244)</f>
        <v>1</v>
      </c>
      <c r="N1244" s="1" t="b">
        <f>ISNUMBER(O1244)</f>
        <v>1</v>
      </c>
      <c r="O1244" s="1">
        <v>46014</v>
      </c>
      <c r="P1244" t="s">
        <v>2755</v>
      </c>
      <c r="Q1244" t="str">
        <f>SUBSTITUTE(SUBSTITUTE(SUBSTITUTE(P1244," ",""),"-",""),"+","")</f>
        <v>911894186245</v>
      </c>
      <c r="R1244" t="str">
        <f t="shared" si="38"/>
        <v>1894186245</v>
      </c>
      <c r="S1244" t="str">
        <f>IF(LEN(R1244),"Valid","Invalid")</f>
        <v>Valid</v>
      </c>
      <c r="T1244" t="s">
        <v>2754</v>
      </c>
      <c r="V1244" t="s">
        <v>123</v>
      </c>
      <c r="X1244">
        <v>10985.22</v>
      </c>
      <c r="Y1244" t="s">
        <v>123</v>
      </c>
      <c r="Z1244">
        <v>244</v>
      </c>
      <c r="AA1244">
        <f t="shared" si="39"/>
        <v>244</v>
      </c>
      <c r="AB1244" t="s">
        <v>77</v>
      </c>
    </row>
    <row r="1245" spans="1:28" x14ac:dyDescent="0.3">
      <c r="A1245" t="s">
        <v>2753</v>
      </c>
      <c r="B1245" t="s">
        <v>2752</v>
      </c>
      <c r="C1245" t="s">
        <v>2752</v>
      </c>
      <c r="D1245" t="s">
        <v>74</v>
      </c>
      <c r="E1245">
        <v>63</v>
      </c>
      <c r="F1245">
        <v>63</v>
      </c>
      <c r="G1245" t="s">
        <v>68</v>
      </c>
      <c r="H1245" t="s">
        <v>68</v>
      </c>
      <c r="I1245" t="s">
        <v>67</v>
      </c>
      <c r="J1245" t="s">
        <v>67</v>
      </c>
      <c r="K1245" s="1">
        <v>46149</v>
      </c>
      <c r="L1245" s="1" t="str">
        <f>IF(K1245&gt;O1245,"Valid","Invalid")</f>
        <v>Valid</v>
      </c>
      <c r="M1245" s="1" t="b">
        <f>ISNUMBER(K1245)</f>
        <v>1</v>
      </c>
      <c r="N1245" s="1" t="b">
        <f>ISNUMBER(O1245)</f>
        <v>1</v>
      </c>
      <c r="O1245" s="1">
        <v>46148</v>
      </c>
      <c r="P1245" t="s">
        <v>2751</v>
      </c>
      <c r="Q1245" t="str">
        <f>SUBSTITUTE(SUBSTITUTE(SUBSTITUTE(P1245," ",""),"-",""),"+","")</f>
        <v>06033132278</v>
      </c>
      <c r="R1245" t="str">
        <f t="shared" si="38"/>
        <v>6033132278</v>
      </c>
      <c r="S1245" t="str">
        <f>IF(LEN(R1245),"Valid","Invalid")</f>
        <v>Valid</v>
      </c>
      <c r="T1245" t="s">
        <v>2750</v>
      </c>
      <c r="V1245" t="s">
        <v>57</v>
      </c>
      <c r="X1245">
        <v>6457.7</v>
      </c>
      <c r="Y1245" t="s">
        <v>17</v>
      </c>
      <c r="Z1245">
        <v>445</v>
      </c>
      <c r="AA1245">
        <f t="shared" si="39"/>
        <v>445</v>
      </c>
      <c r="AB1245" t="s">
        <v>43</v>
      </c>
    </row>
    <row r="1246" spans="1:28" x14ac:dyDescent="0.3">
      <c r="A1246" t="s">
        <v>2749</v>
      </c>
      <c r="B1246" t="s">
        <v>2748</v>
      </c>
      <c r="C1246" t="s">
        <v>2748</v>
      </c>
      <c r="D1246" t="s">
        <v>40</v>
      </c>
      <c r="E1246">
        <v>70</v>
      </c>
      <c r="F1246">
        <v>70</v>
      </c>
      <c r="G1246" t="s">
        <v>132</v>
      </c>
      <c r="H1246" t="s">
        <v>132</v>
      </c>
      <c r="I1246" t="s">
        <v>53</v>
      </c>
      <c r="J1246" t="s">
        <v>20</v>
      </c>
      <c r="K1246" s="1">
        <v>46033</v>
      </c>
      <c r="L1246" s="1" t="str">
        <f>IF(K1246&gt;O1246,"Valid","Invalid")</f>
        <v>Valid</v>
      </c>
      <c r="M1246" s="1" t="b">
        <f>ISNUMBER(K1246)</f>
        <v>1</v>
      </c>
      <c r="N1246" s="1" t="b">
        <f>ISNUMBER(O1246)</f>
        <v>1</v>
      </c>
      <c r="O1246" s="1">
        <v>46024</v>
      </c>
      <c r="P1246" t="s">
        <v>2747</v>
      </c>
      <c r="Q1246" t="str">
        <f>SUBSTITUTE(SUBSTITUTE(SUBSTITUTE(P1246," ",""),"-",""),"+","")</f>
        <v>2607162349</v>
      </c>
      <c r="R1246" t="str">
        <f t="shared" si="38"/>
        <v>2607162349</v>
      </c>
      <c r="S1246" t="str">
        <f>IF(LEN(R1246),"Valid","Invalid")</f>
        <v>Valid</v>
      </c>
      <c r="T1246" t="s">
        <v>2746</v>
      </c>
      <c r="V1246" t="s">
        <v>57</v>
      </c>
      <c r="X1246">
        <v>10543.09</v>
      </c>
      <c r="Y1246" t="s">
        <v>123</v>
      </c>
      <c r="Z1246">
        <v>266</v>
      </c>
      <c r="AA1246">
        <f t="shared" si="39"/>
        <v>266</v>
      </c>
      <c r="AB1246" t="s">
        <v>43</v>
      </c>
    </row>
    <row r="1247" spans="1:28" x14ac:dyDescent="0.3">
      <c r="A1247" t="s">
        <v>2745</v>
      </c>
      <c r="B1247" t="s">
        <v>2744</v>
      </c>
      <c r="C1247" t="s">
        <v>2744</v>
      </c>
      <c r="D1247" t="s">
        <v>40</v>
      </c>
      <c r="E1247">
        <v>77</v>
      </c>
      <c r="F1247">
        <v>77</v>
      </c>
      <c r="G1247" t="s">
        <v>80</v>
      </c>
      <c r="H1247" t="s">
        <v>80</v>
      </c>
      <c r="I1247" t="s">
        <v>67</v>
      </c>
      <c r="J1247" t="s">
        <v>67</v>
      </c>
      <c r="K1247" s="1">
        <v>46074</v>
      </c>
      <c r="L1247" s="1" t="str">
        <f>IF(K1247&gt;O1247,"Valid","Invalid")</f>
        <v>Valid</v>
      </c>
      <c r="M1247" s="1" t="b">
        <f>ISNUMBER(K1247)</f>
        <v>1</v>
      </c>
      <c r="N1247" s="1" t="b">
        <f>ISNUMBER(O1247)</f>
        <v>1</v>
      </c>
      <c r="O1247" s="1">
        <v>46051</v>
      </c>
      <c r="P1247" t="s">
        <v>2743</v>
      </c>
      <c r="Q1247" t="str">
        <f>SUBSTITUTE(SUBSTITUTE(SUBSTITUTE(P1247," ",""),"-",""),"+","")</f>
        <v>04013459038</v>
      </c>
      <c r="R1247" t="str">
        <f t="shared" si="38"/>
        <v>4013459038</v>
      </c>
      <c r="S1247" t="str">
        <f>IF(LEN(R1247),"Valid","Invalid")</f>
        <v>Valid</v>
      </c>
      <c r="T1247" t="s">
        <v>2742</v>
      </c>
      <c r="V1247" t="s">
        <v>27</v>
      </c>
      <c r="X1247">
        <v>13375.46</v>
      </c>
      <c r="Y1247" t="s">
        <v>123</v>
      </c>
      <c r="Z1247">
        <v>227</v>
      </c>
      <c r="AA1247">
        <f t="shared" si="39"/>
        <v>227</v>
      </c>
      <c r="AB1247" t="s">
        <v>71</v>
      </c>
    </row>
    <row r="1248" spans="1:28" x14ac:dyDescent="0.3">
      <c r="A1248" t="s">
        <v>2741</v>
      </c>
      <c r="B1248" t="s">
        <v>2740</v>
      </c>
      <c r="C1248" t="s">
        <v>2740</v>
      </c>
      <c r="D1248" t="s">
        <v>74</v>
      </c>
      <c r="E1248">
        <v>69</v>
      </c>
      <c r="F1248">
        <v>69</v>
      </c>
      <c r="G1248" t="s">
        <v>80</v>
      </c>
      <c r="H1248" t="s">
        <v>80</v>
      </c>
      <c r="I1248" t="s">
        <v>53</v>
      </c>
      <c r="J1248" t="s">
        <v>20</v>
      </c>
      <c r="K1248" s="1">
        <v>46153</v>
      </c>
      <c r="L1248" s="1" t="str">
        <f>IF(K1248&gt;O1248,"Valid","Invalid")</f>
        <v>Valid</v>
      </c>
      <c r="M1248" s="1" t="b">
        <f>ISNUMBER(K1248)</f>
        <v>1</v>
      </c>
      <c r="N1248" s="1" t="b">
        <f>ISNUMBER(O1248)</f>
        <v>1</v>
      </c>
      <c r="O1248" s="1">
        <v>46130</v>
      </c>
      <c r="P1248" t="s">
        <v>2739</v>
      </c>
      <c r="Q1248" t="str">
        <f>SUBSTITUTE(SUBSTITUTE(SUBSTITUTE(P1248," ",""),"-",""),"+","")</f>
        <v>0981729875</v>
      </c>
      <c r="R1248" t="str">
        <f t="shared" si="38"/>
        <v>0981729875</v>
      </c>
      <c r="S1248" t="str">
        <f>IF(LEN(R1248),"Valid","Invalid")</f>
        <v>Valid</v>
      </c>
      <c r="T1248" t="s">
        <v>2738</v>
      </c>
      <c r="V1248" t="s">
        <v>35</v>
      </c>
      <c r="X1248">
        <v>15896.42</v>
      </c>
      <c r="Y1248" t="s">
        <v>123</v>
      </c>
      <c r="Z1248">
        <v>240</v>
      </c>
      <c r="AA1248">
        <f t="shared" si="39"/>
        <v>240</v>
      </c>
      <c r="AB1248" t="s">
        <v>43</v>
      </c>
    </row>
    <row r="1249" spans="1:28" x14ac:dyDescent="0.3">
      <c r="A1249" t="s">
        <v>2737</v>
      </c>
      <c r="B1249" t="s">
        <v>2736</v>
      </c>
      <c r="C1249" t="s">
        <v>2736</v>
      </c>
      <c r="E1249">
        <v>89</v>
      </c>
      <c r="F1249">
        <v>89</v>
      </c>
      <c r="G1249" t="s">
        <v>21</v>
      </c>
      <c r="H1249" t="s">
        <v>21</v>
      </c>
      <c r="I1249" t="s">
        <v>85</v>
      </c>
      <c r="J1249" t="s">
        <v>85</v>
      </c>
      <c r="K1249" s="1">
        <v>46034</v>
      </c>
      <c r="L1249" s="1" t="str">
        <f>IF(K1249&gt;O1249,"Valid","Invalid")</f>
        <v>Valid</v>
      </c>
      <c r="M1249" s="1" t="b">
        <f>ISNUMBER(K1249)</f>
        <v>1</v>
      </c>
      <c r="N1249" s="1" t="b">
        <f>ISNUMBER(O1249)</f>
        <v>1</v>
      </c>
      <c r="O1249" s="1">
        <v>46033</v>
      </c>
      <c r="P1249" t="s">
        <v>2735</v>
      </c>
      <c r="Q1249" t="str">
        <f>SUBSTITUTE(SUBSTITUTE(SUBSTITUTE(P1249," ",""),"-",""),"+","")</f>
        <v>2898776823</v>
      </c>
      <c r="R1249" t="str">
        <f t="shared" si="38"/>
        <v>2898776823</v>
      </c>
      <c r="S1249" t="str">
        <f>IF(LEN(R1249),"Valid","Invalid")</f>
        <v>Valid</v>
      </c>
      <c r="T1249" t="s">
        <v>2734</v>
      </c>
      <c r="V1249" t="s">
        <v>64</v>
      </c>
      <c r="X1249">
        <v>8299.39</v>
      </c>
      <c r="Y1249" t="s">
        <v>27</v>
      </c>
      <c r="Z1249">
        <v>175</v>
      </c>
      <c r="AA1249">
        <f t="shared" si="39"/>
        <v>175</v>
      </c>
      <c r="AB1249" t="s">
        <v>34</v>
      </c>
    </row>
    <row r="1250" spans="1:28" x14ac:dyDescent="0.3">
      <c r="A1250" t="s">
        <v>2733</v>
      </c>
      <c r="B1250" t="s">
        <v>2732</v>
      </c>
      <c r="C1250" t="s">
        <v>2732</v>
      </c>
      <c r="D1250" t="s">
        <v>74</v>
      </c>
      <c r="E1250">
        <v>49</v>
      </c>
      <c r="F1250">
        <v>49</v>
      </c>
      <c r="G1250" t="s">
        <v>80</v>
      </c>
      <c r="H1250" t="s">
        <v>80</v>
      </c>
      <c r="I1250" t="s">
        <v>67</v>
      </c>
      <c r="J1250" t="s">
        <v>67</v>
      </c>
      <c r="K1250" s="1">
        <v>46114</v>
      </c>
      <c r="L1250" s="1" t="str">
        <f>IF(K1250&gt;O1250,"Valid","Invalid")</f>
        <v>Valid</v>
      </c>
      <c r="M1250" s="1" t="b">
        <f>ISNUMBER(K1250)</f>
        <v>1</v>
      </c>
      <c r="N1250" s="1" t="b">
        <f>ISNUMBER(O1250)</f>
        <v>1</v>
      </c>
      <c r="O1250" s="1">
        <v>46085</v>
      </c>
      <c r="P1250" t="s">
        <v>2731</v>
      </c>
      <c r="Q1250" t="str">
        <f>SUBSTITUTE(SUBSTITUTE(SUBSTITUTE(P1250," ",""),"-",""),"+","")</f>
        <v>09644303187</v>
      </c>
      <c r="R1250" t="str">
        <f t="shared" si="38"/>
        <v>9644303187</v>
      </c>
      <c r="S1250" t="str">
        <f>IF(LEN(R1250),"Valid","Invalid")</f>
        <v>Valid</v>
      </c>
      <c r="T1250" t="s">
        <v>2730</v>
      </c>
      <c r="V1250" t="s">
        <v>26</v>
      </c>
      <c r="X1250">
        <v>10678.74</v>
      </c>
      <c r="Y1250" t="s">
        <v>27</v>
      </c>
      <c r="Z1250">
        <v>194</v>
      </c>
      <c r="AA1250">
        <f t="shared" si="39"/>
        <v>194</v>
      </c>
      <c r="AB1250" t="s">
        <v>25</v>
      </c>
    </row>
    <row r="1251" spans="1:28" x14ac:dyDescent="0.3">
      <c r="A1251" t="s">
        <v>2729</v>
      </c>
      <c r="B1251" t="s">
        <v>2728</v>
      </c>
      <c r="C1251" t="s">
        <v>2728</v>
      </c>
      <c r="D1251" t="s">
        <v>22</v>
      </c>
      <c r="E1251">
        <v>84</v>
      </c>
      <c r="F1251">
        <v>84</v>
      </c>
      <c r="G1251" t="s">
        <v>80</v>
      </c>
      <c r="H1251" t="s">
        <v>80</v>
      </c>
      <c r="I1251" t="s">
        <v>90</v>
      </c>
      <c r="J1251" t="s">
        <v>67</v>
      </c>
      <c r="K1251" s="1">
        <v>46067</v>
      </c>
      <c r="L1251" s="1" t="str">
        <f>IF(K1251&gt;O1251,"Valid","Invalid")</f>
        <v>Valid</v>
      </c>
      <c r="M1251" s="1" t="b">
        <f>ISNUMBER(K1251)</f>
        <v>1</v>
      </c>
      <c r="N1251" s="1" t="b">
        <f>ISNUMBER(O1251)</f>
        <v>1</v>
      </c>
      <c r="O1251" s="1">
        <v>46037</v>
      </c>
      <c r="P1251" t="s">
        <v>2727</v>
      </c>
      <c r="Q1251" t="str">
        <f>SUBSTITUTE(SUBSTITUTE(SUBSTITUTE(P1251," ",""),"-",""),"+","")</f>
        <v>914091973361</v>
      </c>
      <c r="R1251" t="str">
        <f t="shared" si="38"/>
        <v>4091973361</v>
      </c>
      <c r="S1251" t="str">
        <f>IF(LEN(R1251),"Valid","Invalid")</f>
        <v>Valid</v>
      </c>
      <c r="T1251" t="s">
        <v>2726</v>
      </c>
      <c r="V1251" t="s">
        <v>64</v>
      </c>
      <c r="X1251">
        <v>19882.39</v>
      </c>
      <c r="Y1251" t="s">
        <v>63</v>
      </c>
      <c r="Z1251">
        <v>255</v>
      </c>
      <c r="AA1251">
        <f t="shared" si="39"/>
        <v>255</v>
      </c>
      <c r="AB1251" t="s">
        <v>34</v>
      </c>
    </row>
    <row r="1252" spans="1:28" x14ac:dyDescent="0.3">
      <c r="A1252" t="s">
        <v>2725</v>
      </c>
      <c r="B1252" t="s">
        <v>2724</v>
      </c>
      <c r="C1252" t="s">
        <v>2724</v>
      </c>
      <c r="D1252" t="s">
        <v>1</v>
      </c>
      <c r="E1252">
        <v>89</v>
      </c>
      <c r="F1252">
        <v>89</v>
      </c>
      <c r="G1252" t="s">
        <v>47</v>
      </c>
      <c r="H1252" t="s">
        <v>47</v>
      </c>
      <c r="I1252" t="s">
        <v>67</v>
      </c>
      <c r="J1252" t="s">
        <v>67</v>
      </c>
      <c r="K1252" s="1">
        <v>46016</v>
      </c>
      <c r="L1252" s="1" t="str">
        <f>IF(K1252&gt;O1252,"Valid","Invalid")</f>
        <v>Valid</v>
      </c>
      <c r="M1252" s="1" t="b">
        <f>ISNUMBER(K1252)</f>
        <v>1</v>
      </c>
      <c r="N1252" s="1" t="b">
        <f>ISNUMBER(O1252)</f>
        <v>1</v>
      </c>
      <c r="O1252" s="1">
        <v>45998</v>
      </c>
      <c r="P1252" t="s">
        <v>2723</v>
      </c>
      <c r="Q1252" t="str">
        <f>SUBSTITUTE(SUBSTITUTE(SUBSTITUTE(P1252," ",""),"-",""),"+","")</f>
        <v>2029721046</v>
      </c>
      <c r="R1252" t="str">
        <f t="shared" si="38"/>
        <v>2029721046</v>
      </c>
      <c r="S1252" t="str">
        <f>IF(LEN(R1252),"Valid","Invalid")</f>
        <v>Valid</v>
      </c>
      <c r="T1252" t="s">
        <v>2722</v>
      </c>
      <c r="V1252" t="s">
        <v>123</v>
      </c>
      <c r="X1252">
        <v>5537.19</v>
      </c>
      <c r="Y1252" t="s">
        <v>123</v>
      </c>
      <c r="Z1252">
        <v>240</v>
      </c>
      <c r="AA1252">
        <f t="shared" si="39"/>
        <v>240</v>
      </c>
      <c r="AB1252" t="s">
        <v>25</v>
      </c>
    </row>
    <row r="1253" spans="1:28" x14ac:dyDescent="0.3">
      <c r="A1253" t="s">
        <v>2721</v>
      </c>
      <c r="B1253" t="s">
        <v>2720</v>
      </c>
      <c r="C1253" t="s">
        <v>2720</v>
      </c>
      <c r="D1253" t="s">
        <v>0</v>
      </c>
      <c r="E1253">
        <v>36</v>
      </c>
      <c r="F1253">
        <v>36</v>
      </c>
      <c r="G1253" t="s">
        <v>47</v>
      </c>
      <c r="H1253" t="s">
        <v>47</v>
      </c>
      <c r="I1253" t="s">
        <v>90</v>
      </c>
      <c r="J1253" t="s">
        <v>67</v>
      </c>
      <c r="K1253" s="1">
        <v>46029</v>
      </c>
      <c r="L1253" s="1" t="str">
        <f>IF(K1253&gt;O1253,"Valid","Invalid")</f>
        <v>Valid</v>
      </c>
      <c r="M1253" s="1" t="b">
        <f>ISNUMBER(K1253)</f>
        <v>1</v>
      </c>
      <c r="N1253" s="1" t="b">
        <f>ISNUMBER(O1253)</f>
        <v>1</v>
      </c>
      <c r="O1253" s="1">
        <v>46000</v>
      </c>
      <c r="P1253" t="s">
        <v>2719</v>
      </c>
      <c r="Q1253" t="str">
        <f>SUBSTITUTE(SUBSTITUTE(SUBSTITUTE(P1253," ",""),"-",""),"+","")</f>
        <v>2596095011</v>
      </c>
      <c r="R1253" t="str">
        <f t="shared" si="38"/>
        <v>2596095011</v>
      </c>
      <c r="S1253" t="str">
        <f>IF(LEN(R1253),"Valid","Invalid")</f>
        <v>Valid</v>
      </c>
      <c r="T1253" t="s">
        <v>2718</v>
      </c>
      <c r="V1253" t="s">
        <v>35</v>
      </c>
      <c r="X1253">
        <v>17019.560000000001</v>
      </c>
      <c r="Y1253" t="s">
        <v>63</v>
      </c>
      <c r="Z1253">
        <v>102</v>
      </c>
      <c r="AA1253">
        <f t="shared" si="39"/>
        <v>102</v>
      </c>
      <c r="AB1253" t="s">
        <v>16</v>
      </c>
    </row>
    <row r="1254" spans="1:28" x14ac:dyDescent="0.3">
      <c r="A1254" t="s">
        <v>2717</v>
      </c>
      <c r="B1254" t="s">
        <v>2716</v>
      </c>
      <c r="C1254" t="s">
        <v>2716</v>
      </c>
      <c r="D1254" t="s">
        <v>1</v>
      </c>
      <c r="E1254">
        <v>3</v>
      </c>
      <c r="F1254">
        <v>3</v>
      </c>
      <c r="G1254" t="s">
        <v>54</v>
      </c>
      <c r="H1254" t="s">
        <v>54</v>
      </c>
      <c r="I1254" t="s">
        <v>53</v>
      </c>
      <c r="J1254" t="s">
        <v>20</v>
      </c>
      <c r="K1254" s="1">
        <v>46029</v>
      </c>
      <c r="L1254" s="1" t="str">
        <f>IF(K1254&gt;O1254,"Valid","Invalid")</f>
        <v>Valid</v>
      </c>
      <c r="M1254" s="1" t="b">
        <f>ISNUMBER(K1254)</f>
        <v>1</v>
      </c>
      <c r="N1254" s="1" t="b">
        <f>ISNUMBER(O1254)</f>
        <v>1</v>
      </c>
      <c r="O1254" s="1">
        <v>46021</v>
      </c>
      <c r="P1254" t="s">
        <v>2715</v>
      </c>
      <c r="Q1254" t="str">
        <f>SUBSTITUTE(SUBSTITUTE(SUBSTITUTE(P1254," ",""),"-",""),"+","")</f>
        <v>1572843078</v>
      </c>
      <c r="R1254" t="str">
        <f t="shared" si="38"/>
        <v>1572843078</v>
      </c>
      <c r="S1254" t="str">
        <f>IF(LEN(R1254),"Valid","Invalid")</f>
        <v>Valid</v>
      </c>
      <c r="T1254" t="s">
        <v>2714</v>
      </c>
      <c r="V1254" t="s">
        <v>26</v>
      </c>
      <c r="X1254">
        <v>11668.54</v>
      </c>
      <c r="Y1254" t="s">
        <v>17</v>
      </c>
      <c r="Z1254">
        <v>149</v>
      </c>
      <c r="AA1254">
        <f t="shared" si="39"/>
        <v>149</v>
      </c>
      <c r="AB1254" t="s">
        <v>71</v>
      </c>
    </row>
    <row r="1255" spans="1:28" x14ac:dyDescent="0.3">
      <c r="A1255" t="s">
        <v>2713</v>
      </c>
      <c r="B1255" t="s">
        <v>2712</v>
      </c>
      <c r="C1255" t="s">
        <v>2712</v>
      </c>
      <c r="D1255" t="s">
        <v>1</v>
      </c>
      <c r="E1255">
        <v>3</v>
      </c>
      <c r="F1255">
        <v>3</v>
      </c>
      <c r="G1255" t="s">
        <v>31</v>
      </c>
      <c r="H1255" t="s">
        <v>31</v>
      </c>
      <c r="I1255" t="s">
        <v>38</v>
      </c>
      <c r="J1255" t="s">
        <v>8077</v>
      </c>
      <c r="K1255" s="1">
        <v>46145</v>
      </c>
      <c r="L1255" s="1" t="str">
        <f>IF(K1255&gt;O1255,"Valid","Invalid")</f>
        <v>Valid</v>
      </c>
      <c r="M1255" s="1" t="b">
        <f>ISNUMBER(K1255)</f>
        <v>1</v>
      </c>
      <c r="N1255" s="1" t="b">
        <f>ISNUMBER(O1255)</f>
        <v>1</v>
      </c>
      <c r="O1255" s="1">
        <v>46143</v>
      </c>
      <c r="P1255" t="s">
        <v>2711</v>
      </c>
      <c r="Q1255" t="str">
        <f>SUBSTITUTE(SUBSTITUTE(SUBSTITUTE(P1255," ",""),"-",""),"+","")</f>
        <v>09016314158</v>
      </c>
      <c r="R1255" t="str">
        <f t="shared" si="38"/>
        <v>9016314158</v>
      </c>
      <c r="S1255" t="str">
        <f>IF(LEN(R1255),"Valid","Invalid")</f>
        <v>Valid</v>
      </c>
      <c r="T1255" t="s">
        <v>2710</v>
      </c>
      <c r="V1255" t="s">
        <v>26</v>
      </c>
      <c r="X1255">
        <v>18258.47</v>
      </c>
      <c r="Y1255" t="s">
        <v>123</v>
      </c>
      <c r="Z1255">
        <v>401</v>
      </c>
      <c r="AA1255">
        <f t="shared" si="39"/>
        <v>401</v>
      </c>
      <c r="AB1255" t="s">
        <v>16</v>
      </c>
    </row>
    <row r="1256" spans="1:28" x14ac:dyDescent="0.3">
      <c r="A1256" t="s">
        <v>2709</v>
      </c>
      <c r="B1256" t="s">
        <v>2708</v>
      </c>
      <c r="C1256" t="s">
        <v>2708</v>
      </c>
      <c r="D1256" t="s">
        <v>60</v>
      </c>
      <c r="E1256">
        <v>70</v>
      </c>
      <c r="F1256">
        <v>70</v>
      </c>
      <c r="G1256" t="s">
        <v>54</v>
      </c>
      <c r="H1256" t="s">
        <v>54</v>
      </c>
      <c r="I1256" t="s">
        <v>85</v>
      </c>
      <c r="J1256" t="s">
        <v>85</v>
      </c>
      <c r="K1256" s="1">
        <v>46044</v>
      </c>
      <c r="L1256" s="1" t="str">
        <f>IF(K1256&gt;O1256,"Valid","Invalid")</f>
        <v>Valid</v>
      </c>
      <c r="M1256" s="1" t="b">
        <f>ISNUMBER(K1256)</f>
        <v>1</v>
      </c>
      <c r="N1256" s="1" t="b">
        <f>ISNUMBER(O1256)</f>
        <v>1</v>
      </c>
      <c r="O1256" s="1">
        <v>46015</v>
      </c>
      <c r="P1256" t="s">
        <v>2707</v>
      </c>
      <c r="Q1256" t="str">
        <f>SUBSTITUTE(SUBSTITUTE(SUBSTITUTE(P1256," ",""),"-",""),"+","")</f>
        <v>919811974782</v>
      </c>
      <c r="R1256" t="str">
        <f t="shared" si="38"/>
        <v>9811974782</v>
      </c>
      <c r="S1256" t="str">
        <f>IF(LEN(R1256),"Valid","Invalid")</f>
        <v>Valid</v>
      </c>
      <c r="T1256" t="s">
        <v>2706</v>
      </c>
      <c r="V1256" t="s">
        <v>27</v>
      </c>
      <c r="X1256">
        <v>8705.18</v>
      </c>
      <c r="Y1256" t="s">
        <v>17</v>
      </c>
      <c r="Z1256">
        <v>277</v>
      </c>
      <c r="AA1256">
        <f t="shared" si="39"/>
        <v>277</v>
      </c>
      <c r="AB1256" t="s">
        <v>50</v>
      </c>
    </row>
    <row r="1257" spans="1:28" x14ac:dyDescent="0.3">
      <c r="A1257" t="s">
        <v>2705</v>
      </c>
      <c r="B1257" t="s">
        <v>2704</v>
      </c>
      <c r="C1257" t="s">
        <v>2704</v>
      </c>
      <c r="E1257">
        <v>20</v>
      </c>
      <c r="F1257">
        <v>20</v>
      </c>
      <c r="G1257" t="s">
        <v>68</v>
      </c>
      <c r="H1257" t="s">
        <v>68</v>
      </c>
      <c r="I1257" t="s">
        <v>85</v>
      </c>
      <c r="J1257" t="s">
        <v>85</v>
      </c>
      <c r="K1257" s="1">
        <v>46074</v>
      </c>
      <c r="L1257" s="1" t="str">
        <f>IF(K1257&gt;O1257,"Valid","Invalid")</f>
        <v>Valid</v>
      </c>
      <c r="M1257" s="1" t="b">
        <f>ISNUMBER(K1257)</f>
        <v>1</v>
      </c>
      <c r="N1257" s="1" t="b">
        <f>ISNUMBER(O1257)</f>
        <v>1</v>
      </c>
      <c r="O1257" s="1">
        <v>46068</v>
      </c>
      <c r="P1257" t="s">
        <v>2703</v>
      </c>
      <c r="Q1257" t="str">
        <f>SUBSTITUTE(SUBSTITUTE(SUBSTITUTE(P1257," ",""),"-",""),"+","")</f>
        <v>08037332130</v>
      </c>
      <c r="R1257" t="str">
        <f t="shared" si="38"/>
        <v>8037332130</v>
      </c>
      <c r="S1257" t="str">
        <f>IF(LEN(R1257),"Valid","Invalid")</f>
        <v>Valid</v>
      </c>
      <c r="T1257" t="s">
        <v>2702</v>
      </c>
      <c r="V1257" t="s">
        <v>35</v>
      </c>
      <c r="X1257">
        <v>16890.05</v>
      </c>
      <c r="Y1257" t="s">
        <v>63</v>
      </c>
      <c r="Z1257">
        <v>306</v>
      </c>
      <c r="AA1257">
        <f t="shared" si="39"/>
        <v>306</v>
      </c>
      <c r="AB1257" t="s">
        <v>77</v>
      </c>
    </row>
    <row r="1258" spans="1:28" x14ac:dyDescent="0.3">
      <c r="A1258" t="s">
        <v>2701</v>
      </c>
      <c r="B1258" t="s">
        <v>2700</v>
      </c>
      <c r="C1258" t="s">
        <v>2700</v>
      </c>
      <c r="D1258" t="s">
        <v>74</v>
      </c>
      <c r="E1258">
        <v>81</v>
      </c>
      <c r="F1258">
        <v>81</v>
      </c>
      <c r="G1258" t="s">
        <v>68</v>
      </c>
      <c r="H1258" t="s">
        <v>68</v>
      </c>
      <c r="I1258" t="s">
        <v>67</v>
      </c>
      <c r="J1258" t="s">
        <v>67</v>
      </c>
      <c r="K1258" s="1">
        <v>46024</v>
      </c>
      <c r="L1258" s="1" t="str">
        <f>IF(K1258&gt;O1258,"Valid","Invalid")</f>
        <v>Valid</v>
      </c>
      <c r="M1258" s="1" t="b">
        <f>ISNUMBER(K1258)</f>
        <v>1</v>
      </c>
      <c r="N1258" s="1" t="b">
        <f>ISNUMBER(O1258)</f>
        <v>1</v>
      </c>
      <c r="O1258" s="1">
        <v>46022</v>
      </c>
      <c r="P1258" t="s">
        <v>2699</v>
      </c>
      <c r="Q1258" t="str">
        <f>SUBSTITUTE(SUBSTITUTE(SUBSTITUTE(P1258," ",""),"-",""),"+","")</f>
        <v>02384269742</v>
      </c>
      <c r="R1258" t="str">
        <f t="shared" si="38"/>
        <v>2384269742</v>
      </c>
      <c r="S1258" t="str">
        <f>IF(LEN(R1258),"Valid","Invalid")</f>
        <v>Valid</v>
      </c>
      <c r="T1258" t="s">
        <v>2698</v>
      </c>
      <c r="V1258" t="s">
        <v>17</v>
      </c>
      <c r="X1258">
        <v>18750.669999999998</v>
      </c>
      <c r="Y1258" t="s">
        <v>17</v>
      </c>
      <c r="Z1258">
        <v>255</v>
      </c>
      <c r="AA1258">
        <f t="shared" si="39"/>
        <v>255</v>
      </c>
      <c r="AB1258" t="s">
        <v>43</v>
      </c>
    </row>
    <row r="1259" spans="1:28" x14ac:dyDescent="0.3">
      <c r="A1259" t="s">
        <v>2697</v>
      </c>
      <c r="B1259" t="s">
        <v>2696</v>
      </c>
      <c r="C1259" t="s">
        <v>2696</v>
      </c>
      <c r="D1259" t="s">
        <v>60</v>
      </c>
      <c r="E1259">
        <v>58</v>
      </c>
      <c r="F1259">
        <v>58</v>
      </c>
      <c r="G1259" t="s">
        <v>68</v>
      </c>
      <c r="H1259" t="s">
        <v>68</v>
      </c>
      <c r="I1259" t="s">
        <v>46</v>
      </c>
      <c r="J1259" t="s">
        <v>46</v>
      </c>
      <c r="K1259" s="1">
        <v>46087</v>
      </c>
      <c r="L1259" s="1" t="str">
        <f>IF(K1259&gt;O1259,"Valid","Invalid")</f>
        <v>Valid</v>
      </c>
      <c r="M1259" s="1" t="b">
        <f>ISNUMBER(K1259)</f>
        <v>1</v>
      </c>
      <c r="N1259" s="1" t="b">
        <f>ISNUMBER(O1259)</f>
        <v>1</v>
      </c>
      <c r="O1259" s="1">
        <v>46083</v>
      </c>
      <c r="P1259" t="s">
        <v>2695</v>
      </c>
      <c r="Q1259" t="str">
        <f>SUBSTITUTE(SUBSTITUTE(SUBSTITUTE(P1259," ",""),"-",""),"+","")</f>
        <v>911458566490</v>
      </c>
      <c r="R1259" t="str">
        <f t="shared" si="38"/>
        <v>1458566490</v>
      </c>
      <c r="S1259" t="str">
        <f>IF(LEN(R1259),"Valid","Invalid")</f>
        <v>Valid</v>
      </c>
      <c r="T1259" t="s">
        <v>2694</v>
      </c>
      <c r="V1259" t="s">
        <v>35</v>
      </c>
      <c r="X1259">
        <v>15681.78</v>
      </c>
      <c r="Y1259" t="s">
        <v>123</v>
      </c>
      <c r="Z1259">
        <v>312</v>
      </c>
      <c r="AA1259">
        <f t="shared" si="39"/>
        <v>312</v>
      </c>
      <c r="AB1259" t="s">
        <v>50</v>
      </c>
    </row>
    <row r="1260" spans="1:28" x14ac:dyDescent="0.3">
      <c r="A1260" t="s">
        <v>2693</v>
      </c>
      <c r="B1260" t="s">
        <v>2692</v>
      </c>
      <c r="C1260" t="s">
        <v>2692</v>
      </c>
      <c r="D1260" t="s">
        <v>40</v>
      </c>
      <c r="E1260">
        <v>37</v>
      </c>
      <c r="F1260">
        <v>37</v>
      </c>
      <c r="G1260" t="s">
        <v>68</v>
      </c>
      <c r="H1260" t="s">
        <v>68</v>
      </c>
      <c r="I1260" t="s">
        <v>38</v>
      </c>
      <c r="J1260" t="s">
        <v>8077</v>
      </c>
      <c r="K1260" s="1">
        <v>46161</v>
      </c>
      <c r="L1260" s="1" t="str">
        <f>IF(K1260&gt;O1260,"Valid","Invalid")</f>
        <v>Valid</v>
      </c>
      <c r="M1260" s="1" t="b">
        <f>ISNUMBER(K1260)</f>
        <v>1</v>
      </c>
      <c r="N1260" s="1" t="b">
        <f>ISNUMBER(O1260)</f>
        <v>1</v>
      </c>
      <c r="O1260" s="1">
        <v>46149</v>
      </c>
      <c r="P1260" t="s">
        <v>2691</v>
      </c>
      <c r="Q1260" t="str">
        <f>SUBSTITUTE(SUBSTITUTE(SUBSTITUTE(P1260," ",""),"-",""),"+","")</f>
        <v>9831913578</v>
      </c>
      <c r="R1260" t="str">
        <f t="shared" si="38"/>
        <v>9831913578</v>
      </c>
      <c r="S1260" t="str">
        <f>IF(LEN(R1260),"Valid","Invalid")</f>
        <v>Valid</v>
      </c>
      <c r="T1260" t="s">
        <v>2690</v>
      </c>
      <c r="V1260" t="s">
        <v>35</v>
      </c>
      <c r="X1260">
        <v>9585.0400000000009</v>
      </c>
      <c r="Y1260" t="s">
        <v>64</v>
      </c>
      <c r="Z1260">
        <v>149</v>
      </c>
      <c r="AA1260">
        <f t="shared" si="39"/>
        <v>149</v>
      </c>
      <c r="AB1260" t="s">
        <v>16</v>
      </c>
    </row>
    <row r="1261" spans="1:28" x14ac:dyDescent="0.3">
      <c r="A1261" t="s">
        <v>2689</v>
      </c>
      <c r="B1261" t="s">
        <v>2688</v>
      </c>
      <c r="C1261" t="s">
        <v>2688</v>
      </c>
      <c r="D1261" t="s">
        <v>1</v>
      </c>
      <c r="E1261">
        <v>28</v>
      </c>
      <c r="F1261">
        <v>28</v>
      </c>
      <c r="G1261" t="s">
        <v>80</v>
      </c>
      <c r="H1261" t="s">
        <v>80</v>
      </c>
      <c r="I1261" t="s">
        <v>30</v>
      </c>
      <c r="J1261" t="s">
        <v>30</v>
      </c>
      <c r="K1261" s="1">
        <v>46026</v>
      </c>
      <c r="L1261" s="1" t="str">
        <f>IF(K1261&gt;O1261,"Valid","Invalid")</f>
        <v>Valid</v>
      </c>
      <c r="M1261" s="1" t="b">
        <f>ISNUMBER(K1261)</f>
        <v>1</v>
      </c>
      <c r="N1261" s="1" t="b">
        <f>ISNUMBER(O1261)</f>
        <v>1</v>
      </c>
      <c r="O1261" s="1">
        <v>46021</v>
      </c>
      <c r="P1261" t="s">
        <v>2687</v>
      </c>
      <c r="Q1261" t="str">
        <f>SUBSTITUTE(SUBSTITUTE(SUBSTITUTE(P1261," ",""),"-",""),"+","")</f>
        <v>02386990313</v>
      </c>
      <c r="R1261" t="str">
        <f t="shared" si="38"/>
        <v>2386990313</v>
      </c>
      <c r="S1261" t="str">
        <f>IF(LEN(R1261),"Valid","Invalid")</f>
        <v>Valid</v>
      </c>
      <c r="T1261" t="s">
        <v>2686</v>
      </c>
      <c r="V1261" t="s">
        <v>35</v>
      </c>
      <c r="X1261">
        <v>19218.490000000002</v>
      </c>
      <c r="Y1261" t="s">
        <v>123</v>
      </c>
      <c r="Z1261">
        <v>381</v>
      </c>
      <c r="AA1261">
        <f t="shared" si="39"/>
        <v>381</v>
      </c>
      <c r="AB1261" t="s">
        <v>16</v>
      </c>
    </row>
    <row r="1262" spans="1:28" x14ac:dyDescent="0.3">
      <c r="A1262" t="s">
        <v>2685</v>
      </c>
      <c r="B1262" t="s">
        <v>2684</v>
      </c>
      <c r="C1262" t="s">
        <v>2684</v>
      </c>
      <c r="D1262" t="s">
        <v>60</v>
      </c>
      <c r="E1262">
        <v>28</v>
      </c>
      <c r="F1262">
        <v>28</v>
      </c>
      <c r="G1262" t="s">
        <v>54</v>
      </c>
      <c r="H1262" t="s">
        <v>54</v>
      </c>
      <c r="I1262" t="s">
        <v>30</v>
      </c>
      <c r="J1262" t="s">
        <v>30</v>
      </c>
      <c r="K1262" s="1">
        <v>46080</v>
      </c>
      <c r="L1262" s="1" t="str">
        <f>IF(K1262&gt;O1262,"Valid","Invalid")</f>
        <v>Valid</v>
      </c>
      <c r="M1262" s="1" t="b">
        <f>ISNUMBER(K1262)</f>
        <v>1</v>
      </c>
      <c r="N1262" s="1" t="b">
        <f>ISNUMBER(O1262)</f>
        <v>1</v>
      </c>
      <c r="O1262" s="1">
        <v>46070</v>
      </c>
      <c r="P1262" t="s">
        <v>2683</v>
      </c>
      <c r="Q1262" t="str">
        <f>SUBSTITUTE(SUBSTITUTE(SUBSTITUTE(P1262," ",""),"-",""),"+","")</f>
        <v>0856902886</v>
      </c>
      <c r="R1262" t="str">
        <f t="shared" si="38"/>
        <v>0856902886</v>
      </c>
      <c r="S1262" t="str">
        <f>IF(LEN(R1262),"Valid","Invalid")</f>
        <v>Valid</v>
      </c>
      <c r="T1262" t="s">
        <v>2682</v>
      </c>
      <c r="V1262" t="s">
        <v>57</v>
      </c>
      <c r="X1262">
        <v>15830.84</v>
      </c>
      <c r="Y1262" t="s">
        <v>17</v>
      </c>
      <c r="Z1262">
        <v>357</v>
      </c>
      <c r="AA1262">
        <f t="shared" si="39"/>
        <v>357</v>
      </c>
      <c r="AB1262" t="s">
        <v>34</v>
      </c>
    </row>
    <row r="1263" spans="1:28" x14ac:dyDescent="0.3">
      <c r="A1263" t="s">
        <v>2681</v>
      </c>
      <c r="B1263" t="s">
        <v>2680</v>
      </c>
      <c r="C1263" t="s">
        <v>2680</v>
      </c>
      <c r="D1263" t="s">
        <v>123</v>
      </c>
      <c r="E1263">
        <v>29</v>
      </c>
      <c r="F1263">
        <v>29</v>
      </c>
      <c r="G1263" t="s">
        <v>54</v>
      </c>
      <c r="H1263" t="s">
        <v>54</v>
      </c>
      <c r="I1263" t="s">
        <v>85</v>
      </c>
      <c r="J1263" t="s">
        <v>85</v>
      </c>
      <c r="K1263" s="1">
        <v>46027</v>
      </c>
      <c r="L1263" s="1" t="str">
        <f>IF(K1263&gt;O1263,"Valid","Invalid")</f>
        <v>Valid</v>
      </c>
      <c r="M1263" s="1" t="b">
        <f>ISNUMBER(K1263)</f>
        <v>1</v>
      </c>
      <c r="N1263" s="1" t="b">
        <f>ISNUMBER(O1263)</f>
        <v>1</v>
      </c>
      <c r="O1263" s="1">
        <v>46003</v>
      </c>
      <c r="P1263" t="s">
        <v>2679</v>
      </c>
      <c r="Q1263" t="str">
        <f>SUBSTITUTE(SUBSTITUTE(SUBSTITUTE(P1263," ",""),"-",""),"+","")</f>
        <v>1588448023</v>
      </c>
      <c r="R1263" t="str">
        <f t="shared" si="38"/>
        <v>1588448023</v>
      </c>
      <c r="S1263" t="str">
        <f>IF(LEN(R1263),"Valid","Invalid")</f>
        <v>Valid</v>
      </c>
      <c r="T1263" t="s">
        <v>2678</v>
      </c>
      <c r="V1263" t="s">
        <v>123</v>
      </c>
      <c r="X1263">
        <v>7299.83</v>
      </c>
      <c r="Y1263" t="s">
        <v>123</v>
      </c>
      <c r="Z1263">
        <v>180</v>
      </c>
      <c r="AA1263">
        <f t="shared" si="39"/>
        <v>180</v>
      </c>
      <c r="AB1263" t="s">
        <v>50</v>
      </c>
    </row>
    <row r="1264" spans="1:28" x14ac:dyDescent="0.3">
      <c r="A1264" t="s">
        <v>2677</v>
      </c>
      <c r="B1264" t="s">
        <v>2676</v>
      </c>
      <c r="C1264" t="s">
        <v>2676</v>
      </c>
      <c r="D1264" t="s">
        <v>0</v>
      </c>
      <c r="E1264">
        <v>52</v>
      </c>
      <c r="F1264">
        <v>52</v>
      </c>
      <c r="G1264" t="s">
        <v>132</v>
      </c>
      <c r="H1264" t="s">
        <v>132</v>
      </c>
      <c r="I1264" t="s">
        <v>46</v>
      </c>
      <c r="J1264" t="s">
        <v>46</v>
      </c>
      <c r="K1264" s="1">
        <v>46008</v>
      </c>
      <c r="L1264" s="1" t="str">
        <f>IF(K1264&gt;O1264,"Valid","Invalid")</f>
        <v>Valid</v>
      </c>
      <c r="M1264" s="1" t="b">
        <f>ISNUMBER(K1264)</f>
        <v>1</v>
      </c>
      <c r="N1264" s="1" t="b">
        <f>ISNUMBER(O1264)</f>
        <v>1</v>
      </c>
      <c r="O1264" s="1">
        <v>45991</v>
      </c>
      <c r="P1264" t="s">
        <v>2675</v>
      </c>
      <c r="Q1264" t="str">
        <f>SUBSTITUTE(SUBSTITUTE(SUBSTITUTE(P1264," ",""),"-",""),"+","")</f>
        <v>5583994314</v>
      </c>
      <c r="R1264" t="str">
        <f t="shared" si="38"/>
        <v>5583994314</v>
      </c>
      <c r="S1264" t="str">
        <f>IF(LEN(R1264),"Valid","Invalid")</f>
        <v>Valid</v>
      </c>
      <c r="T1264" t="s">
        <v>2674</v>
      </c>
      <c r="V1264" t="s">
        <v>57</v>
      </c>
      <c r="X1264">
        <v>19120.79</v>
      </c>
      <c r="Y1264" t="s">
        <v>26</v>
      </c>
      <c r="Z1264">
        <v>449</v>
      </c>
      <c r="AA1264">
        <f t="shared" si="39"/>
        <v>449</v>
      </c>
      <c r="AB1264" t="s">
        <v>77</v>
      </c>
    </row>
    <row r="1265" spans="1:28" x14ac:dyDescent="0.3">
      <c r="A1265" t="s">
        <v>2673</v>
      </c>
      <c r="B1265" t="s">
        <v>2672</v>
      </c>
      <c r="C1265" t="s">
        <v>2672</v>
      </c>
      <c r="D1265" t="s">
        <v>123</v>
      </c>
      <c r="E1265">
        <v>75</v>
      </c>
      <c r="F1265">
        <v>75</v>
      </c>
      <c r="G1265" t="s">
        <v>54</v>
      </c>
      <c r="H1265" t="s">
        <v>54</v>
      </c>
      <c r="I1265" t="s">
        <v>90</v>
      </c>
      <c r="J1265" t="s">
        <v>67</v>
      </c>
      <c r="K1265" s="1">
        <v>46065</v>
      </c>
      <c r="L1265" s="1" t="str">
        <f>IF(K1265&gt;O1265,"Valid","Invalid")</f>
        <v>Valid</v>
      </c>
      <c r="M1265" s="1" t="b">
        <f>ISNUMBER(K1265)</f>
        <v>1</v>
      </c>
      <c r="N1265" s="1" t="b">
        <f>ISNUMBER(O1265)</f>
        <v>1</v>
      </c>
      <c r="O1265" s="1">
        <v>46052</v>
      </c>
      <c r="P1265" t="s">
        <v>2671</v>
      </c>
      <c r="Q1265" t="str">
        <f>SUBSTITUTE(SUBSTITUTE(SUBSTITUTE(P1265," ",""),"-",""),"+","")</f>
        <v>09677252574</v>
      </c>
      <c r="R1265" t="str">
        <f t="shared" si="38"/>
        <v>9677252574</v>
      </c>
      <c r="S1265" t="str">
        <f>IF(LEN(R1265),"Valid","Invalid")</f>
        <v>Valid</v>
      </c>
      <c r="T1265" t="s">
        <v>2670</v>
      </c>
      <c r="V1265" t="s">
        <v>17</v>
      </c>
      <c r="X1265">
        <v>15983.14</v>
      </c>
      <c r="Y1265" t="s">
        <v>57</v>
      </c>
      <c r="Z1265">
        <v>170</v>
      </c>
      <c r="AA1265">
        <f t="shared" si="39"/>
        <v>170</v>
      </c>
      <c r="AB1265" t="s">
        <v>34</v>
      </c>
    </row>
    <row r="1266" spans="1:28" x14ac:dyDescent="0.3">
      <c r="A1266" t="s">
        <v>2669</v>
      </c>
      <c r="B1266" t="s">
        <v>2668</v>
      </c>
      <c r="C1266" t="s">
        <v>2668</v>
      </c>
      <c r="D1266" t="s">
        <v>74</v>
      </c>
      <c r="E1266">
        <v>77</v>
      </c>
      <c r="F1266">
        <v>77</v>
      </c>
      <c r="G1266" t="s">
        <v>54</v>
      </c>
      <c r="H1266" t="s">
        <v>54</v>
      </c>
      <c r="I1266" t="s">
        <v>46</v>
      </c>
      <c r="J1266" t="s">
        <v>46</v>
      </c>
      <c r="K1266" s="1">
        <v>46012</v>
      </c>
      <c r="L1266" s="1" t="str">
        <f>IF(K1266&gt;O1266,"Valid","Invalid")</f>
        <v>Valid</v>
      </c>
      <c r="M1266" s="1" t="b">
        <f>ISNUMBER(K1266)</f>
        <v>1</v>
      </c>
      <c r="N1266" s="1" t="b">
        <f>ISNUMBER(O1266)</f>
        <v>1</v>
      </c>
      <c r="O1266" s="1">
        <v>46002</v>
      </c>
      <c r="P1266" t="s">
        <v>2667</v>
      </c>
      <c r="Q1266" t="str">
        <f>SUBSTITUTE(SUBSTITUTE(SUBSTITUTE(P1266," ",""),"-",""),"+","")</f>
        <v>09680105327</v>
      </c>
      <c r="R1266" t="str">
        <f t="shared" si="38"/>
        <v>9680105327</v>
      </c>
      <c r="S1266" t="str">
        <f>IF(LEN(R1266),"Valid","Invalid")</f>
        <v>Valid</v>
      </c>
      <c r="T1266" t="s">
        <v>2666</v>
      </c>
      <c r="V1266" t="s">
        <v>17</v>
      </c>
      <c r="X1266">
        <v>4328.18</v>
      </c>
      <c r="Y1266" t="s">
        <v>123</v>
      </c>
      <c r="Z1266">
        <v>450</v>
      </c>
      <c r="AA1266">
        <f t="shared" si="39"/>
        <v>450</v>
      </c>
      <c r="AB1266" t="s">
        <v>77</v>
      </c>
    </row>
    <row r="1267" spans="1:28" x14ac:dyDescent="0.3">
      <c r="A1267" t="s">
        <v>2665</v>
      </c>
      <c r="B1267" t="s">
        <v>2664</v>
      </c>
      <c r="C1267" t="s">
        <v>2664</v>
      </c>
      <c r="D1267" t="s">
        <v>60</v>
      </c>
      <c r="E1267">
        <v>3</v>
      </c>
      <c r="F1267">
        <v>3</v>
      </c>
      <c r="G1267" t="s">
        <v>54</v>
      </c>
      <c r="H1267" t="s">
        <v>54</v>
      </c>
      <c r="I1267" t="s">
        <v>38</v>
      </c>
      <c r="J1267" t="s">
        <v>8077</v>
      </c>
      <c r="K1267" s="1">
        <v>46131</v>
      </c>
      <c r="L1267" s="1" t="str">
        <f>IF(K1267&gt;O1267,"Valid","Invalid")</f>
        <v>Valid</v>
      </c>
      <c r="M1267" s="1" t="b">
        <f>ISNUMBER(K1267)</f>
        <v>1</v>
      </c>
      <c r="N1267" s="1" t="b">
        <f>ISNUMBER(O1267)</f>
        <v>1</v>
      </c>
      <c r="O1267" s="1">
        <v>46104</v>
      </c>
      <c r="P1267" t="s">
        <v>2663</v>
      </c>
      <c r="Q1267" t="str">
        <f>SUBSTITUTE(SUBSTITUTE(SUBSTITUTE(P1267," ",""),"-",""),"+","")</f>
        <v>916678296260</v>
      </c>
      <c r="R1267" t="str">
        <f t="shared" si="38"/>
        <v>6678296260</v>
      </c>
      <c r="S1267" t="str">
        <f>IF(LEN(R1267),"Valid","Invalid")</f>
        <v>Valid</v>
      </c>
      <c r="T1267" t="s">
        <v>2662</v>
      </c>
      <c r="V1267" t="s">
        <v>35</v>
      </c>
      <c r="X1267">
        <v>11552.67</v>
      </c>
      <c r="Y1267" t="s">
        <v>57</v>
      </c>
      <c r="Z1267">
        <v>189</v>
      </c>
      <c r="AA1267">
        <f t="shared" si="39"/>
        <v>189</v>
      </c>
      <c r="AB1267" t="s">
        <v>16</v>
      </c>
    </row>
    <row r="1268" spans="1:28" x14ac:dyDescent="0.3">
      <c r="A1268" t="s">
        <v>2661</v>
      </c>
      <c r="B1268" t="s">
        <v>2660</v>
      </c>
      <c r="C1268" t="s">
        <v>2660</v>
      </c>
      <c r="D1268" t="s">
        <v>1</v>
      </c>
      <c r="E1268">
        <v>42</v>
      </c>
      <c r="F1268">
        <v>42</v>
      </c>
      <c r="G1268" t="s">
        <v>39</v>
      </c>
      <c r="H1268" t="s">
        <v>39</v>
      </c>
      <c r="I1268" t="s">
        <v>30</v>
      </c>
      <c r="J1268" t="s">
        <v>30</v>
      </c>
      <c r="K1268" s="1">
        <v>46077</v>
      </c>
      <c r="L1268" s="1" t="str">
        <f>IF(K1268&gt;O1268,"Valid","Invalid")</f>
        <v>Valid</v>
      </c>
      <c r="M1268" s="1" t="b">
        <f>ISNUMBER(K1268)</f>
        <v>1</v>
      </c>
      <c r="N1268" s="1" t="b">
        <f>ISNUMBER(O1268)</f>
        <v>1</v>
      </c>
      <c r="O1268" s="1">
        <v>46075</v>
      </c>
      <c r="P1268" t="s">
        <v>2659</v>
      </c>
      <c r="Q1268" t="str">
        <f>SUBSTITUTE(SUBSTITUTE(SUBSTITUTE(P1268," ",""),"-",""),"+","")</f>
        <v>00769681487</v>
      </c>
      <c r="R1268" t="str">
        <f t="shared" si="38"/>
        <v>0769681487</v>
      </c>
      <c r="S1268" t="str">
        <f>IF(LEN(R1268),"Valid","Invalid")</f>
        <v>Valid</v>
      </c>
      <c r="T1268" t="s">
        <v>2658</v>
      </c>
      <c r="V1268" t="s">
        <v>27</v>
      </c>
      <c r="X1268">
        <v>5333.78</v>
      </c>
      <c r="Y1268" t="s">
        <v>123</v>
      </c>
      <c r="Z1268">
        <v>335</v>
      </c>
      <c r="AA1268">
        <f t="shared" si="39"/>
        <v>335</v>
      </c>
      <c r="AB1268" t="s">
        <v>71</v>
      </c>
    </row>
    <row r="1269" spans="1:28" x14ac:dyDescent="0.3">
      <c r="A1269" t="s">
        <v>2657</v>
      </c>
      <c r="B1269" t="s">
        <v>2656</v>
      </c>
      <c r="C1269" t="s">
        <v>2656</v>
      </c>
      <c r="E1269">
        <v>31</v>
      </c>
      <c r="F1269">
        <v>31</v>
      </c>
      <c r="G1269" t="s">
        <v>39</v>
      </c>
      <c r="H1269" t="s">
        <v>39</v>
      </c>
      <c r="I1269" t="s">
        <v>85</v>
      </c>
      <c r="J1269" t="s">
        <v>85</v>
      </c>
      <c r="K1269" s="1">
        <v>46030</v>
      </c>
      <c r="L1269" s="1" t="str">
        <f>IF(K1269&gt;O1269,"Valid","Invalid")</f>
        <v>Valid</v>
      </c>
      <c r="M1269" s="1" t="b">
        <f>ISNUMBER(K1269)</f>
        <v>1</v>
      </c>
      <c r="N1269" s="1" t="b">
        <f>ISNUMBER(O1269)</f>
        <v>1</v>
      </c>
      <c r="O1269" s="1">
        <v>46014</v>
      </c>
      <c r="P1269" t="s">
        <v>2655</v>
      </c>
      <c r="Q1269" t="str">
        <f>SUBSTITUTE(SUBSTITUTE(SUBSTITUTE(P1269," ",""),"-",""),"+","")</f>
        <v>04818808810</v>
      </c>
      <c r="R1269" t="str">
        <f t="shared" si="38"/>
        <v>4818808810</v>
      </c>
      <c r="S1269" t="str">
        <f>IF(LEN(R1269),"Valid","Invalid")</f>
        <v>Valid</v>
      </c>
      <c r="T1269" t="s">
        <v>2654</v>
      </c>
      <c r="V1269" t="s">
        <v>64</v>
      </c>
      <c r="X1269">
        <v>20131.439999999999</v>
      </c>
      <c r="Y1269" t="s">
        <v>17</v>
      </c>
      <c r="Z1269">
        <v>546</v>
      </c>
      <c r="AA1269">
        <f t="shared" si="39"/>
        <v>546</v>
      </c>
      <c r="AB1269" t="s">
        <v>71</v>
      </c>
    </row>
    <row r="1270" spans="1:28" x14ac:dyDescent="0.3">
      <c r="A1270" t="s">
        <v>2653</v>
      </c>
      <c r="B1270" t="s">
        <v>2652</v>
      </c>
      <c r="C1270" t="s">
        <v>2652</v>
      </c>
      <c r="D1270" t="s">
        <v>1</v>
      </c>
      <c r="E1270">
        <v>60</v>
      </c>
      <c r="F1270">
        <v>60</v>
      </c>
      <c r="G1270" t="s">
        <v>80</v>
      </c>
      <c r="H1270" t="s">
        <v>80</v>
      </c>
      <c r="I1270" t="s">
        <v>46</v>
      </c>
      <c r="J1270" t="s">
        <v>46</v>
      </c>
      <c r="K1270" s="1">
        <v>46138</v>
      </c>
      <c r="L1270" s="1" t="str">
        <f>IF(K1270&gt;O1270,"Valid","Invalid")</f>
        <v>Valid</v>
      </c>
      <c r="M1270" s="1" t="b">
        <f>ISNUMBER(K1270)</f>
        <v>1</v>
      </c>
      <c r="N1270" s="1" t="b">
        <f>ISNUMBER(O1270)</f>
        <v>1</v>
      </c>
      <c r="O1270" s="1">
        <v>46115</v>
      </c>
      <c r="P1270" t="s">
        <v>2651</v>
      </c>
      <c r="Q1270" t="str">
        <f>SUBSTITUTE(SUBSTITUTE(SUBSTITUTE(P1270," ",""),"-",""),"+","")</f>
        <v>1858144879</v>
      </c>
      <c r="R1270" t="str">
        <f t="shared" si="38"/>
        <v>1858144879</v>
      </c>
      <c r="S1270" t="str">
        <f>IF(LEN(R1270),"Valid","Invalid")</f>
        <v>Valid</v>
      </c>
      <c r="T1270" t="s">
        <v>2650</v>
      </c>
      <c r="V1270" t="s">
        <v>27</v>
      </c>
      <c r="X1270">
        <v>17114.189999999999</v>
      </c>
      <c r="Y1270" t="s">
        <v>123</v>
      </c>
      <c r="Z1270">
        <v>543</v>
      </c>
      <c r="AA1270">
        <f t="shared" si="39"/>
        <v>543</v>
      </c>
      <c r="AB1270" t="s">
        <v>34</v>
      </c>
    </row>
    <row r="1271" spans="1:28" x14ac:dyDescent="0.3">
      <c r="A1271" t="s">
        <v>2649</v>
      </c>
      <c r="B1271" t="s">
        <v>2648</v>
      </c>
      <c r="C1271" t="s">
        <v>2648</v>
      </c>
      <c r="E1271">
        <v>50</v>
      </c>
      <c r="F1271">
        <v>50</v>
      </c>
      <c r="G1271" t="s">
        <v>80</v>
      </c>
      <c r="H1271" t="s">
        <v>80</v>
      </c>
      <c r="I1271" t="s">
        <v>90</v>
      </c>
      <c r="J1271" t="s">
        <v>67</v>
      </c>
      <c r="K1271" s="1">
        <v>46100</v>
      </c>
      <c r="L1271" s="1" t="str">
        <f>IF(K1271&gt;O1271,"Valid","Invalid")</f>
        <v>Valid</v>
      </c>
      <c r="M1271" s="1" t="b">
        <f>ISNUMBER(K1271)</f>
        <v>1</v>
      </c>
      <c r="N1271" s="1" t="b">
        <f>ISNUMBER(O1271)</f>
        <v>1</v>
      </c>
      <c r="O1271" s="1">
        <v>46070</v>
      </c>
      <c r="P1271" t="s">
        <v>2647</v>
      </c>
      <c r="Q1271" t="str">
        <f>SUBSTITUTE(SUBSTITUTE(SUBSTITUTE(P1271," ",""),"-",""),"+","")</f>
        <v>6617003929</v>
      </c>
      <c r="R1271" t="str">
        <f t="shared" si="38"/>
        <v>6617003929</v>
      </c>
      <c r="S1271" t="str">
        <f>IF(LEN(R1271),"Valid","Invalid")</f>
        <v>Valid</v>
      </c>
      <c r="T1271" t="s">
        <v>2646</v>
      </c>
      <c r="V1271" t="s">
        <v>26</v>
      </c>
      <c r="X1271">
        <v>22107.25</v>
      </c>
      <c r="Y1271" t="s">
        <v>64</v>
      </c>
      <c r="Z1271">
        <v>466</v>
      </c>
      <c r="AA1271">
        <f t="shared" si="39"/>
        <v>466</v>
      </c>
      <c r="AB1271" t="s">
        <v>50</v>
      </c>
    </row>
    <row r="1272" spans="1:28" x14ac:dyDescent="0.3">
      <c r="A1272" t="s">
        <v>2645</v>
      </c>
      <c r="B1272" t="s">
        <v>2644</v>
      </c>
      <c r="C1272" t="s">
        <v>2644</v>
      </c>
      <c r="D1272" t="s">
        <v>40</v>
      </c>
      <c r="E1272">
        <v>57</v>
      </c>
      <c r="F1272">
        <v>57</v>
      </c>
      <c r="G1272" t="s">
        <v>68</v>
      </c>
      <c r="H1272" t="s">
        <v>68</v>
      </c>
      <c r="I1272" t="s">
        <v>46</v>
      </c>
      <c r="J1272" t="s">
        <v>46</v>
      </c>
      <c r="K1272" s="1">
        <v>46116</v>
      </c>
      <c r="L1272" s="1" t="str">
        <f>IF(K1272&gt;O1272,"Valid","Invalid")</f>
        <v>Valid</v>
      </c>
      <c r="M1272" s="1" t="b">
        <f>ISNUMBER(K1272)</f>
        <v>1</v>
      </c>
      <c r="N1272" s="1" t="b">
        <f>ISNUMBER(O1272)</f>
        <v>1</v>
      </c>
      <c r="O1272" s="1">
        <v>46107</v>
      </c>
      <c r="P1272" t="s">
        <v>2643</v>
      </c>
      <c r="Q1272" t="str">
        <f>SUBSTITUTE(SUBSTITUTE(SUBSTITUTE(P1272," ",""),"-",""),"+","")</f>
        <v>03306195490</v>
      </c>
      <c r="R1272" t="str">
        <f t="shared" si="38"/>
        <v>3306195490</v>
      </c>
      <c r="S1272" t="str">
        <f>IF(LEN(R1272),"Valid","Invalid")</f>
        <v>Valid</v>
      </c>
      <c r="T1272" t="s">
        <v>2642</v>
      </c>
      <c r="V1272" t="s">
        <v>123</v>
      </c>
      <c r="X1272">
        <v>20742.03</v>
      </c>
      <c r="Y1272" t="s">
        <v>27</v>
      </c>
      <c r="Z1272">
        <v>286</v>
      </c>
      <c r="AA1272">
        <f t="shared" si="39"/>
        <v>286</v>
      </c>
      <c r="AB1272" t="s">
        <v>16</v>
      </c>
    </row>
    <row r="1273" spans="1:28" x14ac:dyDescent="0.3">
      <c r="A1273" t="s">
        <v>2641</v>
      </c>
      <c r="B1273" t="s">
        <v>2640</v>
      </c>
      <c r="C1273" t="s">
        <v>2640</v>
      </c>
      <c r="E1273">
        <v>55</v>
      </c>
      <c r="F1273">
        <v>55</v>
      </c>
      <c r="G1273" t="s">
        <v>80</v>
      </c>
      <c r="H1273" t="s">
        <v>80</v>
      </c>
      <c r="I1273" t="s">
        <v>20</v>
      </c>
      <c r="J1273" t="s">
        <v>20</v>
      </c>
      <c r="K1273" s="1">
        <v>46099</v>
      </c>
      <c r="L1273" s="1" t="str">
        <f>IF(K1273&gt;O1273,"Valid","Invalid")</f>
        <v>Valid</v>
      </c>
      <c r="M1273" s="1" t="b">
        <f>ISNUMBER(K1273)</f>
        <v>1</v>
      </c>
      <c r="N1273" s="1" t="b">
        <f>ISNUMBER(O1273)</f>
        <v>1</v>
      </c>
      <c r="O1273" s="1">
        <v>46095</v>
      </c>
      <c r="P1273" t="s">
        <v>2639</v>
      </c>
      <c r="Q1273" t="str">
        <f>SUBSTITUTE(SUBSTITUTE(SUBSTITUTE(P1273," ",""),"-",""),"+","")</f>
        <v>05402203180</v>
      </c>
      <c r="R1273" t="str">
        <f t="shared" si="38"/>
        <v>5402203180</v>
      </c>
      <c r="S1273" t="str">
        <f>IF(LEN(R1273),"Valid","Invalid")</f>
        <v>Valid</v>
      </c>
      <c r="T1273" t="s">
        <v>2638</v>
      </c>
      <c r="V1273" t="s">
        <v>26</v>
      </c>
      <c r="X1273">
        <v>18996.919999999998</v>
      </c>
      <c r="Y1273" t="s">
        <v>64</v>
      </c>
      <c r="Z1273">
        <v>469</v>
      </c>
      <c r="AA1273">
        <f t="shared" si="39"/>
        <v>469</v>
      </c>
      <c r="AB1273" t="s">
        <v>71</v>
      </c>
    </row>
    <row r="1274" spans="1:28" x14ac:dyDescent="0.3">
      <c r="A1274" t="s">
        <v>2637</v>
      </c>
      <c r="B1274" t="s">
        <v>2636</v>
      </c>
      <c r="C1274" t="s">
        <v>8064</v>
      </c>
      <c r="D1274" t="s">
        <v>60</v>
      </c>
      <c r="E1274">
        <v>53</v>
      </c>
      <c r="F1274">
        <v>53</v>
      </c>
      <c r="G1274" t="s">
        <v>31</v>
      </c>
      <c r="H1274" t="s">
        <v>31</v>
      </c>
      <c r="I1274" t="s">
        <v>53</v>
      </c>
      <c r="J1274" t="s">
        <v>20</v>
      </c>
      <c r="K1274" s="1">
        <v>46146</v>
      </c>
      <c r="L1274" s="1" t="str">
        <f>IF(K1274&gt;O1274,"Valid","Invalid")</f>
        <v>Valid</v>
      </c>
      <c r="M1274" s="1" t="b">
        <f>ISNUMBER(K1274)</f>
        <v>1</v>
      </c>
      <c r="N1274" s="1" t="b">
        <f>ISNUMBER(O1274)</f>
        <v>1</v>
      </c>
      <c r="O1274" s="1">
        <v>46117</v>
      </c>
      <c r="P1274" t="s">
        <v>2635</v>
      </c>
      <c r="Q1274" t="str">
        <f>SUBSTITUTE(SUBSTITUTE(SUBSTITUTE(P1274," ",""),"-",""),"+","")</f>
        <v>08802012842</v>
      </c>
      <c r="R1274" t="str">
        <f t="shared" si="38"/>
        <v>8802012842</v>
      </c>
      <c r="S1274" t="str">
        <f>IF(LEN(R1274),"Valid","Invalid")</f>
        <v>Valid</v>
      </c>
      <c r="T1274" t="s">
        <v>2634</v>
      </c>
      <c r="V1274" t="s">
        <v>17</v>
      </c>
      <c r="X1274">
        <v>19929.72</v>
      </c>
      <c r="Y1274" t="s">
        <v>57</v>
      </c>
      <c r="Z1274">
        <v>235</v>
      </c>
      <c r="AA1274">
        <f t="shared" si="39"/>
        <v>235</v>
      </c>
      <c r="AB1274" t="s">
        <v>77</v>
      </c>
    </row>
    <row r="1275" spans="1:28" x14ac:dyDescent="0.3">
      <c r="A1275" t="s">
        <v>2633</v>
      </c>
      <c r="B1275" t="s">
        <v>2632</v>
      </c>
      <c r="C1275" t="s">
        <v>2632</v>
      </c>
      <c r="D1275" t="s">
        <v>60</v>
      </c>
      <c r="E1275">
        <v>83</v>
      </c>
      <c r="F1275">
        <v>83</v>
      </c>
      <c r="G1275" t="s">
        <v>80</v>
      </c>
      <c r="H1275" t="s">
        <v>80</v>
      </c>
      <c r="I1275" t="s">
        <v>85</v>
      </c>
      <c r="J1275" t="s">
        <v>85</v>
      </c>
      <c r="K1275" s="1">
        <v>46166</v>
      </c>
      <c r="L1275" s="1" t="str">
        <f>IF(K1275&gt;O1275,"Valid","Invalid")</f>
        <v>Valid</v>
      </c>
      <c r="M1275" s="1" t="b">
        <f>ISNUMBER(K1275)</f>
        <v>1</v>
      </c>
      <c r="N1275" s="1" t="b">
        <f>ISNUMBER(O1275)</f>
        <v>1</v>
      </c>
      <c r="O1275" s="1">
        <v>46138</v>
      </c>
      <c r="P1275" t="s">
        <v>2631</v>
      </c>
      <c r="Q1275" t="str">
        <f>SUBSTITUTE(SUBSTITUTE(SUBSTITUTE(P1275," ",""),"-",""),"+","")</f>
        <v>911987700993</v>
      </c>
      <c r="R1275" t="str">
        <f t="shared" si="38"/>
        <v>1987700993</v>
      </c>
      <c r="S1275" t="str">
        <f>IF(LEN(R1275),"Valid","Invalid")</f>
        <v>Valid</v>
      </c>
      <c r="T1275" t="s">
        <v>2630</v>
      </c>
      <c r="V1275" t="s">
        <v>123</v>
      </c>
      <c r="X1275">
        <v>18862.060000000001</v>
      </c>
      <c r="Y1275" t="s">
        <v>63</v>
      </c>
      <c r="Z1275">
        <v>275</v>
      </c>
      <c r="AA1275">
        <f t="shared" si="39"/>
        <v>275</v>
      </c>
      <c r="AB1275" t="s">
        <v>43</v>
      </c>
    </row>
    <row r="1276" spans="1:28" x14ac:dyDescent="0.3">
      <c r="A1276" t="s">
        <v>2629</v>
      </c>
      <c r="B1276" t="s">
        <v>2628</v>
      </c>
      <c r="C1276" t="s">
        <v>2628</v>
      </c>
      <c r="E1276">
        <v>43</v>
      </c>
      <c r="F1276">
        <v>43</v>
      </c>
      <c r="G1276" t="s">
        <v>68</v>
      </c>
      <c r="H1276" t="s">
        <v>68</v>
      </c>
      <c r="I1276" t="s">
        <v>30</v>
      </c>
      <c r="J1276" t="s">
        <v>30</v>
      </c>
      <c r="K1276" s="1">
        <v>46154</v>
      </c>
      <c r="L1276" s="1" t="str">
        <f>IF(K1276&gt;O1276,"Valid","Invalid")</f>
        <v>Valid</v>
      </c>
      <c r="M1276" s="1" t="b">
        <f>ISNUMBER(K1276)</f>
        <v>1</v>
      </c>
      <c r="N1276" s="1" t="b">
        <f>ISNUMBER(O1276)</f>
        <v>1</v>
      </c>
      <c r="O1276" s="1">
        <v>46136</v>
      </c>
      <c r="P1276" t="s">
        <v>2627</v>
      </c>
      <c r="Q1276" t="str">
        <f>SUBSTITUTE(SUBSTITUTE(SUBSTITUTE(P1276," ",""),"-",""),"+","")</f>
        <v>917719031188</v>
      </c>
      <c r="R1276" t="str">
        <f t="shared" si="38"/>
        <v>7719031188</v>
      </c>
      <c r="S1276" t="str">
        <f>IF(LEN(R1276),"Valid","Invalid")</f>
        <v>Valid</v>
      </c>
      <c r="T1276" t="s">
        <v>2626</v>
      </c>
      <c r="V1276" t="s">
        <v>26</v>
      </c>
      <c r="X1276">
        <v>14941.82</v>
      </c>
      <c r="Y1276" t="s">
        <v>26</v>
      </c>
      <c r="Z1276">
        <v>175</v>
      </c>
      <c r="AA1276">
        <f t="shared" si="39"/>
        <v>175</v>
      </c>
      <c r="AB1276" t="s">
        <v>34</v>
      </c>
    </row>
    <row r="1277" spans="1:28" x14ac:dyDescent="0.3">
      <c r="A1277" t="s">
        <v>2625</v>
      </c>
      <c r="B1277" t="s">
        <v>2624</v>
      </c>
      <c r="C1277" t="s">
        <v>2624</v>
      </c>
      <c r="D1277" t="s">
        <v>22</v>
      </c>
      <c r="E1277">
        <v>4</v>
      </c>
      <c r="F1277">
        <v>4</v>
      </c>
      <c r="G1277" t="s">
        <v>21</v>
      </c>
      <c r="H1277" t="s">
        <v>21</v>
      </c>
      <c r="I1277" t="s">
        <v>67</v>
      </c>
      <c r="J1277" t="s">
        <v>67</v>
      </c>
      <c r="K1277" s="1">
        <v>46139</v>
      </c>
      <c r="L1277" s="1" t="str">
        <f>IF(K1277&gt;O1277,"Valid","Invalid")</f>
        <v>Valid</v>
      </c>
      <c r="M1277" s="1" t="b">
        <f>ISNUMBER(K1277)</f>
        <v>1</v>
      </c>
      <c r="N1277" s="1" t="b">
        <f>ISNUMBER(O1277)</f>
        <v>1</v>
      </c>
      <c r="O1277" s="1">
        <v>46121</v>
      </c>
      <c r="P1277" t="s">
        <v>2623</v>
      </c>
      <c r="Q1277" t="str">
        <f>SUBSTITUTE(SUBSTITUTE(SUBSTITUTE(P1277," ",""),"-",""),"+","")</f>
        <v>3522274365</v>
      </c>
      <c r="R1277" t="str">
        <f t="shared" si="38"/>
        <v>3522274365</v>
      </c>
      <c r="S1277" t="str">
        <f>IF(LEN(R1277),"Valid","Invalid")</f>
        <v>Valid</v>
      </c>
      <c r="T1277" t="s">
        <v>2622</v>
      </c>
      <c r="V1277" t="s">
        <v>57</v>
      </c>
      <c r="X1277">
        <v>17902.32</v>
      </c>
      <c r="Y1277" t="s">
        <v>63</v>
      </c>
      <c r="Z1277">
        <v>466</v>
      </c>
      <c r="AA1277">
        <f t="shared" si="39"/>
        <v>466</v>
      </c>
      <c r="AB1277" t="s">
        <v>71</v>
      </c>
    </row>
    <row r="1278" spans="1:28" x14ac:dyDescent="0.3">
      <c r="A1278" t="s">
        <v>2621</v>
      </c>
      <c r="B1278" t="s">
        <v>2620</v>
      </c>
      <c r="C1278" t="s">
        <v>2620</v>
      </c>
      <c r="D1278" t="s">
        <v>22</v>
      </c>
      <c r="E1278">
        <v>61</v>
      </c>
      <c r="F1278">
        <v>61</v>
      </c>
      <c r="G1278" t="s">
        <v>68</v>
      </c>
      <c r="H1278" t="s">
        <v>68</v>
      </c>
      <c r="I1278" t="s">
        <v>30</v>
      </c>
      <c r="J1278" t="s">
        <v>30</v>
      </c>
      <c r="K1278" s="1">
        <v>46070</v>
      </c>
      <c r="L1278" s="1" t="str">
        <f>IF(K1278&gt;O1278,"Valid","Invalid")</f>
        <v>Valid</v>
      </c>
      <c r="M1278" s="1" t="b">
        <f>ISNUMBER(K1278)</f>
        <v>1</v>
      </c>
      <c r="N1278" s="1" t="b">
        <f>ISNUMBER(O1278)</f>
        <v>1</v>
      </c>
      <c r="O1278" s="1">
        <v>46066</v>
      </c>
      <c r="P1278" t="s">
        <v>2619</v>
      </c>
      <c r="Q1278" t="str">
        <f>SUBSTITUTE(SUBSTITUTE(SUBSTITUTE(P1278," ",""),"-",""),"+","")</f>
        <v>913284730036</v>
      </c>
      <c r="R1278" t="str">
        <f t="shared" si="38"/>
        <v>3284730036</v>
      </c>
      <c r="S1278" t="str">
        <f>IF(LEN(R1278),"Valid","Invalid")</f>
        <v>Valid</v>
      </c>
      <c r="T1278" t="s">
        <v>2618</v>
      </c>
      <c r="V1278" t="s">
        <v>35</v>
      </c>
      <c r="X1278">
        <v>3833.85</v>
      </c>
      <c r="Y1278" t="s">
        <v>63</v>
      </c>
      <c r="Z1278">
        <v>539</v>
      </c>
      <c r="AA1278">
        <f t="shared" si="39"/>
        <v>539</v>
      </c>
      <c r="AB1278" t="s">
        <v>16</v>
      </c>
    </row>
    <row r="1279" spans="1:28" x14ac:dyDescent="0.3">
      <c r="A1279" t="s">
        <v>2617</v>
      </c>
      <c r="B1279" t="s">
        <v>2616</v>
      </c>
      <c r="C1279" t="s">
        <v>2616</v>
      </c>
      <c r="D1279" t="s">
        <v>22</v>
      </c>
      <c r="E1279">
        <v>82</v>
      </c>
      <c r="F1279">
        <v>82</v>
      </c>
      <c r="G1279" t="s">
        <v>21</v>
      </c>
      <c r="H1279" t="s">
        <v>21</v>
      </c>
      <c r="I1279" t="s">
        <v>46</v>
      </c>
      <c r="J1279" t="s">
        <v>46</v>
      </c>
      <c r="K1279" s="1">
        <v>46018</v>
      </c>
      <c r="L1279" s="1" t="str">
        <f>IF(K1279&gt;O1279,"Valid","Invalid")</f>
        <v>Valid</v>
      </c>
      <c r="M1279" s="1" t="b">
        <f>ISNUMBER(K1279)</f>
        <v>1</v>
      </c>
      <c r="N1279" s="1" t="b">
        <f>ISNUMBER(O1279)</f>
        <v>1</v>
      </c>
      <c r="O1279" s="1">
        <v>45991</v>
      </c>
      <c r="P1279" t="s">
        <v>2615</v>
      </c>
      <c r="Q1279" t="str">
        <f>SUBSTITUTE(SUBSTITUTE(SUBSTITUTE(P1279," ",""),"-",""),"+","")</f>
        <v>917105749129</v>
      </c>
      <c r="R1279" t="str">
        <f t="shared" si="38"/>
        <v>7105749129</v>
      </c>
      <c r="S1279" t="str">
        <f>IF(LEN(R1279),"Valid","Invalid")</f>
        <v>Valid</v>
      </c>
      <c r="T1279" t="s">
        <v>2614</v>
      </c>
      <c r="V1279" t="s">
        <v>17</v>
      </c>
      <c r="X1279">
        <v>14664.11</v>
      </c>
      <c r="Y1279" t="s">
        <v>26</v>
      </c>
      <c r="Z1279">
        <v>399</v>
      </c>
      <c r="AA1279">
        <f t="shared" si="39"/>
        <v>399</v>
      </c>
      <c r="AB1279" t="s">
        <v>77</v>
      </c>
    </row>
    <row r="1280" spans="1:28" x14ac:dyDescent="0.3">
      <c r="A1280" t="s">
        <v>2613</v>
      </c>
      <c r="B1280" t="s">
        <v>2612</v>
      </c>
      <c r="C1280" t="s">
        <v>2612</v>
      </c>
      <c r="D1280" t="s">
        <v>22</v>
      </c>
      <c r="E1280">
        <v>47</v>
      </c>
      <c r="F1280">
        <v>47</v>
      </c>
      <c r="G1280" t="s">
        <v>54</v>
      </c>
      <c r="H1280" t="s">
        <v>54</v>
      </c>
      <c r="I1280" t="s">
        <v>85</v>
      </c>
      <c r="J1280" t="s">
        <v>85</v>
      </c>
      <c r="K1280" s="1">
        <v>46013</v>
      </c>
      <c r="L1280" s="1" t="str">
        <f>IF(K1280&gt;O1280,"Valid","Invalid")</f>
        <v>Valid</v>
      </c>
      <c r="M1280" s="1" t="b">
        <f>ISNUMBER(K1280)</f>
        <v>1</v>
      </c>
      <c r="N1280" s="1" t="b">
        <f>ISNUMBER(O1280)</f>
        <v>1</v>
      </c>
      <c r="O1280" s="1">
        <v>45994</v>
      </c>
      <c r="P1280" t="s">
        <v>2611</v>
      </c>
      <c r="Q1280" t="str">
        <f>SUBSTITUTE(SUBSTITUTE(SUBSTITUTE(P1280," ",""),"-",""),"+","")</f>
        <v>914473451199</v>
      </c>
      <c r="R1280" t="str">
        <f t="shared" si="38"/>
        <v>4473451199</v>
      </c>
      <c r="S1280" t="str">
        <f>IF(LEN(R1280),"Valid","Invalid")</f>
        <v>Valid</v>
      </c>
      <c r="T1280" t="s">
        <v>2610</v>
      </c>
      <c r="V1280" t="s">
        <v>35</v>
      </c>
      <c r="X1280">
        <v>24315.599999999999</v>
      </c>
      <c r="Y1280" t="s">
        <v>26</v>
      </c>
      <c r="Z1280">
        <v>400</v>
      </c>
      <c r="AA1280">
        <f t="shared" si="39"/>
        <v>400</v>
      </c>
      <c r="AB1280" t="s">
        <v>50</v>
      </c>
    </row>
    <row r="1281" spans="1:28" x14ac:dyDescent="0.3">
      <c r="A1281" t="s">
        <v>2609</v>
      </c>
      <c r="B1281" t="s">
        <v>2608</v>
      </c>
      <c r="C1281" t="s">
        <v>2608</v>
      </c>
      <c r="D1281" t="s">
        <v>60</v>
      </c>
      <c r="E1281">
        <v>67</v>
      </c>
      <c r="F1281">
        <v>67</v>
      </c>
      <c r="G1281" t="s">
        <v>31</v>
      </c>
      <c r="H1281" t="s">
        <v>31</v>
      </c>
      <c r="I1281" t="s">
        <v>90</v>
      </c>
      <c r="J1281" t="s">
        <v>67</v>
      </c>
      <c r="K1281" s="1">
        <v>46095</v>
      </c>
      <c r="L1281" s="1" t="str">
        <f>IF(K1281&gt;O1281,"Valid","Invalid")</f>
        <v>Valid</v>
      </c>
      <c r="M1281" s="1" t="b">
        <f>ISNUMBER(K1281)</f>
        <v>1</v>
      </c>
      <c r="N1281" s="1" t="b">
        <f>ISNUMBER(O1281)</f>
        <v>1</v>
      </c>
      <c r="O1281" s="1">
        <v>46068</v>
      </c>
      <c r="P1281" t="s">
        <v>2607</v>
      </c>
      <c r="Q1281" t="str">
        <f>SUBSTITUTE(SUBSTITUTE(SUBSTITUTE(P1281," ",""),"-",""),"+","")</f>
        <v>8146441484</v>
      </c>
      <c r="R1281" t="str">
        <f t="shared" si="38"/>
        <v>8146441484</v>
      </c>
      <c r="S1281" t="str">
        <f>IF(LEN(R1281),"Valid","Invalid")</f>
        <v>Valid</v>
      </c>
      <c r="T1281" t="s">
        <v>2606</v>
      </c>
      <c r="V1281" t="s">
        <v>123</v>
      </c>
      <c r="X1281">
        <v>16279.74</v>
      </c>
      <c r="Y1281" t="s">
        <v>123</v>
      </c>
      <c r="Z1281">
        <v>189</v>
      </c>
      <c r="AA1281">
        <f t="shared" si="39"/>
        <v>189</v>
      </c>
      <c r="AB1281" t="s">
        <v>16</v>
      </c>
    </row>
    <row r="1282" spans="1:28" x14ac:dyDescent="0.3">
      <c r="A1282" t="s">
        <v>2605</v>
      </c>
      <c r="B1282" t="s">
        <v>2604</v>
      </c>
      <c r="C1282" t="s">
        <v>2604</v>
      </c>
      <c r="D1282" t="s">
        <v>123</v>
      </c>
      <c r="E1282">
        <v>2</v>
      </c>
      <c r="F1282">
        <v>2</v>
      </c>
      <c r="G1282" t="s">
        <v>80</v>
      </c>
      <c r="H1282" t="s">
        <v>80</v>
      </c>
      <c r="I1282" t="s">
        <v>67</v>
      </c>
      <c r="J1282" t="s">
        <v>67</v>
      </c>
      <c r="K1282" s="1">
        <v>45992</v>
      </c>
      <c r="L1282" s="1" t="str">
        <f>IF(K1282&gt;O1282,"Valid","Invalid")</f>
        <v>Valid</v>
      </c>
      <c r="M1282" s="1" t="b">
        <f>ISNUMBER(K1282)</f>
        <v>1</v>
      </c>
      <c r="N1282" s="1" t="b">
        <f>ISNUMBER(O1282)</f>
        <v>1</v>
      </c>
      <c r="O1282" s="1">
        <v>45985</v>
      </c>
      <c r="P1282" t="s">
        <v>2603</v>
      </c>
      <c r="Q1282" t="str">
        <f>SUBSTITUTE(SUBSTITUTE(SUBSTITUTE(P1282," ",""),"-",""),"+","")</f>
        <v>00271702365</v>
      </c>
      <c r="R1282" t="str">
        <f t="shared" si="38"/>
        <v>0271702365</v>
      </c>
      <c r="S1282" t="str">
        <f>IF(LEN(R1282),"Valid","Invalid")</f>
        <v>Valid</v>
      </c>
      <c r="T1282" t="s">
        <v>2602</v>
      </c>
      <c r="V1282" t="s">
        <v>26</v>
      </c>
      <c r="X1282">
        <v>5319.45</v>
      </c>
      <c r="Y1282" t="s">
        <v>26</v>
      </c>
      <c r="Z1282">
        <v>242</v>
      </c>
      <c r="AA1282">
        <f t="shared" si="39"/>
        <v>242</v>
      </c>
      <c r="AB1282" t="s">
        <v>34</v>
      </c>
    </row>
    <row r="1283" spans="1:28" x14ac:dyDescent="0.3">
      <c r="A1283" t="s">
        <v>2601</v>
      </c>
      <c r="B1283" t="s">
        <v>2600</v>
      </c>
      <c r="C1283" t="s">
        <v>2600</v>
      </c>
      <c r="D1283" t="s">
        <v>74</v>
      </c>
      <c r="E1283">
        <v>84</v>
      </c>
      <c r="F1283">
        <v>84</v>
      </c>
      <c r="G1283" t="s">
        <v>21</v>
      </c>
      <c r="H1283" t="s">
        <v>21</v>
      </c>
      <c r="I1283" t="s">
        <v>67</v>
      </c>
      <c r="J1283" t="s">
        <v>67</v>
      </c>
      <c r="K1283" s="1">
        <v>46089</v>
      </c>
      <c r="L1283" s="1" t="str">
        <f>IF(K1283&gt;O1283,"Valid","Invalid")</f>
        <v>Valid</v>
      </c>
      <c r="M1283" s="1" t="b">
        <f>ISNUMBER(K1283)</f>
        <v>1</v>
      </c>
      <c r="N1283" s="1" t="b">
        <f>ISNUMBER(O1283)</f>
        <v>1</v>
      </c>
      <c r="O1283" s="1">
        <v>46074</v>
      </c>
      <c r="P1283" t="s">
        <v>2599</v>
      </c>
      <c r="Q1283" t="str">
        <f>SUBSTITUTE(SUBSTITUTE(SUBSTITUTE(P1283," ",""),"-",""),"+","")</f>
        <v>5986646612</v>
      </c>
      <c r="R1283" t="str">
        <f t="shared" si="38"/>
        <v>5986646612</v>
      </c>
      <c r="S1283" t="str">
        <f>IF(LEN(R1283),"Valid","Invalid")</f>
        <v>Valid</v>
      </c>
      <c r="T1283" t="s">
        <v>2598</v>
      </c>
      <c r="V1283" t="s">
        <v>123</v>
      </c>
      <c r="X1283">
        <v>14321.32</v>
      </c>
      <c r="Y1283" t="s">
        <v>27</v>
      </c>
      <c r="Z1283">
        <v>530</v>
      </c>
      <c r="AA1283">
        <f t="shared" si="39"/>
        <v>530</v>
      </c>
      <c r="AB1283" t="s">
        <v>25</v>
      </c>
    </row>
    <row r="1284" spans="1:28" x14ac:dyDescent="0.3">
      <c r="A1284" t="s">
        <v>2595</v>
      </c>
      <c r="B1284" t="s">
        <v>2594</v>
      </c>
      <c r="C1284" t="s">
        <v>2594</v>
      </c>
      <c r="D1284" t="s">
        <v>74</v>
      </c>
      <c r="E1284">
        <v>8</v>
      </c>
      <c r="F1284">
        <v>8</v>
      </c>
      <c r="G1284" t="s">
        <v>68</v>
      </c>
      <c r="H1284" t="s">
        <v>68</v>
      </c>
      <c r="I1284" t="s">
        <v>38</v>
      </c>
      <c r="J1284" t="s">
        <v>8077</v>
      </c>
      <c r="K1284" s="1">
        <v>46047</v>
      </c>
      <c r="L1284" s="1" t="str">
        <f>IF(K1284&gt;O1284,"Valid","Invalid")</f>
        <v>Valid</v>
      </c>
      <c r="M1284" s="1" t="b">
        <f>ISNUMBER(K1284)</f>
        <v>1</v>
      </c>
      <c r="N1284" s="1" t="b">
        <f>ISNUMBER(O1284)</f>
        <v>1</v>
      </c>
      <c r="O1284" s="1">
        <v>46040</v>
      </c>
      <c r="P1284" t="s">
        <v>2593</v>
      </c>
      <c r="Q1284" t="str">
        <f>SUBSTITUTE(SUBSTITUTE(SUBSTITUTE(P1284," ",""),"-",""),"+","")</f>
        <v>912987396195</v>
      </c>
      <c r="R1284" t="str">
        <f t="shared" si="38"/>
        <v>2987396195</v>
      </c>
      <c r="S1284" t="str">
        <f>IF(LEN(R1284),"Valid","Invalid")</f>
        <v>Valid</v>
      </c>
      <c r="T1284" t="s">
        <v>2592</v>
      </c>
      <c r="V1284" t="s">
        <v>26</v>
      </c>
      <c r="X1284">
        <v>19972.29</v>
      </c>
      <c r="Y1284" t="s">
        <v>26</v>
      </c>
      <c r="Z1284">
        <v>453</v>
      </c>
      <c r="AA1284">
        <f t="shared" si="39"/>
        <v>453</v>
      </c>
      <c r="AB1284" t="s">
        <v>25</v>
      </c>
    </row>
    <row r="1285" spans="1:28" x14ac:dyDescent="0.3">
      <c r="A1285" t="s">
        <v>2591</v>
      </c>
      <c r="B1285" t="s">
        <v>2590</v>
      </c>
      <c r="C1285" t="s">
        <v>2590</v>
      </c>
      <c r="D1285" t="s">
        <v>1</v>
      </c>
      <c r="E1285">
        <v>30</v>
      </c>
      <c r="F1285">
        <v>30</v>
      </c>
      <c r="G1285" t="s">
        <v>68</v>
      </c>
      <c r="H1285" t="s">
        <v>68</v>
      </c>
      <c r="I1285" t="s">
        <v>53</v>
      </c>
      <c r="J1285" t="s">
        <v>20</v>
      </c>
      <c r="K1285" s="1">
        <v>45988</v>
      </c>
      <c r="L1285" s="1" t="str">
        <f>IF(K1285&gt;O1285,"Valid","Invalid")</f>
        <v>Valid</v>
      </c>
      <c r="M1285" s="1" t="b">
        <f>ISNUMBER(K1285)</f>
        <v>1</v>
      </c>
      <c r="N1285" s="1" t="b">
        <f>ISNUMBER(O1285)</f>
        <v>1</v>
      </c>
      <c r="O1285" s="1">
        <v>45987</v>
      </c>
      <c r="P1285" t="s">
        <v>2589</v>
      </c>
      <c r="Q1285" t="str">
        <f>SUBSTITUTE(SUBSTITUTE(SUBSTITUTE(P1285," ",""),"-",""),"+","")</f>
        <v>6169376648</v>
      </c>
      <c r="R1285" t="str">
        <f t="shared" ref="R1285:R1348" si="40">RIGHT(Q1285,10)</f>
        <v>6169376648</v>
      </c>
      <c r="S1285" t="str">
        <f>IF(LEN(R1285),"Valid","Invalid")</f>
        <v>Valid</v>
      </c>
      <c r="T1285" t="s">
        <v>2588</v>
      </c>
      <c r="V1285" t="s">
        <v>26</v>
      </c>
      <c r="X1285">
        <v>13889</v>
      </c>
      <c r="Y1285" t="s">
        <v>64</v>
      </c>
      <c r="Z1285">
        <v>480</v>
      </c>
      <c r="AA1285">
        <f t="shared" ref="AA1285:AA1348" si="41">IF(Z1285="Room-x",0,Z1285)</f>
        <v>480</v>
      </c>
      <c r="AB1285" t="s">
        <v>71</v>
      </c>
    </row>
    <row r="1286" spans="1:28" x14ac:dyDescent="0.3">
      <c r="A1286" t="s">
        <v>2587</v>
      </c>
      <c r="B1286" t="s">
        <v>2586</v>
      </c>
      <c r="C1286" t="s">
        <v>2586</v>
      </c>
      <c r="D1286" t="s">
        <v>74</v>
      </c>
      <c r="E1286">
        <v>17</v>
      </c>
      <c r="F1286">
        <v>17</v>
      </c>
      <c r="G1286" t="s">
        <v>132</v>
      </c>
      <c r="H1286" t="s">
        <v>132</v>
      </c>
      <c r="I1286" t="s">
        <v>46</v>
      </c>
      <c r="J1286" t="s">
        <v>46</v>
      </c>
      <c r="K1286" s="1">
        <v>46014</v>
      </c>
      <c r="L1286" s="1" t="str">
        <f>IF(K1286&gt;O1286,"Valid","Invalid")</f>
        <v>Valid</v>
      </c>
      <c r="M1286" s="1" t="b">
        <f>ISNUMBER(K1286)</f>
        <v>1</v>
      </c>
      <c r="N1286" s="1" t="b">
        <f>ISNUMBER(O1286)</f>
        <v>1</v>
      </c>
      <c r="O1286" s="1">
        <v>46008</v>
      </c>
      <c r="P1286" t="s">
        <v>2585</v>
      </c>
      <c r="Q1286" t="str">
        <f>SUBSTITUTE(SUBSTITUTE(SUBSTITUTE(P1286," ",""),"-",""),"+","")</f>
        <v>9121545137</v>
      </c>
      <c r="R1286" t="str">
        <f t="shared" si="40"/>
        <v>9121545137</v>
      </c>
      <c r="S1286" t="str">
        <f>IF(LEN(R1286),"Valid","Invalid")</f>
        <v>Valid</v>
      </c>
      <c r="T1286" t="s">
        <v>2584</v>
      </c>
      <c r="V1286" t="s">
        <v>17</v>
      </c>
      <c r="X1286">
        <v>6249.73</v>
      </c>
      <c r="Y1286" t="s">
        <v>123</v>
      </c>
      <c r="Z1286">
        <v>337</v>
      </c>
      <c r="AA1286">
        <f t="shared" si="41"/>
        <v>337</v>
      </c>
      <c r="AB1286" t="s">
        <v>77</v>
      </c>
    </row>
    <row r="1287" spans="1:28" x14ac:dyDescent="0.3">
      <c r="A1287" t="s">
        <v>2583</v>
      </c>
      <c r="B1287" t="s">
        <v>2582</v>
      </c>
      <c r="C1287" t="s">
        <v>2582</v>
      </c>
      <c r="D1287" t="s">
        <v>40</v>
      </c>
      <c r="E1287">
        <v>41</v>
      </c>
      <c r="F1287">
        <v>41</v>
      </c>
      <c r="G1287" t="s">
        <v>80</v>
      </c>
      <c r="H1287" t="s">
        <v>80</v>
      </c>
      <c r="I1287" t="s">
        <v>38</v>
      </c>
      <c r="J1287" t="s">
        <v>8077</v>
      </c>
      <c r="K1287" s="1">
        <v>45994</v>
      </c>
      <c r="L1287" s="1" t="str">
        <f>IF(K1287&gt;O1287,"Valid","Invalid")</f>
        <v>Valid</v>
      </c>
      <c r="M1287" s="1" t="b">
        <f>ISNUMBER(K1287)</f>
        <v>1</v>
      </c>
      <c r="N1287" s="1" t="b">
        <f>ISNUMBER(O1287)</f>
        <v>1</v>
      </c>
      <c r="O1287" s="1">
        <v>45979</v>
      </c>
      <c r="P1287" t="s">
        <v>2581</v>
      </c>
      <c r="Q1287" t="str">
        <f>SUBSTITUTE(SUBSTITUTE(SUBSTITUTE(P1287," ",""),"-",""),"+","")</f>
        <v>914590800690</v>
      </c>
      <c r="R1287" t="str">
        <f t="shared" si="40"/>
        <v>4590800690</v>
      </c>
      <c r="S1287" t="str">
        <f>IF(LEN(R1287),"Valid","Invalid")</f>
        <v>Valid</v>
      </c>
      <c r="T1287" t="s">
        <v>2580</v>
      </c>
      <c r="V1287" t="s">
        <v>64</v>
      </c>
      <c r="X1287">
        <v>11159.07</v>
      </c>
      <c r="Y1287" t="s">
        <v>123</v>
      </c>
      <c r="Z1287">
        <v>201</v>
      </c>
      <c r="AA1287">
        <f t="shared" si="41"/>
        <v>201</v>
      </c>
      <c r="AB1287" t="s">
        <v>77</v>
      </c>
    </row>
    <row r="1288" spans="1:28" x14ac:dyDescent="0.3">
      <c r="A1288" t="s">
        <v>2579</v>
      </c>
      <c r="B1288" t="s">
        <v>2578</v>
      </c>
      <c r="C1288" t="s">
        <v>2578</v>
      </c>
      <c r="D1288" t="s">
        <v>1</v>
      </c>
      <c r="E1288">
        <v>77</v>
      </c>
      <c r="F1288">
        <v>77</v>
      </c>
      <c r="G1288" t="s">
        <v>68</v>
      </c>
      <c r="H1288" t="s">
        <v>68</v>
      </c>
      <c r="I1288" t="s">
        <v>30</v>
      </c>
      <c r="J1288" t="s">
        <v>30</v>
      </c>
      <c r="K1288" s="1">
        <v>45994</v>
      </c>
      <c r="L1288" s="1" t="str">
        <f>IF(K1288&gt;O1288,"Valid","Invalid")</f>
        <v>Valid</v>
      </c>
      <c r="M1288" s="1" t="b">
        <f>ISNUMBER(K1288)</f>
        <v>1</v>
      </c>
      <c r="N1288" s="1" t="b">
        <f>ISNUMBER(O1288)</f>
        <v>1</v>
      </c>
      <c r="O1288" s="1">
        <v>45976</v>
      </c>
      <c r="P1288" t="s">
        <v>2577</v>
      </c>
      <c r="Q1288" t="str">
        <f>SUBSTITUTE(SUBSTITUTE(SUBSTITUTE(P1288," ",""),"-",""),"+","")</f>
        <v>0429258961</v>
      </c>
      <c r="R1288" t="str">
        <f t="shared" si="40"/>
        <v>0429258961</v>
      </c>
      <c r="S1288" t="str">
        <f>IF(LEN(R1288),"Valid","Invalid")</f>
        <v>Valid</v>
      </c>
      <c r="T1288" t="s">
        <v>2576</v>
      </c>
      <c r="V1288" t="s">
        <v>27</v>
      </c>
      <c r="X1288">
        <v>14626.5</v>
      </c>
      <c r="Y1288" t="s">
        <v>64</v>
      </c>
      <c r="Z1288">
        <v>468</v>
      </c>
      <c r="AA1288">
        <f t="shared" si="41"/>
        <v>468</v>
      </c>
      <c r="AB1288" t="s">
        <v>16</v>
      </c>
    </row>
    <row r="1289" spans="1:28" x14ac:dyDescent="0.3">
      <c r="A1289" t="s">
        <v>2575</v>
      </c>
      <c r="B1289" t="s">
        <v>2574</v>
      </c>
      <c r="C1289" t="s">
        <v>2574</v>
      </c>
      <c r="D1289" t="s">
        <v>1</v>
      </c>
      <c r="E1289">
        <v>76</v>
      </c>
      <c r="F1289">
        <v>76</v>
      </c>
      <c r="G1289" t="s">
        <v>68</v>
      </c>
      <c r="H1289" t="s">
        <v>68</v>
      </c>
      <c r="I1289" t="s">
        <v>46</v>
      </c>
      <c r="J1289" t="s">
        <v>46</v>
      </c>
      <c r="K1289" s="1">
        <v>46005</v>
      </c>
      <c r="L1289" s="1" t="str">
        <f>IF(K1289&gt;O1289,"Valid","Invalid")</f>
        <v>Valid</v>
      </c>
      <c r="M1289" s="1" t="b">
        <f>ISNUMBER(K1289)</f>
        <v>1</v>
      </c>
      <c r="N1289" s="1" t="b">
        <f>ISNUMBER(O1289)</f>
        <v>1</v>
      </c>
      <c r="O1289" s="1">
        <v>45997</v>
      </c>
      <c r="P1289" t="s">
        <v>2573</v>
      </c>
      <c r="Q1289" t="str">
        <f>SUBSTITUTE(SUBSTITUTE(SUBSTITUTE(P1289," ",""),"-",""),"+","")</f>
        <v>01671741102</v>
      </c>
      <c r="R1289" t="str">
        <f t="shared" si="40"/>
        <v>1671741102</v>
      </c>
      <c r="S1289" t="str">
        <f>IF(LEN(R1289),"Valid","Invalid")</f>
        <v>Valid</v>
      </c>
      <c r="T1289" t="s">
        <v>2572</v>
      </c>
      <c r="V1289" t="s">
        <v>123</v>
      </c>
      <c r="X1289">
        <v>15113.58</v>
      </c>
      <c r="Y1289" t="s">
        <v>123</v>
      </c>
      <c r="Z1289">
        <v>423</v>
      </c>
      <c r="AA1289">
        <f t="shared" si="41"/>
        <v>423</v>
      </c>
      <c r="AB1289" t="s">
        <v>71</v>
      </c>
    </row>
    <row r="1290" spans="1:28" x14ac:dyDescent="0.3">
      <c r="A1290" t="s">
        <v>2571</v>
      </c>
      <c r="B1290" t="s">
        <v>2570</v>
      </c>
      <c r="C1290" t="s">
        <v>2570</v>
      </c>
      <c r="D1290" t="s">
        <v>60</v>
      </c>
      <c r="E1290">
        <v>65</v>
      </c>
      <c r="F1290">
        <v>65</v>
      </c>
      <c r="G1290" t="s">
        <v>68</v>
      </c>
      <c r="H1290" t="s">
        <v>68</v>
      </c>
      <c r="I1290" t="s">
        <v>30</v>
      </c>
      <c r="J1290" t="s">
        <v>30</v>
      </c>
      <c r="K1290" s="1">
        <v>46032</v>
      </c>
      <c r="L1290" s="1" t="str">
        <f>IF(K1290&gt;O1290,"Valid","Invalid")</f>
        <v>Valid</v>
      </c>
      <c r="M1290" s="1" t="b">
        <f>ISNUMBER(K1290)</f>
        <v>1</v>
      </c>
      <c r="N1290" s="1" t="b">
        <f>ISNUMBER(O1290)</f>
        <v>1</v>
      </c>
      <c r="O1290" s="1">
        <v>46002</v>
      </c>
      <c r="P1290" t="s">
        <v>2569</v>
      </c>
      <c r="Q1290" t="str">
        <f>SUBSTITUTE(SUBSTITUTE(SUBSTITUTE(P1290," ",""),"-",""),"+","")</f>
        <v>6845013014</v>
      </c>
      <c r="R1290" t="str">
        <f t="shared" si="40"/>
        <v>6845013014</v>
      </c>
      <c r="S1290" t="str">
        <f>IF(LEN(R1290),"Valid","Invalid")</f>
        <v>Valid</v>
      </c>
      <c r="T1290" t="s">
        <v>2568</v>
      </c>
      <c r="V1290" t="s">
        <v>26</v>
      </c>
      <c r="X1290">
        <v>6752.16</v>
      </c>
      <c r="Y1290" t="s">
        <v>57</v>
      </c>
      <c r="Z1290">
        <v>274</v>
      </c>
      <c r="AA1290">
        <f t="shared" si="41"/>
        <v>274</v>
      </c>
      <c r="AB1290" t="s">
        <v>43</v>
      </c>
    </row>
    <row r="1291" spans="1:28" x14ac:dyDescent="0.3">
      <c r="A1291" t="s">
        <v>2567</v>
      </c>
      <c r="B1291" t="s">
        <v>2566</v>
      </c>
      <c r="C1291" t="s">
        <v>2566</v>
      </c>
      <c r="D1291" t="s">
        <v>22</v>
      </c>
      <c r="E1291">
        <v>81</v>
      </c>
      <c r="F1291">
        <v>81</v>
      </c>
      <c r="G1291" t="s">
        <v>68</v>
      </c>
      <c r="H1291" t="s">
        <v>68</v>
      </c>
      <c r="I1291" t="s">
        <v>20</v>
      </c>
      <c r="J1291" t="s">
        <v>20</v>
      </c>
      <c r="K1291" s="1">
        <v>46073</v>
      </c>
      <c r="L1291" s="1" t="str">
        <f>IF(K1291&gt;O1291,"Valid","Invalid")</f>
        <v>Valid</v>
      </c>
      <c r="M1291" s="1" t="b">
        <f>ISNUMBER(K1291)</f>
        <v>1</v>
      </c>
      <c r="N1291" s="1" t="b">
        <f>ISNUMBER(O1291)</f>
        <v>1</v>
      </c>
      <c r="O1291" s="1">
        <v>46049</v>
      </c>
      <c r="P1291" t="s">
        <v>2565</v>
      </c>
      <c r="Q1291" t="str">
        <f>SUBSTITUTE(SUBSTITUTE(SUBSTITUTE(P1291," ",""),"-",""),"+","")</f>
        <v>07999777970</v>
      </c>
      <c r="R1291" t="str">
        <f t="shared" si="40"/>
        <v>7999777970</v>
      </c>
      <c r="S1291" t="str">
        <f>IF(LEN(R1291),"Valid","Invalid")</f>
        <v>Valid</v>
      </c>
      <c r="T1291" t="s">
        <v>2564</v>
      </c>
      <c r="V1291" t="s">
        <v>35</v>
      </c>
      <c r="X1291">
        <v>12291.99</v>
      </c>
      <c r="Y1291" t="s">
        <v>17</v>
      </c>
      <c r="Z1291">
        <v>360</v>
      </c>
      <c r="AA1291">
        <f t="shared" si="41"/>
        <v>360</v>
      </c>
      <c r="AB1291" t="s">
        <v>16</v>
      </c>
    </row>
    <row r="1292" spans="1:28" x14ac:dyDescent="0.3">
      <c r="A1292" t="s">
        <v>2563</v>
      </c>
      <c r="B1292" t="s">
        <v>2562</v>
      </c>
      <c r="C1292" t="s">
        <v>2562</v>
      </c>
      <c r="E1292">
        <v>21</v>
      </c>
      <c r="F1292">
        <v>21</v>
      </c>
      <c r="G1292" t="s">
        <v>39</v>
      </c>
      <c r="H1292" t="s">
        <v>39</v>
      </c>
      <c r="I1292" t="s">
        <v>20</v>
      </c>
      <c r="J1292" t="s">
        <v>20</v>
      </c>
      <c r="K1292" s="1">
        <v>46004</v>
      </c>
      <c r="L1292" s="1" t="str">
        <f>IF(K1292&gt;O1292,"Valid","Invalid")</f>
        <v>Valid</v>
      </c>
      <c r="M1292" s="1" t="b">
        <f>ISNUMBER(K1292)</f>
        <v>1</v>
      </c>
      <c r="N1292" s="1" t="b">
        <f>ISNUMBER(O1292)</f>
        <v>1</v>
      </c>
      <c r="O1292" s="1">
        <v>45980</v>
      </c>
      <c r="P1292" t="s">
        <v>2561</v>
      </c>
      <c r="Q1292" t="str">
        <f>SUBSTITUTE(SUBSTITUTE(SUBSTITUTE(P1292," ",""),"-",""),"+","")</f>
        <v>07052683459</v>
      </c>
      <c r="R1292" t="str">
        <f t="shared" si="40"/>
        <v>7052683459</v>
      </c>
      <c r="S1292" t="str">
        <f>IF(LEN(R1292),"Valid","Invalid")</f>
        <v>Valid</v>
      </c>
      <c r="T1292" t="s">
        <v>2560</v>
      </c>
      <c r="V1292" t="s">
        <v>123</v>
      </c>
      <c r="X1292">
        <v>16889.810000000001</v>
      </c>
      <c r="Y1292" t="s">
        <v>64</v>
      </c>
      <c r="Z1292">
        <v>541</v>
      </c>
      <c r="AA1292">
        <f t="shared" si="41"/>
        <v>541</v>
      </c>
      <c r="AB1292" t="s">
        <v>16</v>
      </c>
    </row>
    <row r="1293" spans="1:28" x14ac:dyDescent="0.3">
      <c r="A1293" t="s">
        <v>2559</v>
      </c>
      <c r="B1293" t="s">
        <v>2558</v>
      </c>
      <c r="C1293" t="s">
        <v>2558</v>
      </c>
      <c r="D1293" t="s">
        <v>60</v>
      </c>
      <c r="E1293">
        <v>82</v>
      </c>
      <c r="F1293">
        <v>82</v>
      </c>
      <c r="G1293" t="s">
        <v>39</v>
      </c>
      <c r="H1293" t="s">
        <v>39</v>
      </c>
      <c r="I1293" t="s">
        <v>38</v>
      </c>
      <c r="J1293" t="s">
        <v>8077</v>
      </c>
      <c r="K1293" s="1">
        <v>46013</v>
      </c>
      <c r="L1293" s="1" t="str">
        <f>IF(K1293&gt;O1293,"Valid","Invalid")</f>
        <v>Valid</v>
      </c>
      <c r="M1293" s="1" t="b">
        <f>ISNUMBER(K1293)</f>
        <v>1</v>
      </c>
      <c r="N1293" s="1" t="b">
        <f>ISNUMBER(O1293)</f>
        <v>1</v>
      </c>
      <c r="O1293" s="1">
        <v>45989</v>
      </c>
      <c r="P1293" t="s">
        <v>2557</v>
      </c>
      <c r="Q1293" t="str">
        <f>SUBSTITUTE(SUBSTITUTE(SUBSTITUTE(P1293," ",""),"-",""),"+","")</f>
        <v>913045162481</v>
      </c>
      <c r="R1293" t="str">
        <f t="shared" si="40"/>
        <v>3045162481</v>
      </c>
      <c r="S1293" t="str">
        <f>IF(LEN(R1293),"Valid","Invalid")</f>
        <v>Valid</v>
      </c>
      <c r="T1293" t="s">
        <v>2556</v>
      </c>
      <c r="V1293" t="s">
        <v>64</v>
      </c>
      <c r="X1293">
        <v>19118.75</v>
      </c>
      <c r="Y1293" t="s">
        <v>57</v>
      </c>
      <c r="Z1293">
        <v>257</v>
      </c>
      <c r="AA1293">
        <f t="shared" si="41"/>
        <v>257</v>
      </c>
      <c r="AB1293" t="s">
        <v>34</v>
      </c>
    </row>
    <row r="1294" spans="1:28" x14ac:dyDescent="0.3">
      <c r="A1294" t="s">
        <v>2555</v>
      </c>
      <c r="B1294" t="s">
        <v>2554</v>
      </c>
      <c r="C1294" t="s">
        <v>2554</v>
      </c>
      <c r="D1294" t="s">
        <v>22</v>
      </c>
      <c r="E1294">
        <v>41</v>
      </c>
      <c r="F1294">
        <v>41</v>
      </c>
      <c r="G1294" t="s">
        <v>68</v>
      </c>
      <c r="H1294" t="s">
        <v>68</v>
      </c>
      <c r="I1294" t="s">
        <v>20</v>
      </c>
      <c r="J1294" t="s">
        <v>20</v>
      </c>
      <c r="K1294" s="1">
        <v>46138</v>
      </c>
      <c r="L1294" s="1" t="str">
        <f>IF(K1294&gt;O1294,"Valid","Invalid")</f>
        <v>Valid</v>
      </c>
      <c r="M1294" s="1" t="b">
        <f>ISNUMBER(K1294)</f>
        <v>1</v>
      </c>
      <c r="N1294" s="1" t="b">
        <f>ISNUMBER(O1294)</f>
        <v>1</v>
      </c>
      <c r="O1294" s="1">
        <v>46117</v>
      </c>
      <c r="P1294" t="s">
        <v>2553</v>
      </c>
      <c r="Q1294" t="str">
        <f>SUBSTITUTE(SUBSTITUTE(SUBSTITUTE(P1294," ",""),"-",""),"+","")</f>
        <v>06243428744</v>
      </c>
      <c r="R1294" t="str">
        <f t="shared" si="40"/>
        <v>6243428744</v>
      </c>
      <c r="S1294" t="str">
        <f>IF(LEN(R1294),"Valid","Invalid")</f>
        <v>Valid</v>
      </c>
      <c r="T1294" t="s">
        <v>2552</v>
      </c>
      <c r="V1294" t="s">
        <v>26</v>
      </c>
      <c r="X1294">
        <v>23203.279999999999</v>
      </c>
      <c r="Y1294" t="s">
        <v>57</v>
      </c>
      <c r="Z1294">
        <v>392</v>
      </c>
      <c r="AA1294">
        <f t="shared" si="41"/>
        <v>392</v>
      </c>
      <c r="AB1294" t="s">
        <v>25</v>
      </c>
    </row>
    <row r="1295" spans="1:28" x14ac:dyDescent="0.3">
      <c r="A1295" t="s">
        <v>2551</v>
      </c>
      <c r="B1295" t="s">
        <v>2550</v>
      </c>
      <c r="C1295" t="s">
        <v>2550</v>
      </c>
      <c r="D1295" t="s">
        <v>0</v>
      </c>
      <c r="E1295">
        <v>42</v>
      </c>
      <c r="F1295">
        <v>42</v>
      </c>
      <c r="G1295" t="s">
        <v>39</v>
      </c>
      <c r="H1295" t="s">
        <v>39</v>
      </c>
      <c r="I1295" t="s">
        <v>38</v>
      </c>
      <c r="J1295" t="s">
        <v>8077</v>
      </c>
      <c r="K1295" s="1">
        <v>46144</v>
      </c>
      <c r="L1295" s="1" t="str">
        <f>IF(K1295&gt;O1295,"Valid","Invalid")</f>
        <v>Valid</v>
      </c>
      <c r="M1295" s="1" t="b">
        <f>ISNUMBER(K1295)</f>
        <v>1</v>
      </c>
      <c r="N1295" s="1" t="b">
        <f>ISNUMBER(O1295)</f>
        <v>1</v>
      </c>
      <c r="O1295" s="1">
        <v>46120</v>
      </c>
      <c r="P1295" t="s">
        <v>2549</v>
      </c>
      <c r="Q1295" t="str">
        <f>SUBSTITUTE(SUBSTITUTE(SUBSTITUTE(P1295," ",""),"-",""),"+","")</f>
        <v>913059997141</v>
      </c>
      <c r="R1295" t="str">
        <f t="shared" si="40"/>
        <v>3059997141</v>
      </c>
      <c r="S1295" t="str">
        <f>IF(LEN(R1295),"Valid","Invalid")</f>
        <v>Valid</v>
      </c>
      <c r="T1295" t="s">
        <v>2548</v>
      </c>
      <c r="V1295" t="s">
        <v>123</v>
      </c>
      <c r="X1295">
        <v>19688.12</v>
      </c>
      <c r="Y1295" t="s">
        <v>26</v>
      </c>
      <c r="Z1295">
        <v>412</v>
      </c>
      <c r="AA1295">
        <f t="shared" si="41"/>
        <v>412</v>
      </c>
      <c r="AB1295" t="s">
        <v>25</v>
      </c>
    </row>
    <row r="1296" spans="1:28" x14ac:dyDescent="0.3">
      <c r="A1296" t="s">
        <v>2547</v>
      </c>
      <c r="B1296" t="s">
        <v>2546</v>
      </c>
      <c r="C1296" t="s">
        <v>2546</v>
      </c>
      <c r="D1296" t="s">
        <v>0</v>
      </c>
      <c r="E1296">
        <v>42</v>
      </c>
      <c r="F1296">
        <v>42</v>
      </c>
      <c r="G1296" t="s">
        <v>68</v>
      </c>
      <c r="H1296" t="s">
        <v>68</v>
      </c>
      <c r="I1296" t="s">
        <v>90</v>
      </c>
      <c r="J1296" t="s">
        <v>67</v>
      </c>
      <c r="K1296" s="1">
        <v>46029</v>
      </c>
      <c r="L1296" s="1" t="str">
        <f>IF(K1296&gt;O1296,"Valid","Invalid")</f>
        <v>Valid</v>
      </c>
      <c r="M1296" s="1" t="b">
        <f>ISNUMBER(K1296)</f>
        <v>1</v>
      </c>
      <c r="N1296" s="1" t="b">
        <f>ISNUMBER(O1296)</f>
        <v>1</v>
      </c>
      <c r="O1296" s="1">
        <v>46005</v>
      </c>
      <c r="P1296" t="s">
        <v>2545</v>
      </c>
      <c r="Q1296" t="str">
        <f>SUBSTITUTE(SUBSTITUTE(SUBSTITUTE(P1296," ",""),"-",""),"+","")</f>
        <v>4495186785</v>
      </c>
      <c r="R1296" t="str">
        <f t="shared" si="40"/>
        <v>4495186785</v>
      </c>
      <c r="S1296" t="str">
        <f>IF(LEN(R1296),"Valid","Invalid")</f>
        <v>Valid</v>
      </c>
      <c r="T1296" t="s">
        <v>2544</v>
      </c>
      <c r="V1296" t="s">
        <v>26</v>
      </c>
      <c r="X1296">
        <v>5872.35</v>
      </c>
      <c r="Y1296" t="s">
        <v>63</v>
      </c>
      <c r="Z1296">
        <v>341</v>
      </c>
      <c r="AA1296">
        <f t="shared" si="41"/>
        <v>341</v>
      </c>
      <c r="AB1296" t="s">
        <v>50</v>
      </c>
    </row>
    <row r="1297" spans="1:28" x14ac:dyDescent="0.3">
      <c r="A1297" t="s">
        <v>2543</v>
      </c>
      <c r="B1297" t="s">
        <v>2542</v>
      </c>
      <c r="C1297" t="s">
        <v>2542</v>
      </c>
      <c r="D1297" t="s">
        <v>22</v>
      </c>
      <c r="E1297">
        <v>48</v>
      </c>
      <c r="F1297">
        <v>48</v>
      </c>
      <c r="G1297" t="s">
        <v>39</v>
      </c>
      <c r="H1297" t="s">
        <v>39</v>
      </c>
      <c r="I1297" t="s">
        <v>30</v>
      </c>
      <c r="J1297" t="s">
        <v>30</v>
      </c>
      <c r="K1297" s="1">
        <v>46087</v>
      </c>
      <c r="L1297" s="1" t="str">
        <f>IF(K1297&gt;O1297,"Valid","Invalid")</f>
        <v>Valid</v>
      </c>
      <c r="M1297" s="1" t="b">
        <f>ISNUMBER(K1297)</f>
        <v>1</v>
      </c>
      <c r="N1297" s="1" t="b">
        <f>ISNUMBER(O1297)</f>
        <v>1</v>
      </c>
      <c r="O1297" s="1">
        <v>46077</v>
      </c>
      <c r="P1297" t="s">
        <v>2541</v>
      </c>
      <c r="Q1297" t="str">
        <f>SUBSTITUTE(SUBSTITUTE(SUBSTITUTE(P1297," ",""),"-",""),"+","")</f>
        <v>06404925861</v>
      </c>
      <c r="R1297" t="str">
        <f t="shared" si="40"/>
        <v>6404925861</v>
      </c>
      <c r="S1297" t="str">
        <f>IF(LEN(R1297),"Valid","Invalid")</f>
        <v>Valid</v>
      </c>
      <c r="T1297" t="s">
        <v>2540</v>
      </c>
      <c r="V1297" t="s">
        <v>57</v>
      </c>
      <c r="X1297">
        <v>20764.939999999999</v>
      </c>
      <c r="Y1297" t="s">
        <v>17</v>
      </c>
      <c r="Z1297">
        <v>330</v>
      </c>
      <c r="AA1297">
        <f t="shared" si="41"/>
        <v>330</v>
      </c>
      <c r="AB1297" t="s">
        <v>43</v>
      </c>
    </row>
    <row r="1298" spans="1:28" x14ac:dyDescent="0.3">
      <c r="A1298" t="s">
        <v>2535</v>
      </c>
      <c r="B1298" t="s">
        <v>2534</v>
      </c>
      <c r="C1298" t="s">
        <v>2534</v>
      </c>
      <c r="D1298" t="s">
        <v>0</v>
      </c>
      <c r="E1298">
        <v>59</v>
      </c>
      <c r="F1298">
        <v>59</v>
      </c>
      <c r="G1298" t="s">
        <v>132</v>
      </c>
      <c r="H1298" t="s">
        <v>132</v>
      </c>
      <c r="I1298" t="s">
        <v>46</v>
      </c>
      <c r="J1298" t="s">
        <v>46</v>
      </c>
      <c r="K1298" s="1">
        <v>46155</v>
      </c>
      <c r="L1298" s="1" t="str">
        <f>IF(K1298&gt;O1298,"Valid","Invalid")</f>
        <v>Valid</v>
      </c>
      <c r="M1298" s="1" t="b">
        <f>ISNUMBER(K1298)</f>
        <v>1</v>
      </c>
      <c r="N1298" s="1" t="b">
        <f>ISNUMBER(O1298)</f>
        <v>1</v>
      </c>
      <c r="O1298" s="1">
        <v>46129</v>
      </c>
      <c r="P1298" t="s">
        <v>2533</v>
      </c>
      <c r="Q1298" t="str">
        <f>SUBSTITUTE(SUBSTITUTE(SUBSTITUTE(P1298," ",""),"-",""),"+","")</f>
        <v>8735729534</v>
      </c>
      <c r="R1298" t="str">
        <f t="shared" si="40"/>
        <v>8735729534</v>
      </c>
      <c r="S1298" t="str">
        <f>IF(LEN(R1298),"Valid","Invalid")</f>
        <v>Valid</v>
      </c>
      <c r="T1298" t="s">
        <v>2532</v>
      </c>
      <c r="V1298" t="s">
        <v>17</v>
      </c>
      <c r="X1298">
        <v>5373.5</v>
      </c>
      <c r="Y1298" t="s">
        <v>63</v>
      </c>
      <c r="Z1298">
        <v>250</v>
      </c>
      <c r="AA1298">
        <f t="shared" si="41"/>
        <v>250</v>
      </c>
      <c r="AB1298" t="s">
        <v>50</v>
      </c>
    </row>
    <row r="1299" spans="1:28" x14ac:dyDescent="0.3">
      <c r="A1299" t="s">
        <v>2531</v>
      </c>
      <c r="B1299" t="s">
        <v>2530</v>
      </c>
      <c r="C1299" t="s">
        <v>2530</v>
      </c>
      <c r="D1299" t="s">
        <v>60</v>
      </c>
      <c r="E1299">
        <v>4</v>
      </c>
      <c r="F1299">
        <v>4</v>
      </c>
      <c r="G1299" t="s">
        <v>31</v>
      </c>
      <c r="H1299" t="s">
        <v>31</v>
      </c>
      <c r="I1299" t="s">
        <v>90</v>
      </c>
      <c r="J1299" t="s">
        <v>67</v>
      </c>
      <c r="K1299" s="1">
        <v>46026</v>
      </c>
      <c r="L1299" s="1" t="str">
        <f>IF(K1299&gt;O1299,"Valid","Invalid")</f>
        <v>Valid</v>
      </c>
      <c r="M1299" s="1" t="b">
        <f>ISNUMBER(K1299)</f>
        <v>1</v>
      </c>
      <c r="N1299" s="1" t="b">
        <f>ISNUMBER(O1299)</f>
        <v>1</v>
      </c>
      <c r="O1299" s="1">
        <v>46001</v>
      </c>
      <c r="P1299" t="s">
        <v>2529</v>
      </c>
      <c r="Q1299" t="str">
        <f>SUBSTITUTE(SUBSTITUTE(SUBSTITUTE(P1299," ",""),"-",""),"+","")</f>
        <v>01684146594</v>
      </c>
      <c r="R1299" t="str">
        <f t="shared" si="40"/>
        <v>1684146594</v>
      </c>
      <c r="S1299" t="str">
        <f>IF(LEN(R1299),"Valid","Invalid")</f>
        <v>Valid</v>
      </c>
      <c r="T1299" t="s">
        <v>2528</v>
      </c>
      <c r="V1299" t="s">
        <v>123</v>
      </c>
      <c r="X1299">
        <v>8276.99</v>
      </c>
      <c r="Y1299" t="s">
        <v>57</v>
      </c>
      <c r="Z1299">
        <v>508</v>
      </c>
      <c r="AA1299">
        <f t="shared" si="41"/>
        <v>508</v>
      </c>
      <c r="AB1299" t="s">
        <v>71</v>
      </c>
    </row>
    <row r="1300" spans="1:28" x14ac:dyDescent="0.3">
      <c r="A1300" t="s">
        <v>2527</v>
      </c>
      <c r="B1300" t="s">
        <v>2526</v>
      </c>
      <c r="C1300" t="s">
        <v>2526</v>
      </c>
      <c r="E1300">
        <v>36</v>
      </c>
      <c r="F1300">
        <v>36</v>
      </c>
      <c r="G1300" t="s">
        <v>80</v>
      </c>
      <c r="H1300" t="s">
        <v>80</v>
      </c>
      <c r="I1300" t="s">
        <v>20</v>
      </c>
      <c r="J1300" t="s">
        <v>20</v>
      </c>
      <c r="K1300" s="1">
        <v>46018</v>
      </c>
      <c r="L1300" s="1" t="str">
        <f>IF(K1300&gt;O1300,"Valid","Invalid")</f>
        <v>Valid</v>
      </c>
      <c r="M1300" s="1" t="b">
        <f>ISNUMBER(K1300)</f>
        <v>1</v>
      </c>
      <c r="N1300" s="1" t="b">
        <f>ISNUMBER(O1300)</f>
        <v>1</v>
      </c>
      <c r="O1300" s="1">
        <v>46011</v>
      </c>
      <c r="P1300" t="s">
        <v>2525</v>
      </c>
      <c r="Q1300" t="str">
        <f>SUBSTITUTE(SUBSTITUTE(SUBSTITUTE(P1300," ",""),"-",""),"+","")</f>
        <v>919697325224</v>
      </c>
      <c r="R1300" t="str">
        <f t="shared" si="40"/>
        <v>9697325224</v>
      </c>
      <c r="S1300" t="str">
        <f>IF(LEN(R1300),"Valid","Invalid")</f>
        <v>Valid</v>
      </c>
      <c r="T1300" t="s">
        <v>2524</v>
      </c>
      <c r="V1300" t="s">
        <v>35</v>
      </c>
      <c r="X1300">
        <v>8271.98</v>
      </c>
      <c r="Y1300" t="s">
        <v>123</v>
      </c>
      <c r="Z1300">
        <v>469</v>
      </c>
      <c r="AA1300">
        <f t="shared" si="41"/>
        <v>469</v>
      </c>
      <c r="AB1300" t="s">
        <v>34</v>
      </c>
    </row>
    <row r="1301" spans="1:28" x14ac:dyDescent="0.3">
      <c r="A1301" t="s">
        <v>2523</v>
      </c>
      <c r="B1301" t="s">
        <v>2522</v>
      </c>
      <c r="C1301" t="s">
        <v>2522</v>
      </c>
      <c r="E1301">
        <v>6</v>
      </c>
      <c r="F1301">
        <v>6</v>
      </c>
      <c r="G1301" t="s">
        <v>54</v>
      </c>
      <c r="H1301" t="s">
        <v>54</v>
      </c>
      <c r="I1301" t="s">
        <v>85</v>
      </c>
      <c r="J1301" t="s">
        <v>85</v>
      </c>
      <c r="K1301" s="1">
        <v>46156</v>
      </c>
      <c r="L1301" s="1" t="str">
        <f>IF(K1301&gt;O1301,"Valid","Invalid")</f>
        <v>Valid</v>
      </c>
      <c r="M1301" s="1" t="b">
        <f>ISNUMBER(K1301)</f>
        <v>1</v>
      </c>
      <c r="N1301" s="1" t="b">
        <f>ISNUMBER(O1301)</f>
        <v>1</v>
      </c>
      <c r="O1301" s="1">
        <v>46149</v>
      </c>
      <c r="P1301" t="s">
        <v>2521</v>
      </c>
      <c r="Q1301" t="str">
        <f>SUBSTITUTE(SUBSTITUTE(SUBSTITUTE(P1301," ",""),"-",""),"+","")</f>
        <v>7978867494</v>
      </c>
      <c r="R1301" t="str">
        <f t="shared" si="40"/>
        <v>7978867494</v>
      </c>
      <c r="S1301" t="str">
        <f>IF(LEN(R1301),"Valid","Invalid")</f>
        <v>Valid</v>
      </c>
      <c r="T1301" t="s">
        <v>2520</v>
      </c>
      <c r="V1301" t="s">
        <v>26</v>
      </c>
      <c r="X1301">
        <v>24675.84</v>
      </c>
      <c r="Y1301" t="s">
        <v>123</v>
      </c>
      <c r="Z1301">
        <v>130</v>
      </c>
      <c r="AA1301">
        <f t="shared" si="41"/>
        <v>130</v>
      </c>
      <c r="AB1301" t="s">
        <v>77</v>
      </c>
    </row>
    <row r="1302" spans="1:28" x14ac:dyDescent="0.3">
      <c r="A1302" t="s">
        <v>2519</v>
      </c>
      <c r="B1302" t="s">
        <v>48</v>
      </c>
      <c r="C1302" t="s">
        <v>48</v>
      </c>
      <c r="D1302" t="s">
        <v>40</v>
      </c>
      <c r="E1302">
        <v>82</v>
      </c>
      <c r="F1302">
        <v>82</v>
      </c>
      <c r="G1302" t="s">
        <v>31</v>
      </c>
      <c r="H1302" t="s">
        <v>31</v>
      </c>
      <c r="I1302" t="s">
        <v>30</v>
      </c>
      <c r="J1302" t="s">
        <v>30</v>
      </c>
      <c r="K1302" s="1">
        <v>46115</v>
      </c>
      <c r="L1302" s="1" t="str">
        <f>IF(K1302&gt;O1302,"Valid","Invalid")</f>
        <v>Valid</v>
      </c>
      <c r="M1302" s="1" t="b">
        <f>ISNUMBER(K1302)</f>
        <v>1</v>
      </c>
      <c r="N1302" s="1" t="b">
        <f>ISNUMBER(O1302)</f>
        <v>1</v>
      </c>
      <c r="O1302" s="1">
        <v>46098</v>
      </c>
      <c r="P1302" t="s">
        <v>2518</v>
      </c>
      <c r="Q1302" t="str">
        <f>SUBSTITUTE(SUBSTITUTE(SUBSTITUTE(P1302," ",""),"-",""),"+","")</f>
        <v>0257516915</v>
      </c>
      <c r="R1302" t="str">
        <f t="shared" si="40"/>
        <v>0257516915</v>
      </c>
      <c r="S1302" t="str">
        <f>IF(LEN(R1302),"Valid","Invalid")</f>
        <v>Valid</v>
      </c>
      <c r="T1302" t="s">
        <v>2517</v>
      </c>
      <c r="V1302" t="s">
        <v>57</v>
      </c>
      <c r="X1302">
        <v>11065.48</v>
      </c>
      <c r="Y1302" t="s">
        <v>63</v>
      </c>
      <c r="Z1302">
        <v>156</v>
      </c>
      <c r="AA1302">
        <f t="shared" si="41"/>
        <v>156</v>
      </c>
      <c r="AB1302" t="s">
        <v>16</v>
      </c>
    </row>
    <row r="1303" spans="1:28" x14ac:dyDescent="0.3">
      <c r="A1303" t="s">
        <v>2516</v>
      </c>
      <c r="B1303" t="s">
        <v>2515</v>
      </c>
      <c r="C1303" t="s">
        <v>2515</v>
      </c>
      <c r="D1303" t="s">
        <v>0</v>
      </c>
      <c r="E1303">
        <v>10</v>
      </c>
      <c r="F1303">
        <v>10</v>
      </c>
      <c r="G1303" t="s">
        <v>31</v>
      </c>
      <c r="H1303" t="s">
        <v>31</v>
      </c>
      <c r="I1303" t="s">
        <v>90</v>
      </c>
      <c r="J1303" t="s">
        <v>67</v>
      </c>
      <c r="K1303" s="1">
        <v>46050</v>
      </c>
      <c r="L1303" s="1" t="str">
        <f>IF(K1303&gt;O1303,"Valid","Invalid")</f>
        <v>Valid</v>
      </c>
      <c r="M1303" s="1" t="b">
        <f>ISNUMBER(K1303)</f>
        <v>1</v>
      </c>
      <c r="N1303" s="1" t="b">
        <f>ISNUMBER(O1303)</f>
        <v>1</v>
      </c>
      <c r="O1303" s="1">
        <v>46024</v>
      </c>
      <c r="P1303" t="s">
        <v>2514</v>
      </c>
      <c r="Q1303" t="str">
        <f>SUBSTITUTE(SUBSTITUTE(SUBSTITUTE(P1303," ",""),"-",""),"+","")</f>
        <v>2141618585</v>
      </c>
      <c r="R1303" t="str">
        <f t="shared" si="40"/>
        <v>2141618585</v>
      </c>
      <c r="S1303" t="str">
        <f>IF(LEN(R1303),"Valid","Invalid")</f>
        <v>Valid</v>
      </c>
      <c r="T1303" t="s">
        <v>2513</v>
      </c>
      <c r="V1303" t="s">
        <v>35</v>
      </c>
      <c r="X1303">
        <v>21873.98</v>
      </c>
      <c r="Y1303" t="s">
        <v>63</v>
      </c>
      <c r="Z1303">
        <v>393</v>
      </c>
      <c r="AA1303">
        <f t="shared" si="41"/>
        <v>393</v>
      </c>
      <c r="AB1303" t="s">
        <v>71</v>
      </c>
    </row>
    <row r="1304" spans="1:28" x14ac:dyDescent="0.3">
      <c r="A1304" t="s">
        <v>2512</v>
      </c>
      <c r="B1304" t="s">
        <v>2511</v>
      </c>
      <c r="C1304" t="s">
        <v>2511</v>
      </c>
      <c r="D1304" t="s">
        <v>74</v>
      </c>
      <c r="E1304">
        <v>57</v>
      </c>
      <c r="F1304">
        <v>57</v>
      </c>
      <c r="G1304" t="s">
        <v>21</v>
      </c>
      <c r="H1304" t="s">
        <v>21</v>
      </c>
      <c r="I1304" t="s">
        <v>67</v>
      </c>
      <c r="J1304" t="s">
        <v>67</v>
      </c>
      <c r="K1304" s="1">
        <v>46164</v>
      </c>
      <c r="L1304" s="1" t="str">
        <f>IF(K1304&gt;O1304,"Valid","Invalid")</f>
        <v>Valid</v>
      </c>
      <c r="M1304" s="1" t="b">
        <f>ISNUMBER(K1304)</f>
        <v>1</v>
      </c>
      <c r="N1304" s="1" t="b">
        <f>ISNUMBER(O1304)</f>
        <v>1</v>
      </c>
      <c r="O1304" s="1">
        <v>46146</v>
      </c>
      <c r="P1304" t="s">
        <v>2510</v>
      </c>
      <c r="Q1304" t="str">
        <f>SUBSTITUTE(SUBSTITUTE(SUBSTITUTE(P1304," ",""),"-",""),"+","")</f>
        <v>03851112838</v>
      </c>
      <c r="R1304" t="str">
        <f t="shared" si="40"/>
        <v>3851112838</v>
      </c>
      <c r="S1304" t="str">
        <f>IF(LEN(R1304),"Valid","Invalid")</f>
        <v>Valid</v>
      </c>
      <c r="T1304" t="s">
        <v>2509</v>
      </c>
      <c r="V1304" t="s">
        <v>26</v>
      </c>
      <c r="X1304">
        <v>14005.53</v>
      </c>
      <c r="Y1304" t="s">
        <v>63</v>
      </c>
      <c r="Z1304">
        <v>453</v>
      </c>
      <c r="AA1304">
        <f t="shared" si="41"/>
        <v>453</v>
      </c>
      <c r="AB1304" t="s">
        <v>77</v>
      </c>
    </row>
    <row r="1305" spans="1:28" x14ac:dyDescent="0.3">
      <c r="A1305" t="s">
        <v>2508</v>
      </c>
      <c r="B1305" t="s">
        <v>2507</v>
      </c>
      <c r="C1305" t="s">
        <v>2507</v>
      </c>
      <c r="D1305" t="s">
        <v>0</v>
      </c>
      <c r="E1305">
        <v>9</v>
      </c>
      <c r="F1305">
        <v>9</v>
      </c>
      <c r="G1305" t="s">
        <v>31</v>
      </c>
      <c r="H1305" t="s">
        <v>31</v>
      </c>
      <c r="I1305" t="s">
        <v>67</v>
      </c>
      <c r="J1305" t="s">
        <v>67</v>
      </c>
      <c r="K1305" s="1">
        <v>46062</v>
      </c>
      <c r="L1305" s="1" t="str">
        <f>IF(K1305&gt;O1305,"Valid","Invalid")</f>
        <v>Valid</v>
      </c>
      <c r="M1305" s="1" t="b">
        <f>ISNUMBER(K1305)</f>
        <v>1</v>
      </c>
      <c r="N1305" s="1" t="b">
        <f>ISNUMBER(O1305)</f>
        <v>1</v>
      </c>
      <c r="O1305" s="1">
        <v>46034</v>
      </c>
      <c r="P1305" t="s">
        <v>2506</v>
      </c>
      <c r="Q1305" t="str">
        <f>SUBSTITUTE(SUBSTITUTE(SUBSTITUTE(P1305," ",""),"-",""),"+","")</f>
        <v>06851075869</v>
      </c>
      <c r="R1305" t="str">
        <f t="shared" si="40"/>
        <v>6851075869</v>
      </c>
      <c r="S1305" t="str">
        <f>IF(LEN(R1305),"Valid","Invalid")</f>
        <v>Valid</v>
      </c>
      <c r="T1305" t="s">
        <v>2505</v>
      </c>
      <c r="V1305" t="s">
        <v>123</v>
      </c>
      <c r="X1305">
        <v>18732.38</v>
      </c>
      <c r="Y1305" t="s">
        <v>57</v>
      </c>
      <c r="Z1305">
        <v>194</v>
      </c>
      <c r="AA1305">
        <f t="shared" si="41"/>
        <v>194</v>
      </c>
      <c r="AB1305" t="s">
        <v>43</v>
      </c>
    </row>
    <row r="1306" spans="1:28" x14ac:dyDescent="0.3">
      <c r="A1306" t="s">
        <v>2504</v>
      </c>
      <c r="B1306" t="s">
        <v>2503</v>
      </c>
      <c r="C1306" t="s">
        <v>2503</v>
      </c>
      <c r="E1306">
        <v>30</v>
      </c>
      <c r="F1306">
        <v>30</v>
      </c>
      <c r="G1306" t="s">
        <v>68</v>
      </c>
      <c r="H1306" t="s">
        <v>68</v>
      </c>
      <c r="I1306" t="s">
        <v>67</v>
      </c>
      <c r="J1306" t="s">
        <v>67</v>
      </c>
      <c r="K1306" s="1">
        <v>46047</v>
      </c>
      <c r="L1306" s="1" t="str">
        <f>IF(K1306&gt;O1306,"Valid","Invalid")</f>
        <v>Valid</v>
      </c>
      <c r="M1306" s="1" t="b">
        <f>ISNUMBER(K1306)</f>
        <v>1</v>
      </c>
      <c r="N1306" s="1" t="b">
        <f>ISNUMBER(O1306)</f>
        <v>1</v>
      </c>
      <c r="O1306" s="1">
        <v>46037</v>
      </c>
      <c r="P1306" t="s">
        <v>2502</v>
      </c>
      <c r="Q1306" t="str">
        <f>SUBSTITUTE(SUBSTITUTE(SUBSTITUTE(P1306," ",""),"-",""),"+","")</f>
        <v>7814178051</v>
      </c>
      <c r="R1306" t="str">
        <f t="shared" si="40"/>
        <v>7814178051</v>
      </c>
      <c r="S1306" t="str">
        <f>IF(LEN(R1306),"Valid","Invalid")</f>
        <v>Valid</v>
      </c>
      <c r="T1306" t="s">
        <v>2501</v>
      </c>
      <c r="V1306" t="s">
        <v>17</v>
      </c>
      <c r="X1306">
        <v>17006.189999999999</v>
      </c>
      <c r="Y1306" t="s">
        <v>63</v>
      </c>
      <c r="Z1306">
        <v>230</v>
      </c>
      <c r="AA1306">
        <f t="shared" si="41"/>
        <v>230</v>
      </c>
      <c r="AB1306" t="s">
        <v>34</v>
      </c>
    </row>
    <row r="1307" spans="1:28" x14ac:dyDescent="0.3">
      <c r="A1307" t="s">
        <v>2500</v>
      </c>
      <c r="B1307" t="s">
        <v>2499</v>
      </c>
      <c r="C1307" t="s">
        <v>2499</v>
      </c>
      <c r="D1307" t="s">
        <v>40</v>
      </c>
      <c r="E1307">
        <v>18</v>
      </c>
      <c r="F1307">
        <v>18</v>
      </c>
      <c r="G1307" t="s">
        <v>80</v>
      </c>
      <c r="H1307" t="s">
        <v>80</v>
      </c>
      <c r="I1307" t="s">
        <v>90</v>
      </c>
      <c r="J1307" t="s">
        <v>67</v>
      </c>
      <c r="K1307" s="1">
        <v>46114</v>
      </c>
      <c r="L1307" s="1" t="str">
        <f>IF(K1307&gt;O1307,"Valid","Invalid")</f>
        <v>Valid</v>
      </c>
      <c r="M1307" s="1" t="b">
        <f>ISNUMBER(K1307)</f>
        <v>1</v>
      </c>
      <c r="N1307" s="1" t="b">
        <f>ISNUMBER(O1307)</f>
        <v>1</v>
      </c>
      <c r="O1307" s="1">
        <v>46101</v>
      </c>
      <c r="P1307" t="s">
        <v>2498</v>
      </c>
      <c r="Q1307" t="str">
        <f>SUBSTITUTE(SUBSTITUTE(SUBSTITUTE(P1307," ",""),"-",""),"+","")</f>
        <v>913217356934</v>
      </c>
      <c r="R1307" t="str">
        <f t="shared" si="40"/>
        <v>3217356934</v>
      </c>
      <c r="S1307" t="str">
        <f>IF(LEN(R1307),"Valid","Invalid")</f>
        <v>Valid</v>
      </c>
      <c r="T1307" t="s">
        <v>2497</v>
      </c>
      <c r="V1307" t="s">
        <v>123</v>
      </c>
      <c r="X1307">
        <v>20190.41</v>
      </c>
      <c r="Y1307" t="s">
        <v>27</v>
      </c>
      <c r="Z1307">
        <v>525</v>
      </c>
      <c r="AA1307">
        <f t="shared" si="41"/>
        <v>525</v>
      </c>
      <c r="AB1307" t="s">
        <v>34</v>
      </c>
    </row>
    <row r="1308" spans="1:28" x14ac:dyDescent="0.3">
      <c r="A1308" t="s">
        <v>2496</v>
      </c>
      <c r="B1308" t="s">
        <v>2495</v>
      </c>
      <c r="C1308" t="s">
        <v>2495</v>
      </c>
      <c r="D1308" t="s">
        <v>40</v>
      </c>
      <c r="E1308">
        <v>66</v>
      </c>
      <c r="F1308">
        <v>66</v>
      </c>
      <c r="G1308" t="s">
        <v>31</v>
      </c>
      <c r="H1308" t="s">
        <v>31</v>
      </c>
      <c r="I1308" t="s">
        <v>46</v>
      </c>
      <c r="J1308" t="s">
        <v>46</v>
      </c>
      <c r="K1308" s="1">
        <v>46011</v>
      </c>
      <c r="L1308" s="1" t="str">
        <f>IF(K1308&gt;O1308,"Valid","Invalid")</f>
        <v>Valid</v>
      </c>
      <c r="M1308" s="1" t="b">
        <f>ISNUMBER(K1308)</f>
        <v>1</v>
      </c>
      <c r="N1308" s="1" t="b">
        <f>ISNUMBER(O1308)</f>
        <v>1</v>
      </c>
      <c r="O1308" s="1">
        <v>45993</v>
      </c>
      <c r="P1308" t="s">
        <v>2494</v>
      </c>
      <c r="Q1308" t="str">
        <f>SUBSTITUTE(SUBSTITUTE(SUBSTITUTE(P1308," ",""),"-",""),"+","")</f>
        <v>7112165942</v>
      </c>
      <c r="R1308" t="str">
        <f t="shared" si="40"/>
        <v>7112165942</v>
      </c>
      <c r="S1308" t="str">
        <f>IF(LEN(R1308),"Valid","Invalid")</f>
        <v>Valid</v>
      </c>
      <c r="T1308" t="s">
        <v>2493</v>
      </c>
      <c r="V1308" t="s">
        <v>123</v>
      </c>
      <c r="X1308">
        <v>24892.23</v>
      </c>
      <c r="Y1308" t="s">
        <v>17</v>
      </c>
      <c r="Z1308">
        <v>504</v>
      </c>
      <c r="AA1308">
        <f t="shared" si="41"/>
        <v>504</v>
      </c>
      <c r="AB1308" t="s">
        <v>34</v>
      </c>
    </row>
    <row r="1309" spans="1:28" x14ac:dyDescent="0.3">
      <c r="A1309" t="s">
        <v>2492</v>
      </c>
      <c r="B1309" t="s">
        <v>2491</v>
      </c>
      <c r="C1309" t="s">
        <v>2491</v>
      </c>
      <c r="E1309">
        <v>37</v>
      </c>
      <c r="F1309">
        <v>37</v>
      </c>
      <c r="G1309" t="s">
        <v>31</v>
      </c>
      <c r="H1309" t="s">
        <v>31</v>
      </c>
      <c r="I1309" t="s">
        <v>20</v>
      </c>
      <c r="J1309" t="s">
        <v>20</v>
      </c>
      <c r="K1309" s="1">
        <v>46073</v>
      </c>
      <c r="L1309" s="1" t="str">
        <f>IF(K1309&gt;O1309,"Valid","Invalid")</f>
        <v>Valid</v>
      </c>
      <c r="M1309" s="1" t="b">
        <f>ISNUMBER(K1309)</f>
        <v>1</v>
      </c>
      <c r="N1309" s="1" t="b">
        <f>ISNUMBER(O1309)</f>
        <v>1</v>
      </c>
      <c r="O1309" s="1">
        <v>46050</v>
      </c>
      <c r="P1309" t="s">
        <v>2490</v>
      </c>
      <c r="Q1309" t="str">
        <f>SUBSTITUTE(SUBSTITUTE(SUBSTITUTE(P1309," ",""),"-",""),"+","")</f>
        <v>01010081225</v>
      </c>
      <c r="R1309" t="str">
        <f t="shared" si="40"/>
        <v>1010081225</v>
      </c>
      <c r="S1309" t="str">
        <f>IF(LEN(R1309),"Valid","Invalid")</f>
        <v>Valid</v>
      </c>
      <c r="T1309" t="s">
        <v>2489</v>
      </c>
      <c r="V1309" t="s">
        <v>64</v>
      </c>
      <c r="X1309">
        <v>14219.61</v>
      </c>
      <c r="Y1309" t="s">
        <v>64</v>
      </c>
      <c r="Z1309">
        <v>372</v>
      </c>
      <c r="AA1309">
        <f t="shared" si="41"/>
        <v>372</v>
      </c>
      <c r="AB1309" t="s">
        <v>71</v>
      </c>
    </row>
    <row r="1310" spans="1:28" x14ac:dyDescent="0.3">
      <c r="A1310" t="s">
        <v>2488</v>
      </c>
      <c r="B1310" t="s">
        <v>2487</v>
      </c>
      <c r="C1310" t="s">
        <v>2487</v>
      </c>
      <c r="D1310" t="s">
        <v>74</v>
      </c>
      <c r="E1310">
        <v>74</v>
      </c>
      <c r="F1310">
        <v>74</v>
      </c>
      <c r="G1310" t="s">
        <v>68</v>
      </c>
      <c r="H1310" t="s">
        <v>68</v>
      </c>
      <c r="I1310" t="s">
        <v>38</v>
      </c>
      <c r="J1310" t="s">
        <v>8077</v>
      </c>
      <c r="K1310" s="1">
        <v>46017</v>
      </c>
      <c r="L1310" s="1" t="str">
        <f>IF(K1310&gt;O1310,"Valid","Invalid")</f>
        <v>Valid</v>
      </c>
      <c r="M1310" s="1" t="b">
        <f>ISNUMBER(K1310)</f>
        <v>1</v>
      </c>
      <c r="N1310" s="1" t="b">
        <f>ISNUMBER(O1310)</f>
        <v>1</v>
      </c>
      <c r="O1310" s="1">
        <v>45993</v>
      </c>
      <c r="P1310" t="s">
        <v>2486</v>
      </c>
      <c r="Q1310" t="str">
        <f>SUBSTITUTE(SUBSTITUTE(SUBSTITUTE(P1310," ",""),"-",""),"+","")</f>
        <v>914043183372</v>
      </c>
      <c r="R1310" t="str">
        <f t="shared" si="40"/>
        <v>4043183372</v>
      </c>
      <c r="S1310" t="str">
        <f>IF(LEN(R1310),"Valid","Invalid")</f>
        <v>Valid</v>
      </c>
      <c r="T1310" t="s">
        <v>2485</v>
      </c>
      <c r="V1310" t="s">
        <v>64</v>
      </c>
      <c r="X1310">
        <v>19224.46</v>
      </c>
      <c r="Y1310" t="s">
        <v>123</v>
      </c>
      <c r="Z1310">
        <v>518</v>
      </c>
      <c r="AA1310">
        <f t="shared" si="41"/>
        <v>518</v>
      </c>
      <c r="AB1310" t="s">
        <v>43</v>
      </c>
    </row>
    <row r="1311" spans="1:28" x14ac:dyDescent="0.3">
      <c r="A1311" t="s">
        <v>2484</v>
      </c>
      <c r="B1311" t="s">
        <v>2483</v>
      </c>
      <c r="C1311" t="s">
        <v>2483</v>
      </c>
      <c r="E1311">
        <v>58</v>
      </c>
      <c r="F1311">
        <v>58</v>
      </c>
      <c r="G1311" t="s">
        <v>39</v>
      </c>
      <c r="H1311" t="s">
        <v>39</v>
      </c>
      <c r="I1311" t="s">
        <v>67</v>
      </c>
      <c r="J1311" t="s">
        <v>67</v>
      </c>
      <c r="K1311" s="1">
        <v>46044</v>
      </c>
      <c r="L1311" s="1" t="str">
        <f>IF(K1311&gt;O1311,"Valid","Invalid")</f>
        <v>Valid</v>
      </c>
      <c r="M1311" s="1" t="b">
        <f>ISNUMBER(K1311)</f>
        <v>1</v>
      </c>
      <c r="N1311" s="1" t="b">
        <f>ISNUMBER(O1311)</f>
        <v>1</v>
      </c>
      <c r="O1311" s="1">
        <v>46042</v>
      </c>
      <c r="P1311" t="s">
        <v>2482</v>
      </c>
      <c r="Q1311" t="str">
        <f>SUBSTITUTE(SUBSTITUTE(SUBSTITUTE(P1311," ",""),"-",""),"+","")</f>
        <v>0308907223</v>
      </c>
      <c r="R1311" t="str">
        <f t="shared" si="40"/>
        <v>0308907223</v>
      </c>
      <c r="S1311" t="str">
        <f>IF(LEN(R1311),"Valid","Invalid")</f>
        <v>Valid</v>
      </c>
      <c r="T1311" t="s">
        <v>2481</v>
      </c>
      <c r="V1311" t="s">
        <v>35</v>
      </c>
      <c r="X1311">
        <v>16266.43</v>
      </c>
      <c r="Y1311" t="s">
        <v>17</v>
      </c>
      <c r="Z1311">
        <v>332</v>
      </c>
      <c r="AA1311">
        <f t="shared" si="41"/>
        <v>332</v>
      </c>
      <c r="AB1311" t="s">
        <v>34</v>
      </c>
    </row>
    <row r="1312" spans="1:28" x14ac:dyDescent="0.3">
      <c r="A1312" t="s">
        <v>2476</v>
      </c>
      <c r="B1312" t="s">
        <v>2475</v>
      </c>
      <c r="C1312" t="s">
        <v>2475</v>
      </c>
      <c r="D1312" t="s">
        <v>0</v>
      </c>
      <c r="E1312">
        <v>34</v>
      </c>
      <c r="F1312">
        <v>34</v>
      </c>
      <c r="G1312" t="s">
        <v>21</v>
      </c>
      <c r="H1312" t="s">
        <v>21</v>
      </c>
      <c r="I1312" t="s">
        <v>67</v>
      </c>
      <c r="J1312" t="s">
        <v>67</v>
      </c>
      <c r="K1312" s="1">
        <v>46155</v>
      </c>
      <c r="L1312" s="1" t="str">
        <f>IF(K1312&gt;O1312,"Valid","Invalid")</f>
        <v>Valid</v>
      </c>
      <c r="M1312" s="1" t="b">
        <f>ISNUMBER(K1312)</f>
        <v>1</v>
      </c>
      <c r="N1312" s="1" t="b">
        <f>ISNUMBER(O1312)</f>
        <v>1</v>
      </c>
      <c r="O1312" s="1">
        <v>46138</v>
      </c>
      <c r="P1312" t="s">
        <v>2474</v>
      </c>
      <c r="Q1312" t="str">
        <f>SUBSTITUTE(SUBSTITUTE(SUBSTITUTE(P1312," ",""),"-",""),"+","")</f>
        <v>03302651243</v>
      </c>
      <c r="R1312" t="str">
        <f t="shared" si="40"/>
        <v>3302651243</v>
      </c>
      <c r="S1312" t="str">
        <f>IF(LEN(R1312),"Valid","Invalid")</f>
        <v>Valid</v>
      </c>
      <c r="T1312" t="s">
        <v>2473</v>
      </c>
      <c r="V1312" t="s">
        <v>123</v>
      </c>
      <c r="X1312">
        <v>16409.59</v>
      </c>
      <c r="Y1312" t="s">
        <v>57</v>
      </c>
      <c r="Z1312">
        <v>494</v>
      </c>
      <c r="AA1312">
        <f t="shared" si="41"/>
        <v>494</v>
      </c>
      <c r="AB1312" t="s">
        <v>50</v>
      </c>
    </row>
    <row r="1313" spans="1:28" x14ac:dyDescent="0.3">
      <c r="A1313" t="s">
        <v>2472</v>
      </c>
      <c r="B1313" t="s">
        <v>2471</v>
      </c>
      <c r="C1313" t="s">
        <v>2471</v>
      </c>
      <c r="D1313" t="s">
        <v>60</v>
      </c>
      <c r="E1313">
        <v>74</v>
      </c>
      <c r="F1313">
        <v>74</v>
      </c>
      <c r="G1313" t="s">
        <v>39</v>
      </c>
      <c r="H1313" t="s">
        <v>39</v>
      </c>
      <c r="I1313" t="s">
        <v>38</v>
      </c>
      <c r="J1313" t="s">
        <v>8077</v>
      </c>
      <c r="K1313" s="1">
        <v>46153</v>
      </c>
      <c r="L1313" s="1" t="str">
        <f>IF(K1313&gt;O1313,"Valid","Invalid")</f>
        <v>Valid</v>
      </c>
      <c r="M1313" s="1" t="b">
        <f>ISNUMBER(K1313)</f>
        <v>1</v>
      </c>
      <c r="N1313" s="1" t="b">
        <f>ISNUMBER(O1313)</f>
        <v>1</v>
      </c>
      <c r="O1313" s="1">
        <v>46129</v>
      </c>
      <c r="P1313" t="s">
        <v>2470</v>
      </c>
      <c r="Q1313" t="str">
        <f>SUBSTITUTE(SUBSTITUTE(SUBSTITUTE(P1313," ",""),"-",""),"+","")</f>
        <v>918746898976</v>
      </c>
      <c r="R1313" t="str">
        <f t="shared" si="40"/>
        <v>8746898976</v>
      </c>
      <c r="S1313" t="str">
        <f>IF(LEN(R1313),"Valid","Invalid")</f>
        <v>Valid</v>
      </c>
      <c r="T1313" t="s">
        <v>2469</v>
      </c>
      <c r="V1313" t="s">
        <v>35</v>
      </c>
      <c r="X1313">
        <v>5312.38</v>
      </c>
      <c r="Y1313" t="s">
        <v>26</v>
      </c>
      <c r="Z1313">
        <v>151</v>
      </c>
      <c r="AA1313">
        <f t="shared" si="41"/>
        <v>151</v>
      </c>
      <c r="AB1313" t="s">
        <v>77</v>
      </c>
    </row>
    <row r="1314" spans="1:28" x14ac:dyDescent="0.3">
      <c r="A1314" t="s">
        <v>2468</v>
      </c>
      <c r="B1314" t="s">
        <v>2467</v>
      </c>
      <c r="C1314" t="s">
        <v>2467</v>
      </c>
      <c r="D1314" t="s">
        <v>40</v>
      </c>
      <c r="E1314">
        <v>17</v>
      </c>
      <c r="F1314">
        <v>17</v>
      </c>
      <c r="G1314" t="s">
        <v>31</v>
      </c>
      <c r="H1314" t="s">
        <v>31</v>
      </c>
      <c r="I1314" t="s">
        <v>20</v>
      </c>
      <c r="J1314" t="s">
        <v>20</v>
      </c>
      <c r="K1314" s="1">
        <v>46085</v>
      </c>
      <c r="L1314" s="1" t="str">
        <f>IF(K1314&gt;O1314,"Valid","Invalid")</f>
        <v>Valid</v>
      </c>
      <c r="M1314" s="1" t="b">
        <f>ISNUMBER(K1314)</f>
        <v>1</v>
      </c>
      <c r="N1314" s="1" t="b">
        <f>ISNUMBER(O1314)</f>
        <v>1</v>
      </c>
      <c r="O1314" s="1">
        <v>46075</v>
      </c>
      <c r="P1314" t="s">
        <v>2466</v>
      </c>
      <c r="Q1314" t="str">
        <f>SUBSTITUTE(SUBSTITUTE(SUBSTITUTE(P1314," ",""),"-",""),"+","")</f>
        <v>09895915335</v>
      </c>
      <c r="R1314" t="str">
        <f t="shared" si="40"/>
        <v>9895915335</v>
      </c>
      <c r="S1314" t="str">
        <f>IF(LEN(R1314),"Valid","Invalid")</f>
        <v>Valid</v>
      </c>
      <c r="T1314" t="s">
        <v>2465</v>
      </c>
      <c r="V1314" t="s">
        <v>57</v>
      </c>
      <c r="X1314">
        <v>23225.94</v>
      </c>
      <c r="Y1314" t="s">
        <v>57</v>
      </c>
      <c r="Z1314">
        <v>203</v>
      </c>
      <c r="AA1314">
        <f t="shared" si="41"/>
        <v>203</v>
      </c>
      <c r="AB1314" t="s">
        <v>43</v>
      </c>
    </row>
    <row r="1315" spans="1:28" x14ac:dyDescent="0.3">
      <c r="A1315" t="s">
        <v>2464</v>
      </c>
      <c r="B1315" t="s">
        <v>2463</v>
      </c>
      <c r="C1315" t="s">
        <v>2463</v>
      </c>
      <c r="D1315" t="s">
        <v>0</v>
      </c>
      <c r="E1315">
        <v>55</v>
      </c>
      <c r="F1315">
        <v>55</v>
      </c>
      <c r="G1315" t="s">
        <v>132</v>
      </c>
      <c r="H1315" t="s">
        <v>132</v>
      </c>
      <c r="I1315" t="s">
        <v>38</v>
      </c>
      <c r="J1315" t="s">
        <v>8077</v>
      </c>
      <c r="K1315" s="1">
        <v>46019</v>
      </c>
      <c r="L1315" s="1" t="str">
        <f>IF(K1315&gt;O1315,"Valid","Invalid")</f>
        <v>Valid</v>
      </c>
      <c r="M1315" s="1" t="b">
        <f>ISNUMBER(K1315)</f>
        <v>1</v>
      </c>
      <c r="N1315" s="1" t="b">
        <f>ISNUMBER(O1315)</f>
        <v>1</v>
      </c>
      <c r="O1315" s="1">
        <v>45990</v>
      </c>
      <c r="P1315" t="s">
        <v>2462</v>
      </c>
      <c r="Q1315" t="str">
        <f>SUBSTITUTE(SUBSTITUTE(SUBSTITUTE(P1315," ",""),"-",""),"+","")</f>
        <v>2929213127</v>
      </c>
      <c r="R1315" t="str">
        <f t="shared" si="40"/>
        <v>2929213127</v>
      </c>
      <c r="S1315" t="str">
        <f>IF(LEN(R1315),"Valid","Invalid")</f>
        <v>Valid</v>
      </c>
      <c r="T1315" t="s">
        <v>2461</v>
      </c>
      <c r="V1315" t="s">
        <v>17</v>
      </c>
      <c r="X1315">
        <v>19354.16</v>
      </c>
      <c r="Y1315" t="s">
        <v>27</v>
      </c>
      <c r="Z1315">
        <v>170</v>
      </c>
      <c r="AA1315">
        <f t="shared" si="41"/>
        <v>170</v>
      </c>
      <c r="AB1315" t="s">
        <v>16</v>
      </c>
    </row>
    <row r="1316" spans="1:28" x14ac:dyDescent="0.3">
      <c r="A1316" t="s">
        <v>2456</v>
      </c>
      <c r="B1316" t="s">
        <v>2455</v>
      </c>
      <c r="C1316" t="s">
        <v>2455</v>
      </c>
      <c r="D1316" t="s">
        <v>1</v>
      </c>
      <c r="E1316">
        <v>27</v>
      </c>
      <c r="F1316">
        <v>27</v>
      </c>
      <c r="G1316" t="s">
        <v>54</v>
      </c>
      <c r="H1316" t="s">
        <v>54</v>
      </c>
      <c r="I1316" t="s">
        <v>20</v>
      </c>
      <c r="J1316" t="s">
        <v>20</v>
      </c>
      <c r="K1316" s="1">
        <v>46112</v>
      </c>
      <c r="L1316" s="1" t="str">
        <f>IF(K1316&gt;O1316,"Valid","Invalid")</f>
        <v>Valid</v>
      </c>
      <c r="M1316" s="1" t="b">
        <f>ISNUMBER(K1316)</f>
        <v>1</v>
      </c>
      <c r="N1316" s="1" t="b">
        <f>ISNUMBER(O1316)</f>
        <v>1</v>
      </c>
      <c r="O1316" s="1">
        <v>46110</v>
      </c>
      <c r="P1316" t="s">
        <v>2454</v>
      </c>
      <c r="Q1316" t="str">
        <f>SUBSTITUTE(SUBSTITUTE(SUBSTITUTE(P1316," ",""),"-",""),"+","")</f>
        <v>05423772905</v>
      </c>
      <c r="R1316" t="str">
        <f t="shared" si="40"/>
        <v>5423772905</v>
      </c>
      <c r="S1316" t="str">
        <f>IF(LEN(R1316),"Valid","Invalid")</f>
        <v>Valid</v>
      </c>
      <c r="T1316" t="s">
        <v>2453</v>
      </c>
      <c r="V1316" t="s">
        <v>35</v>
      </c>
      <c r="X1316">
        <v>12766.24</v>
      </c>
      <c r="Y1316" t="s">
        <v>64</v>
      </c>
      <c r="Z1316">
        <v>183</v>
      </c>
      <c r="AA1316">
        <f t="shared" si="41"/>
        <v>183</v>
      </c>
      <c r="AB1316" t="s">
        <v>50</v>
      </c>
    </row>
    <row r="1317" spans="1:28" x14ac:dyDescent="0.3">
      <c r="A1317" t="s">
        <v>2452</v>
      </c>
      <c r="B1317" t="s">
        <v>2451</v>
      </c>
      <c r="C1317" t="s">
        <v>2451</v>
      </c>
      <c r="D1317" t="s">
        <v>1</v>
      </c>
      <c r="E1317">
        <v>16</v>
      </c>
      <c r="F1317">
        <v>16</v>
      </c>
      <c r="G1317" t="s">
        <v>68</v>
      </c>
      <c r="H1317" t="s">
        <v>68</v>
      </c>
      <c r="I1317" t="s">
        <v>67</v>
      </c>
      <c r="J1317" t="s">
        <v>67</v>
      </c>
      <c r="K1317" s="1">
        <v>46052</v>
      </c>
      <c r="L1317" s="1" t="str">
        <f>IF(K1317&gt;O1317,"Valid","Invalid")</f>
        <v>Valid</v>
      </c>
      <c r="M1317" s="1" t="b">
        <f>ISNUMBER(K1317)</f>
        <v>1</v>
      </c>
      <c r="N1317" s="1" t="b">
        <f>ISNUMBER(O1317)</f>
        <v>1</v>
      </c>
      <c r="O1317" s="1">
        <v>46029</v>
      </c>
      <c r="P1317" t="s">
        <v>2450</v>
      </c>
      <c r="Q1317" t="str">
        <f>SUBSTITUTE(SUBSTITUTE(SUBSTITUTE(P1317," ",""),"-",""),"+","")</f>
        <v>01177232031</v>
      </c>
      <c r="R1317" t="str">
        <f t="shared" si="40"/>
        <v>1177232031</v>
      </c>
      <c r="S1317" t="str">
        <f>IF(LEN(R1317),"Valid","Invalid")</f>
        <v>Valid</v>
      </c>
      <c r="T1317" t="s">
        <v>2449</v>
      </c>
      <c r="V1317" t="s">
        <v>57</v>
      </c>
      <c r="X1317">
        <v>10495.17</v>
      </c>
      <c r="Y1317" t="s">
        <v>57</v>
      </c>
      <c r="Z1317">
        <v>146</v>
      </c>
      <c r="AA1317">
        <f t="shared" si="41"/>
        <v>146</v>
      </c>
      <c r="AB1317" t="s">
        <v>50</v>
      </c>
    </row>
    <row r="1318" spans="1:28" x14ac:dyDescent="0.3">
      <c r="A1318" t="s">
        <v>2448</v>
      </c>
      <c r="B1318" t="s">
        <v>2447</v>
      </c>
      <c r="C1318" t="s">
        <v>2447</v>
      </c>
      <c r="D1318" t="s">
        <v>60</v>
      </c>
      <c r="E1318">
        <v>62</v>
      </c>
      <c r="F1318">
        <v>62</v>
      </c>
      <c r="G1318" t="s">
        <v>132</v>
      </c>
      <c r="H1318" t="s">
        <v>132</v>
      </c>
      <c r="I1318" t="s">
        <v>20</v>
      </c>
      <c r="J1318" t="s">
        <v>20</v>
      </c>
      <c r="K1318" s="1">
        <v>46169</v>
      </c>
      <c r="L1318" s="1" t="str">
        <f>IF(K1318&gt;O1318,"Valid","Invalid")</f>
        <v>Valid</v>
      </c>
      <c r="M1318" s="1" t="b">
        <f>ISNUMBER(K1318)</f>
        <v>1</v>
      </c>
      <c r="N1318" s="1" t="b">
        <f>ISNUMBER(O1318)</f>
        <v>1</v>
      </c>
      <c r="O1318" s="1">
        <v>46139</v>
      </c>
      <c r="P1318" t="s">
        <v>2446</v>
      </c>
      <c r="Q1318" t="str">
        <f>SUBSTITUTE(SUBSTITUTE(SUBSTITUTE(P1318," ",""),"-",""),"+","")</f>
        <v>914752543470</v>
      </c>
      <c r="R1318" t="str">
        <f t="shared" si="40"/>
        <v>4752543470</v>
      </c>
      <c r="S1318" t="str">
        <f>IF(LEN(R1318),"Valid","Invalid")</f>
        <v>Valid</v>
      </c>
      <c r="T1318" t="s">
        <v>2445</v>
      </c>
      <c r="V1318" t="s">
        <v>123</v>
      </c>
      <c r="X1318">
        <v>600.41</v>
      </c>
      <c r="Y1318" t="s">
        <v>123</v>
      </c>
      <c r="Z1318">
        <v>511</v>
      </c>
      <c r="AA1318">
        <f t="shared" si="41"/>
        <v>511</v>
      </c>
      <c r="AB1318" t="s">
        <v>16</v>
      </c>
    </row>
    <row r="1319" spans="1:28" x14ac:dyDescent="0.3">
      <c r="A1319" t="s">
        <v>2444</v>
      </c>
      <c r="B1319" t="s">
        <v>2443</v>
      </c>
      <c r="C1319" t="s">
        <v>2443</v>
      </c>
      <c r="D1319" t="s">
        <v>123</v>
      </c>
      <c r="E1319">
        <v>13</v>
      </c>
      <c r="F1319">
        <v>13</v>
      </c>
      <c r="G1319" t="s">
        <v>31</v>
      </c>
      <c r="H1319" t="s">
        <v>31</v>
      </c>
      <c r="I1319" t="s">
        <v>67</v>
      </c>
      <c r="J1319" t="s">
        <v>67</v>
      </c>
      <c r="K1319" s="1">
        <v>46174</v>
      </c>
      <c r="L1319" s="1" t="str">
        <f>IF(K1319&gt;O1319,"Valid","Invalid")</f>
        <v>Valid</v>
      </c>
      <c r="M1319" s="1" t="b">
        <f>ISNUMBER(K1319)</f>
        <v>1</v>
      </c>
      <c r="N1319" s="1" t="b">
        <f>ISNUMBER(O1319)</f>
        <v>1</v>
      </c>
      <c r="O1319" s="1">
        <v>46144</v>
      </c>
      <c r="P1319" t="s">
        <v>2442</v>
      </c>
      <c r="Q1319" t="str">
        <f>SUBSTITUTE(SUBSTITUTE(SUBSTITUTE(P1319," ",""),"-",""),"+","")</f>
        <v>01442909434</v>
      </c>
      <c r="R1319" t="str">
        <f t="shared" si="40"/>
        <v>1442909434</v>
      </c>
      <c r="S1319" t="str">
        <f>IF(LEN(R1319),"Valid","Invalid")</f>
        <v>Valid</v>
      </c>
      <c r="T1319" t="s">
        <v>2441</v>
      </c>
      <c r="V1319" t="s">
        <v>26</v>
      </c>
      <c r="X1319">
        <v>20946.060000000001</v>
      </c>
      <c r="Y1319" t="s">
        <v>123</v>
      </c>
      <c r="Z1319">
        <v>534</v>
      </c>
      <c r="AA1319">
        <f t="shared" si="41"/>
        <v>534</v>
      </c>
      <c r="AB1319" t="s">
        <v>25</v>
      </c>
    </row>
    <row r="1320" spans="1:28" x14ac:dyDescent="0.3">
      <c r="A1320" t="s">
        <v>2436</v>
      </c>
      <c r="B1320" t="s">
        <v>2435</v>
      </c>
      <c r="C1320" t="s">
        <v>2435</v>
      </c>
      <c r="D1320" t="s">
        <v>60</v>
      </c>
      <c r="E1320">
        <v>6</v>
      </c>
      <c r="F1320">
        <v>6</v>
      </c>
      <c r="G1320" t="s">
        <v>39</v>
      </c>
      <c r="H1320" t="s">
        <v>39</v>
      </c>
      <c r="I1320" t="s">
        <v>38</v>
      </c>
      <c r="J1320" t="s">
        <v>8077</v>
      </c>
      <c r="K1320" s="1">
        <v>46115</v>
      </c>
      <c r="L1320" s="1" t="str">
        <f>IF(K1320&gt;O1320,"Valid","Invalid")</f>
        <v>Valid</v>
      </c>
      <c r="M1320" s="1" t="b">
        <f>ISNUMBER(K1320)</f>
        <v>1</v>
      </c>
      <c r="N1320" s="1" t="b">
        <f>ISNUMBER(O1320)</f>
        <v>1</v>
      </c>
      <c r="O1320" s="1">
        <v>46110</v>
      </c>
      <c r="P1320" t="s">
        <v>2434</v>
      </c>
      <c r="Q1320" t="str">
        <f>SUBSTITUTE(SUBSTITUTE(SUBSTITUTE(P1320," ",""),"-",""),"+","")</f>
        <v>1921884409</v>
      </c>
      <c r="R1320" t="str">
        <f t="shared" si="40"/>
        <v>1921884409</v>
      </c>
      <c r="S1320" t="str">
        <f>IF(LEN(R1320),"Valid","Invalid")</f>
        <v>Valid</v>
      </c>
      <c r="T1320" t="s">
        <v>2433</v>
      </c>
      <c r="V1320" t="s">
        <v>27</v>
      </c>
      <c r="X1320">
        <v>3373.12</v>
      </c>
      <c r="Y1320" t="s">
        <v>26</v>
      </c>
      <c r="Z1320">
        <v>171</v>
      </c>
      <c r="AA1320">
        <f t="shared" si="41"/>
        <v>171</v>
      </c>
      <c r="AB1320" t="s">
        <v>25</v>
      </c>
    </row>
    <row r="1321" spans="1:28" x14ac:dyDescent="0.3">
      <c r="A1321" t="s">
        <v>2432</v>
      </c>
      <c r="B1321" t="s">
        <v>2431</v>
      </c>
      <c r="C1321" t="s">
        <v>2431</v>
      </c>
      <c r="E1321">
        <v>5</v>
      </c>
      <c r="F1321">
        <v>5</v>
      </c>
      <c r="G1321" t="s">
        <v>47</v>
      </c>
      <c r="H1321" t="s">
        <v>47</v>
      </c>
      <c r="I1321" t="s">
        <v>38</v>
      </c>
      <c r="J1321" t="s">
        <v>8077</v>
      </c>
      <c r="K1321" s="1">
        <v>46088</v>
      </c>
      <c r="L1321" s="1" t="str">
        <f>IF(K1321&gt;O1321,"Valid","Invalid")</f>
        <v>Valid</v>
      </c>
      <c r="M1321" s="1" t="b">
        <f>ISNUMBER(K1321)</f>
        <v>1</v>
      </c>
      <c r="N1321" s="1" t="b">
        <f>ISNUMBER(O1321)</f>
        <v>1</v>
      </c>
      <c r="O1321" s="1">
        <v>46061</v>
      </c>
      <c r="P1321" t="s">
        <v>2430</v>
      </c>
      <c r="Q1321" t="str">
        <f>SUBSTITUTE(SUBSTITUTE(SUBSTITUTE(P1321," ",""),"-",""),"+","")</f>
        <v>914377947880</v>
      </c>
      <c r="R1321" t="str">
        <f t="shared" si="40"/>
        <v>4377947880</v>
      </c>
      <c r="S1321" t="str">
        <f>IF(LEN(R1321),"Valid","Invalid")</f>
        <v>Valid</v>
      </c>
      <c r="T1321" t="s">
        <v>2429</v>
      </c>
      <c r="V1321" t="s">
        <v>26</v>
      </c>
      <c r="X1321">
        <v>9418.26</v>
      </c>
      <c r="Y1321" t="s">
        <v>123</v>
      </c>
      <c r="Z1321">
        <v>521</v>
      </c>
      <c r="AA1321">
        <f t="shared" si="41"/>
        <v>521</v>
      </c>
      <c r="AB1321" t="s">
        <v>71</v>
      </c>
    </row>
    <row r="1322" spans="1:28" x14ac:dyDescent="0.3">
      <c r="A1322" t="s">
        <v>2428</v>
      </c>
      <c r="B1322" t="s">
        <v>2427</v>
      </c>
      <c r="C1322" t="s">
        <v>2427</v>
      </c>
      <c r="D1322" t="s">
        <v>123</v>
      </c>
      <c r="E1322">
        <v>23</v>
      </c>
      <c r="F1322">
        <v>23</v>
      </c>
      <c r="G1322" t="s">
        <v>39</v>
      </c>
      <c r="H1322" t="s">
        <v>39</v>
      </c>
      <c r="I1322" t="s">
        <v>53</v>
      </c>
      <c r="J1322" t="s">
        <v>20</v>
      </c>
      <c r="K1322" s="1">
        <v>46017</v>
      </c>
      <c r="L1322" s="1" t="str">
        <f>IF(K1322&gt;O1322,"Valid","Invalid")</f>
        <v>Valid</v>
      </c>
      <c r="M1322" s="1" t="b">
        <f>ISNUMBER(K1322)</f>
        <v>1</v>
      </c>
      <c r="N1322" s="1" t="b">
        <f>ISNUMBER(O1322)</f>
        <v>1</v>
      </c>
      <c r="O1322" s="1">
        <v>45994</v>
      </c>
      <c r="P1322" t="s">
        <v>2426</v>
      </c>
      <c r="Q1322" t="str">
        <f>SUBSTITUTE(SUBSTITUTE(SUBSTITUTE(P1322," ",""),"-",""),"+","")</f>
        <v>03616193618</v>
      </c>
      <c r="R1322" t="str">
        <f t="shared" si="40"/>
        <v>3616193618</v>
      </c>
      <c r="S1322" t="str">
        <f>IF(LEN(R1322),"Valid","Invalid")</f>
        <v>Valid</v>
      </c>
      <c r="T1322" t="s">
        <v>2425</v>
      </c>
      <c r="V1322" t="s">
        <v>35</v>
      </c>
      <c r="X1322">
        <v>9253.69</v>
      </c>
      <c r="Y1322" t="s">
        <v>64</v>
      </c>
      <c r="Z1322">
        <v>502</v>
      </c>
      <c r="AA1322">
        <f t="shared" si="41"/>
        <v>502</v>
      </c>
      <c r="AB1322" t="s">
        <v>71</v>
      </c>
    </row>
    <row r="1323" spans="1:28" x14ac:dyDescent="0.3">
      <c r="A1323" t="s">
        <v>2424</v>
      </c>
      <c r="B1323" t="s">
        <v>2423</v>
      </c>
      <c r="C1323" t="s">
        <v>8065</v>
      </c>
      <c r="D1323" t="s">
        <v>40</v>
      </c>
      <c r="E1323">
        <v>64</v>
      </c>
      <c r="F1323">
        <v>64</v>
      </c>
      <c r="G1323" t="s">
        <v>21</v>
      </c>
      <c r="H1323" t="s">
        <v>21</v>
      </c>
      <c r="I1323" t="s">
        <v>30</v>
      </c>
      <c r="J1323" t="s">
        <v>30</v>
      </c>
      <c r="K1323" s="1">
        <v>46136</v>
      </c>
      <c r="L1323" s="1" t="str">
        <f>IF(K1323&gt;O1323,"Valid","Invalid")</f>
        <v>Valid</v>
      </c>
      <c r="M1323" s="1" t="b">
        <f>ISNUMBER(K1323)</f>
        <v>1</v>
      </c>
      <c r="N1323" s="1" t="b">
        <f>ISNUMBER(O1323)</f>
        <v>1</v>
      </c>
      <c r="O1323" s="1">
        <v>46124</v>
      </c>
      <c r="P1323" t="s">
        <v>2422</v>
      </c>
      <c r="Q1323" t="str">
        <f>SUBSTITUTE(SUBSTITUTE(SUBSTITUTE(P1323," ",""),"-",""),"+","")</f>
        <v>02102529933</v>
      </c>
      <c r="R1323" t="str">
        <f t="shared" si="40"/>
        <v>2102529933</v>
      </c>
      <c r="S1323" t="str">
        <f>IF(LEN(R1323),"Valid","Invalid")</f>
        <v>Valid</v>
      </c>
      <c r="T1323" t="s">
        <v>2421</v>
      </c>
      <c r="V1323" t="s">
        <v>57</v>
      </c>
      <c r="X1323">
        <v>22742.73</v>
      </c>
      <c r="Y1323" t="s">
        <v>63</v>
      </c>
      <c r="Z1323">
        <v>418</v>
      </c>
      <c r="AA1323">
        <f t="shared" si="41"/>
        <v>418</v>
      </c>
      <c r="AB1323" t="s">
        <v>43</v>
      </c>
    </row>
    <row r="1324" spans="1:28" x14ac:dyDescent="0.3">
      <c r="A1324" t="s">
        <v>2420</v>
      </c>
      <c r="B1324" t="s">
        <v>2419</v>
      </c>
      <c r="C1324" t="s">
        <v>2419</v>
      </c>
      <c r="D1324" t="s">
        <v>40</v>
      </c>
      <c r="E1324">
        <v>4</v>
      </c>
      <c r="F1324">
        <v>4</v>
      </c>
      <c r="G1324" t="s">
        <v>31</v>
      </c>
      <c r="H1324" t="s">
        <v>31</v>
      </c>
      <c r="I1324" t="s">
        <v>46</v>
      </c>
      <c r="J1324" t="s">
        <v>46</v>
      </c>
      <c r="K1324" s="1">
        <v>46031</v>
      </c>
      <c r="L1324" s="1" t="str">
        <f>IF(K1324&gt;O1324,"Valid","Invalid")</f>
        <v>Valid</v>
      </c>
      <c r="M1324" s="1" t="b">
        <f>ISNUMBER(K1324)</f>
        <v>1</v>
      </c>
      <c r="N1324" s="1" t="b">
        <f>ISNUMBER(O1324)</f>
        <v>1</v>
      </c>
      <c r="O1324" s="1">
        <v>46003</v>
      </c>
      <c r="P1324" t="s">
        <v>2418</v>
      </c>
      <c r="Q1324" t="str">
        <f>SUBSTITUTE(SUBSTITUTE(SUBSTITUTE(P1324," ",""),"-",""),"+","")</f>
        <v>08579346522</v>
      </c>
      <c r="R1324" t="str">
        <f t="shared" si="40"/>
        <v>8579346522</v>
      </c>
      <c r="S1324" t="str">
        <f>IF(LEN(R1324),"Valid","Invalid")</f>
        <v>Valid</v>
      </c>
      <c r="T1324" t="s">
        <v>2417</v>
      </c>
      <c r="V1324" t="s">
        <v>123</v>
      </c>
      <c r="X1324">
        <v>1048.72</v>
      </c>
      <c r="Y1324" t="s">
        <v>26</v>
      </c>
      <c r="Z1324">
        <v>308</v>
      </c>
      <c r="AA1324">
        <f t="shared" si="41"/>
        <v>308</v>
      </c>
      <c r="AB1324" t="s">
        <v>77</v>
      </c>
    </row>
    <row r="1325" spans="1:28" x14ac:dyDescent="0.3">
      <c r="A1325" t="s">
        <v>2416</v>
      </c>
      <c r="B1325" t="s">
        <v>2415</v>
      </c>
      <c r="C1325" t="s">
        <v>2415</v>
      </c>
      <c r="D1325" t="s">
        <v>123</v>
      </c>
      <c r="E1325">
        <v>77</v>
      </c>
      <c r="F1325">
        <v>77</v>
      </c>
      <c r="G1325" t="s">
        <v>39</v>
      </c>
      <c r="H1325" t="s">
        <v>39</v>
      </c>
      <c r="I1325" t="s">
        <v>53</v>
      </c>
      <c r="J1325" t="s">
        <v>20</v>
      </c>
      <c r="K1325" s="1">
        <v>46008</v>
      </c>
      <c r="L1325" s="1" t="str">
        <f>IF(K1325&gt;O1325,"Valid","Invalid")</f>
        <v>Valid</v>
      </c>
      <c r="M1325" s="1" t="b">
        <f>ISNUMBER(K1325)</f>
        <v>1</v>
      </c>
      <c r="N1325" s="1" t="b">
        <f>ISNUMBER(O1325)</f>
        <v>1</v>
      </c>
      <c r="O1325" s="1">
        <v>46005</v>
      </c>
      <c r="P1325" t="s">
        <v>2414</v>
      </c>
      <c r="Q1325" t="str">
        <f>SUBSTITUTE(SUBSTITUTE(SUBSTITUTE(P1325," ",""),"-",""),"+","")</f>
        <v>9023949348</v>
      </c>
      <c r="R1325" t="str">
        <f t="shared" si="40"/>
        <v>9023949348</v>
      </c>
      <c r="S1325" t="str">
        <f>IF(LEN(R1325),"Valid","Invalid")</f>
        <v>Valid</v>
      </c>
      <c r="T1325" t="s">
        <v>2413</v>
      </c>
      <c r="V1325" t="s">
        <v>27</v>
      </c>
      <c r="X1325">
        <v>8846.93</v>
      </c>
      <c r="Y1325" t="s">
        <v>57</v>
      </c>
      <c r="Z1325">
        <v>147</v>
      </c>
      <c r="AA1325">
        <f t="shared" si="41"/>
        <v>147</v>
      </c>
      <c r="AB1325" t="s">
        <v>16</v>
      </c>
    </row>
    <row r="1326" spans="1:28" x14ac:dyDescent="0.3">
      <c r="A1326" t="s">
        <v>2412</v>
      </c>
      <c r="B1326" t="s">
        <v>2411</v>
      </c>
      <c r="C1326" t="s">
        <v>2411</v>
      </c>
      <c r="D1326" t="s">
        <v>74</v>
      </c>
      <c r="E1326">
        <v>15</v>
      </c>
      <c r="F1326">
        <v>15</v>
      </c>
      <c r="G1326" t="s">
        <v>68</v>
      </c>
      <c r="H1326" t="s">
        <v>68</v>
      </c>
      <c r="I1326" t="s">
        <v>85</v>
      </c>
      <c r="J1326" t="s">
        <v>85</v>
      </c>
      <c r="K1326" s="1">
        <v>46033</v>
      </c>
      <c r="L1326" s="1" t="str">
        <f>IF(K1326&gt;O1326,"Valid","Invalid")</f>
        <v>Valid</v>
      </c>
      <c r="M1326" s="1" t="b">
        <f>ISNUMBER(K1326)</f>
        <v>1</v>
      </c>
      <c r="N1326" s="1" t="b">
        <f>ISNUMBER(O1326)</f>
        <v>1</v>
      </c>
      <c r="O1326" s="1">
        <v>46020</v>
      </c>
      <c r="P1326" t="s">
        <v>2410</v>
      </c>
      <c r="Q1326" t="str">
        <f>SUBSTITUTE(SUBSTITUTE(SUBSTITUTE(P1326," ",""),"-",""),"+","")</f>
        <v>916778837693</v>
      </c>
      <c r="R1326" t="str">
        <f t="shared" si="40"/>
        <v>6778837693</v>
      </c>
      <c r="S1326" t="str">
        <f>IF(LEN(R1326),"Valid","Invalid")</f>
        <v>Valid</v>
      </c>
      <c r="T1326" t="s">
        <v>2409</v>
      </c>
      <c r="V1326" t="s">
        <v>123</v>
      </c>
      <c r="X1326">
        <v>3533.25</v>
      </c>
      <c r="Y1326" t="s">
        <v>27</v>
      </c>
      <c r="Z1326">
        <v>259</v>
      </c>
      <c r="AA1326">
        <f t="shared" si="41"/>
        <v>259</v>
      </c>
      <c r="AB1326" t="s">
        <v>16</v>
      </c>
    </row>
    <row r="1327" spans="1:28" x14ac:dyDescent="0.3">
      <c r="A1327" t="s">
        <v>2408</v>
      </c>
      <c r="B1327" t="s">
        <v>2407</v>
      </c>
      <c r="C1327" t="s">
        <v>2407</v>
      </c>
      <c r="E1327">
        <v>33</v>
      </c>
      <c r="F1327">
        <v>33</v>
      </c>
      <c r="G1327" t="s">
        <v>39</v>
      </c>
      <c r="H1327" t="s">
        <v>39</v>
      </c>
      <c r="I1327" t="s">
        <v>67</v>
      </c>
      <c r="J1327" t="s">
        <v>67</v>
      </c>
      <c r="K1327" s="1">
        <v>46162</v>
      </c>
      <c r="L1327" s="1" t="str">
        <f>IF(K1327&gt;O1327,"Valid","Invalid")</f>
        <v>Valid</v>
      </c>
      <c r="M1327" s="1" t="b">
        <f>ISNUMBER(K1327)</f>
        <v>1</v>
      </c>
      <c r="N1327" s="1" t="b">
        <f>ISNUMBER(O1327)</f>
        <v>1</v>
      </c>
      <c r="O1327" s="1">
        <v>46141</v>
      </c>
      <c r="P1327" t="s">
        <v>2406</v>
      </c>
      <c r="Q1327" t="str">
        <f>SUBSTITUTE(SUBSTITUTE(SUBSTITUTE(P1327," ",""),"-",""),"+","")</f>
        <v>5420622823</v>
      </c>
      <c r="R1327" t="str">
        <f t="shared" si="40"/>
        <v>5420622823</v>
      </c>
      <c r="S1327" t="str">
        <f>IF(LEN(R1327),"Valid","Invalid")</f>
        <v>Valid</v>
      </c>
      <c r="T1327" t="s">
        <v>2405</v>
      </c>
      <c r="V1327" t="s">
        <v>57</v>
      </c>
      <c r="X1327">
        <v>23931.25</v>
      </c>
      <c r="Y1327" t="s">
        <v>64</v>
      </c>
      <c r="Z1327">
        <v>344</v>
      </c>
      <c r="AA1327">
        <f t="shared" si="41"/>
        <v>344</v>
      </c>
      <c r="AB1327" t="s">
        <v>16</v>
      </c>
    </row>
    <row r="1328" spans="1:28" x14ac:dyDescent="0.3">
      <c r="A1328" t="s">
        <v>2404</v>
      </c>
      <c r="B1328" t="s">
        <v>2403</v>
      </c>
      <c r="C1328" t="s">
        <v>2403</v>
      </c>
      <c r="D1328" t="s">
        <v>1</v>
      </c>
      <c r="E1328">
        <v>17</v>
      </c>
      <c r="F1328">
        <v>17</v>
      </c>
      <c r="G1328" t="s">
        <v>21</v>
      </c>
      <c r="H1328" t="s">
        <v>21</v>
      </c>
      <c r="I1328" t="s">
        <v>53</v>
      </c>
      <c r="J1328" t="s">
        <v>20</v>
      </c>
      <c r="K1328" s="1">
        <v>46083</v>
      </c>
      <c r="L1328" s="1" t="str">
        <f>IF(K1328&gt;O1328,"Valid","Invalid")</f>
        <v>Valid</v>
      </c>
      <c r="M1328" s="1" t="b">
        <f>ISNUMBER(K1328)</f>
        <v>1</v>
      </c>
      <c r="N1328" s="1" t="b">
        <f>ISNUMBER(O1328)</f>
        <v>1</v>
      </c>
      <c r="O1328" s="1">
        <v>46058</v>
      </c>
      <c r="P1328" t="s">
        <v>2402</v>
      </c>
      <c r="Q1328" t="str">
        <f>SUBSTITUTE(SUBSTITUTE(SUBSTITUTE(P1328," ",""),"-",""),"+","")</f>
        <v>6237805727</v>
      </c>
      <c r="R1328" t="str">
        <f t="shared" si="40"/>
        <v>6237805727</v>
      </c>
      <c r="S1328" t="str">
        <f>IF(LEN(R1328),"Valid","Invalid")</f>
        <v>Valid</v>
      </c>
      <c r="T1328" t="s">
        <v>2401</v>
      </c>
      <c r="V1328" t="s">
        <v>35</v>
      </c>
      <c r="X1328">
        <v>5793.69</v>
      </c>
      <c r="Y1328" t="s">
        <v>64</v>
      </c>
      <c r="Z1328">
        <v>480</v>
      </c>
      <c r="AA1328">
        <f t="shared" si="41"/>
        <v>480</v>
      </c>
      <c r="AB1328" t="s">
        <v>77</v>
      </c>
    </row>
    <row r="1329" spans="1:28" x14ac:dyDescent="0.3">
      <c r="A1329" t="s">
        <v>2400</v>
      </c>
      <c r="B1329" t="s">
        <v>2399</v>
      </c>
      <c r="C1329" t="s">
        <v>2399</v>
      </c>
      <c r="D1329" t="s">
        <v>123</v>
      </c>
      <c r="E1329">
        <v>37</v>
      </c>
      <c r="F1329">
        <v>37</v>
      </c>
      <c r="G1329" t="s">
        <v>80</v>
      </c>
      <c r="H1329" t="s">
        <v>80</v>
      </c>
      <c r="I1329" t="s">
        <v>38</v>
      </c>
      <c r="J1329" t="s">
        <v>8077</v>
      </c>
      <c r="K1329" s="1">
        <v>46067</v>
      </c>
      <c r="L1329" s="1" t="str">
        <f>IF(K1329&gt;O1329,"Valid","Invalid")</f>
        <v>Valid</v>
      </c>
      <c r="M1329" s="1" t="b">
        <f>ISNUMBER(K1329)</f>
        <v>1</v>
      </c>
      <c r="N1329" s="1" t="b">
        <f>ISNUMBER(O1329)</f>
        <v>1</v>
      </c>
      <c r="O1329" s="1">
        <v>46060</v>
      </c>
      <c r="P1329" t="s">
        <v>2398</v>
      </c>
      <c r="Q1329" t="str">
        <f>SUBSTITUTE(SUBSTITUTE(SUBSTITUTE(P1329," ",""),"-",""),"+","")</f>
        <v>09164231724</v>
      </c>
      <c r="R1329" t="str">
        <f t="shared" si="40"/>
        <v>9164231724</v>
      </c>
      <c r="S1329" t="str">
        <f>IF(LEN(R1329),"Valid","Invalid")</f>
        <v>Valid</v>
      </c>
      <c r="T1329" t="s">
        <v>2397</v>
      </c>
      <c r="V1329" t="s">
        <v>26</v>
      </c>
      <c r="X1329">
        <v>4778.74</v>
      </c>
      <c r="Y1329" t="s">
        <v>63</v>
      </c>
      <c r="Z1329">
        <v>268</v>
      </c>
      <c r="AA1329">
        <f t="shared" si="41"/>
        <v>268</v>
      </c>
      <c r="AB1329" t="s">
        <v>25</v>
      </c>
    </row>
    <row r="1330" spans="1:28" x14ac:dyDescent="0.3">
      <c r="A1330" t="s">
        <v>2396</v>
      </c>
      <c r="B1330" t="s">
        <v>2395</v>
      </c>
      <c r="C1330" t="s">
        <v>2395</v>
      </c>
      <c r="E1330">
        <v>86</v>
      </c>
      <c r="F1330">
        <v>86</v>
      </c>
      <c r="G1330" t="s">
        <v>132</v>
      </c>
      <c r="H1330" t="s">
        <v>132</v>
      </c>
      <c r="I1330" t="s">
        <v>53</v>
      </c>
      <c r="J1330" t="s">
        <v>20</v>
      </c>
      <c r="K1330" s="1">
        <v>46127</v>
      </c>
      <c r="L1330" s="1" t="str">
        <f>IF(K1330&gt;O1330,"Valid","Invalid")</f>
        <v>Valid</v>
      </c>
      <c r="M1330" s="1" t="b">
        <f>ISNUMBER(K1330)</f>
        <v>1</v>
      </c>
      <c r="N1330" s="1" t="b">
        <f>ISNUMBER(O1330)</f>
        <v>1</v>
      </c>
      <c r="O1330" s="1">
        <v>46117</v>
      </c>
      <c r="P1330" t="s">
        <v>2394</v>
      </c>
      <c r="Q1330" t="str">
        <f>SUBSTITUTE(SUBSTITUTE(SUBSTITUTE(P1330," ",""),"-",""),"+","")</f>
        <v>4838016260</v>
      </c>
      <c r="R1330" t="str">
        <f t="shared" si="40"/>
        <v>4838016260</v>
      </c>
      <c r="S1330" t="str">
        <f>IF(LEN(R1330),"Valid","Invalid")</f>
        <v>Valid</v>
      </c>
      <c r="T1330" t="s">
        <v>2393</v>
      </c>
      <c r="V1330" t="s">
        <v>123</v>
      </c>
      <c r="X1330">
        <v>9494.31</v>
      </c>
      <c r="Y1330" t="s">
        <v>26</v>
      </c>
      <c r="Z1330">
        <v>396</v>
      </c>
      <c r="AA1330">
        <f t="shared" si="41"/>
        <v>396</v>
      </c>
      <c r="AB1330" t="s">
        <v>25</v>
      </c>
    </row>
    <row r="1331" spans="1:28" x14ac:dyDescent="0.3">
      <c r="A1331" t="s">
        <v>2392</v>
      </c>
      <c r="B1331" t="s">
        <v>2391</v>
      </c>
      <c r="C1331" t="s">
        <v>2391</v>
      </c>
      <c r="D1331" t="s">
        <v>40</v>
      </c>
      <c r="E1331">
        <v>50</v>
      </c>
      <c r="F1331">
        <v>50</v>
      </c>
      <c r="G1331" t="s">
        <v>47</v>
      </c>
      <c r="H1331" t="s">
        <v>47</v>
      </c>
      <c r="I1331" t="s">
        <v>38</v>
      </c>
      <c r="J1331" t="s">
        <v>8077</v>
      </c>
      <c r="K1331" s="1">
        <v>46143</v>
      </c>
      <c r="L1331" s="1" t="str">
        <f>IF(K1331&gt;O1331,"Valid","Invalid")</f>
        <v>Valid</v>
      </c>
      <c r="M1331" s="1" t="b">
        <f>ISNUMBER(K1331)</f>
        <v>1</v>
      </c>
      <c r="N1331" s="1" t="b">
        <f>ISNUMBER(O1331)</f>
        <v>1</v>
      </c>
      <c r="O1331" s="1">
        <v>46138</v>
      </c>
      <c r="P1331" t="s">
        <v>2390</v>
      </c>
      <c r="Q1331" t="str">
        <f>SUBSTITUTE(SUBSTITUTE(SUBSTITUTE(P1331," ",""),"-",""),"+","")</f>
        <v>911372729932</v>
      </c>
      <c r="R1331" t="str">
        <f t="shared" si="40"/>
        <v>1372729932</v>
      </c>
      <c r="S1331" t="str">
        <f>IF(LEN(R1331),"Valid","Invalid")</f>
        <v>Valid</v>
      </c>
      <c r="T1331" t="s">
        <v>2389</v>
      </c>
      <c r="V1331" t="s">
        <v>27</v>
      </c>
      <c r="X1331">
        <v>3745.27</v>
      </c>
      <c r="Y1331" t="s">
        <v>27</v>
      </c>
      <c r="Z1331">
        <v>527</v>
      </c>
      <c r="AA1331">
        <f t="shared" si="41"/>
        <v>527</v>
      </c>
      <c r="AB1331" t="s">
        <v>50</v>
      </c>
    </row>
    <row r="1332" spans="1:28" x14ac:dyDescent="0.3">
      <c r="A1332" t="s">
        <v>2384</v>
      </c>
      <c r="B1332" t="s">
        <v>2383</v>
      </c>
      <c r="C1332" t="s">
        <v>2383</v>
      </c>
      <c r="D1332" t="s">
        <v>123</v>
      </c>
      <c r="E1332">
        <v>58</v>
      </c>
      <c r="F1332">
        <v>58</v>
      </c>
      <c r="G1332" t="s">
        <v>21</v>
      </c>
      <c r="H1332" t="s">
        <v>21</v>
      </c>
      <c r="I1332" t="s">
        <v>85</v>
      </c>
      <c r="J1332" t="s">
        <v>85</v>
      </c>
      <c r="K1332" s="1">
        <v>46141</v>
      </c>
      <c r="L1332" s="1" t="str">
        <f>IF(K1332&gt;O1332,"Valid","Invalid")</f>
        <v>Valid</v>
      </c>
      <c r="M1332" s="1" t="b">
        <f>ISNUMBER(K1332)</f>
        <v>1</v>
      </c>
      <c r="N1332" s="1" t="b">
        <f>ISNUMBER(O1332)</f>
        <v>1</v>
      </c>
      <c r="O1332" s="1">
        <v>46122</v>
      </c>
      <c r="P1332" t="s">
        <v>2382</v>
      </c>
      <c r="Q1332" t="str">
        <f>SUBSTITUTE(SUBSTITUTE(SUBSTITUTE(P1332," ",""),"-",""),"+","")</f>
        <v>916208945897</v>
      </c>
      <c r="R1332" t="str">
        <f t="shared" si="40"/>
        <v>6208945897</v>
      </c>
      <c r="S1332" t="str">
        <f>IF(LEN(R1332),"Valid","Invalid")</f>
        <v>Valid</v>
      </c>
      <c r="T1332" t="s">
        <v>2381</v>
      </c>
      <c r="V1332" t="s">
        <v>26</v>
      </c>
      <c r="X1332">
        <v>13737.81</v>
      </c>
      <c r="Y1332" t="s">
        <v>64</v>
      </c>
      <c r="Z1332">
        <v>481</v>
      </c>
      <c r="AA1332">
        <f t="shared" si="41"/>
        <v>481</v>
      </c>
      <c r="AB1332" t="s">
        <v>43</v>
      </c>
    </row>
    <row r="1333" spans="1:28" x14ac:dyDescent="0.3">
      <c r="A1333" t="s">
        <v>2380</v>
      </c>
      <c r="B1333" t="s">
        <v>2379</v>
      </c>
      <c r="C1333" t="s">
        <v>2379</v>
      </c>
      <c r="D1333" t="s">
        <v>60</v>
      </c>
      <c r="E1333">
        <v>44</v>
      </c>
      <c r="F1333">
        <v>44</v>
      </c>
      <c r="G1333" t="s">
        <v>39</v>
      </c>
      <c r="H1333" t="s">
        <v>39</v>
      </c>
      <c r="I1333" t="s">
        <v>30</v>
      </c>
      <c r="J1333" t="s">
        <v>30</v>
      </c>
      <c r="K1333" s="1">
        <v>46029</v>
      </c>
      <c r="L1333" s="1" t="str">
        <f>IF(K1333&gt;O1333,"Valid","Invalid")</f>
        <v>Valid</v>
      </c>
      <c r="M1333" s="1" t="b">
        <f>ISNUMBER(K1333)</f>
        <v>1</v>
      </c>
      <c r="N1333" s="1" t="b">
        <f>ISNUMBER(O1333)</f>
        <v>1</v>
      </c>
      <c r="O1333" s="1">
        <v>46019</v>
      </c>
      <c r="P1333" t="s">
        <v>2378</v>
      </c>
      <c r="Q1333" t="str">
        <f>SUBSTITUTE(SUBSTITUTE(SUBSTITUTE(P1333," ",""),"-",""),"+","")</f>
        <v>918176096144</v>
      </c>
      <c r="R1333" t="str">
        <f t="shared" si="40"/>
        <v>8176096144</v>
      </c>
      <c r="S1333" t="str">
        <f>IF(LEN(R1333),"Valid","Invalid")</f>
        <v>Valid</v>
      </c>
      <c r="T1333" t="s">
        <v>2377</v>
      </c>
      <c r="V1333" t="s">
        <v>123</v>
      </c>
      <c r="X1333">
        <v>19345.79</v>
      </c>
      <c r="Y1333" t="s">
        <v>123</v>
      </c>
      <c r="Z1333">
        <v>439</v>
      </c>
      <c r="AA1333">
        <f t="shared" si="41"/>
        <v>439</v>
      </c>
      <c r="AB1333" t="s">
        <v>77</v>
      </c>
    </row>
    <row r="1334" spans="1:28" x14ac:dyDescent="0.3">
      <c r="A1334" t="s">
        <v>2376</v>
      </c>
      <c r="B1334" t="s">
        <v>2375</v>
      </c>
      <c r="C1334" t="s">
        <v>2375</v>
      </c>
      <c r="D1334" t="s">
        <v>60</v>
      </c>
      <c r="E1334">
        <v>67</v>
      </c>
      <c r="F1334">
        <v>67</v>
      </c>
      <c r="G1334" t="s">
        <v>132</v>
      </c>
      <c r="H1334" t="s">
        <v>132</v>
      </c>
      <c r="I1334" t="s">
        <v>20</v>
      </c>
      <c r="J1334" t="s">
        <v>20</v>
      </c>
      <c r="K1334" s="1">
        <v>46107</v>
      </c>
      <c r="L1334" s="1" t="str">
        <f>IF(K1334&gt;O1334,"Valid","Invalid")</f>
        <v>Valid</v>
      </c>
      <c r="M1334" s="1" t="b">
        <f>ISNUMBER(K1334)</f>
        <v>1</v>
      </c>
      <c r="N1334" s="1" t="b">
        <f>ISNUMBER(O1334)</f>
        <v>1</v>
      </c>
      <c r="O1334" s="1">
        <v>46082</v>
      </c>
      <c r="P1334" t="s">
        <v>2374</v>
      </c>
      <c r="Q1334" t="str">
        <f>SUBSTITUTE(SUBSTITUTE(SUBSTITUTE(P1334," ",""),"-",""),"+","")</f>
        <v>05045171757</v>
      </c>
      <c r="R1334" t="str">
        <f t="shared" si="40"/>
        <v>5045171757</v>
      </c>
      <c r="S1334" t="str">
        <f>IF(LEN(R1334),"Valid","Invalid")</f>
        <v>Valid</v>
      </c>
      <c r="T1334" t="s">
        <v>2373</v>
      </c>
      <c r="V1334" t="s">
        <v>57</v>
      </c>
      <c r="X1334">
        <v>10777.56</v>
      </c>
      <c r="Y1334" t="s">
        <v>27</v>
      </c>
      <c r="Z1334">
        <v>378</v>
      </c>
      <c r="AA1334">
        <f t="shared" si="41"/>
        <v>378</v>
      </c>
      <c r="AB1334" t="s">
        <v>71</v>
      </c>
    </row>
    <row r="1335" spans="1:28" x14ac:dyDescent="0.3">
      <c r="A1335" t="s">
        <v>2372</v>
      </c>
      <c r="B1335" t="s">
        <v>2371</v>
      </c>
      <c r="C1335" t="s">
        <v>2371</v>
      </c>
      <c r="D1335" t="s">
        <v>74</v>
      </c>
      <c r="E1335">
        <v>30</v>
      </c>
      <c r="F1335">
        <v>30</v>
      </c>
      <c r="G1335" t="s">
        <v>68</v>
      </c>
      <c r="H1335" t="s">
        <v>68</v>
      </c>
      <c r="I1335" t="s">
        <v>20</v>
      </c>
      <c r="J1335" t="s">
        <v>20</v>
      </c>
      <c r="K1335" s="1">
        <v>45999</v>
      </c>
      <c r="L1335" s="1" t="str">
        <f>IF(K1335&gt;O1335,"Valid","Invalid")</f>
        <v>Valid</v>
      </c>
      <c r="M1335" s="1" t="b">
        <f>ISNUMBER(K1335)</f>
        <v>1</v>
      </c>
      <c r="N1335" s="1" t="b">
        <f>ISNUMBER(O1335)</f>
        <v>1</v>
      </c>
      <c r="O1335" s="1">
        <v>45996</v>
      </c>
      <c r="P1335" t="s">
        <v>2370</v>
      </c>
      <c r="Q1335" t="str">
        <f>SUBSTITUTE(SUBSTITUTE(SUBSTITUTE(P1335," ",""),"-",""),"+","")</f>
        <v>02943653564</v>
      </c>
      <c r="R1335" t="str">
        <f t="shared" si="40"/>
        <v>2943653564</v>
      </c>
      <c r="S1335" t="str">
        <f>IF(LEN(R1335),"Valid","Invalid")</f>
        <v>Valid</v>
      </c>
      <c r="T1335" t="s">
        <v>2369</v>
      </c>
      <c r="V1335" t="s">
        <v>26</v>
      </c>
      <c r="X1335">
        <v>3332.22</v>
      </c>
      <c r="Y1335" t="s">
        <v>17</v>
      </c>
      <c r="Z1335">
        <v>257</v>
      </c>
      <c r="AA1335">
        <f t="shared" si="41"/>
        <v>257</v>
      </c>
      <c r="AB1335" t="s">
        <v>16</v>
      </c>
    </row>
    <row r="1336" spans="1:28" x14ac:dyDescent="0.3">
      <c r="A1336" t="s">
        <v>2368</v>
      </c>
      <c r="B1336" t="s">
        <v>2367</v>
      </c>
      <c r="C1336" t="s">
        <v>2367</v>
      </c>
      <c r="D1336" t="s">
        <v>123</v>
      </c>
      <c r="E1336">
        <v>71</v>
      </c>
      <c r="F1336">
        <v>71</v>
      </c>
      <c r="G1336" t="s">
        <v>80</v>
      </c>
      <c r="H1336" t="s">
        <v>80</v>
      </c>
      <c r="I1336" t="s">
        <v>53</v>
      </c>
      <c r="J1336" t="s">
        <v>20</v>
      </c>
      <c r="K1336" s="1">
        <v>46012</v>
      </c>
      <c r="L1336" s="1" t="str">
        <f>IF(K1336&gt;O1336,"Valid","Invalid")</f>
        <v>Valid</v>
      </c>
      <c r="M1336" s="1" t="b">
        <f>ISNUMBER(K1336)</f>
        <v>1</v>
      </c>
      <c r="N1336" s="1" t="b">
        <f>ISNUMBER(O1336)</f>
        <v>1</v>
      </c>
      <c r="O1336" s="1">
        <v>46000</v>
      </c>
      <c r="P1336" t="s">
        <v>2366</v>
      </c>
      <c r="Q1336" t="str">
        <f>SUBSTITUTE(SUBSTITUTE(SUBSTITUTE(P1336," ",""),"-",""),"+","")</f>
        <v>4974265411</v>
      </c>
      <c r="R1336" t="str">
        <f t="shared" si="40"/>
        <v>4974265411</v>
      </c>
      <c r="S1336" t="str">
        <f>IF(LEN(R1336),"Valid","Invalid")</f>
        <v>Valid</v>
      </c>
      <c r="T1336" t="s">
        <v>2365</v>
      </c>
      <c r="V1336" t="s">
        <v>17</v>
      </c>
      <c r="X1336">
        <v>3714.37</v>
      </c>
      <c r="Y1336" t="s">
        <v>57</v>
      </c>
      <c r="Z1336">
        <v>497</v>
      </c>
      <c r="AA1336">
        <f t="shared" si="41"/>
        <v>497</v>
      </c>
      <c r="AB1336" t="s">
        <v>77</v>
      </c>
    </row>
    <row r="1337" spans="1:28" x14ac:dyDescent="0.3">
      <c r="A1337" t="s">
        <v>2364</v>
      </c>
      <c r="B1337" t="s">
        <v>2363</v>
      </c>
      <c r="C1337" t="s">
        <v>2363</v>
      </c>
      <c r="D1337" t="s">
        <v>1</v>
      </c>
      <c r="E1337">
        <v>46</v>
      </c>
      <c r="F1337">
        <v>46</v>
      </c>
      <c r="G1337" t="s">
        <v>39</v>
      </c>
      <c r="H1337" t="s">
        <v>39</v>
      </c>
      <c r="I1337" t="s">
        <v>46</v>
      </c>
      <c r="J1337" t="s">
        <v>46</v>
      </c>
      <c r="K1337" s="1">
        <v>46021</v>
      </c>
      <c r="L1337" s="1" t="str">
        <f>IF(K1337&gt;O1337,"Valid","Invalid")</f>
        <v>Valid</v>
      </c>
      <c r="M1337" s="1" t="b">
        <f>ISNUMBER(K1337)</f>
        <v>1</v>
      </c>
      <c r="N1337" s="1" t="b">
        <f>ISNUMBER(O1337)</f>
        <v>1</v>
      </c>
      <c r="O1337" s="1">
        <v>45996</v>
      </c>
      <c r="P1337" t="s">
        <v>2362</v>
      </c>
      <c r="Q1337" t="str">
        <f>SUBSTITUTE(SUBSTITUTE(SUBSTITUTE(P1337," ",""),"-",""),"+","")</f>
        <v>1094365929</v>
      </c>
      <c r="R1337" t="str">
        <f t="shared" si="40"/>
        <v>1094365929</v>
      </c>
      <c r="S1337" t="str">
        <f>IF(LEN(R1337),"Valid","Invalid")</f>
        <v>Valid</v>
      </c>
      <c r="T1337" t="s">
        <v>2361</v>
      </c>
      <c r="V1337" t="s">
        <v>57</v>
      </c>
      <c r="X1337">
        <v>13578.54</v>
      </c>
      <c r="Y1337" t="s">
        <v>26</v>
      </c>
      <c r="Z1337">
        <v>291</v>
      </c>
      <c r="AA1337">
        <f t="shared" si="41"/>
        <v>291</v>
      </c>
      <c r="AB1337" t="s">
        <v>71</v>
      </c>
    </row>
    <row r="1338" spans="1:28" x14ac:dyDescent="0.3">
      <c r="A1338" t="s">
        <v>2360</v>
      </c>
      <c r="B1338" t="s">
        <v>2359</v>
      </c>
      <c r="C1338" t="s">
        <v>2359</v>
      </c>
      <c r="D1338" t="s">
        <v>74</v>
      </c>
      <c r="E1338">
        <v>88</v>
      </c>
      <c r="F1338">
        <v>88</v>
      </c>
      <c r="G1338" t="s">
        <v>39</v>
      </c>
      <c r="H1338" t="s">
        <v>39</v>
      </c>
      <c r="I1338" t="s">
        <v>38</v>
      </c>
      <c r="J1338" t="s">
        <v>8077</v>
      </c>
      <c r="K1338" s="1">
        <v>46099</v>
      </c>
      <c r="L1338" s="1" t="str">
        <f>IF(K1338&gt;O1338,"Valid","Invalid")</f>
        <v>Valid</v>
      </c>
      <c r="M1338" s="1" t="b">
        <f>ISNUMBER(K1338)</f>
        <v>1</v>
      </c>
      <c r="N1338" s="1" t="b">
        <f>ISNUMBER(O1338)</f>
        <v>1</v>
      </c>
      <c r="O1338" s="1">
        <v>46073</v>
      </c>
      <c r="P1338" t="s">
        <v>2358</v>
      </c>
      <c r="Q1338" t="str">
        <f>SUBSTITUTE(SUBSTITUTE(SUBSTITUTE(P1338," ",""),"-",""),"+","")</f>
        <v>7778028901</v>
      </c>
      <c r="R1338" t="str">
        <f t="shared" si="40"/>
        <v>7778028901</v>
      </c>
      <c r="S1338" t="str">
        <f>IF(LEN(R1338),"Valid","Invalid")</f>
        <v>Valid</v>
      </c>
      <c r="T1338" t="s">
        <v>2357</v>
      </c>
      <c r="V1338" t="s">
        <v>35</v>
      </c>
      <c r="X1338">
        <v>13612.37</v>
      </c>
      <c r="Y1338" t="s">
        <v>123</v>
      </c>
      <c r="Z1338">
        <v>539</v>
      </c>
      <c r="AA1338">
        <f t="shared" si="41"/>
        <v>539</v>
      </c>
      <c r="AB1338" t="s">
        <v>71</v>
      </c>
    </row>
    <row r="1339" spans="1:28" x14ac:dyDescent="0.3">
      <c r="A1339" t="s">
        <v>2356</v>
      </c>
      <c r="B1339" t="s">
        <v>2355</v>
      </c>
      <c r="C1339" t="s">
        <v>2355</v>
      </c>
      <c r="D1339" t="s">
        <v>22</v>
      </c>
      <c r="E1339">
        <v>7</v>
      </c>
      <c r="F1339">
        <v>7</v>
      </c>
      <c r="G1339" t="s">
        <v>54</v>
      </c>
      <c r="H1339" t="s">
        <v>54</v>
      </c>
      <c r="I1339" t="s">
        <v>30</v>
      </c>
      <c r="J1339" t="s">
        <v>30</v>
      </c>
      <c r="K1339" s="1">
        <v>46062</v>
      </c>
      <c r="L1339" s="1" t="str">
        <f>IF(K1339&gt;O1339,"Valid","Invalid")</f>
        <v>Valid</v>
      </c>
      <c r="M1339" s="1" t="b">
        <f>ISNUMBER(K1339)</f>
        <v>1</v>
      </c>
      <c r="N1339" s="1" t="b">
        <f>ISNUMBER(O1339)</f>
        <v>1</v>
      </c>
      <c r="O1339" s="1">
        <v>46050</v>
      </c>
      <c r="P1339" t="s">
        <v>2354</v>
      </c>
      <c r="Q1339" t="str">
        <f>SUBSTITUTE(SUBSTITUTE(SUBSTITUTE(P1339," ",""),"-",""),"+","")</f>
        <v>06666984914</v>
      </c>
      <c r="R1339" t="str">
        <f t="shared" si="40"/>
        <v>6666984914</v>
      </c>
      <c r="S1339" t="str">
        <f>IF(LEN(R1339),"Valid","Invalid")</f>
        <v>Valid</v>
      </c>
      <c r="T1339" t="s">
        <v>2353</v>
      </c>
      <c r="V1339" t="s">
        <v>123</v>
      </c>
      <c r="X1339">
        <v>22364.86</v>
      </c>
      <c r="Y1339" t="s">
        <v>123</v>
      </c>
      <c r="Z1339">
        <v>264</v>
      </c>
      <c r="AA1339">
        <f t="shared" si="41"/>
        <v>264</v>
      </c>
      <c r="AB1339" t="s">
        <v>71</v>
      </c>
    </row>
    <row r="1340" spans="1:28" x14ac:dyDescent="0.3">
      <c r="A1340" t="s">
        <v>2352</v>
      </c>
      <c r="B1340" t="s">
        <v>2351</v>
      </c>
      <c r="C1340" t="s">
        <v>2351</v>
      </c>
      <c r="D1340" t="s">
        <v>22</v>
      </c>
      <c r="E1340">
        <v>1</v>
      </c>
      <c r="F1340">
        <v>1</v>
      </c>
      <c r="G1340" t="s">
        <v>80</v>
      </c>
      <c r="H1340" t="s">
        <v>80</v>
      </c>
      <c r="I1340" t="s">
        <v>30</v>
      </c>
      <c r="J1340" t="s">
        <v>30</v>
      </c>
      <c r="K1340" s="1">
        <v>46031</v>
      </c>
      <c r="L1340" s="1" t="str">
        <f>IF(K1340&gt;O1340,"Valid","Invalid")</f>
        <v>Valid</v>
      </c>
      <c r="M1340" s="1" t="b">
        <f>ISNUMBER(K1340)</f>
        <v>1</v>
      </c>
      <c r="N1340" s="1" t="b">
        <f>ISNUMBER(O1340)</f>
        <v>1</v>
      </c>
      <c r="O1340" s="1">
        <v>46009</v>
      </c>
      <c r="P1340" t="s">
        <v>2350</v>
      </c>
      <c r="Q1340" t="str">
        <f>SUBSTITUTE(SUBSTITUTE(SUBSTITUTE(P1340," ",""),"-",""),"+","")</f>
        <v>918860868901</v>
      </c>
      <c r="R1340" t="str">
        <f t="shared" si="40"/>
        <v>8860868901</v>
      </c>
      <c r="S1340" t="str">
        <f>IF(LEN(R1340),"Valid","Invalid")</f>
        <v>Valid</v>
      </c>
      <c r="T1340" t="s">
        <v>2349</v>
      </c>
      <c r="V1340" t="s">
        <v>26</v>
      </c>
      <c r="X1340">
        <v>5377.12</v>
      </c>
      <c r="Y1340" t="s">
        <v>64</v>
      </c>
      <c r="Z1340">
        <v>130</v>
      </c>
      <c r="AA1340">
        <f t="shared" si="41"/>
        <v>130</v>
      </c>
      <c r="AB1340" t="s">
        <v>50</v>
      </c>
    </row>
    <row r="1341" spans="1:28" x14ac:dyDescent="0.3">
      <c r="A1341" t="s">
        <v>2348</v>
      </c>
      <c r="B1341" t="s">
        <v>2347</v>
      </c>
      <c r="C1341" t="s">
        <v>2347</v>
      </c>
      <c r="D1341" t="s">
        <v>123</v>
      </c>
      <c r="E1341">
        <v>18</v>
      </c>
      <c r="F1341">
        <v>18</v>
      </c>
      <c r="G1341" t="s">
        <v>39</v>
      </c>
      <c r="H1341" t="s">
        <v>39</v>
      </c>
      <c r="I1341" t="s">
        <v>85</v>
      </c>
      <c r="J1341" t="s">
        <v>85</v>
      </c>
      <c r="K1341" s="1">
        <v>46169</v>
      </c>
      <c r="L1341" s="1" t="str">
        <f>IF(K1341&gt;O1341,"Valid","Invalid")</f>
        <v>Valid</v>
      </c>
      <c r="M1341" s="1" t="b">
        <f>ISNUMBER(K1341)</f>
        <v>1</v>
      </c>
      <c r="N1341" s="1" t="b">
        <f>ISNUMBER(O1341)</f>
        <v>1</v>
      </c>
      <c r="O1341" s="1">
        <v>46143</v>
      </c>
      <c r="P1341" t="s">
        <v>2346</v>
      </c>
      <c r="Q1341" t="str">
        <f>SUBSTITUTE(SUBSTITUTE(SUBSTITUTE(P1341," ",""),"-",""),"+","")</f>
        <v>915013892478</v>
      </c>
      <c r="R1341" t="str">
        <f t="shared" si="40"/>
        <v>5013892478</v>
      </c>
      <c r="S1341" t="str">
        <f>IF(LEN(R1341),"Valid","Invalid")</f>
        <v>Valid</v>
      </c>
      <c r="T1341" t="s">
        <v>2345</v>
      </c>
      <c r="V1341" t="s">
        <v>35</v>
      </c>
      <c r="X1341">
        <v>19161.900000000001</v>
      </c>
      <c r="Y1341" t="s">
        <v>57</v>
      </c>
      <c r="Z1341">
        <v>300</v>
      </c>
      <c r="AA1341">
        <f t="shared" si="41"/>
        <v>300</v>
      </c>
      <c r="AB1341" t="s">
        <v>50</v>
      </c>
    </row>
    <row r="1342" spans="1:28" x14ac:dyDescent="0.3">
      <c r="A1342" t="s">
        <v>2344</v>
      </c>
      <c r="B1342" t="s">
        <v>2343</v>
      </c>
      <c r="C1342" t="s">
        <v>2343</v>
      </c>
      <c r="D1342" t="s">
        <v>0</v>
      </c>
      <c r="E1342">
        <v>83</v>
      </c>
      <c r="F1342">
        <v>83</v>
      </c>
      <c r="G1342" t="s">
        <v>54</v>
      </c>
      <c r="H1342" t="s">
        <v>54</v>
      </c>
      <c r="I1342" t="s">
        <v>90</v>
      </c>
      <c r="J1342" t="s">
        <v>67</v>
      </c>
      <c r="K1342" s="1">
        <v>46109</v>
      </c>
      <c r="L1342" s="1" t="str">
        <f>IF(K1342&gt;O1342,"Valid","Invalid")</f>
        <v>Valid</v>
      </c>
      <c r="M1342" s="1" t="b">
        <f>ISNUMBER(K1342)</f>
        <v>1</v>
      </c>
      <c r="N1342" s="1" t="b">
        <f>ISNUMBER(O1342)</f>
        <v>1</v>
      </c>
      <c r="O1342" s="1">
        <v>46091</v>
      </c>
      <c r="P1342" t="s">
        <v>2342</v>
      </c>
      <c r="Q1342" t="str">
        <f>SUBSTITUTE(SUBSTITUTE(SUBSTITUTE(P1342," ",""),"-",""),"+","")</f>
        <v>03724372948</v>
      </c>
      <c r="R1342" t="str">
        <f t="shared" si="40"/>
        <v>3724372948</v>
      </c>
      <c r="S1342" t="str">
        <f>IF(LEN(R1342),"Valid","Invalid")</f>
        <v>Valid</v>
      </c>
      <c r="T1342" t="s">
        <v>2341</v>
      </c>
      <c r="V1342" t="s">
        <v>17</v>
      </c>
      <c r="X1342">
        <v>6364.62</v>
      </c>
      <c r="Y1342" t="s">
        <v>17</v>
      </c>
      <c r="Z1342">
        <v>136</v>
      </c>
      <c r="AA1342">
        <f t="shared" si="41"/>
        <v>136</v>
      </c>
      <c r="AB1342" t="s">
        <v>71</v>
      </c>
    </row>
    <row r="1343" spans="1:28" x14ac:dyDescent="0.3">
      <c r="A1343" t="s">
        <v>2340</v>
      </c>
      <c r="B1343" t="s">
        <v>2339</v>
      </c>
      <c r="C1343" t="s">
        <v>2339</v>
      </c>
      <c r="D1343" t="s">
        <v>22</v>
      </c>
      <c r="E1343">
        <v>18</v>
      </c>
      <c r="F1343">
        <v>18</v>
      </c>
      <c r="G1343" t="s">
        <v>54</v>
      </c>
      <c r="H1343" t="s">
        <v>54</v>
      </c>
      <c r="I1343" t="s">
        <v>20</v>
      </c>
      <c r="J1343" t="s">
        <v>20</v>
      </c>
      <c r="K1343" s="1">
        <v>46022</v>
      </c>
      <c r="L1343" s="1" t="str">
        <f>IF(K1343&gt;O1343,"Valid","Invalid")</f>
        <v>Valid</v>
      </c>
      <c r="M1343" s="1" t="b">
        <f>ISNUMBER(K1343)</f>
        <v>1</v>
      </c>
      <c r="N1343" s="1" t="b">
        <f>ISNUMBER(O1343)</f>
        <v>1</v>
      </c>
      <c r="O1343" s="1">
        <v>45999</v>
      </c>
      <c r="P1343" t="s">
        <v>2338</v>
      </c>
      <c r="Q1343" t="str">
        <f>SUBSTITUTE(SUBSTITUTE(SUBSTITUTE(P1343," ",""),"-",""),"+","")</f>
        <v>01810204802</v>
      </c>
      <c r="R1343" t="str">
        <f t="shared" si="40"/>
        <v>1810204802</v>
      </c>
      <c r="S1343" t="str">
        <f>IF(LEN(R1343),"Valid","Invalid")</f>
        <v>Valid</v>
      </c>
      <c r="T1343" t="s">
        <v>2337</v>
      </c>
      <c r="V1343" t="s">
        <v>35</v>
      </c>
      <c r="X1343">
        <v>5304.61</v>
      </c>
      <c r="Y1343" t="s">
        <v>26</v>
      </c>
      <c r="Z1343">
        <v>444</v>
      </c>
      <c r="AA1343">
        <f t="shared" si="41"/>
        <v>444</v>
      </c>
      <c r="AB1343" t="s">
        <v>43</v>
      </c>
    </row>
    <row r="1344" spans="1:28" x14ac:dyDescent="0.3">
      <c r="A1344" t="s">
        <v>2336</v>
      </c>
      <c r="B1344" t="s">
        <v>2335</v>
      </c>
      <c r="C1344" t="s">
        <v>2335</v>
      </c>
      <c r="D1344" t="s">
        <v>60</v>
      </c>
      <c r="E1344">
        <v>2</v>
      </c>
      <c r="F1344">
        <v>2</v>
      </c>
      <c r="G1344" t="s">
        <v>80</v>
      </c>
      <c r="H1344" t="s">
        <v>80</v>
      </c>
      <c r="I1344" t="s">
        <v>30</v>
      </c>
      <c r="J1344" t="s">
        <v>30</v>
      </c>
      <c r="K1344" s="1">
        <v>46150</v>
      </c>
      <c r="L1344" s="1" t="str">
        <f>IF(K1344&gt;O1344,"Valid","Invalid")</f>
        <v>Valid</v>
      </c>
      <c r="M1344" s="1" t="b">
        <f>ISNUMBER(K1344)</f>
        <v>1</v>
      </c>
      <c r="N1344" s="1" t="b">
        <f>ISNUMBER(O1344)</f>
        <v>1</v>
      </c>
      <c r="O1344" s="1">
        <v>46134</v>
      </c>
      <c r="P1344" t="s">
        <v>2334</v>
      </c>
      <c r="Q1344" t="str">
        <f>SUBSTITUTE(SUBSTITUTE(SUBSTITUTE(P1344," ",""),"-",""),"+","")</f>
        <v>910682981409</v>
      </c>
      <c r="R1344" t="str">
        <f t="shared" si="40"/>
        <v>0682981409</v>
      </c>
      <c r="S1344" t="str">
        <f>IF(LEN(R1344),"Valid","Invalid")</f>
        <v>Valid</v>
      </c>
      <c r="T1344" t="s">
        <v>2333</v>
      </c>
      <c r="V1344" t="s">
        <v>64</v>
      </c>
      <c r="X1344">
        <v>19337.12</v>
      </c>
      <c r="Y1344" t="s">
        <v>123</v>
      </c>
      <c r="Z1344">
        <v>218</v>
      </c>
      <c r="AA1344">
        <f t="shared" si="41"/>
        <v>218</v>
      </c>
      <c r="AB1344" t="s">
        <v>25</v>
      </c>
    </row>
    <row r="1345" spans="1:28" x14ac:dyDescent="0.3">
      <c r="A1345" t="s">
        <v>2332</v>
      </c>
      <c r="B1345" t="s">
        <v>2331</v>
      </c>
      <c r="C1345" t="s">
        <v>2331</v>
      </c>
      <c r="E1345">
        <v>39</v>
      </c>
      <c r="F1345">
        <v>39</v>
      </c>
      <c r="G1345" t="s">
        <v>80</v>
      </c>
      <c r="H1345" t="s">
        <v>80</v>
      </c>
      <c r="I1345" t="s">
        <v>85</v>
      </c>
      <c r="J1345" t="s">
        <v>85</v>
      </c>
      <c r="K1345" s="1">
        <v>46068</v>
      </c>
      <c r="L1345" s="1" t="str">
        <f>IF(K1345&gt;O1345,"Valid","Invalid")</f>
        <v>Valid</v>
      </c>
      <c r="M1345" s="1" t="b">
        <f>ISNUMBER(K1345)</f>
        <v>1</v>
      </c>
      <c r="N1345" s="1" t="b">
        <f>ISNUMBER(O1345)</f>
        <v>1</v>
      </c>
      <c r="O1345" s="1">
        <v>46064</v>
      </c>
      <c r="P1345" t="s">
        <v>2330</v>
      </c>
      <c r="Q1345" t="str">
        <f>SUBSTITUTE(SUBSTITUTE(SUBSTITUTE(P1345," ",""),"-",""),"+","")</f>
        <v>912465252313</v>
      </c>
      <c r="R1345" t="str">
        <f t="shared" si="40"/>
        <v>2465252313</v>
      </c>
      <c r="S1345" t="str">
        <f>IF(LEN(R1345),"Valid","Invalid")</f>
        <v>Valid</v>
      </c>
      <c r="T1345" t="s">
        <v>2329</v>
      </c>
      <c r="V1345" t="s">
        <v>64</v>
      </c>
      <c r="X1345">
        <v>22029.63</v>
      </c>
      <c r="Y1345" t="s">
        <v>17</v>
      </c>
      <c r="Z1345">
        <v>548</v>
      </c>
      <c r="AA1345">
        <f t="shared" si="41"/>
        <v>548</v>
      </c>
      <c r="AB1345" t="s">
        <v>43</v>
      </c>
    </row>
    <row r="1346" spans="1:28" x14ac:dyDescent="0.3">
      <c r="A1346" t="s">
        <v>2328</v>
      </c>
      <c r="B1346" t="s">
        <v>2327</v>
      </c>
      <c r="C1346" t="s">
        <v>2327</v>
      </c>
      <c r="D1346" t="s">
        <v>40</v>
      </c>
      <c r="E1346">
        <v>49</v>
      </c>
      <c r="F1346">
        <v>49</v>
      </c>
      <c r="G1346" t="s">
        <v>132</v>
      </c>
      <c r="H1346" t="s">
        <v>132</v>
      </c>
      <c r="I1346" t="s">
        <v>20</v>
      </c>
      <c r="J1346" t="s">
        <v>20</v>
      </c>
      <c r="K1346" s="1">
        <v>46034</v>
      </c>
      <c r="L1346" s="1" t="str">
        <f>IF(K1346&gt;O1346,"Valid","Invalid")</f>
        <v>Valid</v>
      </c>
      <c r="M1346" s="1" t="b">
        <f>ISNUMBER(K1346)</f>
        <v>1</v>
      </c>
      <c r="N1346" s="1" t="b">
        <f>ISNUMBER(O1346)</f>
        <v>1</v>
      </c>
      <c r="O1346" s="1">
        <v>46014</v>
      </c>
      <c r="P1346" t="s">
        <v>2326</v>
      </c>
      <c r="Q1346" t="str">
        <f>SUBSTITUTE(SUBSTITUTE(SUBSTITUTE(P1346," ",""),"-",""),"+","")</f>
        <v>6969449223</v>
      </c>
      <c r="R1346" t="str">
        <f t="shared" si="40"/>
        <v>6969449223</v>
      </c>
      <c r="S1346" t="str">
        <f>IF(LEN(R1346),"Valid","Invalid")</f>
        <v>Valid</v>
      </c>
      <c r="T1346" t="s">
        <v>2325</v>
      </c>
      <c r="V1346" t="s">
        <v>123</v>
      </c>
      <c r="X1346">
        <v>10762.58</v>
      </c>
      <c r="Y1346" t="s">
        <v>26</v>
      </c>
      <c r="Z1346">
        <v>548</v>
      </c>
      <c r="AA1346">
        <f t="shared" si="41"/>
        <v>548</v>
      </c>
      <c r="AB1346" t="s">
        <v>25</v>
      </c>
    </row>
    <row r="1347" spans="1:28" x14ac:dyDescent="0.3">
      <c r="A1347" t="s">
        <v>2324</v>
      </c>
      <c r="B1347" t="s">
        <v>2323</v>
      </c>
      <c r="C1347" t="s">
        <v>2323</v>
      </c>
      <c r="E1347">
        <v>38</v>
      </c>
      <c r="F1347">
        <v>38</v>
      </c>
      <c r="G1347" t="s">
        <v>21</v>
      </c>
      <c r="H1347" t="s">
        <v>21</v>
      </c>
      <c r="I1347" t="s">
        <v>20</v>
      </c>
      <c r="J1347" t="s">
        <v>20</v>
      </c>
      <c r="K1347" s="1">
        <v>46072</v>
      </c>
      <c r="L1347" s="1" t="str">
        <f>IF(K1347&gt;O1347,"Valid","Invalid")</f>
        <v>Valid</v>
      </c>
      <c r="M1347" s="1" t="b">
        <f>ISNUMBER(K1347)</f>
        <v>1</v>
      </c>
      <c r="N1347" s="1" t="b">
        <f>ISNUMBER(O1347)</f>
        <v>1</v>
      </c>
      <c r="O1347" s="1">
        <v>46070</v>
      </c>
      <c r="P1347" t="s">
        <v>2322</v>
      </c>
      <c r="Q1347" t="str">
        <f>SUBSTITUTE(SUBSTITUTE(SUBSTITUTE(P1347," ",""),"-",""),"+","")</f>
        <v>914933081495</v>
      </c>
      <c r="R1347" t="str">
        <f t="shared" si="40"/>
        <v>4933081495</v>
      </c>
      <c r="S1347" t="str">
        <f>IF(LEN(R1347),"Valid","Invalid")</f>
        <v>Valid</v>
      </c>
      <c r="T1347" t="s">
        <v>2321</v>
      </c>
      <c r="V1347" t="s">
        <v>57</v>
      </c>
      <c r="X1347">
        <v>6184.06</v>
      </c>
      <c r="Y1347" t="s">
        <v>123</v>
      </c>
      <c r="Z1347">
        <v>528</v>
      </c>
      <c r="AA1347">
        <f t="shared" si="41"/>
        <v>528</v>
      </c>
      <c r="AB1347" t="s">
        <v>25</v>
      </c>
    </row>
    <row r="1348" spans="1:28" x14ac:dyDescent="0.3">
      <c r="A1348" t="s">
        <v>2316</v>
      </c>
      <c r="B1348" t="s">
        <v>2315</v>
      </c>
      <c r="C1348" t="s">
        <v>2315</v>
      </c>
      <c r="D1348" t="s">
        <v>60</v>
      </c>
      <c r="E1348">
        <v>54</v>
      </c>
      <c r="F1348">
        <v>54</v>
      </c>
      <c r="G1348" t="s">
        <v>132</v>
      </c>
      <c r="H1348" t="s">
        <v>132</v>
      </c>
      <c r="I1348" t="s">
        <v>67</v>
      </c>
      <c r="J1348" t="s">
        <v>67</v>
      </c>
      <c r="K1348" s="1">
        <v>46058</v>
      </c>
      <c r="L1348" s="1" t="str">
        <f>IF(K1348&gt;O1348,"Valid","Invalid")</f>
        <v>Valid</v>
      </c>
      <c r="M1348" s="1" t="b">
        <f>ISNUMBER(K1348)</f>
        <v>1</v>
      </c>
      <c r="N1348" s="1" t="b">
        <f>ISNUMBER(O1348)</f>
        <v>1</v>
      </c>
      <c r="O1348" s="1">
        <v>46056</v>
      </c>
      <c r="P1348" t="s">
        <v>2314</v>
      </c>
      <c r="Q1348" t="str">
        <f>SUBSTITUTE(SUBSTITUTE(SUBSTITUTE(P1348," ",""),"-",""),"+","")</f>
        <v>912814042697</v>
      </c>
      <c r="R1348" t="str">
        <f t="shared" si="40"/>
        <v>2814042697</v>
      </c>
      <c r="S1348" t="str">
        <f>IF(LEN(R1348),"Valid","Invalid")</f>
        <v>Valid</v>
      </c>
      <c r="T1348" t="s">
        <v>2313</v>
      </c>
      <c r="V1348" t="s">
        <v>27</v>
      </c>
      <c r="X1348">
        <v>2708.05</v>
      </c>
      <c r="Y1348" t="s">
        <v>123</v>
      </c>
      <c r="Z1348">
        <v>224</v>
      </c>
      <c r="AA1348">
        <f t="shared" si="41"/>
        <v>224</v>
      </c>
      <c r="AB1348" t="s">
        <v>34</v>
      </c>
    </row>
    <row r="1349" spans="1:28" x14ac:dyDescent="0.3">
      <c r="A1349" t="s">
        <v>2312</v>
      </c>
      <c r="B1349" t="s">
        <v>2311</v>
      </c>
      <c r="C1349" t="s">
        <v>2311</v>
      </c>
      <c r="E1349">
        <v>29</v>
      </c>
      <c r="F1349">
        <v>29</v>
      </c>
      <c r="G1349" t="s">
        <v>54</v>
      </c>
      <c r="H1349" t="s">
        <v>54</v>
      </c>
      <c r="I1349" t="s">
        <v>30</v>
      </c>
      <c r="J1349" t="s">
        <v>30</v>
      </c>
      <c r="K1349" s="1">
        <v>46109</v>
      </c>
      <c r="L1349" s="1" t="str">
        <f>IF(K1349&gt;O1349,"Valid","Invalid")</f>
        <v>Valid</v>
      </c>
      <c r="M1349" s="1" t="b">
        <f>ISNUMBER(K1349)</f>
        <v>1</v>
      </c>
      <c r="N1349" s="1" t="b">
        <f>ISNUMBER(O1349)</f>
        <v>1</v>
      </c>
      <c r="O1349" s="1">
        <v>46106</v>
      </c>
      <c r="P1349" t="s">
        <v>2310</v>
      </c>
      <c r="Q1349" t="str">
        <f>SUBSTITUTE(SUBSTITUTE(SUBSTITUTE(P1349," ",""),"-",""),"+","")</f>
        <v>03674179423</v>
      </c>
      <c r="R1349" t="str">
        <f t="shared" ref="R1349:R1412" si="42">RIGHT(Q1349,10)</f>
        <v>3674179423</v>
      </c>
      <c r="S1349" t="str">
        <f>IF(LEN(R1349),"Valid","Invalid")</f>
        <v>Valid</v>
      </c>
      <c r="T1349" t="s">
        <v>2309</v>
      </c>
      <c r="V1349" t="s">
        <v>123</v>
      </c>
      <c r="X1349">
        <v>14104.63</v>
      </c>
      <c r="Y1349" t="s">
        <v>123</v>
      </c>
      <c r="Z1349">
        <v>410</v>
      </c>
      <c r="AA1349">
        <f t="shared" ref="AA1349:AA1412" si="43">IF(Z1349="Room-x",0,Z1349)</f>
        <v>410</v>
      </c>
      <c r="AB1349" t="s">
        <v>34</v>
      </c>
    </row>
    <row r="1350" spans="1:28" x14ac:dyDescent="0.3">
      <c r="A1350" t="s">
        <v>2308</v>
      </c>
      <c r="B1350" t="s">
        <v>2307</v>
      </c>
      <c r="C1350" t="s">
        <v>2307</v>
      </c>
      <c r="D1350" t="s">
        <v>123</v>
      </c>
      <c r="E1350">
        <v>6</v>
      </c>
      <c r="F1350">
        <v>6</v>
      </c>
      <c r="G1350" t="s">
        <v>80</v>
      </c>
      <c r="H1350" t="s">
        <v>80</v>
      </c>
      <c r="I1350" t="s">
        <v>20</v>
      </c>
      <c r="J1350" t="s">
        <v>20</v>
      </c>
      <c r="K1350" s="1">
        <v>46050</v>
      </c>
      <c r="L1350" s="1" t="str">
        <f>IF(K1350&gt;O1350,"Valid","Invalid")</f>
        <v>Valid</v>
      </c>
      <c r="M1350" s="1" t="b">
        <f>ISNUMBER(K1350)</f>
        <v>1</v>
      </c>
      <c r="N1350" s="1" t="b">
        <f>ISNUMBER(O1350)</f>
        <v>1</v>
      </c>
      <c r="O1350" s="1">
        <v>46032</v>
      </c>
      <c r="P1350" t="s">
        <v>2306</v>
      </c>
      <c r="Q1350" t="str">
        <f>SUBSTITUTE(SUBSTITUTE(SUBSTITUTE(P1350," ",""),"-",""),"+","")</f>
        <v>04436419438</v>
      </c>
      <c r="R1350" t="str">
        <f t="shared" si="42"/>
        <v>4436419438</v>
      </c>
      <c r="S1350" t="str">
        <f>IF(LEN(R1350),"Valid","Invalid")</f>
        <v>Valid</v>
      </c>
      <c r="T1350" t="s">
        <v>2305</v>
      </c>
      <c r="V1350" t="s">
        <v>64</v>
      </c>
      <c r="X1350">
        <v>3113.34</v>
      </c>
      <c r="Y1350" t="s">
        <v>57</v>
      </c>
      <c r="Z1350">
        <v>284</v>
      </c>
      <c r="AA1350">
        <f t="shared" si="43"/>
        <v>284</v>
      </c>
      <c r="AB1350" t="s">
        <v>34</v>
      </c>
    </row>
    <row r="1351" spans="1:28" x14ac:dyDescent="0.3">
      <c r="A1351" t="s">
        <v>2304</v>
      </c>
      <c r="B1351" t="s">
        <v>2303</v>
      </c>
      <c r="C1351" t="s">
        <v>2303</v>
      </c>
      <c r="D1351" t="s">
        <v>123</v>
      </c>
      <c r="E1351">
        <v>51</v>
      </c>
      <c r="F1351">
        <v>51</v>
      </c>
      <c r="G1351" t="s">
        <v>47</v>
      </c>
      <c r="H1351" t="s">
        <v>47</v>
      </c>
      <c r="I1351" t="s">
        <v>67</v>
      </c>
      <c r="J1351" t="s">
        <v>67</v>
      </c>
      <c r="K1351" s="1">
        <v>46081</v>
      </c>
      <c r="L1351" s="1" t="str">
        <f>IF(K1351&gt;O1351,"Valid","Invalid")</f>
        <v>Valid</v>
      </c>
      <c r="M1351" s="1" t="b">
        <f>ISNUMBER(K1351)</f>
        <v>1</v>
      </c>
      <c r="N1351" s="1" t="b">
        <f>ISNUMBER(O1351)</f>
        <v>1</v>
      </c>
      <c r="O1351" s="1">
        <v>46061</v>
      </c>
      <c r="P1351" t="s">
        <v>2302</v>
      </c>
      <c r="Q1351" t="str">
        <f>SUBSTITUTE(SUBSTITUTE(SUBSTITUTE(P1351," ",""),"-",""),"+","")</f>
        <v>03484308152</v>
      </c>
      <c r="R1351" t="str">
        <f t="shared" si="42"/>
        <v>3484308152</v>
      </c>
      <c r="S1351" t="str">
        <f>IF(LEN(R1351),"Valid","Invalid")</f>
        <v>Valid</v>
      </c>
      <c r="T1351" t="s">
        <v>2301</v>
      </c>
      <c r="V1351" t="s">
        <v>123</v>
      </c>
      <c r="X1351">
        <v>21335.38</v>
      </c>
      <c r="Y1351" t="s">
        <v>27</v>
      </c>
      <c r="Z1351">
        <v>304</v>
      </c>
      <c r="AA1351">
        <f t="shared" si="43"/>
        <v>304</v>
      </c>
      <c r="AB1351" t="s">
        <v>50</v>
      </c>
    </row>
    <row r="1352" spans="1:28" x14ac:dyDescent="0.3">
      <c r="A1352" t="s">
        <v>2300</v>
      </c>
      <c r="B1352" t="s">
        <v>2299</v>
      </c>
      <c r="C1352" t="s">
        <v>2299</v>
      </c>
      <c r="D1352" t="s">
        <v>123</v>
      </c>
      <c r="E1352">
        <v>86</v>
      </c>
      <c r="F1352">
        <v>86</v>
      </c>
      <c r="G1352" t="s">
        <v>47</v>
      </c>
      <c r="H1352" t="s">
        <v>47</v>
      </c>
      <c r="I1352" t="s">
        <v>38</v>
      </c>
      <c r="J1352" t="s">
        <v>8077</v>
      </c>
      <c r="K1352" s="1">
        <v>46124</v>
      </c>
      <c r="L1352" s="1" t="str">
        <f>IF(K1352&gt;O1352,"Valid","Invalid")</f>
        <v>Valid</v>
      </c>
      <c r="M1352" s="1" t="b">
        <f>ISNUMBER(K1352)</f>
        <v>1</v>
      </c>
      <c r="N1352" s="1" t="b">
        <f>ISNUMBER(O1352)</f>
        <v>1</v>
      </c>
      <c r="O1352" s="1">
        <v>46106</v>
      </c>
      <c r="P1352" t="s">
        <v>2298</v>
      </c>
      <c r="Q1352" t="str">
        <f>SUBSTITUTE(SUBSTITUTE(SUBSTITUTE(P1352," ",""),"-",""),"+","")</f>
        <v>01114985962</v>
      </c>
      <c r="R1352" t="str">
        <f t="shared" si="42"/>
        <v>1114985962</v>
      </c>
      <c r="S1352" t="str">
        <f>IF(LEN(R1352),"Valid","Invalid")</f>
        <v>Valid</v>
      </c>
      <c r="T1352" t="s">
        <v>2297</v>
      </c>
      <c r="V1352" t="s">
        <v>35</v>
      </c>
      <c r="X1352">
        <v>798.78</v>
      </c>
      <c r="Y1352" t="s">
        <v>17</v>
      </c>
      <c r="Z1352">
        <v>150</v>
      </c>
      <c r="AA1352">
        <f t="shared" si="43"/>
        <v>150</v>
      </c>
      <c r="AB1352" t="s">
        <v>43</v>
      </c>
    </row>
    <row r="1353" spans="1:28" x14ac:dyDescent="0.3">
      <c r="A1353" t="s">
        <v>2296</v>
      </c>
      <c r="B1353" t="s">
        <v>2295</v>
      </c>
      <c r="C1353" t="s">
        <v>2295</v>
      </c>
      <c r="D1353" t="s">
        <v>123</v>
      </c>
      <c r="E1353">
        <v>4</v>
      </c>
      <c r="F1353">
        <v>4</v>
      </c>
      <c r="G1353" t="s">
        <v>68</v>
      </c>
      <c r="H1353" t="s">
        <v>68</v>
      </c>
      <c r="I1353" t="s">
        <v>30</v>
      </c>
      <c r="J1353" t="s">
        <v>30</v>
      </c>
      <c r="K1353" s="1">
        <v>46060</v>
      </c>
      <c r="L1353" s="1" t="str">
        <f>IF(K1353&gt;O1353,"Valid","Invalid")</f>
        <v>Valid</v>
      </c>
      <c r="M1353" s="1" t="b">
        <f>ISNUMBER(K1353)</f>
        <v>1</v>
      </c>
      <c r="N1353" s="1" t="b">
        <f>ISNUMBER(O1353)</f>
        <v>1</v>
      </c>
      <c r="O1353" s="1">
        <v>46049</v>
      </c>
      <c r="P1353" t="s">
        <v>2294</v>
      </c>
      <c r="Q1353" t="str">
        <f>SUBSTITUTE(SUBSTITUTE(SUBSTITUTE(P1353," ",""),"-",""),"+","")</f>
        <v>2794273618</v>
      </c>
      <c r="R1353" t="str">
        <f t="shared" si="42"/>
        <v>2794273618</v>
      </c>
      <c r="S1353" t="str">
        <f>IF(LEN(R1353),"Valid","Invalid")</f>
        <v>Valid</v>
      </c>
      <c r="T1353" t="s">
        <v>2293</v>
      </c>
      <c r="V1353" t="s">
        <v>57</v>
      </c>
      <c r="X1353">
        <v>8938.99</v>
      </c>
      <c r="Y1353" t="s">
        <v>57</v>
      </c>
      <c r="Z1353">
        <v>241</v>
      </c>
      <c r="AA1353">
        <f t="shared" si="43"/>
        <v>241</v>
      </c>
      <c r="AB1353" t="s">
        <v>16</v>
      </c>
    </row>
    <row r="1354" spans="1:28" x14ac:dyDescent="0.3">
      <c r="A1354" t="s">
        <v>2292</v>
      </c>
      <c r="B1354" t="s">
        <v>2291</v>
      </c>
      <c r="C1354" t="s">
        <v>2291</v>
      </c>
      <c r="D1354" t="s">
        <v>40</v>
      </c>
      <c r="E1354">
        <v>42</v>
      </c>
      <c r="F1354">
        <v>42</v>
      </c>
      <c r="G1354" t="s">
        <v>68</v>
      </c>
      <c r="H1354" t="s">
        <v>68</v>
      </c>
      <c r="I1354" t="s">
        <v>30</v>
      </c>
      <c r="J1354" t="s">
        <v>30</v>
      </c>
      <c r="K1354" s="1">
        <v>46109</v>
      </c>
      <c r="L1354" s="1" t="str">
        <f>IF(K1354&gt;O1354,"Valid","Invalid")</f>
        <v>Valid</v>
      </c>
      <c r="M1354" s="1" t="b">
        <f>ISNUMBER(K1354)</f>
        <v>1</v>
      </c>
      <c r="N1354" s="1" t="b">
        <f>ISNUMBER(O1354)</f>
        <v>1</v>
      </c>
      <c r="O1354" s="1">
        <v>46085</v>
      </c>
      <c r="P1354" t="s">
        <v>2290</v>
      </c>
      <c r="Q1354" t="str">
        <f>SUBSTITUTE(SUBSTITUTE(SUBSTITUTE(P1354," ",""),"-",""),"+","")</f>
        <v>6504151723</v>
      </c>
      <c r="R1354" t="str">
        <f t="shared" si="42"/>
        <v>6504151723</v>
      </c>
      <c r="S1354" t="str">
        <f>IF(LEN(R1354),"Valid","Invalid")</f>
        <v>Valid</v>
      </c>
      <c r="T1354" t="s">
        <v>2289</v>
      </c>
      <c r="V1354" t="s">
        <v>35</v>
      </c>
      <c r="X1354">
        <v>5392.65</v>
      </c>
      <c r="Y1354" t="s">
        <v>17</v>
      </c>
      <c r="Z1354">
        <v>479</v>
      </c>
      <c r="AA1354">
        <f t="shared" si="43"/>
        <v>479</v>
      </c>
      <c r="AB1354" t="s">
        <v>16</v>
      </c>
    </row>
    <row r="1355" spans="1:28" x14ac:dyDescent="0.3">
      <c r="A1355" t="s">
        <v>2288</v>
      </c>
      <c r="B1355" t="s">
        <v>2287</v>
      </c>
      <c r="C1355" t="s">
        <v>2287</v>
      </c>
      <c r="D1355" t="s">
        <v>60</v>
      </c>
      <c r="E1355">
        <v>23</v>
      </c>
      <c r="F1355">
        <v>23</v>
      </c>
      <c r="G1355" t="s">
        <v>68</v>
      </c>
      <c r="H1355" t="s">
        <v>68</v>
      </c>
      <c r="I1355" t="s">
        <v>20</v>
      </c>
      <c r="J1355" t="s">
        <v>20</v>
      </c>
      <c r="K1355" s="1">
        <v>46104</v>
      </c>
      <c r="L1355" s="1" t="str">
        <f>IF(K1355&gt;O1355,"Valid","Invalid")</f>
        <v>Valid</v>
      </c>
      <c r="M1355" s="1" t="b">
        <f>ISNUMBER(K1355)</f>
        <v>1</v>
      </c>
      <c r="N1355" s="1" t="b">
        <f>ISNUMBER(O1355)</f>
        <v>1</v>
      </c>
      <c r="O1355" s="1">
        <v>46094</v>
      </c>
      <c r="P1355" t="s">
        <v>2286</v>
      </c>
      <c r="Q1355" t="str">
        <f>SUBSTITUTE(SUBSTITUTE(SUBSTITUTE(P1355," ",""),"-",""),"+","")</f>
        <v>3575733948</v>
      </c>
      <c r="R1355" t="str">
        <f t="shared" si="42"/>
        <v>3575733948</v>
      </c>
      <c r="S1355" t="str">
        <f>IF(LEN(R1355),"Valid","Invalid")</f>
        <v>Valid</v>
      </c>
      <c r="T1355" t="s">
        <v>2285</v>
      </c>
      <c r="V1355" t="s">
        <v>57</v>
      </c>
      <c r="X1355">
        <v>15486.79</v>
      </c>
      <c r="Y1355" t="s">
        <v>57</v>
      </c>
      <c r="Z1355">
        <v>262</v>
      </c>
      <c r="AA1355">
        <f t="shared" si="43"/>
        <v>262</v>
      </c>
      <c r="AB1355" t="s">
        <v>50</v>
      </c>
    </row>
    <row r="1356" spans="1:28" x14ac:dyDescent="0.3">
      <c r="A1356" t="s">
        <v>2284</v>
      </c>
      <c r="B1356" t="s">
        <v>2283</v>
      </c>
      <c r="C1356" t="s">
        <v>2283</v>
      </c>
      <c r="D1356" t="s">
        <v>22</v>
      </c>
      <c r="E1356">
        <v>13</v>
      </c>
      <c r="F1356">
        <v>13</v>
      </c>
      <c r="G1356" t="s">
        <v>80</v>
      </c>
      <c r="H1356" t="s">
        <v>80</v>
      </c>
      <c r="I1356" t="s">
        <v>90</v>
      </c>
      <c r="J1356" t="s">
        <v>67</v>
      </c>
      <c r="K1356" s="1">
        <v>46024</v>
      </c>
      <c r="L1356" s="1" t="str">
        <f>IF(K1356&gt;O1356,"Valid","Invalid")</f>
        <v>Valid</v>
      </c>
      <c r="M1356" s="1" t="b">
        <f>ISNUMBER(K1356)</f>
        <v>1</v>
      </c>
      <c r="N1356" s="1" t="b">
        <f>ISNUMBER(O1356)</f>
        <v>1</v>
      </c>
      <c r="O1356" s="1">
        <v>46014</v>
      </c>
      <c r="P1356" t="s">
        <v>2282</v>
      </c>
      <c r="Q1356" t="str">
        <f>SUBSTITUTE(SUBSTITUTE(SUBSTITUTE(P1356," ",""),"-",""),"+","")</f>
        <v>2299111904</v>
      </c>
      <c r="R1356" t="str">
        <f t="shared" si="42"/>
        <v>2299111904</v>
      </c>
      <c r="S1356" t="str">
        <f>IF(LEN(R1356),"Valid","Invalid")</f>
        <v>Valid</v>
      </c>
      <c r="T1356" t="s">
        <v>2281</v>
      </c>
      <c r="V1356" t="s">
        <v>123</v>
      </c>
      <c r="X1356">
        <v>16058.98</v>
      </c>
      <c r="Y1356" t="s">
        <v>123</v>
      </c>
      <c r="Z1356">
        <v>203</v>
      </c>
      <c r="AA1356">
        <f t="shared" si="43"/>
        <v>203</v>
      </c>
      <c r="AB1356" t="s">
        <v>43</v>
      </c>
    </row>
    <row r="1357" spans="1:28" x14ac:dyDescent="0.3">
      <c r="A1357" t="s">
        <v>2280</v>
      </c>
      <c r="B1357" t="s">
        <v>2279</v>
      </c>
      <c r="C1357" t="s">
        <v>8066</v>
      </c>
      <c r="E1357">
        <v>45</v>
      </c>
      <c r="F1357">
        <v>45</v>
      </c>
      <c r="G1357" t="s">
        <v>2278</v>
      </c>
      <c r="H1357" t="s">
        <v>2278</v>
      </c>
      <c r="I1357" t="s">
        <v>85</v>
      </c>
      <c r="J1357" t="s">
        <v>85</v>
      </c>
      <c r="K1357" s="1">
        <v>46068</v>
      </c>
      <c r="L1357" s="1" t="str">
        <f>IF(K1357&gt;O1357,"Valid","Invalid")</f>
        <v>Valid</v>
      </c>
      <c r="M1357" s="1" t="b">
        <f>ISNUMBER(K1357)</f>
        <v>1</v>
      </c>
      <c r="N1357" s="1" t="b">
        <f>ISNUMBER(O1357)</f>
        <v>1</v>
      </c>
      <c r="O1357" s="1">
        <v>46040</v>
      </c>
      <c r="P1357" t="s">
        <v>2277</v>
      </c>
      <c r="Q1357" t="str">
        <f>SUBSTITUTE(SUBSTITUTE(SUBSTITUTE(P1357," ",""),"-",""),"+","")</f>
        <v>09997891454</v>
      </c>
      <c r="R1357" t="str">
        <f t="shared" si="42"/>
        <v>9997891454</v>
      </c>
      <c r="S1357" t="str">
        <f>IF(LEN(R1357),"Valid","Invalid")</f>
        <v>Valid</v>
      </c>
      <c r="T1357" t="s">
        <v>123</v>
      </c>
      <c r="V1357" t="s">
        <v>57</v>
      </c>
      <c r="X1357">
        <v>-500</v>
      </c>
      <c r="Y1357" t="s">
        <v>26</v>
      </c>
      <c r="Z1357">
        <v>265</v>
      </c>
      <c r="AA1357">
        <f t="shared" si="43"/>
        <v>265</v>
      </c>
      <c r="AB1357" t="s">
        <v>77</v>
      </c>
    </row>
    <row r="1358" spans="1:28" x14ac:dyDescent="0.3">
      <c r="A1358" t="s">
        <v>2276</v>
      </c>
      <c r="B1358" t="s">
        <v>2275</v>
      </c>
      <c r="C1358" t="s">
        <v>2275</v>
      </c>
      <c r="D1358" t="s">
        <v>74</v>
      </c>
      <c r="E1358">
        <v>25</v>
      </c>
      <c r="F1358">
        <v>25</v>
      </c>
      <c r="G1358" t="s">
        <v>132</v>
      </c>
      <c r="H1358" t="s">
        <v>132</v>
      </c>
      <c r="I1358" t="s">
        <v>30</v>
      </c>
      <c r="J1358" t="s">
        <v>30</v>
      </c>
      <c r="K1358" s="1">
        <v>46103</v>
      </c>
      <c r="L1358" s="1" t="str">
        <f>IF(K1358&gt;O1358,"Valid","Invalid")</f>
        <v>Valid</v>
      </c>
      <c r="M1358" s="1" t="b">
        <f>ISNUMBER(K1358)</f>
        <v>1</v>
      </c>
      <c r="N1358" s="1" t="b">
        <f>ISNUMBER(O1358)</f>
        <v>1</v>
      </c>
      <c r="O1358" s="1">
        <v>46079</v>
      </c>
      <c r="P1358" t="s">
        <v>2274</v>
      </c>
      <c r="Q1358" t="str">
        <f>SUBSTITUTE(SUBSTITUTE(SUBSTITUTE(P1358," ",""),"-",""),"+","")</f>
        <v>915950877303</v>
      </c>
      <c r="R1358" t="str">
        <f t="shared" si="42"/>
        <v>5950877303</v>
      </c>
      <c r="S1358" t="str">
        <f>IF(LEN(R1358),"Valid","Invalid")</f>
        <v>Valid</v>
      </c>
      <c r="T1358" t="s">
        <v>2273</v>
      </c>
      <c r="V1358" t="s">
        <v>35</v>
      </c>
      <c r="X1358">
        <v>10069.69</v>
      </c>
      <c r="Y1358" t="s">
        <v>64</v>
      </c>
      <c r="Z1358">
        <v>201</v>
      </c>
      <c r="AA1358">
        <f t="shared" si="43"/>
        <v>201</v>
      </c>
      <c r="AB1358" t="s">
        <v>77</v>
      </c>
    </row>
    <row r="1359" spans="1:28" x14ac:dyDescent="0.3">
      <c r="A1359" t="s">
        <v>2272</v>
      </c>
      <c r="B1359" t="s">
        <v>2271</v>
      </c>
      <c r="C1359" t="s">
        <v>2271</v>
      </c>
      <c r="D1359" t="s">
        <v>74</v>
      </c>
      <c r="E1359">
        <v>77</v>
      </c>
      <c r="F1359">
        <v>77</v>
      </c>
      <c r="G1359" t="s">
        <v>54</v>
      </c>
      <c r="H1359" t="s">
        <v>54</v>
      </c>
      <c r="I1359" t="s">
        <v>30</v>
      </c>
      <c r="J1359" t="s">
        <v>30</v>
      </c>
      <c r="K1359" s="1">
        <v>46080</v>
      </c>
      <c r="L1359" s="1" t="str">
        <f>IF(K1359&gt;O1359,"Valid","Invalid")</f>
        <v>Valid</v>
      </c>
      <c r="M1359" s="1" t="b">
        <f>ISNUMBER(K1359)</f>
        <v>1</v>
      </c>
      <c r="N1359" s="1" t="b">
        <f>ISNUMBER(O1359)</f>
        <v>1</v>
      </c>
      <c r="O1359" s="1">
        <v>46076</v>
      </c>
      <c r="P1359" t="s">
        <v>2270</v>
      </c>
      <c r="Q1359" t="str">
        <f>SUBSTITUTE(SUBSTITUTE(SUBSTITUTE(P1359," ",""),"-",""),"+","")</f>
        <v>03787726104</v>
      </c>
      <c r="R1359" t="str">
        <f t="shared" si="42"/>
        <v>3787726104</v>
      </c>
      <c r="S1359" t="str">
        <f>IF(LEN(R1359),"Valid","Invalid")</f>
        <v>Valid</v>
      </c>
      <c r="T1359" t="s">
        <v>2269</v>
      </c>
      <c r="V1359" t="s">
        <v>57</v>
      </c>
      <c r="X1359">
        <v>13414.13</v>
      </c>
      <c r="Y1359" t="s">
        <v>123</v>
      </c>
      <c r="Z1359">
        <v>168</v>
      </c>
      <c r="AA1359">
        <f t="shared" si="43"/>
        <v>168</v>
      </c>
      <c r="AB1359" t="s">
        <v>16</v>
      </c>
    </row>
    <row r="1360" spans="1:28" x14ac:dyDescent="0.3">
      <c r="A1360" t="s">
        <v>2268</v>
      </c>
      <c r="B1360" t="s">
        <v>2267</v>
      </c>
      <c r="C1360" t="s">
        <v>2267</v>
      </c>
      <c r="D1360" t="s">
        <v>74</v>
      </c>
      <c r="E1360">
        <v>38</v>
      </c>
      <c r="F1360">
        <v>38</v>
      </c>
      <c r="G1360" t="s">
        <v>80</v>
      </c>
      <c r="H1360" t="s">
        <v>80</v>
      </c>
      <c r="I1360" t="s">
        <v>67</v>
      </c>
      <c r="J1360" t="s">
        <v>67</v>
      </c>
      <c r="K1360" s="1">
        <v>46084</v>
      </c>
      <c r="L1360" s="1" t="str">
        <f>IF(K1360&gt;O1360,"Valid","Invalid")</f>
        <v>Valid</v>
      </c>
      <c r="M1360" s="1" t="b">
        <f>ISNUMBER(K1360)</f>
        <v>1</v>
      </c>
      <c r="N1360" s="1" t="b">
        <f>ISNUMBER(O1360)</f>
        <v>1</v>
      </c>
      <c r="O1360" s="1">
        <v>46077</v>
      </c>
      <c r="P1360" t="s">
        <v>2266</v>
      </c>
      <c r="Q1360" t="str">
        <f>SUBSTITUTE(SUBSTITUTE(SUBSTITUTE(P1360," ",""),"-",""),"+","")</f>
        <v>2317725512</v>
      </c>
      <c r="R1360" t="str">
        <f t="shared" si="42"/>
        <v>2317725512</v>
      </c>
      <c r="S1360" t="str">
        <f>IF(LEN(R1360),"Valid","Invalid")</f>
        <v>Valid</v>
      </c>
      <c r="T1360" t="s">
        <v>2265</v>
      </c>
      <c r="V1360" t="s">
        <v>123</v>
      </c>
      <c r="X1360">
        <v>20688.12</v>
      </c>
      <c r="Y1360" t="s">
        <v>57</v>
      </c>
      <c r="Z1360">
        <v>380</v>
      </c>
      <c r="AA1360">
        <f t="shared" si="43"/>
        <v>380</v>
      </c>
      <c r="AB1360" t="s">
        <v>71</v>
      </c>
    </row>
    <row r="1361" spans="1:28" x14ac:dyDescent="0.3">
      <c r="A1361" t="s">
        <v>2264</v>
      </c>
      <c r="B1361" t="s">
        <v>2263</v>
      </c>
      <c r="C1361" t="s">
        <v>2263</v>
      </c>
      <c r="D1361" t="s">
        <v>22</v>
      </c>
      <c r="E1361">
        <v>4</v>
      </c>
      <c r="F1361">
        <v>4</v>
      </c>
      <c r="G1361" t="s">
        <v>68</v>
      </c>
      <c r="H1361" t="s">
        <v>68</v>
      </c>
      <c r="I1361" t="s">
        <v>38</v>
      </c>
      <c r="J1361" t="s">
        <v>8077</v>
      </c>
      <c r="K1361" s="1">
        <v>46075</v>
      </c>
      <c r="L1361" s="1" t="str">
        <f>IF(K1361&gt;O1361,"Valid","Invalid")</f>
        <v>Valid</v>
      </c>
      <c r="M1361" s="1" t="b">
        <f>ISNUMBER(K1361)</f>
        <v>1</v>
      </c>
      <c r="N1361" s="1" t="b">
        <f>ISNUMBER(O1361)</f>
        <v>1</v>
      </c>
      <c r="O1361" s="1">
        <v>46049</v>
      </c>
      <c r="P1361" t="s">
        <v>2262</v>
      </c>
      <c r="Q1361" t="str">
        <f>SUBSTITUTE(SUBSTITUTE(SUBSTITUTE(P1361," ",""),"-",""),"+","")</f>
        <v>914060758005</v>
      </c>
      <c r="R1361" t="str">
        <f t="shared" si="42"/>
        <v>4060758005</v>
      </c>
      <c r="S1361" t="str">
        <f>IF(LEN(R1361),"Valid","Invalid")</f>
        <v>Valid</v>
      </c>
      <c r="T1361" t="s">
        <v>2261</v>
      </c>
      <c r="V1361" t="s">
        <v>17</v>
      </c>
      <c r="X1361">
        <v>6284.72</v>
      </c>
      <c r="Y1361" t="s">
        <v>57</v>
      </c>
      <c r="Z1361">
        <v>325</v>
      </c>
      <c r="AA1361">
        <f t="shared" si="43"/>
        <v>325</v>
      </c>
      <c r="AB1361" t="s">
        <v>25</v>
      </c>
    </row>
    <row r="1362" spans="1:28" x14ac:dyDescent="0.3">
      <c r="A1362" t="s">
        <v>2260</v>
      </c>
      <c r="B1362" t="s">
        <v>2259</v>
      </c>
      <c r="C1362" t="s">
        <v>2259</v>
      </c>
      <c r="D1362" t="s">
        <v>1</v>
      </c>
      <c r="E1362">
        <v>19</v>
      </c>
      <c r="F1362">
        <v>19</v>
      </c>
      <c r="G1362" t="s">
        <v>47</v>
      </c>
      <c r="H1362" t="s">
        <v>47</v>
      </c>
      <c r="I1362" t="s">
        <v>30</v>
      </c>
      <c r="J1362" t="s">
        <v>30</v>
      </c>
      <c r="K1362" s="1">
        <v>46023</v>
      </c>
      <c r="L1362" s="1" t="str">
        <f>IF(K1362&gt;O1362,"Valid","Invalid")</f>
        <v>Valid</v>
      </c>
      <c r="M1362" s="1" t="b">
        <f>ISNUMBER(K1362)</f>
        <v>1</v>
      </c>
      <c r="N1362" s="1" t="b">
        <f>ISNUMBER(O1362)</f>
        <v>1</v>
      </c>
      <c r="O1362" s="1">
        <v>46016</v>
      </c>
      <c r="P1362" t="s">
        <v>2258</v>
      </c>
      <c r="Q1362" t="str">
        <f>SUBSTITUTE(SUBSTITUTE(SUBSTITUTE(P1362," ",""),"-",""),"+","")</f>
        <v>917280321816</v>
      </c>
      <c r="R1362" t="str">
        <f t="shared" si="42"/>
        <v>7280321816</v>
      </c>
      <c r="S1362" t="str">
        <f>IF(LEN(R1362),"Valid","Invalid")</f>
        <v>Valid</v>
      </c>
      <c r="T1362" t="s">
        <v>2257</v>
      </c>
      <c r="V1362" t="s">
        <v>27</v>
      </c>
      <c r="X1362">
        <v>21466.78</v>
      </c>
      <c r="Y1362" t="s">
        <v>123</v>
      </c>
      <c r="Z1362">
        <v>529</v>
      </c>
      <c r="AA1362">
        <f t="shared" si="43"/>
        <v>529</v>
      </c>
      <c r="AB1362" t="s">
        <v>16</v>
      </c>
    </row>
    <row r="1363" spans="1:28" x14ac:dyDescent="0.3">
      <c r="A1363" t="s">
        <v>2256</v>
      </c>
      <c r="B1363" t="s">
        <v>2255</v>
      </c>
      <c r="C1363" t="s">
        <v>2255</v>
      </c>
      <c r="D1363" t="s">
        <v>123</v>
      </c>
      <c r="E1363">
        <v>72</v>
      </c>
      <c r="F1363">
        <v>72</v>
      </c>
      <c r="G1363" t="s">
        <v>21</v>
      </c>
      <c r="H1363" t="s">
        <v>21</v>
      </c>
      <c r="I1363" t="s">
        <v>90</v>
      </c>
      <c r="J1363" t="s">
        <v>67</v>
      </c>
      <c r="K1363" s="1">
        <v>45997</v>
      </c>
      <c r="L1363" s="1" t="str">
        <f>IF(K1363&gt;O1363,"Valid","Invalid")</f>
        <v>Valid</v>
      </c>
      <c r="M1363" s="1" t="b">
        <f>ISNUMBER(K1363)</f>
        <v>1</v>
      </c>
      <c r="N1363" s="1" t="b">
        <f>ISNUMBER(O1363)</f>
        <v>1</v>
      </c>
      <c r="O1363" s="1">
        <v>45992</v>
      </c>
      <c r="P1363" t="s">
        <v>2254</v>
      </c>
      <c r="Q1363" t="str">
        <f>SUBSTITUTE(SUBSTITUTE(SUBSTITUTE(P1363," ",""),"-",""),"+","")</f>
        <v>7819854296</v>
      </c>
      <c r="R1363" t="str">
        <f t="shared" si="42"/>
        <v>7819854296</v>
      </c>
      <c r="S1363" t="str">
        <f>IF(LEN(R1363),"Valid","Invalid")</f>
        <v>Valid</v>
      </c>
      <c r="T1363" t="s">
        <v>2253</v>
      </c>
      <c r="V1363" t="s">
        <v>123</v>
      </c>
      <c r="X1363">
        <v>15755.93</v>
      </c>
      <c r="Y1363" t="s">
        <v>123</v>
      </c>
      <c r="Z1363">
        <v>482</v>
      </c>
      <c r="AA1363">
        <f t="shared" si="43"/>
        <v>482</v>
      </c>
      <c r="AB1363" t="s">
        <v>43</v>
      </c>
    </row>
    <row r="1364" spans="1:28" x14ac:dyDescent="0.3">
      <c r="A1364" t="s">
        <v>2252</v>
      </c>
      <c r="B1364" t="s">
        <v>2251</v>
      </c>
      <c r="C1364" t="s">
        <v>2251</v>
      </c>
      <c r="D1364" t="s">
        <v>60</v>
      </c>
      <c r="E1364">
        <v>34</v>
      </c>
      <c r="F1364">
        <v>34</v>
      </c>
      <c r="G1364" t="s">
        <v>54</v>
      </c>
      <c r="H1364" t="s">
        <v>54</v>
      </c>
      <c r="I1364" t="s">
        <v>67</v>
      </c>
      <c r="J1364" t="s">
        <v>67</v>
      </c>
      <c r="K1364" s="1">
        <v>46013</v>
      </c>
      <c r="L1364" s="1" t="str">
        <f>IF(K1364&gt;O1364,"Valid","Invalid")</f>
        <v>Valid</v>
      </c>
      <c r="M1364" s="1" t="b">
        <f>ISNUMBER(K1364)</f>
        <v>1</v>
      </c>
      <c r="N1364" s="1" t="b">
        <f>ISNUMBER(O1364)</f>
        <v>1</v>
      </c>
      <c r="O1364" s="1">
        <v>46002</v>
      </c>
      <c r="P1364" t="s">
        <v>2250</v>
      </c>
      <c r="Q1364" t="str">
        <f>SUBSTITUTE(SUBSTITUTE(SUBSTITUTE(P1364," ",""),"-",""),"+","")</f>
        <v>03798453215</v>
      </c>
      <c r="R1364" t="str">
        <f t="shared" si="42"/>
        <v>3798453215</v>
      </c>
      <c r="S1364" t="str">
        <f>IF(LEN(R1364),"Valid","Invalid")</f>
        <v>Valid</v>
      </c>
      <c r="T1364" t="s">
        <v>2249</v>
      </c>
      <c r="V1364" t="s">
        <v>17</v>
      </c>
      <c r="X1364">
        <v>8139.84</v>
      </c>
      <c r="Y1364" t="s">
        <v>17</v>
      </c>
      <c r="Z1364">
        <v>139</v>
      </c>
      <c r="AA1364">
        <f t="shared" si="43"/>
        <v>139</v>
      </c>
      <c r="AB1364" t="s">
        <v>25</v>
      </c>
    </row>
    <row r="1365" spans="1:28" x14ac:dyDescent="0.3">
      <c r="A1365" t="s">
        <v>2248</v>
      </c>
      <c r="B1365" t="s">
        <v>2247</v>
      </c>
      <c r="C1365" t="s">
        <v>2247</v>
      </c>
      <c r="D1365" t="s">
        <v>0</v>
      </c>
      <c r="E1365">
        <v>42</v>
      </c>
      <c r="F1365">
        <v>42</v>
      </c>
      <c r="G1365" t="s">
        <v>21</v>
      </c>
      <c r="H1365" t="s">
        <v>21</v>
      </c>
      <c r="I1365" t="s">
        <v>53</v>
      </c>
      <c r="J1365" t="s">
        <v>20</v>
      </c>
      <c r="K1365" s="1">
        <v>46143</v>
      </c>
      <c r="L1365" s="1" t="str">
        <f>IF(K1365&gt;O1365,"Valid","Invalid")</f>
        <v>Valid</v>
      </c>
      <c r="M1365" s="1" t="b">
        <f>ISNUMBER(K1365)</f>
        <v>1</v>
      </c>
      <c r="N1365" s="1" t="b">
        <f>ISNUMBER(O1365)</f>
        <v>1</v>
      </c>
      <c r="O1365" s="1">
        <v>46140</v>
      </c>
      <c r="P1365" t="s">
        <v>2246</v>
      </c>
      <c r="Q1365" t="str">
        <f>SUBSTITUTE(SUBSTITUTE(SUBSTITUTE(P1365," ",""),"-",""),"+","")</f>
        <v>3273914486</v>
      </c>
      <c r="R1365" t="str">
        <f t="shared" si="42"/>
        <v>3273914486</v>
      </c>
      <c r="S1365" t="str">
        <f>IF(LEN(R1365),"Valid","Invalid")</f>
        <v>Valid</v>
      </c>
      <c r="T1365" t="s">
        <v>2245</v>
      </c>
      <c r="V1365" t="s">
        <v>123</v>
      </c>
      <c r="X1365">
        <v>13476.93</v>
      </c>
      <c r="Y1365" t="s">
        <v>64</v>
      </c>
      <c r="Z1365">
        <v>513</v>
      </c>
      <c r="AA1365">
        <f t="shared" si="43"/>
        <v>513</v>
      </c>
      <c r="AB1365" t="s">
        <v>50</v>
      </c>
    </row>
    <row r="1366" spans="1:28" x14ac:dyDescent="0.3">
      <c r="A1366" t="s">
        <v>2244</v>
      </c>
      <c r="B1366" t="s">
        <v>2243</v>
      </c>
      <c r="C1366" t="s">
        <v>2243</v>
      </c>
      <c r="D1366" t="s">
        <v>1</v>
      </c>
      <c r="E1366">
        <v>45</v>
      </c>
      <c r="F1366">
        <v>45</v>
      </c>
      <c r="G1366" t="s">
        <v>21</v>
      </c>
      <c r="H1366" t="s">
        <v>21</v>
      </c>
      <c r="I1366" t="s">
        <v>85</v>
      </c>
      <c r="J1366" t="s">
        <v>85</v>
      </c>
      <c r="K1366" s="1">
        <v>46097</v>
      </c>
      <c r="L1366" s="1" t="str">
        <f>IF(K1366&gt;O1366,"Valid","Invalid")</f>
        <v>Valid</v>
      </c>
      <c r="M1366" s="1" t="b">
        <f>ISNUMBER(K1366)</f>
        <v>1</v>
      </c>
      <c r="N1366" s="1" t="b">
        <f>ISNUMBER(O1366)</f>
        <v>1</v>
      </c>
      <c r="O1366" s="1">
        <v>46089</v>
      </c>
      <c r="P1366" t="s">
        <v>2242</v>
      </c>
      <c r="Q1366" t="str">
        <f>SUBSTITUTE(SUBSTITUTE(SUBSTITUTE(P1366," ",""),"-",""),"+","")</f>
        <v>0520601983</v>
      </c>
      <c r="R1366" t="str">
        <f t="shared" si="42"/>
        <v>0520601983</v>
      </c>
      <c r="S1366" t="str">
        <f>IF(LEN(R1366),"Valid","Invalid")</f>
        <v>Valid</v>
      </c>
      <c r="T1366" t="s">
        <v>2241</v>
      </c>
      <c r="V1366" t="s">
        <v>27</v>
      </c>
      <c r="X1366">
        <v>11613.92</v>
      </c>
      <c r="Y1366" t="s">
        <v>123</v>
      </c>
      <c r="Z1366">
        <v>354</v>
      </c>
      <c r="AA1366">
        <f t="shared" si="43"/>
        <v>354</v>
      </c>
      <c r="AB1366" t="s">
        <v>34</v>
      </c>
    </row>
    <row r="1367" spans="1:28" x14ac:dyDescent="0.3">
      <c r="A1367" t="s">
        <v>2240</v>
      </c>
      <c r="B1367" t="s">
        <v>2239</v>
      </c>
      <c r="C1367" t="s">
        <v>2239</v>
      </c>
      <c r="D1367" t="s">
        <v>123</v>
      </c>
      <c r="E1367">
        <v>9</v>
      </c>
      <c r="F1367">
        <v>9</v>
      </c>
      <c r="G1367" t="s">
        <v>39</v>
      </c>
      <c r="H1367" t="s">
        <v>39</v>
      </c>
      <c r="I1367" t="s">
        <v>46</v>
      </c>
      <c r="J1367" t="s">
        <v>46</v>
      </c>
      <c r="K1367" s="1">
        <v>46100</v>
      </c>
      <c r="L1367" s="1" t="str">
        <f>IF(K1367&gt;O1367,"Valid","Invalid")</f>
        <v>Valid</v>
      </c>
      <c r="M1367" s="1" t="b">
        <f>ISNUMBER(K1367)</f>
        <v>1</v>
      </c>
      <c r="N1367" s="1" t="b">
        <f>ISNUMBER(O1367)</f>
        <v>1</v>
      </c>
      <c r="O1367" s="1">
        <v>46083</v>
      </c>
      <c r="P1367" t="s">
        <v>510</v>
      </c>
      <c r="Q1367" t="str">
        <f>SUBSTITUTE(SUBSTITUTE(SUBSTITUTE(P1367," ",""),"-",""),"+","")</f>
        <v>12345</v>
      </c>
      <c r="R1367" t="str">
        <f t="shared" si="42"/>
        <v>12345</v>
      </c>
      <c r="S1367" t="str">
        <f>IF(LEN(R1367),"Valid","Invalid")</f>
        <v>Valid</v>
      </c>
      <c r="T1367" t="s">
        <v>2238</v>
      </c>
      <c r="V1367" t="s">
        <v>123</v>
      </c>
      <c r="X1367">
        <v>14063.1</v>
      </c>
      <c r="Y1367" t="s">
        <v>27</v>
      </c>
      <c r="Z1367">
        <v>277</v>
      </c>
      <c r="AA1367">
        <f t="shared" si="43"/>
        <v>277</v>
      </c>
      <c r="AB1367" t="s">
        <v>16</v>
      </c>
    </row>
    <row r="1368" spans="1:28" x14ac:dyDescent="0.3">
      <c r="A1368" t="s">
        <v>2237</v>
      </c>
      <c r="B1368" t="s">
        <v>2236</v>
      </c>
      <c r="C1368" t="s">
        <v>2236</v>
      </c>
      <c r="D1368" t="s">
        <v>0</v>
      </c>
      <c r="E1368">
        <v>9</v>
      </c>
      <c r="F1368">
        <v>9</v>
      </c>
      <c r="G1368" t="s">
        <v>31</v>
      </c>
      <c r="H1368" t="s">
        <v>31</v>
      </c>
      <c r="I1368" t="s">
        <v>20</v>
      </c>
      <c r="J1368" t="s">
        <v>20</v>
      </c>
      <c r="K1368" s="1">
        <v>46175</v>
      </c>
      <c r="L1368" s="1" t="str">
        <f>IF(K1368&gt;O1368,"Valid","Invalid")</f>
        <v>Valid</v>
      </c>
      <c r="M1368" s="1" t="b">
        <f>ISNUMBER(K1368)</f>
        <v>1</v>
      </c>
      <c r="N1368" s="1" t="b">
        <f>ISNUMBER(O1368)</f>
        <v>1</v>
      </c>
      <c r="O1368" s="1">
        <v>46145</v>
      </c>
      <c r="P1368" t="s">
        <v>2235</v>
      </c>
      <c r="Q1368" t="str">
        <f>SUBSTITUTE(SUBSTITUTE(SUBSTITUTE(P1368," ",""),"-",""),"+","")</f>
        <v>917899018108</v>
      </c>
      <c r="R1368" t="str">
        <f t="shared" si="42"/>
        <v>7899018108</v>
      </c>
      <c r="S1368" t="str">
        <f>IF(LEN(R1368),"Valid","Invalid")</f>
        <v>Valid</v>
      </c>
      <c r="T1368" t="s">
        <v>2234</v>
      </c>
      <c r="V1368" t="s">
        <v>26</v>
      </c>
      <c r="X1368">
        <v>14329.89</v>
      </c>
      <c r="Y1368" t="s">
        <v>27</v>
      </c>
      <c r="Z1368">
        <v>465</v>
      </c>
      <c r="AA1368">
        <f t="shared" si="43"/>
        <v>465</v>
      </c>
      <c r="AB1368" t="s">
        <v>34</v>
      </c>
    </row>
    <row r="1369" spans="1:28" x14ac:dyDescent="0.3">
      <c r="A1369" t="s">
        <v>2233</v>
      </c>
      <c r="B1369" t="s">
        <v>2232</v>
      </c>
      <c r="C1369" t="s">
        <v>2232</v>
      </c>
      <c r="E1369">
        <v>56</v>
      </c>
      <c r="F1369">
        <v>56</v>
      </c>
      <c r="G1369" t="s">
        <v>39</v>
      </c>
      <c r="H1369" t="s">
        <v>39</v>
      </c>
      <c r="I1369" t="s">
        <v>90</v>
      </c>
      <c r="J1369" t="s">
        <v>67</v>
      </c>
      <c r="K1369" s="1">
        <v>46079</v>
      </c>
      <c r="L1369" s="1" t="str">
        <f>IF(K1369&gt;O1369,"Valid","Invalid")</f>
        <v>Valid</v>
      </c>
      <c r="M1369" s="1" t="b">
        <f>ISNUMBER(K1369)</f>
        <v>1</v>
      </c>
      <c r="N1369" s="1" t="b">
        <f>ISNUMBER(O1369)</f>
        <v>1</v>
      </c>
      <c r="O1369" s="1">
        <v>46073</v>
      </c>
      <c r="P1369" t="s">
        <v>2231</v>
      </c>
      <c r="Q1369" t="str">
        <f>SUBSTITUTE(SUBSTITUTE(SUBSTITUTE(P1369," ",""),"-",""),"+","")</f>
        <v>06212229131</v>
      </c>
      <c r="R1369" t="str">
        <f t="shared" si="42"/>
        <v>6212229131</v>
      </c>
      <c r="S1369" t="str">
        <f>IF(LEN(R1369),"Valid","Invalid")</f>
        <v>Valid</v>
      </c>
      <c r="T1369" t="s">
        <v>2230</v>
      </c>
      <c r="V1369" t="s">
        <v>123</v>
      </c>
      <c r="X1369">
        <v>7883.67</v>
      </c>
      <c r="Y1369" t="s">
        <v>63</v>
      </c>
      <c r="Z1369">
        <v>269</v>
      </c>
      <c r="AA1369">
        <f t="shared" si="43"/>
        <v>269</v>
      </c>
      <c r="AB1369" t="s">
        <v>71</v>
      </c>
    </row>
    <row r="1370" spans="1:28" x14ac:dyDescent="0.3">
      <c r="A1370" t="s">
        <v>2229</v>
      </c>
      <c r="B1370" t="s">
        <v>2228</v>
      </c>
      <c r="C1370" t="s">
        <v>2228</v>
      </c>
      <c r="D1370" t="s">
        <v>123</v>
      </c>
      <c r="E1370">
        <v>19</v>
      </c>
      <c r="F1370">
        <v>19</v>
      </c>
      <c r="G1370" t="s">
        <v>31</v>
      </c>
      <c r="H1370" t="s">
        <v>31</v>
      </c>
      <c r="I1370" t="s">
        <v>46</v>
      </c>
      <c r="J1370" t="s">
        <v>46</v>
      </c>
      <c r="K1370" s="1">
        <v>46146</v>
      </c>
      <c r="L1370" s="1" t="str">
        <f>IF(K1370&gt;O1370,"Valid","Invalid")</f>
        <v>Valid</v>
      </c>
      <c r="M1370" s="1" t="b">
        <f>ISNUMBER(K1370)</f>
        <v>1</v>
      </c>
      <c r="N1370" s="1" t="b">
        <f>ISNUMBER(O1370)</f>
        <v>1</v>
      </c>
      <c r="O1370" s="1">
        <v>46127</v>
      </c>
      <c r="P1370" t="s">
        <v>2227</v>
      </c>
      <c r="Q1370" t="str">
        <f>SUBSTITUTE(SUBSTITUTE(SUBSTITUTE(P1370," ",""),"-",""),"+","")</f>
        <v>03002137130</v>
      </c>
      <c r="R1370" t="str">
        <f t="shared" si="42"/>
        <v>3002137130</v>
      </c>
      <c r="S1370" t="str">
        <f>IF(LEN(R1370),"Valid","Invalid")</f>
        <v>Valid</v>
      </c>
      <c r="T1370" t="s">
        <v>2226</v>
      </c>
      <c r="V1370" t="s">
        <v>27</v>
      </c>
      <c r="X1370">
        <v>17860.419999999998</v>
      </c>
      <c r="Y1370" t="s">
        <v>17</v>
      </c>
      <c r="Z1370">
        <v>400</v>
      </c>
      <c r="AA1370">
        <f t="shared" si="43"/>
        <v>400</v>
      </c>
      <c r="AB1370" t="s">
        <v>77</v>
      </c>
    </row>
    <row r="1371" spans="1:28" x14ac:dyDescent="0.3">
      <c r="A1371" t="s">
        <v>2225</v>
      </c>
      <c r="B1371" t="s">
        <v>2224</v>
      </c>
      <c r="C1371" t="s">
        <v>2224</v>
      </c>
      <c r="D1371" t="s">
        <v>74</v>
      </c>
      <c r="E1371">
        <v>79</v>
      </c>
      <c r="F1371">
        <v>79</v>
      </c>
      <c r="G1371" t="s">
        <v>80</v>
      </c>
      <c r="H1371" t="s">
        <v>80</v>
      </c>
      <c r="I1371" t="s">
        <v>90</v>
      </c>
      <c r="J1371" t="s">
        <v>67</v>
      </c>
      <c r="K1371" s="1">
        <v>46110</v>
      </c>
      <c r="L1371" s="1" t="str">
        <f>IF(K1371&gt;O1371,"Valid","Invalid")</f>
        <v>Valid</v>
      </c>
      <c r="M1371" s="1" t="b">
        <f>ISNUMBER(K1371)</f>
        <v>1</v>
      </c>
      <c r="N1371" s="1" t="b">
        <f>ISNUMBER(O1371)</f>
        <v>1</v>
      </c>
      <c r="O1371" s="1">
        <v>46087</v>
      </c>
      <c r="P1371" t="s">
        <v>2223</v>
      </c>
      <c r="Q1371" t="str">
        <f>SUBSTITUTE(SUBSTITUTE(SUBSTITUTE(P1371," ",""),"-",""),"+","")</f>
        <v>910582215911</v>
      </c>
      <c r="R1371" t="str">
        <f t="shared" si="42"/>
        <v>0582215911</v>
      </c>
      <c r="S1371" t="str">
        <f>IF(LEN(R1371),"Valid","Invalid")</f>
        <v>Valid</v>
      </c>
      <c r="T1371" t="s">
        <v>2222</v>
      </c>
      <c r="V1371" t="s">
        <v>35</v>
      </c>
      <c r="X1371">
        <v>18367.400000000001</v>
      </c>
      <c r="Y1371" t="s">
        <v>57</v>
      </c>
      <c r="Z1371">
        <v>407</v>
      </c>
      <c r="AA1371">
        <f t="shared" si="43"/>
        <v>407</v>
      </c>
      <c r="AB1371" t="s">
        <v>50</v>
      </c>
    </row>
    <row r="1372" spans="1:28" x14ac:dyDescent="0.3">
      <c r="A1372" t="s">
        <v>2221</v>
      </c>
      <c r="B1372" t="s">
        <v>2220</v>
      </c>
      <c r="C1372" t="s">
        <v>2220</v>
      </c>
      <c r="D1372" t="s">
        <v>0</v>
      </c>
      <c r="E1372">
        <v>24</v>
      </c>
      <c r="F1372">
        <v>24</v>
      </c>
      <c r="G1372" t="s">
        <v>47</v>
      </c>
      <c r="H1372" t="s">
        <v>47</v>
      </c>
      <c r="I1372" t="s">
        <v>85</v>
      </c>
      <c r="J1372" t="s">
        <v>85</v>
      </c>
      <c r="K1372" s="1">
        <v>46049</v>
      </c>
      <c r="L1372" s="1" t="str">
        <f>IF(K1372&gt;O1372,"Valid","Invalid")</f>
        <v>Valid</v>
      </c>
      <c r="M1372" s="1" t="b">
        <f>ISNUMBER(K1372)</f>
        <v>1</v>
      </c>
      <c r="N1372" s="1" t="b">
        <f>ISNUMBER(O1372)</f>
        <v>1</v>
      </c>
      <c r="O1372" s="1">
        <v>46026</v>
      </c>
      <c r="P1372" t="s">
        <v>2219</v>
      </c>
      <c r="Q1372" t="str">
        <f>SUBSTITUTE(SUBSTITUTE(SUBSTITUTE(P1372," ",""),"-",""),"+","")</f>
        <v>910934440733</v>
      </c>
      <c r="R1372" t="str">
        <f t="shared" si="42"/>
        <v>0934440733</v>
      </c>
      <c r="S1372" t="str">
        <f>IF(LEN(R1372),"Valid","Invalid")</f>
        <v>Valid</v>
      </c>
      <c r="T1372" t="s">
        <v>2218</v>
      </c>
      <c r="V1372" t="s">
        <v>64</v>
      </c>
      <c r="X1372">
        <v>8428.39</v>
      </c>
      <c r="Y1372" t="s">
        <v>64</v>
      </c>
      <c r="Z1372">
        <v>306</v>
      </c>
      <c r="AA1372">
        <f t="shared" si="43"/>
        <v>306</v>
      </c>
      <c r="AB1372" t="s">
        <v>34</v>
      </c>
    </row>
    <row r="1373" spans="1:28" x14ac:dyDescent="0.3">
      <c r="A1373" t="s">
        <v>2217</v>
      </c>
      <c r="B1373" t="s">
        <v>2216</v>
      </c>
      <c r="C1373" t="s">
        <v>2216</v>
      </c>
      <c r="D1373" t="s">
        <v>123</v>
      </c>
      <c r="E1373">
        <v>53</v>
      </c>
      <c r="F1373">
        <v>53</v>
      </c>
      <c r="G1373" t="s">
        <v>54</v>
      </c>
      <c r="H1373" t="s">
        <v>54</v>
      </c>
      <c r="I1373" t="s">
        <v>85</v>
      </c>
      <c r="J1373" t="s">
        <v>85</v>
      </c>
      <c r="K1373" s="1">
        <v>46030</v>
      </c>
      <c r="L1373" s="1" t="str">
        <f>IF(K1373&gt;O1373,"Valid","Invalid")</f>
        <v>Valid</v>
      </c>
      <c r="M1373" s="1" t="b">
        <f>ISNUMBER(K1373)</f>
        <v>1</v>
      </c>
      <c r="N1373" s="1" t="b">
        <f>ISNUMBER(O1373)</f>
        <v>1</v>
      </c>
      <c r="O1373" s="1">
        <v>46026</v>
      </c>
      <c r="P1373" t="s">
        <v>2215</v>
      </c>
      <c r="Q1373" t="str">
        <f>SUBSTITUTE(SUBSTITUTE(SUBSTITUTE(P1373," ",""),"-",""),"+","")</f>
        <v>09461557051</v>
      </c>
      <c r="R1373" t="str">
        <f t="shared" si="42"/>
        <v>9461557051</v>
      </c>
      <c r="S1373" t="str">
        <f>IF(LEN(R1373),"Valid","Invalid")</f>
        <v>Valid</v>
      </c>
      <c r="T1373" t="s">
        <v>2214</v>
      </c>
      <c r="V1373" t="s">
        <v>57</v>
      </c>
      <c r="X1373">
        <v>4738.1400000000003</v>
      </c>
      <c r="Y1373" t="s">
        <v>63</v>
      </c>
      <c r="Z1373">
        <v>281</v>
      </c>
      <c r="AA1373">
        <f t="shared" si="43"/>
        <v>281</v>
      </c>
      <c r="AB1373" t="s">
        <v>71</v>
      </c>
    </row>
    <row r="1374" spans="1:28" x14ac:dyDescent="0.3">
      <c r="A1374" t="s">
        <v>2213</v>
      </c>
      <c r="B1374" t="s">
        <v>2212</v>
      </c>
      <c r="C1374" t="s">
        <v>2212</v>
      </c>
      <c r="D1374" t="s">
        <v>123</v>
      </c>
      <c r="E1374">
        <v>33</v>
      </c>
      <c r="F1374">
        <v>33</v>
      </c>
      <c r="G1374" t="s">
        <v>68</v>
      </c>
      <c r="H1374" t="s">
        <v>68</v>
      </c>
      <c r="I1374" t="s">
        <v>20</v>
      </c>
      <c r="J1374" t="s">
        <v>20</v>
      </c>
      <c r="K1374" s="1">
        <v>46022</v>
      </c>
      <c r="L1374" s="1" t="str">
        <f>IF(K1374&gt;O1374,"Valid","Invalid")</f>
        <v>Valid</v>
      </c>
      <c r="M1374" s="1" t="b">
        <f>ISNUMBER(K1374)</f>
        <v>1</v>
      </c>
      <c r="N1374" s="1" t="b">
        <f>ISNUMBER(O1374)</f>
        <v>1</v>
      </c>
      <c r="O1374" s="1">
        <v>46017</v>
      </c>
      <c r="P1374" t="s">
        <v>2211</v>
      </c>
      <c r="Q1374" t="str">
        <f>SUBSTITUTE(SUBSTITUTE(SUBSTITUTE(P1374," ",""),"-",""),"+","")</f>
        <v>01727419299</v>
      </c>
      <c r="R1374" t="str">
        <f t="shared" si="42"/>
        <v>1727419299</v>
      </c>
      <c r="S1374" t="str">
        <f>IF(LEN(R1374),"Valid","Invalid")</f>
        <v>Valid</v>
      </c>
      <c r="T1374" t="s">
        <v>2210</v>
      </c>
      <c r="V1374" t="s">
        <v>26</v>
      </c>
      <c r="X1374">
        <v>10155.41</v>
      </c>
      <c r="Y1374" t="s">
        <v>57</v>
      </c>
      <c r="Z1374">
        <v>279</v>
      </c>
      <c r="AA1374">
        <f t="shared" si="43"/>
        <v>279</v>
      </c>
      <c r="AB1374" t="s">
        <v>25</v>
      </c>
    </row>
    <row r="1375" spans="1:28" x14ac:dyDescent="0.3">
      <c r="A1375" t="s">
        <v>2209</v>
      </c>
      <c r="B1375" t="s">
        <v>2208</v>
      </c>
      <c r="C1375" t="s">
        <v>2208</v>
      </c>
      <c r="D1375" t="s">
        <v>74</v>
      </c>
      <c r="E1375">
        <v>44</v>
      </c>
      <c r="F1375">
        <v>44</v>
      </c>
      <c r="G1375" t="s">
        <v>68</v>
      </c>
      <c r="H1375" t="s">
        <v>68</v>
      </c>
      <c r="I1375" t="s">
        <v>20</v>
      </c>
      <c r="J1375" t="s">
        <v>20</v>
      </c>
      <c r="K1375" s="1">
        <v>46037</v>
      </c>
      <c r="L1375" s="1" t="str">
        <f>IF(K1375&gt;O1375,"Valid","Invalid")</f>
        <v>Valid</v>
      </c>
      <c r="M1375" s="1" t="b">
        <f>ISNUMBER(K1375)</f>
        <v>1</v>
      </c>
      <c r="N1375" s="1" t="b">
        <f>ISNUMBER(O1375)</f>
        <v>1</v>
      </c>
      <c r="O1375" s="1">
        <v>46021</v>
      </c>
      <c r="P1375" t="s">
        <v>2207</v>
      </c>
      <c r="Q1375" t="str">
        <f>SUBSTITUTE(SUBSTITUTE(SUBSTITUTE(P1375," ",""),"-",""),"+","")</f>
        <v>00750909852</v>
      </c>
      <c r="R1375" t="str">
        <f t="shared" si="42"/>
        <v>0750909852</v>
      </c>
      <c r="S1375" t="str">
        <f>IF(LEN(R1375),"Valid","Invalid")</f>
        <v>Valid</v>
      </c>
      <c r="T1375" t="s">
        <v>2206</v>
      </c>
      <c r="V1375" t="s">
        <v>26</v>
      </c>
      <c r="X1375">
        <v>705.94</v>
      </c>
      <c r="Y1375" t="s">
        <v>27</v>
      </c>
      <c r="Z1375">
        <v>385</v>
      </c>
      <c r="AA1375">
        <f t="shared" si="43"/>
        <v>385</v>
      </c>
      <c r="AB1375" t="s">
        <v>77</v>
      </c>
    </row>
    <row r="1376" spans="1:28" x14ac:dyDescent="0.3">
      <c r="A1376" t="s">
        <v>2205</v>
      </c>
      <c r="B1376" t="s">
        <v>2204</v>
      </c>
      <c r="C1376" t="s">
        <v>2204</v>
      </c>
      <c r="D1376" t="s">
        <v>60</v>
      </c>
      <c r="E1376">
        <v>13</v>
      </c>
      <c r="F1376">
        <v>13</v>
      </c>
      <c r="G1376" t="s">
        <v>39</v>
      </c>
      <c r="H1376" t="s">
        <v>39</v>
      </c>
      <c r="I1376" t="s">
        <v>46</v>
      </c>
      <c r="J1376" t="s">
        <v>46</v>
      </c>
      <c r="K1376" s="1">
        <v>46090</v>
      </c>
      <c r="L1376" s="1" t="str">
        <f>IF(K1376&gt;O1376,"Valid","Invalid")</f>
        <v>Valid</v>
      </c>
      <c r="M1376" s="1" t="b">
        <f>ISNUMBER(K1376)</f>
        <v>1</v>
      </c>
      <c r="N1376" s="1" t="b">
        <f>ISNUMBER(O1376)</f>
        <v>1</v>
      </c>
      <c r="O1376" s="1">
        <v>46060</v>
      </c>
      <c r="P1376" t="s">
        <v>2203</v>
      </c>
      <c r="Q1376" t="str">
        <f>SUBSTITUTE(SUBSTITUTE(SUBSTITUTE(P1376," ",""),"-",""),"+","")</f>
        <v>7775075629</v>
      </c>
      <c r="R1376" t="str">
        <f t="shared" si="42"/>
        <v>7775075629</v>
      </c>
      <c r="S1376" t="str">
        <f>IF(LEN(R1376),"Valid","Invalid")</f>
        <v>Valid</v>
      </c>
      <c r="T1376" t="s">
        <v>2202</v>
      </c>
      <c r="V1376" t="s">
        <v>27</v>
      </c>
      <c r="X1376">
        <v>315.58999999999997</v>
      </c>
      <c r="Y1376" t="s">
        <v>123</v>
      </c>
      <c r="Z1376">
        <v>256</v>
      </c>
      <c r="AA1376">
        <f t="shared" si="43"/>
        <v>256</v>
      </c>
      <c r="AB1376" t="s">
        <v>77</v>
      </c>
    </row>
    <row r="1377" spans="1:28" x14ac:dyDescent="0.3">
      <c r="A1377" t="s">
        <v>2201</v>
      </c>
      <c r="B1377" t="s">
        <v>2200</v>
      </c>
      <c r="C1377" t="s">
        <v>2200</v>
      </c>
      <c r="D1377" t="s">
        <v>60</v>
      </c>
      <c r="E1377">
        <v>9</v>
      </c>
      <c r="F1377">
        <v>9</v>
      </c>
      <c r="G1377" t="s">
        <v>39</v>
      </c>
      <c r="H1377" t="s">
        <v>39</v>
      </c>
      <c r="I1377" t="s">
        <v>38</v>
      </c>
      <c r="J1377" t="s">
        <v>8077</v>
      </c>
      <c r="K1377" s="1">
        <v>46094</v>
      </c>
      <c r="L1377" s="1" t="str">
        <f>IF(K1377&gt;O1377,"Valid","Invalid")</f>
        <v>Valid</v>
      </c>
      <c r="M1377" s="1" t="b">
        <f>ISNUMBER(K1377)</f>
        <v>1</v>
      </c>
      <c r="N1377" s="1" t="b">
        <f>ISNUMBER(O1377)</f>
        <v>1</v>
      </c>
      <c r="O1377" s="1">
        <v>46074</v>
      </c>
      <c r="P1377" t="s">
        <v>2199</v>
      </c>
      <c r="Q1377" t="str">
        <f>SUBSTITUTE(SUBSTITUTE(SUBSTITUTE(P1377," ",""),"-",""),"+","")</f>
        <v>06169735074</v>
      </c>
      <c r="R1377" t="str">
        <f t="shared" si="42"/>
        <v>6169735074</v>
      </c>
      <c r="S1377" t="str">
        <f>IF(LEN(R1377),"Valid","Invalid")</f>
        <v>Valid</v>
      </c>
      <c r="T1377" t="s">
        <v>2198</v>
      </c>
      <c r="V1377" t="s">
        <v>123</v>
      </c>
      <c r="X1377">
        <v>4708.3100000000004</v>
      </c>
      <c r="Y1377" t="s">
        <v>57</v>
      </c>
      <c r="Z1377">
        <v>276</v>
      </c>
      <c r="AA1377">
        <f t="shared" si="43"/>
        <v>276</v>
      </c>
      <c r="AB1377" t="s">
        <v>77</v>
      </c>
    </row>
    <row r="1378" spans="1:28" x14ac:dyDescent="0.3">
      <c r="A1378" t="s">
        <v>2197</v>
      </c>
      <c r="B1378" t="s">
        <v>2196</v>
      </c>
      <c r="C1378" t="s">
        <v>2196</v>
      </c>
      <c r="D1378" t="s">
        <v>0</v>
      </c>
      <c r="E1378">
        <v>77</v>
      </c>
      <c r="F1378">
        <v>77</v>
      </c>
      <c r="G1378" t="s">
        <v>31</v>
      </c>
      <c r="H1378" t="s">
        <v>31</v>
      </c>
      <c r="I1378" t="s">
        <v>53</v>
      </c>
      <c r="J1378" t="s">
        <v>20</v>
      </c>
      <c r="K1378" s="1">
        <v>46155</v>
      </c>
      <c r="L1378" s="1" t="str">
        <f>IF(K1378&gt;O1378,"Valid","Invalid")</f>
        <v>Valid</v>
      </c>
      <c r="M1378" s="1" t="b">
        <f>ISNUMBER(K1378)</f>
        <v>1</v>
      </c>
      <c r="N1378" s="1" t="b">
        <f>ISNUMBER(O1378)</f>
        <v>1</v>
      </c>
      <c r="O1378" s="1">
        <v>46127</v>
      </c>
      <c r="P1378" t="s">
        <v>2195</v>
      </c>
      <c r="Q1378" t="str">
        <f>SUBSTITUTE(SUBSTITUTE(SUBSTITUTE(P1378," ",""),"-",""),"+","")</f>
        <v>912846640115</v>
      </c>
      <c r="R1378" t="str">
        <f t="shared" si="42"/>
        <v>2846640115</v>
      </c>
      <c r="S1378" t="str">
        <f>IF(LEN(R1378),"Valid","Invalid")</f>
        <v>Valid</v>
      </c>
      <c r="T1378" t="s">
        <v>2194</v>
      </c>
      <c r="V1378" t="s">
        <v>123</v>
      </c>
      <c r="X1378">
        <v>17717.919999999998</v>
      </c>
      <c r="Y1378" t="s">
        <v>26</v>
      </c>
      <c r="Z1378">
        <v>359</v>
      </c>
      <c r="AA1378">
        <f t="shared" si="43"/>
        <v>359</v>
      </c>
      <c r="AB1378" t="s">
        <v>71</v>
      </c>
    </row>
    <row r="1379" spans="1:28" x14ac:dyDescent="0.3">
      <c r="A1379" t="s">
        <v>2193</v>
      </c>
      <c r="B1379" t="s">
        <v>2192</v>
      </c>
      <c r="C1379" t="s">
        <v>2192</v>
      </c>
      <c r="E1379">
        <v>4</v>
      </c>
      <c r="F1379">
        <v>4</v>
      </c>
      <c r="G1379" t="s">
        <v>47</v>
      </c>
      <c r="H1379" t="s">
        <v>47</v>
      </c>
      <c r="I1379" t="s">
        <v>20</v>
      </c>
      <c r="J1379" t="s">
        <v>20</v>
      </c>
      <c r="K1379" s="1">
        <v>46100</v>
      </c>
      <c r="L1379" s="1" t="str">
        <f>IF(K1379&gt;O1379,"Valid","Invalid")</f>
        <v>Valid</v>
      </c>
      <c r="M1379" s="1" t="b">
        <f>ISNUMBER(K1379)</f>
        <v>1</v>
      </c>
      <c r="N1379" s="1" t="b">
        <f>ISNUMBER(O1379)</f>
        <v>1</v>
      </c>
      <c r="O1379" s="1">
        <v>46075</v>
      </c>
      <c r="P1379" t="s">
        <v>2191</v>
      </c>
      <c r="Q1379" t="str">
        <f>SUBSTITUTE(SUBSTITUTE(SUBSTITUTE(P1379," ",""),"-",""),"+","")</f>
        <v>912617057625</v>
      </c>
      <c r="R1379" t="str">
        <f t="shared" si="42"/>
        <v>2617057625</v>
      </c>
      <c r="S1379" t="str">
        <f>IF(LEN(R1379),"Valid","Invalid")</f>
        <v>Valid</v>
      </c>
      <c r="T1379" t="s">
        <v>2190</v>
      </c>
      <c r="V1379" t="s">
        <v>26</v>
      </c>
      <c r="X1379">
        <v>23388.81</v>
      </c>
      <c r="Y1379" t="s">
        <v>64</v>
      </c>
      <c r="Z1379">
        <v>278</v>
      </c>
      <c r="AA1379">
        <f t="shared" si="43"/>
        <v>278</v>
      </c>
      <c r="AB1379" t="s">
        <v>25</v>
      </c>
    </row>
    <row r="1380" spans="1:28" x14ac:dyDescent="0.3">
      <c r="A1380" t="s">
        <v>2189</v>
      </c>
      <c r="B1380" t="s">
        <v>2188</v>
      </c>
      <c r="C1380" t="s">
        <v>2188</v>
      </c>
      <c r="D1380" t="s">
        <v>0</v>
      </c>
      <c r="E1380">
        <v>76</v>
      </c>
      <c r="F1380">
        <v>76</v>
      </c>
      <c r="G1380" t="s">
        <v>39</v>
      </c>
      <c r="H1380" t="s">
        <v>39</v>
      </c>
      <c r="I1380" t="s">
        <v>20</v>
      </c>
      <c r="J1380" t="s">
        <v>20</v>
      </c>
      <c r="K1380" s="1">
        <v>46164</v>
      </c>
      <c r="L1380" s="1" t="str">
        <f>IF(K1380&gt;O1380,"Valid","Invalid")</f>
        <v>Valid</v>
      </c>
      <c r="M1380" s="1" t="b">
        <f>ISNUMBER(K1380)</f>
        <v>1</v>
      </c>
      <c r="N1380" s="1" t="b">
        <f>ISNUMBER(O1380)</f>
        <v>1</v>
      </c>
      <c r="O1380" s="1">
        <v>46149</v>
      </c>
      <c r="P1380" t="s">
        <v>2187</v>
      </c>
      <c r="Q1380" t="str">
        <f>SUBSTITUTE(SUBSTITUTE(SUBSTITUTE(P1380," ",""),"-",""),"+","")</f>
        <v>03354629123</v>
      </c>
      <c r="R1380" t="str">
        <f t="shared" si="42"/>
        <v>3354629123</v>
      </c>
      <c r="S1380" t="str">
        <f>IF(LEN(R1380),"Valid","Invalid")</f>
        <v>Valid</v>
      </c>
      <c r="T1380" t="s">
        <v>2186</v>
      </c>
      <c r="V1380" t="s">
        <v>17</v>
      </c>
      <c r="X1380">
        <v>15166.88</v>
      </c>
      <c r="Y1380" t="s">
        <v>17</v>
      </c>
      <c r="Z1380">
        <v>332</v>
      </c>
      <c r="AA1380">
        <f t="shared" si="43"/>
        <v>332</v>
      </c>
      <c r="AB1380" t="s">
        <v>25</v>
      </c>
    </row>
    <row r="1381" spans="1:28" x14ac:dyDescent="0.3">
      <c r="A1381" t="s">
        <v>2185</v>
      </c>
      <c r="B1381" t="s">
        <v>2184</v>
      </c>
      <c r="C1381" t="s">
        <v>2184</v>
      </c>
      <c r="D1381" t="s">
        <v>123</v>
      </c>
      <c r="E1381">
        <v>58</v>
      </c>
      <c r="F1381">
        <v>58</v>
      </c>
      <c r="G1381" t="s">
        <v>80</v>
      </c>
      <c r="H1381" t="s">
        <v>80</v>
      </c>
      <c r="I1381" t="s">
        <v>20</v>
      </c>
      <c r="J1381" t="s">
        <v>20</v>
      </c>
      <c r="K1381" s="1">
        <v>46036</v>
      </c>
      <c r="L1381" s="1" t="str">
        <f>IF(K1381&gt;O1381,"Valid","Invalid")</f>
        <v>Valid</v>
      </c>
      <c r="M1381" s="1" t="b">
        <f>ISNUMBER(K1381)</f>
        <v>1</v>
      </c>
      <c r="N1381" s="1" t="b">
        <f>ISNUMBER(O1381)</f>
        <v>1</v>
      </c>
      <c r="O1381" s="1">
        <v>46026</v>
      </c>
      <c r="P1381" t="s">
        <v>2183</v>
      </c>
      <c r="Q1381" t="str">
        <f>SUBSTITUTE(SUBSTITUTE(SUBSTITUTE(P1381," ",""),"-",""),"+","")</f>
        <v>06251209082</v>
      </c>
      <c r="R1381" t="str">
        <f t="shared" si="42"/>
        <v>6251209082</v>
      </c>
      <c r="S1381" t="str">
        <f>IF(LEN(R1381),"Valid","Invalid")</f>
        <v>Valid</v>
      </c>
      <c r="T1381" t="s">
        <v>2182</v>
      </c>
      <c r="V1381" t="s">
        <v>17</v>
      </c>
      <c r="X1381">
        <v>9269.2000000000007</v>
      </c>
      <c r="Y1381" t="s">
        <v>57</v>
      </c>
      <c r="Z1381">
        <v>518</v>
      </c>
      <c r="AA1381">
        <f t="shared" si="43"/>
        <v>518</v>
      </c>
      <c r="AB1381" t="s">
        <v>16</v>
      </c>
    </row>
    <row r="1382" spans="1:28" x14ac:dyDescent="0.3">
      <c r="A1382" t="s">
        <v>2181</v>
      </c>
      <c r="B1382" t="s">
        <v>2180</v>
      </c>
      <c r="C1382" t="s">
        <v>2180</v>
      </c>
      <c r="D1382" t="s">
        <v>1</v>
      </c>
      <c r="E1382">
        <v>52</v>
      </c>
      <c r="F1382">
        <v>52</v>
      </c>
      <c r="G1382" t="s">
        <v>47</v>
      </c>
      <c r="H1382" t="s">
        <v>47</v>
      </c>
      <c r="I1382" t="s">
        <v>67</v>
      </c>
      <c r="J1382" t="s">
        <v>67</v>
      </c>
      <c r="K1382" s="1">
        <v>46095</v>
      </c>
      <c r="L1382" s="1" t="str">
        <f>IF(K1382&gt;O1382,"Valid","Invalid")</f>
        <v>Valid</v>
      </c>
      <c r="M1382" s="1" t="b">
        <f>ISNUMBER(K1382)</f>
        <v>1</v>
      </c>
      <c r="N1382" s="1" t="b">
        <f>ISNUMBER(O1382)</f>
        <v>1</v>
      </c>
      <c r="O1382" s="1">
        <v>46094</v>
      </c>
      <c r="P1382" t="s">
        <v>2179</v>
      </c>
      <c r="Q1382" t="str">
        <f>SUBSTITUTE(SUBSTITUTE(SUBSTITUTE(P1382," ",""),"-",""),"+","")</f>
        <v>6924918273</v>
      </c>
      <c r="R1382" t="str">
        <f t="shared" si="42"/>
        <v>6924918273</v>
      </c>
      <c r="S1382" t="str">
        <f>IF(LEN(R1382),"Valid","Invalid")</f>
        <v>Valid</v>
      </c>
      <c r="T1382" t="s">
        <v>2178</v>
      </c>
      <c r="V1382" t="s">
        <v>123</v>
      </c>
      <c r="X1382">
        <v>20310.5</v>
      </c>
      <c r="Y1382" t="s">
        <v>64</v>
      </c>
      <c r="Z1382">
        <v>534</v>
      </c>
      <c r="AA1382">
        <f t="shared" si="43"/>
        <v>534</v>
      </c>
      <c r="AB1382" t="s">
        <v>34</v>
      </c>
    </row>
    <row r="1383" spans="1:28" x14ac:dyDescent="0.3">
      <c r="A1383" t="s">
        <v>2177</v>
      </c>
      <c r="B1383" t="s">
        <v>2176</v>
      </c>
      <c r="C1383" t="s">
        <v>2176</v>
      </c>
      <c r="D1383" t="s">
        <v>74</v>
      </c>
      <c r="E1383">
        <v>85</v>
      </c>
      <c r="F1383">
        <v>85</v>
      </c>
      <c r="G1383" t="s">
        <v>31</v>
      </c>
      <c r="H1383" t="s">
        <v>31</v>
      </c>
      <c r="I1383" t="s">
        <v>90</v>
      </c>
      <c r="J1383" t="s">
        <v>67</v>
      </c>
      <c r="K1383" s="1">
        <v>46068</v>
      </c>
      <c r="L1383" s="1" t="str">
        <f>IF(K1383&gt;O1383,"Valid","Invalid")</f>
        <v>Valid</v>
      </c>
      <c r="M1383" s="1" t="b">
        <f>ISNUMBER(K1383)</f>
        <v>1</v>
      </c>
      <c r="N1383" s="1" t="b">
        <f>ISNUMBER(O1383)</f>
        <v>1</v>
      </c>
      <c r="O1383" s="1">
        <v>46044</v>
      </c>
      <c r="P1383" t="s">
        <v>2175</v>
      </c>
      <c r="Q1383" t="str">
        <f>SUBSTITUTE(SUBSTITUTE(SUBSTITUTE(P1383," ",""),"-",""),"+","")</f>
        <v>4356940274</v>
      </c>
      <c r="R1383" t="str">
        <f t="shared" si="42"/>
        <v>4356940274</v>
      </c>
      <c r="S1383" t="str">
        <f>IF(LEN(R1383),"Valid","Invalid")</f>
        <v>Valid</v>
      </c>
      <c r="T1383" t="s">
        <v>2174</v>
      </c>
      <c r="V1383" t="s">
        <v>17</v>
      </c>
      <c r="X1383">
        <v>7207.53</v>
      </c>
      <c r="Y1383" t="s">
        <v>26</v>
      </c>
      <c r="Z1383">
        <v>329</v>
      </c>
      <c r="AA1383">
        <f t="shared" si="43"/>
        <v>329</v>
      </c>
      <c r="AB1383" t="s">
        <v>50</v>
      </c>
    </row>
    <row r="1384" spans="1:28" x14ac:dyDescent="0.3">
      <c r="A1384" t="s">
        <v>2173</v>
      </c>
      <c r="B1384" t="s">
        <v>2172</v>
      </c>
      <c r="C1384" t="s">
        <v>2172</v>
      </c>
      <c r="D1384" t="s">
        <v>1</v>
      </c>
      <c r="E1384">
        <v>38</v>
      </c>
      <c r="F1384">
        <v>38</v>
      </c>
      <c r="G1384" t="s">
        <v>54</v>
      </c>
      <c r="H1384" t="s">
        <v>54</v>
      </c>
      <c r="I1384" t="s">
        <v>90</v>
      </c>
      <c r="J1384" t="s">
        <v>67</v>
      </c>
      <c r="K1384" s="1">
        <v>45991</v>
      </c>
      <c r="L1384" s="1" t="str">
        <f>IF(K1384&gt;O1384,"Valid","Invalid")</f>
        <v>Valid</v>
      </c>
      <c r="M1384" s="1" t="b">
        <f>ISNUMBER(K1384)</f>
        <v>1</v>
      </c>
      <c r="N1384" s="1" t="b">
        <f>ISNUMBER(O1384)</f>
        <v>1</v>
      </c>
      <c r="O1384" s="1">
        <v>45978</v>
      </c>
      <c r="P1384" t="s">
        <v>2171</v>
      </c>
      <c r="Q1384" t="str">
        <f>SUBSTITUTE(SUBSTITUTE(SUBSTITUTE(P1384," ",""),"-",""),"+","")</f>
        <v>917530606495</v>
      </c>
      <c r="R1384" t="str">
        <f t="shared" si="42"/>
        <v>7530606495</v>
      </c>
      <c r="S1384" t="str">
        <f>IF(LEN(R1384),"Valid","Invalid")</f>
        <v>Valid</v>
      </c>
      <c r="T1384" t="s">
        <v>2170</v>
      </c>
      <c r="V1384" t="s">
        <v>123</v>
      </c>
      <c r="X1384">
        <v>2243.2399999999998</v>
      </c>
      <c r="Y1384" t="s">
        <v>27</v>
      </c>
      <c r="Z1384">
        <v>351</v>
      </c>
      <c r="AA1384">
        <f t="shared" si="43"/>
        <v>351</v>
      </c>
      <c r="AB1384" t="s">
        <v>77</v>
      </c>
    </row>
    <row r="1385" spans="1:28" x14ac:dyDescent="0.3">
      <c r="A1385" t="s">
        <v>2169</v>
      </c>
      <c r="B1385" t="s">
        <v>2168</v>
      </c>
      <c r="C1385" t="s">
        <v>2168</v>
      </c>
      <c r="D1385" t="s">
        <v>60</v>
      </c>
      <c r="E1385">
        <v>72</v>
      </c>
      <c r="F1385">
        <v>72</v>
      </c>
      <c r="G1385" t="s">
        <v>68</v>
      </c>
      <c r="H1385" t="s">
        <v>68</v>
      </c>
      <c r="I1385" t="s">
        <v>90</v>
      </c>
      <c r="J1385" t="s">
        <v>67</v>
      </c>
      <c r="K1385" s="1">
        <v>46052</v>
      </c>
      <c r="L1385" s="1" t="str">
        <f>IF(K1385&gt;O1385,"Valid","Invalid")</f>
        <v>Valid</v>
      </c>
      <c r="M1385" s="1" t="b">
        <f>ISNUMBER(K1385)</f>
        <v>1</v>
      </c>
      <c r="N1385" s="1" t="b">
        <f>ISNUMBER(O1385)</f>
        <v>1</v>
      </c>
      <c r="O1385" s="1">
        <v>46043</v>
      </c>
      <c r="P1385" t="s">
        <v>2167</v>
      </c>
      <c r="Q1385" t="str">
        <f>SUBSTITUTE(SUBSTITUTE(SUBSTITUTE(P1385," ",""),"-",""),"+","")</f>
        <v>2324660839</v>
      </c>
      <c r="R1385" t="str">
        <f t="shared" si="42"/>
        <v>2324660839</v>
      </c>
      <c r="S1385" t="str">
        <f>IF(LEN(R1385),"Valid","Invalid")</f>
        <v>Valid</v>
      </c>
      <c r="T1385" t="s">
        <v>2166</v>
      </c>
      <c r="V1385" t="s">
        <v>123</v>
      </c>
      <c r="X1385">
        <v>24808.73</v>
      </c>
      <c r="Y1385" t="s">
        <v>63</v>
      </c>
      <c r="Z1385">
        <v>494</v>
      </c>
      <c r="AA1385">
        <f t="shared" si="43"/>
        <v>494</v>
      </c>
      <c r="AB1385" t="s">
        <v>25</v>
      </c>
    </row>
    <row r="1386" spans="1:28" x14ac:dyDescent="0.3">
      <c r="A1386" t="s">
        <v>2165</v>
      </c>
      <c r="B1386" t="s">
        <v>2164</v>
      </c>
      <c r="C1386" t="s">
        <v>2164</v>
      </c>
      <c r="D1386" t="s">
        <v>40</v>
      </c>
      <c r="E1386">
        <v>68</v>
      </c>
      <c r="F1386">
        <v>68</v>
      </c>
      <c r="G1386" t="s">
        <v>47</v>
      </c>
      <c r="H1386" t="s">
        <v>47</v>
      </c>
      <c r="I1386" t="s">
        <v>38</v>
      </c>
      <c r="J1386" t="s">
        <v>8077</v>
      </c>
      <c r="K1386" s="1">
        <v>46009</v>
      </c>
      <c r="L1386" s="1" t="str">
        <f>IF(K1386&gt;O1386,"Valid","Invalid")</f>
        <v>Valid</v>
      </c>
      <c r="M1386" s="1" t="b">
        <f>ISNUMBER(K1386)</f>
        <v>1</v>
      </c>
      <c r="N1386" s="1" t="b">
        <f>ISNUMBER(O1386)</f>
        <v>1</v>
      </c>
      <c r="O1386" s="1">
        <v>45979</v>
      </c>
      <c r="P1386" t="s">
        <v>2163</v>
      </c>
      <c r="Q1386" t="str">
        <f>SUBSTITUTE(SUBSTITUTE(SUBSTITUTE(P1386," ",""),"-",""),"+","")</f>
        <v>5534395110</v>
      </c>
      <c r="R1386" t="str">
        <f t="shared" si="42"/>
        <v>5534395110</v>
      </c>
      <c r="S1386" t="str">
        <f>IF(LEN(R1386),"Valid","Invalid")</f>
        <v>Valid</v>
      </c>
      <c r="T1386" t="s">
        <v>2162</v>
      </c>
      <c r="V1386" t="s">
        <v>64</v>
      </c>
      <c r="X1386">
        <v>7816.57</v>
      </c>
      <c r="Y1386" t="s">
        <v>26</v>
      </c>
      <c r="Z1386">
        <v>428</v>
      </c>
      <c r="AA1386">
        <f t="shared" si="43"/>
        <v>428</v>
      </c>
      <c r="AB1386" t="s">
        <v>43</v>
      </c>
    </row>
    <row r="1387" spans="1:28" x14ac:dyDescent="0.3">
      <c r="A1387" t="s">
        <v>2161</v>
      </c>
      <c r="B1387" t="s">
        <v>2160</v>
      </c>
      <c r="C1387" t="s">
        <v>2160</v>
      </c>
      <c r="D1387" t="s">
        <v>40</v>
      </c>
      <c r="E1387">
        <v>69</v>
      </c>
      <c r="F1387">
        <v>69</v>
      </c>
      <c r="G1387" t="s">
        <v>47</v>
      </c>
      <c r="H1387" t="s">
        <v>47</v>
      </c>
      <c r="I1387" t="s">
        <v>46</v>
      </c>
      <c r="J1387" t="s">
        <v>46</v>
      </c>
      <c r="K1387" s="1">
        <v>46162</v>
      </c>
      <c r="L1387" s="1" t="str">
        <f>IF(K1387&gt;O1387,"Valid","Invalid")</f>
        <v>Valid</v>
      </c>
      <c r="M1387" s="1" t="b">
        <f>ISNUMBER(K1387)</f>
        <v>1</v>
      </c>
      <c r="N1387" s="1" t="b">
        <f>ISNUMBER(O1387)</f>
        <v>1</v>
      </c>
      <c r="O1387" s="1">
        <v>46132</v>
      </c>
      <c r="P1387" t="s">
        <v>2159</v>
      </c>
      <c r="Q1387" t="str">
        <f>SUBSTITUTE(SUBSTITUTE(SUBSTITUTE(P1387," ",""),"-",""),"+","")</f>
        <v>06212014644</v>
      </c>
      <c r="R1387" t="str">
        <f t="shared" si="42"/>
        <v>6212014644</v>
      </c>
      <c r="S1387" t="str">
        <f>IF(LEN(R1387),"Valid","Invalid")</f>
        <v>Valid</v>
      </c>
      <c r="T1387" t="s">
        <v>2158</v>
      </c>
      <c r="V1387" t="s">
        <v>26</v>
      </c>
      <c r="X1387" t="s">
        <v>488</v>
      </c>
      <c r="Y1387" t="s">
        <v>17</v>
      </c>
      <c r="Z1387">
        <v>375</v>
      </c>
      <c r="AA1387">
        <f t="shared" si="43"/>
        <v>375</v>
      </c>
      <c r="AB1387" t="s">
        <v>77</v>
      </c>
    </row>
    <row r="1388" spans="1:28" x14ac:dyDescent="0.3">
      <c r="A1388" t="s">
        <v>2157</v>
      </c>
      <c r="B1388" t="s">
        <v>2156</v>
      </c>
      <c r="C1388" t="s">
        <v>2156</v>
      </c>
      <c r="D1388" t="s">
        <v>123</v>
      </c>
      <c r="E1388">
        <v>66</v>
      </c>
      <c r="F1388">
        <v>66</v>
      </c>
      <c r="G1388" t="s">
        <v>39</v>
      </c>
      <c r="H1388" t="s">
        <v>39</v>
      </c>
      <c r="I1388" t="s">
        <v>67</v>
      </c>
      <c r="J1388" t="s">
        <v>67</v>
      </c>
      <c r="K1388" s="1">
        <v>46165</v>
      </c>
      <c r="L1388" s="1" t="str">
        <f>IF(K1388&gt;O1388,"Valid","Invalid")</f>
        <v>Valid</v>
      </c>
      <c r="M1388" s="1" t="b">
        <f>ISNUMBER(K1388)</f>
        <v>1</v>
      </c>
      <c r="N1388" s="1" t="b">
        <f>ISNUMBER(O1388)</f>
        <v>1</v>
      </c>
      <c r="O1388" s="1">
        <v>46144</v>
      </c>
      <c r="P1388" t="s">
        <v>2155</v>
      </c>
      <c r="Q1388" t="str">
        <f>SUBSTITUTE(SUBSTITUTE(SUBSTITUTE(P1388," ",""),"-",""),"+","")</f>
        <v>8779199869</v>
      </c>
      <c r="R1388" t="str">
        <f t="shared" si="42"/>
        <v>8779199869</v>
      </c>
      <c r="S1388" t="str">
        <f>IF(LEN(R1388),"Valid","Invalid")</f>
        <v>Valid</v>
      </c>
      <c r="T1388" t="s">
        <v>2154</v>
      </c>
      <c r="V1388" t="s">
        <v>27</v>
      </c>
      <c r="X1388">
        <v>22784.42</v>
      </c>
      <c r="Y1388" t="s">
        <v>64</v>
      </c>
      <c r="Z1388">
        <v>334</v>
      </c>
      <c r="AA1388">
        <f t="shared" si="43"/>
        <v>334</v>
      </c>
      <c r="AB1388" t="s">
        <v>71</v>
      </c>
    </row>
    <row r="1389" spans="1:28" x14ac:dyDescent="0.3">
      <c r="A1389" t="s">
        <v>2153</v>
      </c>
      <c r="B1389" t="s">
        <v>2152</v>
      </c>
      <c r="C1389" t="s">
        <v>2152</v>
      </c>
      <c r="D1389" t="s">
        <v>1</v>
      </c>
      <c r="E1389">
        <v>41</v>
      </c>
      <c r="F1389">
        <v>41</v>
      </c>
      <c r="G1389" t="s">
        <v>80</v>
      </c>
      <c r="H1389" t="s">
        <v>80</v>
      </c>
      <c r="I1389" t="s">
        <v>38</v>
      </c>
      <c r="J1389" t="s">
        <v>8077</v>
      </c>
      <c r="K1389" s="1">
        <v>46031</v>
      </c>
      <c r="L1389" s="1" t="str">
        <f>IF(K1389&gt;O1389,"Valid","Invalid")</f>
        <v>Valid</v>
      </c>
      <c r="M1389" s="1" t="b">
        <f>ISNUMBER(K1389)</f>
        <v>1</v>
      </c>
      <c r="N1389" s="1" t="b">
        <f>ISNUMBER(O1389)</f>
        <v>1</v>
      </c>
      <c r="O1389" s="1">
        <v>46016</v>
      </c>
      <c r="P1389" t="s">
        <v>2151</v>
      </c>
      <c r="Q1389" t="str">
        <f>SUBSTITUTE(SUBSTITUTE(SUBSTITUTE(P1389," ",""),"-",""),"+","")</f>
        <v>08001787788</v>
      </c>
      <c r="R1389" t="str">
        <f t="shared" si="42"/>
        <v>8001787788</v>
      </c>
      <c r="S1389" t="str">
        <f>IF(LEN(R1389),"Valid","Invalid")</f>
        <v>Valid</v>
      </c>
      <c r="T1389" t="s">
        <v>2150</v>
      </c>
      <c r="V1389" t="s">
        <v>17</v>
      </c>
      <c r="X1389">
        <v>14364.4</v>
      </c>
      <c r="Y1389" t="s">
        <v>27</v>
      </c>
      <c r="Z1389">
        <v>123</v>
      </c>
      <c r="AA1389">
        <f t="shared" si="43"/>
        <v>123</v>
      </c>
      <c r="AB1389" t="s">
        <v>16</v>
      </c>
    </row>
    <row r="1390" spans="1:28" x14ac:dyDescent="0.3">
      <c r="A1390" t="s">
        <v>2145</v>
      </c>
      <c r="B1390" t="s">
        <v>2144</v>
      </c>
      <c r="C1390" t="s">
        <v>2144</v>
      </c>
      <c r="D1390" t="s">
        <v>1</v>
      </c>
      <c r="E1390">
        <v>48</v>
      </c>
      <c r="F1390">
        <v>48</v>
      </c>
      <c r="G1390" t="s">
        <v>54</v>
      </c>
      <c r="H1390" t="s">
        <v>54</v>
      </c>
      <c r="I1390" t="s">
        <v>46</v>
      </c>
      <c r="J1390" t="s">
        <v>46</v>
      </c>
      <c r="K1390" s="1">
        <v>46010</v>
      </c>
      <c r="L1390" s="1" t="str">
        <f>IF(K1390&gt;O1390,"Valid","Invalid")</f>
        <v>Valid</v>
      </c>
      <c r="M1390" s="1" t="b">
        <f>ISNUMBER(K1390)</f>
        <v>1</v>
      </c>
      <c r="N1390" s="1" t="b">
        <f>ISNUMBER(O1390)</f>
        <v>1</v>
      </c>
      <c r="O1390" s="1">
        <v>46006</v>
      </c>
      <c r="P1390" t="s">
        <v>2143</v>
      </c>
      <c r="Q1390" t="str">
        <f>SUBSTITUTE(SUBSTITUTE(SUBSTITUTE(P1390," ",""),"-",""),"+","")</f>
        <v>09723134324</v>
      </c>
      <c r="R1390" t="str">
        <f t="shared" si="42"/>
        <v>9723134324</v>
      </c>
      <c r="S1390" t="str">
        <f>IF(LEN(R1390),"Valid","Invalid")</f>
        <v>Valid</v>
      </c>
      <c r="T1390" t="s">
        <v>2142</v>
      </c>
      <c r="V1390" t="s">
        <v>35</v>
      </c>
      <c r="X1390">
        <v>15049.04</v>
      </c>
      <c r="Y1390" t="s">
        <v>63</v>
      </c>
      <c r="Z1390">
        <v>316</v>
      </c>
      <c r="AA1390">
        <f t="shared" si="43"/>
        <v>316</v>
      </c>
      <c r="AB1390" t="s">
        <v>25</v>
      </c>
    </row>
    <row r="1391" spans="1:28" x14ac:dyDescent="0.3">
      <c r="A1391" t="s">
        <v>2141</v>
      </c>
      <c r="B1391" t="s">
        <v>2140</v>
      </c>
      <c r="C1391" t="s">
        <v>2140</v>
      </c>
      <c r="D1391" t="s">
        <v>22</v>
      </c>
      <c r="E1391">
        <v>27</v>
      </c>
      <c r="F1391">
        <v>27</v>
      </c>
      <c r="G1391" t="s">
        <v>132</v>
      </c>
      <c r="H1391" t="s">
        <v>132</v>
      </c>
      <c r="I1391" t="s">
        <v>90</v>
      </c>
      <c r="J1391" t="s">
        <v>67</v>
      </c>
      <c r="K1391" s="1">
        <v>46019</v>
      </c>
      <c r="L1391" s="1" t="str">
        <f>IF(K1391&gt;O1391,"Valid","Invalid")</f>
        <v>Valid</v>
      </c>
      <c r="M1391" s="1" t="b">
        <f>ISNUMBER(K1391)</f>
        <v>1</v>
      </c>
      <c r="N1391" s="1" t="b">
        <f>ISNUMBER(O1391)</f>
        <v>1</v>
      </c>
      <c r="O1391" s="1">
        <v>45997</v>
      </c>
      <c r="P1391" t="s">
        <v>2139</v>
      </c>
      <c r="Q1391" t="str">
        <f>SUBSTITUTE(SUBSTITUTE(SUBSTITUTE(P1391," ",""),"-",""),"+","")</f>
        <v>05161315327</v>
      </c>
      <c r="R1391" t="str">
        <f t="shared" si="42"/>
        <v>5161315327</v>
      </c>
      <c r="S1391" t="str">
        <f>IF(LEN(R1391),"Valid","Invalid")</f>
        <v>Valid</v>
      </c>
      <c r="T1391" t="s">
        <v>2138</v>
      </c>
      <c r="V1391" t="s">
        <v>27</v>
      </c>
      <c r="X1391">
        <v>10514.01</v>
      </c>
      <c r="Y1391" t="s">
        <v>123</v>
      </c>
      <c r="Z1391">
        <v>293</v>
      </c>
      <c r="AA1391">
        <f t="shared" si="43"/>
        <v>293</v>
      </c>
      <c r="AB1391" t="s">
        <v>43</v>
      </c>
    </row>
    <row r="1392" spans="1:28" x14ac:dyDescent="0.3">
      <c r="A1392" t="s">
        <v>2137</v>
      </c>
      <c r="B1392" t="s">
        <v>2136</v>
      </c>
      <c r="C1392" t="s">
        <v>2136</v>
      </c>
      <c r="D1392" t="s">
        <v>1</v>
      </c>
      <c r="E1392">
        <v>63</v>
      </c>
      <c r="F1392">
        <v>63</v>
      </c>
      <c r="G1392" t="s">
        <v>132</v>
      </c>
      <c r="H1392" t="s">
        <v>132</v>
      </c>
      <c r="I1392" t="s">
        <v>46</v>
      </c>
      <c r="J1392" t="s">
        <v>46</v>
      </c>
      <c r="K1392" s="1">
        <v>46139</v>
      </c>
      <c r="L1392" s="1" t="str">
        <f>IF(K1392&gt;O1392,"Valid","Invalid")</f>
        <v>Valid</v>
      </c>
      <c r="M1392" s="1" t="b">
        <f>ISNUMBER(K1392)</f>
        <v>1</v>
      </c>
      <c r="N1392" s="1" t="b">
        <f>ISNUMBER(O1392)</f>
        <v>1</v>
      </c>
      <c r="O1392" s="1">
        <v>46119</v>
      </c>
      <c r="P1392" t="s">
        <v>2135</v>
      </c>
      <c r="Q1392" t="str">
        <f>SUBSTITUTE(SUBSTITUTE(SUBSTITUTE(P1392," ",""),"-",""),"+","")</f>
        <v>01991198086</v>
      </c>
      <c r="R1392" t="str">
        <f t="shared" si="42"/>
        <v>1991198086</v>
      </c>
      <c r="S1392" t="str">
        <f>IF(LEN(R1392),"Valid","Invalid")</f>
        <v>Valid</v>
      </c>
      <c r="T1392" t="s">
        <v>2134</v>
      </c>
      <c r="V1392" t="s">
        <v>123</v>
      </c>
      <c r="X1392">
        <v>1236.6199999999999</v>
      </c>
      <c r="Y1392" t="s">
        <v>123</v>
      </c>
      <c r="Z1392">
        <v>165</v>
      </c>
      <c r="AA1392">
        <f t="shared" si="43"/>
        <v>165</v>
      </c>
      <c r="AB1392" t="s">
        <v>25</v>
      </c>
    </row>
    <row r="1393" spans="1:28" x14ac:dyDescent="0.3">
      <c r="A1393" t="s">
        <v>2133</v>
      </c>
      <c r="B1393" t="s">
        <v>2132</v>
      </c>
      <c r="C1393" t="s">
        <v>2132</v>
      </c>
      <c r="D1393" t="s">
        <v>1</v>
      </c>
      <c r="E1393">
        <v>10</v>
      </c>
      <c r="F1393">
        <v>10</v>
      </c>
      <c r="G1393" t="s">
        <v>80</v>
      </c>
      <c r="H1393" t="s">
        <v>80</v>
      </c>
      <c r="I1393" t="s">
        <v>20</v>
      </c>
      <c r="J1393" t="s">
        <v>20</v>
      </c>
      <c r="K1393" s="1">
        <v>46013</v>
      </c>
      <c r="L1393" s="1" t="str">
        <f>IF(K1393&gt;O1393,"Valid","Invalid")</f>
        <v>Valid</v>
      </c>
      <c r="M1393" s="1" t="b">
        <f>ISNUMBER(K1393)</f>
        <v>1</v>
      </c>
      <c r="N1393" s="1" t="b">
        <f>ISNUMBER(O1393)</f>
        <v>1</v>
      </c>
      <c r="O1393" s="1">
        <v>46008</v>
      </c>
      <c r="P1393" t="s">
        <v>2131</v>
      </c>
      <c r="Q1393" t="str">
        <f>SUBSTITUTE(SUBSTITUTE(SUBSTITUTE(P1393," ",""),"-",""),"+","")</f>
        <v>05840820049</v>
      </c>
      <c r="R1393" t="str">
        <f t="shared" si="42"/>
        <v>5840820049</v>
      </c>
      <c r="S1393" t="str">
        <f>IF(LEN(R1393),"Valid","Invalid")</f>
        <v>Valid</v>
      </c>
      <c r="T1393" t="s">
        <v>2130</v>
      </c>
      <c r="V1393" t="s">
        <v>123</v>
      </c>
      <c r="X1393">
        <v>1849.21</v>
      </c>
      <c r="Y1393" t="s">
        <v>17</v>
      </c>
      <c r="Z1393">
        <v>185</v>
      </c>
      <c r="AA1393">
        <f t="shared" si="43"/>
        <v>185</v>
      </c>
      <c r="AB1393" t="s">
        <v>25</v>
      </c>
    </row>
    <row r="1394" spans="1:28" x14ac:dyDescent="0.3">
      <c r="A1394" t="s">
        <v>2129</v>
      </c>
      <c r="B1394" t="s">
        <v>2128</v>
      </c>
      <c r="C1394" t="s">
        <v>2128</v>
      </c>
      <c r="D1394" t="s">
        <v>22</v>
      </c>
      <c r="E1394">
        <v>88</v>
      </c>
      <c r="F1394">
        <v>88</v>
      </c>
      <c r="G1394" t="s">
        <v>54</v>
      </c>
      <c r="H1394" t="s">
        <v>54</v>
      </c>
      <c r="I1394" t="s">
        <v>30</v>
      </c>
      <c r="J1394" t="s">
        <v>30</v>
      </c>
      <c r="K1394" s="1">
        <v>46079</v>
      </c>
      <c r="L1394" s="1" t="str">
        <f>IF(K1394&gt;O1394,"Valid","Invalid")</f>
        <v>Valid</v>
      </c>
      <c r="M1394" s="1" t="b">
        <f>ISNUMBER(K1394)</f>
        <v>1</v>
      </c>
      <c r="N1394" s="1" t="b">
        <f>ISNUMBER(O1394)</f>
        <v>1</v>
      </c>
      <c r="O1394" s="1">
        <v>46062</v>
      </c>
      <c r="P1394" t="s">
        <v>2127</v>
      </c>
      <c r="Q1394" t="str">
        <f>SUBSTITUTE(SUBSTITUTE(SUBSTITUTE(P1394," ",""),"-",""),"+","")</f>
        <v>3497567969</v>
      </c>
      <c r="R1394" t="str">
        <f t="shared" si="42"/>
        <v>3497567969</v>
      </c>
      <c r="S1394" t="str">
        <f>IF(LEN(R1394),"Valid","Invalid")</f>
        <v>Valid</v>
      </c>
      <c r="T1394" t="s">
        <v>2126</v>
      </c>
      <c r="V1394" t="s">
        <v>26</v>
      </c>
      <c r="X1394">
        <v>7260.68</v>
      </c>
      <c r="Y1394" t="s">
        <v>63</v>
      </c>
      <c r="Z1394">
        <v>155</v>
      </c>
      <c r="AA1394">
        <f t="shared" si="43"/>
        <v>155</v>
      </c>
      <c r="AB1394" t="s">
        <v>50</v>
      </c>
    </row>
    <row r="1395" spans="1:28" x14ac:dyDescent="0.3">
      <c r="A1395" t="s">
        <v>2125</v>
      </c>
      <c r="B1395" t="s">
        <v>2124</v>
      </c>
      <c r="C1395" t="s">
        <v>2124</v>
      </c>
      <c r="D1395" t="s">
        <v>74</v>
      </c>
      <c r="E1395">
        <v>51</v>
      </c>
      <c r="F1395">
        <v>51</v>
      </c>
      <c r="G1395" t="s">
        <v>21</v>
      </c>
      <c r="H1395" t="s">
        <v>21</v>
      </c>
      <c r="I1395" t="s">
        <v>20</v>
      </c>
      <c r="J1395" t="s">
        <v>20</v>
      </c>
      <c r="K1395" s="1">
        <v>46016</v>
      </c>
      <c r="L1395" s="1" t="str">
        <f>IF(K1395&gt;O1395,"Valid","Invalid")</f>
        <v>Valid</v>
      </c>
      <c r="M1395" s="1" t="b">
        <f>ISNUMBER(K1395)</f>
        <v>1</v>
      </c>
      <c r="N1395" s="1" t="b">
        <f>ISNUMBER(O1395)</f>
        <v>1</v>
      </c>
      <c r="O1395" s="1">
        <v>45999</v>
      </c>
      <c r="P1395" t="s">
        <v>2123</v>
      </c>
      <c r="Q1395" t="str">
        <f>SUBSTITUTE(SUBSTITUTE(SUBSTITUTE(P1395," ",""),"-",""),"+","")</f>
        <v>09505205067</v>
      </c>
      <c r="R1395" t="str">
        <f t="shared" si="42"/>
        <v>9505205067</v>
      </c>
      <c r="S1395" t="str">
        <f>IF(LEN(R1395),"Valid","Invalid")</f>
        <v>Valid</v>
      </c>
      <c r="T1395" t="s">
        <v>2122</v>
      </c>
      <c r="V1395" t="s">
        <v>123</v>
      </c>
      <c r="X1395">
        <v>5179.55</v>
      </c>
      <c r="Y1395" t="s">
        <v>27</v>
      </c>
      <c r="Z1395">
        <v>340</v>
      </c>
      <c r="AA1395">
        <f t="shared" si="43"/>
        <v>340</v>
      </c>
      <c r="AB1395" t="s">
        <v>16</v>
      </c>
    </row>
    <row r="1396" spans="1:28" x14ac:dyDescent="0.3">
      <c r="A1396" t="s">
        <v>2121</v>
      </c>
      <c r="B1396" t="s">
        <v>2120</v>
      </c>
      <c r="C1396" t="s">
        <v>2120</v>
      </c>
      <c r="D1396" t="s">
        <v>74</v>
      </c>
      <c r="E1396">
        <v>15</v>
      </c>
      <c r="F1396">
        <v>15</v>
      </c>
      <c r="G1396" t="s">
        <v>21</v>
      </c>
      <c r="H1396" t="s">
        <v>21</v>
      </c>
      <c r="I1396" t="s">
        <v>46</v>
      </c>
      <c r="J1396" t="s">
        <v>46</v>
      </c>
      <c r="K1396" s="1">
        <v>46092</v>
      </c>
      <c r="L1396" s="1" t="str">
        <f>IF(K1396&gt;O1396,"Valid","Invalid")</f>
        <v>Valid</v>
      </c>
      <c r="M1396" s="1" t="b">
        <f>ISNUMBER(K1396)</f>
        <v>1</v>
      </c>
      <c r="N1396" s="1" t="b">
        <f>ISNUMBER(O1396)</f>
        <v>1</v>
      </c>
      <c r="O1396" s="1">
        <v>46066</v>
      </c>
      <c r="P1396" t="s">
        <v>2119</v>
      </c>
      <c r="Q1396" t="str">
        <f>SUBSTITUTE(SUBSTITUTE(SUBSTITUTE(P1396," ",""),"-",""),"+","")</f>
        <v>5591815604</v>
      </c>
      <c r="R1396" t="str">
        <f t="shared" si="42"/>
        <v>5591815604</v>
      </c>
      <c r="S1396" t="str">
        <f>IF(LEN(R1396),"Valid","Invalid")</f>
        <v>Valid</v>
      </c>
      <c r="T1396" t="s">
        <v>2118</v>
      </c>
      <c r="V1396" t="s">
        <v>123</v>
      </c>
      <c r="X1396">
        <v>4775.0600000000004</v>
      </c>
      <c r="Y1396" t="s">
        <v>64</v>
      </c>
      <c r="Z1396">
        <v>223</v>
      </c>
      <c r="AA1396">
        <f t="shared" si="43"/>
        <v>223</v>
      </c>
      <c r="AB1396" t="s">
        <v>16</v>
      </c>
    </row>
    <row r="1397" spans="1:28" x14ac:dyDescent="0.3">
      <c r="A1397" t="s">
        <v>2117</v>
      </c>
      <c r="B1397" t="s">
        <v>2116</v>
      </c>
      <c r="C1397" t="s">
        <v>2116</v>
      </c>
      <c r="D1397" t="s">
        <v>60</v>
      </c>
      <c r="E1397">
        <v>57</v>
      </c>
      <c r="F1397">
        <v>57</v>
      </c>
      <c r="G1397" t="s">
        <v>39</v>
      </c>
      <c r="H1397" t="s">
        <v>39</v>
      </c>
      <c r="I1397" t="s">
        <v>85</v>
      </c>
      <c r="J1397" t="s">
        <v>85</v>
      </c>
      <c r="K1397" s="1">
        <v>46147</v>
      </c>
      <c r="L1397" s="1" t="str">
        <f>IF(K1397&gt;O1397,"Valid","Invalid")</f>
        <v>Valid</v>
      </c>
      <c r="M1397" s="1" t="b">
        <f>ISNUMBER(K1397)</f>
        <v>1</v>
      </c>
      <c r="N1397" s="1" t="b">
        <f>ISNUMBER(O1397)</f>
        <v>1</v>
      </c>
      <c r="O1397" s="1">
        <v>46128</v>
      </c>
      <c r="P1397" t="s">
        <v>2115</v>
      </c>
      <c r="Q1397" t="str">
        <f>SUBSTITUTE(SUBSTITUTE(SUBSTITUTE(P1397," ",""),"-",""),"+","")</f>
        <v>4375221498</v>
      </c>
      <c r="R1397" t="str">
        <f t="shared" si="42"/>
        <v>4375221498</v>
      </c>
      <c r="S1397" t="str">
        <f>IF(LEN(R1397),"Valid","Invalid")</f>
        <v>Valid</v>
      </c>
      <c r="T1397" t="s">
        <v>2114</v>
      </c>
      <c r="V1397" t="s">
        <v>27</v>
      </c>
      <c r="X1397">
        <v>16639.34</v>
      </c>
      <c r="Y1397" t="s">
        <v>57</v>
      </c>
      <c r="Z1397">
        <v>493</v>
      </c>
      <c r="AA1397">
        <f t="shared" si="43"/>
        <v>493</v>
      </c>
      <c r="AB1397" t="s">
        <v>71</v>
      </c>
    </row>
    <row r="1398" spans="1:28" x14ac:dyDescent="0.3">
      <c r="A1398" t="s">
        <v>2113</v>
      </c>
      <c r="B1398" t="s">
        <v>2112</v>
      </c>
      <c r="C1398" t="s">
        <v>2112</v>
      </c>
      <c r="D1398" t="s">
        <v>60</v>
      </c>
      <c r="E1398">
        <v>6</v>
      </c>
      <c r="F1398">
        <v>6</v>
      </c>
      <c r="G1398" t="s">
        <v>47</v>
      </c>
      <c r="H1398" t="s">
        <v>47</v>
      </c>
      <c r="I1398" t="s">
        <v>53</v>
      </c>
      <c r="J1398" t="s">
        <v>20</v>
      </c>
      <c r="K1398" s="1">
        <v>45990</v>
      </c>
      <c r="L1398" s="1" t="str">
        <f>IF(K1398&gt;O1398,"Valid","Invalid")</f>
        <v>Valid</v>
      </c>
      <c r="M1398" s="1" t="b">
        <f>ISNUMBER(K1398)</f>
        <v>1</v>
      </c>
      <c r="N1398" s="1" t="b">
        <f>ISNUMBER(O1398)</f>
        <v>1</v>
      </c>
      <c r="O1398" s="1">
        <v>45980</v>
      </c>
      <c r="P1398" t="s">
        <v>2111</v>
      </c>
      <c r="Q1398" t="str">
        <f>SUBSTITUTE(SUBSTITUTE(SUBSTITUTE(P1398," ",""),"-",""),"+","")</f>
        <v>6922012138</v>
      </c>
      <c r="R1398" t="str">
        <f t="shared" si="42"/>
        <v>6922012138</v>
      </c>
      <c r="S1398" t="str">
        <f>IF(LEN(R1398),"Valid","Invalid")</f>
        <v>Valid</v>
      </c>
      <c r="T1398" t="s">
        <v>2110</v>
      </c>
      <c r="V1398" t="s">
        <v>26</v>
      </c>
      <c r="X1398">
        <v>23061.63</v>
      </c>
      <c r="Y1398" t="s">
        <v>17</v>
      </c>
      <c r="Z1398">
        <v>336</v>
      </c>
      <c r="AA1398">
        <f t="shared" si="43"/>
        <v>336</v>
      </c>
      <c r="AB1398" t="s">
        <v>71</v>
      </c>
    </row>
    <row r="1399" spans="1:28" x14ac:dyDescent="0.3">
      <c r="A1399" t="s">
        <v>2109</v>
      </c>
      <c r="B1399" t="s">
        <v>2108</v>
      </c>
      <c r="C1399" t="s">
        <v>2108</v>
      </c>
      <c r="D1399" t="s">
        <v>40</v>
      </c>
      <c r="E1399">
        <v>51</v>
      </c>
      <c r="F1399">
        <v>51</v>
      </c>
      <c r="G1399" t="s">
        <v>54</v>
      </c>
      <c r="H1399" t="s">
        <v>54</v>
      </c>
      <c r="I1399" t="s">
        <v>53</v>
      </c>
      <c r="J1399" t="s">
        <v>20</v>
      </c>
      <c r="K1399" s="1">
        <v>46118</v>
      </c>
      <c r="L1399" s="1" t="str">
        <f>IF(K1399&gt;O1399,"Valid","Invalid")</f>
        <v>Valid</v>
      </c>
      <c r="M1399" s="1" t="b">
        <f>ISNUMBER(K1399)</f>
        <v>1</v>
      </c>
      <c r="N1399" s="1" t="b">
        <f>ISNUMBER(O1399)</f>
        <v>1</v>
      </c>
      <c r="O1399" s="1">
        <v>46088</v>
      </c>
      <c r="P1399" t="s">
        <v>2107</v>
      </c>
      <c r="Q1399" t="str">
        <f>SUBSTITUTE(SUBSTITUTE(SUBSTITUTE(P1399," ",""),"-",""),"+","")</f>
        <v>915467199415</v>
      </c>
      <c r="R1399" t="str">
        <f t="shared" si="42"/>
        <v>5467199415</v>
      </c>
      <c r="S1399" t="str">
        <f>IF(LEN(R1399),"Valid","Invalid")</f>
        <v>Valid</v>
      </c>
      <c r="T1399" t="s">
        <v>2106</v>
      </c>
      <c r="V1399" t="s">
        <v>26</v>
      </c>
      <c r="X1399">
        <v>12738.75</v>
      </c>
      <c r="Y1399" t="s">
        <v>57</v>
      </c>
      <c r="Z1399">
        <v>194</v>
      </c>
      <c r="AA1399">
        <f t="shared" si="43"/>
        <v>194</v>
      </c>
      <c r="AB1399" t="s">
        <v>25</v>
      </c>
    </row>
    <row r="1400" spans="1:28" x14ac:dyDescent="0.3">
      <c r="A1400" t="s">
        <v>2105</v>
      </c>
      <c r="B1400" t="s">
        <v>2104</v>
      </c>
      <c r="C1400" t="s">
        <v>2104</v>
      </c>
      <c r="D1400" t="s">
        <v>1</v>
      </c>
      <c r="E1400">
        <v>43</v>
      </c>
      <c r="F1400">
        <v>43</v>
      </c>
      <c r="G1400" t="s">
        <v>68</v>
      </c>
      <c r="H1400" t="s">
        <v>68</v>
      </c>
      <c r="I1400" t="s">
        <v>46</v>
      </c>
      <c r="J1400" t="s">
        <v>46</v>
      </c>
      <c r="K1400" s="1">
        <v>46128</v>
      </c>
      <c r="L1400" s="1" t="str">
        <f>IF(K1400&gt;O1400,"Valid","Invalid")</f>
        <v>Valid</v>
      </c>
      <c r="M1400" s="1" t="b">
        <f>ISNUMBER(K1400)</f>
        <v>1</v>
      </c>
      <c r="N1400" s="1" t="b">
        <f>ISNUMBER(O1400)</f>
        <v>1</v>
      </c>
      <c r="O1400" s="1">
        <v>46101</v>
      </c>
      <c r="P1400" t="s">
        <v>2103</v>
      </c>
      <c r="Q1400" t="str">
        <f>SUBSTITUTE(SUBSTITUTE(SUBSTITUTE(P1400," ",""),"-",""),"+","")</f>
        <v>01809945724</v>
      </c>
      <c r="R1400" t="str">
        <f t="shared" si="42"/>
        <v>1809945724</v>
      </c>
      <c r="S1400" t="str">
        <f>IF(LEN(R1400),"Valid","Invalid")</f>
        <v>Valid</v>
      </c>
      <c r="T1400" t="s">
        <v>2102</v>
      </c>
      <c r="V1400" t="s">
        <v>123</v>
      </c>
      <c r="X1400">
        <v>1920.7</v>
      </c>
      <c r="Y1400" t="s">
        <v>57</v>
      </c>
      <c r="Z1400">
        <v>408</v>
      </c>
      <c r="AA1400">
        <f t="shared" si="43"/>
        <v>408</v>
      </c>
      <c r="AB1400" t="s">
        <v>34</v>
      </c>
    </row>
    <row r="1401" spans="1:28" x14ac:dyDescent="0.3">
      <c r="A1401" t="s">
        <v>2101</v>
      </c>
      <c r="B1401" t="s">
        <v>2100</v>
      </c>
      <c r="C1401" t="s">
        <v>8067</v>
      </c>
      <c r="D1401" t="s">
        <v>22</v>
      </c>
      <c r="E1401">
        <v>72</v>
      </c>
      <c r="F1401">
        <v>72</v>
      </c>
      <c r="G1401" t="s">
        <v>39</v>
      </c>
      <c r="H1401" t="s">
        <v>39</v>
      </c>
      <c r="I1401" t="s">
        <v>53</v>
      </c>
      <c r="J1401" t="s">
        <v>20</v>
      </c>
      <c r="K1401" s="1">
        <v>46125</v>
      </c>
      <c r="L1401" s="1" t="str">
        <f>IF(K1401&gt;O1401,"Valid","Invalid")</f>
        <v>Valid</v>
      </c>
      <c r="M1401" s="1" t="b">
        <f>ISNUMBER(K1401)</f>
        <v>1</v>
      </c>
      <c r="N1401" s="1" t="b">
        <f>ISNUMBER(O1401)</f>
        <v>1</v>
      </c>
      <c r="O1401" s="1">
        <v>46108</v>
      </c>
      <c r="P1401" t="s">
        <v>2099</v>
      </c>
      <c r="Q1401" t="str">
        <f>SUBSTITUTE(SUBSTITUTE(SUBSTITUTE(P1401," ",""),"-",""),"+","")</f>
        <v>07590477611</v>
      </c>
      <c r="R1401" t="str">
        <f t="shared" si="42"/>
        <v>7590477611</v>
      </c>
      <c r="S1401" t="str">
        <f>IF(LEN(R1401),"Valid","Invalid")</f>
        <v>Valid</v>
      </c>
      <c r="T1401" t="s">
        <v>2098</v>
      </c>
      <c r="V1401" t="s">
        <v>57</v>
      </c>
      <c r="X1401">
        <v>1606.49</v>
      </c>
      <c r="Y1401" t="s">
        <v>64</v>
      </c>
      <c r="Z1401">
        <v>309</v>
      </c>
      <c r="AA1401">
        <f t="shared" si="43"/>
        <v>309</v>
      </c>
      <c r="AB1401" t="s">
        <v>34</v>
      </c>
    </row>
    <row r="1402" spans="1:28" x14ac:dyDescent="0.3">
      <c r="A1402" t="s">
        <v>2097</v>
      </c>
      <c r="B1402" t="s">
        <v>2096</v>
      </c>
      <c r="C1402" t="s">
        <v>2096</v>
      </c>
      <c r="D1402" t="s">
        <v>40</v>
      </c>
      <c r="E1402">
        <v>80</v>
      </c>
      <c r="F1402">
        <v>80</v>
      </c>
      <c r="G1402" t="s">
        <v>39</v>
      </c>
      <c r="H1402" t="s">
        <v>39</v>
      </c>
      <c r="I1402" t="s">
        <v>67</v>
      </c>
      <c r="J1402" t="s">
        <v>67</v>
      </c>
      <c r="K1402" s="1">
        <v>46042</v>
      </c>
      <c r="L1402" s="1" t="str">
        <f>IF(K1402&gt;O1402,"Valid","Invalid")</f>
        <v>Valid</v>
      </c>
      <c r="M1402" s="1" t="b">
        <f>ISNUMBER(K1402)</f>
        <v>1</v>
      </c>
      <c r="N1402" s="1" t="b">
        <f>ISNUMBER(O1402)</f>
        <v>1</v>
      </c>
      <c r="O1402" s="1">
        <v>46031</v>
      </c>
      <c r="P1402" t="s">
        <v>2095</v>
      </c>
      <c r="Q1402" t="str">
        <f>SUBSTITUTE(SUBSTITUTE(SUBSTITUTE(P1402," ",""),"-",""),"+","")</f>
        <v>913141815417</v>
      </c>
      <c r="R1402" t="str">
        <f t="shared" si="42"/>
        <v>3141815417</v>
      </c>
      <c r="S1402" t="str">
        <f>IF(LEN(R1402),"Valid","Invalid")</f>
        <v>Valid</v>
      </c>
      <c r="T1402" t="s">
        <v>2094</v>
      </c>
      <c r="V1402" t="s">
        <v>27</v>
      </c>
      <c r="X1402">
        <v>3758.46</v>
      </c>
      <c r="Y1402" t="s">
        <v>64</v>
      </c>
      <c r="Z1402">
        <v>450</v>
      </c>
      <c r="AA1402">
        <f t="shared" si="43"/>
        <v>450</v>
      </c>
      <c r="AB1402" t="s">
        <v>71</v>
      </c>
    </row>
    <row r="1403" spans="1:28" x14ac:dyDescent="0.3">
      <c r="A1403" t="s">
        <v>2093</v>
      </c>
      <c r="B1403" t="s">
        <v>2092</v>
      </c>
      <c r="C1403" t="s">
        <v>2092</v>
      </c>
      <c r="D1403" t="s">
        <v>40</v>
      </c>
      <c r="E1403">
        <v>49</v>
      </c>
      <c r="F1403">
        <v>49</v>
      </c>
      <c r="G1403" t="s">
        <v>47</v>
      </c>
      <c r="H1403" t="s">
        <v>47</v>
      </c>
      <c r="I1403" t="s">
        <v>46</v>
      </c>
      <c r="J1403" t="s">
        <v>46</v>
      </c>
      <c r="K1403" s="1">
        <v>46064</v>
      </c>
      <c r="L1403" s="1" t="str">
        <f>IF(K1403&gt;O1403,"Valid","Invalid")</f>
        <v>Valid</v>
      </c>
      <c r="M1403" s="1" t="b">
        <f>ISNUMBER(K1403)</f>
        <v>1</v>
      </c>
      <c r="N1403" s="1" t="b">
        <f>ISNUMBER(O1403)</f>
        <v>1</v>
      </c>
      <c r="O1403" s="1">
        <v>46038</v>
      </c>
      <c r="P1403" t="s">
        <v>2091</v>
      </c>
      <c r="Q1403" t="str">
        <f>SUBSTITUTE(SUBSTITUTE(SUBSTITUTE(P1403," ",""),"-",""),"+","")</f>
        <v>910827744150</v>
      </c>
      <c r="R1403" t="str">
        <f t="shared" si="42"/>
        <v>0827744150</v>
      </c>
      <c r="S1403" t="str">
        <f>IF(LEN(R1403),"Valid","Invalid")</f>
        <v>Valid</v>
      </c>
      <c r="T1403" t="s">
        <v>2090</v>
      </c>
      <c r="V1403" t="s">
        <v>123</v>
      </c>
      <c r="X1403">
        <v>19263.650000000001</v>
      </c>
      <c r="Y1403" t="s">
        <v>64</v>
      </c>
      <c r="Z1403">
        <v>538</v>
      </c>
      <c r="AA1403">
        <f t="shared" si="43"/>
        <v>538</v>
      </c>
      <c r="AB1403" t="s">
        <v>71</v>
      </c>
    </row>
    <row r="1404" spans="1:28" x14ac:dyDescent="0.3">
      <c r="A1404" t="s">
        <v>2089</v>
      </c>
      <c r="B1404" t="s">
        <v>2088</v>
      </c>
      <c r="C1404" t="s">
        <v>2088</v>
      </c>
      <c r="D1404" t="s">
        <v>40</v>
      </c>
      <c r="E1404">
        <v>73</v>
      </c>
      <c r="F1404">
        <v>73</v>
      </c>
      <c r="G1404" t="s">
        <v>80</v>
      </c>
      <c r="H1404" t="s">
        <v>80</v>
      </c>
      <c r="I1404" t="s">
        <v>46</v>
      </c>
      <c r="J1404" t="s">
        <v>46</v>
      </c>
      <c r="K1404" s="1">
        <v>46162</v>
      </c>
      <c r="L1404" s="1" t="str">
        <f>IF(K1404&gt;O1404,"Valid","Invalid")</f>
        <v>Valid</v>
      </c>
      <c r="M1404" s="1" t="b">
        <f>ISNUMBER(K1404)</f>
        <v>1</v>
      </c>
      <c r="N1404" s="1" t="b">
        <f>ISNUMBER(O1404)</f>
        <v>1</v>
      </c>
      <c r="O1404" s="1">
        <v>46142</v>
      </c>
      <c r="P1404" t="s">
        <v>2087</v>
      </c>
      <c r="Q1404" t="str">
        <f>SUBSTITUTE(SUBSTITUTE(SUBSTITUTE(P1404," ",""),"-",""),"+","")</f>
        <v>917889387692</v>
      </c>
      <c r="R1404" t="str">
        <f t="shared" si="42"/>
        <v>7889387692</v>
      </c>
      <c r="S1404" t="str">
        <f>IF(LEN(R1404),"Valid","Invalid")</f>
        <v>Valid</v>
      </c>
      <c r="T1404" t="s">
        <v>2086</v>
      </c>
      <c r="V1404" t="s">
        <v>123</v>
      </c>
      <c r="X1404">
        <v>23442.83</v>
      </c>
      <c r="Y1404" t="s">
        <v>123</v>
      </c>
      <c r="Z1404">
        <v>244</v>
      </c>
      <c r="AA1404">
        <f t="shared" si="43"/>
        <v>244</v>
      </c>
      <c r="AB1404" t="s">
        <v>25</v>
      </c>
    </row>
    <row r="1405" spans="1:28" x14ac:dyDescent="0.3">
      <c r="A1405" t="s">
        <v>2085</v>
      </c>
      <c r="B1405" t="s">
        <v>2084</v>
      </c>
      <c r="C1405" t="s">
        <v>2084</v>
      </c>
      <c r="D1405" t="s">
        <v>123</v>
      </c>
      <c r="E1405">
        <v>58</v>
      </c>
      <c r="F1405">
        <v>58</v>
      </c>
      <c r="G1405" t="s">
        <v>21</v>
      </c>
      <c r="H1405" t="s">
        <v>21</v>
      </c>
      <c r="I1405" t="s">
        <v>85</v>
      </c>
      <c r="J1405" t="s">
        <v>85</v>
      </c>
      <c r="K1405" s="1">
        <v>46113</v>
      </c>
      <c r="L1405" s="1" t="str">
        <f>IF(K1405&gt;O1405,"Valid","Invalid")</f>
        <v>Valid</v>
      </c>
      <c r="M1405" s="1" t="b">
        <f>ISNUMBER(K1405)</f>
        <v>1</v>
      </c>
      <c r="N1405" s="1" t="b">
        <f>ISNUMBER(O1405)</f>
        <v>1</v>
      </c>
      <c r="O1405" s="1">
        <v>46094</v>
      </c>
      <c r="P1405" t="s">
        <v>2083</v>
      </c>
      <c r="Q1405" t="str">
        <f>SUBSTITUTE(SUBSTITUTE(SUBSTITUTE(P1405," ",""),"-",""),"+","")</f>
        <v>911526676519</v>
      </c>
      <c r="R1405" t="str">
        <f t="shared" si="42"/>
        <v>1526676519</v>
      </c>
      <c r="S1405" t="str">
        <f>IF(LEN(R1405),"Valid","Invalid")</f>
        <v>Valid</v>
      </c>
      <c r="T1405" t="s">
        <v>2082</v>
      </c>
      <c r="V1405" t="s">
        <v>26</v>
      </c>
      <c r="X1405">
        <v>8759.6299999999992</v>
      </c>
      <c r="Y1405" t="s">
        <v>123</v>
      </c>
      <c r="Z1405">
        <v>345</v>
      </c>
      <c r="AA1405">
        <f t="shared" si="43"/>
        <v>345</v>
      </c>
      <c r="AB1405" t="s">
        <v>71</v>
      </c>
    </row>
    <row r="1406" spans="1:28" x14ac:dyDescent="0.3">
      <c r="A1406" t="s">
        <v>2081</v>
      </c>
      <c r="B1406" t="s">
        <v>2080</v>
      </c>
      <c r="C1406" t="s">
        <v>2080</v>
      </c>
      <c r="E1406">
        <v>69</v>
      </c>
      <c r="F1406">
        <v>69</v>
      </c>
      <c r="G1406" t="s">
        <v>31</v>
      </c>
      <c r="H1406" t="s">
        <v>31</v>
      </c>
      <c r="I1406" t="s">
        <v>38</v>
      </c>
      <c r="J1406" t="s">
        <v>8077</v>
      </c>
      <c r="K1406" s="1">
        <v>46086</v>
      </c>
      <c r="L1406" s="1" t="str">
        <f>IF(K1406&gt;O1406,"Valid","Invalid")</f>
        <v>Valid</v>
      </c>
      <c r="M1406" s="1" t="b">
        <f>ISNUMBER(K1406)</f>
        <v>1</v>
      </c>
      <c r="N1406" s="1" t="b">
        <f>ISNUMBER(O1406)</f>
        <v>1</v>
      </c>
      <c r="O1406" s="1">
        <v>46082</v>
      </c>
      <c r="P1406" t="s">
        <v>2079</v>
      </c>
      <c r="Q1406" t="str">
        <f>SUBSTITUTE(SUBSTITUTE(SUBSTITUTE(P1406," ",""),"-",""),"+","")</f>
        <v>00532080055</v>
      </c>
      <c r="R1406" t="str">
        <f t="shared" si="42"/>
        <v>0532080055</v>
      </c>
      <c r="S1406" t="str">
        <f>IF(LEN(R1406),"Valid","Invalid")</f>
        <v>Valid</v>
      </c>
      <c r="T1406" t="s">
        <v>2078</v>
      </c>
      <c r="V1406" t="s">
        <v>26</v>
      </c>
      <c r="X1406">
        <v>15999.91</v>
      </c>
      <c r="Y1406" t="s">
        <v>26</v>
      </c>
      <c r="Z1406">
        <v>298</v>
      </c>
      <c r="AA1406">
        <f t="shared" si="43"/>
        <v>298</v>
      </c>
      <c r="AB1406" t="s">
        <v>43</v>
      </c>
    </row>
    <row r="1407" spans="1:28" x14ac:dyDescent="0.3">
      <c r="A1407" t="s">
        <v>2077</v>
      </c>
      <c r="B1407" t="s">
        <v>2076</v>
      </c>
      <c r="C1407" t="s">
        <v>2076</v>
      </c>
      <c r="D1407" t="s">
        <v>0</v>
      </c>
      <c r="E1407">
        <v>48</v>
      </c>
      <c r="F1407">
        <v>48</v>
      </c>
      <c r="G1407" t="s">
        <v>47</v>
      </c>
      <c r="H1407" t="s">
        <v>47</v>
      </c>
      <c r="I1407" t="s">
        <v>90</v>
      </c>
      <c r="J1407" t="s">
        <v>67</v>
      </c>
      <c r="K1407" s="1">
        <v>46166</v>
      </c>
      <c r="L1407" s="1" t="str">
        <f>IF(K1407&gt;O1407,"Valid","Invalid")</f>
        <v>Valid</v>
      </c>
      <c r="M1407" s="1" t="b">
        <f>ISNUMBER(K1407)</f>
        <v>1</v>
      </c>
      <c r="N1407" s="1" t="b">
        <f>ISNUMBER(O1407)</f>
        <v>1</v>
      </c>
      <c r="O1407" s="1">
        <v>46141</v>
      </c>
      <c r="P1407" t="s">
        <v>2075</v>
      </c>
      <c r="Q1407" t="str">
        <f>SUBSTITUTE(SUBSTITUTE(SUBSTITUTE(P1407," ",""),"-",""),"+","")</f>
        <v>06520715153</v>
      </c>
      <c r="R1407" t="str">
        <f t="shared" si="42"/>
        <v>6520715153</v>
      </c>
      <c r="S1407" t="str">
        <f>IF(LEN(R1407),"Valid","Invalid")</f>
        <v>Valid</v>
      </c>
      <c r="T1407" t="s">
        <v>2074</v>
      </c>
      <c r="V1407" t="s">
        <v>26</v>
      </c>
      <c r="X1407">
        <v>3770.8</v>
      </c>
      <c r="Y1407" t="s">
        <v>123</v>
      </c>
      <c r="Z1407">
        <v>310</v>
      </c>
      <c r="AA1407">
        <f t="shared" si="43"/>
        <v>310</v>
      </c>
      <c r="AB1407" t="s">
        <v>25</v>
      </c>
    </row>
    <row r="1408" spans="1:28" x14ac:dyDescent="0.3">
      <c r="A1408" t="s">
        <v>2073</v>
      </c>
      <c r="B1408" t="s">
        <v>2072</v>
      </c>
      <c r="C1408" t="s">
        <v>2072</v>
      </c>
      <c r="D1408" t="s">
        <v>1</v>
      </c>
      <c r="E1408">
        <v>52</v>
      </c>
      <c r="F1408">
        <v>52</v>
      </c>
      <c r="G1408" t="s">
        <v>39</v>
      </c>
      <c r="H1408" t="s">
        <v>39</v>
      </c>
      <c r="I1408" t="s">
        <v>67</v>
      </c>
      <c r="J1408" t="s">
        <v>67</v>
      </c>
      <c r="K1408" s="1">
        <v>46130</v>
      </c>
      <c r="L1408" s="1" t="str">
        <f>IF(K1408&gt;O1408,"Valid","Invalid")</f>
        <v>Valid</v>
      </c>
      <c r="M1408" s="1" t="b">
        <f>ISNUMBER(K1408)</f>
        <v>1</v>
      </c>
      <c r="N1408" s="1" t="b">
        <f>ISNUMBER(O1408)</f>
        <v>1</v>
      </c>
      <c r="O1408" s="1">
        <v>46124</v>
      </c>
      <c r="P1408" t="s">
        <v>2071</v>
      </c>
      <c r="Q1408" t="str">
        <f>SUBSTITUTE(SUBSTITUTE(SUBSTITUTE(P1408," ",""),"-",""),"+","")</f>
        <v>913748353003</v>
      </c>
      <c r="R1408" t="str">
        <f t="shared" si="42"/>
        <v>3748353003</v>
      </c>
      <c r="S1408" t="str">
        <f>IF(LEN(R1408),"Valid","Invalid")</f>
        <v>Valid</v>
      </c>
      <c r="T1408" t="s">
        <v>2070</v>
      </c>
      <c r="V1408" t="s">
        <v>123</v>
      </c>
      <c r="X1408">
        <v>10644.29</v>
      </c>
      <c r="Y1408" t="s">
        <v>123</v>
      </c>
      <c r="Z1408">
        <v>335</v>
      </c>
      <c r="AA1408">
        <f t="shared" si="43"/>
        <v>335</v>
      </c>
      <c r="AB1408" t="s">
        <v>25</v>
      </c>
    </row>
    <row r="1409" spans="1:28" x14ac:dyDescent="0.3">
      <c r="A1409" t="s">
        <v>2069</v>
      </c>
      <c r="B1409" t="s">
        <v>2068</v>
      </c>
      <c r="C1409" t="s">
        <v>2068</v>
      </c>
      <c r="E1409">
        <v>57</v>
      </c>
      <c r="F1409">
        <v>57</v>
      </c>
      <c r="G1409" t="s">
        <v>54</v>
      </c>
      <c r="H1409" t="s">
        <v>54</v>
      </c>
      <c r="I1409" t="s">
        <v>85</v>
      </c>
      <c r="J1409" t="s">
        <v>85</v>
      </c>
      <c r="K1409" s="1">
        <v>46094</v>
      </c>
      <c r="L1409" s="1" t="str">
        <f>IF(K1409&gt;O1409,"Valid","Invalid")</f>
        <v>Valid</v>
      </c>
      <c r="M1409" s="1" t="b">
        <f>ISNUMBER(K1409)</f>
        <v>1</v>
      </c>
      <c r="N1409" s="1" t="b">
        <f>ISNUMBER(O1409)</f>
        <v>1</v>
      </c>
      <c r="O1409" s="1">
        <v>46083</v>
      </c>
      <c r="P1409" t="s">
        <v>2067</v>
      </c>
      <c r="Q1409" t="str">
        <f>SUBSTITUTE(SUBSTITUTE(SUBSTITUTE(P1409," ",""),"-",""),"+","")</f>
        <v>5355821760</v>
      </c>
      <c r="R1409" t="str">
        <f t="shared" si="42"/>
        <v>5355821760</v>
      </c>
      <c r="S1409" t="str">
        <f>IF(LEN(R1409),"Valid","Invalid")</f>
        <v>Valid</v>
      </c>
      <c r="T1409" t="s">
        <v>2066</v>
      </c>
      <c r="V1409" t="s">
        <v>57</v>
      </c>
      <c r="X1409">
        <v>8285.07</v>
      </c>
      <c r="Y1409" t="s">
        <v>123</v>
      </c>
      <c r="Z1409">
        <v>168</v>
      </c>
      <c r="AA1409">
        <f t="shared" si="43"/>
        <v>168</v>
      </c>
      <c r="AB1409" t="s">
        <v>25</v>
      </c>
    </row>
    <row r="1410" spans="1:28" x14ac:dyDescent="0.3">
      <c r="A1410" t="s">
        <v>2065</v>
      </c>
      <c r="B1410" t="s">
        <v>2064</v>
      </c>
      <c r="C1410" t="s">
        <v>2064</v>
      </c>
      <c r="D1410" t="s">
        <v>1</v>
      </c>
      <c r="E1410">
        <v>32</v>
      </c>
      <c r="F1410">
        <v>32</v>
      </c>
      <c r="G1410" t="s">
        <v>21</v>
      </c>
      <c r="H1410" t="s">
        <v>21</v>
      </c>
      <c r="I1410" t="s">
        <v>38</v>
      </c>
      <c r="J1410" t="s">
        <v>8077</v>
      </c>
      <c r="K1410" s="1">
        <v>46164</v>
      </c>
      <c r="L1410" s="1" t="str">
        <f>IF(K1410&gt;O1410,"Valid","Invalid")</f>
        <v>Valid</v>
      </c>
      <c r="M1410" s="1" t="b">
        <f>ISNUMBER(K1410)</f>
        <v>1</v>
      </c>
      <c r="N1410" s="1" t="b">
        <f>ISNUMBER(O1410)</f>
        <v>1</v>
      </c>
      <c r="O1410" s="1">
        <v>46146</v>
      </c>
      <c r="P1410" t="s">
        <v>2063</v>
      </c>
      <c r="Q1410" t="str">
        <f>SUBSTITUTE(SUBSTITUTE(SUBSTITUTE(P1410," ",""),"-",""),"+","")</f>
        <v>3201475795</v>
      </c>
      <c r="R1410" t="str">
        <f t="shared" si="42"/>
        <v>3201475795</v>
      </c>
      <c r="S1410" t="str">
        <f>IF(LEN(R1410),"Valid","Invalid")</f>
        <v>Valid</v>
      </c>
      <c r="T1410" t="s">
        <v>2062</v>
      </c>
      <c r="V1410" t="s">
        <v>17</v>
      </c>
      <c r="X1410">
        <v>23710.52</v>
      </c>
      <c r="Y1410" t="s">
        <v>17</v>
      </c>
      <c r="Z1410">
        <v>337</v>
      </c>
      <c r="AA1410">
        <f t="shared" si="43"/>
        <v>337</v>
      </c>
      <c r="AB1410" t="s">
        <v>34</v>
      </c>
    </row>
    <row r="1411" spans="1:28" x14ac:dyDescent="0.3">
      <c r="A1411" t="s">
        <v>2061</v>
      </c>
      <c r="B1411" t="s">
        <v>2060</v>
      </c>
      <c r="C1411" t="s">
        <v>2060</v>
      </c>
      <c r="D1411" t="s">
        <v>123</v>
      </c>
      <c r="E1411">
        <v>48</v>
      </c>
      <c r="F1411">
        <v>48</v>
      </c>
      <c r="G1411" t="s">
        <v>132</v>
      </c>
      <c r="H1411" t="s">
        <v>132</v>
      </c>
      <c r="I1411" t="s">
        <v>38</v>
      </c>
      <c r="J1411" t="s">
        <v>8077</v>
      </c>
      <c r="K1411" s="1">
        <v>46118</v>
      </c>
      <c r="L1411" s="1" t="str">
        <f>IF(K1411&gt;O1411,"Valid","Invalid")</f>
        <v>Valid</v>
      </c>
      <c r="M1411" s="1" t="b">
        <f>ISNUMBER(K1411)</f>
        <v>1</v>
      </c>
      <c r="N1411" s="1" t="b">
        <f>ISNUMBER(O1411)</f>
        <v>1</v>
      </c>
      <c r="O1411" s="1">
        <v>46106</v>
      </c>
      <c r="P1411" t="s">
        <v>2059</v>
      </c>
      <c r="Q1411" t="str">
        <f>SUBSTITUTE(SUBSTITUTE(SUBSTITUTE(P1411," ",""),"-",""),"+","")</f>
        <v>915837320521</v>
      </c>
      <c r="R1411" t="str">
        <f t="shared" si="42"/>
        <v>5837320521</v>
      </c>
      <c r="S1411" t="str">
        <f>IF(LEN(R1411),"Valid","Invalid")</f>
        <v>Valid</v>
      </c>
      <c r="T1411" t="s">
        <v>2058</v>
      </c>
      <c r="V1411" t="s">
        <v>35</v>
      </c>
      <c r="X1411">
        <v>11861.76</v>
      </c>
      <c r="Y1411" t="s">
        <v>123</v>
      </c>
      <c r="Z1411">
        <v>253</v>
      </c>
      <c r="AA1411">
        <f t="shared" si="43"/>
        <v>253</v>
      </c>
      <c r="AB1411" t="s">
        <v>50</v>
      </c>
    </row>
    <row r="1412" spans="1:28" x14ac:dyDescent="0.3">
      <c r="A1412" t="s">
        <v>2057</v>
      </c>
      <c r="B1412" t="s">
        <v>2056</v>
      </c>
      <c r="C1412" t="s">
        <v>2056</v>
      </c>
      <c r="D1412" t="s">
        <v>123</v>
      </c>
      <c r="E1412">
        <v>7</v>
      </c>
      <c r="F1412">
        <v>7</v>
      </c>
      <c r="G1412" t="s">
        <v>21</v>
      </c>
      <c r="H1412" t="s">
        <v>21</v>
      </c>
      <c r="I1412" t="s">
        <v>38</v>
      </c>
      <c r="J1412" t="s">
        <v>8077</v>
      </c>
      <c r="K1412" s="1">
        <v>46107</v>
      </c>
      <c r="L1412" s="1" t="str">
        <f>IF(K1412&gt;O1412,"Valid","Invalid")</f>
        <v>Valid</v>
      </c>
      <c r="M1412" s="1" t="b">
        <f>ISNUMBER(K1412)</f>
        <v>1</v>
      </c>
      <c r="N1412" s="1" t="b">
        <f>ISNUMBER(O1412)</f>
        <v>1</v>
      </c>
      <c r="O1412" s="1">
        <v>46097</v>
      </c>
      <c r="P1412" t="s">
        <v>2055</v>
      </c>
      <c r="Q1412" t="str">
        <f>SUBSTITUTE(SUBSTITUTE(SUBSTITUTE(P1412," ",""),"-",""),"+","")</f>
        <v>912077042733</v>
      </c>
      <c r="R1412" t="str">
        <f t="shared" si="42"/>
        <v>2077042733</v>
      </c>
      <c r="S1412" t="str">
        <f>IF(LEN(R1412),"Valid","Invalid")</f>
        <v>Valid</v>
      </c>
      <c r="T1412" t="s">
        <v>2054</v>
      </c>
      <c r="V1412" t="s">
        <v>35</v>
      </c>
      <c r="X1412">
        <v>16559.36</v>
      </c>
      <c r="Y1412" t="s">
        <v>123</v>
      </c>
      <c r="Z1412">
        <v>192</v>
      </c>
      <c r="AA1412">
        <f t="shared" si="43"/>
        <v>192</v>
      </c>
      <c r="AB1412" t="s">
        <v>16</v>
      </c>
    </row>
    <row r="1413" spans="1:28" x14ac:dyDescent="0.3">
      <c r="A1413" t="s">
        <v>2053</v>
      </c>
      <c r="B1413" t="s">
        <v>2052</v>
      </c>
      <c r="C1413" t="s">
        <v>2052</v>
      </c>
      <c r="D1413" t="s">
        <v>40</v>
      </c>
      <c r="E1413">
        <v>89</v>
      </c>
      <c r="F1413">
        <v>89</v>
      </c>
      <c r="G1413" t="s">
        <v>21</v>
      </c>
      <c r="H1413" t="s">
        <v>21</v>
      </c>
      <c r="I1413" t="s">
        <v>90</v>
      </c>
      <c r="J1413" t="s">
        <v>67</v>
      </c>
      <c r="K1413" s="1">
        <v>46129</v>
      </c>
      <c r="L1413" s="1" t="str">
        <f>IF(K1413&gt;O1413,"Valid","Invalid")</f>
        <v>Valid</v>
      </c>
      <c r="M1413" s="1" t="b">
        <f>ISNUMBER(K1413)</f>
        <v>1</v>
      </c>
      <c r="N1413" s="1" t="b">
        <f>ISNUMBER(O1413)</f>
        <v>1</v>
      </c>
      <c r="O1413" s="1">
        <v>46111</v>
      </c>
      <c r="P1413" t="s">
        <v>2051</v>
      </c>
      <c r="Q1413" t="str">
        <f>SUBSTITUTE(SUBSTITUTE(SUBSTITUTE(P1413," ",""),"-",""),"+","")</f>
        <v>1115557499</v>
      </c>
      <c r="R1413" t="str">
        <f t="shared" ref="R1413:R1476" si="44">RIGHT(Q1413,10)</f>
        <v>1115557499</v>
      </c>
      <c r="S1413" t="str">
        <f>IF(LEN(R1413),"Valid","Invalid")</f>
        <v>Valid</v>
      </c>
      <c r="T1413" t="s">
        <v>2050</v>
      </c>
      <c r="V1413" t="s">
        <v>35</v>
      </c>
      <c r="X1413">
        <v>6978.34</v>
      </c>
      <c r="Y1413" t="s">
        <v>26</v>
      </c>
      <c r="Z1413">
        <v>428</v>
      </c>
      <c r="AA1413">
        <f t="shared" ref="AA1413:AA1476" si="45">IF(Z1413="Room-x",0,Z1413)</f>
        <v>428</v>
      </c>
      <c r="AB1413" t="s">
        <v>16</v>
      </c>
    </row>
    <row r="1414" spans="1:28" x14ac:dyDescent="0.3">
      <c r="A1414" t="s">
        <v>2049</v>
      </c>
      <c r="B1414" t="s">
        <v>2048</v>
      </c>
      <c r="C1414" t="s">
        <v>2048</v>
      </c>
      <c r="D1414" t="s">
        <v>1</v>
      </c>
      <c r="E1414">
        <v>20</v>
      </c>
      <c r="F1414">
        <v>20</v>
      </c>
      <c r="G1414" t="s">
        <v>54</v>
      </c>
      <c r="H1414" t="s">
        <v>54</v>
      </c>
      <c r="I1414" t="s">
        <v>67</v>
      </c>
      <c r="J1414" t="s">
        <v>67</v>
      </c>
      <c r="K1414" s="1">
        <v>46151</v>
      </c>
      <c r="L1414" s="1" t="str">
        <f>IF(K1414&gt;O1414,"Valid","Invalid")</f>
        <v>Valid</v>
      </c>
      <c r="M1414" s="1" t="b">
        <f>ISNUMBER(K1414)</f>
        <v>1</v>
      </c>
      <c r="N1414" s="1" t="b">
        <f>ISNUMBER(O1414)</f>
        <v>1</v>
      </c>
      <c r="O1414" s="1">
        <v>46137</v>
      </c>
      <c r="P1414" t="s">
        <v>2047</v>
      </c>
      <c r="Q1414" t="str">
        <f>SUBSTITUTE(SUBSTITUTE(SUBSTITUTE(P1414," ",""),"-",""),"+","")</f>
        <v>08699084242</v>
      </c>
      <c r="R1414" t="str">
        <f t="shared" si="44"/>
        <v>8699084242</v>
      </c>
      <c r="S1414" t="str">
        <f>IF(LEN(R1414),"Valid","Invalid")</f>
        <v>Valid</v>
      </c>
      <c r="T1414" t="s">
        <v>2046</v>
      </c>
      <c r="V1414" t="s">
        <v>17</v>
      </c>
      <c r="X1414">
        <v>21727.15</v>
      </c>
      <c r="Y1414" t="s">
        <v>26</v>
      </c>
      <c r="Z1414">
        <v>490</v>
      </c>
      <c r="AA1414">
        <f t="shared" si="45"/>
        <v>490</v>
      </c>
      <c r="AB1414" t="s">
        <v>16</v>
      </c>
    </row>
    <row r="1415" spans="1:28" x14ac:dyDescent="0.3">
      <c r="A1415" t="s">
        <v>2045</v>
      </c>
      <c r="B1415" t="s">
        <v>2044</v>
      </c>
      <c r="C1415" t="s">
        <v>2044</v>
      </c>
      <c r="D1415" t="s">
        <v>60</v>
      </c>
      <c r="E1415">
        <v>79</v>
      </c>
      <c r="F1415">
        <v>79</v>
      </c>
      <c r="G1415" t="s">
        <v>47</v>
      </c>
      <c r="H1415" t="s">
        <v>47</v>
      </c>
      <c r="I1415" t="s">
        <v>20</v>
      </c>
      <c r="J1415" t="s">
        <v>20</v>
      </c>
      <c r="K1415" s="1">
        <v>46162</v>
      </c>
      <c r="L1415" s="1" t="str">
        <f>IF(K1415&gt;O1415,"Valid","Invalid")</f>
        <v>Valid</v>
      </c>
      <c r="M1415" s="1" t="b">
        <f>ISNUMBER(K1415)</f>
        <v>1</v>
      </c>
      <c r="N1415" s="1" t="b">
        <f>ISNUMBER(O1415)</f>
        <v>1</v>
      </c>
      <c r="O1415" s="1">
        <v>46137</v>
      </c>
      <c r="P1415" t="s">
        <v>2043</v>
      </c>
      <c r="Q1415" t="str">
        <f>SUBSTITUTE(SUBSTITUTE(SUBSTITUTE(P1415," ",""),"-",""),"+","")</f>
        <v>02875090257</v>
      </c>
      <c r="R1415" t="str">
        <f t="shared" si="44"/>
        <v>2875090257</v>
      </c>
      <c r="S1415" t="str">
        <f>IF(LEN(R1415),"Valid","Invalid")</f>
        <v>Valid</v>
      </c>
      <c r="T1415" t="s">
        <v>2042</v>
      </c>
      <c r="V1415" t="s">
        <v>64</v>
      </c>
      <c r="X1415">
        <v>2326.6</v>
      </c>
      <c r="Y1415" t="s">
        <v>27</v>
      </c>
      <c r="Z1415">
        <v>541</v>
      </c>
      <c r="AA1415">
        <f t="shared" si="45"/>
        <v>541</v>
      </c>
      <c r="AB1415" t="s">
        <v>50</v>
      </c>
    </row>
    <row r="1416" spans="1:28" x14ac:dyDescent="0.3">
      <c r="A1416" t="s">
        <v>2041</v>
      </c>
      <c r="B1416" t="s">
        <v>2040</v>
      </c>
      <c r="C1416" t="s">
        <v>2040</v>
      </c>
      <c r="D1416" t="s">
        <v>40</v>
      </c>
      <c r="E1416">
        <v>43</v>
      </c>
      <c r="F1416">
        <v>43</v>
      </c>
      <c r="G1416" t="s">
        <v>80</v>
      </c>
      <c r="H1416" t="s">
        <v>80</v>
      </c>
      <c r="I1416" t="s">
        <v>67</v>
      </c>
      <c r="J1416" t="s">
        <v>67</v>
      </c>
      <c r="K1416" s="1">
        <v>46143</v>
      </c>
      <c r="L1416" s="1" t="str">
        <f>IF(K1416&gt;O1416,"Valid","Invalid")</f>
        <v>Valid</v>
      </c>
      <c r="M1416" s="1" t="b">
        <f>ISNUMBER(K1416)</f>
        <v>1</v>
      </c>
      <c r="N1416" s="1" t="b">
        <f>ISNUMBER(O1416)</f>
        <v>1</v>
      </c>
      <c r="O1416" s="1">
        <v>46114</v>
      </c>
      <c r="P1416" t="s">
        <v>2039</v>
      </c>
      <c r="Q1416" t="str">
        <f>SUBSTITUTE(SUBSTITUTE(SUBSTITUTE(P1416," ",""),"-",""),"+","")</f>
        <v>917614701878</v>
      </c>
      <c r="R1416" t="str">
        <f t="shared" si="44"/>
        <v>7614701878</v>
      </c>
      <c r="S1416" t="str">
        <f>IF(LEN(R1416),"Valid","Invalid")</f>
        <v>Valid</v>
      </c>
      <c r="T1416" t="s">
        <v>2038</v>
      </c>
      <c r="V1416" t="s">
        <v>57</v>
      </c>
      <c r="X1416">
        <v>5234.58</v>
      </c>
      <c r="Y1416" t="s">
        <v>26</v>
      </c>
      <c r="Z1416">
        <v>209</v>
      </c>
      <c r="AA1416">
        <f t="shared" si="45"/>
        <v>209</v>
      </c>
      <c r="AB1416" t="s">
        <v>43</v>
      </c>
    </row>
    <row r="1417" spans="1:28" x14ac:dyDescent="0.3">
      <c r="A1417" t="s">
        <v>2037</v>
      </c>
      <c r="B1417" t="s">
        <v>2036</v>
      </c>
      <c r="C1417" t="s">
        <v>2036</v>
      </c>
      <c r="D1417" t="s">
        <v>74</v>
      </c>
      <c r="E1417">
        <v>47</v>
      </c>
      <c r="F1417">
        <v>47</v>
      </c>
      <c r="G1417" t="s">
        <v>31</v>
      </c>
      <c r="H1417" t="s">
        <v>31</v>
      </c>
      <c r="I1417" t="s">
        <v>85</v>
      </c>
      <c r="J1417" t="s">
        <v>85</v>
      </c>
      <c r="K1417" s="1">
        <v>46137</v>
      </c>
      <c r="L1417" s="1" t="str">
        <f>IF(K1417&gt;O1417,"Valid","Invalid")</f>
        <v>Valid</v>
      </c>
      <c r="M1417" s="1" t="b">
        <f>ISNUMBER(K1417)</f>
        <v>1</v>
      </c>
      <c r="N1417" s="1" t="b">
        <f>ISNUMBER(O1417)</f>
        <v>1</v>
      </c>
      <c r="O1417" s="1">
        <v>46122</v>
      </c>
      <c r="P1417" t="s">
        <v>2035</v>
      </c>
      <c r="Q1417" t="str">
        <f>SUBSTITUTE(SUBSTITUTE(SUBSTITUTE(P1417," ",""),"-",""),"+","")</f>
        <v>06301445736</v>
      </c>
      <c r="R1417" t="str">
        <f t="shared" si="44"/>
        <v>6301445736</v>
      </c>
      <c r="S1417" t="str">
        <f>IF(LEN(R1417),"Valid","Invalid")</f>
        <v>Valid</v>
      </c>
      <c r="T1417" t="s">
        <v>2034</v>
      </c>
      <c r="V1417" t="s">
        <v>57</v>
      </c>
      <c r="X1417">
        <v>17649.36</v>
      </c>
      <c r="Y1417" t="s">
        <v>63</v>
      </c>
      <c r="Z1417">
        <v>255</v>
      </c>
      <c r="AA1417">
        <f t="shared" si="45"/>
        <v>255</v>
      </c>
      <c r="AB1417" t="s">
        <v>77</v>
      </c>
    </row>
    <row r="1418" spans="1:28" x14ac:dyDescent="0.3">
      <c r="A1418" t="s">
        <v>2033</v>
      </c>
      <c r="B1418" t="s">
        <v>2032</v>
      </c>
      <c r="C1418" t="s">
        <v>2032</v>
      </c>
      <c r="D1418" t="s">
        <v>0</v>
      </c>
      <c r="E1418">
        <v>20</v>
      </c>
      <c r="F1418">
        <v>20</v>
      </c>
      <c r="G1418" t="s">
        <v>39</v>
      </c>
      <c r="H1418" t="s">
        <v>39</v>
      </c>
      <c r="I1418" t="s">
        <v>90</v>
      </c>
      <c r="J1418" t="s">
        <v>67</v>
      </c>
      <c r="K1418" s="1">
        <v>46141</v>
      </c>
      <c r="L1418" s="1" t="str">
        <f>IF(K1418&gt;O1418,"Valid","Invalid")</f>
        <v>Valid</v>
      </c>
      <c r="M1418" s="1" t="b">
        <f>ISNUMBER(K1418)</f>
        <v>1</v>
      </c>
      <c r="N1418" s="1" t="b">
        <f>ISNUMBER(O1418)</f>
        <v>1</v>
      </c>
      <c r="O1418" s="1">
        <v>46138</v>
      </c>
      <c r="P1418" t="s">
        <v>2031</v>
      </c>
      <c r="Q1418" t="str">
        <f>SUBSTITUTE(SUBSTITUTE(SUBSTITUTE(P1418," ",""),"-",""),"+","")</f>
        <v>07180776468</v>
      </c>
      <c r="R1418" t="str">
        <f t="shared" si="44"/>
        <v>7180776468</v>
      </c>
      <c r="S1418" t="str">
        <f>IF(LEN(R1418),"Valid","Invalid")</f>
        <v>Valid</v>
      </c>
      <c r="T1418" t="s">
        <v>2030</v>
      </c>
      <c r="V1418" t="s">
        <v>123</v>
      </c>
      <c r="X1418">
        <v>4125.3500000000004</v>
      </c>
      <c r="Y1418" t="s">
        <v>123</v>
      </c>
      <c r="Z1418">
        <v>458</v>
      </c>
      <c r="AA1418">
        <f t="shared" si="45"/>
        <v>458</v>
      </c>
      <c r="AB1418" t="s">
        <v>43</v>
      </c>
    </row>
    <row r="1419" spans="1:28" x14ac:dyDescent="0.3">
      <c r="A1419" t="s">
        <v>2029</v>
      </c>
      <c r="B1419" t="s">
        <v>2028</v>
      </c>
      <c r="C1419" t="s">
        <v>2028</v>
      </c>
      <c r="D1419" t="s">
        <v>1</v>
      </c>
      <c r="E1419">
        <v>15</v>
      </c>
      <c r="F1419">
        <v>15</v>
      </c>
      <c r="G1419" t="s">
        <v>39</v>
      </c>
      <c r="H1419" t="s">
        <v>39</v>
      </c>
      <c r="I1419" t="s">
        <v>85</v>
      </c>
      <c r="J1419" t="s">
        <v>85</v>
      </c>
      <c r="K1419" s="1">
        <v>46138</v>
      </c>
      <c r="L1419" s="1" t="str">
        <f>IF(K1419&gt;O1419,"Valid","Invalid")</f>
        <v>Valid</v>
      </c>
      <c r="M1419" s="1" t="b">
        <f>ISNUMBER(K1419)</f>
        <v>1</v>
      </c>
      <c r="N1419" s="1" t="b">
        <f>ISNUMBER(O1419)</f>
        <v>1</v>
      </c>
      <c r="O1419" s="1">
        <v>46135</v>
      </c>
      <c r="P1419" t="s">
        <v>2027</v>
      </c>
      <c r="Q1419" t="str">
        <f>SUBSTITUTE(SUBSTITUTE(SUBSTITUTE(P1419," ",""),"-",""),"+","")</f>
        <v>04487763810</v>
      </c>
      <c r="R1419" t="str">
        <f t="shared" si="44"/>
        <v>4487763810</v>
      </c>
      <c r="S1419" t="str">
        <f>IF(LEN(R1419),"Valid","Invalid")</f>
        <v>Valid</v>
      </c>
      <c r="T1419" t="s">
        <v>2026</v>
      </c>
      <c r="V1419" t="s">
        <v>27</v>
      </c>
      <c r="X1419">
        <v>3562.85</v>
      </c>
      <c r="Y1419" t="s">
        <v>123</v>
      </c>
      <c r="Z1419">
        <v>342</v>
      </c>
      <c r="AA1419">
        <f t="shared" si="45"/>
        <v>342</v>
      </c>
      <c r="AB1419" t="s">
        <v>16</v>
      </c>
    </row>
    <row r="1420" spans="1:28" x14ac:dyDescent="0.3">
      <c r="A1420" t="s">
        <v>2025</v>
      </c>
      <c r="B1420" t="s">
        <v>2024</v>
      </c>
      <c r="C1420" t="s">
        <v>2024</v>
      </c>
      <c r="E1420">
        <v>22</v>
      </c>
      <c r="F1420">
        <v>22</v>
      </c>
      <c r="G1420" t="s">
        <v>47</v>
      </c>
      <c r="H1420" t="s">
        <v>47</v>
      </c>
      <c r="I1420" t="s">
        <v>67</v>
      </c>
      <c r="J1420" t="s">
        <v>67</v>
      </c>
      <c r="K1420" s="1">
        <v>46035</v>
      </c>
      <c r="L1420" s="1" t="str">
        <f>IF(K1420&gt;O1420,"Valid","Invalid")</f>
        <v>Valid</v>
      </c>
      <c r="M1420" s="1" t="b">
        <f>ISNUMBER(K1420)</f>
        <v>1</v>
      </c>
      <c r="N1420" s="1" t="b">
        <f>ISNUMBER(O1420)</f>
        <v>1</v>
      </c>
      <c r="O1420" s="1">
        <v>46006</v>
      </c>
      <c r="P1420" t="s">
        <v>2023</v>
      </c>
      <c r="Q1420" t="str">
        <f>SUBSTITUTE(SUBSTITUTE(SUBSTITUTE(P1420," ",""),"-",""),"+","")</f>
        <v>5961891372</v>
      </c>
      <c r="R1420" t="str">
        <f t="shared" si="44"/>
        <v>5961891372</v>
      </c>
      <c r="S1420" t="str">
        <f>IF(LEN(R1420),"Valid","Invalid")</f>
        <v>Valid</v>
      </c>
      <c r="T1420" t="s">
        <v>2022</v>
      </c>
      <c r="V1420" t="s">
        <v>123</v>
      </c>
      <c r="X1420">
        <v>14705.3</v>
      </c>
      <c r="Y1420" t="s">
        <v>26</v>
      </c>
      <c r="Z1420">
        <v>329</v>
      </c>
      <c r="AA1420">
        <f t="shared" si="45"/>
        <v>329</v>
      </c>
      <c r="AB1420" t="s">
        <v>77</v>
      </c>
    </row>
    <row r="1421" spans="1:28" x14ac:dyDescent="0.3">
      <c r="A1421" t="s">
        <v>2021</v>
      </c>
      <c r="B1421" t="s">
        <v>2020</v>
      </c>
      <c r="C1421" t="s">
        <v>2020</v>
      </c>
      <c r="E1421">
        <v>86</v>
      </c>
      <c r="F1421">
        <v>86</v>
      </c>
      <c r="G1421" t="s">
        <v>31</v>
      </c>
      <c r="H1421" t="s">
        <v>31</v>
      </c>
      <c r="I1421" t="s">
        <v>67</v>
      </c>
      <c r="J1421" t="s">
        <v>67</v>
      </c>
      <c r="K1421" s="1">
        <v>46042</v>
      </c>
      <c r="L1421" s="1" t="str">
        <f>IF(K1421&gt;O1421,"Valid","Invalid")</f>
        <v>Valid</v>
      </c>
      <c r="M1421" s="1" t="b">
        <f>ISNUMBER(K1421)</f>
        <v>1</v>
      </c>
      <c r="N1421" s="1" t="b">
        <f>ISNUMBER(O1421)</f>
        <v>1</v>
      </c>
      <c r="O1421" s="1">
        <v>46040</v>
      </c>
      <c r="P1421" t="s">
        <v>2019</v>
      </c>
      <c r="Q1421" t="str">
        <f>SUBSTITUTE(SUBSTITUTE(SUBSTITUTE(P1421," ",""),"-",""),"+","")</f>
        <v>6334441494</v>
      </c>
      <c r="R1421" t="str">
        <f t="shared" si="44"/>
        <v>6334441494</v>
      </c>
      <c r="S1421" t="str">
        <f>IF(LEN(R1421),"Valid","Invalid")</f>
        <v>Valid</v>
      </c>
      <c r="T1421" t="s">
        <v>2018</v>
      </c>
      <c r="V1421" t="s">
        <v>57</v>
      </c>
      <c r="X1421">
        <v>1908.47</v>
      </c>
      <c r="Y1421" t="s">
        <v>26</v>
      </c>
      <c r="Z1421">
        <v>419</v>
      </c>
      <c r="AA1421">
        <f t="shared" si="45"/>
        <v>419</v>
      </c>
      <c r="AB1421" t="s">
        <v>43</v>
      </c>
    </row>
    <row r="1422" spans="1:28" x14ac:dyDescent="0.3">
      <c r="A1422" t="s">
        <v>2017</v>
      </c>
      <c r="B1422" t="s">
        <v>1371</v>
      </c>
      <c r="C1422" t="s">
        <v>1371</v>
      </c>
      <c r="D1422" t="s">
        <v>123</v>
      </c>
      <c r="E1422">
        <v>20</v>
      </c>
      <c r="F1422">
        <v>20</v>
      </c>
      <c r="G1422" t="s">
        <v>80</v>
      </c>
      <c r="H1422" t="s">
        <v>80</v>
      </c>
      <c r="I1422" t="s">
        <v>38</v>
      </c>
      <c r="J1422" t="s">
        <v>8077</v>
      </c>
      <c r="K1422" s="1">
        <v>46084</v>
      </c>
      <c r="L1422" s="1" t="str">
        <f>IF(K1422&gt;O1422,"Valid","Invalid")</f>
        <v>Valid</v>
      </c>
      <c r="M1422" s="1" t="b">
        <f>ISNUMBER(K1422)</f>
        <v>1</v>
      </c>
      <c r="N1422" s="1" t="b">
        <f>ISNUMBER(O1422)</f>
        <v>1</v>
      </c>
      <c r="O1422" s="1">
        <v>46054</v>
      </c>
      <c r="P1422" t="s">
        <v>2016</v>
      </c>
      <c r="Q1422" t="str">
        <f>SUBSTITUTE(SUBSTITUTE(SUBSTITUTE(P1422," ",""),"-",""),"+","")</f>
        <v>07526430735</v>
      </c>
      <c r="R1422" t="str">
        <f t="shared" si="44"/>
        <v>7526430735</v>
      </c>
      <c r="S1422" t="str">
        <f>IF(LEN(R1422),"Valid","Invalid")</f>
        <v>Valid</v>
      </c>
      <c r="T1422" t="s">
        <v>2015</v>
      </c>
      <c r="V1422" t="s">
        <v>57</v>
      </c>
      <c r="X1422">
        <v>7450.27</v>
      </c>
      <c r="Y1422" t="s">
        <v>64</v>
      </c>
      <c r="Z1422">
        <v>281</v>
      </c>
      <c r="AA1422">
        <f t="shared" si="45"/>
        <v>281</v>
      </c>
      <c r="AB1422" t="s">
        <v>34</v>
      </c>
    </row>
    <row r="1423" spans="1:28" x14ac:dyDescent="0.3">
      <c r="A1423" t="s">
        <v>2014</v>
      </c>
      <c r="B1423" t="s">
        <v>2013</v>
      </c>
      <c r="C1423" t="s">
        <v>2013</v>
      </c>
      <c r="E1423">
        <v>3</v>
      </c>
      <c r="F1423">
        <v>3</v>
      </c>
      <c r="G1423" t="s">
        <v>54</v>
      </c>
      <c r="H1423" t="s">
        <v>54</v>
      </c>
      <c r="I1423" t="s">
        <v>53</v>
      </c>
      <c r="J1423" t="s">
        <v>20</v>
      </c>
      <c r="K1423" s="1">
        <v>46056</v>
      </c>
      <c r="L1423" s="1" t="str">
        <f>IF(K1423&gt;O1423,"Valid","Invalid")</f>
        <v>Valid</v>
      </c>
      <c r="M1423" s="1" t="b">
        <f>ISNUMBER(K1423)</f>
        <v>1</v>
      </c>
      <c r="N1423" s="1" t="b">
        <f>ISNUMBER(O1423)</f>
        <v>1</v>
      </c>
      <c r="O1423" s="1">
        <v>46045</v>
      </c>
      <c r="P1423" t="s">
        <v>2012</v>
      </c>
      <c r="Q1423" t="str">
        <f>SUBSTITUTE(SUBSTITUTE(SUBSTITUTE(P1423," ",""),"-",""),"+","")</f>
        <v>6603126038</v>
      </c>
      <c r="R1423" t="str">
        <f t="shared" si="44"/>
        <v>6603126038</v>
      </c>
      <c r="S1423" t="str">
        <f>IF(LEN(R1423),"Valid","Invalid")</f>
        <v>Valid</v>
      </c>
      <c r="T1423" t="s">
        <v>2011</v>
      </c>
      <c r="V1423" t="s">
        <v>26</v>
      </c>
      <c r="X1423">
        <v>4962.17</v>
      </c>
      <c r="Y1423" t="s">
        <v>63</v>
      </c>
      <c r="Z1423">
        <v>366</v>
      </c>
      <c r="AA1423">
        <f t="shared" si="45"/>
        <v>366</v>
      </c>
      <c r="AB1423" t="s">
        <v>77</v>
      </c>
    </row>
    <row r="1424" spans="1:28" x14ac:dyDescent="0.3">
      <c r="A1424" t="s">
        <v>2010</v>
      </c>
      <c r="B1424" t="s">
        <v>2009</v>
      </c>
      <c r="C1424" t="s">
        <v>2009</v>
      </c>
      <c r="E1424">
        <v>41</v>
      </c>
      <c r="F1424">
        <v>41</v>
      </c>
      <c r="G1424" t="s">
        <v>39</v>
      </c>
      <c r="H1424" t="s">
        <v>39</v>
      </c>
      <c r="I1424" t="s">
        <v>46</v>
      </c>
      <c r="J1424" t="s">
        <v>46</v>
      </c>
      <c r="K1424" s="1">
        <v>46163</v>
      </c>
      <c r="L1424" s="1" t="str">
        <f>IF(K1424&gt;O1424,"Valid","Invalid")</f>
        <v>Valid</v>
      </c>
      <c r="M1424" s="1" t="b">
        <f>ISNUMBER(K1424)</f>
        <v>1</v>
      </c>
      <c r="N1424" s="1" t="b">
        <f>ISNUMBER(O1424)</f>
        <v>1</v>
      </c>
      <c r="O1424" s="1">
        <v>46143</v>
      </c>
      <c r="P1424" t="s">
        <v>2008</v>
      </c>
      <c r="Q1424" t="str">
        <f>SUBSTITUTE(SUBSTITUTE(SUBSTITUTE(P1424," ",""),"-",""),"+","")</f>
        <v>9760427024</v>
      </c>
      <c r="R1424" t="str">
        <f t="shared" si="44"/>
        <v>9760427024</v>
      </c>
      <c r="S1424" t="str">
        <f>IF(LEN(R1424),"Valid","Invalid")</f>
        <v>Valid</v>
      </c>
      <c r="T1424" t="s">
        <v>2007</v>
      </c>
      <c r="V1424" t="s">
        <v>17</v>
      </c>
      <c r="X1424">
        <v>17572.77</v>
      </c>
      <c r="Y1424" t="s">
        <v>63</v>
      </c>
      <c r="Z1424">
        <v>329</v>
      </c>
      <c r="AA1424">
        <f t="shared" si="45"/>
        <v>329</v>
      </c>
      <c r="AB1424" t="s">
        <v>16</v>
      </c>
    </row>
    <row r="1425" spans="1:28" x14ac:dyDescent="0.3">
      <c r="A1425" t="s">
        <v>2006</v>
      </c>
      <c r="B1425" t="s">
        <v>2005</v>
      </c>
      <c r="C1425" t="s">
        <v>2005</v>
      </c>
      <c r="D1425" t="s">
        <v>60</v>
      </c>
      <c r="E1425">
        <v>6</v>
      </c>
      <c r="F1425">
        <v>6</v>
      </c>
      <c r="G1425" t="s">
        <v>132</v>
      </c>
      <c r="H1425" t="s">
        <v>132</v>
      </c>
      <c r="I1425" t="s">
        <v>85</v>
      </c>
      <c r="J1425" t="s">
        <v>85</v>
      </c>
      <c r="K1425" s="1">
        <v>46005</v>
      </c>
      <c r="L1425" s="1" t="str">
        <f>IF(K1425&gt;O1425,"Valid","Invalid")</f>
        <v>Valid</v>
      </c>
      <c r="M1425" s="1" t="b">
        <f>ISNUMBER(K1425)</f>
        <v>1</v>
      </c>
      <c r="N1425" s="1" t="b">
        <f>ISNUMBER(O1425)</f>
        <v>1</v>
      </c>
      <c r="O1425" s="1">
        <v>45984</v>
      </c>
      <c r="P1425" t="s">
        <v>2004</v>
      </c>
      <c r="Q1425" t="str">
        <f>SUBSTITUTE(SUBSTITUTE(SUBSTITUTE(P1425," ",""),"-",""),"+","")</f>
        <v>9294822480</v>
      </c>
      <c r="R1425" t="str">
        <f t="shared" si="44"/>
        <v>9294822480</v>
      </c>
      <c r="S1425" t="str">
        <f>IF(LEN(R1425),"Valid","Invalid")</f>
        <v>Valid</v>
      </c>
      <c r="T1425" t="s">
        <v>2003</v>
      </c>
      <c r="V1425" t="s">
        <v>64</v>
      </c>
      <c r="X1425">
        <v>8456.39</v>
      </c>
      <c r="Y1425" t="s">
        <v>27</v>
      </c>
      <c r="Z1425">
        <v>166</v>
      </c>
      <c r="AA1425">
        <f t="shared" si="45"/>
        <v>166</v>
      </c>
      <c r="AB1425" t="s">
        <v>50</v>
      </c>
    </row>
    <row r="1426" spans="1:28" x14ac:dyDescent="0.3">
      <c r="A1426" t="s">
        <v>2002</v>
      </c>
      <c r="B1426" t="s">
        <v>2001</v>
      </c>
      <c r="C1426" t="s">
        <v>2001</v>
      </c>
      <c r="D1426" t="s">
        <v>40</v>
      </c>
      <c r="E1426">
        <v>74</v>
      </c>
      <c r="F1426">
        <v>74</v>
      </c>
      <c r="G1426" t="s">
        <v>47</v>
      </c>
      <c r="H1426" t="s">
        <v>47</v>
      </c>
      <c r="I1426" t="s">
        <v>30</v>
      </c>
      <c r="J1426" t="s">
        <v>30</v>
      </c>
      <c r="K1426" s="1">
        <v>46020</v>
      </c>
      <c r="L1426" s="1" t="str">
        <f>IF(K1426&gt;O1426,"Valid","Invalid")</f>
        <v>Valid</v>
      </c>
      <c r="M1426" s="1" t="b">
        <f>ISNUMBER(K1426)</f>
        <v>1</v>
      </c>
      <c r="N1426" s="1" t="b">
        <f>ISNUMBER(O1426)</f>
        <v>1</v>
      </c>
      <c r="O1426" s="1">
        <v>46008</v>
      </c>
      <c r="P1426" t="s">
        <v>2000</v>
      </c>
      <c r="Q1426" t="str">
        <f>SUBSTITUTE(SUBSTITUTE(SUBSTITUTE(P1426," ",""),"-",""),"+","")</f>
        <v>03402987103</v>
      </c>
      <c r="R1426" t="str">
        <f t="shared" si="44"/>
        <v>3402987103</v>
      </c>
      <c r="S1426" t="str">
        <f>IF(LEN(R1426),"Valid","Invalid")</f>
        <v>Valid</v>
      </c>
      <c r="T1426" t="s">
        <v>1999</v>
      </c>
      <c r="V1426" t="s">
        <v>17</v>
      </c>
      <c r="X1426">
        <v>22632.46</v>
      </c>
      <c r="Y1426" t="s">
        <v>123</v>
      </c>
      <c r="Z1426">
        <v>298</v>
      </c>
      <c r="AA1426">
        <f t="shared" si="45"/>
        <v>298</v>
      </c>
      <c r="AB1426" t="s">
        <v>77</v>
      </c>
    </row>
    <row r="1427" spans="1:28" x14ac:dyDescent="0.3">
      <c r="A1427" t="s">
        <v>1998</v>
      </c>
      <c r="B1427" t="s">
        <v>1997</v>
      </c>
      <c r="C1427" t="s">
        <v>1997</v>
      </c>
      <c r="D1427" t="s">
        <v>22</v>
      </c>
      <c r="E1427">
        <v>90</v>
      </c>
      <c r="F1427">
        <v>90</v>
      </c>
      <c r="G1427" t="s">
        <v>54</v>
      </c>
      <c r="H1427" t="s">
        <v>54</v>
      </c>
      <c r="I1427" t="s">
        <v>67</v>
      </c>
      <c r="J1427" t="s">
        <v>67</v>
      </c>
      <c r="K1427" s="1">
        <v>46087</v>
      </c>
      <c r="L1427" s="1" t="str">
        <f>IF(K1427&gt;O1427,"Valid","Invalid")</f>
        <v>Valid</v>
      </c>
      <c r="M1427" s="1" t="b">
        <f>ISNUMBER(K1427)</f>
        <v>1</v>
      </c>
      <c r="N1427" s="1" t="b">
        <f>ISNUMBER(O1427)</f>
        <v>1</v>
      </c>
      <c r="O1427" s="1">
        <v>46076</v>
      </c>
      <c r="P1427" t="s">
        <v>1996</v>
      </c>
      <c r="Q1427" t="str">
        <f>SUBSTITUTE(SUBSTITUTE(SUBSTITUTE(P1427," ",""),"-",""),"+","")</f>
        <v>8996889186</v>
      </c>
      <c r="R1427" t="str">
        <f t="shared" si="44"/>
        <v>8996889186</v>
      </c>
      <c r="S1427" t="str">
        <f>IF(LEN(R1427),"Valid","Invalid")</f>
        <v>Valid</v>
      </c>
      <c r="T1427" t="s">
        <v>1995</v>
      </c>
      <c r="V1427" t="s">
        <v>123</v>
      </c>
      <c r="X1427">
        <v>10298.44</v>
      </c>
      <c r="Y1427" t="s">
        <v>17</v>
      </c>
      <c r="Z1427">
        <v>167</v>
      </c>
      <c r="AA1427">
        <f t="shared" si="45"/>
        <v>167</v>
      </c>
      <c r="AB1427" t="s">
        <v>43</v>
      </c>
    </row>
    <row r="1428" spans="1:28" x14ac:dyDescent="0.3">
      <c r="A1428" t="s">
        <v>1994</v>
      </c>
      <c r="B1428" t="s">
        <v>1993</v>
      </c>
      <c r="C1428" t="s">
        <v>1993</v>
      </c>
      <c r="D1428" t="s">
        <v>22</v>
      </c>
      <c r="E1428">
        <v>71</v>
      </c>
      <c r="F1428">
        <v>71</v>
      </c>
      <c r="G1428" t="s">
        <v>21</v>
      </c>
      <c r="H1428" t="s">
        <v>21</v>
      </c>
      <c r="I1428" t="s">
        <v>85</v>
      </c>
      <c r="J1428" t="s">
        <v>85</v>
      </c>
      <c r="K1428" s="1">
        <v>46106</v>
      </c>
      <c r="L1428" s="1" t="str">
        <f>IF(K1428&gt;O1428,"Valid","Invalid")</f>
        <v>Valid</v>
      </c>
      <c r="M1428" s="1" t="b">
        <f>ISNUMBER(K1428)</f>
        <v>1</v>
      </c>
      <c r="N1428" s="1" t="b">
        <f>ISNUMBER(O1428)</f>
        <v>1</v>
      </c>
      <c r="O1428" s="1">
        <v>46097</v>
      </c>
      <c r="P1428" t="s">
        <v>1992</v>
      </c>
      <c r="Q1428" t="str">
        <f>SUBSTITUTE(SUBSTITUTE(SUBSTITUTE(P1428," ",""),"-",""),"+","")</f>
        <v>01429612676</v>
      </c>
      <c r="R1428" t="str">
        <f t="shared" si="44"/>
        <v>1429612676</v>
      </c>
      <c r="S1428" t="str">
        <f>IF(LEN(R1428),"Valid","Invalid")</f>
        <v>Valid</v>
      </c>
      <c r="T1428" t="s">
        <v>1991</v>
      </c>
      <c r="V1428" t="s">
        <v>26</v>
      </c>
      <c r="X1428">
        <v>2265.9899999999998</v>
      </c>
      <c r="Y1428" t="s">
        <v>123</v>
      </c>
      <c r="Z1428">
        <v>443</v>
      </c>
      <c r="AA1428">
        <f t="shared" si="45"/>
        <v>443</v>
      </c>
      <c r="AB1428" t="s">
        <v>77</v>
      </c>
    </row>
    <row r="1429" spans="1:28" x14ac:dyDescent="0.3">
      <c r="A1429" t="s">
        <v>1990</v>
      </c>
      <c r="B1429" t="s">
        <v>1989</v>
      </c>
      <c r="C1429" t="s">
        <v>1989</v>
      </c>
      <c r="D1429" t="s">
        <v>60</v>
      </c>
      <c r="E1429">
        <v>66</v>
      </c>
      <c r="F1429">
        <v>66</v>
      </c>
      <c r="G1429" t="s">
        <v>80</v>
      </c>
      <c r="H1429" t="s">
        <v>80</v>
      </c>
      <c r="I1429" t="s">
        <v>46</v>
      </c>
      <c r="J1429" t="s">
        <v>46</v>
      </c>
      <c r="K1429" s="1">
        <v>46142</v>
      </c>
      <c r="L1429" s="1" t="str">
        <f>IF(K1429&gt;O1429,"Valid","Invalid")</f>
        <v>Valid</v>
      </c>
      <c r="M1429" s="1" t="b">
        <f>ISNUMBER(K1429)</f>
        <v>1</v>
      </c>
      <c r="N1429" s="1" t="b">
        <f>ISNUMBER(O1429)</f>
        <v>1</v>
      </c>
      <c r="O1429" s="1">
        <v>46117</v>
      </c>
      <c r="P1429" t="s">
        <v>1988</v>
      </c>
      <c r="Q1429" t="str">
        <f>SUBSTITUTE(SUBSTITUTE(SUBSTITUTE(P1429," ",""),"-",""),"+","")</f>
        <v>912987351544</v>
      </c>
      <c r="R1429" t="str">
        <f t="shared" si="44"/>
        <v>2987351544</v>
      </c>
      <c r="S1429" t="str">
        <f>IF(LEN(R1429),"Valid","Invalid")</f>
        <v>Valid</v>
      </c>
      <c r="T1429" t="s">
        <v>1987</v>
      </c>
      <c r="V1429" t="s">
        <v>35</v>
      </c>
      <c r="X1429">
        <v>20194.419999999998</v>
      </c>
      <c r="Y1429" t="s">
        <v>64</v>
      </c>
      <c r="Z1429">
        <v>224</v>
      </c>
      <c r="AA1429">
        <f t="shared" si="45"/>
        <v>224</v>
      </c>
      <c r="AB1429" t="s">
        <v>77</v>
      </c>
    </row>
    <row r="1430" spans="1:28" x14ac:dyDescent="0.3">
      <c r="A1430" t="s">
        <v>1986</v>
      </c>
      <c r="B1430" t="s">
        <v>1985</v>
      </c>
      <c r="C1430" t="s">
        <v>1985</v>
      </c>
      <c r="D1430" t="s">
        <v>0</v>
      </c>
      <c r="E1430">
        <v>48</v>
      </c>
      <c r="F1430">
        <v>48</v>
      </c>
      <c r="G1430" t="s">
        <v>80</v>
      </c>
      <c r="H1430" t="s">
        <v>80</v>
      </c>
      <c r="I1430" t="s">
        <v>53</v>
      </c>
      <c r="J1430" t="s">
        <v>20</v>
      </c>
      <c r="K1430" s="1">
        <v>46140</v>
      </c>
      <c r="L1430" s="1" t="str">
        <f>IF(K1430&gt;O1430,"Valid","Invalid")</f>
        <v>Valid</v>
      </c>
      <c r="M1430" s="1" t="b">
        <f>ISNUMBER(K1430)</f>
        <v>1</v>
      </c>
      <c r="N1430" s="1" t="b">
        <f>ISNUMBER(O1430)</f>
        <v>1</v>
      </c>
      <c r="O1430" s="1">
        <v>46122</v>
      </c>
      <c r="P1430" t="s">
        <v>1984</v>
      </c>
      <c r="Q1430" t="str">
        <f>SUBSTITUTE(SUBSTITUTE(SUBSTITUTE(P1430," ",""),"-",""),"+","")</f>
        <v>4678400836</v>
      </c>
      <c r="R1430" t="str">
        <f t="shared" si="44"/>
        <v>4678400836</v>
      </c>
      <c r="S1430" t="str">
        <f>IF(LEN(R1430),"Valid","Invalid")</f>
        <v>Valid</v>
      </c>
      <c r="T1430" t="s">
        <v>1983</v>
      </c>
      <c r="V1430" t="s">
        <v>17</v>
      </c>
      <c r="X1430">
        <v>19516.14</v>
      </c>
      <c r="Y1430" t="s">
        <v>64</v>
      </c>
      <c r="Z1430">
        <v>104</v>
      </c>
      <c r="AA1430">
        <f t="shared" si="45"/>
        <v>104</v>
      </c>
      <c r="AB1430" t="s">
        <v>25</v>
      </c>
    </row>
    <row r="1431" spans="1:28" x14ac:dyDescent="0.3">
      <c r="A1431" t="s">
        <v>1982</v>
      </c>
      <c r="B1431" t="s">
        <v>1981</v>
      </c>
      <c r="C1431" t="s">
        <v>1981</v>
      </c>
      <c r="D1431" t="s">
        <v>40</v>
      </c>
      <c r="E1431">
        <v>44</v>
      </c>
      <c r="F1431">
        <v>44</v>
      </c>
      <c r="G1431" t="s">
        <v>80</v>
      </c>
      <c r="H1431" t="s">
        <v>80</v>
      </c>
      <c r="I1431" t="s">
        <v>53</v>
      </c>
      <c r="J1431" t="s">
        <v>20</v>
      </c>
      <c r="K1431" s="1">
        <v>46103</v>
      </c>
      <c r="L1431" s="1" t="str">
        <f>IF(K1431&gt;O1431,"Valid","Invalid")</f>
        <v>Valid</v>
      </c>
      <c r="M1431" s="1" t="b">
        <f>ISNUMBER(K1431)</f>
        <v>1</v>
      </c>
      <c r="N1431" s="1" t="b">
        <f>ISNUMBER(O1431)</f>
        <v>1</v>
      </c>
      <c r="O1431" s="1">
        <v>46085</v>
      </c>
      <c r="P1431" t="s">
        <v>1980</v>
      </c>
      <c r="Q1431" t="str">
        <f>SUBSTITUTE(SUBSTITUTE(SUBSTITUTE(P1431," ",""),"-",""),"+","")</f>
        <v>914951465253</v>
      </c>
      <c r="R1431" t="str">
        <f t="shared" si="44"/>
        <v>4951465253</v>
      </c>
      <c r="S1431" t="str">
        <f>IF(LEN(R1431),"Valid","Invalid")</f>
        <v>Valid</v>
      </c>
      <c r="T1431" t="s">
        <v>1979</v>
      </c>
      <c r="V1431" t="s">
        <v>123</v>
      </c>
      <c r="X1431">
        <v>15848.87</v>
      </c>
      <c r="Y1431" t="s">
        <v>17</v>
      </c>
      <c r="Z1431">
        <v>502</v>
      </c>
      <c r="AA1431">
        <f t="shared" si="45"/>
        <v>502</v>
      </c>
      <c r="AB1431" t="s">
        <v>25</v>
      </c>
    </row>
    <row r="1432" spans="1:28" x14ac:dyDescent="0.3">
      <c r="A1432" t="s">
        <v>1978</v>
      </c>
      <c r="B1432" t="s">
        <v>1977</v>
      </c>
      <c r="C1432" t="s">
        <v>1977</v>
      </c>
      <c r="D1432" t="s">
        <v>74</v>
      </c>
      <c r="E1432">
        <v>79</v>
      </c>
      <c r="F1432">
        <v>79</v>
      </c>
      <c r="G1432" t="s">
        <v>80</v>
      </c>
      <c r="H1432" t="s">
        <v>80</v>
      </c>
      <c r="I1432" t="s">
        <v>46</v>
      </c>
      <c r="J1432" t="s">
        <v>46</v>
      </c>
      <c r="K1432" s="1">
        <v>46134</v>
      </c>
      <c r="L1432" s="1" t="str">
        <f>IF(K1432&gt;O1432,"Valid","Invalid")</f>
        <v>Valid</v>
      </c>
      <c r="M1432" s="1" t="b">
        <f>ISNUMBER(K1432)</f>
        <v>1</v>
      </c>
      <c r="N1432" s="1" t="b">
        <f>ISNUMBER(O1432)</f>
        <v>1</v>
      </c>
      <c r="O1432" s="1">
        <v>46112</v>
      </c>
      <c r="P1432" t="s">
        <v>1976</v>
      </c>
      <c r="Q1432" t="str">
        <f>SUBSTITUTE(SUBSTITUTE(SUBSTITUTE(P1432," ",""),"-",""),"+","")</f>
        <v>4788889938</v>
      </c>
      <c r="R1432" t="str">
        <f t="shared" si="44"/>
        <v>4788889938</v>
      </c>
      <c r="S1432" t="str">
        <f>IF(LEN(R1432),"Valid","Invalid")</f>
        <v>Valid</v>
      </c>
      <c r="T1432" t="s">
        <v>1975</v>
      </c>
      <c r="V1432" t="s">
        <v>35</v>
      </c>
      <c r="X1432">
        <v>5148.13</v>
      </c>
      <c r="Y1432" t="s">
        <v>64</v>
      </c>
      <c r="Z1432">
        <v>195</v>
      </c>
      <c r="AA1432">
        <f t="shared" si="45"/>
        <v>195</v>
      </c>
      <c r="AB1432" t="s">
        <v>77</v>
      </c>
    </row>
    <row r="1433" spans="1:28" x14ac:dyDescent="0.3">
      <c r="A1433" t="s">
        <v>1974</v>
      </c>
      <c r="B1433" t="s">
        <v>1973</v>
      </c>
      <c r="C1433" t="s">
        <v>1973</v>
      </c>
      <c r="D1433" t="s">
        <v>74</v>
      </c>
      <c r="E1433">
        <v>1</v>
      </c>
      <c r="F1433">
        <v>1</v>
      </c>
      <c r="G1433" t="s">
        <v>54</v>
      </c>
      <c r="H1433" t="s">
        <v>54</v>
      </c>
      <c r="I1433" t="s">
        <v>38</v>
      </c>
      <c r="J1433" t="s">
        <v>8077</v>
      </c>
      <c r="K1433" s="1">
        <v>45986</v>
      </c>
      <c r="L1433" s="1" t="str">
        <f>IF(K1433&gt;O1433,"Valid","Invalid")</f>
        <v>Valid</v>
      </c>
      <c r="M1433" s="1" t="b">
        <f>ISNUMBER(K1433)</f>
        <v>1</v>
      </c>
      <c r="N1433" s="1" t="b">
        <f>ISNUMBER(O1433)</f>
        <v>1</v>
      </c>
      <c r="O1433" s="1">
        <v>45980</v>
      </c>
      <c r="P1433" t="s">
        <v>1972</v>
      </c>
      <c r="Q1433" t="str">
        <f>SUBSTITUTE(SUBSTITUTE(SUBSTITUTE(P1433," ",""),"-",""),"+","")</f>
        <v>2751141871</v>
      </c>
      <c r="R1433" t="str">
        <f t="shared" si="44"/>
        <v>2751141871</v>
      </c>
      <c r="S1433" t="str">
        <f>IF(LEN(R1433),"Valid","Invalid")</f>
        <v>Valid</v>
      </c>
      <c r="T1433" t="s">
        <v>1971</v>
      </c>
      <c r="V1433" t="s">
        <v>27</v>
      </c>
      <c r="X1433">
        <v>17981.080000000002</v>
      </c>
      <c r="Y1433" t="s">
        <v>123</v>
      </c>
      <c r="Z1433">
        <v>264</v>
      </c>
      <c r="AA1433">
        <f t="shared" si="45"/>
        <v>264</v>
      </c>
      <c r="AB1433" t="s">
        <v>25</v>
      </c>
    </row>
    <row r="1434" spans="1:28" x14ac:dyDescent="0.3">
      <c r="A1434" t="s">
        <v>1970</v>
      </c>
      <c r="B1434" t="s">
        <v>1969</v>
      </c>
      <c r="C1434" t="s">
        <v>1969</v>
      </c>
      <c r="D1434" t="s">
        <v>1</v>
      </c>
      <c r="E1434">
        <v>61</v>
      </c>
      <c r="F1434">
        <v>61</v>
      </c>
      <c r="G1434" t="s">
        <v>21</v>
      </c>
      <c r="H1434" t="s">
        <v>21</v>
      </c>
      <c r="I1434" t="s">
        <v>85</v>
      </c>
      <c r="J1434" t="s">
        <v>85</v>
      </c>
      <c r="K1434" s="1">
        <v>46153</v>
      </c>
      <c r="L1434" s="1" t="str">
        <f>IF(K1434&gt;O1434,"Valid","Invalid")</f>
        <v>Valid</v>
      </c>
      <c r="M1434" s="1" t="b">
        <f>ISNUMBER(K1434)</f>
        <v>1</v>
      </c>
      <c r="N1434" s="1" t="b">
        <f>ISNUMBER(O1434)</f>
        <v>1</v>
      </c>
      <c r="O1434" s="1">
        <v>46134</v>
      </c>
      <c r="P1434" t="s">
        <v>1968</v>
      </c>
      <c r="Q1434" t="str">
        <f>SUBSTITUTE(SUBSTITUTE(SUBSTITUTE(P1434," ",""),"-",""),"+","")</f>
        <v>08810760788</v>
      </c>
      <c r="R1434" t="str">
        <f t="shared" si="44"/>
        <v>8810760788</v>
      </c>
      <c r="S1434" t="str">
        <f>IF(LEN(R1434),"Valid","Invalid")</f>
        <v>Valid</v>
      </c>
      <c r="T1434" t="s">
        <v>1967</v>
      </c>
      <c r="V1434" t="s">
        <v>35</v>
      </c>
      <c r="X1434">
        <v>11836.42</v>
      </c>
      <c r="Y1434" t="s">
        <v>27</v>
      </c>
      <c r="Z1434">
        <v>326</v>
      </c>
      <c r="AA1434">
        <f t="shared" si="45"/>
        <v>326</v>
      </c>
      <c r="AB1434" t="s">
        <v>71</v>
      </c>
    </row>
    <row r="1435" spans="1:28" x14ac:dyDescent="0.3">
      <c r="A1435" t="s">
        <v>1966</v>
      </c>
      <c r="B1435" t="s">
        <v>1590</v>
      </c>
      <c r="C1435" t="s">
        <v>1590</v>
      </c>
      <c r="D1435" t="s">
        <v>40</v>
      </c>
      <c r="E1435">
        <v>11</v>
      </c>
      <c r="F1435">
        <v>11</v>
      </c>
      <c r="G1435" t="s">
        <v>39</v>
      </c>
      <c r="H1435" t="s">
        <v>39</v>
      </c>
      <c r="I1435" t="s">
        <v>38</v>
      </c>
      <c r="J1435" t="s">
        <v>8077</v>
      </c>
      <c r="K1435" s="1">
        <v>46033</v>
      </c>
      <c r="L1435" s="1" t="str">
        <f>IF(K1435&gt;O1435,"Valid","Invalid")</f>
        <v>Valid</v>
      </c>
      <c r="M1435" s="1" t="b">
        <f>ISNUMBER(K1435)</f>
        <v>1</v>
      </c>
      <c r="N1435" s="1" t="b">
        <f>ISNUMBER(O1435)</f>
        <v>1</v>
      </c>
      <c r="O1435" s="1">
        <v>46025</v>
      </c>
      <c r="P1435" t="s">
        <v>1965</v>
      </c>
      <c r="Q1435" t="str">
        <f>SUBSTITUTE(SUBSTITUTE(SUBSTITUTE(P1435," ",""),"-",""),"+","")</f>
        <v>911949314517</v>
      </c>
      <c r="R1435" t="str">
        <f t="shared" si="44"/>
        <v>1949314517</v>
      </c>
      <c r="S1435" t="str">
        <f>IF(LEN(R1435),"Valid","Invalid")</f>
        <v>Valid</v>
      </c>
      <c r="T1435" t="s">
        <v>1964</v>
      </c>
      <c r="V1435" t="s">
        <v>35</v>
      </c>
      <c r="X1435">
        <v>21978.78</v>
      </c>
      <c r="Y1435" t="s">
        <v>57</v>
      </c>
      <c r="Z1435">
        <v>458</v>
      </c>
      <c r="AA1435">
        <f t="shared" si="45"/>
        <v>458</v>
      </c>
      <c r="AB1435" t="s">
        <v>77</v>
      </c>
    </row>
    <row r="1436" spans="1:28" x14ac:dyDescent="0.3">
      <c r="A1436" t="s">
        <v>1963</v>
      </c>
      <c r="B1436" t="s">
        <v>1962</v>
      </c>
      <c r="C1436" t="s">
        <v>1962</v>
      </c>
      <c r="D1436" t="s">
        <v>74</v>
      </c>
      <c r="E1436">
        <v>25</v>
      </c>
      <c r="F1436">
        <v>25</v>
      </c>
      <c r="G1436" t="s">
        <v>39</v>
      </c>
      <c r="H1436" t="s">
        <v>39</v>
      </c>
      <c r="I1436" t="s">
        <v>67</v>
      </c>
      <c r="J1436" t="s">
        <v>67</v>
      </c>
      <c r="K1436" s="1">
        <v>46114</v>
      </c>
      <c r="L1436" s="1" t="str">
        <f>IF(K1436&gt;O1436,"Valid","Invalid")</f>
        <v>Valid</v>
      </c>
      <c r="M1436" s="1" t="b">
        <f>ISNUMBER(K1436)</f>
        <v>1</v>
      </c>
      <c r="N1436" s="1" t="b">
        <f>ISNUMBER(O1436)</f>
        <v>1</v>
      </c>
      <c r="O1436" s="1">
        <v>46090</v>
      </c>
      <c r="P1436" t="s">
        <v>1961</v>
      </c>
      <c r="Q1436" t="str">
        <f>SUBSTITUTE(SUBSTITUTE(SUBSTITUTE(P1436," ",""),"-",""),"+","")</f>
        <v>09553495823</v>
      </c>
      <c r="R1436" t="str">
        <f t="shared" si="44"/>
        <v>9553495823</v>
      </c>
      <c r="S1436" t="str">
        <f>IF(LEN(R1436),"Valid","Invalid")</f>
        <v>Valid</v>
      </c>
      <c r="T1436" t="s">
        <v>123</v>
      </c>
      <c r="V1436" t="s">
        <v>17</v>
      </c>
      <c r="X1436">
        <v>4228.1000000000004</v>
      </c>
      <c r="Y1436" t="s">
        <v>63</v>
      </c>
      <c r="Z1436">
        <v>407</v>
      </c>
      <c r="AA1436">
        <f t="shared" si="45"/>
        <v>407</v>
      </c>
      <c r="AB1436" t="s">
        <v>16</v>
      </c>
    </row>
    <row r="1437" spans="1:28" x14ac:dyDescent="0.3">
      <c r="A1437" t="s">
        <v>1960</v>
      </c>
      <c r="B1437" t="s">
        <v>1959</v>
      </c>
      <c r="C1437" t="s">
        <v>1959</v>
      </c>
      <c r="D1437" t="s">
        <v>22</v>
      </c>
      <c r="E1437">
        <v>28</v>
      </c>
      <c r="F1437">
        <v>28</v>
      </c>
      <c r="G1437" t="s">
        <v>54</v>
      </c>
      <c r="H1437" t="s">
        <v>54</v>
      </c>
      <c r="I1437" t="s">
        <v>30</v>
      </c>
      <c r="J1437" t="s">
        <v>30</v>
      </c>
      <c r="K1437" s="1">
        <v>46113</v>
      </c>
      <c r="L1437" s="1" t="str">
        <f>IF(K1437&gt;O1437,"Valid","Invalid")</f>
        <v>Valid</v>
      </c>
      <c r="M1437" s="1" t="b">
        <f>ISNUMBER(K1437)</f>
        <v>1</v>
      </c>
      <c r="N1437" s="1" t="b">
        <f>ISNUMBER(O1437)</f>
        <v>1</v>
      </c>
      <c r="O1437" s="1">
        <v>46087</v>
      </c>
      <c r="P1437" t="s">
        <v>1958</v>
      </c>
      <c r="Q1437" t="str">
        <f>SUBSTITUTE(SUBSTITUTE(SUBSTITUTE(P1437," ",""),"-",""),"+","")</f>
        <v>02629790122</v>
      </c>
      <c r="R1437" t="str">
        <f t="shared" si="44"/>
        <v>2629790122</v>
      </c>
      <c r="S1437" t="str">
        <f>IF(LEN(R1437),"Valid","Invalid")</f>
        <v>Valid</v>
      </c>
      <c r="T1437" t="s">
        <v>1957</v>
      </c>
      <c r="V1437" t="s">
        <v>57</v>
      </c>
      <c r="X1437">
        <v>18438.990000000002</v>
      </c>
      <c r="Y1437" t="s">
        <v>27</v>
      </c>
      <c r="Z1437">
        <v>435</v>
      </c>
      <c r="AA1437">
        <f t="shared" si="45"/>
        <v>435</v>
      </c>
      <c r="AB1437" t="s">
        <v>25</v>
      </c>
    </row>
    <row r="1438" spans="1:28" x14ac:dyDescent="0.3">
      <c r="A1438" t="s">
        <v>1956</v>
      </c>
      <c r="B1438" t="s">
        <v>1955</v>
      </c>
      <c r="C1438" t="s">
        <v>1955</v>
      </c>
      <c r="D1438" t="s">
        <v>22</v>
      </c>
      <c r="E1438">
        <v>37</v>
      </c>
      <c r="F1438">
        <v>37</v>
      </c>
      <c r="G1438" t="s">
        <v>39</v>
      </c>
      <c r="H1438" t="s">
        <v>39</v>
      </c>
      <c r="I1438" t="s">
        <v>20</v>
      </c>
      <c r="J1438" t="s">
        <v>20</v>
      </c>
      <c r="K1438" s="1">
        <v>46037</v>
      </c>
      <c r="L1438" s="1" t="str">
        <f>IF(K1438&gt;O1438,"Valid","Invalid")</f>
        <v>Valid</v>
      </c>
      <c r="M1438" s="1" t="b">
        <f>ISNUMBER(K1438)</f>
        <v>1</v>
      </c>
      <c r="N1438" s="1" t="b">
        <f>ISNUMBER(O1438)</f>
        <v>1</v>
      </c>
      <c r="O1438" s="1">
        <v>46036</v>
      </c>
      <c r="P1438" t="s">
        <v>1954</v>
      </c>
      <c r="Q1438" t="str">
        <f>SUBSTITUTE(SUBSTITUTE(SUBSTITUTE(P1438," ",""),"-",""),"+","")</f>
        <v>4159811302</v>
      </c>
      <c r="R1438" t="str">
        <f t="shared" si="44"/>
        <v>4159811302</v>
      </c>
      <c r="S1438" t="str">
        <f>IF(LEN(R1438),"Valid","Invalid")</f>
        <v>Valid</v>
      </c>
      <c r="T1438" t="s">
        <v>1953</v>
      </c>
      <c r="V1438" t="s">
        <v>64</v>
      </c>
      <c r="X1438">
        <v>12449.29</v>
      </c>
      <c r="Y1438" t="s">
        <v>27</v>
      </c>
      <c r="Z1438">
        <v>417</v>
      </c>
      <c r="AA1438">
        <f t="shared" si="45"/>
        <v>417</v>
      </c>
      <c r="AB1438" t="s">
        <v>50</v>
      </c>
    </row>
    <row r="1439" spans="1:28" x14ac:dyDescent="0.3">
      <c r="A1439" t="s">
        <v>1952</v>
      </c>
      <c r="B1439" t="s">
        <v>1951</v>
      </c>
      <c r="C1439" t="s">
        <v>1951</v>
      </c>
      <c r="D1439" t="s">
        <v>123</v>
      </c>
      <c r="E1439">
        <v>11</v>
      </c>
      <c r="F1439">
        <v>11</v>
      </c>
      <c r="G1439" t="s">
        <v>68</v>
      </c>
      <c r="H1439" t="s">
        <v>68</v>
      </c>
      <c r="I1439" t="s">
        <v>46</v>
      </c>
      <c r="J1439" t="s">
        <v>46</v>
      </c>
      <c r="K1439" s="1">
        <v>46148</v>
      </c>
      <c r="L1439" s="1" t="str">
        <f>IF(K1439&gt;O1439,"Valid","Invalid")</f>
        <v>Valid</v>
      </c>
      <c r="M1439" s="1" t="b">
        <f>ISNUMBER(K1439)</f>
        <v>1</v>
      </c>
      <c r="N1439" s="1" t="b">
        <f>ISNUMBER(O1439)</f>
        <v>1</v>
      </c>
      <c r="O1439" s="1">
        <v>46125</v>
      </c>
      <c r="P1439" t="s">
        <v>1950</v>
      </c>
      <c r="Q1439" t="str">
        <f>SUBSTITUTE(SUBSTITUTE(SUBSTITUTE(P1439," ",""),"-",""),"+","")</f>
        <v>7746049211</v>
      </c>
      <c r="R1439" t="str">
        <f t="shared" si="44"/>
        <v>7746049211</v>
      </c>
      <c r="S1439" t="str">
        <f>IF(LEN(R1439),"Valid","Invalid")</f>
        <v>Valid</v>
      </c>
      <c r="T1439" t="s">
        <v>1949</v>
      </c>
      <c r="V1439" t="s">
        <v>64</v>
      </c>
      <c r="X1439">
        <v>8096.27</v>
      </c>
      <c r="Y1439" t="s">
        <v>17</v>
      </c>
      <c r="Z1439">
        <v>457</v>
      </c>
      <c r="AA1439">
        <f t="shared" si="45"/>
        <v>457</v>
      </c>
      <c r="AB1439" t="s">
        <v>25</v>
      </c>
    </row>
    <row r="1440" spans="1:28" x14ac:dyDescent="0.3">
      <c r="A1440" t="s">
        <v>1948</v>
      </c>
      <c r="B1440" t="s">
        <v>1947</v>
      </c>
      <c r="C1440" t="s">
        <v>1947</v>
      </c>
      <c r="D1440" t="s">
        <v>74</v>
      </c>
      <c r="E1440">
        <v>73</v>
      </c>
      <c r="F1440">
        <v>73</v>
      </c>
      <c r="G1440" t="s">
        <v>132</v>
      </c>
      <c r="H1440" t="s">
        <v>132</v>
      </c>
      <c r="I1440" t="s">
        <v>67</v>
      </c>
      <c r="J1440" t="s">
        <v>67</v>
      </c>
      <c r="K1440" s="1">
        <v>46083</v>
      </c>
      <c r="L1440" s="1" t="str">
        <f>IF(K1440&gt;O1440,"Valid","Invalid")</f>
        <v>Valid</v>
      </c>
      <c r="M1440" s="1" t="b">
        <f>ISNUMBER(K1440)</f>
        <v>1</v>
      </c>
      <c r="N1440" s="1" t="b">
        <f>ISNUMBER(O1440)</f>
        <v>1</v>
      </c>
      <c r="O1440" s="1">
        <v>46069</v>
      </c>
      <c r="P1440" t="s">
        <v>1946</v>
      </c>
      <c r="Q1440" t="str">
        <f>SUBSTITUTE(SUBSTITUTE(SUBSTITUTE(P1440," ",""),"-",""),"+","")</f>
        <v>02034912947</v>
      </c>
      <c r="R1440" t="str">
        <f t="shared" si="44"/>
        <v>2034912947</v>
      </c>
      <c r="S1440" t="str">
        <f>IF(LEN(R1440),"Valid","Invalid")</f>
        <v>Valid</v>
      </c>
      <c r="T1440" t="s">
        <v>1945</v>
      </c>
      <c r="V1440" t="s">
        <v>57</v>
      </c>
      <c r="X1440">
        <v>18606.38</v>
      </c>
      <c r="Y1440" t="s">
        <v>123</v>
      </c>
      <c r="Z1440">
        <v>289</v>
      </c>
      <c r="AA1440">
        <f t="shared" si="45"/>
        <v>289</v>
      </c>
      <c r="AB1440" t="s">
        <v>16</v>
      </c>
    </row>
    <row r="1441" spans="1:28" x14ac:dyDescent="0.3">
      <c r="A1441" t="s">
        <v>1944</v>
      </c>
      <c r="B1441" t="s">
        <v>1943</v>
      </c>
      <c r="C1441" t="s">
        <v>1943</v>
      </c>
      <c r="D1441" t="s">
        <v>22</v>
      </c>
      <c r="E1441">
        <v>63</v>
      </c>
      <c r="F1441">
        <v>63</v>
      </c>
      <c r="G1441" t="s">
        <v>31</v>
      </c>
      <c r="H1441" t="s">
        <v>31</v>
      </c>
      <c r="I1441" t="s">
        <v>38</v>
      </c>
      <c r="J1441" t="s">
        <v>8077</v>
      </c>
      <c r="K1441" s="1">
        <v>46147</v>
      </c>
      <c r="L1441" s="1" t="str">
        <f>IF(K1441&gt;O1441,"Valid","Invalid")</f>
        <v>Valid</v>
      </c>
      <c r="M1441" s="1" t="b">
        <f>ISNUMBER(K1441)</f>
        <v>1</v>
      </c>
      <c r="N1441" s="1" t="b">
        <f>ISNUMBER(O1441)</f>
        <v>1</v>
      </c>
      <c r="O1441" s="1">
        <v>46140</v>
      </c>
      <c r="P1441" t="s">
        <v>1942</v>
      </c>
      <c r="Q1441" t="str">
        <f>SUBSTITUTE(SUBSTITUTE(SUBSTITUTE(P1441," ",""),"-",""),"+","")</f>
        <v>4663771558</v>
      </c>
      <c r="R1441" t="str">
        <f t="shared" si="44"/>
        <v>4663771558</v>
      </c>
      <c r="S1441" t="str">
        <f>IF(LEN(R1441),"Valid","Invalid")</f>
        <v>Valid</v>
      </c>
      <c r="T1441" t="s">
        <v>1941</v>
      </c>
      <c r="V1441" t="s">
        <v>35</v>
      </c>
      <c r="X1441">
        <v>1258.95</v>
      </c>
      <c r="Y1441" t="s">
        <v>17</v>
      </c>
      <c r="Z1441">
        <v>309</v>
      </c>
      <c r="AA1441">
        <f t="shared" si="45"/>
        <v>309</v>
      </c>
      <c r="AB1441" t="s">
        <v>16</v>
      </c>
    </row>
    <row r="1442" spans="1:28" x14ac:dyDescent="0.3">
      <c r="A1442" t="s">
        <v>1940</v>
      </c>
      <c r="B1442" t="s">
        <v>1939</v>
      </c>
      <c r="C1442" t="s">
        <v>1939</v>
      </c>
      <c r="E1442">
        <v>42</v>
      </c>
      <c r="F1442">
        <v>42</v>
      </c>
      <c r="G1442" t="s">
        <v>54</v>
      </c>
      <c r="H1442" t="s">
        <v>54</v>
      </c>
      <c r="I1442" t="s">
        <v>85</v>
      </c>
      <c r="J1442" t="s">
        <v>85</v>
      </c>
      <c r="K1442" s="1">
        <v>46103</v>
      </c>
      <c r="L1442" s="1" t="str">
        <f>IF(K1442&gt;O1442,"Valid","Invalid")</f>
        <v>Valid</v>
      </c>
      <c r="M1442" s="1" t="b">
        <f>ISNUMBER(K1442)</f>
        <v>1</v>
      </c>
      <c r="N1442" s="1" t="b">
        <f>ISNUMBER(O1442)</f>
        <v>1</v>
      </c>
      <c r="O1442" s="1">
        <v>46076</v>
      </c>
      <c r="P1442" t="s">
        <v>1938</v>
      </c>
      <c r="Q1442" t="str">
        <f>SUBSTITUTE(SUBSTITUTE(SUBSTITUTE(P1442," ",""),"-",""),"+","")</f>
        <v>07234314025</v>
      </c>
      <c r="R1442" t="str">
        <f t="shared" si="44"/>
        <v>7234314025</v>
      </c>
      <c r="S1442" t="str">
        <f>IF(LEN(R1442),"Valid","Invalid")</f>
        <v>Valid</v>
      </c>
      <c r="T1442" t="s">
        <v>1937</v>
      </c>
      <c r="V1442" t="s">
        <v>123</v>
      </c>
      <c r="X1442">
        <v>11413.97</v>
      </c>
      <c r="Y1442" t="s">
        <v>26</v>
      </c>
      <c r="Z1442">
        <v>477</v>
      </c>
      <c r="AA1442">
        <f t="shared" si="45"/>
        <v>477</v>
      </c>
      <c r="AB1442" t="s">
        <v>50</v>
      </c>
    </row>
    <row r="1443" spans="1:28" x14ac:dyDescent="0.3">
      <c r="A1443" t="s">
        <v>1936</v>
      </c>
      <c r="B1443" t="s">
        <v>1935</v>
      </c>
      <c r="C1443" t="s">
        <v>1935</v>
      </c>
      <c r="D1443" t="s">
        <v>123</v>
      </c>
      <c r="E1443">
        <v>54</v>
      </c>
      <c r="F1443">
        <v>54</v>
      </c>
      <c r="G1443" t="s">
        <v>47</v>
      </c>
      <c r="H1443" t="s">
        <v>47</v>
      </c>
      <c r="I1443" t="s">
        <v>53</v>
      </c>
      <c r="J1443" t="s">
        <v>20</v>
      </c>
      <c r="K1443" s="1">
        <v>46102</v>
      </c>
      <c r="L1443" s="1" t="str">
        <f>IF(K1443&gt;O1443,"Valid","Invalid")</f>
        <v>Valid</v>
      </c>
      <c r="M1443" s="1" t="b">
        <f>ISNUMBER(K1443)</f>
        <v>1</v>
      </c>
      <c r="N1443" s="1" t="b">
        <f>ISNUMBER(O1443)</f>
        <v>1</v>
      </c>
      <c r="O1443" s="1">
        <v>46077</v>
      </c>
      <c r="P1443" t="s">
        <v>1934</v>
      </c>
      <c r="Q1443" t="str">
        <f>SUBSTITUTE(SUBSTITUTE(SUBSTITUTE(P1443," ",""),"-",""),"+","")</f>
        <v>03786590231</v>
      </c>
      <c r="R1443" t="str">
        <f t="shared" si="44"/>
        <v>3786590231</v>
      </c>
      <c r="S1443" t="str">
        <f>IF(LEN(R1443),"Valid","Invalid")</f>
        <v>Valid</v>
      </c>
      <c r="T1443" t="s">
        <v>1933</v>
      </c>
      <c r="V1443" t="s">
        <v>57</v>
      </c>
      <c r="X1443">
        <v>9660.14</v>
      </c>
      <c r="Y1443" t="s">
        <v>26</v>
      </c>
      <c r="Z1443">
        <v>304</v>
      </c>
      <c r="AA1443">
        <f t="shared" si="45"/>
        <v>304</v>
      </c>
      <c r="AB1443" t="s">
        <v>43</v>
      </c>
    </row>
    <row r="1444" spans="1:28" x14ac:dyDescent="0.3">
      <c r="A1444" t="s">
        <v>1932</v>
      </c>
      <c r="B1444" t="s">
        <v>1931</v>
      </c>
      <c r="C1444" t="s">
        <v>1931</v>
      </c>
      <c r="D1444" t="s">
        <v>40</v>
      </c>
      <c r="E1444">
        <v>56</v>
      </c>
      <c r="F1444">
        <v>56</v>
      </c>
      <c r="G1444" t="s">
        <v>39</v>
      </c>
      <c r="H1444" t="s">
        <v>39</v>
      </c>
      <c r="I1444" t="s">
        <v>53</v>
      </c>
      <c r="J1444" t="s">
        <v>20</v>
      </c>
      <c r="K1444" s="1">
        <v>46044</v>
      </c>
      <c r="L1444" s="1" t="str">
        <f>IF(K1444&gt;O1444,"Valid","Invalid")</f>
        <v>Valid</v>
      </c>
      <c r="M1444" s="1" t="b">
        <f>ISNUMBER(K1444)</f>
        <v>1</v>
      </c>
      <c r="N1444" s="1" t="b">
        <f>ISNUMBER(O1444)</f>
        <v>1</v>
      </c>
      <c r="O1444" s="1">
        <v>46026</v>
      </c>
      <c r="P1444" t="s">
        <v>1930</v>
      </c>
      <c r="Q1444" t="str">
        <f>SUBSTITUTE(SUBSTITUTE(SUBSTITUTE(P1444," ",""),"-",""),"+","")</f>
        <v>03772946897</v>
      </c>
      <c r="R1444" t="str">
        <f t="shared" si="44"/>
        <v>3772946897</v>
      </c>
      <c r="S1444" t="str">
        <f>IF(LEN(R1444),"Valid","Invalid")</f>
        <v>Valid</v>
      </c>
      <c r="T1444" t="s">
        <v>1929</v>
      </c>
      <c r="V1444" t="s">
        <v>35</v>
      </c>
      <c r="X1444">
        <v>5581.45</v>
      </c>
      <c r="Y1444" t="s">
        <v>27</v>
      </c>
      <c r="Z1444">
        <v>300</v>
      </c>
      <c r="AA1444">
        <f t="shared" si="45"/>
        <v>300</v>
      </c>
      <c r="AB1444" t="s">
        <v>16</v>
      </c>
    </row>
    <row r="1445" spans="1:28" x14ac:dyDescent="0.3">
      <c r="A1445" t="s">
        <v>1921</v>
      </c>
      <c r="B1445" t="s">
        <v>1920</v>
      </c>
      <c r="C1445" t="s">
        <v>1920</v>
      </c>
      <c r="D1445" t="s">
        <v>40</v>
      </c>
      <c r="E1445">
        <v>46</v>
      </c>
      <c r="F1445">
        <v>46</v>
      </c>
      <c r="G1445" t="s">
        <v>80</v>
      </c>
      <c r="H1445" t="s">
        <v>80</v>
      </c>
      <c r="I1445" t="s">
        <v>20</v>
      </c>
      <c r="J1445" t="s">
        <v>20</v>
      </c>
      <c r="K1445" s="1">
        <v>46017</v>
      </c>
      <c r="L1445" s="1" t="str">
        <f>IF(K1445&gt;O1445,"Valid","Invalid")</f>
        <v>Valid</v>
      </c>
      <c r="M1445" s="1" t="b">
        <f>ISNUMBER(K1445)</f>
        <v>1</v>
      </c>
      <c r="N1445" s="1" t="b">
        <f>ISNUMBER(O1445)</f>
        <v>1</v>
      </c>
      <c r="O1445" s="1">
        <v>45987</v>
      </c>
      <c r="P1445" t="s">
        <v>1919</v>
      </c>
      <c r="Q1445" t="str">
        <f>SUBSTITUTE(SUBSTITUTE(SUBSTITUTE(P1445," ",""),"-",""),"+","")</f>
        <v>7980529570</v>
      </c>
      <c r="R1445" t="str">
        <f t="shared" si="44"/>
        <v>7980529570</v>
      </c>
      <c r="S1445" t="str">
        <f>IF(LEN(R1445),"Valid","Invalid")</f>
        <v>Valid</v>
      </c>
      <c r="T1445" t="s">
        <v>1918</v>
      </c>
      <c r="V1445" t="s">
        <v>57</v>
      </c>
      <c r="X1445">
        <v>17709.400000000001</v>
      </c>
      <c r="Y1445" t="s">
        <v>63</v>
      </c>
      <c r="Z1445">
        <v>172</v>
      </c>
      <c r="AA1445">
        <f t="shared" si="45"/>
        <v>172</v>
      </c>
      <c r="AB1445" t="s">
        <v>71</v>
      </c>
    </row>
    <row r="1446" spans="1:28" x14ac:dyDescent="0.3">
      <c r="A1446" t="s">
        <v>1913</v>
      </c>
      <c r="B1446" t="s">
        <v>1912</v>
      </c>
      <c r="C1446" t="s">
        <v>1912</v>
      </c>
      <c r="D1446" t="s">
        <v>123</v>
      </c>
      <c r="E1446">
        <v>79</v>
      </c>
      <c r="F1446">
        <v>79</v>
      </c>
      <c r="G1446" t="s">
        <v>80</v>
      </c>
      <c r="H1446" t="s">
        <v>80</v>
      </c>
      <c r="I1446" t="s">
        <v>53</v>
      </c>
      <c r="J1446" t="s">
        <v>20</v>
      </c>
      <c r="K1446" s="1">
        <v>46108</v>
      </c>
      <c r="L1446" s="1" t="str">
        <f>IF(K1446&gt;O1446,"Valid","Invalid")</f>
        <v>Valid</v>
      </c>
      <c r="M1446" s="1" t="b">
        <f>ISNUMBER(K1446)</f>
        <v>1</v>
      </c>
      <c r="N1446" s="1" t="b">
        <f>ISNUMBER(O1446)</f>
        <v>1</v>
      </c>
      <c r="O1446" s="1">
        <v>46092</v>
      </c>
      <c r="P1446" t="s">
        <v>1911</v>
      </c>
      <c r="Q1446" t="str">
        <f>SUBSTITUTE(SUBSTITUTE(SUBSTITUTE(P1446," ",""),"-",""),"+","")</f>
        <v>03177550382</v>
      </c>
      <c r="R1446" t="str">
        <f t="shared" si="44"/>
        <v>3177550382</v>
      </c>
      <c r="S1446" t="str">
        <f>IF(LEN(R1446),"Valid","Invalid")</f>
        <v>Valid</v>
      </c>
      <c r="T1446" t="s">
        <v>1910</v>
      </c>
      <c r="V1446" t="s">
        <v>26</v>
      </c>
      <c r="X1446">
        <v>8659.2099999999991</v>
      </c>
      <c r="Y1446" t="s">
        <v>17</v>
      </c>
      <c r="Z1446">
        <v>513</v>
      </c>
      <c r="AA1446">
        <f t="shared" si="45"/>
        <v>513</v>
      </c>
      <c r="AB1446" t="s">
        <v>25</v>
      </c>
    </row>
    <row r="1447" spans="1:28" x14ac:dyDescent="0.3">
      <c r="A1447" t="s">
        <v>1905</v>
      </c>
      <c r="B1447" t="s">
        <v>1904</v>
      </c>
      <c r="C1447" t="s">
        <v>1904</v>
      </c>
      <c r="D1447" t="s">
        <v>1</v>
      </c>
      <c r="E1447">
        <v>41</v>
      </c>
      <c r="F1447">
        <v>41</v>
      </c>
      <c r="G1447" t="s">
        <v>68</v>
      </c>
      <c r="H1447" t="s">
        <v>68</v>
      </c>
      <c r="I1447" t="s">
        <v>30</v>
      </c>
      <c r="J1447" t="s">
        <v>30</v>
      </c>
      <c r="K1447" s="1">
        <v>45998</v>
      </c>
      <c r="L1447" s="1" t="str">
        <f>IF(K1447&gt;O1447,"Valid","Invalid")</f>
        <v>Valid</v>
      </c>
      <c r="M1447" s="1" t="b">
        <f>ISNUMBER(K1447)</f>
        <v>1</v>
      </c>
      <c r="N1447" s="1" t="b">
        <f>ISNUMBER(O1447)</f>
        <v>1</v>
      </c>
      <c r="O1447" s="1">
        <v>45981</v>
      </c>
      <c r="P1447" t="s">
        <v>1903</v>
      </c>
      <c r="Q1447" t="str">
        <f>SUBSTITUTE(SUBSTITUTE(SUBSTITUTE(P1447," ",""),"-",""),"+","")</f>
        <v>0336159066</v>
      </c>
      <c r="R1447" t="str">
        <f t="shared" si="44"/>
        <v>0336159066</v>
      </c>
      <c r="S1447" t="str">
        <f>IF(LEN(R1447),"Valid","Invalid")</f>
        <v>Valid</v>
      </c>
      <c r="T1447" t="s">
        <v>1902</v>
      </c>
      <c r="V1447" t="s">
        <v>57</v>
      </c>
      <c r="X1447">
        <v>14515.05</v>
      </c>
      <c r="Y1447" t="s">
        <v>17</v>
      </c>
      <c r="Z1447">
        <v>457</v>
      </c>
      <c r="AA1447">
        <f t="shared" si="45"/>
        <v>457</v>
      </c>
      <c r="AB1447" t="s">
        <v>71</v>
      </c>
    </row>
    <row r="1448" spans="1:28" x14ac:dyDescent="0.3">
      <c r="A1448" t="s">
        <v>1901</v>
      </c>
      <c r="B1448" t="s">
        <v>1900</v>
      </c>
      <c r="C1448" t="s">
        <v>1900</v>
      </c>
      <c r="D1448" t="s">
        <v>0</v>
      </c>
      <c r="E1448">
        <v>42</v>
      </c>
      <c r="F1448">
        <v>42</v>
      </c>
      <c r="G1448" t="s">
        <v>21</v>
      </c>
      <c r="H1448" t="s">
        <v>21</v>
      </c>
      <c r="I1448" t="s">
        <v>38</v>
      </c>
      <c r="J1448" t="s">
        <v>8077</v>
      </c>
      <c r="K1448" s="1">
        <v>46167</v>
      </c>
      <c r="L1448" s="1" t="str">
        <f>IF(K1448&gt;O1448,"Valid","Invalid")</f>
        <v>Valid</v>
      </c>
      <c r="M1448" s="1" t="b">
        <f>ISNUMBER(K1448)</f>
        <v>1</v>
      </c>
      <c r="N1448" s="1" t="b">
        <f>ISNUMBER(O1448)</f>
        <v>1</v>
      </c>
      <c r="O1448" s="1">
        <v>46141</v>
      </c>
      <c r="P1448" t="s">
        <v>1899</v>
      </c>
      <c r="Q1448" t="str">
        <f>SUBSTITUTE(SUBSTITUTE(SUBSTITUTE(P1448," ",""),"-",""),"+","")</f>
        <v>914503932160</v>
      </c>
      <c r="R1448" t="str">
        <f t="shared" si="44"/>
        <v>4503932160</v>
      </c>
      <c r="S1448" t="str">
        <f>IF(LEN(R1448),"Valid","Invalid")</f>
        <v>Valid</v>
      </c>
      <c r="T1448" t="s">
        <v>1898</v>
      </c>
      <c r="V1448" t="s">
        <v>17</v>
      </c>
      <c r="X1448">
        <v>12316.98</v>
      </c>
      <c r="Y1448" t="s">
        <v>123</v>
      </c>
      <c r="Z1448">
        <v>109</v>
      </c>
      <c r="AA1448">
        <f t="shared" si="45"/>
        <v>109</v>
      </c>
      <c r="AB1448" t="s">
        <v>43</v>
      </c>
    </row>
    <row r="1449" spans="1:28" x14ac:dyDescent="0.3">
      <c r="A1449" t="s">
        <v>1897</v>
      </c>
      <c r="B1449" t="s">
        <v>1896</v>
      </c>
      <c r="C1449" t="s">
        <v>1896</v>
      </c>
      <c r="D1449" t="s">
        <v>74</v>
      </c>
      <c r="E1449">
        <v>50</v>
      </c>
      <c r="F1449">
        <v>50</v>
      </c>
      <c r="G1449" t="s">
        <v>39</v>
      </c>
      <c r="H1449" t="s">
        <v>39</v>
      </c>
      <c r="I1449" t="s">
        <v>67</v>
      </c>
      <c r="J1449" t="s">
        <v>67</v>
      </c>
      <c r="K1449" s="1">
        <v>45990</v>
      </c>
      <c r="L1449" s="1" t="str">
        <f>IF(K1449&gt;O1449,"Valid","Invalid")</f>
        <v>Valid</v>
      </c>
      <c r="M1449" s="1" t="b">
        <f>ISNUMBER(K1449)</f>
        <v>1</v>
      </c>
      <c r="N1449" s="1" t="b">
        <f>ISNUMBER(O1449)</f>
        <v>1</v>
      </c>
      <c r="O1449" s="1">
        <v>45988</v>
      </c>
      <c r="P1449" t="s">
        <v>1895</v>
      </c>
      <c r="Q1449" t="str">
        <f>SUBSTITUTE(SUBSTITUTE(SUBSTITUTE(P1449," ",""),"-",""),"+","")</f>
        <v>01628949256</v>
      </c>
      <c r="R1449" t="str">
        <f t="shared" si="44"/>
        <v>1628949256</v>
      </c>
      <c r="S1449" t="str">
        <f>IF(LEN(R1449),"Valid","Invalid")</f>
        <v>Valid</v>
      </c>
      <c r="T1449" t="s">
        <v>1894</v>
      </c>
      <c r="V1449" t="s">
        <v>123</v>
      </c>
      <c r="X1449">
        <v>11674.69</v>
      </c>
      <c r="Y1449" t="s">
        <v>63</v>
      </c>
      <c r="Z1449">
        <v>134</v>
      </c>
      <c r="AA1449">
        <f t="shared" si="45"/>
        <v>134</v>
      </c>
      <c r="AB1449" t="s">
        <v>16</v>
      </c>
    </row>
    <row r="1450" spans="1:28" x14ac:dyDescent="0.3">
      <c r="A1450" t="s">
        <v>1893</v>
      </c>
      <c r="B1450" t="s">
        <v>1892</v>
      </c>
      <c r="C1450" t="s">
        <v>1892</v>
      </c>
      <c r="D1450" t="s">
        <v>123</v>
      </c>
      <c r="E1450">
        <v>25</v>
      </c>
      <c r="F1450">
        <v>25</v>
      </c>
      <c r="G1450" t="s">
        <v>132</v>
      </c>
      <c r="H1450" t="s">
        <v>132</v>
      </c>
      <c r="I1450" t="s">
        <v>53</v>
      </c>
      <c r="J1450" t="s">
        <v>20</v>
      </c>
      <c r="K1450" s="1">
        <v>46136</v>
      </c>
      <c r="L1450" s="1" t="str">
        <f>IF(K1450&gt;O1450,"Valid","Invalid")</f>
        <v>Valid</v>
      </c>
      <c r="M1450" s="1" t="b">
        <f>ISNUMBER(K1450)</f>
        <v>1</v>
      </c>
      <c r="N1450" s="1" t="b">
        <f>ISNUMBER(O1450)</f>
        <v>1</v>
      </c>
      <c r="O1450" s="1">
        <v>46125</v>
      </c>
      <c r="P1450" t="s">
        <v>1891</v>
      </c>
      <c r="Q1450" t="str">
        <f>SUBSTITUTE(SUBSTITUTE(SUBSTITUTE(P1450," ",""),"-",""),"+","")</f>
        <v>05225971908</v>
      </c>
      <c r="R1450" t="str">
        <f t="shared" si="44"/>
        <v>5225971908</v>
      </c>
      <c r="S1450" t="str">
        <f>IF(LEN(R1450),"Valid","Invalid")</f>
        <v>Valid</v>
      </c>
      <c r="T1450" t="s">
        <v>1890</v>
      </c>
      <c r="V1450" t="s">
        <v>27</v>
      </c>
      <c r="X1450">
        <v>11948.92</v>
      </c>
      <c r="Y1450" t="s">
        <v>57</v>
      </c>
      <c r="Z1450">
        <v>424</v>
      </c>
      <c r="AA1450">
        <f t="shared" si="45"/>
        <v>424</v>
      </c>
      <c r="AB1450" t="s">
        <v>77</v>
      </c>
    </row>
    <row r="1451" spans="1:28" x14ac:dyDescent="0.3">
      <c r="A1451" t="s">
        <v>1889</v>
      </c>
      <c r="B1451" t="s">
        <v>1888</v>
      </c>
      <c r="C1451" t="s">
        <v>1888</v>
      </c>
      <c r="D1451" t="s">
        <v>60</v>
      </c>
      <c r="E1451">
        <v>46</v>
      </c>
      <c r="F1451">
        <v>46</v>
      </c>
      <c r="G1451" t="s">
        <v>68</v>
      </c>
      <c r="H1451" t="s">
        <v>68</v>
      </c>
      <c r="I1451" t="s">
        <v>53</v>
      </c>
      <c r="J1451" t="s">
        <v>20</v>
      </c>
      <c r="K1451" s="1">
        <v>46134</v>
      </c>
      <c r="L1451" s="1" t="str">
        <f>IF(K1451&gt;O1451,"Valid","Invalid")</f>
        <v>Valid</v>
      </c>
      <c r="M1451" s="1" t="b">
        <f>ISNUMBER(K1451)</f>
        <v>1</v>
      </c>
      <c r="N1451" s="1" t="b">
        <f>ISNUMBER(O1451)</f>
        <v>1</v>
      </c>
      <c r="O1451" s="1">
        <v>46109</v>
      </c>
      <c r="P1451" t="s">
        <v>1887</v>
      </c>
      <c r="Q1451" t="str">
        <f>SUBSTITUTE(SUBSTITUTE(SUBSTITUTE(P1451," ",""),"-",""),"+","")</f>
        <v>6819566581</v>
      </c>
      <c r="R1451" t="str">
        <f t="shared" si="44"/>
        <v>6819566581</v>
      </c>
      <c r="S1451" t="str">
        <f>IF(LEN(R1451),"Valid","Invalid")</f>
        <v>Valid</v>
      </c>
      <c r="T1451" t="s">
        <v>1886</v>
      </c>
      <c r="V1451" t="s">
        <v>26</v>
      </c>
      <c r="X1451">
        <v>23925.360000000001</v>
      </c>
      <c r="Y1451" t="s">
        <v>123</v>
      </c>
      <c r="Z1451">
        <v>260</v>
      </c>
      <c r="AA1451">
        <f t="shared" si="45"/>
        <v>260</v>
      </c>
      <c r="AB1451" t="s">
        <v>34</v>
      </c>
    </row>
    <row r="1452" spans="1:28" x14ac:dyDescent="0.3">
      <c r="A1452" t="s">
        <v>1881</v>
      </c>
      <c r="B1452" t="s">
        <v>1880</v>
      </c>
      <c r="C1452" t="s">
        <v>1880</v>
      </c>
      <c r="D1452" t="s">
        <v>22</v>
      </c>
      <c r="E1452">
        <v>32</v>
      </c>
      <c r="F1452">
        <v>32</v>
      </c>
      <c r="G1452" t="s">
        <v>54</v>
      </c>
      <c r="H1452" t="s">
        <v>54</v>
      </c>
      <c r="I1452" t="s">
        <v>90</v>
      </c>
      <c r="J1452" t="s">
        <v>67</v>
      </c>
      <c r="K1452" s="1">
        <v>46051</v>
      </c>
      <c r="L1452" s="1" t="str">
        <f>IF(K1452&gt;O1452,"Valid","Invalid")</f>
        <v>Valid</v>
      </c>
      <c r="M1452" s="1" t="b">
        <f>ISNUMBER(K1452)</f>
        <v>1</v>
      </c>
      <c r="N1452" s="1" t="b">
        <f>ISNUMBER(O1452)</f>
        <v>1</v>
      </c>
      <c r="O1452" s="1">
        <v>46029</v>
      </c>
      <c r="P1452" t="s">
        <v>1879</v>
      </c>
      <c r="Q1452" t="str">
        <f>SUBSTITUTE(SUBSTITUTE(SUBSTITUTE(P1452," ",""),"-",""),"+","")</f>
        <v>3157761802</v>
      </c>
      <c r="R1452" t="str">
        <f t="shared" si="44"/>
        <v>3157761802</v>
      </c>
      <c r="S1452" t="str">
        <f>IF(LEN(R1452),"Valid","Invalid")</f>
        <v>Valid</v>
      </c>
      <c r="T1452" t="s">
        <v>1878</v>
      </c>
      <c r="V1452" t="s">
        <v>27</v>
      </c>
      <c r="X1452">
        <v>7594.79</v>
      </c>
      <c r="Y1452" t="s">
        <v>57</v>
      </c>
      <c r="Z1452">
        <v>173</v>
      </c>
      <c r="AA1452">
        <f t="shared" si="45"/>
        <v>173</v>
      </c>
      <c r="AB1452" t="s">
        <v>43</v>
      </c>
    </row>
    <row r="1453" spans="1:28" x14ac:dyDescent="0.3">
      <c r="A1453" t="s">
        <v>1877</v>
      </c>
      <c r="B1453" t="s">
        <v>1876</v>
      </c>
      <c r="C1453" t="s">
        <v>1876</v>
      </c>
      <c r="D1453" t="s">
        <v>40</v>
      </c>
      <c r="E1453">
        <v>4</v>
      </c>
      <c r="F1453">
        <v>4</v>
      </c>
      <c r="G1453" t="s">
        <v>54</v>
      </c>
      <c r="H1453" t="s">
        <v>54</v>
      </c>
      <c r="I1453" t="s">
        <v>20</v>
      </c>
      <c r="J1453" t="s">
        <v>20</v>
      </c>
      <c r="K1453" s="1">
        <v>46001</v>
      </c>
      <c r="L1453" s="1" t="str">
        <f>IF(K1453&gt;O1453,"Valid","Invalid")</f>
        <v>Valid</v>
      </c>
      <c r="M1453" s="1" t="b">
        <f>ISNUMBER(K1453)</f>
        <v>1</v>
      </c>
      <c r="N1453" s="1" t="b">
        <f>ISNUMBER(O1453)</f>
        <v>1</v>
      </c>
      <c r="O1453" s="1">
        <v>45990</v>
      </c>
      <c r="P1453" t="s">
        <v>1875</v>
      </c>
      <c r="Q1453" t="str">
        <f>SUBSTITUTE(SUBSTITUTE(SUBSTITUTE(P1453," ",""),"-",""),"+","")</f>
        <v>912149770766</v>
      </c>
      <c r="R1453" t="str">
        <f t="shared" si="44"/>
        <v>2149770766</v>
      </c>
      <c r="S1453" t="str">
        <f>IF(LEN(R1453),"Valid","Invalid")</f>
        <v>Valid</v>
      </c>
      <c r="T1453" t="s">
        <v>1874</v>
      </c>
      <c r="V1453" t="s">
        <v>123</v>
      </c>
      <c r="X1453">
        <v>19439.759999999998</v>
      </c>
      <c r="Y1453" t="s">
        <v>26</v>
      </c>
      <c r="Z1453">
        <v>328</v>
      </c>
      <c r="AA1453">
        <f t="shared" si="45"/>
        <v>328</v>
      </c>
      <c r="AB1453" t="s">
        <v>25</v>
      </c>
    </row>
    <row r="1454" spans="1:28" x14ac:dyDescent="0.3">
      <c r="A1454" t="s">
        <v>1873</v>
      </c>
      <c r="B1454" t="s">
        <v>1872</v>
      </c>
      <c r="C1454" t="s">
        <v>1872</v>
      </c>
      <c r="D1454" t="s">
        <v>123</v>
      </c>
      <c r="E1454">
        <v>72</v>
      </c>
      <c r="F1454">
        <v>72</v>
      </c>
      <c r="G1454" t="s">
        <v>39</v>
      </c>
      <c r="H1454" t="s">
        <v>39</v>
      </c>
      <c r="I1454" t="s">
        <v>85</v>
      </c>
      <c r="J1454" t="s">
        <v>85</v>
      </c>
      <c r="K1454" s="1">
        <v>46090</v>
      </c>
      <c r="L1454" s="1" t="str">
        <f>IF(K1454&gt;O1454,"Valid","Invalid")</f>
        <v>Valid</v>
      </c>
      <c r="M1454" s="1" t="b">
        <f>ISNUMBER(K1454)</f>
        <v>1</v>
      </c>
      <c r="N1454" s="1" t="b">
        <f>ISNUMBER(O1454)</f>
        <v>1</v>
      </c>
      <c r="O1454" s="1">
        <v>46066</v>
      </c>
      <c r="P1454" t="s">
        <v>1871</v>
      </c>
      <c r="Q1454" t="str">
        <f>SUBSTITUTE(SUBSTITUTE(SUBSTITUTE(P1454," ",""),"-",""),"+","")</f>
        <v>7263194144</v>
      </c>
      <c r="R1454" t="str">
        <f t="shared" si="44"/>
        <v>7263194144</v>
      </c>
      <c r="S1454" t="str">
        <f>IF(LEN(R1454),"Valid","Invalid")</f>
        <v>Valid</v>
      </c>
      <c r="T1454" t="s">
        <v>1870</v>
      </c>
      <c r="V1454" t="s">
        <v>57</v>
      </c>
      <c r="X1454">
        <v>2872.07</v>
      </c>
      <c r="Y1454" t="s">
        <v>63</v>
      </c>
      <c r="Z1454">
        <v>333</v>
      </c>
      <c r="AA1454">
        <f t="shared" si="45"/>
        <v>333</v>
      </c>
      <c r="AB1454" t="s">
        <v>43</v>
      </c>
    </row>
    <row r="1455" spans="1:28" x14ac:dyDescent="0.3">
      <c r="A1455" t="s">
        <v>1869</v>
      </c>
      <c r="B1455" t="s">
        <v>1868</v>
      </c>
      <c r="C1455" t="s">
        <v>1868</v>
      </c>
      <c r="D1455" t="s">
        <v>1</v>
      </c>
      <c r="E1455">
        <v>78</v>
      </c>
      <c r="F1455">
        <v>78</v>
      </c>
      <c r="G1455" t="s">
        <v>68</v>
      </c>
      <c r="H1455" t="s">
        <v>68</v>
      </c>
      <c r="I1455" t="s">
        <v>30</v>
      </c>
      <c r="J1455" t="s">
        <v>30</v>
      </c>
      <c r="K1455" s="1">
        <v>46085</v>
      </c>
      <c r="L1455" s="1" t="str">
        <f>IF(K1455&gt;O1455,"Valid","Invalid")</f>
        <v>Valid</v>
      </c>
      <c r="M1455" s="1" t="b">
        <f>ISNUMBER(K1455)</f>
        <v>1</v>
      </c>
      <c r="N1455" s="1" t="b">
        <f>ISNUMBER(O1455)</f>
        <v>1</v>
      </c>
      <c r="O1455" s="1">
        <v>46080</v>
      </c>
      <c r="P1455" t="s">
        <v>1867</v>
      </c>
      <c r="Q1455" t="str">
        <f>SUBSTITUTE(SUBSTITUTE(SUBSTITUTE(P1455," ",""),"-",""),"+","")</f>
        <v>7103754412</v>
      </c>
      <c r="R1455" t="str">
        <f t="shared" si="44"/>
        <v>7103754412</v>
      </c>
      <c r="S1455" t="str">
        <f>IF(LEN(R1455),"Valid","Invalid")</f>
        <v>Valid</v>
      </c>
      <c r="T1455" t="s">
        <v>1866</v>
      </c>
      <c r="V1455" t="s">
        <v>35</v>
      </c>
      <c r="X1455">
        <v>8205.5300000000007</v>
      </c>
      <c r="Y1455" t="s">
        <v>27</v>
      </c>
      <c r="Z1455">
        <v>163</v>
      </c>
      <c r="AA1455">
        <f t="shared" si="45"/>
        <v>163</v>
      </c>
      <c r="AB1455" t="s">
        <v>77</v>
      </c>
    </row>
    <row r="1456" spans="1:28" x14ac:dyDescent="0.3">
      <c r="A1456" t="s">
        <v>1865</v>
      </c>
      <c r="B1456" t="s">
        <v>1864</v>
      </c>
      <c r="C1456" t="s">
        <v>1864</v>
      </c>
      <c r="D1456" t="s">
        <v>60</v>
      </c>
      <c r="E1456">
        <v>71</v>
      </c>
      <c r="F1456">
        <v>71</v>
      </c>
      <c r="G1456" t="s">
        <v>68</v>
      </c>
      <c r="H1456" t="s">
        <v>68</v>
      </c>
      <c r="I1456" t="s">
        <v>67</v>
      </c>
      <c r="J1456" t="s">
        <v>67</v>
      </c>
      <c r="K1456" s="1">
        <v>46050</v>
      </c>
      <c r="L1456" s="1" t="str">
        <f>IF(K1456&gt;O1456,"Valid","Invalid")</f>
        <v>Valid</v>
      </c>
      <c r="M1456" s="1" t="b">
        <f>ISNUMBER(K1456)</f>
        <v>1</v>
      </c>
      <c r="N1456" s="1" t="b">
        <f>ISNUMBER(O1456)</f>
        <v>1</v>
      </c>
      <c r="O1456" s="1">
        <v>46046</v>
      </c>
      <c r="P1456" t="s">
        <v>1863</v>
      </c>
      <c r="Q1456" t="str">
        <f>SUBSTITUTE(SUBSTITUTE(SUBSTITUTE(P1456," ",""),"-",""),"+","")</f>
        <v>910000975564</v>
      </c>
      <c r="R1456" t="str">
        <f t="shared" si="44"/>
        <v>0000975564</v>
      </c>
      <c r="S1456" t="str">
        <f>IF(LEN(R1456),"Valid","Invalid")</f>
        <v>Valid</v>
      </c>
      <c r="T1456" t="s">
        <v>1862</v>
      </c>
      <c r="V1456" t="s">
        <v>57</v>
      </c>
      <c r="X1456">
        <v>20828.75</v>
      </c>
      <c r="Y1456" t="s">
        <v>123</v>
      </c>
      <c r="Z1456">
        <v>381</v>
      </c>
      <c r="AA1456">
        <f t="shared" si="45"/>
        <v>381</v>
      </c>
      <c r="AB1456" t="s">
        <v>77</v>
      </c>
    </row>
    <row r="1457" spans="1:28" x14ac:dyDescent="0.3">
      <c r="A1457" t="s">
        <v>1861</v>
      </c>
      <c r="B1457" t="s">
        <v>1860</v>
      </c>
      <c r="C1457" t="s">
        <v>1860</v>
      </c>
      <c r="D1457" t="s">
        <v>123</v>
      </c>
      <c r="E1457">
        <v>83</v>
      </c>
      <c r="F1457">
        <v>83</v>
      </c>
      <c r="G1457" t="s">
        <v>31</v>
      </c>
      <c r="H1457" t="s">
        <v>31</v>
      </c>
      <c r="I1457" t="s">
        <v>90</v>
      </c>
      <c r="J1457" t="s">
        <v>67</v>
      </c>
      <c r="K1457" s="1">
        <v>46006</v>
      </c>
      <c r="L1457" s="1" t="str">
        <f>IF(K1457&gt;O1457,"Valid","Invalid")</f>
        <v>Valid</v>
      </c>
      <c r="M1457" s="1" t="b">
        <f>ISNUMBER(K1457)</f>
        <v>1</v>
      </c>
      <c r="N1457" s="1" t="b">
        <f>ISNUMBER(O1457)</f>
        <v>1</v>
      </c>
      <c r="O1457" s="1">
        <v>46001</v>
      </c>
      <c r="P1457" t="s">
        <v>1859</v>
      </c>
      <c r="Q1457" t="str">
        <f>SUBSTITUTE(SUBSTITUTE(SUBSTITUTE(P1457," ",""),"-",""),"+","")</f>
        <v>912079700108</v>
      </c>
      <c r="R1457" t="str">
        <f t="shared" si="44"/>
        <v>2079700108</v>
      </c>
      <c r="S1457" t="str">
        <f>IF(LEN(R1457),"Valid","Invalid")</f>
        <v>Valid</v>
      </c>
      <c r="T1457" t="s">
        <v>1858</v>
      </c>
      <c r="V1457" t="s">
        <v>57</v>
      </c>
      <c r="X1457">
        <v>15404.44</v>
      </c>
      <c r="Y1457" t="s">
        <v>27</v>
      </c>
      <c r="Z1457">
        <v>429</v>
      </c>
      <c r="AA1457">
        <f t="shared" si="45"/>
        <v>429</v>
      </c>
      <c r="AB1457" t="s">
        <v>43</v>
      </c>
    </row>
    <row r="1458" spans="1:28" x14ac:dyDescent="0.3">
      <c r="A1458" t="s">
        <v>1857</v>
      </c>
      <c r="B1458" t="s">
        <v>1856</v>
      </c>
      <c r="C1458" t="s">
        <v>1856</v>
      </c>
      <c r="D1458" t="s">
        <v>60</v>
      </c>
      <c r="E1458">
        <v>73</v>
      </c>
      <c r="F1458">
        <v>73</v>
      </c>
      <c r="G1458" t="s">
        <v>47</v>
      </c>
      <c r="H1458" t="s">
        <v>47</v>
      </c>
      <c r="I1458" t="s">
        <v>46</v>
      </c>
      <c r="J1458" t="s">
        <v>46</v>
      </c>
      <c r="K1458" s="1">
        <v>46083</v>
      </c>
      <c r="L1458" s="1" t="str">
        <f>IF(K1458&gt;O1458,"Valid","Invalid")</f>
        <v>Valid</v>
      </c>
      <c r="M1458" s="1" t="b">
        <f>ISNUMBER(K1458)</f>
        <v>1</v>
      </c>
      <c r="N1458" s="1" t="b">
        <f>ISNUMBER(O1458)</f>
        <v>1</v>
      </c>
      <c r="O1458" s="1">
        <v>46060</v>
      </c>
      <c r="P1458" t="s">
        <v>1855</v>
      </c>
      <c r="Q1458" t="str">
        <f>SUBSTITUTE(SUBSTITUTE(SUBSTITUTE(P1458," ",""),"-",""),"+","")</f>
        <v>917814642866</v>
      </c>
      <c r="R1458" t="str">
        <f t="shared" si="44"/>
        <v>7814642866</v>
      </c>
      <c r="S1458" t="str">
        <f>IF(LEN(R1458),"Valid","Invalid")</f>
        <v>Valid</v>
      </c>
      <c r="T1458" t="s">
        <v>1854</v>
      </c>
      <c r="V1458" t="s">
        <v>35</v>
      </c>
      <c r="X1458">
        <v>12517.58</v>
      </c>
      <c r="Y1458" t="s">
        <v>64</v>
      </c>
      <c r="Z1458">
        <v>171</v>
      </c>
      <c r="AA1458">
        <f t="shared" si="45"/>
        <v>171</v>
      </c>
      <c r="AB1458" t="s">
        <v>71</v>
      </c>
    </row>
    <row r="1459" spans="1:28" x14ac:dyDescent="0.3">
      <c r="A1459" t="s">
        <v>1853</v>
      </c>
      <c r="B1459" t="s">
        <v>1852</v>
      </c>
      <c r="C1459" t="s">
        <v>1852</v>
      </c>
      <c r="D1459" t="s">
        <v>74</v>
      </c>
      <c r="E1459">
        <v>67</v>
      </c>
      <c r="F1459">
        <v>67</v>
      </c>
      <c r="G1459" t="s">
        <v>39</v>
      </c>
      <c r="H1459" t="s">
        <v>39</v>
      </c>
      <c r="I1459" t="s">
        <v>38</v>
      </c>
      <c r="J1459" t="s">
        <v>8077</v>
      </c>
      <c r="K1459" s="1">
        <v>46079</v>
      </c>
      <c r="L1459" s="1" t="str">
        <f>IF(K1459&gt;O1459,"Valid","Invalid")</f>
        <v>Valid</v>
      </c>
      <c r="M1459" s="1" t="b">
        <f>ISNUMBER(K1459)</f>
        <v>1</v>
      </c>
      <c r="N1459" s="1" t="b">
        <f>ISNUMBER(O1459)</f>
        <v>1</v>
      </c>
      <c r="O1459" s="1">
        <v>46077</v>
      </c>
      <c r="P1459" t="s">
        <v>1851</v>
      </c>
      <c r="Q1459" t="str">
        <f>SUBSTITUTE(SUBSTITUTE(SUBSTITUTE(P1459," ",""),"-",""),"+","")</f>
        <v>01884018503</v>
      </c>
      <c r="R1459" t="str">
        <f t="shared" si="44"/>
        <v>1884018503</v>
      </c>
      <c r="S1459" t="str">
        <f>IF(LEN(R1459),"Valid","Invalid")</f>
        <v>Valid</v>
      </c>
      <c r="T1459" t="s">
        <v>1850</v>
      </c>
      <c r="V1459" t="s">
        <v>57</v>
      </c>
      <c r="X1459">
        <v>24313.52</v>
      </c>
      <c r="Y1459" t="s">
        <v>17</v>
      </c>
      <c r="Z1459">
        <v>141</v>
      </c>
      <c r="AA1459">
        <f t="shared" si="45"/>
        <v>141</v>
      </c>
      <c r="AB1459" t="s">
        <v>16</v>
      </c>
    </row>
    <row r="1460" spans="1:28" x14ac:dyDescent="0.3">
      <c r="A1460" t="s">
        <v>1849</v>
      </c>
      <c r="B1460" t="s">
        <v>1848</v>
      </c>
      <c r="C1460" t="s">
        <v>1848</v>
      </c>
      <c r="D1460" t="s">
        <v>60</v>
      </c>
      <c r="E1460">
        <v>9</v>
      </c>
      <c r="F1460">
        <v>9</v>
      </c>
      <c r="G1460" t="s">
        <v>68</v>
      </c>
      <c r="H1460" t="s">
        <v>68</v>
      </c>
      <c r="I1460" t="s">
        <v>90</v>
      </c>
      <c r="J1460" t="s">
        <v>67</v>
      </c>
      <c r="K1460" s="1">
        <v>46090</v>
      </c>
      <c r="L1460" s="1" t="str">
        <f>IF(K1460&gt;O1460,"Valid","Invalid")</f>
        <v>Valid</v>
      </c>
      <c r="M1460" s="1" t="b">
        <f>ISNUMBER(K1460)</f>
        <v>1</v>
      </c>
      <c r="N1460" s="1" t="b">
        <f>ISNUMBER(O1460)</f>
        <v>1</v>
      </c>
      <c r="O1460" s="1">
        <v>46073</v>
      </c>
      <c r="P1460" t="s">
        <v>1847</v>
      </c>
      <c r="Q1460" t="str">
        <f>SUBSTITUTE(SUBSTITUTE(SUBSTITUTE(P1460," ",""),"-",""),"+","")</f>
        <v>914426307750</v>
      </c>
      <c r="R1460" t="str">
        <f t="shared" si="44"/>
        <v>4426307750</v>
      </c>
      <c r="S1460" t="str">
        <f>IF(LEN(R1460),"Valid","Invalid")</f>
        <v>Valid</v>
      </c>
      <c r="T1460" t="s">
        <v>1846</v>
      </c>
      <c r="V1460" t="s">
        <v>27</v>
      </c>
      <c r="X1460">
        <v>13212.05</v>
      </c>
      <c r="Y1460" t="s">
        <v>123</v>
      </c>
      <c r="Z1460">
        <v>455</v>
      </c>
      <c r="AA1460">
        <f t="shared" si="45"/>
        <v>455</v>
      </c>
      <c r="AB1460" t="s">
        <v>71</v>
      </c>
    </row>
    <row r="1461" spans="1:28" x14ac:dyDescent="0.3">
      <c r="A1461" t="s">
        <v>1841</v>
      </c>
      <c r="B1461" t="s">
        <v>1840</v>
      </c>
      <c r="C1461" t="s">
        <v>1840</v>
      </c>
      <c r="D1461" t="s">
        <v>40</v>
      </c>
      <c r="E1461">
        <v>7</v>
      </c>
      <c r="F1461">
        <v>7</v>
      </c>
      <c r="G1461" t="s">
        <v>21</v>
      </c>
      <c r="H1461" t="s">
        <v>21</v>
      </c>
      <c r="I1461" t="s">
        <v>85</v>
      </c>
      <c r="J1461" t="s">
        <v>85</v>
      </c>
      <c r="K1461" s="1">
        <v>46014</v>
      </c>
      <c r="L1461" s="1" t="str">
        <f>IF(K1461&gt;O1461,"Valid","Invalid")</f>
        <v>Valid</v>
      </c>
      <c r="M1461" s="1" t="b">
        <f>ISNUMBER(K1461)</f>
        <v>1</v>
      </c>
      <c r="N1461" s="1" t="b">
        <f>ISNUMBER(O1461)</f>
        <v>1</v>
      </c>
      <c r="O1461" s="1">
        <v>46013</v>
      </c>
      <c r="P1461" t="s">
        <v>1839</v>
      </c>
      <c r="Q1461" t="str">
        <f>SUBSTITUTE(SUBSTITUTE(SUBSTITUTE(P1461," ",""),"-",""),"+","")</f>
        <v>1815802258</v>
      </c>
      <c r="R1461" t="str">
        <f t="shared" si="44"/>
        <v>1815802258</v>
      </c>
      <c r="S1461" t="str">
        <f>IF(LEN(R1461),"Valid","Invalid")</f>
        <v>Valid</v>
      </c>
      <c r="T1461" t="s">
        <v>1838</v>
      </c>
      <c r="V1461" t="s">
        <v>27</v>
      </c>
      <c r="X1461">
        <v>5631.22</v>
      </c>
      <c r="Y1461" t="s">
        <v>57</v>
      </c>
      <c r="Z1461">
        <v>178</v>
      </c>
      <c r="AA1461">
        <f t="shared" si="45"/>
        <v>178</v>
      </c>
      <c r="AB1461" t="s">
        <v>50</v>
      </c>
    </row>
    <row r="1462" spans="1:28" x14ac:dyDescent="0.3">
      <c r="A1462" t="s">
        <v>1837</v>
      </c>
      <c r="B1462" t="s">
        <v>1836</v>
      </c>
      <c r="C1462" t="s">
        <v>1836</v>
      </c>
      <c r="D1462" t="s">
        <v>0</v>
      </c>
      <c r="E1462">
        <v>65</v>
      </c>
      <c r="F1462">
        <v>65</v>
      </c>
      <c r="G1462" t="s">
        <v>31</v>
      </c>
      <c r="H1462" t="s">
        <v>31</v>
      </c>
      <c r="I1462" t="s">
        <v>67</v>
      </c>
      <c r="J1462" t="s">
        <v>67</v>
      </c>
      <c r="K1462" s="1">
        <v>46063</v>
      </c>
      <c r="L1462" s="1" t="str">
        <f>IF(K1462&gt;O1462,"Valid","Invalid")</f>
        <v>Valid</v>
      </c>
      <c r="M1462" s="1" t="b">
        <f>ISNUMBER(K1462)</f>
        <v>1</v>
      </c>
      <c r="N1462" s="1" t="b">
        <f>ISNUMBER(O1462)</f>
        <v>1</v>
      </c>
      <c r="O1462" s="1">
        <v>46051</v>
      </c>
      <c r="P1462" t="s">
        <v>1835</v>
      </c>
      <c r="Q1462" t="str">
        <f>SUBSTITUTE(SUBSTITUTE(SUBSTITUTE(P1462," ",""),"-",""),"+","")</f>
        <v>6833129406</v>
      </c>
      <c r="R1462" t="str">
        <f t="shared" si="44"/>
        <v>6833129406</v>
      </c>
      <c r="S1462" t="str">
        <f>IF(LEN(R1462),"Valid","Invalid")</f>
        <v>Valid</v>
      </c>
      <c r="T1462" t="s">
        <v>1834</v>
      </c>
      <c r="V1462" t="s">
        <v>123</v>
      </c>
      <c r="X1462">
        <v>677.54</v>
      </c>
      <c r="Y1462" t="s">
        <v>63</v>
      </c>
      <c r="Z1462">
        <v>352</v>
      </c>
      <c r="AA1462">
        <f t="shared" si="45"/>
        <v>352</v>
      </c>
      <c r="AB1462" t="s">
        <v>77</v>
      </c>
    </row>
    <row r="1463" spans="1:28" x14ac:dyDescent="0.3">
      <c r="A1463" t="s">
        <v>1833</v>
      </c>
      <c r="B1463" t="s">
        <v>1832</v>
      </c>
      <c r="C1463" t="s">
        <v>1832</v>
      </c>
      <c r="D1463" t="s">
        <v>123</v>
      </c>
      <c r="E1463">
        <v>71</v>
      </c>
      <c r="F1463">
        <v>71</v>
      </c>
      <c r="G1463" t="s">
        <v>80</v>
      </c>
      <c r="H1463" t="s">
        <v>80</v>
      </c>
      <c r="I1463" t="s">
        <v>46</v>
      </c>
      <c r="J1463" t="s">
        <v>46</v>
      </c>
      <c r="K1463" s="1">
        <v>46145</v>
      </c>
      <c r="L1463" s="1" t="str">
        <f>IF(K1463&gt;O1463,"Valid","Invalid")</f>
        <v>Valid</v>
      </c>
      <c r="M1463" s="1" t="b">
        <f>ISNUMBER(K1463)</f>
        <v>1</v>
      </c>
      <c r="N1463" s="1" t="b">
        <f>ISNUMBER(O1463)</f>
        <v>1</v>
      </c>
      <c r="O1463" s="1">
        <v>46139</v>
      </c>
      <c r="P1463" t="s">
        <v>1831</v>
      </c>
      <c r="Q1463" t="str">
        <f>SUBSTITUTE(SUBSTITUTE(SUBSTITUTE(P1463," ",""),"-",""),"+","")</f>
        <v>1320906767</v>
      </c>
      <c r="R1463" t="str">
        <f t="shared" si="44"/>
        <v>1320906767</v>
      </c>
      <c r="S1463" t="str">
        <f>IF(LEN(R1463),"Valid","Invalid")</f>
        <v>Valid</v>
      </c>
      <c r="T1463" t="s">
        <v>1830</v>
      </c>
      <c r="V1463" t="s">
        <v>27</v>
      </c>
      <c r="X1463">
        <v>5379.15</v>
      </c>
      <c r="Y1463" t="s">
        <v>123</v>
      </c>
      <c r="Z1463">
        <v>103</v>
      </c>
      <c r="AA1463">
        <f t="shared" si="45"/>
        <v>103</v>
      </c>
      <c r="AB1463" t="s">
        <v>43</v>
      </c>
    </row>
    <row r="1464" spans="1:28" x14ac:dyDescent="0.3">
      <c r="A1464" t="s">
        <v>1829</v>
      </c>
      <c r="B1464" t="s">
        <v>1828</v>
      </c>
      <c r="C1464" t="s">
        <v>1828</v>
      </c>
      <c r="D1464" t="s">
        <v>74</v>
      </c>
      <c r="E1464">
        <v>75</v>
      </c>
      <c r="F1464">
        <v>75</v>
      </c>
      <c r="G1464" t="s">
        <v>31</v>
      </c>
      <c r="H1464" t="s">
        <v>31</v>
      </c>
      <c r="I1464" t="s">
        <v>53</v>
      </c>
      <c r="J1464" t="s">
        <v>20</v>
      </c>
      <c r="K1464" s="1">
        <v>46126</v>
      </c>
      <c r="L1464" s="1" t="str">
        <f>IF(K1464&gt;O1464,"Valid","Invalid")</f>
        <v>Valid</v>
      </c>
      <c r="M1464" s="1" t="b">
        <f>ISNUMBER(K1464)</f>
        <v>1</v>
      </c>
      <c r="N1464" s="1" t="b">
        <f>ISNUMBER(O1464)</f>
        <v>1</v>
      </c>
      <c r="O1464" s="1">
        <v>46114</v>
      </c>
      <c r="P1464" t="s">
        <v>1827</v>
      </c>
      <c r="Q1464" t="str">
        <f>SUBSTITUTE(SUBSTITUTE(SUBSTITUTE(P1464," ",""),"-",""),"+","")</f>
        <v>02627597192</v>
      </c>
      <c r="R1464" t="str">
        <f t="shared" si="44"/>
        <v>2627597192</v>
      </c>
      <c r="S1464" t="str">
        <f>IF(LEN(R1464),"Valid","Invalid")</f>
        <v>Valid</v>
      </c>
      <c r="T1464" t="s">
        <v>1826</v>
      </c>
      <c r="V1464" t="s">
        <v>17</v>
      </c>
      <c r="X1464">
        <v>3975.95</v>
      </c>
      <c r="Y1464" t="s">
        <v>27</v>
      </c>
      <c r="Z1464">
        <v>421</v>
      </c>
      <c r="AA1464">
        <f t="shared" si="45"/>
        <v>421</v>
      </c>
      <c r="AB1464" t="s">
        <v>25</v>
      </c>
    </row>
    <row r="1465" spans="1:28" x14ac:dyDescent="0.3">
      <c r="A1465" t="s">
        <v>1825</v>
      </c>
      <c r="B1465" t="s">
        <v>1824</v>
      </c>
      <c r="C1465" t="s">
        <v>1824</v>
      </c>
      <c r="D1465" t="s">
        <v>22</v>
      </c>
      <c r="E1465">
        <v>35</v>
      </c>
      <c r="F1465">
        <v>35</v>
      </c>
      <c r="G1465" t="s">
        <v>31</v>
      </c>
      <c r="H1465" t="s">
        <v>31</v>
      </c>
      <c r="I1465" t="s">
        <v>90</v>
      </c>
      <c r="J1465" t="s">
        <v>67</v>
      </c>
      <c r="K1465" s="1">
        <v>45998</v>
      </c>
      <c r="L1465" s="1" t="str">
        <f>IF(K1465&gt;O1465,"Valid","Invalid")</f>
        <v>Valid</v>
      </c>
      <c r="M1465" s="1" t="b">
        <f>ISNUMBER(K1465)</f>
        <v>1</v>
      </c>
      <c r="N1465" s="1" t="b">
        <f>ISNUMBER(O1465)</f>
        <v>1</v>
      </c>
      <c r="O1465" s="1">
        <v>45993</v>
      </c>
      <c r="P1465" t="s">
        <v>1823</v>
      </c>
      <c r="Q1465" t="str">
        <f>SUBSTITUTE(SUBSTITUTE(SUBSTITUTE(P1465," ",""),"-",""),"+","")</f>
        <v>08687290624</v>
      </c>
      <c r="R1465" t="str">
        <f t="shared" si="44"/>
        <v>8687290624</v>
      </c>
      <c r="S1465" t="str">
        <f>IF(LEN(R1465),"Valid","Invalid")</f>
        <v>Valid</v>
      </c>
      <c r="T1465" t="s">
        <v>1822</v>
      </c>
      <c r="V1465" t="s">
        <v>17</v>
      </c>
      <c r="X1465">
        <v>18903.45</v>
      </c>
      <c r="Y1465" t="s">
        <v>63</v>
      </c>
      <c r="Z1465">
        <v>271</v>
      </c>
      <c r="AA1465">
        <f t="shared" si="45"/>
        <v>271</v>
      </c>
      <c r="AB1465" t="s">
        <v>71</v>
      </c>
    </row>
    <row r="1466" spans="1:28" x14ac:dyDescent="0.3">
      <c r="A1466" t="s">
        <v>1821</v>
      </c>
      <c r="B1466" t="s">
        <v>1820</v>
      </c>
      <c r="C1466" t="s">
        <v>1820</v>
      </c>
      <c r="D1466" t="s">
        <v>60</v>
      </c>
      <c r="E1466">
        <v>34</v>
      </c>
      <c r="F1466">
        <v>34</v>
      </c>
      <c r="G1466" t="s">
        <v>54</v>
      </c>
      <c r="H1466" t="s">
        <v>54</v>
      </c>
      <c r="I1466" t="s">
        <v>20</v>
      </c>
      <c r="J1466" t="s">
        <v>20</v>
      </c>
      <c r="K1466" s="1">
        <v>46024</v>
      </c>
      <c r="L1466" s="1" t="str">
        <f>IF(K1466&gt;O1466,"Valid","Invalid")</f>
        <v>Valid</v>
      </c>
      <c r="M1466" s="1" t="b">
        <f>ISNUMBER(K1466)</f>
        <v>1</v>
      </c>
      <c r="N1466" s="1" t="b">
        <f>ISNUMBER(O1466)</f>
        <v>1</v>
      </c>
      <c r="O1466" s="1">
        <v>46004</v>
      </c>
      <c r="P1466" t="s">
        <v>1819</v>
      </c>
      <c r="Q1466" t="str">
        <f>SUBSTITUTE(SUBSTITUTE(SUBSTITUTE(P1466," ",""),"-",""),"+","")</f>
        <v>911149808139</v>
      </c>
      <c r="R1466" t="str">
        <f t="shared" si="44"/>
        <v>1149808139</v>
      </c>
      <c r="S1466" t="str">
        <f>IF(LEN(R1466),"Valid","Invalid")</f>
        <v>Valid</v>
      </c>
      <c r="T1466" t="s">
        <v>1818</v>
      </c>
      <c r="V1466" t="s">
        <v>26</v>
      </c>
      <c r="X1466">
        <v>11400.91</v>
      </c>
      <c r="Y1466" t="s">
        <v>123</v>
      </c>
      <c r="Z1466">
        <v>408</v>
      </c>
      <c r="AA1466">
        <f t="shared" si="45"/>
        <v>408</v>
      </c>
      <c r="AB1466" t="s">
        <v>25</v>
      </c>
    </row>
    <row r="1467" spans="1:28" x14ac:dyDescent="0.3">
      <c r="A1467" t="s">
        <v>1817</v>
      </c>
      <c r="B1467" t="s">
        <v>1816</v>
      </c>
      <c r="C1467" t="s">
        <v>8068</v>
      </c>
      <c r="D1467" t="s">
        <v>123</v>
      </c>
      <c r="E1467">
        <v>27</v>
      </c>
      <c r="F1467">
        <v>27</v>
      </c>
      <c r="G1467" t="s">
        <v>39</v>
      </c>
      <c r="H1467" t="s">
        <v>39</v>
      </c>
      <c r="I1467" t="s">
        <v>20</v>
      </c>
      <c r="J1467" t="s">
        <v>20</v>
      </c>
      <c r="K1467" s="1">
        <v>46039</v>
      </c>
      <c r="L1467" s="1" t="str">
        <f>IF(K1467&gt;O1467,"Valid","Invalid")</f>
        <v>Valid</v>
      </c>
      <c r="M1467" s="1" t="b">
        <f>ISNUMBER(K1467)</f>
        <v>1</v>
      </c>
      <c r="N1467" s="1" t="b">
        <f>ISNUMBER(O1467)</f>
        <v>1</v>
      </c>
      <c r="O1467" s="1">
        <v>46038</v>
      </c>
      <c r="P1467" t="s">
        <v>1815</v>
      </c>
      <c r="Q1467" t="str">
        <f>SUBSTITUTE(SUBSTITUTE(SUBSTITUTE(P1467," ",""),"-",""),"+","")</f>
        <v>07873609405</v>
      </c>
      <c r="R1467" t="str">
        <f t="shared" si="44"/>
        <v>7873609405</v>
      </c>
      <c r="S1467" t="str">
        <f>IF(LEN(R1467),"Valid","Invalid")</f>
        <v>Valid</v>
      </c>
      <c r="T1467" t="s">
        <v>1814</v>
      </c>
      <c r="V1467" t="s">
        <v>123</v>
      </c>
      <c r="X1467">
        <v>20154.97</v>
      </c>
      <c r="Y1467" t="s">
        <v>57</v>
      </c>
      <c r="Z1467">
        <v>202</v>
      </c>
      <c r="AA1467">
        <f t="shared" si="45"/>
        <v>202</v>
      </c>
      <c r="AB1467" t="s">
        <v>50</v>
      </c>
    </row>
    <row r="1468" spans="1:28" x14ac:dyDescent="0.3">
      <c r="A1468" t="s">
        <v>1813</v>
      </c>
      <c r="B1468" t="s">
        <v>1812</v>
      </c>
      <c r="C1468" t="s">
        <v>1812</v>
      </c>
      <c r="D1468" t="s">
        <v>22</v>
      </c>
      <c r="E1468">
        <v>89</v>
      </c>
      <c r="F1468">
        <v>89</v>
      </c>
      <c r="G1468" t="s">
        <v>21</v>
      </c>
      <c r="H1468" t="s">
        <v>21</v>
      </c>
      <c r="I1468" t="s">
        <v>30</v>
      </c>
      <c r="J1468" t="s">
        <v>30</v>
      </c>
      <c r="K1468" s="1">
        <v>46089</v>
      </c>
      <c r="L1468" s="1" t="str">
        <f>IF(K1468&gt;O1468,"Valid","Invalid")</f>
        <v>Valid</v>
      </c>
      <c r="M1468" s="1" t="b">
        <f>ISNUMBER(K1468)</f>
        <v>1</v>
      </c>
      <c r="N1468" s="1" t="b">
        <f>ISNUMBER(O1468)</f>
        <v>1</v>
      </c>
      <c r="O1468" s="1">
        <v>46078</v>
      </c>
      <c r="P1468" t="s">
        <v>1811</v>
      </c>
      <c r="Q1468" t="str">
        <f>SUBSTITUTE(SUBSTITUTE(SUBSTITUTE(P1468," ",""),"-",""),"+","")</f>
        <v>00141851757</v>
      </c>
      <c r="R1468" t="str">
        <f t="shared" si="44"/>
        <v>0141851757</v>
      </c>
      <c r="S1468" t="str">
        <f>IF(LEN(R1468),"Valid","Invalid")</f>
        <v>Valid</v>
      </c>
      <c r="T1468" t="s">
        <v>1810</v>
      </c>
      <c r="V1468" t="s">
        <v>123</v>
      </c>
      <c r="X1468">
        <v>1548.32</v>
      </c>
      <c r="Y1468" t="s">
        <v>57</v>
      </c>
      <c r="Z1468">
        <v>390</v>
      </c>
      <c r="AA1468">
        <f t="shared" si="45"/>
        <v>390</v>
      </c>
      <c r="AB1468" t="s">
        <v>50</v>
      </c>
    </row>
    <row r="1469" spans="1:28" x14ac:dyDescent="0.3">
      <c r="A1469" t="s">
        <v>1800</v>
      </c>
      <c r="B1469" t="s">
        <v>1799</v>
      </c>
      <c r="C1469" t="s">
        <v>1799</v>
      </c>
      <c r="D1469" t="s">
        <v>22</v>
      </c>
      <c r="E1469">
        <v>86</v>
      </c>
      <c r="F1469">
        <v>86</v>
      </c>
      <c r="G1469" t="s">
        <v>21</v>
      </c>
      <c r="H1469" t="s">
        <v>21</v>
      </c>
      <c r="I1469" t="s">
        <v>20</v>
      </c>
      <c r="J1469" t="s">
        <v>20</v>
      </c>
      <c r="K1469" s="1">
        <v>46046</v>
      </c>
      <c r="L1469" s="1" t="str">
        <f>IF(K1469&gt;O1469,"Valid","Invalid")</f>
        <v>Valid</v>
      </c>
      <c r="M1469" s="1" t="b">
        <f>ISNUMBER(K1469)</f>
        <v>1</v>
      </c>
      <c r="N1469" s="1" t="b">
        <f>ISNUMBER(O1469)</f>
        <v>1</v>
      </c>
      <c r="O1469" s="1">
        <v>46027</v>
      </c>
      <c r="P1469" t="s">
        <v>1798</v>
      </c>
      <c r="Q1469" t="str">
        <f>SUBSTITUTE(SUBSTITUTE(SUBSTITUTE(P1469," ",""),"-",""),"+","")</f>
        <v>02276454901</v>
      </c>
      <c r="R1469" t="str">
        <f t="shared" si="44"/>
        <v>2276454901</v>
      </c>
      <c r="S1469" t="str">
        <f>IF(LEN(R1469),"Valid","Invalid")</f>
        <v>Valid</v>
      </c>
      <c r="T1469" t="s">
        <v>1797</v>
      </c>
      <c r="V1469" t="s">
        <v>64</v>
      </c>
      <c r="X1469">
        <v>22133.43</v>
      </c>
      <c r="Y1469" t="s">
        <v>27</v>
      </c>
      <c r="Z1469">
        <v>417</v>
      </c>
      <c r="AA1469">
        <f t="shared" si="45"/>
        <v>417</v>
      </c>
      <c r="AB1469" t="s">
        <v>77</v>
      </c>
    </row>
    <row r="1470" spans="1:28" x14ac:dyDescent="0.3">
      <c r="A1470" t="s">
        <v>1796</v>
      </c>
      <c r="B1470" t="s">
        <v>1795</v>
      </c>
      <c r="C1470" t="s">
        <v>1795</v>
      </c>
      <c r="D1470" t="s">
        <v>40</v>
      </c>
      <c r="E1470">
        <v>36</v>
      </c>
      <c r="F1470">
        <v>36</v>
      </c>
      <c r="G1470" t="s">
        <v>47</v>
      </c>
      <c r="H1470" t="s">
        <v>47</v>
      </c>
      <c r="I1470" t="s">
        <v>30</v>
      </c>
      <c r="J1470" t="s">
        <v>30</v>
      </c>
      <c r="K1470" s="1">
        <v>45998</v>
      </c>
      <c r="L1470" s="1" t="str">
        <f>IF(K1470&gt;O1470,"Valid","Invalid")</f>
        <v>Valid</v>
      </c>
      <c r="M1470" s="1" t="b">
        <f>ISNUMBER(K1470)</f>
        <v>1</v>
      </c>
      <c r="N1470" s="1" t="b">
        <f>ISNUMBER(O1470)</f>
        <v>1</v>
      </c>
      <c r="O1470" s="1">
        <v>45984</v>
      </c>
      <c r="P1470" t="s">
        <v>1794</v>
      </c>
      <c r="Q1470" t="str">
        <f>SUBSTITUTE(SUBSTITUTE(SUBSTITUTE(P1470," ",""),"-",""),"+","")</f>
        <v>914956862287</v>
      </c>
      <c r="R1470" t="str">
        <f t="shared" si="44"/>
        <v>4956862287</v>
      </c>
      <c r="S1470" t="str">
        <f>IF(LEN(R1470),"Valid","Invalid")</f>
        <v>Valid</v>
      </c>
      <c r="T1470" t="s">
        <v>1793</v>
      </c>
      <c r="V1470" t="s">
        <v>123</v>
      </c>
      <c r="X1470">
        <v>18272.96</v>
      </c>
      <c r="Y1470" t="s">
        <v>26</v>
      </c>
      <c r="Z1470">
        <v>149</v>
      </c>
      <c r="AA1470">
        <f t="shared" si="45"/>
        <v>149</v>
      </c>
      <c r="AB1470" t="s">
        <v>77</v>
      </c>
    </row>
    <row r="1471" spans="1:28" x14ac:dyDescent="0.3">
      <c r="A1471" t="s">
        <v>1792</v>
      </c>
      <c r="B1471" t="s">
        <v>1791</v>
      </c>
      <c r="C1471" t="s">
        <v>1791</v>
      </c>
      <c r="D1471" t="s">
        <v>60</v>
      </c>
      <c r="E1471">
        <v>28</v>
      </c>
      <c r="F1471">
        <v>28</v>
      </c>
      <c r="G1471" t="s">
        <v>21</v>
      </c>
      <c r="H1471" t="s">
        <v>21</v>
      </c>
      <c r="I1471" t="s">
        <v>90</v>
      </c>
      <c r="J1471" t="s">
        <v>67</v>
      </c>
      <c r="K1471" s="1">
        <v>46010</v>
      </c>
      <c r="L1471" s="1" t="str">
        <f>IF(K1471&gt;O1471,"Valid","Invalid")</f>
        <v>Valid</v>
      </c>
      <c r="M1471" s="1" t="b">
        <f>ISNUMBER(K1471)</f>
        <v>1</v>
      </c>
      <c r="N1471" s="1" t="b">
        <f>ISNUMBER(O1471)</f>
        <v>1</v>
      </c>
      <c r="O1471" s="1">
        <v>45987</v>
      </c>
      <c r="P1471" t="s">
        <v>1790</v>
      </c>
      <c r="Q1471" t="str">
        <f>SUBSTITUTE(SUBSTITUTE(SUBSTITUTE(P1471," ",""),"-",""),"+","")</f>
        <v>05260560769</v>
      </c>
      <c r="R1471" t="str">
        <f t="shared" si="44"/>
        <v>5260560769</v>
      </c>
      <c r="S1471" t="str">
        <f>IF(LEN(R1471),"Valid","Invalid")</f>
        <v>Valid</v>
      </c>
      <c r="T1471" t="s">
        <v>1789</v>
      </c>
      <c r="V1471" t="s">
        <v>57</v>
      </c>
      <c r="X1471">
        <v>2087.27</v>
      </c>
      <c r="Y1471" t="s">
        <v>123</v>
      </c>
      <c r="Z1471">
        <v>434</v>
      </c>
      <c r="AA1471">
        <f t="shared" si="45"/>
        <v>434</v>
      </c>
      <c r="AB1471" t="s">
        <v>77</v>
      </c>
    </row>
    <row r="1472" spans="1:28" x14ac:dyDescent="0.3">
      <c r="A1472" t="s">
        <v>1788</v>
      </c>
      <c r="B1472" t="s">
        <v>1787</v>
      </c>
      <c r="C1472" t="s">
        <v>1787</v>
      </c>
      <c r="D1472" t="s">
        <v>22</v>
      </c>
      <c r="E1472">
        <v>5</v>
      </c>
      <c r="F1472">
        <v>5</v>
      </c>
      <c r="G1472" t="s">
        <v>80</v>
      </c>
      <c r="H1472" t="s">
        <v>80</v>
      </c>
      <c r="I1472" t="s">
        <v>30</v>
      </c>
      <c r="J1472" t="s">
        <v>30</v>
      </c>
      <c r="K1472" s="1">
        <v>46074</v>
      </c>
      <c r="L1472" s="1" t="str">
        <f>IF(K1472&gt;O1472,"Valid","Invalid")</f>
        <v>Valid</v>
      </c>
      <c r="M1472" s="1" t="b">
        <f>ISNUMBER(K1472)</f>
        <v>1</v>
      </c>
      <c r="N1472" s="1" t="b">
        <f>ISNUMBER(O1472)</f>
        <v>1</v>
      </c>
      <c r="O1472" s="1">
        <v>46070</v>
      </c>
      <c r="P1472" t="s">
        <v>1786</v>
      </c>
      <c r="Q1472" t="str">
        <f>SUBSTITUTE(SUBSTITUTE(SUBSTITUTE(P1472," ",""),"-",""),"+","")</f>
        <v>910125809003</v>
      </c>
      <c r="R1472" t="str">
        <f t="shared" si="44"/>
        <v>0125809003</v>
      </c>
      <c r="S1472" t="str">
        <f>IF(LEN(R1472),"Valid","Invalid")</f>
        <v>Valid</v>
      </c>
      <c r="T1472" t="s">
        <v>1785</v>
      </c>
      <c r="V1472" t="s">
        <v>26</v>
      </c>
      <c r="X1472">
        <v>11531.81</v>
      </c>
      <c r="Y1472" t="s">
        <v>57</v>
      </c>
      <c r="Z1472">
        <v>161</v>
      </c>
      <c r="AA1472">
        <f t="shared" si="45"/>
        <v>161</v>
      </c>
      <c r="AB1472" t="s">
        <v>25</v>
      </c>
    </row>
    <row r="1473" spans="1:28" x14ac:dyDescent="0.3">
      <c r="A1473" t="s">
        <v>1784</v>
      </c>
      <c r="B1473" t="s">
        <v>1783</v>
      </c>
      <c r="C1473" t="s">
        <v>1783</v>
      </c>
      <c r="D1473" t="s">
        <v>40</v>
      </c>
      <c r="E1473">
        <v>61</v>
      </c>
      <c r="F1473">
        <v>61</v>
      </c>
      <c r="G1473" t="s">
        <v>39</v>
      </c>
      <c r="H1473" t="s">
        <v>39</v>
      </c>
      <c r="I1473" t="s">
        <v>46</v>
      </c>
      <c r="J1473" t="s">
        <v>46</v>
      </c>
      <c r="K1473" s="1">
        <v>46132</v>
      </c>
      <c r="L1473" s="1" t="str">
        <f>IF(K1473&gt;O1473,"Valid","Invalid")</f>
        <v>Valid</v>
      </c>
      <c r="M1473" s="1" t="b">
        <f>ISNUMBER(K1473)</f>
        <v>1</v>
      </c>
      <c r="N1473" s="1" t="b">
        <f>ISNUMBER(O1473)</f>
        <v>1</v>
      </c>
      <c r="O1473" s="1">
        <v>46129</v>
      </c>
      <c r="P1473" t="s">
        <v>1782</v>
      </c>
      <c r="Q1473" t="str">
        <f>SUBSTITUTE(SUBSTITUTE(SUBSTITUTE(P1473," ",""),"-",""),"+","")</f>
        <v>6516955123</v>
      </c>
      <c r="R1473" t="str">
        <f t="shared" si="44"/>
        <v>6516955123</v>
      </c>
      <c r="S1473" t="str">
        <f>IF(LEN(R1473),"Valid","Invalid")</f>
        <v>Valid</v>
      </c>
      <c r="T1473" t="s">
        <v>1781</v>
      </c>
      <c r="V1473" t="s">
        <v>64</v>
      </c>
      <c r="X1473">
        <v>18175.259999999998</v>
      </c>
      <c r="Y1473" t="s">
        <v>123</v>
      </c>
      <c r="Z1473">
        <v>545</v>
      </c>
      <c r="AA1473">
        <f t="shared" si="45"/>
        <v>545</v>
      </c>
      <c r="AB1473" t="s">
        <v>34</v>
      </c>
    </row>
    <row r="1474" spans="1:28" x14ac:dyDescent="0.3">
      <c r="A1474" t="s">
        <v>1780</v>
      </c>
      <c r="B1474" t="s">
        <v>1779</v>
      </c>
      <c r="C1474" t="s">
        <v>1779</v>
      </c>
      <c r="D1474" t="s">
        <v>22</v>
      </c>
      <c r="E1474">
        <v>35</v>
      </c>
      <c r="F1474">
        <v>35</v>
      </c>
      <c r="G1474" t="s">
        <v>47</v>
      </c>
      <c r="H1474" t="s">
        <v>47</v>
      </c>
      <c r="I1474" t="s">
        <v>85</v>
      </c>
      <c r="J1474" t="s">
        <v>85</v>
      </c>
      <c r="K1474" s="1">
        <v>46033</v>
      </c>
      <c r="L1474" s="1" t="str">
        <f>IF(K1474&gt;O1474,"Valid","Invalid")</f>
        <v>Valid</v>
      </c>
      <c r="M1474" s="1" t="b">
        <f>ISNUMBER(K1474)</f>
        <v>1</v>
      </c>
      <c r="N1474" s="1" t="b">
        <f>ISNUMBER(O1474)</f>
        <v>1</v>
      </c>
      <c r="O1474" s="1">
        <v>46031</v>
      </c>
      <c r="P1474" t="s">
        <v>1778</v>
      </c>
      <c r="Q1474" t="str">
        <f>SUBSTITUTE(SUBSTITUTE(SUBSTITUTE(P1474," ",""),"-",""),"+","")</f>
        <v>05514197594</v>
      </c>
      <c r="R1474" t="str">
        <f t="shared" si="44"/>
        <v>5514197594</v>
      </c>
      <c r="S1474" t="str">
        <f>IF(LEN(R1474),"Valid","Invalid")</f>
        <v>Valid</v>
      </c>
      <c r="T1474" t="s">
        <v>1777</v>
      </c>
      <c r="V1474" t="s">
        <v>35</v>
      </c>
      <c r="X1474">
        <v>5543.79</v>
      </c>
      <c r="Y1474" t="s">
        <v>123</v>
      </c>
      <c r="Z1474">
        <v>447</v>
      </c>
      <c r="AA1474">
        <f t="shared" si="45"/>
        <v>447</v>
      </c>
      <c r="AB1474" t="s">
        <v>16</v>
      </c>
    </row>
    <row r="1475" spans="1:28" x14ac:dyDescent="0.3">
      <c r="A1475" t="s">
        <v>1776</v>
      </c>
      <c r="B1475" t="s">
        <v>1775</v>
      </c>
      <c r="C1475" t="s">
        <v>1775</v>
      </c>
      <c r="D1475" t="s">
        <v>40</v>
      </c>
      <c r="E1475">
        <v>5</v>
      </c>
      <c r="F1475">
        <v>5</v>
      </c>
      <c r="G1475" t="s">
        <v>68</v>
      </c>
      <c r="H1475" t="s">
        <v>68</v>
      </c>
      <c r="I1475" t="s">
        <v>90</v>
      </c>
      <c r="J1475" t="s">
        <v>67</v>
      </c>
      <c r="K1475" s="1">
        <v>46043</v>
      </c>
      <c r="L1475" s="1" t="str">
        <f>IF(K1475&gt;O1475,"Valid","Invalid")</f>
        <v>Valid</v>
      </c>
      <c r="M1475" s="1" t="b">
        <f>ISNUMBER(K1475)</f>
        <v>1</v>
      </c>
      <c r="N1475" s="1" t="b">
        <f>ISNUMBER(O1475)</f>
        <v>1</v>
      </c>
      <c r="O1475" s="1">
        <v>46017</v>
      </c>
      <c r="P1475" t="s">
        <v>1774</v>
      </c>
      <c r="Q1475" t="str">
        <f>SUBSTITUTE(SUBSTITUTE(SUBSTITUTE(P1475," ",""),"-",""),"+","")</f>
        <v>911387652151</v>
      </c>
      <c r="R1475" t="str">
        <f t="shared" si="44"/>
        <v>1387652151</v>
      </c>
      <c r="S1475" t="str">
        <f>IF(LEN(R1475),"Valid","Invalid")</f>
        <v>Valid</v>
      </c>
      <c r="T1475" t="s">
        <v>1773</v>
      </c>
      <c r="V1475" t="s">
        <v>123</v>
      </c>
      <c r="X1475">
        <v>10428.120000000001</v>
      </c>
      <c r="Y1475" t="s">
        <v>27</v>
      </c>
      <c r="Z1475">
        <v>395</v>
      </c>
      <c r="AA1475">
        <f t="shared" si="45"/>
        <v>395</v>
      </c>
      <c r="AB1475" t="s">
        <v>77</v>
      </c>
    </row>
    <row r="1476" spans="1:28" x14ac:dyDescent="0.3">
      <c r="A1476" t="s">
        <v>1772</v>
      </c>
      <c r="B1476" t="s">
        <v>1771</v>
      </c>
      <c r="C1476" t="s">
        <v>1771</v>
      </c>
      <c r="D1476" t="s">
        <v>74</v>
      </c>
      <c r="E1476">
        <v>36</v>
      </c>
      <c r="F1476">
        <v>36</v>
      </c>
      <c r="G1476" t="s">
        <v>132</v>
      </c>
      <c r="H1476" t="s">
        <v>132</v>
      </c>
      <c r="I1476" t="s">
        <v>85</v>
      </c>
      <c r="J1476" t="s">
        <v>85</v>
      </c>
      <c r="K1476" s="1">
        <v>46051</v>
      </c>
      <c r="L1476" s="1" t="str">
        <f>IF(K1476&gt;O1476,"Valid","Invalid")</f>
        <v>Valid</v>
      </c>
      <c r="M1476" s="1" t="b">
        <f>ISNUMBER(K1476)</f>
        <v>1</v>
      </c>
      <c r="N1476" s="1" t="b">
        <f>ISNUMBER(O1476)</f>
        <v>1</v>
      </c>
      <c r="O1476" s="1">
        <v>46045</v>
      </c>
      <c r="P1476" t="s">
        <v>1770</v>
      </c>
      <c r="Q1476" t="str">
        <f>SUBSTITUTE(SUBSTITUTE(SUBSTITUTE(P1476," ",""),"-",""),"+","")</f>
        <v>4878075272</v>
      </c>
      <c r="R1476" t="str">
        <f t="shared" si="44"/>
        <v>4878075272</v>
      </c>
      <c r="S1476" t="str">
        <f>IF(LEN(R1476),"Valid","Invalid")</f>
        <v>Valid</v>
      </c>
      <c r="T1476" t="s">
        <v>1769</v>
      </c>
      <c r="V1476" t="s">
        <v>26</v>
      </c>
      <c r="X1476">
        <v>805.44</v>
      </c>
      <c r="Y1476" t="s">
        <v>63</v>
      </c>
      <c r="Z1476">
        <v>546</v>
      </c>
      <c r="AA1476">
        <f t="shared" si="45"/>
        <v>546</v>
      </c>
      <c r="AB1476" t="s">
        <v>71</v>
      </c>
    </row>
    <row r="1477" spans="1:28" x14ac:dyDescent="0.3">
      <c r="A1477" t="s">
        <v>1768</v>
      </c>
      <c r="B1477" t="s">
        <v>1767</v>
      </c>
      <c r="C1477" t="s">
        <v>1767</v>
      </c>
      <c r="D1477" t="s">
        <v>1</v>
      </c>
      <c r="E1477">
        <v>89</v>
      </c>
      <c r="F1477">
        <v>89</v>
      </c>
      <c r="G1477" t="s">
        <v>68</v>
      </c>
      <c r="H1477" t="s">
        <v>68</v>
      </c>
      <c r="I1477" t="s">
        <v>46</v>
      </c>
      <c r="J1477" t="s">
        <v>46</v>
      </c>
      <c r="K1477" s="1">
        <v>45999</v>
      </c>
      <c r="L1477" s="1" t="str">
        <f>IF(K1477&gt;O1477,"Valid","Invalid")</f>
        <v>Valid</v>
      </c>
      <c r="M1477" s="1" t="b">
        <f>ISNUMBER(K1477)</f>
        <v>1</v>
      </c>
      <c r="N1477" s="1" t="b">
        <f>ISNUMBER(O1477)</f>
        <v>1</v>
      </c>
      <c r="O1477" s="1">
        <v>45979</v>
      </c>
      <c r="P1477" t="s">
        <v>1766</v>
      </c>
      <c r="Q1477" t="str">
        <f>SUBSTITUTE(SUBSTITUTE(SUBSTITUTE(P1477," ",""),"-",""),"+","")</f>
        <v>07131421536</v>
      </c>
      <c r="R1477" t="str">
        <f t="shared" ref="R1477:R1540" si="46">RIGHT(Q1477,10)</f>
        <v>7131421536</v>
      </c>
      <c r="S1477" t="str">
        <f>IF(LEN(R1477),"Valid","Invalid")</f>
        <v>Valid</v>
      </c>
      <c r="T1477" t="s">
        <v>1765</v>
      </c>
      <c r="V1477" t="s">
        <v>27</v>
      </c>
      <c r="X1477">
        <v>21863.32</v>
      </c>
      <c r="Y1477" t="s">
        <v>123</v>
      </c>
      <c r="Z1477">
        <v>386</v>
      </c>
      <c r="AA1477">
        <f t="shared" ref="AA1477:AA1540" si="47">IF(Z1477="Room-x",0,Z1477)</f>
        <v>386</v>
      </c>
      <c r="AB1477" t="s">
        <v>25</v>
      </c>
    </row>
    <row r="1478" spans="1:28" x14ac:dyDescent="0.3">
      <c r="A1478" t="s">
        <v>1764</v>
      </c>
      <c r="B1478" t="s">
        <v>1763</v>
      </c>
      <c r="C1478" t="s">
        <v>1763</v>
      </c>
      <c r="E1478">
        <v>30</v>
      </c>
      <c r="F1478">
        <v>30</v>
      </c>
      <c r="G1478" t="s">
        <v>47</v>
      </c>
      <c r="H1478" t="s">
        <v>47</v>
      </c>
      <c r="I1478" t="s">
        <v>30</v>
      </c>
      <c r="J1478" t="s">
        <v>30</v>
      </c>
      <c r="K1478" s="1">
        <v>46154</v>
      </c>
      <c r="L1478" s="1" t="str">
        <f>IF(K1478&gt;O1478,"Valid","Invalid")</f>
        <v>Valid</v>
      </c>
      <c r="M1478" s="1" t="b">
        <f>ISNUMBER(K1478)</f>
        <v>1</v>
      </c>
      <c r="N1478" s="1" t="b">
        <f>ISNUMBER(O1478)</f>
        <v>1</v>
      </c>
      <c r="O1478" s="1">
        <v>46143</v>
      </c>
      <c r="P1478" t="s">
        <v>1762</v>
      </c>
      <c r="Q1478" t="str">
        <f>SUBSTITUTE(SUBSTITUTE(SUBSTITUTE(P1478," ",""),"-",""),"+","")</f>
        <v>912099146541</v>
      </c>
      <c r="R1478" t="str">
        <f t="shared" si="46"/>
        <v>2099146541</v>
      </c>
      <c r="S1478" t="str">
        <f>IF(LEN(R1478),"Valid","Invalid")</f>
        <v>Valid</v>
      </c>
      <c r="T1478" t="s">
        <v>1761</v>
      </c>
      <c r="V1478" t="s">
        <v>64</v>
      </c>
      <c r="X1478">
        <v>15031.62</v>
      </c>
      <c r="Y1478" t="s">
        <v>123</v>
      </c>
      <c r="Z1478">
        <v>520</v>
      </c>
      <c r="AA1478">
        <f t="shared" si="47"/>
        <v>520</v>
      </c>
      <c r="AB1478" t="s">
        <v>16</v>
      </c>
    </row>
    <row r="1479" spans="1:28" x14ac:dyDescent="0.3">
      <c r="A1479" t="s">
        <v>1760</v>
      </c>
      <c r="B1479" t="s">
        <v>1759</v>
      </c>
      <c r="C1479" t="s">
        <v>1759</v>
      </c>
      <c r="D1479" t="s">
        <v>0</v>
      </c>
      <c r="E1479">
        <v>48</v>
      </c>
      <c r="F1479">
        <v>48</v>
      </c>
      <c r="G1479" t="s">
        <v>31</v>
      </c>
      <c r="H1479" t="s">
        <v>31</v>
      </c>
      <c r="I1479" t="s">
        <v>53</v>
      </c>
      <c r="J1479" t="s">
        <v>20</v>
      </c>
      <c r="K1479" s="1">
        <v>46084</v>
      </c>
      <c r="L1479" s="1" t="str">
        <f>IF(K1479&gt;O1479,"Valid","Invalid")</f>
        <v>Valid</v>
      </c>
      <c r="M1479" s="1" t="b">
        <f>ISNUMBER(K1479)</f>
        <v>1</v>
      </c>
      <c r="N1479" s="1" t="b">
        <f>ISNUMBER(O1479)</f>
        <v>1</v>
      </c>
      <c r="O1479" s="1">
        <v>46074</v>
      </c>
      <c r="P1479" t="s">
        <v>1758</v>
      </c>
      <c r="Q1479" t="str">
        <f>SUBSTITUTE(SUBSTITUTE(SUBSTITUTE(P1479," ",""),"-",""),"+","")</f>
        <v>00834509153</v>
      </c>
      <c r="R1479" t="str">
        <f t="shared" si="46"/>
        <v>0834509153</v>
      </c>
      <c r="S1479" t="str">
        <f>IF(LEN(R1479),"Valid","Invalid")</f>
        <v>Valid</v>
      </c>
      <c r="T1479" t="s">
        <v>1757</v>
      </c>
      <c r="V1479" t="s">
        <v>57</v>
      </c>
      <c r="X1479">
        <v>10293.64</v>
      </c>
      <c r="Y1479" t="s">
        <v>123</v>
      </c>
      <c r="Z1479">
        <v>290</v>
      </c>
      <c r="AA1479">
        <f t="shared" si="47"/>
        <v>290</v>
      </c>
      <c r="AB1479" t="s">
        <v>16</v>
      </c>
    </row>
    <row r="1480" spans="1:28" x14ac:dyDescent="0.3">
      <c r="A1480" t="s">
        <v>1756</v>
      </c>
      <c r="B1480" t="s">
        <v>1755</v>
      </c>
      <c r="C1480" t="s">
        <v>1755</v>
      </c>
      <c r="D1480" t="s">
        <v>60</v>
      </c>
      <c r="E1480">
        <v>38</v>
      </c>
      <c r="F1480">
        <v>38</v>
      </c>
      <c r="G1480" t="s">
        <v>39</v>
      </c>
      <c r="H1480" t="s">
        <v>39</v>
      </c>
      <c r="I1480" t="s">
        <v>85</v>
      </c>
      <c r="J1480" t="s">
        <v>85</v>
      </c>
      <c r="K1480" s="1">
        <v>46117</v>
      </c>
      <c r="L1480" s="1" t="str">
        <f>IF(K1480&gt;O1480,"Valid","Invalid")</f>
        <v>Valid</v>
      </c>
      <c r="M1480" s="1" t="b">
        <f>ISNUMBER(K1480)</f>
        <v>1</v>
      </c>
      <c r="N1480" s="1" t="b">
        <f>ISNUMBER(O1480)</f>
        <v>1</v>
      </c>
      <c r="O1480" s="1">
        <v>46096</v>
      </c>
      <c r="P1480" t="s">
        <v>1754</v>
      </c>
      <c r="Q1480" t="str">
        <f>SUBSTITUTE(SUBSTITUTE(SUBSTITUTE(P1480," ",""),"-",""),"+","")</f>
        <v>3609739344</v>
      </c>
      <c r="R1480" t="str">
        <f t="shared" si="46"/>
        <v>3609739344</v>
      </c>
      <c r="S1480" t="str">
        <f>IF(LEN(R1480),"Valid","Invalid")</f>
        <v>Valid</v>
      </c>
      <c r="T1480" t="s">
        <v>1753</v>
      </c>
      <c r="V1480" t="s">
        <v>123</v>
      </c>
      <c r="X1480">
        <v>9136.16</v>
      </c>
      <c r="Y1480" t="s">
        <v>123</v>
      </c>
      <c r="Z1480">
        <v>144</v>
      </c>
      <c r="AA1480">
        <f t="shared" si="47"/>
        <v>144</v>
      </c>
      <c r="AB1480" t="s">
        <v>34</v>
      </c>
    </row>
    <row r="1481" spans="1:28" x14ac:dyDescent="0.3">
      <c r="A1481" t="s">
        <v>1752</v>
      </c>
      <c r="B1481" t="s">
        <v>1751</v>
      </c>
      <c r="C1481" t="s">
        <v>1751</v>
      </c>
      <c r="D1481" t="s">
        <v>22</v>
      </c>
      <c r="E1481">
        <v>18</v>
      </c>
      <c r="F1481">
        <v>18</v>
      </c>
      <c r="G1481" t="s">
        <v>31</v>
      </c>
      <c r="H1481" t="s">
        <v>31</v>
      </c>
      <c r="I1481" t="s">
        <v>67</v>
      </c>
      <c r="J1481" t="s">
        <v>67</v>
      </c>
      <c r="K1481" s="1">
        <v>46096</v>
      </c>
      <c r="L1481" s="1" t="str">
        <f>IF(K1481&gt;O1481,"Valid","Invalid")</f>
        <v>Valid</v>
      </c>
      <c r="M1481" s="1" t="b">
        <f>ISNUMBER(K1481)</f>
        <v>1</v>
      </c>
      <c r="N1481" s="1" t="b">
        <f>ISNUMBER(O1481)</f>
        <v>1</v>
      </c>
      <c r="O1481" s="1">
        <v>46076</v>
      </c>
      <c r="P1481" t="s">
        <v>1750</v>
      </c>
      <c r="Q1481" t="str">
        <f>SUBSTITUTE(SUBSTITUTE(SUBSTITUTE(P1481," ",""),"-",""),"+","")</f>
        <v>09224994723</v>
      </c>
      <c r="R1481" t="str">
        <f t="shared" si="46"/>
        <v>9224994723</v>
      </c>
      <c r="S1481" t="str">
        <f>IF(LEN(R1481),"Valid","Invalid")</f>
        <v>Valid</v>
      </c>
      <c r="T1481" t="s">
        <v>1749</v>
      </c>
      <c r="V1481" t="s">
        <v>123</v>
      </c>
      <c r="X1481">
        <v>11379.06</v>
      </c>
      <c r="Y1481" t="s">
        <v>26</v>
      </c>
      <c r="Z1481">
        <v>121</v>
      </c>
      <c r="AA1481">
        <f t="shared" si="47"/>
        <v>121</v>
      </c>
      <c r="AB1481" t="s">
        <v>43</v>
      </c>
    </row>
    <row r="1482" spans="1:28" x14ac:dyDescent="0.3">
      <c r="A1482" t="s">
        <v>1748</v>
      </c>
      <c r="B1482" t="s">
        <v>1747</v>
      </c>
      <c r="C1482" t="s">
        <v>1747</v>
      </c>
      <c r="D1482" t="s">
        <v>0</v>
      </c>
      <c r="E1482">
        <v>77</v>
      </c>
      <c r="F1482">
        <v>77</v>
      </c>
      <c r="G1482" t="s">
        <v>31</v>
      </c>
      <c r="H1482" t="s">
        <v>31</v>
      </c>
      <c r="I1482" t="s">
        <v>53</v>
      </c>
      <c r="J1482" t="s">
        <v>20</v>
      </c>
      <c r="K1482" s="1">
        <v>46090</v>
      </c>
      <c r="L1482" s="1" t="str">
        <f>IF(K1482&gt;O1482,"Valid","Invalid")</f>
        <v>Valid</v>
      </c>
      <c r="M1482" s="1" t="b">
        <f>ISNUMBER(K1482)</f>
        <v>1</v>
      </c>
      <c r="N1482" s="1" t="b">
        <f>ISNUMBER(O1482)</f>
        <v>1</v>
      </c>
      <c r="O1482" s="1">
        <v>46063</v>
      </c>
      <c r="P1482" t="s">
        <v>1746</v>
      </c>
      <c r="Q1482" t="str">
        <f>SUBSTITUTE(SUBSTITUTE(SUBSTITUTE(P1482," ",""),"-",""),"+","")</f>
        <v>07807711689</v>
      </c>
      <c r="R1482" t="str">
        <f t="shared" si="46"/>
        <v>7807711689</v>
      </c>
      <c r="S1482" t="str">
        <f>IF(LEN(R1482),"Valid","Invalid")</f>
        <v>Valid</v>
      </c>
      <c r="T1482" t="s">
        <v>1745</v>
      </c>
      <c r="V1482" t="s">
        <v>35</v>
      </c>
      <c r="X1482">
        <v>24435.35</v>
      </c>
      <c r="Y1482" t="s">
        <v>57</v>
      </c>
      <c r="Z1482">
        <v>522</v>
      </c>
      <c r="AA1482">
        <f t="shared" si="47"/>
        <v>522</v>
      </c>
      <c r="AB1482" t="s">
        <v>25</v>
      </c>
    </row>
    <row r="1483" spans="1:28" x14ac:dyDescent="0.3">
      <c r="A1483" t="s">
        <v>1744</v>
      </c>
      <c r="B1483" t="s">
        <v>1743</v>
      </c>
      <c r="C1483" t="s">
        <v>1743</v>
      </c>
      <c r="D1483" t="s">
        <v>123</v>
      </c>
      <c r="E1483">
        <v>11</v>
      </c>
      <c r="F1483">
        <v>11</v>
      </c>
      <c r="G1483" t="s">
        <v>54</v>
      </c>
      <c r="H1483" t="s">
        <v>54</v>
      </c>
      <c r="I1483" t="s">
        <v>20</v>
      </c>
      <c r="J1483" t="s">
        <v>20</v>
      </c>
      <c r="K1483" s="1">
        <v>46071</v>
      </c>
      <c r="L1483" s="1" t="str">
        <f>IF(K1483&gt;O1483,"Valid","Invalid")</f>
        <v>Valid</v>
      </c>
      <c r="M1483" s="1" t="b">
        <f>ISNUMBER(K1483)</f>
        <v>1</v>
      </c>
      <c r="N1483" s="1" t="b">
        <f>ISNUMBER(O1483)</f>
        <v>1</v>
      </c>
      <c r="O1483" s="1">
        <v>46055</v>
      </c>
      <c r="P1483" t="s">
        <v>1742</v>
      </c>
      <c r="Q1483" t="str">
        <f>SUBSTITUTE(SUBSTITUTE(SUBSTITUTE(P1483," ",""),"-",""),"+","")</f>
        <v>4056553394</v>
      </c>
      <c r="R1483" t="str">
        <f t="shared" si="46"/>
        <v>4056553394</v>
      </c>
      <c r="S1483" t="str">
        <f>IF(LEN(R1483),"Valid","Invalid")</f>
        <v>Valid</v>
      </c>
      <c r="T1483" t="s">
        <v>1741</v>
      </c>
      <c r="V1483" t="s">
        <v>27</v>
      </c>
      <c r="X1483">
        <v>13085.31</v>
      </c>
      <c r="Y1483" t="s">
        <v>27</v>
      </c>
      <c r="Z1483" t="s">
        <v>347</v>
      </c>
      <c r="AA1483">
        <f t="shared" si="47"/>
        <v>0</v>
      </c>
      <c r="AB1483" t="s">
        <v>34</v>
      </c>
    </row>
    <row r="1484" spans="1:28" x14ac:dyDescent="0.3">
      <c r="A1484" t="s">
        <v>1740</v>
      </c>
      <c r="B1484" t="s">
        <v>1739</v>
      </c>
      <c r="C1484" t="s">
        <v>8069</v>
      </c>
      <c r="D1484" t="s">
        <v>0</v>
      </c>
      <c r="E1484">
        <v>30</v>
      </c>
      <c r="F1484">
        <v>30</v>
      </c>
      <c r="G1484" t="s">
        <v>31</v>
      </c>
      <c r="H1484" t="s">
        <v>31</v>
      </c>
      <c r="I1484" t="s">
        <v>85</v>
      </c>
      <c r="J1484" t="s">
        <v>85</v>
      </c>
      <c r="K1484" s="1">
        <v>45990</v>
      </c>
      <c r="L1484" s="1" t="str">
        <f>IF(K1484&gt;O1484,"Valid","Invalid")</f>
        <v>Valid</v>
      </c>
      <c r="M1484" s="1" t="b">
        <f>ISNUMBER(K1484)</f>
        <v>1</v>
      </c>
      <c r="N1484" s="1" t="b">
        <f>ISNUMBER(O1484)</f>
        <v>1</v>
      </c>
      <c r="O1484" s="1">
        <v>45987</v>
      </c>
      <c r="P1484" t="s">
        <v>1738</v>
      </c>
      <c r="Q1484" t="str">
        <f>SUBSTITUTE(SUBSTITUTE(SUBSTITUTE(P1484," ",""),"-",""),"+","")</f>
        <v>07280744947</v>
      </c>
      <c r="R1484" t="str">
        <f t="shared" si="46"/>
        <v>7280744947</v>
      </c>
      <c r="S1484" t="str">
        <f>IF(LEN(R1484),"Valid","Invalid")</f>
        <v>Valid</v>
      </c>
      <c r="T1484" t="s">
        <v>1737</v>
      </c>
      <c r="V1484" t="s">
        <v>57</v>
      </c>
      <c r="X1484">
        <v>18350</v>
      </c>
      <c r="Y1484" t="s">
        <v>17</v>
      </c>
      <c r="Z1484">
        <v>380</v>
      </c>
      <c r="AA1484">
        <f t="shared" si="47"/>
        <v>380</v>
      </c>
      <c r="AB1484" t="s">
        <v>16</v>
      </c>
    </row>
    <row r="1485" spans="1:28" x14ac:dyDescent="0.3">
      <c r="A1485" t="s">
        <v>1736</v>
      </c>
      <c r="B1485" t="s">
        <v>951</v>
      </c>
      <c r="C1485" t="s">
        <v>951</v>
      </c>
      <c r="D1485" t="s">
        <v>123</v>
      </c>
      <c r="E1485">
        <v>29</v>
      </c>
      <c r="F1485">
        <v>29</v>
      </c>
      <c r="G1485" t="s">
        <v>31</v>
      </c>
      <c r="H1485" t="s">
        <v>31</v>
      </c>
      <c r="I1485" t="s">
        <v>90</v>
      </c>
      <c r="J1485" t="s">
        <v>67</v>
      </c>
      <c r="K1485" s="1">
        <v>46005</v>
      </c>
      <c r="L1485" s="1" t="str">
        <f>IF(K1485&gt;O1485,"Valid","Invalid")</f>
        <v>Valid</v>
      </c>
      <c r="M1485" s="1" t="b">
        <f>ISNUMBER(K1485)</f>
        <v>1</v>
      </c>
      <c r="N1485" s="1" t="b">
        <f>ISNUMBER(O1485)</f>
        <v>1</v>
      </c>
      <c r="O1485" s="1">
        <v>45983</v>
      </c>
      <c r="P1485" t="s">
        <v>1735</v>
      </c>
      <c r="Q1485" t="str">
        <f>SUBSTITUTE(SUBSTITUTE(SUBSTITUTE(P1485," ",""),"-",""),"+","")</f>
        <v>08228878356</v>
      </c>
      <c r="R1485" t="str">
        <f t="shared" si="46"/>
        <v>8228878356</v>
      </c>
      <c r="S1485" t="str">
        <f>IF(LEN(R1485),"Valid","Invalid")</f>
        <v>Valid</v>
      </c>
      <c r="T1485" t="s">
        <v>1734</v>
      </c>
      <c r="V1485" t="s">
        <v>64</v>
      </c>
      <c r="X1485">
        <v>5800.21</v>
      </c>
      <c r="Y1485" t="s">
        <v>123</v>
      </c>
      <c r="Z1485">
        <v>179</v>
      </c>
      <c r="AA1485">
        <f t="shared" si="47"/>
        <v>179</v>
      </c>
      <c r="AB1485" t="s">
        <v>50</v>
      </c>
    </row>
    <row r="1486" spans="1:28" x14ac:dyDescent="0.3">
      <c r="A1486" t="s">
        <v>1733</v>
      </c>
      <c r="B1486" t="s">
        <v>1732</v>
      </c>
      <c r="C1486" t="s">
        <v>1732</v>
      </c>
      <c r="D1486" t="s">
        <v>1</v>
      </c>
      <c r="E1486">
        <v>1</v>
      </c>
      <c r="F1486">
        <v>1</v>
      </c>
      <c r="G1486" t="s">
        <v>80</v>
      </c>
      <c r="H1486" t="s">
        <v>80</v>
      </c>
      <c r="I1486" t="s">
        <v>85</v>
      </c>
      <c r="J1486" t="s">
        <v>85</v>
      </c>
      <c r="K1486" s="1">
        <v>46060</v>
      </c>
      <c r="L1486" s="1" t="str">
        <f>IF(K1486&gt;O1486,"Valid","Invalid")</f>
        <v>Valid</v>
      </c>
      <c r="M1486" s="1" t="b">
        <f>ISNUMBER(K1486)</f>
        <v>1</v>
      </c>
      <c r="N1486" s="1" t="b">
        <f>ISNUMBER(O1486)</f>
        <v>1</v>
      </c>
      <c r="O1486" s="1">
        <v>46056</v>
      </c>
      <c r="P1486" t="s">
        <v>1731</v>
      </c>
      <c r="Q1486" t="str">
        <f>SUBSTITUTE(SUBSTITUTE(SUBSTITUTE(P1486," ",""),"-",""),"+","")</f>
        <v>04209940884</v>
      </c>
      <c r="R1486" t="str">
        <f t="shared" si="46"/>
        <v>4209940884</v>
      </c>
      <c r="S1486" t="str">
        <f>IF(LEN(R1486),"Valid","Invalid")</f>
        <v>Valid</v>
      </c>
      <c r="T1486" t="s">
        <v>1730</v>
      </c>
      <c r="V1486" t="s">
        <v>64</v>
      </c>
      <c r="X1486">
        <v>17434.45</v>
      </c>
      <c r="Y1486" t="s">
        <v>63</v>
      </c>
      <c r="Z1486">
        <v>223</v>
      </c>
      <c r="AA1486">
        <f t="shared" si="47"/>
        <v>223</v>
      </c>
      <c r="AB1486" t="s">
        <v>50</v>
      </c>
    </row>
    <row r="1487" spans="1:28" x14ac:dyDescent="0.3">
      <c r="A1487" t="s">
        <v>1729</v>
      </c>
      <c r="B1487" t="s">
        <v>1728</v>
      </c>
      <c r="C1487" t="s">
        <v>1728</v>
      </c>
      <c r="D1487" t="s">
        <v>123</v>
      </c>
      <c r="E1487">
        <v>39</v>
      </c>
      <c r="F1487">
        <v>39</v>
      </c>
      <c r="G1487" t="s">
        <v>21</v>
      </c>
      <c r="H1487" t="s">
        <v>21</v>
      </c>
      <c r="I1487" t="s">
        <v>20</v>
      </c>
      <c r="J1487" t="s">
        <v>20</v>
      </c>
      <c r="K1487" s="1">
        <v>46145</v>
      </c>
      <c r="L1487" s="1" t="str">
        <f>IF(K1487&gt;O1487,"Valid","Invalid")</f>
        <v>Valid</v>
      </c>
      <c r="M1487" s="1" t="b">
        <f>ISNUMBER(K1487)</f>
        <v>1</v>
      </c>
      <c r="N1487" s="1" t="b">
        <f>ISNUMBER(O1487)</f>
        <v>1</v>
      </c>
      <c r="O1487" s="1">
        <v>46115</v>
      </c>
      <c r="P1487" t="s">
        <v>1727</v>
      </c>
      <c r="Q1487" t="str">
        <f>SUBSTITUTE(SUBSTITUTE(SUBSTITUTE(P1487," ",""),"-",""),"+","")</f>
        <v>918435394582</v>
      </c>
      <c r="R1487" t="str">
        <f t="shared" si="46"/>
        <v>8435394582</v>
      </c>
      <c r="S1487" t="str">
        <f>IF(LEN(R1487),"Valid","Invalid")</f>
        <v>Valid</v>
      </c>
      <c r="T1487" t="s">
        <v>1726</v>
      </c>
      <c r="V1487" t="s">
        <v>17</v>
      </c>
      <c r="X1487">
        <v>782.94</v>
      </c>
      <c r="Y1487" t="s">
        <v>27</v>
      </c>
      <c r="Z1487">
        <v>251</v>
      </c>
      <c r="AA1487">
        <f t="shared" si="47"/>
        <v>251</v>
      </c>
      <c r="AB1487" t="s">
        <v>77</v>
      </c>
    </row>
    <row r="1488" spans="1:28" x14ac:dyDescent="0.3">
      <c r="A1488" t="s">
        <v>1725</v>
      </c>
      <c r="B1488" t="s">
        <v>1724</v>
      </c>
      <c r="C1488" t="s">
        <v>1724</v>
      </c>
      <c r="D1488" t="s">
        <v>1</v>
      </c>
      <c r="E1488">
        <v>24</v>
      </c>
      <c r="F1488">
        <v>24</v>
      </c>
      <c r="G1488" t="s">
        <v>80</v>
      </c>
      <c r="H1488" t="s">
        <v>80</v>
      </c>
      <c r="I1488" t="s">
        <v>20</v>
      </c>
      <c r="J1488" t="s">
        <v>20</v>
      </c>
      <c r="K1488" s="1">
        <v>46048</v>
      </c>
      <c r="L1488" s="1" t="str">
        <f>IF(K1488&gt;O1488,"Valid","Invalid")</f>
        <v>Valid</v>
      </c>
      <c r="M1488" s="1" t="b">
        <f>ISNUMBER(K1488)</f>
        <v>1</v>
      </c>
      <c r="N1488" s="1" t="b">
        <f>ISNUMBER(O1488)</f>
        <v>1</v>
      </c>
      <c r="O1488" s="1">
        <v>46040</v>
      </c>
      <c r="P1488" t="s">
        <v>1723</v>
      </c>
      <c r="Q1488" t="str">
        <f>SUBSTITUTE(SUBSTITUTE(SUBSTITUTE(P1488," ",""),"-",""),"+","")</f>
        <v>04915650453</v>
      </c>
      <c r="R1488" t="str">
        <f t="shared" si="46"/>
        <v>4915650453</v>
      </c>
      <c r="S1488" t="str">
        <f>IF(LEN(R1488),"Valid","Invalid")</f>
        <v>Valid</v>
      </c>
      <c r="T1488" t="s">
        <v>1722</v>
      </c>
      <c r="V1488" t="s">
        <v>123</v>
      </c>
      <c r="X1488">
        <v>23785.11</v>
      </c>
      <c r="Y1488" t="s">
        <v>123</v>
      </c>
      <c r="Z1488">
        <v>283</v>
      </c>
      <c r="AA1488">
        <f t="shared" si="47"/>
        <v>283</v>
      </c>
      <c r="AB1488" t="s">
        <v>25</v>
      </c>
    </row>
    <row r="1489" spans="1:28" x14ac:dyDescent="0.3">
      <c r="A1489" t="s">
        <v>1721</v>
      </c>
      <c r="B1489" t="s">
        <v>1720</v>
      </c>
      <c r="C1489" t="s">
        <v>1720</v>
      </c>
      <c r="D1489" t="s">
        <v>123</v>
      </c>
      <c r="E1489">
        <v>2</v>
      </c>
      <c r="F1489">
        <v>2</v>
      </c>
      <c r="G1489" t="s">
        <v>132</v>
      </c>
      <c r="H1489" t="s">
        <v>132</v>
      </c>
      <c r="I1489" t="s">
        <v>67</v>
      </c>
      <c r="J1489" t="s">
        <v>67</v>
      </c>
      <c r="K1489" s="1">
        <v>46158</v>
      </c>
      <c r="L1489" s="1" t="str">
        <f>IF(K1489&gt;O1489,"Valid","Invalid")</f>
        <v>Valid</v>
      </c>
      <c r="M1489" s="1" t="b">
        <f>ISNUMBER(K1489)</f>
        <v>1</v>
      </c>
      <c r="N1489" s="1" t="b">
        <f>ISNUMBER(O1489)</f>
        <v>1</v>
      </c>
      <c r="O1489" s="1">
        <v>46146</v>
      </c>
      <c r="P1489" t="s">
        <v>1719</v>
      </c>
      <c r="Q1489" t="str">
        <f>SUBSTITUTE(SUBSTITUTE(SUBSTITUTE(P1489," ",""),"-",""),"+","")</f>
        <v>03677856457</v>
      </c>
      <c r="R1489" t="str">
        <f t="shared" si="46"/>
        <v>3677856457</v>
      </c>
      <c r="S1489" t="str">
        <f>IF(LEN(R1489),"Valid","Invalid")</f>
        <v>Valid</v>
      </c>
      <c r="T1489" t="s">
        <v>1718</v>
      </c>
      <c r="V1489" t="s">
        <v>57</v>
      </c>
      <c r="X1489">
        <v>5369.52</v>
      </c>
      <c r="Y1489" t="s">
        <v>123</v>
      </c>
      <c r="Z1489">
        <v>417</v>
      </c>
      <c r="AA1489">
        <f t="shared" si="47"/>
        <v>417</v>
      </c>
      <c r="AB1489" t="s">
        <v>34</v>
      </c>
    </row>
    <row r="1490" spans="1:28" x14ac:dyDescent="0.3">
      <c r="A1490" t="s">
        <v>1717</v>
      </c>
      <c r="B1490" t="s">
        <v>1716</v>
      </c>
      <c r="C1490" t="s">
        <v>1716</v>
      </c>
      <c r="E1490">
        <v>82</v>
      </c>
      <c r="F1490">
        <v>82</v>
      </c>
      <c r="G1490" t="s">
        <v>47</v>
      </c>
      <c r="H1490" t="s">
        <v>47</v>
      </c>
      <c r="I1490" t="s">
        <v>85</v>
      </c>
      <c r="J1490" t="s">
        <v>85</v>
      </c>
      <c r="K1490" s="1">
        <v>46085</v>
      </c>
      <c r="L1490" s="1" t="str">
        <f>IF(K1490&gt;O1490,"Valid","Invalid")</f>
        <v>Valid</v>
      </c>
      <c r="M1490" s="1" t="b">
        <f>ISNUMBER(K1490)</f>
        <v>1</v>
      </c>
      <c r="N1490" s="1" t="b">
        <f>ISNUMBER(O1490)</f>
        <v>1</v>
      </c>
      <c r="O1490" s="1">
        <v>46084</v>
      </c>
      <c r="P1490" t="s">
        <v>1715</v>
      </c>
      <c r="Q1490" t="str">
        <f>SUBSTITUTE(SUBSTITUTE(SUBSTITUTE(P1490," ",""),"-",""),"+","")</f>
        <v>915275647369</v>
      </c>
      <c r="R1490" t="str">
        <f t="shared" si="46"/>
        <v>5275647369</v>
      </c>
      <c r="S1490" t="str">
        <f>IF(LEN(R1490),"Valid","Invalid")</f>
        <v>Valid</v>
      </c>
      <c r="T1490" t="s">
        <v>1714</v>
      </c>
      <c r="V1490" t="s">
        <v>123</v>
      </c>
      <c r="X1490">
        <v>8126.87</v>
      </c>
      <c r="Y1490" t="s">
        <v>27</v>
      </c>
      <c r="Z1490">
        <v>230</v>
      </c>
      <c r="AA1490">
        <f t="shared" si="47"/>
        <v>230</v>
      </c>
      <c r="AB1490" t="s">
        <v>25</v>
      </c>
    </row>
    <row r="1491" spans="1:28" x14ac:dyDescent="0.3">
      <c r="A1491" t="s">
        <v>1713</v>
      </c>
      <c r="B1491" t="s">
        <v>1712</v>
      </c>
      <c r="C1491" t="s">
        <v>1712</v>
      </c>
      <c r="E1491">
        <v>50</v>
      </c>
      <c r="F1491">
        <v>50</v>
      </c>
      <c r="G1491" t="s">
        <v>80</v>
      </c>
      <c r="H1491" t="s">
        <v>80</v>
      </c>
      <c r="I1491" t="s">
        <v>90</v>
      </c>
      <c r="J1491" t="s">
        <v>67</v>
      </c>
      <c r="K1491" s="1">
        <v>46161</v>
      </c>
      <c r="L1491" s="1" t="str">
        <f>IF(K1491&gt;O1491,"Valid","Invalid")</f>
        <v>Valid</v>
      </c>
      <c r="M1491" s="1" t="b">
        <f>ISNUMBER(K1491)</f>
        <v>1</v>
      </c>
      <c r="N1491" s="1" t="b">
        <f>ISNUMBER(O1491)</f>
        <v>1</v>
      </c>
      <c r="O1491" s="1">
        <v>46139</v>
      </c>
      <c r="P1491" t="s">
        <v>1711</v>
      </c>
      <c r="Q1491" t="str">
        <f>SUBSTITUTE(SUBSTITUTE(SUBSTITUTE(P1491," ",""),"-",""),"+","")</f>
        <v>6517401641</v>
      </c>
      <c r="R1491" t="str">
        <f t="shared" si="46"/>
        <v>6517401641</v>
      </c>
      <c r="S1491" t="str">
        <f>IF(LEN(R1491),"Valid","Invalid")</f>
        <v>Valid</v>
      </c>
      <c r="T1491" t="s">
        <v>1710</v>
      </c>
      <c r="V1491" t="s">
        <v>57</v>
      </c>
      <c r="X1491">
        <v>23738.23</v>
      </c>
      <c r="Y1491" t="s">
        <v>123</v>
      </c>
      <c r="Z1491">
        <v>113</v>
      </c>
      <c r="AA1491">
        <f t="shared" si="47"/>
        <v>113</v>
      </c>
      <c r="AB1491" t="s">
        <v>16</v>
      </c>
    </row>
    <row r="1492" spans="1:28" x14ac:dyDescent="0.3">
      <c r="A1492" t="s">
        <v>1709</v>
      </c>
      <c r="B1492" t="s">
        <v>1708</v>
      </c>
      <c r="C1492" t="s">
        <v>1708</v>
      </c>
      <c r="D1492" t="s">
        <v>40</v>
      </c>
      <c r="E1492">
        <v>63</v>
      </c>
      <c r="F1492">
        <v>63</v>
      </c>
      <c r="G1492" t="s">
        <v>80</v>
      </c>
      <c r="H1492" t="s">
        <v>80</v>
      </c>
      <c r="I1492" t="s">
        <v>85</v>
      </c>
      <c r="J1492" t="s">
        <v>85</v>
      </c>
      <c r="K1492" s="1">
        <v>46111</v>
      </c>
      <c r="L1492" s="1" t="str">
        <f>IF(K1492&gt;O1492,"Valid","Invalid")</f>
        <v>Valid</v>
      </c>
      <c r="M1492" s="1" t="b">
        <f>ISNUMBER(K1492)</f>
        <v>1</v>
      </c>
      <c r="N1492" s="1" t="b">
        <f>ISNUMBER(O1492)</f>
        <v>1</v>
      </c>
      <c r="O1492" s="1">
        <v>46103</v>
      </c>
      <c r="P1492" t="s">
        <v>1707</v>
      </c>
      <c r="Q1492" t="str">
        <f>SUBSTITUTE(SUBSTITUTE(SUBSTITUTE(P1492," ",""),"-",""),"+","")</f>
        <v>0847135828</v>
      </c>
      <c r="R1492" t="str">
        <f t="shared" si="46"/>
        <v>0847135828</v>
      </c>
      <c r="S1492" t="str">
        <f>IF(LEN(R1492),"Valid","Invalid")</f>
        <v>Valid</v>
      </c>
      <c r="T1492" t="s">
        <v>1706</v>
      </c>
      <c r="V1492" t="s">
        <v>64</v>
      </c>
      <c r="X1492">
        <v>2257.52</v>
      </c>
      <c r="Y1492" t="s">
        <v>64</v>
      </c>
      <c r="Z1492">
        <v>332</v>
      </c>
      <c r="AA1492">
        <f t="shared" si="47"/>
        <v>332</v>
      </c>
      <c r="AB1492" t="s">
        <v>16</v>
      </c>
    </row>
    <row r="1493" spans="1:28" x14ac:dyDescent="0.3">
      <c r="A1493" t="s">
        <v>1705</v>
      </c>
      <c r="B1493" t="s">
        <v>1704</v>
      </c>
      <c r="C1493" t="s">
        <v>1704</v>
      </c>
      <c r="D1493" t="s">
        <v>60</v>
      </c>
      <c r="E1493">
        <v>31</v>
      </c>
      <c r="F1493">
        <v>31</v>
      </c>
      <c r="G1493" t="s">
        <v>68</v>
      </c>
      <c r="H1493" t="s">
        <v>68</v>
      </c>
      <c r="I1493" t="s">
        <v>46</v>
      </c>
      <c r="J1493" t="s">
        <v>46</v>
      </c>
      <c r="K1493" s="1">
        <v>46049</v>
      </c>
      <c r="L1493" s="1" t="str">
        <f>IF(K1493&gt;O1493,"Valid","Invalid")</f>
        <v>Valid</v>
      </c>
      <c r="M1493" s="1" t="b">
        <f>ISNUMBER(K1493)</f>
        <v>1</v>
      </c>
      <c r="N1493" s="1" t="b">
        <f>ISNUMBER(O1493)</f>
        <v>1</v>
      </c>
      <c r="O1493" s="1">
        <v>46039</v>
      </c>
      <c r="P1493" t="s">
        <v>1703</v>
      </c>
      <c r="Q1493" t="str">
        <f>SUBSTITUTE(SUBSTITUTE(SUBSTITUTE(P1493," ",""),"-",""),"+","")</f>
        <v>911090383206</v>
      </c>
      <c r="R1493" t="str">
        <f t="shared" si="46"/>
        <v>1090383206</v>
      </c>
      <c r="S1493" t="str">
        <f>IF(LEN(R1493),"Valid","Invalid")</f>
        <v>Valid</v>
      </c>
      <c r="T1493" t="s">
        <v>1702</v>
      </c>
      <c r="V1493" t="s">
        <v>26</v>
      </c>
      <c r="X1493">
        <v>13905.12</v>
      </c>
      <c r="Y1493" t="s">
        <v>123</v>
      </c>
      <c r="Z1493">
        <v>210</v>
      </c>
      <c r="AA1493">
        <f t="shared" si="47"/>
        <v>210</v>
      </c>
      <c r="AB1493" t="s">
        <v>34</v>
      </c>
    </row>
    <row r="1494" spans="1:28" x14ac:dyDescent="0.3">
      <c r="A1494" t="s">
        <v>1701</v>
      </c>
      <c r="B1494" t="s">
        <v>1700</v>
      </c>
      <c r="C1494" t="s">
        <v>1700</v>
      </c>
      <c r="D1494" t="s">
        <v>123</v>
      </c>
      <c r="E1494">
        <v>13</v>
      </c>
      <c r="F1494">
        <v>13</v>
      </c>
      <c r="G1494" t="s">
        <v>47</v>
      </c>
      <c r="H1494" t="s">
        <v>47</v>
      </c>
      <c r="I1494" t="s">
        <v>53</v>
      </c>
      <c r="J1494" t="s">
        <v>20</v>
      </c>
      <c r="K1494" s="1">
        <v>46116</v>
      </c>
      <c r="L1494" s="1" t="str">
        <f>IF(K1494&gt;O1494,"Valid","Invalid")</f>
        <v>Valid</v>
      </c>
      <c r="M1494" s="1" t="b">
        <f>ISNUMBER(K1494)</f>
        <v>1</v>
      </c>
      <c r="N1494" s="1" t="b">
        <f>ISNUMBER(O1494)</f>
        <v>1</v>
      </c>
      <c r="O1494" s="1">
        <v>46098</v>
      </c>
      <c r="P1494" t="s">
        <v>1699</v>
      </c>
      <c r="Q1494" t="str">
        <f>SUBSTITUTE(SUBSTITUTE(SUBSTITUTE(P1494," ",""),"-",""),"+","")</f>
        <v>0681336677</v>
      </c>
      <c r="R1494" t="str">
        <f t="shared" si="46"/>
        <v>0681336677</v>
      </c>
      <c r="S1494" t="str">
        <f>IF(LEN(R1494),"Valid","Invalid")</f>
        <v>Valid</v>
      </c>
      <c r="T1494" t="s">
        <v>1698</v>
      </c>
      <c r="V1494" t="s">
        <v>27</v>
      </c>
      <c r="X1494">
        <v>23401.35</v>
      </c>
      <c r="Y1494" t="s">
        <v>123</v>
      </c>
      <c r="Z1494">
        <v>135</v>
      </c>
      <c r="AA1494">
        <f t="shared" si="47"/>
        <v>135</v>
      </c>
      <c r="AB1494" t="s">
        <v>34</v>
      </c>
    </row>
    <row r="1495" spans="1:28" x14ac:dyDescent="0.3">
      <c r="A1495" t="s">
        <v>1697</v>
      </c>
      <c r="B1495" t="s">
        <v>1696</v>
      </c>
      <c r="C1495" t="s">
        <v>1696</v>
      </c>
      <c r="D1495" t="s">
        <v>0</v>
      </c>
      <c r="E1495">
        <v>60</v>
      </c>
      <c r="F1495">
        <v>60</v>
      </c>
      <c r="G1495" t="s">
        <v>132</v>
      </c>
      <c r="H1495" t="s">
        <v>132</v>
      </c>
      <c r="I1495" t="s">
        <v>90</v>
      </c>
      <c r="J1495" t="s">
        <v>67</v>
      </c>
      <c r="K1495" s="1">
        <v>46163</v>
      </c>
      <c r="L1495" s="1" t="str">
        <f>IF(K1495&gt;O1495,"Valid","Invalid")</f>
        <v>Valid</v>
      </c>
      <c r="M1495" s="1" t="b">
        <f>ISNUMBER(K1495)</f>
        <v>1</v>
      </c>
      <c r="N1495" s="1" t="b">
        <f>ISNUMBER(O1495)</f>
        <v>1</v>
      </c>
      <c r="O1495" s="1">
        <v>46138</v>
      </c>
      <c r="P1495" t="s">
        <v>1695</v>
      </c>
      <c r="Q1495" t="str">
        <f>SUBSTITUTE(SUBSTITUTE(SUBSTITUTE(P1495," ",""),"-",""),"+","")</f>
        <v>916531591804</v>
      </c>
      <c r="R1495" t="str">
        <f t="shared" si="46"/>
        <v>6531591804</v>
      </c>
      <c r="S1495" t="str">
        <f>IF(LEN(R1495),"Valid","Invalid")</f>
        <v>Valid</v>
      </c>
      <c r="T1495" t="s">
        <v>1694</v>
      </c>
      <c r="V1495" t="s">
        <v>27</v>
      </c>
      <c r="X1495">
        <v>6479.47</v>
      </c>
      <c r="Y1495" t="s">
        <v>64</v>
      </c>
      <c r="Z1495">
        <v>457</v>
      </c>
      <c r="AA1495">
        <f t="shared" si="47"/>
        <v>457</v>
      </c>
      <c r="AB1495" t="s">
        <v>34</v>
      </c>
    </row>
    <row r="1496" spans="1:28" x14ac:dyDescent="0.3">
      <c r="A1496" t="s">
        <v>1693</v>
      </c>
      <c r="B1496" t="s">
        <v>1692</v>
      </c>
      <c r="C1496" t="s">
        <v>1692</v>
      </c>
      <c r="E1496">
        <v>23</v>
      </c>
      <c r="F1496">
        <v>23</v>
      </c>
      <c r="G1496" t="s">
        <v>68</v>
      </c>
      <c r="H1496" t="s">
        <v>68</v>
      </c>
      <c r="I1496" t="s">
        <v>30</v>
      </c>
      <c r="J1496" t="s">
        <v>30</v>
      </c>
      <c r="K1496" s="1">
        <v>46012</v>
      </c>
      <c r="L1496" s="1" t="str">
        <f>IF(K1496&gt;O1496,"Valid","Invalid")</f>
        <v>Valid</v>
      </c>
      <c r="M1496" s="1" t="b">
        <f>ISNUMBER(K1496)</f>
        <v>1</v>
      </c>
      <c r="N1496" s="1" t="b">
        <f>ISNUMBER(O1496)</f>
        <v>1</v>
      </c>
      <c r="O1496" s="1">
        <v>45985</v>
      </c>
      <c r="P1496" t="s">
        <v>1691</v>
      </c>
      <c r="Q1496" t="str">
        <f>SUBSTITUTE(SUBSTITUTE(SUBSTITUTE(P1496," ",""),"-",""),"+","")</f>
        <v>917257440468</v>
      </c>
      <c r="R1496" t="str">
        <f t="shared" si="46"/>
        <v>7257440468</v>
      </c>
      <c r="S1496" t="str">
        <f>IF(LEN(R1496),"Valid","Invalid")</f>
        <v>Valid</v>
      </c>
      <c r="T1496" t="s">
        <v>1690</v>
      </c>
      <c r="V1496" t="s">
        <v>35</v>
      </c>
      <c r="X1496">
        <v>1187.45</v>
      </c>
      <c r="Y1496" t="s">
        <v>17</v>
      </c>
      <c r="Z1496">
        <v>318</v>
      </c>
      <c r="AA1496">
        <f t="shared" si="47"/>
        <v>318</v>
      </c>
      <c r="AB1496" t="s">
        <v>77</v>
      </c>
    </row>
    <row r="1497" spans="1:28" x14ac:dyDescent="0.3">
      <c r="A1497" t="s">
        <v>1689</v>
      </c>
      <c r="B1497" t="s">
        <v>1688</v>
      </c>
      <c r="C1497" t="s">
        <v>1688</v>
      </c>
      <c r="D1497" t="s">
        <v>0</v>
      </c>
      <c r="E1497">
        <v>10</v>
      </c>
      <c r="F1497">
        <v>10</v>
      </c>
      <c r="G1497" t="s">
        <v>21</v>
      </c>
      <c r="H1497" t="s">
        <v>21</v>
      </c>
      <c r="I1497" t="s">
        <v>85</v>
      </c>
      <c r="J1497" t="s">
        <v>85</v>
      </c>
      <c r="K1497" s="1">
        <v>46086</v>
      </c>
      <c r="L1497" s="1" t="str">
        <f>IF(K1497&gt;O1497,"Valid","Invalid")</f>
        <v>Valid</v>
      </c>
      <c r="M1497" s="1" t="b">
        <f>ISNUMBER(K1497)</f>
        <v>1</v>
      </c>
      <c r="N1497" s="1" t="b">
        <f>ISNUMBER(O1497)</f>
        <v>1</v>
      </c>
      <c r="O1497" s="1">
        <v>46071</v>
      </c>
      <c r="P1497" t="s">
        <v>1687</v>
      </c>
      <c r="Q1497" t="str">
        <f>SUBSTITUTE(SUBSTITUTE(SUBSTITUTE(P1497," ",""),"-",""),"+","")</f>
        <v>914362173932</v>
      </c>
      <c r="R1497" t="str">
        <f t="shared" si="46"/>
        <v>4362173932</v>
      </c>
      <c r="S1497" t="str">
        <f>IF(LEN(R1497),"Valid","Invalid")</f>
        <v>Valid</v>
      </c>
      <c r="T1497" t="s">
        <v>1686</v>
      </c>
      <c r="V1497" t="s">
        <v>17</v>
      </c>
      <c r="X1497">
        <v>341.17</v>
      </c>
      <c r="Y1497" t="s">
        <v>26</v>
      </c>
      <c r="Z1497">
        <v>495</v>
      </c>
      <c r="AA1497">
        <f t="shared" si="47"/>
        <v>495</v>
      </c>
      <c r="AB1497" t="s">
        <v>16</v>
      </c>
    </row>
    <row r="1498" spans="1:28" x14ac:dyDescent="0.3">
      <c r="A1498" t="s">
        <v>1685</v>
      </c>
      <c r="B1498" t="s">
        <v>1684</v>
      </c>
      <c r="C1498" t="s">
        <v>1684</v>
      </c>
      <c r="D1498" t="s">
        <v>40</v>
      </c>
      <c r="E1498">
        <v>39</v>
      </c>
      <c r="F1498">
        <v>39</v>
      </c>
      <c r="G1498" t="s">
        <v>39</v>
      </c>
      <c r="H1498" t="s">
        <v>39</v>
      </c>
      <c r="I1498" t="s">
        <v>38</v>
      </c>
      <c r="J1498" t="s">
        <v>8077</v>
      </c>
      <c r="K1498" s="1">
        <v>46148</v>
      </c>
      <c r="L1498" s="1" t="str">
        <f>IF(K1498&gt;O1498,"Valid","Invalid")</f>
        <v>Valid</v>
      </c>
      <c r="M1498" s="1" t="b">
        <f>ISNUMBER(K1498)</f>
        <v>1</v>
      </c>
      <c r="N1498" s="1" t="b">
        <f>ISNUMBER(O1498)</f>
        <v>1</v>
      </c>
      <c r="O1498" s="1">
        <v>46138</v>
      </c>
      <c r="P1498" t="s">
        <v>1683</v>
      </c>
      <c r="Q1498" t="str">
        <f>SUBSTITUTE(SUBSTITUTE(SUBSTITUTE(P1498," ",""),"-",""),"+","")</f>
        <v>01186852587</v>
      </c>
      <c r="R1498" t="str">
        <f t="shared" si="46"/>
        <v>1186852587</v>
      </c>
      <c r="S1498" t="str">
        <f>IF(LEN(R1498),"Valid","Invalid")</f>
        <v>Valid</v>
      </c>
      <c r="T1498" t="s">
        <v>1682</v>
      </c>
      <c r="V1498" t="s">
        <v>123</v>
      </c>
      <c r="X1498">
        <v>5872.57</v>
      </c>
      <c r="Y1498" t="s">
        <v>123</v>
      </c>
      <c r="Z1498">
        <v>513</v>
      </c>
      <c r="AA1498">
        <f t="shared" si="47"/>
        <v>513</v>
      </c>
      <c r="AB1498" t="s">
        <v>25</v>
      </c>
    </row>
    <row r="1499" spans="1:28" x14ac:dyDescent="0.3">
      <c r="A1499" t="s">
        <v>1681</v>
      </c>
      <c r="B1499" t="s">
        <v>1680</v>
      </c>
      <c r="C1499" t="s">
        <v>1680</v>
      </c>
      <c r="D1499" t="s">
        <v>74</v>
      </c>
      <c r="E1499">
        <v>13</v>
      </c>
      <c r="F1499">
        <v>13</v>
      </c>
      <c r="G1499" t="s">
        <v>39</v>
      </c>
      <c r="H1499" t="s">
        <v>39</v>
      </c>
      <c r="I1499" t="s">
        <v>53</v>
      </c>
      <c r="J1499" t="s">
        <v>20</v>
      </c>
      <c r="K1499" s="1">
        <v>46070</v>
      </c>
      <c r="L1499" s="1" t="str">
        <f>IF(K1499&gt;O1499,"Valid","Invalid")</f>
        <v>Valid</v>
      </c>
      <c r="M1499" s="1" t="b">
        <f>ISNUMBER(K1499)</f>
        <v>1</v>
      </c>
      <c r="N1499" s="1" t="b">
        <f>ISNUMBER(O1499)</f>
        <v>1</v>
      </c>
      <c r="O1499" s="1">
        <v>46066</v>
      </c>
      <c r="P1499" t="s">
        <v>1679</v>
      </c>
      <c r="Q1499" t="str">
        <f>SUBSTITUTE(SUBSTITUTE(SUBSTITUTE(P1499," ",""),"-",""),"+","")</f>
        <v>03900143616</v>
      </c>
      <c r="R1499" t="str">
        <f t="shared" si="46"/>
        <v>3900143616</v>
      </c>
      <c r="S1499" t="str">
        <f>IF(LEN(R1499),"Valid","Invalid")</f>
        <v>Valid</v>
      </c>
      <c r="T1499" t="s">
        <v>1678</v>
      </c>
      <c r="V1499" t="s">
        <v>27</v>
      </c>
      <c r="X1499">
        <v>11064.81</v>
      </c>
      <c r="Y1499" t="s">
        <v>17</v>
      </c>
      <c r="Z1499">
        <v>506</v>
      </c>
      <c r="AA1499">
        <f t="shared" si="47"/>
        <v>506</v>
      </c>
      <c r="AB1499" t="s">
        <v>25</v>
      </c>
    </row>
    <row r="1500" spans="1:28" x14ac:dyDescent="0.3">
      <c r="A1500" t="s">
        <v>1677</v>
      </c>
      <c r="B1500" t="s">
        <v>1676</v>
      </c>
      <c r="C1500" t="s">
        <v>1676</v>
      </c>
      <c r="D1500" t="s">
        <v>123</v>
      </c>
      <c r="E1500">
        <v>3</v>
      </c>
      <c r="F1500">
        <v>3</v>
      </c>
      <c r="G1500" t="s">
        <v>31</v>
      </c>
      <c r="H1500" t="s">
        <v>31</v>
      </c>
      <c r="I1500" t="s">
        <v>20</v>
      </c>
      <c r="J1500" t="s">
        <v>20</v>
      </c>
      <c r="K1500" s="1">
        <v>46096</v>
      </c>
      <c r="L1500" s="1" t="str">
        <f>IF(K1500&gt;O1500,"Valid","Invalid")</f>
        <v>Valid</v>
      </c>
      <c r="M1500" s="1" t="b">
        <f>ISNUMBER(K1500)</f>
        <v>1</v>
      </c>
      <c r="N1500" s="1" t="b">
        <f>ISNUMBER(O1500)</f>
        <v>1</v>
      </c>
      <c r="O1500" s="1">
        <v>46083</v>
      </c>
      <c r="P1500" t="s">
        <v>1675</v>
      </c>
      <c r="Q1500" t="str">
        <f>SUBSTITUTE(SUBSTITUTE(SUBSTITUTE(P1500," ",""),"-",""),"+","")</f>
        <v>2946504690</v>
      </c>
      <c r="R1500" t="str">
        <f t="shared" si="46"/>
        <v>2946504690</v>
      </c>
      <c r="S1500" t="str">
        <f>IF(LEN(R1500),"Valid","Invalid")</f>
        <v>Valid</v>
      </c>
      <c r="T1500" t="s">
        <v>1674</v>
      </c>
      <c r="V1500" t="s">
        <v>123</v>
      </c>
      <c r="X1500">
        <v>1031.71</v>
      </c>
      <c r="Y1500" t="s">
        <v>123</v>
      </c>
      <c r="Z1500">
        <v>385</v>
      </c>
      <c r="AA1500">
        <f t="shared" si="47"/>
        <v>385</v>
      </c>
      <c r="AB1500" t="s">
        <v>25</v>
      </c>
    </row>
    <row r="1501" spans="1:28" x14ac:dyDescent="0.3">
      <c r="A1501" t="s">
        <v>1673</v>
      </c>
      <c r="B1501" t="s">
        <v>1672</v>
      </c>
      <c r="C1501" t="s">
        <v>1672</v>
      </c>
      <c r="D1501" t="s">
        <v>123</v>
      </c>
      <c r="E1501">
        <v>9</v>
      </c>
      <c r="F1501">
        <v>9</v>
      </c>
      <c r="G1501" t="s">
        <v>80</v>
      </c>
      <c r="H1501" t="s">
        <v>80</v>
      </c>
      <c r="I1501" t="s">
        <v>20</v>
      </c>
      <c r="J1501" t="s">
        <v>20</v>
      </c>
      <c r="K1501" s="1">
        <v>46050</v>
      </c>
      <c r="L1501" s="1" t="str">
        <f>IF(K1501&gt;O1501,"Valid","Invalid")</f>
        <v>Valid</v>
      </c>
      <c r="M1501" s="1" t="b">
        <f>ISNUMBER(K1501)</f>
        <v>1</v>
      </c>
      <c r="N1501" s="1" t="b">
        <f>ISNUMBER(O1501)</f>
        <v>1</v>
      </c>
      <c r="O1501" s="1">
        <v>46042</v>
      </c>
      <c r="P1501" t="s">
        <v>1671</v>
      </c>
      <c r="Q1501" t="str">
        <f>SUBSTITUTE(SUBSTITUTE(SUBSTITUTE(P1501," ",""),"-",""),"+","")</f>
        <v>04598765686</v>
      </c>
      <c r="R1501" t="str">
        <f t="shared" si="46"/>
        <v>4598765686</v>
      </c>
      <c r="S1501" t="str">
        <f>IF(LEN(R1501),"Valid","Invalid")</f>
        <v>Valid</v>
      </c>
      <c r="T1501" t="s">
        <v>1670</v>
      </c>
      <c r="V1501" t="s">
        <v>57</v>
      </c>
      <c r="X1501">
        <v>11970.71</v>
      </c>
      <c r="Y1501" t="s">
        <v>57</v>
      </c>
      <c r="Z1501">
        <v>548</v>
      </c>
      <c r="AA1501">
        <f t="shared" si="47"/>
        <v>548</v>
      </c>
      <c r="AB1501" t="s">
        <v>71</v>
      </c>
    </row>
    <row r="1502" spans="1:28" x14ac:dyDescent="0.3">
      <c r="A1502" t="s">
        <v>1669</v>
      </c>
      <c r="B1502" t="s">
        <v>1668</v>
      </c>
      <c r="C1502" t="s">
        <v>1668</v>
      </c>
      <c r="D1502" t="s">
        <v>74</v>
      </c>
      <c r="E1502">
        <v>4</v>
      </c>
      <c r="F1502">
        <v>4</v>
      </c>
      <c r="G1502" t="s">
        <v>39</v>
      </c>
      <c r="H1502" t="s">
        <v>39</v>
      </c>
      <c r="I1502" t="s">
        <v>20</v>
      </c>
      <c r="J1502" t="s">
        <v>20</v>
      </c>
      <c r="K1502" s="1">
        <v>46108</v>
      </c>
      <c r="L1502" s="1" t="str">
        <f>IF(K1502&gt;O1502,"Valid","Invalid")</f>
        <v>Valid</v>
      </c>
      <c r="M1502" s="1" t="b">
        <f>ISNUMBER(K1502)</f>
        <v>1</v>
      </c>
      <c r="N1502" s="1" t="b">
        <f>ISNUMBER(O1502)</f>
        <v>1</v>
      </c>
      <c r="O1502" s="1">
        <v>46090</v>
      </c>
      <c r="P1502" t="s">
        <v>1667</v>
      </c>
      <c r="Q1502" t="str">
        <f>SUBSTITUTE(SUBSTITUTE(SUBSTITUTE(P1502," ",""),"-",""),"+","")</f>
        <v>03147377292</v>
      </c>
      <c r="R1502" t="str">
        <f t="shared" si="46"/>
        <v>3147377292</v>
      </c>
      <c r="S1502" t="str">
        <f>IF(LEN(R1502),"Valid","Invalid")</f>
        <v>Valid</v>
      </c>
      <c r="T1502" t="s">
        <v>1666</v>
      </c>
      <c r="V1502" t="s">
        <v>35</v>
      </c>
      <c r="X1502">
        <v>16683.099999999999</v>
      </c>
      <c r="Y1502" t="s">
        <v>123</v>
      </c>
      <c r="Z1502">
        <v>437</v>
      </c>
      <c r="AA1502">
        <f t="shared" si="47"/>
        <v>437</v>
      </c>
      <c r="AB1502" t="s">
        <v>34</v>
      </c>
    </row>
    <row r="1503" spans="1:28" x14ac:dyDescent="0.3">
      <c r="A1503" t="s">
        <v>1665</v>
      </c>
      <c r="B1503" t="s">
        <v>1664</v>
      </c>
      <c r="C1503" t="s">
        <v>1664</v>
      </c>
      <c r="D1503" t="s">
        <v>60</v>
      </c>
      <c r="E1503">
        <v>72</v>
      </c>
      <c r="F1503">
        <v>72</v>
      </c>
      <c r="G1503" t="s">
        <v>132</v>
      </c>
      <c r="H1503" t="s">
        <v>132</v>
      </c>
      <c r="I1503" t="s">
        <v>85</v>
      </c>
      <c r="J1503" t="s">
        <v>85</v>
      </c>
      <c r="K1503" s="1">
        <v>46092</v>
      </c>
      <c r="L1503" s="1" t="str">
        <f>IF(K1503&gt;O1503,"Valid","Invalid")</f>
        <v>Valid</v>
      </c>
      <c r="M1503" s="1" t="b">
        <f>ISNUMBER(K1503)</f>
        <v>1</v>
      </c>
      <c r="N1503" s="1" t="b">
        <f>ISNUMBER(O1503)</f>
        <v>1</v>
      </c>
      <c r="O1503" s="1">
        <v>46090</v>
      </c>
      <c r="P1503" t="s">
        <v>510</v>
      </c>
      <c r="Q1503" t="str">
        <f>SUBSTITUTE(SUBSTITUTE(SUBSTITUTE(P1503," ",""),"-",""),"+","")</f>
        <v>12345</v>
      </c>
      <c r="R1503" t="str">
        <f t="shared" si="46"/>
        <v>12345</v>
      </c>
      <c r="S1503" t="str">
        <f>IF(LEN(R1503),"Valid","Invalid")</f>
        <v>Valid</v>
      </c>
      <c r="T1503" t="s">
        <v>1663</v>
      </c>
      <c r="V1503" t="s">
        <v>35</v>
      </c>
      <c r="X1503">
        <v>14636.59</v>
      </c>
      <c r="Y1503" t="s">
        <v>64</v>
      </c>
      <c r="Z1503">
        <v>386</v>
      </c>
      <c r="AA1503">
        <f t="shared" si="47"/>
        <v>386</v>
      </c>
      <c r="AB1503" t="s">
        <v>77</v>
      </c>
    </row>
    <row r="1504" spans="1:28" x14ac:dyDescent="0.3">
      <c r="A1504" t="s">
        <v>1662</v>
      </c>
      <c r="B1504" t="s">
        <v>1661</v>
      </c>
      <c r="C1504" t="s">
        <v>1661</v>
      </c>
      <c r="D1504" t="s">
        <v>1</v>
      </c>
      <c r="E1504">
        <v>26</v>
      </c>
      <c r="F1504">
        <v>26</v>
      </c>
      <c r="G1504" t="s">
        <v>39</v>
      </c>
      <c r="H1504" t="s">
        <v>39</v>
      </c>
      <c r="I1504" t="s">
        <v>30</v>
      </c>
      <c r="J1504" t="s">
        <v>30</v>
      </c>
      <c r="K1504" s="1">
        <v>46049</v>
      </c>
      <c r="L1504" s="1" t="str">
        <f>IF(K1504&gt;O1504,"Valid","Invalid")</f>
        <v>Valid</v>
      </c>
      <c r="M1504" s="1" t="b">
        <f>ISNUMBER(K1504)</f>
        <v>1</v>
      </c>
      <c r="N1504" s="1" t="b">
        <f>ISNUMBER(O1504)</f>
        <v>1</v>
      </c>
      <c r="O1504" s="1">
        <v>46045</v>
      </c>
      <c r="P1504" t="s">
        <v>1660</v>
      </c>
      <c r="Q1504" t="str">
        <f>SUBSTITUTE(SUBSTITUTE(SUBSTITUTE(P1504," ",""),"-",""),"+","")</f>
        <v>2498852957</v>
      </c>
      <c r="R1504" t="str">
        <f t="shared" si="46"/>
        <v>2498852957</v>
      </c>
      <c r="S1504" t="str">
        <f>IF(LEN(R1504),"Valid","Invalid")</f>
        <v>Valid</v>
      </c>
      <c r="T1504" t="s">
        <v>1659</v>
      </c>
      <c r="V1504" t="s">
        <v>123</v>
      </c>
      <c r="X1504">
        <v>477.6</v>
      </c>
      <c r="Y1504" t="s">
        <v>27</v>
      </c>
      <c r="Z1504">
        <v>361</v>
      </c>
      <c r="AA1504">
        <f t="shared" si="47"/>
        <v>361</v>
      </c>
      <c r="AB1504" t="s">
        <v>50</v>
      </c>
    </row>
    <row r="1505" spans="1:28" x14ac:dyDescent="0.3">
      <c r="A1505" t="s">
        <v>1658</v>
      </c>
      <c r="B1505" t="s">
        <v>1657</v>
      </c>
      <c r="C1505" t="s">
        <v>1657</v>
      </c>
      <c r="D1505" t="s">
        <v>40</v>
      </c>
      <c r="E1505">
        <v>15</v>
      </c>
      <c r="F1505">
        <v>15</v>
      </c>
      <c r="G1505" t="s">
        <v>132</v>
      </c>
      <c r="H1505" t="s">
        <v>132</v>
      </c>
      <c r="I1505" t="s">
        <v>46</v>
      </c>
      <c r="J1505" t="s">
        <v>46</v>
      </c>
      <c r="K1505" s="1">
        <v>46120</v>
      </c>
      <c r="L1505" s="1" t="str">
        <f>IF(K1505&gt;O1505,"Valid","Invalid")</f>
        <v>Valid</v>
      </c>
      <c r="M1505" s="1" t="b">
        <f>ISNUMBER(K1505)</f>
        <v>1</v>
      </c>
      <c r="N1505" s="1" t="b">
        <f>ISNUMBER(O1505)</f>
        <v>1</v>
      </c>
      <c r="O1505" s="1">
        <v>46111</v>
      </c>
      <c r="P1505" t="s">
        <v>1656</v>
      </c>
      <c r="Q1505" t="str">
        <f>SUBSTITUTE(SUBSTITUTE(SUBSTITUTE(P1505," ",""),"-",""),"+","")</f>
        <v>9189029736</v>
      </c>
      <c r="R1505" t="str">
        <f t="shared" si="46"/>
        <v>9189029736</v>
      </c>
      <c r="S1505" t="str">
        <f>IF(LEN(R1505),"Valid","Invalid")</f>
        <v>Valid</v>
      </c>
      <c r="T1505" t="s">
        <v>1655</v>
      </c>
      <c r="V1505" t="s">
        <v>35</v>
      </c>
      <c r="X1505">
        <v>8124.32</v>
      </c>
      <c r="Y1505" t="s">
        <v>57</v>
      </c>
      <c r="Z1505">
        <v>540</v>
      </c>
      <c r="AA1505">
        <f t="shared" si="47"/>
        <v>540</v>
      </c>
      <c r="AB1505" t="s">
        <v>16</v>
      </c>
    </row>
    <row r="1506" spans="1:28" x14ac:dyDescent="0.3">
      <c r="A1506" t="s">
        <v>1654</v>
      </c>
      <c r="B1506" t="s">
        <v>1653</v>
      </c>
      <c r="C1506" t="s">
        <v>1653</v>
      </c>
      <c r="D1506" t="s">
        <v>1</v>
      </c>
      <c r="E1506">
        <v>25</v>
      </c>
      <c r="F1506">
        <v>25</v>
      </c>
      <c r="G1506" t="s">
        <v>68</v>
      </c>
      <c r="H1506" t="s">
        <v>68</v>
      </c>
      <c r="I1506" t="s">
        <v>85</v>
      </c>
      <c r="J1506" t="s">
        <v>85</v>
      </c>
      <c r="K1506" s="1">
        <v>46036</v>
      </c>
      <c r="L1506" s="1" t="str">
        <f>IF(K1506&gt;O1506,"Valid","Invalid")</f>
        <v>Valid</v>
      </c>
      <c r="M1506" s="1" t="b">
        <f>ISNUMBER(K1506)</f>
        <v>1</v>
      </c>
      <c r="N1506" s="1" t="b">
        <f>ISNUMBER(O1506)</f>
        <v>1</v>
      </c>
      <c r="O1506" s="1">
        <v>46021</v>
      </c>
      <c r="P1506" t="s">
        <v>1652</v>
      </c>
      <c r="Q1506" t="str">
        <f>SUBSTITUTE(SUBSTITUTE(SUBSTITUTE(P1506," ",""),"-",""),"+","")</f>
        <v>04726493924</v>
      </c>
      <c r="R1506" t="str">
        <f t="shared" si="46"/>
        <v>4726493924</v>
      </c>
      <c r="S1506" t="str">
        <f>IF(LEN(R1506),"Valid","Invalid")</f>
        <v>Valid</v>
      </c>
      <c r="T1506" t="s">
        <v>1651</v>
      </c>
      <c r="V1506" t="s">
        <v>17</v>
      </c>
      <c r="X1506">
        <v>2656.37</v>
      </c>
      <c r="Y1506" t="s">
        <v>123</v>
      </c>
      <c r="Z1506">
        <v>383</v>
      </c>
      <c r="AA1506">
        <f t="shared" si="47"/>
        <v>383</v>
      </c>
      <c r="AB1506" t="s">
        <v>25</v>
      </c>
    </row>
    <row r="1507" spans="1:28" x14ac:dyDescent="0.3">
      <c r="A1507" t="s">
        <v>1650</v>
      </c>
      <c r="B1507" t="s">
        <v>1649</v>
      </c>
      <c r="C1507" t="s">
        <v>1649</v>
      </c>
      <c r="D1507" t="s">
        <v>74</v>
      </c>
      <c r="E1507">
        <v>19</v>
      </c>
      <c r="F1507">
        <v>19</v>
      </c>
      <c r="G1507" t="s">
        <v>39</v>
      </c>
      <c r="H1507" t="s">
        <v>39</v>
      </c>
      <c r="I1507" t="s">
        <v>53</v>
      </c>
      <c r="J1507" t="s">
        <v>20</v>
      </c>
      <c r="K1507" s="1">
        <v>46088</v>
      </c>
      <c r="L1507" s="1" t="str">
        <f>IF(K1507&gt;O1507,"Valid","Invalid")</f>
        <v>Valid</v>
      </c>
      <c r="M1507" s="1" t="b">
        <f>ISNUMBER(K1507)</f>
        <v>1</v>
      </c>
      <c r="N1507" s="1" t="b">
        <f>ISNUMBER(O1507)</f>
        <v>1</v>
      </c>
      <c r="O1507" s="1">
        <v>46061</v>
      </c>
      <c r="P1507" t="s">
        <v>1648</v>
      </c>
      <c r="Q1507" t="str">
        <f>SUBSTITUTE(SUBSTITUTE(SUBSTITUTE(P1507," ",""),"-",""),"+","")</f>
        <v>6130858327</v>
      </c>
      <c r="R1507" t="str">
        <f t="shared" si="46"/>
        <v>6130858327</v>
      </c>
      <c r="S1507" t="str">
        <f>IF(LEN(R1507),"Valid","Invalid")</f>
        <v>Valid</v>
      </c>
      <c r="T1507" t="s">
        <v>1647</v>
      </c>
      <c r="V1507" t="s">
        <v>64</v>
      </c>
      <c r="X1507">
        <v>12046.67</v>
      </c>
      <c r="Y1507" t="s">
        <v>64</v>
      </c>
      <c r="Z1507">
        <v>389</v>
      </c>
      <c r="AA1507">
        <f t="shared" si="47"/>
        <v>389</v>
      </c>
      <c r="AB1507" t="s">
        <v>71</v>
      </c>
    </row>
    <row r="1508" spans="1:28" x14ac:dyDescent="0.3">
      <c r="A1508" t="s">
        <v>1646</v>
      </c>
      <c r="B1508" t="s">
        <v>1645</v>
      </c>
      <c r="C1508" t="s">
        <v>1645</v>
      </c>
      <c r="D1508" t="s">
        <v>1</v>
      </c>
      <c r="E1508">
        <v>81</v>
      </c>
      <c r="F1508">
        <v>81</v>
      </c>
      <c r="G1508" t="s">
        <v>54</v>
      </c>
      <c r="H1508" t="s">
        <v>54</v>
      </c>
      <c r="I1508" t="s">
        <v>67</v>
      </c>
      <c r="J1508" t="s">
        <v>67</v>
      </c>
      <c r="K1508" s="1">
        <v>46012</v>
      </c>
      <c r="L1508" s="1" t="str">
        <f>IF(K1508&gt;O1508,"Valid","Invalid")</f>
        <v>Valid</v>
      </c>
      <c r="M1508" s="1" t="b">
        <f>ISNUMBER(K1508)</f>
        <v>1</v>
      </c>
      <c r="N1508" s="1" t="b">
        <f>ISNUMBER(O1508)</f>
        <v>1</v>
      </c>
      <c r="O1508" s="1">
        <v>45982</v>
      </c>
      <c r="P1508" t="s">
        <v>1644</v>
      </c>
      <c r="Q1508" t="str">
        <f>SUBSTITUTE(SUBSTITUTE(SUBSTITUTE(P1508," ",""),"-",""),"+","")</f>
        <v>9840390474</v>
      </c>
      <c r="R1508" t="str">
        <f t="shared" si="46"/>
        <v>9840390474</v>
      </c>
      <c r="S1508" t="str">
        <f>IF(LEN(R1508),"Valid","Invalid")</f>
        <v>Valid</v>
      </c>
      <c r="T1508" t="s">
        <v>123</v>
      </c>
      <c r="V1508" t="s">
        <v>17</v>
      </c>
      <c r="X1508">
        <v>-500</v>
      </c>
      <c r="Y1508" t="s">
        <v>123</v>
      </c>
      <c r="Z1508">
        <v>130</v>
      </c>
      <c r="AA1508">
        <f t="shared" si="47"/>
        <v>130</v>
      </c>
      <c r="AB1508" t="s">
        <v>50</v>
      </c>
    </row>
    <row r="1509" spans="1:28" x14ac:dyDescent="0.3">
      <c r="A1509" t="s">
        <v>1639</v>
      </c>
      <c r="B1509" t="s">
        <v>1638</v>
      </c>
      <c r="C1509" t="s">
        <v>1638</v>
      </c>
      <c r="D1509" t="s">
        <v>1</v>
      </c>
      <c r="E1509">
        <v>17</v>
      </c>
      <c r="F1509">
        <v>17</v>
      </c>
      <c r="G1509" t="s">
        <v>68</v>
      </c>
      <c r="H1509" t="s">
        <v>68</v>
      </c>
      <c r="I1509" t="s">
        <v>90</v>
      </c>
      <c r="J1509" t="s">
        <v>67</v>
      </c>
      <c r="K1509" s="1">
        <v>46002</v>
      </c>
      <c r="L1509" s="1" t="str">
        <f>IF(K1509&gt;O1509,"Valid","Invalid")</f>
        <v>Valid</v>
      </c>
      <c r="M1509" s="1" t="b">
        <f>ISNUMBER(K1509)</f>
        <v>1</v>
      </c>
      <c r="N1509" s="1" t="b">
        <f>ISNUMBER(O1509)</f>
        <v>1</v>
      </c>
      <c r="O1509" s="1">
        <v>45982</v>
      </c>
      <c r="P1509" t="s">
        <v>1637</v>
      </c>
      <c r="Q1509" t="str">
        <f>SUBSTITUTE(SUBSTITUTE(SUBSTITUTE(P1509," ",""),"-",""),"+","")</f>
        <v>06506936991</v>
      </c>
      <c r="R1509" t="str">
        <f t="shared" si="46"/>
        <v>6506936991</v>
      </c>
      <c r="S1509" t="str">
        <f>IF(LEN(R1509),"Valid","Invalid")</f>
        <v>Valid</v>
      </c>
      <c r="T1509" t="s">
        <v>1636</v>
      </c>
      <c r="V1509" t="s">
        <v>35</v>
      </c>
      <c r="X1509">
        <v>6185.25</v>
      </c>
      <c r="Y1509" t="s">
        <v>63</v>
      </c>
      <c r="Z1509">
        <v>354</v>
      </c>
      <c r="AA1509">
        <f t="shared" si="47"/>
        <v>354</v>
      </c>
      <c r="AB1509" t="s">
        <v>50</v>
      </c>
    </row>
    <row r="1510" spans="1:28" x14ac:dyDescent="0.3">
      <c r="A1510" t="s">
        <v>1635</v>
      </c>
      <c r="B1510" t="s">
        <v>1634</v>
      </c>
      <c r="C1510" t="s">
        <v>1634</v>
      </c>
      <c r="D1510" t="s">
        <v>74</v>
      </c>
      <c r="E1510">
        <v>56</v>
      </c>
      <c r="F1510">
        <v>56</v>
      </c>
      <c r="G1510" t="s">
        <v>47</v>
      </c>
      <c r="H1510" t="s">
        <v>47</v>
      </c>
      <c r="I1510" t="s">
        <v>90</v>
      </c>
      <c r="J1510" t="s">
        <v>67</v>
      </c>
      <c r="K1510" s="1">
        <v>46085</v>
      </c>
      <c r="L1510" s="1" t="str">
        <f>IF(K1510&gt;O1510,"Valid","Invalid")</f>
        <v>Valid</v>
      </c>
      <c r="M1510" s="1" t="b">
        <f>ISNUMBER(K1510)</f>
        <v>1</v>
      </c>
      <c r="N1510" s="1" t="b">
        <f>ISNUMBER(O1510)</f>
        <v>1</v>
      </c>
      <c r="O1510" s="1">
        <v>46083</v>
      </c>
      <c r="P1510" t="s">
        <v>1633</v>
      </c>
      <c r="Q1510" t="str">
        <f>SUBSTITUTE(SUBSTITUTE(SUBSTITUTE(P1510," ",""),"-",""),"+","")</f>
        <v>07946463020</v>
      </c>
      <c r="R1510" t="str">
        <f t="shared" si="46"/>
        <v>7946463020</v>
      </c>
      <c r="S1510" t="str">
        <f>IF(LEN(R1510),"Valid","Invalid")</f>
        <v>Valid</v>
      </c>
      <c r="T1510" t="s">
        <v>1632</v>
      </c>
      <c r="V1510" t="s">
        <v>64</v>
      </c>
      <c r="X1510">
        <v>17670.96</v>
      </c>
      <c r="Y1510" t="s">
        <v>26</v>
      </c>
      <c r="Z1510">
        <v>495</v>
      </c>
      <c r="AA1510">
        <f t="shared" si="47"/>
        <v>495</v>
      </c>
      <c r="AB1510" t="s">
        <v>25</v>
      </c>
    </row>
    <row r="1511" spans="1:28" x14ac:dyDescent="0.3">
      <c r="A1511" t="s">
        <v>1631</v>
      </c>
      <c r="B1511" t="s">
        <v>1630</v>
      </c>
      <c r="C1511" t="s">
        <v>1630</v>
      </c>
      <c r="D1511" t="s">
        <v>40</v>
      </c>
      <c r="E1511">
        <v>48</v>
      </c>
      <c r="F1511">
        <v>48</v>
      </c>
      <c r="G1511" t="s">
        <v>132</v>
      </c>
      <c r="H1511" t="s">
        <v>132</v>
      </c>
      <c r="I1511" t="s">
        <v>90</v>
      </c>
      <c r="J1511" t="s">
        <v>67</v>
      </c>
      <c r="K1511" s="1">
        <v>46093</v>
      </c>
      <c r="L1511" s="1" t="str">
        <f>IF(K1511&gt;O1511,"Valid","Invalid")</f>
        <v>Valid</v>
      </c>
      <c r="M1511" s="1" t="b">
        <f>ISNUMBER(K1511)</f>
        <v>1</v>
      </c>
      <c r="N1511" s="1" t="b">
        <f>ISNUMBER(O1511)</f>
        <v>1</v>
      </c>
      <c r="O1511" s="1">
        <v>46085</v>
      </c>
      <c r="P1511" t="s">
        <v>1629</v>
      </c>
      <c r="Q1511" t="str">
        <f>SUBSTITUTE(SUBSTITUTE(SUBSTITUTE(P1511," ",""),"-",""),"+","")</f>
        <v>914502911921</v>
      </c>
      <c r="R1511" t="str">
        <f t="shared" si="46"/>
        <v>4502911921</v>
      </c>
      <c r="S1511" t="str">
        <f>IF(LEN(R1511),"Valid","Invalid")</f>
        <v>Valid</v>
      </c>
      <c r="T1511" t="s">
        <v>1628</v>
      </c>
      <c r="V1511" t="s">
        <v>123</v>
      </c>
      <c r="X1511">
        <v>16324.14</v>
      </c>
      <c r="Y1511" t="s">
        <v>17</v>
      </c>
      <c r="Z1511">
        <v>255</v>
      </c>
      <c r="AA1511">
        <f t="shared" si="47"/>
        <v>255</v>
      </c>
      <c r="AB1511" t="s">
        <v>50</v>
      </c>
    </row>
    <row r="1512" spans="1:28" x14ac:dyDescent="0.3">
      <c r="A1512" t="s">
        <v>1627</v>
      </c>
      <c r="B1512" t="s">
        <v>1626</v>
      </c>
      <c r="C1512" t="s">
        <v>1626</v>
      </c>
      <c r="D1512" t="s">
        <v>60</v>
      </c>
      <c r="E1512">
        <v>40</v>
      </c>
      <c r="F1512">
        <v>40</v>
      </c>
      <c r="G1512" t="s">
        <v>68</v>
      </c>
      <c r="H1512" t="s">
        <v>68</v>
      </c>
      <c r="I1512" t="s">
        <v>85</v>
      </c>
      <c r="J1512" t="s">
        <v>85</v>
      </c>
      <c r="K1512" s="1">
        <v>46062</v>
      </c>
      <c r="L1512" s="1" t="str">
        <f>IF(K1512&gt;O1512,"Valid","Invalid")</f>
        <v>Valid</v>
      </c>
      <c r="M1512" s="1" t="b">
        <f>ISNUMBER(K1512)</f>
        <v>1</v>
      </c>
      <c r="N1512" s="1" t="b">
        <f>ISNUMBER(O1512)</f>
        <v>1</v>
      </c>
      <c r="O1512" s="1">
        <v>46050</v>
      </c>
      <c r="P1512" t="s">
        <v>1625</v>
      </c>
      <c r="Q1512" t="str">
        <f>SUBSTITUTE(SUBSTITUTE(SUBSTITUTE(P1512," ",""),"-",""),"+","")</f>
        <v>7617910672</v>
      </c>
      <c r="R1512" t="str">
        <f t="shared" si="46"/>
        <v>7617910672</v>
      </c>
      <c r="S1512" t="str">
        <f>IF(LEN(R1512),"Valid","Invalid")</f>
        <v>Valid</v>
      </c>
      <c r="T1512" t="s">
        <v>1624</v>
      </c>
      <c r="V1512" t="s">
        <v>35</v>
      </c>
      <c r="X1512">
        <v>11839.34</v>
      </c>
      <c r="Y1512" t="s">
        <v>64</v>
      </c>
      <c r="Z1512">
        <v>454</v>
      </c>
      <c r="AA1512">
        <f t="shared" si="47"/>
        <v>454</v>
      </c>
      <c r="AB1512" t="s">
        <v>16</v>
      </c>
    </row>
    <row r="1513" spans="1:28" x14ac:dyDescent="0.3">
      <c r="A1513" t="s">
        <v>1623</v>
      </c>
      <c r="B1513" t="s">
        <v>1622</v>
      </c>
      <c r="C1513" t="s">
        <v>1622</v>
      </c>
      <c r="D1513" t="s">
        <v>60</v>
      </c>
      <c r="E1513">
        <v>69</v>
      </c>
      <c r="F1513">
        <v>69</v>
      </c>
      <c r="G1513" t="s">
        <v>80</v>
      </c>
      <c r="H1513" t="s">
        <v>80</v>
      </c>
      <c r="I1513" t="s">
        <v>30</v>
      </c>
      <c r="J1513" t="s">
        <v>30</v>
      </c>
      <c r="K1513" s="1">
        <v>46065</v>
      </c>
      <c r="L1513" s="1" t="str">
        <f>IF(K1513&gt;O1513,"Valid","Invalid")</f>
        <v>Valid</v>
      </c>
      <c r="M1513" s="1" t="b">
        <f>ISNUMBER(K1513)</f>
        <v>1</v>
      </c>
      <c r="N1513" s="1" t="b">
        <f>ISNUMBER(O1513)</f>
        <v>1</v>
      </c>
      <c r="O1513" s="1">
        <v>46045</v>
      </c>
      <c r="P1513" t="s">
        <v>1621</v>
      </c>
      <c r="Q1513" t="str">
        <f>SUBSTITUTE(SUBSTITUTE(SUBSTITUTE(P1513," ",""),"-",""),"+","")</f>
        <v>08776119318</v>
      </c>
      <c r="R1513" t="str">
        <f t="shared" si="46"/>
        <v>8776119318</v>
      </c>
      <c r="S1513" t="str">
        <f>IF(LEN(R1513),"Valid","Invalid")</f>
        <v>Valid</v>
      </c>
      <c r="T1513" t="s">
        <v>1620</v>
      </c>
      <c r="V1513" t="s">
        <v>26</v>
      </c>
      <c r="X1513">
        <v>23367.19</v>
      </c>
      <c r="Y1513" t="s">
        <v>63</v>
      </c>
      <c r="Z1513">
        <v>404</v>
      </c>
      <c r="AA1513">
        <f t="shared" si="47"/>
        <v>404</v>
      </c>
      <c r="AB1513" t="s">
        <v>34</v>
      </c>
    </row>
    <row r="1514" spans="1:28" x14ac:dyDescent="0.3">
      <c r="A1514" t="s">
        <v>1619</v>
      </c>
      <c r="B1514" t="s">
        <v>1618</v>
      </c>
      <c r="C1514" t="s">
        <v>1618</v>
      </c>
      <c r="D1514" t="s">
        <v>1</v>
      </c>
      <c r="E1514">
        <v>41</v>
      </c>
      <c r="F1514">
        <v>41</v>
      </c>
      <c r="G1514" t="s">
        <v>31</v>
      </c>
      <c r="H1514" t="s">
        <v>31</v>
      </c>
      <c r="I1514" t="s">
        <v>38</v>
      </c>
      <c r="J1514" t="s">
        <v>8077</v>
      </c>
      <c r="K1514" s="1">
        <v>46084</v>
      </c>
      <c r="L1514" s="1" t="str">
        <f>IF(K1514&gt;O1514,"Valid","Invalid")</f>
        <v>Valid</v>
      </c>
      <c r="M1514" s="1" t="b">
        <f>ISNUMBER(K1514)</f>
        <v>1</v>
      </c>
      <c r="N1514" s="1" t="b">
        <f>ISNUMBER(O1514)</f>
        <v>1</v>
      </c>
      <c r="O1514" s="1">
        <v>46066</v>
      </c>
      <c r="P1514" t="s">
        <v>1617</v>
      </c>
      <c r="Q1514" t="str">
        <f>SUBSTITUTE(SUBSTITUTE(SUBSTITUTE(P1514," ",""),"-",""),"+","")</f>
        <v>916043662065</v>
      </c>
      <c r="R1514" t="str">
        <f t="shared" si="46"/>
        <v>6043662065</v>
      </c>
      <c r="S1514" t="str">
        <f>IF(LEN(R1514),"Valid","Invalid")</f>
        <v>Valid</v>
      </c>
      <c r="T1514" t="s">
        <v>1616</v>
      </c>
      <c r="V1514" t="s">
        <v>17</v>
      </c>
      <c r="X1514">
        <v>8843.1299999999992</v>
      </c>
      <c r="Y1514" t="s">
        <v>63</v>
      </c>
      <c r="Z1514">
        <v>198</v>
      </c>
      <c r="AA1514">
        <f t="shared" si="47"/>
        <v>198</v>
      </c>
      <c r="AB1514" t="s">
        <v>50</v>
      </c>
    </row>
    <row r="1515" spans="1:28" x14ac:dyDescent="0.3">
      <c r="A1515" t="s">
        <v>1615</v>
      </c>
      <c r="B1515" t="s">
        <v>1614</v>
      </c>
      <c r="C1515" t="s">
        <v>1614</v>
      </c>
      <c r="D1515" t="s">
        <v>60</v>
      </c>
      <c r="E1515">
        <v>67</v>
      </c>
      <c r="F1515">
        <v>67</v>
      </c>
      <c r="G1515" t="s">
        <v>54</v>
      </c>
      <c r="H1515" t="s">
        <v>54</v>
      </c>
      <c r="I1515" t="s">
        <v>30</v>
      </c>
      <c r="J1515" t="s">
        <v>30</v>
      </c>
      <c r="K1515" s="1">
        <v>46141</v>
      </c>
      <c r="L1515" s="1" t="str">
        <f>IF(K1515&gt;O1515,"Valid","Invalid")</f>
        <v>Valid</v>
      </c>
      <c r="M1515" s="1" t="b">
        <f>ISNUMBER(K1515)</f>
        <v>1</v>
      </c>
      <c r="N1515" s="1" t="b">
        <f>ISNUMBER(O1515)</f>
        <v>1</v>
      </c>
      <c r="O1515" s="1">
        <v>46133</v>
      </c>
      <c r="P1515" t="s">
        <v>1613</v>
      </c>
      <c r="Q1515" t="str">
        <f>SUBSTITUTE(SUBSTITUTE(SUBSTITUTE(P1515," ",""),"-",""),"+","")</f>
        <v>1008665384</v>
      </c>
      <c r="R1515" t="str">
        <f t="shared" si="46"/>
        <v>1008665384</v>
      </c>
      <c r="S1515" t="str">
        <f>IF(LEN(R1515),"Valid","Invalid")</f>
        <v>Valid</v>
      </c>
      <c r="T1515" t="s">
        <v>1612</v>
      </c>
      <c r="V1515" t="s">
        <v>123</v>
      </c>
      <c r="X1515">
        <v>16808.18</v>
      </c>
      <c r="Y1515" t="s">
        <v>57</v>
      </c>
      <c r="Z1515">
        <v>493</v>
      </c>
      <c r="AA1515">
        <f t="shared" si="47"/>
        <v>493</v>
      </c>
      <c r="AB1515" t="s">
        <v>34</v>
      </c>
    </row>
    <row r="1516" spans="1:28" x14ac:dyDescent="0.3">
      <c r="A1516" t="s">
        <v>1611</v>
      </c>
      <c r="B1516" t="s">
        <v>1610</v>
      </c>
      <c r="C1516" t="s">
        <v>1610</v>
      </c>
      <c r="D1516" t="s">
        <v>0</v>
      </c>
      <c r="E1516">
        <v>89</v>
      </c>
      <c r="F1516">
        <v>89</v>
      </c>
      <c r="G1516" t="s">
        <v>132</v>
      </c>
      <c r="H1516" t="s">
        <v>132</v>
      </c>
      <c r="I1516" t="s">
        <v>38</v>
      </c>
      <c r="J1516" t="s">
        <v>8077</v>
      </c>
      <c r="K1516" s="1">
        <v>46170</v>
      </c>
      <c r="L1516" s="1" t="str">
        <f>IF(K1516&gt;O1516,"Valid","Invalid")</f>
        <v>Valid</v>
      </c>
      <c r="M1516" s="1" t="b">
        <f>ISNUMBER(K1516)</f>
        <v>1</v>
      </c>
      <c r="N1516" s="1" t="b">
        <f>ISNUMBER(O1516)</f>
        <v>1</v>
      </c>
      <c r="O1516" s="1">
        <v>46149</v>
      </c>
      <c r="P1516" t="s">
        <v>1609</v>
      </c>
      <c r="Q1516" t="str">
        <f>SUBSTITUTE(SUBSTITUTE(SUBSTITUTE(P1516," ",""),"-",""),"+","")</f>
        <v>3015689057</v>
      </c>
      <c r="R1516" t="str">
        <f t="shared" si="46"/>
        <v>3015689057</v>
      </c>
      <c r="S1516" t="str">
        <f>IF(LEN(R1516),"Valid","Invalid")</f>
        <v>Valid</v>
      </c>
      <c r="T1516" t="s">
        <v>1608</v>
      </c>
      <c r="V1516" t="s">
        <v>57</v>
      </c>
      <c r="X1516">
        <v>17873</v>
      </c>
      <c r="Y1516" t="s">
        <v>17</v>
      </c>
      <c r="Z1516">
        <v>204</v>
      </c>
      <c r="AA1516">
        <f t="shared" si="47"/>
        <v>204</v>
      </c>
      <c r="AB1516" t="s">
        <v>50</v>
      </c>
    </row>
    <row r="1517" spans="1:28" x14ac:dyDescent="0.3">
      <c r="A1517" t="s">
        <v>1607</v>
      </c>
      <c r="B1517" t="s">
        <v>1606</v>
      </c>
      <c r="C1517" t="s">
        <v>1606</v>
      </c>
      <c r="E1517">
        <v>75</v>
      </c>
      <c r="F1517">
        <v>75</v>
      </c>
      <c r="G1517" t="s">
        <v>39</v>
      </c>
      <c r="H1517" t="s">
        <v>39</v>
      </c>
      <c r="I1517" t="s">
        <v>20</v>
      </c>
      <c r="J1517" t="s">
        <v>20</v>
      </c>
      <c r="K1517" s="1">
        <v>46066</v>
      </c>
      <c r="L1517" s="1" t="str">
        <f>IF(K1517&gt;O1517,"Valid","Invalid")</f>
        <v>Valid</v>
      </c>
      <c r="M1517" s="1" t="b">
        <f>ISNUMBER(K1517)</f>
        <v>1</v>
      </c>
      <c r="N1517" s="1" t="b">
        <f>ISNUMBER(O1517)</f>
        <v>1</v>
      </c>
      <c r="O1517" s="1">
        <v>46043</v>
      </c>
      <c r="P1517" t="s">
        <v>1605</v>
      </c>
      <c r="Q1517" t="str">
        <f>SUBSTITUTE(SUBSTITUTE(SUBSTITUTE(P1517," ",""),"-",""),"+","")</f>
        <v>7656939802</v>
      </c>
      <c r="R1517" t="str">
        <f t="shared" si="46"/>
        <v>7656939802</v>
      </c>
      <c r="S1517" t="str">
        <f>IF(LEN(R1517),"Valid","Invalid")</f>
        <v>Valid</v>
      </c>
      <c r="T1517" t="s">
        <v>1604</v>
      </c>
      <c r="V1517" t="s">
        <v>26</v>
      </c>
      <c r="X1517">
        <v>16037.16</v>
      </c>
      <c r="Y1517" t="s">
        <v>57</v>
      </c>
      <c r="Z1517">
        <v>406</v>
      </c>
      <c r="AA1517">
        <f t="shared" si="47"/>
        <v>406</v>
      </c>
      <c r="AB1517" t="s">
        <v>50</v>
      </c>
    </row>
    <row r="1518" spans="1:28" x14ac:dyDescent="0.3">
      <c r="A1518" t="s">
        <v>1603</v>
      </c>
      <c r="B1518" t="s">
        <v>1602</v>
      </c>
      <c r="C1518" t="s">
        <v>1602</v>
      </c>
      <c r="D1518" t="s">
        <v>60</v>
      </c>
      <c r="E1518">
        <v>24</v>
      </c>
      <c r="F1518">
        <v>24</v>
      </c>
      <c r="G1518" t="s">
        <v>68</v>
      </c>
      <c r="H1518" t="s">
        <v>68</v>
      </c>
      <c r="I1518" t="s">
        <v>67</v>
      </c>
      <c r="J1518" t="s">
        <v>67</v>
      </c>
      <c r="K1518" s="1">
        <v>46014</v>
      </c>
      <c r="L1518" s="1" t="str">
        <f>IF(K1518&gt;O1518,"Valid","Invalid")</f>
        <v>Valid</v>
      </c>
      <c r="M1518" s="1" t="b">
        <f>ISNUMBER(K1518)</f>
        <v>1</v>
      </c>
      <c r="N1518" s="1" t="b">
        <f>ISNUMBER(O1518)</f>
        <v>1</v>
      </c>
      <c r="O1518" s="1">
        <v>46007</v>
      </c>
      <c r="P1518" t="s">
        <v>1601</v>
      </c>
      <c r="Q1518" t="str">
        <f>SUBSTITUTE(SUBSTITUTE(SUBSTITUTE(P1518," ",""),"-",""),"+","")</f>
        <v>2327344384</v>
      </c>
      <c r="R1518" t="str">
        <f t="shared" si="46"/>
        <v>2327344384</v>
      </c>
      <c r="S1518" t="str">
        <f>IF(LEN(R1518),"Valid","Invalid")</f>
        <v>Valid</v>
      </c>
      <c r="T1518" t="s">
        <v>1600</v>
      </c>
      <c r="V1518" t="s">
        <v>123</v>
      </c>
      <c r="X1518">
        <v>12211.71</v>
      </c>
      <c r="Y1518" t="s">
        <v>63</v>
      </c>
      <c r="Z1518">
        <v>390</v>
      </c>
      <c r="AA1518">
        <f t="shared" si="47"/>
        <v>390</v>
      </c>
      <c r="AB1518" t="s">
        <v>16</v>
      </c>
    </row>
    <row r="1519" spans="1:28" x14ac:dyDescent="0.3">
      <c r="A1519" t="s">
        <v>1599</v>
      </c>
      <c r="B1519" t="s">
        <v>1598</v>
      </c>
      <c r="C1519" t="s">
        <v>8070</v>
      </c>
      <c r="D1519" t="s">
        <v>60</v>
      </c>
      <c r="E1519">
        <v>19</v>
      </c>
      <c r="F1519">
        <v>19</v>
      </c>
      <c r="G1519" t="s">
        <v>132</v>
      </c>
      <c r="H1519" t="s">
        <v>132</v>
      </c>
      <c r="I1519" t="s">
        <v>20</v>
      </c>
      <c r="J1519" t="s">
        <v>20</v>
      </c>
      <c r="K1519" s="1">
        <v>46105</v>
      </c>
      <c r="L1519" s="1" t="str">
        <f>IF(K1519&gt;O1519,"Valid","Invalid")</f>
        <v>Valid</v>
      </c>
      <c r="M1519" s="1" t="b">
        <f>ISNUMBER(K1519)</f>
        <v>1</v>
      </c>
      <c r="N1519" s="1" t="b">
        <f>ISNUMBER(O1519)</f>
        <v>1</v>
      </c>
      <c r="O1519" s="1">
        <v>46097</v>
      </c>
      <c r="P1519" t="s">
        <v>1597</v>
      </c>
      <c r="Q1519" t="str">
        <f>SUBSTITUTE(SUBSTITUTE(SUBSTITUTE(P1519," ",""),"-",""),"+","")</f>
        <v>04460439555</v>
      </c>
      <c r="R1519" t="str">
        <f t="shared" si="46"/>
        <v>4460439555</v>
      </c>
      <c r="S1519" t="str">
        <f>IF(LEN(R1519),"Valid","Invalid")</f>
        <v>Valid</v>
      </c>
      <c r="T1519" t="s">
        <v>1596</v>
      </c>
      <c r="V1519" t="s">
        <v>64</v>
      </c>
      <c r="X1519">
        <v>24169.54</v>
      </c>
      <c r="Y1519" t="s">
        <v>123</v>
      </c>
      <c r="Z1519">
        <v>101</v>
      </c>
      <c r="AA1519">
        <f t="shared" si="47"/>
        <v>101</v>
      </c>
      <c r="AB1519" t="s">
        <v>77</v>
      </c>
    </row>
    <row r="1520" spans="1:28" x14ac:dyDescent="0.3">
      <c r="A1520" t="s">
        <v>1595</v>
      </c>
      <c r="B1520" t="s">
        <v>1594</v>
      </c>
      <c r="C1520" t="s">
        <v>1594</v>
      </c>
      <c r="D1520" t="s">
        <v>1</v>
      </c>
      <c r="E1520">
        <v>33</v>
      </c>
      <c r="F1520">
        <v>33</v>
      </c>
      <c r="G1520" t="s">
        <v>68</v>
      </c>
      <c r="H1520" t="s">
        <v>68</v>
      </c>
      <c r="I1520" t="s">
        <v>85</v>
      </c>
      <c r="J1520" t="s">
        <v>85</v>
      </c>
      <c r="K1520" s="1">
        <v>46173</v>
      </c>
      <c r="L1520" s="1" t="str">
        <f>IF(K1520&gt;O1520,"Valid","Invalid")</f>
        <v>Valid</v>
      </c>
      <c r="M1520" s="1" t="b">
        <f>ISNUMBER(K1520)</f>
        <v>1</v>
      </c>
      <c r="N1520" s="1" t="b">
        <f>ISNUMBER(O1520)</f>
        <v>1</v>
      </c>
      <c r="O1520" s="1">
        <v>46144</v>
      </c>
      <c r="P1520" t="s">
        <v>1593</v>
      </c>
      <c r="Q1520" t="str">
        <f>SUBSTITUTE(SUBSTITUTE(SUBSTITUTE(P1520," ",""),"-",""),"+","")</f>
        <v>912410657842</v>
      </c>
      <c r="R1520" t="str">
        <f t="shared" si="46"/>
        <v>2410657842</v>
      </c>
      <c r="S1520" t="str">
        <f>IF(LEN(R1520),"Valid","Invalid")</f>
        <v>Valid</v>
      </c>
      <c r="T1520" t="s">
        <v>1592</v>
      </c>
      <c r="V1520" t="s">
        <v>26</v>
      </c>
      <c r="X1520">
        <v>12875.74</v>
      </c>
      <c r="Y1520" t="s">
        <v>123</v>
      </c>
      <c r="Z1520">
        <v>201</v>
      </c>
      <c r="AA1520">
        <f t="shared" si="47"/>
        <v>201</v>
      </c>
      <c r="AB1520" t="s">
        <v>43</v>
      </c>
    </row>
    <row r="1521" spans="1:28" x14ac:dyDescent="0.3">
      <c r="A1521" t="s">
        <v>1591</v>
      </c>
      <c r="B1521" t="s">
        <v>1590</v>
      </c>
      <c r="C1521" t="s">
        <v>1590</v>
      </c>
      <c r="D1521" t="s">
        <v>40</v>
      </c>
      <c r="E1521">
        <v>55</v>
      </c>
      <c r="F1521">
        <v>55</v>
      </c>
      <c r="G1521" t="s">
        <v>68</v>
      </c>
      <c r="H1521" t="s">
        <v>68</v>
      </c>
      <c r="I1521" t="s">
        <v>20</v>
      </c>
      <c r="J1521" t="s">
        <v>20</v>
      </c>
      <c r="K1521" s="1">
        <v>46123</v>
      </c>
      <c r="L1521" s="1" t="str">
        <f>IF(K1521&gt;O1521,"Valid","Invalid")</f>
        <v>Valid</v>
      </c>
      <c r="M1521" s="1" t="b">
        <f>ISNUMBER(K1521)</f>
        <v>1</v>
      </c>
      <c r="N1521" s="1" t="b">
        <f>ISNUMBER(O1521)</f>
        <v>1</v>
      </c>
      <c r="O1521" s="1">
        <v>46108</v>
      </c>
      <c r="P1521" t="s">
        <v>1589</v>
      </c>
      <c r="Q1521" t="str">
        <f>SUBSTITUTE(SUBSTITUTE(SUBSTITUTE(P1521," ",""),"-",""),"+","")</f>
        <v>913157858461</v>
      </c>
      <c r="R1521" t="str">
        <f t="shared" si="46"/>
        <v>3157858461</v>
      </c>
      <c r="S1521" t="str">
        <f>IF(LEN(R1521),"Valid","Invalid")</f>
        <v>Valid</v>
      </c>
      <c r="T1521" t="s">
        <v>1588</v>
      </c>
      <c r="V1521" t="s">
        <v>123</v>
      </c>
      <c r="X1521">
        <v>9794.74</v>
      </c>
      <c r="Y1521" t="s">
        <v>64</v>
      </c>
      <c r="Z1521">
        <v>171</v>
      </c>
      <c r="AA1521">
        <f t="shared" si="47"/>
        <v>171</v>
      </c>
      <c r="AB1521" t="s">
        <v>71</v>
      </c>
    </row>
    <row r="1522" spans="1:28" x14ac:dyDescent="0.3">
      <c r="A1522" t="s">
        <v>1587</v>
      </c>
      <c r="B1522" t="s">
        <v>1327</v>
      </c>
      <c r="C1522" t="s">
        <v>1327</v>
      </c>
      <c r="D1522" t="s">
        <v>74</v>
      </c>
      <c r="E1522">
        <v>47</v>
      </c>
      <c r="F1522">
        <v>47</v>
      </c>
      <c r="G1522" t="s">
        <v>47</v>
      </c>
      <c r="H1522" t="s">
        <v>47</v>
      </c>
      <c r="I1522" t="s">
        <v>46</v>
      </c>
      <c r="J1522" t="s">
        <v>46</v>
      </c>
      <c r="K1522" s="1">
        <v>46093</v>
      </c>
      <c r="L1522" s="1" t="str">
        <f>IF(K1522&gt;O1522,"Valid","Invalid")</f>
        <v>Valid</v>
      </c>
      <c r="M1522" s="1" t="b">
        <f>ISNUMBER(K1522)</f>
        <v>1</v>
      </c>
      <c r="N1522" s="1" t="b">
        <f>ISNUMBER(O1522)</f>
        <v>1</v>
      </c>
      <c r="O1522" s="1">
        <v>46066</v>
      </c>
      <c r="P1522" t="s">
        <v>1586</v>
      </c>
      <c r="Q1522" t="str">
        <f>SUBSTITUTE(SUBSTITUTE(SUBSTITUTE(P1522," ",""),"-",""),"+","")</f>
        <v>02773502290</v>
      </c>
      <c r="R1522" t="str">
        <f t="shared" si="46"/>
        <v>2773502290</v>
      </c>
      <c r="S1522" t="str">
        <f>IF(LEN(R1522),"Valid","Invalid")</f>
        <v>Valid</v>
      </c>
      <c r="T1522" t="s">
        <v>1585</v>
      </c>
      <c r="V1522" t="s">
        <v>64</v>
      </c>
      <c r="X1522">
        <v>7078.43</v>
      </c>
      <c r="Y1522" t="s">
        <v>63</v>
      </c>
      <c r="Z1522">
        <v>165</v>
      </c>
      <c r="AA1522">
        <f t="shared" si="47"/>
        <v>165</v>
      </c>
      <c r="AB1522" t="s">
        <v>50</v>
      </c>
    </row>
    <row r="1523" spans="1:28" x14ac:dyDescent="0.3">
      <c r="A1523" t="s">
        <v>1584</v>
      </c>
      <c r="B1523" t="s">
        <v>1583</v>
      </c>
      <c r="C1523" t="s">
        <v>1583</v>
      </c>
      <c r="D1523" t="s">
        <v>74</v>
      </c>
      <c r="E1523">
        <v>88</v>
      </c>
      <c r="F1523">
        <v>88</v>
      </c>
      <c r="G1523" t="s">
        <v>54</v>
      </c>
      <c r="H1523" t="s">
        <v>54</v>
      </c>
      <c r="I1523" t="s">
        <v>38</v>
      </c>
      <c r="J1523" t="s">
        <v>8077</v>
      </c>
      <c r="K1523" s="1">
        <v>46070</v>
      </c>
      <c r="L1523" s="1" t="str">
        <f>IF(K1523&gt;O1523,"Valid","Invalid")</f>
        <v>Valid</v>
      </c>
      <c r="M1523" s="1" t="b">
        <f>ISNUMBER(K1523)</f>
        <v>1</v>
      </c>
      <c r="N1523" s="1" t="b">
        <f>ISNUMBER(O1523)</f>
        <v>1</v>
      </c>
      <c r="O1523" s="1">
        <v>46069</v>
      </c>
      <c r="P1523" t="s">
        <v>1582</v>
      </c>
      <c r="Q1523" t="str">
        <f>SUBSTITUTE(SUBSTITUTE(SUBSTITUTE(P1523," ",""),"-",""),"+","")</f>
        <v>917505233106</v>
      </c>
      <c r="R1523" t="str">
        <f t="shared" si="46"/>
        <v>7505233106</v>
      </c>
      <c r="S1523" t="str">
        <f>IF(LEN(R1523),"Valid","Invalid")</f>
        <v>Valid</v>
      </c>
      <c r="T1523" t="s">
        <v>1581</v>
      </c>
      <c r="V1523" t="s">
        <v>27</v>
      </c>
      <c r="X1523">
        <v>444.43</v>
      </c>
      <c r="Y1523" t="s">
        <v>17</v>
      </c>
      <c r="Z1523">
        <v>419</v>
      </c>
      <c r="AA1523">
        <f t="shared" si="47"/>
        <v>419</v>
      </c>
      <c r="AB1523" t="s">
        <v>25</v>
      </c>
    </row>
    <row r="1524" spans="1:28" x14ac:dyDescent="0.3">
      <c r="A1524" t="s">
        <v>1580</v>
      </c>
      <c r="B1524" t="s">
        <v>1579</v>
      </c>
      <c r="C1524" t="s">
        <v>1579</v>
      </c>
      <c r="D1524" t="s">
        <v>22</v>
      </c>
      <c r="E1524">
        <v>37</v>
      </c>
      <c r="F1524">
        <v>37</v>
      </c>
      <c r="G1524" t="s">
        <v>54</v>
      </c>
      <c r="H1524" t="s">
        <v>54</v>
      </c>
      <c r="I1524" t="s">
        <v>38</v>
      </c>
      <c r="J1524" t="s">
        <v>8077</v>
      </c>
      <c r="K1524" s="1">
        <v>46115</v>
      </c>
      <c r="L1524" s="1" t="str">
        <f>IF(K1524&gt;O1524,"Valid","Invalid")</f>
        <v>Valid</v>
      </c>
      <c r="M1524" s="1" t="b">
        <f>ISNUMBER(K1524)</f>
        <v>1</v>
      </c>
      <c r="N1524" s="1" t="b">
        <f>ISNUMBER(O1524)</f>
        <v>1</v>
      </c>
      <c r="O1524" s="1">
        <v>46108</v>
      </c>
      <c r="P1524" t="s">
        <v>1578</v>
      </c>
      <c r="Q1524" t="str">
        <f>SUBSTITUTE(SUBSTITUTE(SUBSTITUTE(P1524," ",""),"-",""),"+","")</f>
        <v>919192435426</v>
      </c>
      <c r="R1524" t="str">
        <f t="shared" si="46"/>
        <v>9192435426</v>
      </c>
      <c r="S1524" t="str">
        <f>IF(LEN(R1524),"Valid","Invalid")</f>
        <v>Valid</v>
      </c>
      <c r="T1524" t="s">
        <v>1577</v>
      </c>
      <c r="V1524" t="s">
        <v>17</v>
      </c>
      <c r="X1524">
        <v>15534.14</v>
      </c>
      <c r="Y1524" t="s">
        <v>63</v>
      </c>
      <c r="Z1524">
        <v>382</v>
      </c>
      <c r="AA1524">
        <f t="shared" si="47"/>
        <v>382</v>
      </c>
      <c r="AB1524" t="s">
        <v>43</v>
      </c>
    </row>
    <row r="1525" spans="1:28" x14ac:dyDescent="0.3">
      <c r="A1525" t="s">
        <v>1576</v>
      </c>
      <c r="B1525" t="s">
        <v>1575</v>
      </c>
      <c r="C1525" t="s">
        <v>1575</v>
      </c>
      <c r="D1525" t="s">
        <v>1</v>
      </c>
      <c r="E1525">
        <v>20</v>
      </c>
      <c r="F1525">
        <v>20</v>
      </c>
      <c r="G1525" t="s">
        <v>47</v>
      </c>
      <c r="H1525" t="s">
        <v>47</v>
      </c>
      <c r="I1525" t="s">
        <v>67</v>
      </c>
      <c r="J1525" t="s">
        <v>67</v>
      </c>
      <c r="K1525" s="1">
        <v>46057</v>
      </c>
      <c r="L1525" s="1" t="str">
        <f>IF(K1525&gt;O1525,"Valid","Invalid")</f>
        <v>Valid</v>
      </c>
      <c r="M1525" s="1" t="b">
        <f>ISNUMBER(K1525)</f>
        <v>1</v>
      </c>
      <c r="N1525" s="1" t="b">
        <f>ISNUMBER(O1525)</f>
        <v>1</v>
      </c>
      <c r="O1525" s="1">
        <v>46033</v>
      </c>
      <c r="P1525" t="s">
        <v>1574</v>
      </c>
      <c r="Q1525" t="str">
        <f>SUBSTITUTE(SUBSTITUTE(SUBSTITUTE(P1525," ",""),"-",""),"+","")</f>
        <v>7059238825</v>
      </c>
      <c r="R1525" t="str">
        <f t="shared" si="46"/>
        <v>7059238825</v>
      </c>
      <c r="S1525" t="str">
        <f>IF(LEN(R1525),"Valid","Invalid")</f>
        <v>Valid</v>
      </c>
      <c r="T1525" t="s">
        <v>1573</v>
      </c>
      <c r="V1525" t="s">
        <v>17</v>
      </c>
      <c r="X1525">
        <v>4461.6899999999996</v>
      </c>
      <c r="Y1525" t="s">
        <v>123</v>
      </c>
      <c r="Z1525">
        <v>204</v>
      </c>
      <c r="AA1525">
        <f t="shared" si="47"/>
        <v>204</v>
      </c>
      <c r="AB1525" t="s">
        <v>34</v>
      </c>
    </row>
    <row r="1526" spans="1:28" x14ac:dyDescent="0.3">
      <c r="A1526" t="s">
        <v>1572</v>
      </c>
      <c r="B1526" t="s">
        <v>1571</v>
      </c>
      <c r="C1526" t="s">
        <v>1571</v>
      </c>
      <c r="D1526" t="s">
        <v>40</v>
      </c>
      <c r="E1526">
        <v>21</v>
      </c>
      <c r="F1526">
        <v>21</v>
      </c>
      <c r="G1526" t="s">
        <v>80</v>
      </c>
      <c r="H1526" t="s">
        <v>80</v>
      </c>
      <c r="I1526" t="s">
        <v>30</v>
      </c>
      <c r="J1526" t="s">
        <v>30</v>
      </c>
      <c r="K1526" s="1">
        <v>46011</v>
      </c>
      <c r="L1526" s="1" t="str">
        <f>IF(K1526&gt;O1526,"Valid","Invalid")</f>
        <v>Valid</v>
      </c>
      <c r="M1526" s="1" t="b">
        <f>ISNUMBER(K1526)</f>
        <v>1</v>
      </c>
      <c r="N1526" s="1" t="b">
        <f>ISNUMBER(O1526)</f>
        <v>1</v>
      </c>
      <c r="O1526" s="1">
        <v>45986</v>
      </c>
      <c r="P1526" t="s">
        <v>1570</v>
      </c>
      <c r="Q1526" t="str">
        <f>SUBSTITUTE(SUBSTITUTE(SUBSTITUTE(P1526," ",""),"-",""),"+","")</f>
        <v>00589385462</v>
      </c>
      <c r="R1526" t="str">
        <f t="shared" si="46"/>
        <v>0589385462</v>
      </c>
      <c r="S1526" t="str">
        <f>IF(LEN(R1526),"Valid","Invalid")</f>
        <v>Valid</v>
      </c>
      <c r="T1526" t="s">
        <v>1569</v>
      </c>
      <c r="V1526" t="s">
        <v>123</v>
      </c>
      <c r="X1526">
        <v>3289.17</v>
      </c>
      <c r="Y1526" t="s">
        <v>57</v>
      </c>
      <c r="Z1526">
        <v>532</v>
      </c>
      <c r="AA1526">
        <f t="shared" si="47"/>
        <v>532</v>
      </c>
      <c r="AB1526" t="s">
        <v>16</v>
      </c>
    </row>
    <row r="1527" spans="1:28" x14ac:dyDescent="0.3">
      <c r="A1527" t="s">
        <v>1568</v>
      </c>
      <c r="B1527" t="s">
        <v>1567</v>
      </c>
      <c r="C1527" t="s">
        <v>8071</v>
      </c>
      <c r="D1527" t="s">
        <v>1</v>
      </c>
      <c r="E1527">
        <v>31</v>
      </c>
      <c r="F1527">
        <v>31</v>
      </c>
      <c r="G1527" t="s">
        <v>68</v>
      </c>
      <c r="H1527" t="s">
        <v>68</v>
      </c>
      <c r="I1527" t="s">
        <v>53</v>
      </c>
      <c r="J1527" t="s">
        <v>20</v>
      </c>
      <c r="K1527" s="1">
        <v>46151</v>
      </c>
      <c r="L1527" s="1" t="str">
        <f>IF(K1527&gt;O1527,"Valid","Invalid")</f>
        <v>Valid</v>
      </c>
      <c r="M1527" s="1" t="b">
        <f>ISNUMBER(K1527)</f>
        <v>1</v>
      </c>
      <c r="N1527" s="1" t="b">
        <f>ISNUMBER(O1527)</f>
        <v>1</v>
      </c>
      <c r="O1527" s="1">
        <v>46123</v>
      </c>
      <c r="P1527" t="s">
        <v>1566</v>
      </c>
      <c r="Q1527" t="str">
        <f>SUBSTITUTE(SUBSTITUTE(SUBSTITUTE(P1527," ",""),"-",""),"+","")</f>
        <v>9454745273</v>
      </c>
      <c r="R1527" t="str">
        <f t="shared" si="46"/>
        <v>9454745273</v>
      </c>
      <c r="S1527" t="str">
        <f>IF(LEN(R1527),"Valid","Invalid")</f>
        <v>Valid</v>
      </c>
      <c r="T1527" t="s">
        <v>1565</v>
      </c>
      <c r="V1527" t="s">
        <v>35</v>
      </c>
      <c r="X1527">
        <v>22957.11</v>
      </c>
      <c r="Y1527" t="s">
        <v>63</v>
      </c>
      <c r="Z1527">
        <v>154</v>
      </c>
      <c r="AA1527">
        <f t="shared" si="47"/>
        <v>154</v>
      </c>
      <c r="AB1527" t="s">
        <v>77</v>
      </c>
    </row>
    <row r="1528" spans="1:28" x14ac:dyDescent="0.3">
      <c r="A1528" t="s">
        <v>1564</v>
      </c>
      <c r="B1528" t="s">
        <v>1563</v>
      </c>
      <c r="C1528" t="s">
        <v>1563</v>
      </c>
      <c r="D1528" t="s">
        <v>1</v>
      </c>
      <c r="E1528">
        <v>86</v>
      </c>
      <c r="F1528">
        <v>86</v>
      </c>
      <c r="G1528" t="s">
        <v>132</v>
      </c>
      <c r="H1528" t="s">
        <v>132</v>
      </c>
      <c r="I1528" t="s">
        <v>90</v>
      </c>
      <c r="J1528" t="s">
        <v>67</v>
      </c>
      <c r="K1528" s="1">
        <v>46100</v>
      </c>
      <c r="L1528" s="1" t="str">
        <f>IF(K1528&gt;O1528,"Valid","Invalid")</f>
        <v>Valid</v>
      </c>
      <c r="M1528" s="1" t="b">
        <f>ISNUMBER(K1528)</f>
        <v>1</v>
      </c>
      <c r="N1528" s="1" t="b">
        <f>ISNUMBER(O1528)</f>
        <v>1</v>
      </c>
      <c r="O1528" s="1">
        <v>46082</v>
      </c>
      <c r="P1528" t="s">
        <v>1562</v>
      </c>
      <c r="Q1528" t="str">
        <f>SUBSTITUTE(SUBSTITUTE(SUBSTITUTE(P1528," ",""),"-",""),"+","")</f>
        <v>918418915031</v>
      </c>
      <c r="R1528" t="str">
        <f t="shared" si="46"/>
        <v>8418915031</v>
      </c>
      <c r="S1528" t="str">
        <f>IF(LEN(R1528),"Valid","Invalid")</f>
        <v>Valid</v>
      </c>
      <c r="T1528" t="s">
        <v>1561</v>
      </c>
      <c r="V1528" t="s">
        <v>123</v>
      </c>
      <c r="X1528">
        <v>11264.9</v>
      </c>
      <c r="Y1528" t="s">
        <v>57</v>
      </c>
      <c r="Z1528">
        <v>151</v>
      </c>
      <c r="AA1528">
        <f t="shared" si="47"/>
        <v>151</v>
      </c>
      <c r="AB1528" t="s">
        <v>50</v>
      </c>
    </row>
    <row r="1529" spans="1:28" x14ac:dyDescent="0.3">
      <c r="A1529" t="s">
        <v>1560</v>
      </c>
      <c r="B1529" t="s">
        <v>1559</v>
      </c>
      <c r="C1529" t="s">
        <v>1559</v>
      </c>
      <c r="D1529" t="s">
        <v>74</v>
      </c>
      <c r="E1529">
        <v>53</v>
      </c>
      <c r="F1529">
        <v>53</v>
      </c>
      <c r="G1529" t="s">
        <v>68</v>
      </c>
      <c r="H1529" t="s">
        <v>68</v>
      </c>
      <c r="I1529" t="s">
        <v>85</v>
      </c>
      <c r="J1529" t="s">
        <v>85</v>
      </c>
      <c r="K1529" s="1">
        <v>46034</v>
      </c>
      <c r="L1529" s="1" t="str">
        <f>IF(K1529&gt;O1529,"Valid","Invalid")</f>
        <v>Valid</v>
      </c>
      <c r="M1529" s="1" t="b">
        <f>ISNUMBER(K1529)</f>
        <v>1</v>
      </c>
      <c r="N1529" s="1" t="b">
        <f>ISNUMBER(O1529)</f>
        <v>1</v>
      </c>
      <c r="O1529" s="1">
        <v>46030</v>
      </c>
      <c r="P1529" t="s">
        <v>1558</v>
      </c>
      <c r="Q1529" t="str">
        <f>SUBSTITUTE(SUBSTITUTE(SUBSTITUTE(P1529," ",""),"-",""),"+","")</f>
        <v>08621448394</v>
      </c>
      <c r="R1529" t="str">
        <f t="shared" si="46"/>
        <v>8621448394</v>
      </c>
      <c r="S1529" t="str">
        <f>IF(LEN(R1529),"Valid","Invalid")</f>
        <v>Valid</v>
      </c>
      <c r="T1529" t="s">
        <v>1557</v>
      </c>
      <c r="V1529" t="s">
        <v>123</v>
      </c>
      <c r="X1529">
        <v>21294.54</v>
      </c>
      <c r="Y1529" t="s">
        <v>123</v>
      </c>
      <c r="Z1529">
        <v>111</v>
      </c>
      <c r="AA1529">
        <f t="shared" si="47"/>
        <v>111</v>
      </c>
      <c r="AB1529" t="s">
        <v>34</v>
      </c>
    </row>
    <row r="1530" spans="1:28" x14ac:dyDescent="0.3">
      <c r="A1530" t="s">
        <v>1556</v>
      </c>
      <c r="B1530" t="s">
        <v>1555</v>
      </c>
      <c r="C1530" t="s">
        <v>1555</v>
      </c>
      <c r="D1530" t="s">
        <v>22</v>
      </c>
      <c r="E1530">
        <v>27</v>
      </c>
      <c r="F1530">
        <v>27</v>
      </c>
      <c r="G1530" t="s">
        <v>68</v>
      </c>
      <c r="H1530" t="s">
        <v>68</v>
      </c>
      <c r="I1530" t="s">
        <v>90</v>
      </c>
      <c r="J1530" t="s">
        <v>67</v>
      </c>
      <c r="K1530" s="1">
        <v>46006</v>
      </c>
      <c r="L1530" s="1" t="str">
        <f>IF(K1530&gt;O1530,"Valid","Invalid")</f>
        <v>Valid</v>
      </c>
      <c r="M1530" s="1" t="b">
        <f>ISNUMBER(K1530)</f>
        <v>1</v>
      </c>
      <c r="N1530" s="1" t="b">
        <f>ISNUMBER(O1530)</f>
        <v>1</v>
      </c>
      <c r="O1530" s="1">
        <v>45981</v>
      </c>
      <c r="P1530" t="s">
        <v>1554</v>
      </c>
      <c r="Q1530" t="str">
        <f>SUBSTITUTE(SUBSTITUTE(SUBSTITUTE(P1530," ",""),"-",""),"+","")</f>
        <v>912005968396</v>
      </c>
      <c r="R1530" t="str">
        <f t="shared" si="46"/>
        <v>2005968396</v>
      </c>
      <c r="S1530" t="str">
        <f>IF(LEN(R1530),"Valid","Invalid")</f>
        <v>Valid</v>
      </c>
      <c r="T1530" t="s">
        <v>1553</v>
      </c>
      <c r="V1530" t="s">
        <v>57</v>
      </c>
      <c r="X1530">
        <v>8187.58</v>
      </c>
      <c r="Y1530" t="s">
        <v>123</v>
      </c>
      <c r="Z1530">
        <v>359</v>
      </c>
      <c r="AA1530">
        <f t="shared" si="47"/>
        <v>359</v>
      </c>
      <c r="AB1530" t="s">
        <v>34</v>
      </c>
    </row>
    <row r="1531" spans="1:28" x14ac:dyDescent="0.3">
      <c r="A1531" t="s">
        <v>1552</v>
      </c>
      <c r="B1531" t="s">
        <v>1551</v>
      </c>
      <c r="C1531" t="s">
        <v>1551</v>
      </c>
      <c r="D1531" t="s">
        <v>123</v>
      </c>
      <c r="E1531">
        <v>57</v>
      </c>
      <c r="F1531">
        <v>57</v>
      </c>
      <c r="G1531" t="s">
        <v>21</v>
      </c>
      <c r="H1531" t="s">
        <v>21</v>
      </c>
      <c r="I1531" t="s">
        <v>67</v>
      </c>
      <c r="J1531" t="s">
        <v>67</v>
      </c>
      <c r="K1531" s="1">
        <v>45991</v>
      </c>
      <c r="L1531" s="1" t="str">
        <f>IF(K1531&gt;O1531,"Valid","Invalid")</f>
        <v>Valid</v>
      </c>
      <c r="M1531" s="1" t="b">
        <f>ISNUMBER(K1531)</f>
        <v>1</v>
      </c>
      <c r="N1531" s="1" t="b">
        <f>ISNUMBER(O1531)</f>
        <v>1</v>
      </c>
      <c r="O1531" s="1">
        <v>45987</v>
      </c>
      <c r="P1531" t="s">
        <v>1550</v>
      </c>
      <c r="Q1531" t="str">
        <f>SUBSTITUTE(SUBSTITUTE(SUBSTITUTE(P1531," ",""),"-",""),"+","")</f>
        <v>07953739563</v>
      </c>
      <c r="R1531" t="str">
        <f t="shared" si="46"/>
        <v>7953739563</v>
      </c>
      <c r="S1531" t="str">
        <f>IF(LEN(R1531),"Valid","Invalid")</f>
        <v>Valid</v>
      </c>
      <c r="T1531" t="s">
        <v>1549</v>
      </c>
      <c r="V1531" t="s">
        <v>64</v>
      </c>
      <c r="X1531">
        <v>15103.65</v>
      </c>
      <c r="Y1531" t="s">
        <v>123</v>
      </c>
      <c r="Z1531">
        <v>186</v>
      </c>
      <c r="AA1531">
        <f t="shared" si="47"/>
        <v>186</v>
      </c>
      <c r="AB1531" t="s">
        <v>50</v>
      </c>
    </row>
    <row r="1532" spans="1:28" x14ac:dyDescent="0.3">
      <c r="A1532" t="s">
        <v>1548</v>
      </c>
      <c r="B1532" t="s">
        <v>1547</v>
      </c>
      <c r="C1532" t="s">
        <v>1547</v>
      </c>
      <c r="D1532" t="s">
        <v>123</v>
      </c>
      <c r="E1532">
        <v>27</v>
      </c>
      <c r="F1532">
        <v>27</v>
      </c>
      <c r="G1532" t="s">
        <v>21</v>
      </c>
      <c r="H1532" t="s">
        <v>21</v>
      </c>
      <c r="I1532" t="s">
        <v>67</v>
      </c>
      <c r="J1532" t="s">
        <v>67</v>
      </c>
      <c r="K1532" s="1">
        <v>46133</v>
      </c>
      <c r="L1532" s="1" t="str">
        <f>IF(K1532&gt;O1532,"Valid","Invalid")</f>
        <v>Valid</v>
      </c>
      <c r="M1532" s="1" t="b">
        <f>ISNUMBER(K1532)</f>
        <v>1</v>
      </c>
      <c r="N1532" s="1" t="b">
        <f>ISNUMBER(O1532)</f>
        <v>1</v>
      </c>
      <c r="O1532" s="1">
        <v>46122</v>
      </c>
      <c r="P1532" t="s">
        <v>1546</v>
      </c>
      <c r="Q1532" t="str">
        <f>SUBSTITUTE(SUBSTITUTE(SUBSTITUTE(P1532," ",""),"-",""),"+","")</f>
        <v>9139997631</v>
      </c>
      <c r="R1532" t="str">
        <f t="shared" si="46"/>
        <v>9139997631</v>
      </c>
      <c r="S1532" t="str">
        <f>IF(LEN(R1532),"Valid","Invalid")</f>
        <v>Valid</v>
      </c>
      <c r="T1532" t="s">
        <v>1545</v>
      </c>
      <c r="V1532" t="s">
        <v>123</v>
      </c>
      <c r="X1532">
        <v>6998.72</v>
      </c>
      <c r="Y1532" t="s">
        <v>63</v>
      </c>
      <c r="Z1532">
        <v>218</v>
      </c>
      <c r="AA1532">
        <f t="shared" si="47"/>
        <v>218</v>
      </c>
      <c r="AB1532" t="s">
        <v>16</v>
      </c>
    </row>
    <row r="1533" spans="1:28" x14ac:dyDescent="0.3">
      <c r="A1533" t="s">
        <v>1544</v>
      </c>
      <c r="B1533" t="s">
        <v>1543</v>
      </c>
      <c r="C1533" t="s">
        <v>1543</v>
      </c>
      <c r="E1533">
        <v>4</v>
      </c>
      <c r="F1533">
        <v>4</v>
      </c>
      <c r="G1533" t="s">
        <v>21</v>
      </c>
      <c r="H1533" t="s">
        <v>21</v>
      </c>
      <c r="I1533" t="s">
        <v>20</v>
      </c>
      <c r="J1533" t="s">
        <v>20</v>
      </c>
      <c r="K1533" s="1">
        <v>46100</v>
      </c>
      <c r="L1533" s="1" t="str">
        <f>IF(K1533&gt;O1533,"Valid","Invalid")</f>
        <v>Valid</v>
      </c>
      <c r="M1533" s="1" t="b">
        <f>ISNUMBER(K1533)</f>
        <v>1</v>
      </c>
      <c r="N1533" s="1" t="b">
        <f>ISNUMBER(O1533)</f>
        <v>1</v>
      </c>
      <c r="O1533" s="1">
        <v>46086</v>
      </c>
      <c r="P1533" t="s">
        <v>1542</v>
      </c>
      <c r="Q1533" t="str">
        <f>SUBSTITUTE(SUBSTITUTE(SUBSTITUTE(P1533," ",""),"-",""),"+","")</f>
        <v>910104766895</v>
      </c>
      <c r="R1533" t="str">
        <f t="shared" si="46"/>
        <v>0104766895</v>
      </c>
      <c r="S1533" t="str">
        <f>IF(LEN(R1533),"Valid","Invalid")</f>
        <v>Valid</v>
      </c>
      <c r="T1533" t="s">
        <v>1541</v>
      </c>
      <c r="V1533" t="s">
        <v>27</v>
      </c>
      <c r="X1533">
        <v>9843.9699999999993</v>
      </c>
      <c r="Y1533" t="s">
        <v>17</v>
      </c>
      <c r="Z1533">
        <v>284</v>
      </c>
      <c r="AA1533">
        <f t="shared" si="47"/>
        <v>284</v>
      </c>
      <c r="AB1533" t="s">
        <v>16</v>
      </c>
    </row>
    <row r="1534" spans="1:28" x14ac:dyDescent="0.3">
      <c r="A1534" t="s">
        <v>1540</v>
      </c>
      <c r="B1534" t="s">
        <v>1539</v>
      </c>
      <c r="C1534" t="s">
        <v>1539</v>
      </c>
      <c r="D1534" t="s">
        <v>40</v>
      </c>
      <c r="E1534">
        <v>63</v>
      </c>
      <c r="F1534">
        <v>63</v>
      </c>
      <c r="G1534" t="s">
        <v>54</v>
      </c>
      <c r="H1534" t="s">
        <v>54</v>
      </c>
      <c r="I1534" t="s">
        <v>85</v>
      </c>
      <c r="J1534" t="s">
        <v>85</v>
      </c>
      <c r="K1534" s="1">
        <v>46021</v>
      </c>
      <c r="L1534" s="1" t="str">
        <f>IF(K1534&gt;O1534,"Valid","Invalid")</f>
        <v>Valid</v>
      </c>
      <c r="M1534" s="1" t="b">
        <f>ISNUMBER(K1534)</f>
        <v>1</v>
      </c>
      <c r="N1534" s="1" t="b">
        <f>ISNUMBER(O1534)</f>
        <v>1</v>
      </c>
      <c r="O1534" s="1">
        <v>45992</v>
      </c>
      <c r="P1534" t="s">
        <v>1538</v>
      </c>
      <c r="Q1534" t="str">
        <f>SUBSTITUTE(SUBSTITUTE(SUBSTITUTE(P1534," ",""),"-",""),"+","")</f>
        <v>910414257383</v>
      </c>
      <c r="R1534" t="str">
        <f t="shared" si="46"/>
        <v>0414257383</v>
      </c>
      <c r="S1534" t="str">
        <f>IF(LEN(R1534),"Valid","Invalid")</f>
        <v>Valid</v>
      </c>
      <c r="T1534" t="s">
        <v>1537</v>
      </c>
      <c r="V1534" t="s">
        <v>123</v>
      </c>
      <c r="X1534">
        <v>2418.63</v>
      </c>
      <c r="Y1534" t="s">
        <v>63</v>
      </c>
      <c r="Z1534">
        <v>278</v>
      </c>
      <c r="AA1534">
        <f t="shared" si="47"/>
        <v>278</v>
      </c>
      <c r="AB1534" t="s">
        <v>71</v>
      </c>
    </row>
    <row r="1535" spans="1:28" x14ac:dyDescent="0.3">
      <c r="A1535" t="s">
        <v>1536</v>
      </c>
      <c r="B1535" t="s">
        <v>1535</v>
      </c>
      <c r="C1535" t="s">
        <v>1535</v>
      </c>
      <c r="D1535" t="s">
        <v>22</v>
      </c>
      <c r="E1535">
        <v>47</v>
      </c>
      <c r="F1535">
        <v>47</v>
      </c>
      <c r="G1535" t="s">
        <v>132</v>
      </c>
      <c r="H1535" t="s">
        <v>132</v>
      </c>
      <c r="I1535" t="s">
        <v>85</v>
      </c>
      <c r="J1535" t="s">
        <v>85</v>
      </c>
      <c r="K1535" s="1">
        <v>46119</v>
      </c>
      <c r="L1535" s="1" t="str">
        <f>IF(K1535&gt;O1535,"Valid","Invalid")</f>
        <v>Valid</v>
      </c>
      <c r="M1535" s="1" t="b">
        <f>ISNUMBER(K1535)</f>
        <v>1</v>
      </c>
      <c r="N1535" s="1" t="b">
        <f>ISNUMBER(O1535)</f>
        <v>1</v>
      </c>
      <c r="O1535" s="1">
        <v>46114</v>
      </c>
      <c r="P1535" t="s">
        <v>1534</v>
      </c>
      <c r="Q1535" t="str">
        <f>SUBSTITUTE(SUBSTITUTE(SUBSTITUTE(P1535," ",""),"-",""),"+","")</f>
        <v>06641417029</v>
      </c>
      <c r="R1535" t="str">
        <f t="shared" si="46"/>
        <v>6641417029</v>
      </c>
      <c r="S1535" t="str">
        <f>IF(LEN(R1535),"Valid","Invalid")</f>
        <v>Valid</v>
      </c>
      <c r="T1535" t="s">
        <v>1533</v>
      </c>
      <c r="V1535" t="s">
        <v>35</v>
      </c>
      <c r="X1535">
        <v>5634.59</v>
      </c>
      <c r="Y1535" t="s">
        <v>57</v>
      </c>
      <c r="Z1535">
        <v>533</v>
      </c>
      <c r="AA1535">
        <f t="shared" si="47"/>
        <v>533</v>
      </c>
      <c r="AB1535" t="s">
        <v>77</v>
      </c>
    </row>
    <row r="1536" spans="1:28" x14ac:dyDescent="0.3">
      <c r="A1536" t="s">
        <v>1532</v>
      </c>
      <c r="B1536" t="s">
        <v>1531</v>
      </c>
      <c r="C1536" t="s">
        <v>1531</v>
      </c>
      <c r="D1536" t="s">
        <v>123</v>
      </c>
      <c r="E1536">
        <v>47</v>
      </c>
      <c r="F1536">
        <v>47</v>
      </c>
      <c r="G1536" t="s">
        <v>47</v>
      </c>
      <c r="H1536" t="s">
        <v>47</v>
      </c>
      <c r="I1536" t="s">
        <v>38</v>
      </c>
      <c r="J1536" t="s">
        <v>8077</v>
      </c>
      <c r="K1536" s="1">
        <v>46030</v>
      </c>
      <c r="L1536" s="1" t="str">
        <f>IF(K1536&gt;O1536,"Valid","Invalid")</f>
        <v>Valid</v>
      </c>
      <c r="M1536" s="1" t="b">
        <f>ISNUMBER(K1536)</f>
        <v>1</v>
      </c>
      <c r="N1536" s="1" t="b">
        <f>ISNUMBER(O1536)</f>
        <v>1</v>
      </c>
      <c r="O1536" s="1">
        <v>46028</v>
      </c>
      <c r="P1536" t="s">
        <v>1530</v>
      </c>
      <c r="Q1536" t="str">
        <f>SUBSTITUTE(SUBSTITUTE(SUBSTITUTE(P1536," ",""),"-",""),"+","")</f>
        <v>0433883607</v>
      </c>
      <c r="R1536" t="str">
        <f t="shared" si="46"/>
        <v>0433883607</v>
      </c>
      <c r="S1536" t="str">
        <f>IF(LEN(R1536),"Valid","Invalid")</f>
        <v>Valid</v>
      </c>
      <c r="T1536" t="s">
        <v>1529</v>
      </c>
      <c r="V1536" t="s">
        <v>35</v>
      </c>
      <c r="X1536">
        <v>2490.94</v>
      </c>
      <c r="Y1536" t="s">
        <v>27</v>
      </c>
      <c r="Z1536">
        <v>228</v>
      </c>
      <c r="AA1536">
        <f t="shared" si="47"/>
        <v>228</v>
      </c>
      <c r="AB1536" t="s">
        <v>77</v>
      </c>
    </row>
    <row r="1537" spans="1:28" x14ac:dyDescent="0.3">
      <c r="A1537" t="s">
        <v>1528</v>
      </c>
      <c r="B1537" t="s">
        <v>1527</v>
      </c>
      <c r="C1537" t="s">
        <v>1527</v>
      </c>
      <c r="D1537" t="s">
        <v>22</v>
      </c>
      <c r="E1537">
        <v>58</v>
      </c>
      <c r="F1537">
        <v>58</v>
      </c>
      <c r="G1537" t="s">
        <v>39</v>
      </c>
      <c r="H1537" t="s">
        <v>39</v>
      </c>
      <c r="I1537" t="s">
        <v>30</v>
      </c>
      <c r="J1537" t="s">
        <v>30</v>
      </c>
      <c r="K1537" s="1">
        <v>46023</v>
      </c>
      <c r="L1537" s="1" t="str">
        <f>IF(K1537&gt;O1537,"Valid","Invalid")</f>
        <v>Valid</v>
      </c>
      <c r="M1537" s="1" t="b">
        <f>ISNUMBER(K1537)</f>
        <v>1</v>
      </c>
      <c r="N1537" s="1" t="b">
        <f>ISNUMBER(O1537)</f>
        <v>1</v>
      </c>
      <c r="O1537" s="1">
        <v>46019</v>
      </c>
      <c r="P1537" t="s">
        <v>1526</v>
      </c>
      <c r="Q1537" t="str">
        <f>SUBSTITUTE(SUBSTITUTE(SUBSTITUTE(P1537," ",""),"-",""),"+","")</f>
        <v>09674364852</v>
      </c>
      <c r="R1537" t="str">
        <f t="shared" si="46"/>
        <v>9674364852</v>
      </c>
      <c r="S1537" t="str">
        <f>IF(LEN(R1537),"Valid","Invalid")</f>
        <v>Valid</v>
      </c>
      <c r="T1537" t="s">
        <v>1525</v>
      </c>
      <c r="V1537" t="s">
        <v>123</v>
      </c>
      <c r="X1537">
        <v>7107.13</v>
      </c>
      <c r="Y1537" t="s">
        <v>26</v>
      </c>
      <c r="Z1537">
        <v>217</v>
      </c>
      <c r="AA1537">
        <f t="shared" si="47"/>
        <v>217</v>
      </c>
      <c r="AB1537" t="s">
        <v>16</v>
      </c>
    </row>
    <row r="1538" spans="1:28" x14ac:dyDescent="0.3">
      <c r="A1538" t="s">
        <v>1524</v>
      </c>
      <c r="B1538" t="s">
        <v>1523</v>
      </c>
      <c r="C1538" t="s">
        <v>1523</v>
      </c>
      <c r="D1538" t="s">
        <v>22</v>
      </c>
      <c r="E1538">
        <v>22</v>
      </c>
      <c r="F1538">
        <v>22</v>
      </c>
      <c r="G1538" t="s">
        <v>80</v>
      </c>
      <c r="H1538" t="s">
        <v>80</v>
      </c>
      <c r="I1538" t="s">
        <v>38</v>
      </c>
      <c r="J1538" t="s">
        <v>8077</v>
      </c>
      <c r="K1538" s="1">
        <v>46165</v>
      </c>
      <c r="L1538" s="1" t="str">
        <f>IF(K1538&gt;O1538,"Valid","Invalid")</f>
        <v>Valid</v>
      </c>
      <c r="M1538" s="1" t="b">
        <f>ISNUMBER(K1538)</f>
        <v>1</v>
      </c>
      <c r="N1538" s="1" t="b">
        <f>ISNUMBER(O1538)</f>
        <v>1</v>
      </c>
      <c r="O1538" s="1">
        <v>46138</v>
      </c>
      <c r="P1538" t="s">
        <v>1522</v>
      </c>
      <c r="Q1538" t="str">
        <f>SUBSTITUTE(SUBSTITUTE(SUBSTITUTE(P1538," ",""),"-",""),"+","")</f>
        <v>07827390679</v>
      </c>
      <c r="R1538" t="str">
        <f t="shared" si="46"/>
        <v>7827390679</v>
      </c>
      <c r="S1538" t="str">
        <f>IF(LEN(R1538),"Valid","Invalid")</f>
        <v>Valid</v>
      </c>
      <c r="T1538" t="s">
        <v>1521</v>
      </c>
      <c r="V1538" t="s">
        <v>64</v>
      </c>
      <c r="X1538">
        <v>15599.43</v>
      </c>
      <c r="Y1538" t="s">
        <v>26</v>
      </c>
      <c r="Z1538">
        <v>247</v>
      </c>
      <c r="AA1538">
        <f t="shared" si="47"/>
        <v>247</v>
      </c>
      <c r="AB1538" t="s">
        <v>34</v>
      </c>
    </row>
    <row r="1539" spans="1:28" x14ac:dyDescent="0.3">
      <c r="A1539" t="s">
        <v>1516</v>
      </c>
      <c r="B1539" t="s">
        <v>1515</v>
      </c>
      <c r="C1539" t="s">
        <v>1515</v>
      </c>
      <c r="D1539" t="s">
        <v>74</v>
      </c>
      <c r="E1539">
        <v>35</v>
      </c>
      <c r="F1539">
        <v>35</v>
      </c>
      <c r="G1539" t="s">
        <v>39</v>
      </c>
      <c r="H1539" t="s">
        <v>39</v>
      </c>
      <c r="I1539" t="s">
        <v>20</v>
      </c>
      <c r="J1539" t="s">
        <v>20</v>
      </c>
      <c r="K1539" s="1">
        <v>46023</v>
      </c>
      <c r="L1539" s="1" t="str">
        <f>IF(K1539&gt;O1539,"Valid","Invalid")</f>
        <v>Valid</v>
      </c>
      <c r="M1539" s="1" t="b">
        <f>ISNUMBER(K1539)</f>
        <v>1</v>
      </c>
      <c r="N1539" s="1" t="b">
        <f>ISNUMBER(O1539)</f>
        <v>1</v>
      </c>
      <c r="O1539" s="1">
        <v>45999</v>
      </c>
      <c r="P1539" t="s">
        <v>1514</v>
      </c>
      <c r="Q1539" t="str">
        <f>SUBSTITUTE(SUBSTITUTE(SUBSTITUTE(P1539," ",""),"-",""),"+","")</f>
        <v>06267218002</v>
      </c>
      <c r="R1539" t="str">
        <f t="shared" si="46"/>
        <v>6267218002</v>
      </c>
      <c r="S1539" t="str">
        <f>IF(LEN(R1539),"Valid","Invalid")</f>
        <v>Valid</v>
      </c>
      <c r="T1539" t="s">
        <v>1513</v>
      </c>
      <c r="V1539" t="s">
        <v>123</v>
      </c>
      <c r="X1539">
        <v>13925.28</v>
      </c>
      <c r="Y1539" t="s">
        <v>17</v>
      </c>
      <c r="Z1539">
        <v>470</v>
      </c>
      <c r="AA1539">
        <f t="shared" si="47"/>
        <v>470</v>
      </c>
      <c r="AB1539" t="s">
        <v>71</v>
      </c>
    </row>
    <row r="1540" spans="1:28" x14ac:dyDescent="0.3">
      <c r="A1540" t="s">
        <v>1512</v>
      </c>
      <c r="B1540" t="s">
        <v>1511</v>
      </c>
      <c r="C1540" t="s">
        <v>1511</v>
      </c>
      <c r="D1540" t="s">
        <v>0</v>
      </c>
      <c r="E1540">
        <v>69</v>
      </c>
      <c r="F1540">
        <v>69</v>
      </c>
      <c r="G1540" t="s">
        <v>39</v>
      </c>
      <c r="H1540" t="s">
        <v>39</v>
      </c>
      <c r="I1540" t="s">
        <v>38</v>
      </c>
      <c r="J1540" t="s">
        <v>8077</v>
      </c>
      <c r="K1540" s="1">
        <v>46034</v>
      </c>
      <c r="L1540" s="1" t="str">
        <f>IF(K1540&gt;O1540,"Valid","Invalid")</f>
        <v>Valid</v>
      </c>
      <c r="M1540" s="1" t="b">
        <f>ISNUMBER(K1540)</f>
        <v>1</v>
      </c>
      <c r="N1540" s="1" t="b">
        <f>ISNUMBER(O1540)</f>
        <v>1</v>
      </c>
      <c r="O1540" s="1">
        <v>46009</v>
      </c>
      <c r="P1540" t="s">
        <v>1510</v>
      </c>
      <c r="Q1540" t="str">
        <f>SUBSTITUTE(SUBSTITUTE(SUBSTITUTE(P1540," ",""),"-",""),"+","")</f>
        <v>00660414702</v>
      </c>
      <c r="R1540" t="str">
        <f t="shared" si="46"/>
        <v>0660414702</v>
      </c>
      <c r="S1540" t="str">
        <f>IF(LEN(R1540),"Valid","Invalid")</f>
        <v>Valid</v>
      </c>
      <c r="T1540" t="s">
        <v>1509</v>
      </c>
      <c r="V1540" t="s">
        <v>27</v>
      </c>
      <c r="X1540">
        <v>8271.85</v>
      </c>
      <c r="Y1540" t="s">
        <v>26</v>
      </c>
      <c r="Z1540">
        <v>492</v>
      </c>
      <c r="AA1540">
        <f t="shared" si="47"/>
        <v>492</v>
      </c>
      <c r="AB1540" t="s">
        <v>43</v>
      </c>
    </row>
    <row r="1541" spans="1:28" x14ac:dyDescent="0.3">
      <c r="A1541" t="s">
        <v>1508</v>
      </c>
      <c r="B1541" t="s">
        <v>1507</v>
      </c>
      <c r="C1541" t="s">
        <v>1507</v>
      </c>
      <c r="D1541" t="s">
        <v>40</v>
      </c>
      <c r="E1541">
        <v>65</v>
      </c>
      <c r="F1541">
        <v>65</v>
      </c>
      <c r="G1541" t="s">
        <v>47</v>
      </c>
      <c r="H1541" t="s">
        <v>47</v>
      </c>
      <c r="I1541" t="s">
        <v>90</v>
      </c>
      <c r="J1541" t="s">
        <v>67</v>
      </c>
      <c r="K1541" s="1">
        <v>46114</v>
      </c>
      <c r="L1541" s="1" t="str">
        <f>IF(K1541&gt;O1541,"Valid","Invalid")</f>
        <v>Valid</v>
      </c>
      <c r="M1541" s="1" t="b">
        <f>ISNUMBER(K1541)</f>
        <v>1</v>
      </c>
      <c r="N1541" s="1" t="b">
        <f>ISNUMBER(O1541)</f>
        <v>1</v>
      </c>
      <c r="O1541" s="1">
        <v>46110</v>
      </c>
      <c r="P1541" t="s">
        <v>1506</v>
      </c>
      <c r="Q1541" t="str">
        <f>SUBSTITUTE(SUBSTITUTE(SUBSTITUTE(P1541," ",""),"-",""),"+","")</f>
        <v>03817094611</v>
      </c>
      <c r="R1541" t="str">
        <f t="shared" ref="R1541:R1604" si="48">RIGHT(Q1541,10)</f>
        <v>3817094611</v>
      </c>
      <c r="S1541" t="str">
        <f>IF(LEN(R1541),"Valid","Invalid")</f>
        <v>Valid</v>
      </c>
      <c r="T1541" t="s">
        <v>1505</v>
      </c>
      <c r="V1541" t="s">
        <v>35</v>
      </c>
      <c r="X1541">
        <v>1398.94</v>
      </c>
      <c r="Y1541" t="s">
        <v>26</v>
      </c>
      <c r="Z1541">
        <v>533</v>
      </c>
      <c r="AA1541">
        <f t="shared" ref="AA1541:AA1604" si="49">IF(Z1541="Room-x",0,Z1541)</f>
        <v>533</v>
      </c>
      <c r="AB1541" t="s">
        <v>71</v>
      </c>
    </row>
    <row r="1542" spans="1:28" x14ac:dyDescent="0.3">
      <c r="A1542" t="s">
        <v>1504</v>
      </c>
      <c r="B1542" t="s">
        <v>1503</v>
      </c>
      <c r="C1542" t="s">
        <v>1503</v>
      </c>
      <c r="D1542" t="s">
        <v>1</v>
      </c>
      <c r="E1542">
        <v>78</v>
      </c>
      <c r="F1542">
        <v>78</v>
      </c>
      <c r="G1542" t="s">
        <v>31</v>
      </c>
      <c r="H1542" t="s">
        <v>31</v>
      </c>
      <c r="I1542" t="s">
        <v>30</v>
      </c>
      <c r="J1542" t="s">
        <v>30</v>
      </c>
      <c r="K1542" s="1">
        <v>46145</v>
      </c>
      <c r="L1542" s="1" t="str">
        <f>IF(K1542&gt;O1542,"Valid","Invalid")</f>
        <v>Valid</v>
      </c>
      <c r="M1542" s="1" t="b">
        <f>ISNUMBER(K1542)</f>
        <v>1</v>
      </c>
      <c r="N1542" s="1" t="b">
        <f>ISNUMBER(O1542)</f>
        <v>1</v>
      </c>
      <c r="O1542" s="1">
        <v>46131</v>
      </c>
      <c r="P1542" t="s">
        <v>1502</v>
      </c>
      <c r="Q1542" t="str">
        <f>SUBSTITUTE(SUBSTITUTE(SUBSTITUTE(P1542," ",""),"-",""),"+","")</f>
        <v>915346243066</v>
      </c>
      <c r="R1542" t="str">
        <f t="shared" si="48"/>
        <v>5346243066</v>
      </c>
      <c r="S1542" t="str">
        <f>IF(LEN(R1542),"Valid","Invalid")</f>
        <v>Valid</v>
      </c>
      <c r="T1542" t="s">
        <v>1501</v>
      </c>
      <c r="V1542" t="s">
        <v>17</v>
      </c>
      <c r="X1542">
        <v>11482.62</v>
      </c>
      <c r="Y1542" t="s">
        <v>64</v>
      </c>
      <c r="Z1542">
        <v>465</v>
      </c>
      <c r="AA1542">
        <f t="shared" si="49"/>
        <v>465</v>
      </c>
      <c r="AB1542" t="s">
        <v>71</v>
      </c>
    </row>
    <row r="1543" spans="1:28" x14ac:dyDescent="0.3">
      <c r="A1543" t="s">
        <v>1500</v>
      </c>
      <c r="B1543" t="s">
        <v>1499</v>
      </c>
      <c r="C1543" t="s">
        <v>1499</v>
      </c>
      <c r="D1543" t="s">
        <v>0</v>
      </c>
      <c r="E1543">
        <v>82</v>
      </c>
      <c r="F1543">
        <v>82</v>
      </c>
      <c r="G1543" t="s">
        <v>47</v>
      </c>
      <c r="H1543" t="s">
        <v>47</v>
      </c>
      <c r="I1543" t="s">
        <v>20</v>
      </c>
      <c r="J1543" t="s">
        <v>20</v>
      </c>
      <c r="K1543" s="1">
        <v>45999</v>
      </c>
      <c r="L1543" s="1" t="str">
        <f>IF(K1543&gt;O1543,"Valid","Invalid")</f>
        <v>Valid</v>
      </c>
      <c r="M1543" s="1" t="b">
        <f>ISNUMBER(K1543)</f>
        <v>1</v>
      </c>
      <c r="N1543" s="1" t="b">
        <f>ISNUMBER(O1543)</f>
        <v>1</v>
      </c>
      <c r="O1543" s="1">
        <v>45987</v>
      </c>
      <c r="P1543" t="s">
        <v>1498</v>
      </c>
      <c r="Q1543" t="str">
        <f>SUBSTITUTE(SUBSTITUTE(SUBSTITUTE(P1543," ",""),"-",""),"+","")</f>
        <v>9820725486</v>
      </c>
      <c r="R1543" t="str">
        <f t="shared" si="48"/>
        <v>9820725486</v>
      </c>
      <c r="S1543" t="str">
        <f>IF(LEN(R1543),"Valid","Invalid")</f>
        <v>Valid</v>
      </c>
      <c r="T1543" t="s">
        <v>1497</v>
      </c>
      <c r="V1543" t="s">
        <v>35</v>
      </c>
      <c r="X1543">
        <v>214.22</v>
      </c>
      <c r="Y1543" t="s">
        <v>123</v>
      </c>
      <c r="Z1543">
        <v>370</v>
      </c>
      <c r="AA1543">
        <f t="shared" si="49"/>
        <v>370</v>
      </c>
      <c r="AB1543" t="s">
        <v>50</v>
      </c>
    </row>
    <row r="1544" spans="1:28" x14ac:dyDescent="0.3">
      <c r="A1544" t="s">
        <v>1496</v>
      </c>
      <c r="B1544" t="s">
        <v>1495</v>
      </c>
      <c r="C1544" t="s">
        <v>1495</v>
      </c>
      <c r="E1544">
        <v>87</v>
      </c>
      <c r="F1544">
        <v>87</v>
      </c>
      <c r="G1544" t="s">
        <v>54</v>
      </c>
      <c r="H1544" t="s">
        <v>54</v>
      </c>
      <c r="I1544" t="s">
        <v>90</v>
      </c>
      <c r="J1544" t="s">
        <v>67</v>
      </c>
      <c r="K1544" s="1">
        <v>46138</v>
      </c>
      <c r="L1544" s="1" t="str">
        <f>IF(K1544&gt;O1544,"Valid","Invalid")</f>
        <v>Valid</v>
      </c>
      <c r="M1544" s="1" t="b">
        <f>ISNUMBER(K1544)</f>
        <v>1</v>
      </c>
      <c r="N1544" s="1" t="b">
        <f>ISNUMBER(O1544)</f>
        <v>1</v>
      </c>
      <c r="O1544" s="1">
        <v>46110</v>
      </c>
      <c r="P1544" t="s">
        <v>1494</v>
      </c>
      <c r="Q1544" t="str">
        <f>SUBSTITUTE(SUBSTITUTE(SUBSTITUTE(P1544," ",""),"-",""),"+","")</f>
        <v>912272444833</v>
      </c>
      <c r="R1544" t="str">
        <f t="shared" si="48"/>
        <v>2272444833</v>
      </c>
      <c r="S1544" t="str">
        <f>IF(LEN(R1544),"Valid","Invalid")</f>
        <v>Valid</v>
      </c>
      <c r="T1544" t="s">
        <v>1493</v>
      </c>
      <c r="V1544" t="s">
        <v>123</v>
      </c>
      <c r="X1544">
        <v>24060.2</v>
      </c>
      <c r="Y1544" t="s">
        <v>17</v>
      </c>
      <c r="Z1544">
        <v>502</v>
      </c>
      <c r="AA1544">
        <f t="shared" si="49"/>
        <v>502</v>
      </c>
      <c r="AB1544" t="s">
        <v>34</v>
      </c>
    </row>
    <row r="1545" spans="1:28" x14ac:dyDescent="0.3">
      <c r="A1545" t="s">
        <v>1492</v>
      </c>
      <c r="B1545" t="s">
        <v>1491</v>
      </c>
      <c r="C1545" t="s">
        <v>1491</v>
      </c>
      <c r="D1545" t="s">
        <v>123</v>
      </c>
      <c r="E1545">
        <v>33</v>
      </c>
      <c r="F1545">
        <v>33</v>
      </c>
      <c r="G1545" t="s">
        <v>54</v>
      </c>
      <c r="H1545" t="s">
        <v>54</v>
      </c>
      <c r="I1545" t="s">
        <v>53</v>
      </c>
      <c r="J1545" t="s">
        <v>20</v>
      </c>
      <c r="K1545" s="1">
        <v>46004</v>
      </c>
      <c r="L1545" s="1" t="str">
        <f>IF(K1545&gt;O1545,"Valid","Invalid")</f>
        <v>Valid</v>
      </c>
      <c r="M1545" s="1" t="b">
        <f>ISNUMBER(K1545)</f>
        <v>1</v>
      </c>
      <c r="N1545" s="1" t="b">
        <f>ISNUMBER(O1545)</f>
        <v>1</v>
      </c>
      <c r="O1545" s="1">
        <v>45988</v>
      </c>
      <c r="P1545" t="s">
        <v>1490</v>
      </c>
      <c r="Q1545" t="str">
        <f>SUBSTITUTE(SUBSTITUTE(SUBSTITUTE(P1545," ",""),"-",""),"+","")</f>
        <v>5823380236</v>
      </c>
      <c r="R1545" t="str">
        <f t="shared" si="48"/>
        <v>5823380236</v>
      </c>
      <c r="S1545" t="str">
        <f>IF(LEN(R1545),"Valid","Invalid")</f>
        <v>Valid</v>
      </c>
      <c r="T1545" t="s">
        <v>1489</v>
      </c>
      <c r="V1545" t="s">
        <v>123</v>
      </c>
      <c r="X1545">
        <v>3330.75</v>
      </c>
      <c r="Y1545" t="s">
        <v>27</v>
      </c>
      <c r="Z1545">
        <v>205</v>
      </c>
      <c r="AA1545">
        <f t="shared" si="49"/>
        <v>205</v>
      </c>
      <c r="AB1545" t="s">
        <v>77</v>
      </c>
    </row>
    <row r="1546" spans="1:28" x14ac:dyDescent="0.3">
      <c r="A1546" t="s">
        <v>1488</v>
      </c>
      <c r="B1546" t="s">
        <v>1487</v>
      </c>
      <c r="C1546" t="s">
        <v>1487</v>
      </c>
      <c r="D1546" t="s">
        <v>60</v>
      </c>
      <c r="E1546">
        <v>39</v>
      </c>
      <c r="F1546">
        <v>39</v>
      </c>
      <c r="G1546" t="s">
        <v>80</v>
      </c>
      <c r="H1546" t="s">
        <v>80</v>
      </c>
      <c r="I1546" t="s">
        <v>90</v>
      </c>
      <c r="J1546" t="s">
        <v>67</v>
      </c>
      <c r="K1546" s="1">
        <v>46019</v>
      </c>
      <c r="L1546" s="1" t="str">
        <f>IF(K1546&gt;O1546,"Valid","Invalid")</f>
        <v>Valid</v>
      </c>
      <c r="M1546" s="1" t="b">
        <f>ISNUMBER(K1546)</f>
        <v>1</v>
      </c>
      <c r="N1546" s="1" t="b">
        <f>ISNUMBER(O1546)</f>
        <v>1</v>
      </c>
      <c r="O1546" s="1">
        <v>46007</v>
      </c>
      <c r="P1546" t="s">
        <v>1486</v>
      </c>
      <c r="Q1546" t="str">
        <f>SUBSTITUTE(SUBSTITUTE(SUBSTITUTE(P1546," ",""),"-",""),"+","")</f>
        <v>06516483424</v>
      </c>
      <c r="R1546" t="str">
        <f t="shared" si="48"/>
        <v>6516483424</v>
      </c>
      <c r="S1546" t="str">
        <f>IF(LEN(R1546),"Valid","Invalid")</f>
        <v>Valid</v>
      </c>
      <c r="T1546" t="s">
        <v>1485</v>
      </c>
      <c r="V1546" t="s">
        <v>123</v>
      </c>
      <c r="X1546">
        <v>7628.05</v>
      </c>
      <c r="Y1546" t="s">
        <v>27</v>
      </c>
      <c r="Z1546">
        <v>261</v>
      </c>
      <c r="AA1546">
        <f t="shared" si="49"/>
        <v>261</v>
      </c>
      <c r="AB1546" t="s">
        <v>16</v>
      </c>
    </row>
    <row r="1547" spans="1:28" x14ac:dyDescent="0.3">
      <c r="A1547" t="s">
        <v>1484</v>
      </c>
      <c r="B1547" t="s">
        <v>1483</v>
      </c>
      <c r="C1547" t="s">
        <v>1483</v>
      </c>
      <c r="D1547" t="s">
        <v>1</v>
      </c>
      <c r="E1547">
        <v>3</v>
      </c>
      <c r="F1547">
        <v>3</v>
      </c>
      <c r="G1547" t="s">
        <v>21</v>
      </c>
      <c r="H1547" t="s">
        <v>21</v>
      </c>
      <c r="I1547" t="s">
        <v>90</v>
      </c>
      <c r="J1547" t="s">
        <v>67</v>
      </c>
      <c r="K1547" s="1">
        <v>46086</v>
      </c>
      <c r="L1547" s="1" t="str">
        <f>IF(K1547&gt;O1547,"Valid","Invalid")</f>
        <v>Valid</v>
      </c>
      <c r="M1547" s="1" t="b">
        <f>ISNUMBER(K1547)</f>
        <v>1</v>
      </c>
      <c r="N1547" s="1" t="b">
        <f>ISNUMBER(O1547)</f>
        <v>1</v>
      </c>
      <c r="O1547" s="1">
        <v>46062</v>
      </c>
      <c r="P1547" t="s">
        <v>1482</v>
      </c>
      <c r="Q1547" t="str">
        <f>SUBSTITUTE(SUBSTITUTE(SUBSTITUTE(P1547," ",""),"-",""),"+","")</f>
        <v>08246084188</v>
      </c>
      <c r="R1547" t="str">
        <f t="shared" si="48"/>
        <v>8246084188</v>
      </c>
      <c r="S1547" t="str">
        <f>IF(LEN(R1547),"Valid","Invalid")</f>
        <v>Valid</v>
      </c>
      <c r="T1547" t="s">
        <v>1481</v>
      </c>
      <c r="V1547" t="s">
        <v>35</v>
      </c>
      <c r="X1547">
        <v>11358.52</v>
      </c>
      <c r="Y1547" t="s">
        <v>26</v>
      </c>
      <c r="Z1547">
        <v>432</v>
      </c>
      <c r="AA1547">
        <f t="shared" si="49"/>
        <v>432</v>
      </c>
      <c r="AB1547" t="s">
        <v>50</v>
      </c>
    </row>
    <row r="1548" spans="1:28" x14ac:dyDescent="0.3">
      <c r="A1548" t="s">
        <v>1476</v>
      </c>
      <c r="B1548" t="s">
        <v>1475</v>
      </c>
      <c r="C1548" t="s">
        <v>1475</v>
      </c>
      <c r="E1548">
        <v>60</v>
      </c>
      <c r="F1548">
        <v>60</v>
      </c>
      <c r="G1548" t="s">
        <v>31</v>
      </c>
      <c r="H1548" t="s">
        <v>31</v>
      </c>
      <c r="I1548" t="s">
        <v>38</v>
      </c>
      <c r="J1548" t="s">
        <v>8077</v>
      </c>
      <c r="K1548" s="1">
        <v>46037</v>
      </c>
      <c r="L1548" s="1" t="str">
        <f>IF(K1548&gt;O1548,"Valid","Invalid")</f>
        <v>Valid</v>
      </c>
      <c r="M1548" s="1" t="b">
        <f>ISNUMBER(K1548)</f>
        <v>1</v>
      </c>
      <c r="N1548" s="1" t="b">
        <f>ISNUMBER(O1548)</f>
        <v>1</v>
      </c>
      <c r="O1548" s="1">
        <v>46023</v>
      </c>
      <c r="P1548" t="s">
        <v>1474</v>
      </c>
      <c r="Q1548" t="str">
        <f>SUBSTITUTE(SUBSTITUTE(SUBSTITUTE(P1548," ",""),"-",""),"+","")</f>
        <v>07549993813</v>
      </c>
      <c r="R1548" t="str">
        <f t="shared" si="48"/>
        <v>7549993813</v>
      </c>
      <c r="S1548" t="str">
        <f>IF(LEN(R1548),"Valid","Invalid")</f>
        <v>Valid</v>
      </c>
      <c r="T1548" t="s">
        <v>1473</v>
      </c>
      <c r="V1548" t="s">
        <v>35</v>
      </c>
      <c r="X1548">
        <v>10511.84</v>
      </c>
      <c r="Y1548" t="s">
        <v>27</v>
      </c>
      <c r="Z1548">
        <v>225</v>
      </c>
      <c r="AA1548">
        <f t="shared" si="49"/>
        <v>225</v>
      </c>
      <c r="AB1548" t="s">
        <v>71</v>
      </c>
    </row>
    <row r="1549" spans="1:28" x14ac:dyDescent="0.3">
      <c r="A1549" t="s">
        <v>1472</v>
      </c>
      <c r="B1549" t="s">
        <v>1471</v>
      </c>
      <c r="C1549" t="s">
        <v>1471</v>
      </c>
      <c r="D1549" t="s">
        <v>74</v>
      </c>
      <c r="E1549">
        <v>38</v>
      </c>
      <c r="F1549">
        <v>38</v>
      </c>
      <c r="G1549" t="s">
        <v>31</v>
      </c>
      <c r="H1549" t="s">
        <v>31</v>
      </c>
      <c r="I1549" t="s">
        <v>46</v>
      </c>
      <c r="J1549" t="s">
        <v>46</v>
      </c>
      <c r="K1549" s="1">
        <v>46057</v>
      </c>
      <c r="L1549" s="1" t="str">
        <f>IF(K1549&gt;O1549,"Valid","Invalid")</f>
        <v>Valid</v>
      </c>
      <c r="M1549" s="1" t="b">
        <f>ISNUMBER(K1549)</f>
        <v>1</v>
      </c>
      <c r="N1549" s="1" t="b">
        <f>ISNUMBER(O1549)</f>
        <v>1</v>
      </c>
      <c r="O1549" s="1">
        <v>46046</v>
      </c>
      <c r="P1549" t="s">
        <v>1470</v>
      </c>
      <c r="Q1549" t="str">
        <f>SUBSTITUTE(SUBSTITUTE(SUBSTITUTE(P1549," ",""),"-",""),"+","")</f>
        <v>05904751475</v>
      </c>
      <c r="R1549" t="str">
        <f t="shared" si="48"/>
        <v>5904751475</v>
      </c>
      <c r="S1549" t="str">
        <f>IF(LEN(R1549),"Valid","Invalid")</f>
        <v>Valid</v>
      </c>
      <c r="T1549" t="s">
        <v>1469</v>
      </c>
      <c r="V1549" t="s">
        <v>123</v>
      </c>
      <c r="X1549">
        <v>22752.92</v>
      </c>
      <c r="Y1549" t="s">
        <v>123</v>
      </c>
      <c r="Z1549">
        <v>139</v>
      </c>
      <c r="AA1549">
        <f t="shared" si="49"/>
        <v>139</v>
      </c>
      <c r="AB1549" t="s">
        <v>34</v>
      </c>
    </row>
    <row r="1550" spans="1:28" x14ac:dyDescent="0.3">
      <c r="A1550" t="s">
        <v>1468</v>
      </c>
      <c r="B1550" t="s">
        <v>1467</v>
      </c>
      <c r="C1550" t="s">
        <v>1467</v>
      </c>
      <c r="D1550" t="s">
        <v>22</v>
      </c>
      <c r="E1550">
        <v>46</v>
      </c>
      <c r="F1550">
        <v>46</v>
      </c>
      <c r="G1550" t="s">
        <v>68</v>
      </c>
      <c r="H1550" t="s">
        <v>68</v>
      </c>
      <c r="I1550" t="s">
        <v>46</v>
      </c>
      <c r="J1550" t="s">
        <v>46</v>
      </c>
      <c r="K1550" s="1">
        <v>46046</v>
      </c>
      <c r="L1550" s="1" t="str">
        <f>IF(K1550&gt;O1550,"Valid","Invalid")</f>
        <v>Valid</v>
      </c>
      <c r="M1550" s="1" t="b">
        <f>ISNUMBER(K1550)</f>
        <v>1</v>
      </c>
      <c r="N1550" s="1" t="b">
        <f>ISNUMBER(O1550)</f>
        <v>1</v>
      </c>
      <c r="O1550" s="1">
        <v>46017</v>
      </c>
      <c r="P1550" t="s">
        <v>1466</v>
      </c>
      <c r="Q1550" t="str">
        <f>SUBSTITUTE(SUBSTITUTE(SUBSTITUTE(P1550," ",""),"-",""),"+","")</f>
        <v>918356596984</v>
      </c>
      <c r="R1550" t="str">
        <f t="shared" si="48"/>
        <v>8356596984</v>
      </c>
      <c r="S1550" t="str">
        <f>IF(LEN(R1550),"Valid","Invalid")</f>
        <v>Valid</v>
      </c>
      <c r="T1550" t="s">
        <v>1465</v>
      </c>
      <c r="V1550" t="s">
        <v>123</v>
      </c>
      <c r="X1550">
        <v>1880.34</v>
      </c>
      <c r="Y1550" t="s">
        <v>17</v>
      </c>
      <c r="Z1550">
        <v>199</v>
      </c>
      <c r="AA1550">
        <f t="shared" si="49"/>
        <v>199</v>
      </c>
      <c r="AB1550" t="s">
        <v>43</v>
      </c>
    </row>
    <row r="1551" spans="1:28" x14ac:dyDescent="0.3">
      <c r="A1551" t="s">
        <v>1464</v>
      </c>
      <c r="B1551" t="s">
        <v>1463</v>
      </c>
      <c r="C1551" t="s">
        <v>1463</v>
      </c>
      <c r="D1551" t="s">
        <v>0</v>
      </c>
      <c r="E1551">
        <v>2</v>
      </c>
      <c r="F1551">
        <v>2</v>
      </c>
      <c r="G1551" t="s">
        <v>80</v>
      </c>
      <c r="H1551" t="s">
        <v>80</v>
      </c>
      <c r="I1551" t="s">
        <v>53</v>
      </c>
      <c r="J1551" t="s">
        <v>20</v>
      </c>
      <c r="K1551" s="1">
        <v>45998</v>
      </c>
      <c r="L1551" s="1" t="str">
        <f>IF(K1551&gt;O1551,"Valid","Invalid")</f>
        <v>Valid</v>
      </c>
      <c r="M1551" s="1" t="b">
        <f>ISNUMBER(K1551)</f>
        <v>1</v>
      </c>
      <c r="N1551" s="1" t="b">
        <f>ISNUMBER(O1551)</f>
        <v>1</v>
      </c>
      <c r="O1551" s="1">
        <v>45975</v>
      </c>
      <c r="P1551" t="s">
        <v>1462</v>
      </c>
      <c r="Q1551" t="str">
        <f>SUBSTITUTE(SUBSTITUTE(SUBSTITUTE(P1551," ",""),"-",""),"+","")</f>
        <v>914817833033</v>
      </c>
      <c r="R1551" t="str">
        <f t="shared" si="48"/>
        <v>4817833033</v>
      </c>
      <c r="S1551" t="str">
        <f>IF(LEN(R1551),"Valid","Invalid")</f>
        <v>Valid</v>
      </c>
      <c r="T1551" t="s">
        <v>1461</v>
      </c>
      <c r="V1551" t="s">
        <v>26</v>
      </c>
      <c r="X1551">
        <v>1685.2</v>
      </c>
      <c r="Y1551" t="s">
        <v>57</v>
      </c>
      <c r="Z1551">
        <v>422</v>
      </c>
      <c r="AA1551">
        <f t="shared" si="49"/>
        <v>422</v>
      </c>
      <c r="AB1551" t="s">
        <v>34</v>
      </c>
    </row>
    <row r="1552" spans="1:28" x14ac:dyDescent="0.3">
      <c r="A1552" t="s">
        <v>1460</v>
      </c>
      <c r="B1552" t="s">
        <v>1459</v>
      </c>
      <c r="C1552" t="s">
        <v>1459</v>
      </c>
      <c r="D1552" t="s">
        <v>60</v>
      </c>
      <c r="E1552">
        <v>4</v>
      </c>
      <c r="F1552">
        <v>4</v>
      </c>
      <c r="G1552" t="s">
        <v>68</v>
      </c>
      <c r="H1552" t="s">
        <v>68</v>
      </c>
      <c r="I1552" t="s">
        <v>90</v>
      </c>
      <c r="J1552" t="s">
        <v>67</v>
      </c>
      <c r="K1552" s="1">
        <v>46128</v>
      </c>
      <c r="L1552" s="1" t="str">
        <f>IF(K1552&gt;O1552,"Valid","Invalid")</f>
        <v>Valid</v>
      </c>
      <c r="M1552" s="1" t="b">
        <f>ISNUMBER(K1552)</f>
        <v>1</v>
      </c>
      <c r="N1552" s="1" t="b">
        <f>ISNUMBER(O1552)</f>
        <v>1</v>
      </c>
      <c r="O1552" s="1">
        <v>46118</v>
      </c>
      <c r="P1552" t="s">
        <v>1458</v>
      </c>
      <c r="Q1552" t="str">
        <f>SUBSTITUTE(SUBSTITUTE(SUBSTITUTE(P1552," ",""),"-",""),"+","")</f>
        <v>05849168838</v>
      </c>
      <c r="R1552" t="str">
        <f t="shared" si="48"/>
        <v>5849168838</v>
      </c>
      <c r="S1552" t="str">
        <f>IF(LEN(R1552),"Valid","Invalid")</f>
        <v>Valid</v>
      </c>
      <c r="T1552" t="s">
        <v>1457</v>
      </c>
      <c r="V1552" t="s">
        <v>123</v>
      </c>
      <c r="X1552">
        <v>8803.76</v>
      </c>
      <c r="Y1552" t="s">
        <v>17</v>
      </c>
      <c r="Z1552">
        <v>245</v>
      </c>
      <c r="AA1552">
        <f t="shared" si="49"/>
        <v>245</v>
      </c>
      <c r="AB1552" t="s">
        <v>43</v>
      </c>
    </row>
    <row r="1553" spans="1:28" x14ac:dyDescent="0.3">
      <c r="A1553" t="s">
        <v>1456</v>
      </c>
      <c r="B1553" t="s">
        <v>1455</v>
      </c>
      <c r="C1553" t="s">
        <v>1455</v>
      </c>
      <c r="D1553" t="s">
        <v>40</v>
      </c>
      <c r="E1553">
        <v>67</v>
      </c>
      <c r="F1553">
        <v>67</v>
      </c>
      <c r="G1553" t="s">
        <v>80</v>
      </c>
      <c r="H1553" t="s">
        <v>80</v>
      </c>
      <c r="I1553" t="s">
        <v>85</v>
      </c>
      <c r="J1553" t="s">
        <v>85</v>
      </c>
      <c r="K1553" s="1">
        <v>46051</v>
      </c>
      <c r="L1553" s="1" t="str">
        <f>IF(K1553&gt;O1553,"Valid","Invalid")</f>
        <v>Valid</v>
      </c>
      <c r="M1553" s="1" t="b">
        <f>ISNUMBER(K1553)</f>
        <v>1</v>
      </c>
      <c r="N1553" s="1" t="b">
        <f>ISNUMBER(O1553)</f>
        <v>1</v>
      </c>
      <c r="O1553" s="1">
        <v>46027</v>
      </c>
      <c r="P1553" t="s">
        <v>1454</v>
      </c>
      <c r="Q1553" t="str">
        <f>SUBSTITUTE(SUBSTITUTE(SUBSTITUTE(P1553," ",""),"-",""),"+","")</f>
        <v>916406923503</v>
      </c>
      <c r="R1553" t="str">
        <f t="shared" si="48"/>
        <v>6406923503</v>
      </c>
      <c r="S1553" t="str">
        <f>IF(LEN(R1553),"Valid","Invalid")</f>
        <v>Valid</v>
      </c>
      <c r="T1553" t="s">
        <v>1453</v>
      </c>
      <c r="V1553" t="s">
        <v>123</v>
      </c>
      <c r="X1553">
        <v>10948.52</v>
      </c>
      <c r="Y1553" t="s">
        <v>27</v>
      </c>
      <c r="Z1553">
        <v>441</v>
      </c>
      <c r="AA1553">
        <f t="shared" si="49"/>
        <v>441</v>
      </c>
      <c r="AB1553" t="s">
        <v>50</v>
      </c>
    </row>
    <row r="1554" spans="1:28" x14ac:dyDescent="0.3">
      <c r="A1554" t="s">
        <v>1452</v>
      </c>
      <c r="B1554" t="s">
        <v>1451</v>
      </c>
      <c r="C1554" t="s">
        <v>1451</v>
      </c>
      <c r="D1554" t="s">
        <v>74</v>
      </c>
      <c r="E1554">
        <v>20</v>
      </c>
      <c r="F1554">
        <v>20</v>
      </c>
      <c r="G1554" t="s">
        <v>54</v>
      </c>
      <c r="H1554" t="s">
        <v>54</v>
      </c>
      <c r="I1554" t="s">
        <v>67</v>
      </c>
      <c r="J1554" t="s">
        <v>67</v>
      </c>
      <c r="K1554" s="1">
        <v>46063</v>
      </c>
      <c r="L1554" s="1" t="str">
        <f>IF(K1554&gt;O1554,"Valid","Invalid")</f>
        <v>Valid</v>
      </c>
      <c r="M1554" s="1" t="b">
        <f>ISNUMBER(K1554)</f>
        <v>1</v>
      </c>
      <c r="N1554" s="1" t="b">
        <f>ISNUMBER(O1554)</f>
        <v>1</v>
      </c>
      <c r="O1554" s="1">
        <v>46042</v>
      </c>
      <c r="P1554" t="s">
        <v>1450</v>
      </c>
      <c r="Q1554" t="str">
        <f>SUBSTITUTE(SUBSTITUTE(SUBSTITUTE(P1554," ",""),"-",""),"+","")</f>
        <v>4943795601</v>
      </c>
      <c r="R1554" t="str">
        <f t="shared" si="48"/>
        <v>4943795601</v>
      </c>
      <c r="S1554" t="str">
        <f>IF(LEN(R1554),"Valid","Invalid")</f>
        <v>Valid</v>
      </c>
      <c r="T1554" t="s">
        <v>1449</v>
      </c>
      <c r="V1554" t="s">
        <v>123</v>
      </c>
      <c r="X1554">
        <v>18339.96</v>
      </c>
      <c r="Y1554" t="s">
        <v>63</v>
      </c>
      <c r="Z1554">
        <v>173</v>
      </c>
      <c r="AA1554">
        <f t="shared" si="49"/>
        <v>173</v>
      </c>
      <c r="AB1554" t="s">
        <v>71</v>
      </c>
    </row>
    <row r="1555" spans="1:28" x14ac:dyDescent="0.3">
      <c r="A1555" t="s">
        <v>1448</v>
      </c>
      <c r="B1555" t="s">
        <v>1447</v>
      </c>
      <c r="C1555" t="s">
        <v>1447</v>
      </c>
      <c r="D1555" t="s">
        <v>1</v>
      </c>
      <c r="E1555">
        <v>12</v>
      </c>
      <c r="F1555">
        <v>12</v>
      </c>
      <c r="G1555" t="s">
        <v>54</v>
      </c>
      <c r="H1555" t="s">
        <v>54</v>
      </c>
      <c r="I1555" t="s">
        <v>30</v>
      </c>
      <c r="J1555" t="s">
        <v>30</v>
      </c>
      <c r="K1555" s="1">
        <v>46044</v>
      </c>
      <c r="L1555" s="1" t="str">
        <f>IF(K1555&gt;O1555,"Valid","Invalid")</f>
        <v>Valid</v>
      </c>
      <c r="M1555" s="1" t="b">
        <f>ISNUMBER(K1555)</f>
        <v>1</v>
      </c>
      <c r="N1555" s="1" t="b">
        <f>ISNUMBER(O1555)</f>
        <v>1</v>
      </c>
      <c r="O1555" s="1">
        <v>46032</v>
      </c>
      <c r="P1555" t="s">
        <v>1446</v>
      </c>
      <c r="Q1555" t="str">
        <f>SUBSTITUTE(SUBSTITUTE(SUBSTITUTE(P1555," ",""),"-",""),"+","")</f>
        <v>3355595569</v>
      </c>
      <c r="R1555" t="str">
        <f t="shared" si="48"/>
        <v>3355595569</v>
      </c>
      <c r="S1555" t="str">
        <f>IF(LEN(R1555),"Valid","Invalid")</f>
        <v>Valid</v>
      </c>
      <c r="T1555" t="s">
        <v>1445</v>
      </c>
      <c r="V1555" t="s">
        <v>17</v>
      </c>
      <c r="X1555">
        <v>1238.9100000000001</v>
      </c>
      <c r="Y1555" t="s">
        <v>63</v>
      </c>
      <c r="Z1555">
        <v>106</v>
      </c>
      <c r="AA1555">
        <f t="shared" si="49"/>
        <v>106</v>
      </c>
      <c r="AB1555" t="s">
        <v>71</v>
      </c>
    </row>
    <row r="1556" spans="1:28" x14ac:dyDescent="0.3">
      <c r="A1556" t="s">
        <v>1444</v>
      </c>
      <c r="B1556" t="s">
        <v>1443</v>
      </c>
      <c r="C1556" t="s">
        <v>1443</v>
      </c>
      <c r="D1556" t="s">
        <v>1</v>
      </c>
      <c r="E1556">
        <v>54</v>
      </c>
      <c r="F1556">
        <v>54</v>
      </c>
      <c r="G1556" t="s">
        <v>21</v>
      </c>
      <c r="H1556" t="s">
        <v>21</v>
      </c>
      <c r="I1556" t="s">
        <v>90</v>
      </c>
      <c r="J1556" t="s">
        <v>67</v>
      </c>
      <c r="K1556" s="1">
        <v>46024</v>
      </c>
      <c r="L1556" s="1" t="str">
        <f>IF(K1556&gt;O1556,"Valid","Invalid")</f>
        <v>Valid</v>
      </c>
      <c r="M1556" s="1" t="b">
        <f>ISNUMBER(K1556)</f>
        <v>1</v>
      </c>
      <c r="N1556" s="1" t="b">
        <f>ISNUMBER(O1556)</f>
        <v>1</v>
      </c>
      <c r="O1556" s="1">
        <v>45999</v>
      </c>
      <c r="P1556" t="s">
        <v>1442</v>
      </c>
      <c r="Q1556" t="str">
        <f>SUBSTITUTE(SUBSTITUTE(SUBSTITUTE(P1556," ",""),"-",""),"+","")</f>
        <v>06653495960</v>
      </c>
      <c r="R1556" t="str">
        <f t="shared" si="48"/>
        <v>6653495960</v>
      </c>
      <c r="S1556" t="str">
        <f>IF(LEN(R1556),"Valid","Invalid")</f>
        <v>Valid</v>
      </c>
      <c r="T1556" t="s">
        <v>1441</v>
      </c>
      <c r="V1556" t="s">
        <v>35</v>
      </c>
      <c r="X1556">
        <v>10787.41</v>
      </c>
      <c r="Y1556" t="s">
        <v>63</v>
      </c>
      <c r="Z1556">
        <v>207</v>
      </c>
      <c r="AA1556">
        <f t="shared" si="49"/>
        <v>207</v>
      </c>
      <c r="AB1556" t="s">
        <v>77</v>
      </c>
    </row>
    <row r="1557" spans="1:28" x14ac:dyDescent="0.3">
      <c r="A1557" t="s">
        <v>1440</v>
      </c>
      <c r="B1557" t="s">
        <v>1439</v>
      </c>
      <c r="C1557" t="s">
        <v>1439</v>
      </c>
      <c r="D1557" t="s">
        <v>74</v>
      </c>
      <c r="E1557">
        <v>21</v>
      </c>
      <c r="F1557">
        <v>21</v>
      </c>
      <c r="G1557" t="s">
        <v>47</v>
      </c>
      <c r="H1557" t="s">
        <v>47</v>
      </c>
      <c r="I1557" t="s">
        <v>30</v>
      </c>
      <c r="J1557" t="s">
        <v>30</v>
      </c>
      <c r="K1557" s="1">
        <v>46132</v>
      </c>
      <c r="L1557" s="1" t="str">
        <f>IF(K1557&gt;O1557,"Valid","Invalid")</f>
        <v>Valid</v>
      </c>
      <c r="M1557" s="1" t="b">
        <f>ISNUMBER(K1557)</f>
        <v>1</v>
      </c>
      <c r="N1557" s="1" t="b">
        <f>ISNUMBER(O1557)</f>
        <v>1</v>
      </c>
      <c r="O1557" s="1">
        <v>46109</v>
      </c>
      <c r="P1557" t="s">
        <v>1438</v>
      </c>
      <c r="Q1557" t="str">
        <f>SUBSTITUTE(SUBSTITUTE(SUBSTITUTE(P1557," ",""),"-",""),"+","")</f>
        <v>09383803883</v>
      </c>
      <c r="R1557" t="str">
        <f t="shared" si="48"/>
        <v>9383803883</v>
      </c>
      <c r="S1557" t="str">
        <f>IF(LEN(R1557),"Valid","Invalid")</f>
        <v>Valid</v>
      </c>
      <c r="T1557" t="s">
        <v>1437</v>
      </c>
      <c r="V1557" t="s">
        <v>123</v>
      </c>
      <c r="X1557">
        <v>19717.900000000001</v>
      </c>
      <c r="Y1557" t="s">
        <v>57</v>
      </c>
      <c r="Z1557">
        <v>339</v>
      </c>
      <c r="AA1557">
        <f t="shared" si="49"/>
        <v>339</v>
      </c>
      <c r="AB1557" t="s">
        <v>71</v>
      </c>
    </row>
    <row r="1558" spans="1:28" x14ac:dyDescent="0.3">
      <c r="A1558" t="s">
        <v>1436</v>
      </c>
      <c r="B1558" t="s">
        <v>1435</v>
      </c>
      <c r="C1558" t="s">
        <v>1435</v>
      </c>
      <c r="E1558">
        <v>15</v>
      </c>
      <c r="F1558">
        <v>15</v>
      </c>
      <c r="G1558" t="s">
        <v>80</v>
      </c>
      <c r="H1558" t="s">
        <v>80</v>
      </c>
      <c r="I1558" t="s">
        <v>85</v>
      </c>
      <c r="J1558" t="s">
        <v>85</v>
      </c>
      <c r="K1558" s="1">
        <v>46095</v>
      </c>
      <c r="L1558" s="1" t="str">
        <f>IF(K1558&gt;O1558,"Valid","Invalid")</f>
        <v>Valid</v>
      </c>
      <c r="M1558" s="1" t="b">
        <f>ISNUMBER(K1558)</f>
        <v>1</v>
      </c>
      <c r="N1558" s="1" t="b">
        <f>ISNUMBER(O1558)</f>
        <v>1</v>
      </c>
      <c r="O1558" s="1">
        <v>46070</v>
      </c>
      <c r="P1558" t="s">
        <v>1434</v>
      </c>
      <c r="Q1558" t="str">
        <f>SUBSTITUTE(SUBSTITUTE(SUBSTITUTE(P1558," ",""),"-",""),"+","")</f>
        <v>3190884871</v>
      </c>
      <c r="R1558" t="str">
        <f t="shared" si="48"/>
        <v>3190884871</v>
      </c>
      <c r="S1558" t="str">
        <f>IF(LEN(R1558),"Valid","Invalid")</f>
        <v>Valid</v>
      </c>
      <c r="T1558" t="s">
        <v>1433</v>
      </c>
      <c r="V1558" t="s">
        <v>57</v>
      </c>
      <c r="X1558">
        <v>15496.6</v>
      </c>
      <c r="Y1558" t="s">
        <v>17</v>
      </c>
      <c r="Z1558">
        <v>535</v>
      </c>
      <c r="AA1558">
        <f t="shared" si="49"/>
        <v>535</v>
      </c>
      <c r="AB1558" t="s">
        <v>16</v>
      </c>
    </row>
    <row r="1559" spans="1:28" x14ac:dyDescent="0.3">
      <c r="A1559" t="s">
        <v>1432</v>
      </c>
      <c r="B1559" t="s">
        <v>1431</v>
      </c>
      <c r="C1559" t="s">
        <v>1431</v>
      </c>
      <c r="D1559" t="s">
        <v>22</v>
      </c>
      <c r="E1559">
        <v>74</v>
      </c>
      <c r="F1559">
        <v>74</v>
      </c>
      <c r="G1559" t="s">
        <v>31</v>
      </c>
      <c r="H1559" t="s">
        <v>31</v>
      </c>
      <c r="I1559" t="s">
        <v>67</v>
      </c>
      <c r="J1559" t="s">
        <v>67</v>
      </c>
      <c r="K1559" s="1">
        <v>46077</v>
      </c>
      <c r="L1559" s="1" t="str">
        <f>IF(K1559&gt;O1559,"Valid","Invalid")</f>
        <v>Valid</v>
      </c>
      <c r="M1559" s="1" t="b">
        <f>ISNUMBER(K1559)</f>
        <v>1</v>
      </c>
      <c r="N1559" s="1" t="b">
        <f>ISNUMBER(O1559)</f>
        <v>1</v>
      </c>
      <c r="O1559" s="1">
        <v>46061</v>
      </c>
      <c r="P1559" t="s">
        <v>1430</v>
      </c>
      <c r="Q1559" t="str">
        <f>SUBSTITUTE(SUBSTITUTE(SUBSTITUTE(P1559," ",""),"-",""),"+","")</f>
        <v>1045308850</v>
      </c>
      <c r="R1559" t="str">
        <f t="shared" si="48"/>
        <v>1045308850</v>
      </c>
      <c r="S1559" t="str">
        <f>IF(LEN(R1559),"Valid","Invalid")</f>
        <v>Valid</v>
      </c>
      <c r="T1559" t="s">
        <v>1429</v>
      </c>
      <c r="V1559" t="s">
        <v>35</v>
      </c>
      <c r="X1559">
        <v>16760.25</v>
      </c>
      <c r="Y1559" t="s">
        <v>63</v>
      </c>
      <c r="Z1559">
        <v>512</v>
      </c>
      <c r="AA1559">
        <f t="shared" si="49"/>
        <v>512</v>
      </c>
      <c r="AB1559" t="s">
        <v>34</v>
      </c>
    </row>
    <row r="1560" spans="1:28" x14ac:dyDescent="0.3">
      <c r="A1560" t="s">
        <v>1428</v>
      </c>
      <c r="B1560" t="s">
        <v>1427</v>
      </c>
      <c r="C1560" t="s">
        <v>1427</v>
      </c>
      <c r="D1560" t="s">
        <v>1</v>
      </c>
      <c r="E1560">
        <v>29</v>
      </c>
      <c r="F1560">
        <v>29</v>
      </c>
      <c r="G1560" t="s">
        <v>47</v>
      </c>
      <c r="H1560" t="s">
        <v>47</v>
      </c>
      <c r="I1560" t="s">
        <v>90</v>
      </c>
      <c r="J1560" t="s">
        <v>67</v>
      </c>
      <c r="K1560" s="1">
        <v>46076</v>
      </c>
      <c r="L1560" s="1" t="str">
        <f>IF(K1560&gt;O1560,"Valid","Invalid")</f>
        <v>Valid</v>
      </c>
      <c r="M1560" s="1" t="b">
        <f>ISNUMBER(K1560)</f>
        <v>1</v>
      </c>
      <c r="N1560" s="1" t="b">
        <f>ISNUMBER(O1560)</f>
        <v>1</v>
      </c>
      <c r="O1560" s="1">
        <v>46061</v>
      </c>
      <c r="P1560" t="s">
        <v>1426</v>
      </c>
      <c r="Q1560" t="str">
        <f>SUBSTITUTE(SUBSTITUTE(SUBSTITUTE(P1560," ",""),"-",""),"+","")</f>
        <v>02745679153</v>
      </c>
      <c r="R1560" t="str">
        <f t="shared" si="48"/>
        <v>2745679153</v>
      </c>
      <c r="S1560" t="str">
        <f>IF(LEN(R1560),"Valid","Invalid")</f>
        <v>Valid</v>
      </c>
      <c r="T1560" t="s">
        <v>1425</v>
      </c>
      <c r="V1560" t="s">
        <v>26</v>
      </c>
      <c r="X1560">
        <v>8338.2099999999991</v>
      </c>
      <c r="Y1560" t="s">
        <v>63</v>
      </c>
      <c r="Z1560">
        <v>355</v>
      </c>
      <c r="AA1560">
        <f t="shared" si="49"/>
        <v>355</v>
      </c>
      <c r="AB1560" t="s">
        <v>25</v>
      </c>
    </row>
    <row r="1561" spans="1:28" x14ac:dyDescent="0.3">
      <c r="A1561" t="s">
        <v>1424</v>
      </c>
      <c r="B1561" t="s">
        <v>1423</v>
      </c>
      <c r="C1561" t="s">
        <v>1423</v>
      </c>
      <c r="D1561" t="s">
        <v>123</v>
      </c>
      <c r="E1561">
        <v>7</v>
      </c>
      <c r="F1561">
        <v>7</v>
      </c>
      <c r="G1561" t="s">
        <v>132</v>
      </c>
      <c r="H1561" t="s">
        <v>132</v>
      </c>
      <c r="I1561" t="s">
        <v>30</v>
      </c>
      <c r="J1561" t="s">
        <v>30</v>
      </c>
      <c r="K1561" s="1">
        <v>46080</v>
      </c>
      <c r="L1561" s="1" t="str">
        <f>IF(K1561&gt;O1561,"Valid","Invalid")</f>
        <v>Valid</v>
      </c>
      <c r="M1561" s="1" t="b">
        <f>ISNUMBER(K1561)</f>
        <v>1</v>
      </c>
      <c r="N1561" s="1" t="b">
        <f>ISNUMBER(O1561)</f>
        <v>1</v>
      </c>
      <c r="O1561" s="1">
        <v>46077</v>
      </c>
      <c r="P1561" t="s">
        <v>1422</v>
      </c>
      <c r="Q1561" t="str">
        <f>SUBSTITUTE(SUBSTITUTE(SUBSTITUTE(P1561," ",""),"-",""),"+","")</f>
        <v>918741363946</v>
      </c>
      <c r="R1561" t="str">
        <f t="shared" si="48"/>
        <v>8741363946</v>
      </c>
      <c r="S1561" t="str">
        <f>IF(LEN(R1561),"Valid","Invalid")</f>
        <v>Valid</v>
      </c>
      <c r="T1561" t="s">
        <v>1421</v>
      </c>
      <c r="V1561" t="s">
        <v>35</v>
      </c>
      <c r="X1561">
        <v>13964.35</v>
      </c>
      <c r="Y1561" t="s">
        <v>57</v>
      </c>
      <c r="Z1561">
        <v>550</v>
      </c>
      <c r="AA1561">
        <f t="shared" si="49"/>
        <v>550</v>
      </c>
      <c r="AB1561" t="s">
        <v>71</v>
      </c>
    </row>
    <row r="1562" spans="1:28" x14ac:dyDescent="0.3">
      <c r="A1562" t="s">
        <v>1420</v>
      </c>
      <c r="B1562" t="s">
        <v>1419</v>
      </c>
      <c r="C1562" t="s">
        <v>1419</v>
      </c>
      <c r="E1562">
        <v>20</v>
      </c>
      <c r="F1562">
        <v>20</v>
      </c>
      <c r="G1562" t="s">
        <v>80</v>
      </c>
      <c r="H1562" t="s">
        <v>80</v>
      </c>
      <c r="I1562" t="s">
        <v>67</v>
      </c>
      <c r="J1562" t="s">
        <v>67</v>
      </c>
      <c r="K1562" s="1">
        <v>46125</v>
      </c>
      <c r="L1562" s="1" t="str">
        <f>IF(K1562&gt;O1562,"Valid","Invalid")</f>
        <v>Valid</v>
      </c>
      <c r="M1562" s="1" t="b">
        <f>ISNUMBER(K1562)</f>
        <v>1</v>
      </c>
      <c r="N1562" s="1" t="b">
        <f>ISNUMBER(O1562)</f>
        <v>1</v>
      </c>
      <c r="O1562" s="1">
        <v>46112</v>
      </c>
      <c r="P1562" t="s">
        <v>1418</v>
      </c>
      <c r="Q1562" t="str">
        <f>SUBSTITUTE(SUBSTITUTE(SUBSTITUTE(P1562," ",""),"-",""),"+","")</f>
        <v>1676085264</v>
      </c>
      <c r="R1562" t="str">
        <f t="shared" si="48"/>
        <v>1676085264</v>
      </c>
      <c r="S1562" t="str">
        <f>IF(LEN(R1562),"Valid","Invalid")</f>
        <v>Valid</v>
      </c>
      <c r="T1562" t="s">
        <v>1417</v>
      </c>
      <c r="V1562" t="s">
        <v>123</v>
      </c>
      <c r="X1562">
        <v>10598.43</v>
      </c>
      <c r="Y1562" t="s">
        <v>17</v>
      </c>
      <c r="Z1562">
        <v>253</v>
      </c>
      <c r="AA1562">
        <f t="shared" si="49"/>
        <v>253</v>
      </c>
      <c r="AB1562" t="s">
        <v>77</v>
      </c>
    </row>
    <row r="1563" spans="1:28" x14ac:dyDescent="0.3">
      <c r="A1563" t="s">
        <v>1416</v>
      </c>
      <c r="B1563" t="s">
        <v>1415</v>
      </c>
      <c r="C1563" t="s">
        <v>1415</v>
      </c>
      <c r="D1563" t="s">
        <v>1</v>
      </c>
      <c r="E1563">
        <v>21</v>
      </c>
      <c r="F1563">
        <v>21</v>
      </c>
      <c r="G1563" t="s">
        <v>68</v>
      </c>
      <c r="H1563" t="s">
        <v>68</v>
      </c>
      <c r="I1563" t="s">
        <v>20</v>
      </c>
      <c r="J1563" t="s">
        <v>20</v>
      </c>
      <c r="K1563" s="1">
        <v>46085</v>
      </c>
      <c r="L1563" s="1" t="str">
        <f>IF(K1563&gt;O1563,"Valid","Invalid")</f>
        <v>Valid</v>
      </c>
      <c r="M1563" s="1" t="b">
        <f>ISNUMBER(K1563)</f>
        <v>1</v>
      </c>
      <c r="N1563" s="1" t="b">
        <f>ISNUMBER(O1563)</f>
        <v>1</v>
      </c>
      <c r="O1563" s="1">
        <v>46061</v>
      </c>
      <c r="P1563" t="s">
        <v>1414</v>
      </c>
      <c r="Q1563" t="str">
        <f>SUBSTITUTE(SUBSTITUTE(SUBSTITUTE(P1563," ",""),"-",""),"+","")</f>
        <v>913470286160</v>
      </c>
      <c r="R1563" t="str">
        <f t="shared" si="48"/>
        <v>3470286160</v>
      </c>
      <c r="S1563" t="str">
        <f>IF(LEN(R1563),"Valid","Invalid")</f>
        <v>Valid</v>
      </c>
      <c r="T1563" t="s">
        <v>1413</v>
      </c>
      <c r="V1563" t="s">
        <v>57</v>
      </c>
      <c r="X1563">
        <v>23167.89</v>
      </c>
      <c r="Y1563" t="s">
        <v>27</v>
      </c>
      <c r="Z1563">
        <v>323</v>
      </c>
      <c r="AA1563">
        <f t="shared" si="49"/>
        <v>323</v>
      </c>
      <c r="AB1563" t="s">
        <v>16</v>
      </c>
    </row>
    <row r="1564" spans="1:28" x14ac:dyDescent="0.3">
      <c r="A1564" t="s">
        <v>1408</v>
      </c>
      <c r="B1564" t="s">
        <v>1407</v>
      </c>
      <c r="C1564" t="s">
        <v>1407</v>
      </c>
      <c r="E1564">
        <v>63</v>
      </c>
      <c r="F1564">
        <v>63</v>
      </c>
      <c r="G1564" t="s">
        <v>54</v>
      </c>
      <c r="H1564" t="s">
        <v>54</v>
      </c>
      <c r="I1564" t="s">
        <v>38</v>
      </c>
      <c r="J1564" t="s">
        <v>8077</v>
      </c>
      <c r="K1564" s="1">
        <v>46134</v>
      </c>
      <c r="L1564" s="1" t="str">
        <f>IF(K1564&gt;O1564,"Valid","Invalid")</f>
        <v>Valid</v>
      </c>
      <c r="M1564" s="1" t="b">
        <f>ISNUMBER(K1564)</f>
        <v>1</v>
      </c>
      <c r="N1564" s="1" t="b">
        <f>ISNUMBER(O1564)</f>
        <v>1</v>
      </c>
      <c r="O1564" s="1">
        <v>46122</v>
      </c>
      <c r="P1564" t="s">
        <v>1406</v>
      </c>
      <c r="Q1564" t="str">
        <f>SUBSTITUTE(SUBSTITUTE(SUBSTITUTE(P1564," ",""),"-",""),"+","")</f>
        <v>01696926282</v>
      </c>
      <c r="R1564" t="str">
        <f t="shared" si="48"/>
        <v>1696926282</v>
      </c>
      <c r="S1564" t="str">
        <f>IF(LEN(R1564),"Valid","Invalid")</f>
        <v>Valid</v>
      </c>
      <c r="T1564" t="s">
        <v>1405</v>
      </c>
      <c r="V1564" t="s">
        <v>123</v>
      </c>
      <c r="X1564">
        <v>21266.36</v>
      </c>
      <c r="Y1564" t="s">
        <v>63</v>
      </c>
      <c r="Z1564">
        <v>224</v>
      </c>
      <c r="AA1564">
        <f t="shared" si="49"/>
        <v>224</v>
      </c>
      <c r="AB1564" t="s">
        <v>34</v>
      </c>
    </row>
    <row r="1565" spans="1:28" x14ac:dyDescent="0.3">
      <c r="A1565" t="s">
        <v>1404</v>
      </c>
      <c r="B1565" t="s">
        <v>1403</v>
      </c>
      <c r="C1565" t="s">
        <v>1403</v>
      </c>
      <c r="D1565" t="s">
        <v>0</v>
      </c>
      <c r="E1565">
        <v>44</v>
      </c>
      <c r="F1565">
        <v>44</v>
      </c>
      <c r="G1565" t="s">
        <v>39</v>
      </c>
      <c r="H1565" t="s">
        <v>39</v>
      </c>
      <c r="I1565" t="s">
        <v>67</v>
      </c>
      <c r="J1565" t="s">
        <v>67</v>
      </c>
      <c r="K1565" s="1">
        <v>46161</v>
      </c>
      <c r="L1565" s="1" t="str">
        <f>IF(K1565&gt;O1565,"Valid","Invalid")</f>
        <v>Valid</v>
      </c>
      <c r="M1565" s="1" t="b">
        <f>ISNUMBER(K1565)</f>
        <v>1</v>
      </c>
      <c r="N1565" s="1" t="b">
        <f>ISNUMBER(O1565)</f>
        <v>1</v>
      </c>
      <c r="O1565" s="1">
        <v>46143</v>
      </c>
      <c r="P1565" t="s">
        <v>1402</v>
      </c>
      <c r="Q1565" t="str">
        <f>SUBSTITUTE(SUBSTITUTE(SUBSTITUTE(P1565," ",""),"-",""),"+","")</f>
        <v>02742035217</v>
      </c>
      <c r="R1565" t="str">
        <f t="shared" si="48"/>
        <v>2742035217</v>
      </c>
      <c r="S1565" t="str">
        <f>IF(LEN(R1565),"Valid","Invalid")</f>
        <v>Valid</v>
      </c>
      <c r="T1565" t="s">
        <v>1401</v>
      </c>
      <c r="V1565" t="s">
        <v>123</v>
      </c>
      <c r="X1565">
        <v>21359.32</v>
      </c>
      <c r="Y1565" t="s">
        <v>64</v>
      </c>
      <c r="Z1565">
        <v>142</v>
      </c>
      <c r="AA1565">
        <f t="shared" si="49"/>
        <v>142</v>
      </c>
      <c r="AB1565" t="s">
        <v>77</v>
      </c>
    </row>
    <row r="1566" spans="1:28" x14ac:dyDescent="0.3">
      <c r="A1566" t="s">
        <v>1400</v>
      </c>
      <c r="B1566" t="s">
        <v>1399</v>
      </c>
      <c r="C1566" t="s">
        <v>1399</v>
      </c>
      <c r="D1566" t="s">
        <v>40</v>
      </c>
      <c r="E1566">
        <v>20</v>
      </c>
      <c r="F1566">
        <v>20</v>
      </c>
      <c r="G1566" t="s">
        <v>54</v>
      </c>
      <c r="H1566" t="s">
        <v>54</v>
      </c>
      <c r="I1566" t="s">
        <v>85</v>
      </c>
      <c r="J1566" t="s">
        <v>85</v>
      </c>
      <c r="K1566" s="1">
        <v>46048</v>
      </c>
      <c r="L1566" s="1" t="str">
        <f>IF(K1566&gt;O1566,"Valid","Invalid")</f>
        <v>Valid</v>
      </c>
      <c r="M1566" s="1" t="b">
        <f>ISNUMBER(K1566)</f>
        <v>1</v>
      </c>
      <c r="N1566" s="1" t="b">
        <f>ISNUMBER(O1566)</f>
        <v>1</v>
      </c>
      <c r="O1566" s="1">
        <v>46020</v>
      </c>
      <c r="P1566" t="s">
        <v>1398</v>
      </c>
      <c r="Q1566" t="str">
        <f>SUBSTITUTE(SUBSTITUTE(SUBSTITUTE(P1566," ",""),"-",""),"+","")</f>
        <v>02528490309</v>
      </c>
      <c r="R1566" t="str">
        <f t="shared" si="48"/>
        <v>2528490309</v>
      </c>
      <c r="S1566" t="str">
        <f>IF(LEN(R1566),"Valid","Invalid")</f>
        <v>Valid</v>
      </c>
      <c r="T1566" t="s">
        <v>1397</v>
      </c>
      <c r="V1566" t="s">
        <v>64</v>
      </c>
      <c r="X1566">
        <v>23372.48</v>
      </c>
      <c r="Y1566" t="s">
        <v>26</v>
      </c>
      <c r="Z1566">
        <v>126</v>
      </c>
      <c r="AA1566">
        <f t="shared" si="49"/>
        <v>126</v>
      </c>
      <c r="AB1566" t="s">
        <v>77</v>
      </c>
    </row>
    <row r="1567" spans="1:28" x14ac:dyDescent="0.3">
      <c r="A1567" t="s">
        <v>1396</v>
      </c>
      <c r="B1567" t="s">
        <v>1395</v>
      </c>
      <c r="C1567" t="s">
        <v>1395</v>
      </c>
      <c r="E1567">
        <v>23</v>
      </c>
      <c r="F1567">
        <v>23</v>
      </c>
      <c r="G1567" t="s">
        <v>47</v>
      </c>
      <c r="H1567" t="s">
        <v>47</v>
      </c>
      <c r="I1567" t="s">
        <v>53</v>
      </c>
      <c r="J1567" t="s">
        <v>20</v>
      </c>
      <c r="K1567" s="1">
        <v>46069</v>
      </c>
      <c r="L1567" s="1" t="str">
        <f>IF(K1567&gt;O1567,"Valid","Invalid")</f>
        <v>Valid</v>
      </c>
      <c r="M1567" s="1" t="b">
        <f>ISNUMBER(K1567)</f>
        <v>1</v>
      </c>
      <c r="N1567" s="1" t="b">
        <f>ISNUMBER(O1567)</f>
        <v>1</v>
      </c>
      <c r="O1567" s="1">
        <v>46060</v>
      </c>
      <c r="P1567" t="s">
        <v>1394</v>
      </c>
      <c r="Q1567" t="str">
        <f>SUBSTITUTE(SUBSTITUTE(SUBSTITUTE(P1567," ",""),"-",""),"+","")</f>
        <v>914901473761</v>
      </c>
      <c r="R1567" t="str">
        <f t="shared" si="48"/>
        <v>4901473761</v>
      </c>
      <c r="S1567" t="str">
        <f>IF(LEN(R1567),"Valid","Invalid")</f>
        <v>Valid</v>
      </c>
      <c r="T1567" t="s">
        <v>1393</v>
      </c>
      <c r="V1567" t="s">
        <v>57</v>
      </c>
      <c r="X1567">
        <v>17032.75</v>
      </c>
      <c r="Y1567" t="s">
        <v>17</v>
      </c>
      <c r="Z1567">
        <v>441</v>
      </c>
      <c r="AA1567">
        <f t="shared" si="49"/>
        <v>441</v>
      </c>
      <c r="AB1567" t="s">
        <v>34</v>
      </c>
    </row>
    <row r="1568" spans="1:28" x14ac:dyDescent="0.3">
      <c r="A1568" t="s">
        <v>1392</v>
      </c>
      <c r="B1568" t="s">
        <v>1391</v>
      </c>
      <c r="C1568" t="s">
        <v>1391</v>
      </c>
      <c r="D1568" t="s">
        <v>74</v>
      </c>
      <c r="E1568">
        <v>6</v>
      </c>
      <c r="F1568">
        <v>6</v>
      </c>
      <c r="G1568" t="s">
        <v>39</v>
      </c>
      <c r="H1568" t="s">
        <v>39</v>
      </c>
      <c r="I1568" t="s">
        <v>30</v>
      </c>
      <c r="J1568" t="s">
        <v>30</v>
      </c>
      <c r="K1568" s="1">
        <v>46158</v>
      </c>
      <c r="L1568" s="1" t="str">
        <f>IF(K1568&gt;O1568,"Valid","Invalid")</f>
        <v>Valid</v>
      </c>
      <c r="M1568" s="1" t="b">
        <f>ISNUMBER(K1568)</f>
        <v>1</v>
      </c>
      <c r="N1568" s="1" t="b">
        <f>ISNUMBER(O1568)</f>
        <v>1</v>
      </c>
      <c r="O1568" s="1">
        <v>46148</v>
      </c>
      <c r="P1568" t="s">
        <v>1390</v>
      </c>
      <c r="Q1568" t="str">
        <f>SUBSTITUTE(SUBSTITUTE(SUBSTITUTE(P1568," ",""),"-",""),"+","")</f>
        <v>01498600045</v>
      </c>
      <c r="R1568" t="str">
        <f t="shared" si="48"/>
        <v>1498600045</v>
      </c>
      <c r="S1568" t="str">
        <f>IF(LEN(R1568),"Valid","Invalid")</f>
        <v>Valid</v>
      </c>
      <c r="T1568" t="s">
        <v>1389</v>
      </c>
      <c r="V1568" t="s">
        <v>64</v>
      </c>
      <c r="X1568">
        <v>1165.77</v>
      </c>
      <c r="Y1568" t="s">
        <v>64</v>
      </c>
      <c r="Z1568">
        <v>120</v>
      </c>
      <c r="AA1568">
        <f t="shared" si="49"/>
        <v>120</v>
      </c>
      <c r="AB1568" t="s">
        <v>34</v>
      </c>
    </row>
    <row r="1569" spans="1:28" x14ac:dyDescent="0.3">
      <c r="A1569" t="s">
        <v>1388</v>
      </c>
      <c r="B1569" t="s">
        <v>1387</v>
      </c>
      <c r="C1569" t="s">
        <v>1387</v>
      </c>
      <c r="D1569" t="s">
        <v>40</v>
      </c>
      <c r="E1569">
        <v>25</v>
      </c>
      <c r="F1569">
        <v>25</v>
      </c>
      <c r="G1569" t="s">
        <v>39</v>
      </c>
      <c r="H1569" t="s">
        <v>39</v>
      </c>
      <c r="I1569" t="s">
        <v>90</v>
      </c>
      <c r="J1569" t="s">
        <v>67</v>
      </c>
      <c r="K1569" s="1">
        <v>46053</v>
      </c>
      <c r="L1569" s="1" t="str">
        <f>IF(K1569&gt;O1569,"Valid","Invalid")</f>
        <v>Valid</v>
      </c>
      <c r="M1569" s="1" t="b">
        <f>ISNUMBER(K1569)</f>
        <v>1</v>
      </c>
      <c r="N1569" s="1" t="b">
        <f>ISNUMBER(O1569)</f>
        <v>1</v>
      </c>
      <c r="O1569" s="1">
        <v>46027</v>
      </c>
      <c r="P1569" t="s">
        <v>1386</v>
      </c>
      <c r="Q1569" t="str">
        <f>SUBSTITUTE(SUBSTITUTE(SUBSTITUTE(P1569," ",""),"-",""),"+","")</f>
        <v>05510783440</v>
      </c>
      <c r="R1569" t="str">
        <f t="shared" si="48"/>
        <v>5510783440</v>
      </c>
      <c r="S1569" t="str">
        <f>IF(LEN(R1569),"Valid","Invalid")</f>
        <v>Valid</v>
      </c>
      <c r="T1569" t="s">
        <v>1385</v>
      </c>
      <c r="V1569" t="s">
        <v>123</v>
      </c>
      <c r="X1569">
        <v>2866.95</v>
      </c>
      <c r="Y1569" t="s">
        <v>63</v>
      </c>
      <c r="Z1569">
        <v>415</v>
      </c>
      <c r="AA1569">
        <f t="shared" si="49"/>
        <v>415</v>
      </c>
      <c r="AB1569" t="s">
        <v>50</v>
      </c>
    </row>
    <row r="1570" spans="1:28" x14ac:dyDescent="0.3">
      <c r="A1570" t="s">
        <v>1384</v>
      </c>
      <c r="B1570" t="s">
        <v>1383</v>
      </c>
      <c r="C1570" t="s">
        <v>1383</v>
      </c>
      <c r="D1570" t="s">
        <v>74</v>
      </c>
      <c r="E1570">
        <v>79</v>
      </c>
      <c r="F1570">
        <v>79</v>
      </c>
      <c r="G1570" t="s">
        <v>132</v>
      </c>
      <c r="H1570" t="s">
        <v>132</v>
      </c>
      <c r="I1570" t="s">
        <v>53</v>
      </c>
      <c r="J1570" t="s">
        <v>20</v>
      </c>
      <c r="K1570" s="1">
        <v>46151</v>
      </c>
      <c r="L1570" s="1" t="str">
        <f>IF(K1570&gt;O1570,"Valid","Invalid")</f>
        <v>Valid</v>
      </c>
      <c r="M1570" s="1" t="b">
        <f>ISNUMBER(K1570)</f>
        <v>1</v>
      </c>
      <c r="N1570" s="1" t="b">
        <f>ISNUMBER(O1570)</f>
        <v>1</v>
      </c>
      <c r="O1570" s="1">
        <v>46149</v>
      </c>
      <c r="P1570" t="s">
        <v>1382</v>
      </c>
      <c r="Q1570" t="str">
        <f>SUBSTITUTE(SUBSTITUTE(SUBSTITUTE(P1570," ",""),"-",""),"+","")</f>
        <v>1191383893</v>
      </c>
      <c r="R1570" t="str">
        <f t="shared" si="48"/>
        <v>1191383893</v>
      </c>
      <c r="S1570" t="str">
        <f>IF(LEN(R1570),"Valid","Invalid")</f>
        <v>Valid</v>
      </c>
      <c r="T1570" t="s">
        <v>1381</v>
      </c>
      <c r="V1570" t="s">
        <v>123</v>
      </c>
      <c r="X1570">
        <v>15232.96</v>
      </c>
      <c r="Y1570" t="s">
        <v>63</v>
      </c>
      <c r="Z1570">
        <v>180</v>
      </c>
      <c r="AA1570">
        <f t="shared" si="49"/>
        <v>180</v>
      </c>
      <c r="AB1570" t="s">
        <v>25</v>
      </c>
    </row>
    <row r="1571" spans="1:28" x14ac:dyDescent="0.3">
      <c r="A1571" t="s">
        <v>1380</v>
      </c>
      <c r="B1571" t="s">
        <v>1379</v>
      </c>
      <c r="C1571" t="s">
        <v>1379</v>
      </c>
      <c r="D1571" t="s">
        <v>74</v>
      </c>
      <c r="E1571">
        <v>64</v>
      </c>
      <c r="F1571">
        <v>64</v>
      </c>
      <c r="G1571" t="s">
        <v>21</v>
      </c>
      <c r="H1571" t="s">
        <v>21</v>
      </c>
      <c r="I1571" t="s">
        <v>30</v>
      </c>
      <c r="J1571" t="s">
        <v>30</v>
      </c>
      <c r="K1571" s="1">
        <v>46138</v>
      </c>
      <c r="L1571" s="1" t="str">
        <f>IF(K1571&gt;O1571,"Valid","Invalid")</f>
        <v>Valid</v>
      </c>
      <c r="M1571" s="1" t="b">
        <f>ISNUMBER(K1571)</f>
        <v>1</v>
      </c>
      <c r="N1571" s="1" t="b">
        <f>ISNUMBER(O1571)</f>
        <v>1</v>
      </c>
      <c r="O1571" s="1">
        <v>46137</v>
      </c>
      <c r="P1571" t="s">
        <v>1378</v>
      </c>
      <c r="Q1571" t="str">
        <f>SUBSTITUTE(SUBSTITUTE(SUBSTITUTE(P1571," ",""),"-",""),"+","")</f>
        <v>9789752900</v>
      </c>
      <c r="R1571" t="str">
        <f t="shared" si="48"/>
        <v>9789752900</v>
      </c>
      <c r="S1571" t="str">
        <f>IF(LEN(R1571),"Valid","Invalid")</f>
        <v>Valid</v>
      </c>
      <c r="T1571" t="s">
        <v>1377</v>
      </c>
      <c r="V1571" t="s">
        <v>123</v>
      </c>
      <c r="X1571">
        <v>21333.48</v>
      </c>
      <c r="Y1571" t="s">
        <v>26</v>
      </c>
      <c r="Z1571">
        <v>455</v>
      </c>
      <c r="AA1571">
        <f t="shared" si="49"/>
        <v>455</v>
      </c>
      <c r="AB1571" t="s">
        <v>16</v>
      </c>
    </row>
    <row r="1572" spans="1:28" x14ac:dyDescent="0.3">
      <c r="A1572" t="s">
        <v>1376</v>
      </c>
      <c r="B1572" t="s">
        <v>1375</v>
      </c>
      <c r="C1572" t="s">
        <v>1375</v>
      </c>
      <c r="E1572">
        <v>46</v>
      </c>
      <c r="F1572">
        <v>46</v>
      </c>
      <c r="G1572" t="s">
        <v>132</v>
      </c>
      <c r="H1572" t="s">
        <v>132</v>
      </c>
      <c r="I1572" t="s">
        <v>30</v>
      </c>
      <c r="J1572" t="s">
        <v>30</v>
      </c>
      <c r="K1572" s="1">
        <v>46154</v>
      </c>
      <c r="L1572" s="1" t="str">
        <f>IF(K1572&gt;O1572,"Valid","Invalid")</f>
        <v>Valid</v>
      </c>
      <c r="M1572" s="1" t="b">
        <f>ISNUMBER(K1572)</f>
        <v>1</v>
      </c>
      <c r="N1572" s="1" t="b">
        <f>ISNUMBER(O1572)</f>
        <v>1</v>
      </c>
      <c r="O1572" s="1">
        <v>46134</v>
      </c>
      <c r="P1572" t="s">
        <v>1374</v>
      </c>
      <c r="Q1572" t="str">
        <f>SUBSTITUTE(SUBSTITUTE(SUBSTITUTE(P1572," ",""),"-",""),"+","")</f>
        <v>914895806368</v>
      </c>
      <c r="R1572" t="str">
        <f t="shared" si="48"/>
        <v>4895806368</v>
      </c>
      <c r="S1572" t="str">
        <f>IF(LEN(R1572),"Valid","Invalid")</f>
        <v>Valid</v>
      </c>
      <c r="T1572" t="s">
        <v>1373</v>
      </c>
      <c r="V1572" t="s">
        <v>123</v>
      </c>
      <c r="X1572">
        <v>10565.65</v>
      </c>
      <c r="Y1572" t="s">
        <v>57</v>
      </c>
      <c r="Z1572">
        <v>506</v>
      </c>
      <c r="AA1572">
        <f t="shared" si="49"/>
        <v>506</v>
      </c>
      <c r="AB1572" t="s">
        <v>50</v>
      </c>
    </row>
    <row r="1573" spans="1:28" x14ac:dyDescent="0.3">
      <c r="A1573" t="s">
        <v>1372</v>
      </c>
      <c r="B1573" t="s">
        <v>1371</v>
      </c>
      <c r="C1573" t="s">
        <v>1371</v>
      </c>
      <c r="D1573" t="s">
        <v>22</v>
      </c>
      <c r="E1573">
        <v>86</v>
      </c>
      <c r="F1573">
        <v>86</v>
      </c>
      <c r="G1573" t="s">
        <v>31</v>
      </c>
      <c r="H1573" t="s">
        <v>31</v>
      </c>
      <c r="I1573" t="s">
        <v>38</v>
      </c>
      <c r="J1573" t="s">
        <v>8077</v>
      </c>
      <c r="K1573" s="1">
        <v>46000</v>
      </c>
      <c r="L1573" s="1" t="str">
        <f>IF(K1573&gt;O1573,"Valid","Invalid")</f>
        <v>Valid</v>
      </c>
      <c r="M1573" s="1" t="b">
        <f>ISNUMBER(K1573)</f>
        <v>1</v>
      </c>
      <c r="N1573" s="1" t="b">
        <f>ISNUMBER(O1573)</f>
        <v>1</v>
      </c>
      <c r="O1573" s="1">
        <v>45993</v>
      </c>
      <c r="P1573" t="s">
        <v>1370</v>
      </c>
      <c r="Q1573" t="str">
        <f>SUBSTITUTE(SUBSTITUTE(SUBSTITUTE(P1573," ",""),"-",""),"+","")</f>
        <v>912993580359</v>
      </c>
      <c r="R1573" t="str">
        <f t="shared" si="48"/>
        <v>2993580359</v>
      </c>
      <c r="S1573" t="str">
        <f>IF(LEN(R1573),"Valid","Invalid")</f>
        <v>Valid</v>
      </c>
      <c r="T1573" t="s">
        <v>1369</v>
      </c>
      <c r="V1573" t="s">
        <v>123</v>
      </c>
      <c r="X1573">
        <v>3888.28</v>
      </c>
      <c r="Y1573" t="s">
        <v>26</v>
      </c>
      <c r="Z1573">
        <v>118</v>
      </c>
      <c r="AA1573">
        <f t="shared" si="49"/>
        <v>118</v>
      </c>
      <c r="AB1573" t="s">
        <v>77</v>
      </c>
    </row>
    <row r="1574" spans="1:28" x14ac:dyDescent="0.3">
      <c r="A1574" t="s">
        <v>1368</v>
      </c>
      <c r="B1574" t="s">
        <v>1367</v>
      </c>
      <c r="C1574" t="s">
        <v>1367</v>
      </c>
      <c r="D1574" t="s">
        <v>40</v>
      </c>
      <c r="E1574">
        <v>76</v>
      </c>
      <c r="F1574">
        <v>76</v>
      </c>
      <c r="G1574" t="s">
        <v>80</v>
      </c>
      <c r="H1574" t="s">
        <v>80</v>
      </c>
      <c r="I1574" t="s">
        <v>53</v>
      </c>
      <c r="J1574" t="s">
        <v>20</v>
      </c>
      <c r="K1574" s="1">
        <v>46118</v>
      </c>
      <c r="L1574" s="1" t="str">
        <f>IF(K1574&gt;O1574,"Valid","Invalid")</f>
        <v>Valid</v>
      </c>
      <c r="M1574" s="1" t="b">
        <f>ISNUMBER(K1574)</f>
        <v>1</v>
      </c>
      <c r="N1574" s="1" t="b">
        <f>ISNUMBER(O1574)</f>
        <v>1</v>
      </c>
      <c r="O1574" s="1">
        <v>46115</v>
      </c>
      <c r="P1574" t="s">
        <v>1366</v>
      </c>
      <c r="Q1574" t="str">
        <f>SUBSTITUTE(SUBSTITUTE(SUBSTITUTE(P1574," ",""),"-",""),"+","")</f>
        <v>09174153839</v>
      </c>
      <c r="R1574" t="str">
        <f t="shared" si="48"/>
        <v>9174153839</v>
      </c>
      <c r="S1574" t="str">
        <f>IF(LEN(R1574),"Valid","Invalid")</f>
        <v>Valid</v>
      </c>
      <c r="T1574" t="s">
        <v>1365</v>
      </c>
      <c r="V1574" t="s">
        <v>123</v>
      </c>
      <c r="X1574">
        <v>3327.52</v>
      </c>
      <c r="Y1574" t="s">
        <v>64</v>
      </c>
      <c r="Z1574">
        <v>244</v>
      </c>
      <c r="AA1574">
        <f t="shared" si="49"/>
        <v>244</v>
      </c>
      <c r="AB1574" t="s">
        <v>50</v>
      </c>
    </row>
    <row r="1575" spans="1:28" x14ac:dyDescent="0.3">
      <c r="A1575" t="s">
        <v>1364</v>
      </c>
      <c r="B1575" t="s">
        <v>1363</v>
      </c>
      <c r="C1575" t="s">
        <v>1363</v>
      </c>
      <c r="D1575" t="s">
        <v>60</v>
      </c>
      <c r="E1575">
        <v>89</v>
      </c>
      <c r="F1575">
        <v>89</v>
      </c>
      <c r="G1575" t="s">
        <v>31</v>
      </c>
      <c r="H1575" t="s">
        <v>31</v>
      </c>
      <c r="I1575" t="s">
        <v>38</v>
      </c>
      <c r="J1575" t="s">
        <v>8077</v>
      </c>
      <c r="K1575" s="1">
        <v>46025</v>
      </c>
      <c r="L1575" s="1" t="str">
        <f>IF(K1575&gt;O1575,"Valid","Invalid")</f>
        <v>Valid</v>
      </c>
      <c r="M1575" s="1" t="b">
        <f>ISNUMBER(K1575)</f>
        <v>1</v>
      </c>
      <c r="N1575" s="1" t="b">
        <f>ISNUMBER(O1575)</f>
        <v>1</v>
      </c>
      <c r="O1575" s="1">
        <v>46003</v>
      </c>
      <c r="P1575" t="s">
        <v>1362</v>
      </c>
      <c r="Q1575" t="str">
        <f>SUBSTITUTE(SUBSTITUTE(SUBSTITUTE(P1575," ",""),"-",""),"+","")</f>
        <v>0681245082</v>
      </c>
      <c r="R1575" t="str">
        <f t="shared" si="48"/>
        <v>0681245082</v>
      </c>
      <c r="S1575" t="str">
        <f>IF(LEN(R1575),"Valid","Invalid")</f>
        <v>Valid</v>
      </c>
      <c r="T1575" t="s">
        <v>1361</v>
      </c>
      <c r="V1575" t="s">
        <v>123</v>
      </c>
      <c r="X1575">
        <v>10996.3</v>
      </c>
      <c r="Y1575" t="s">
        <v>64</v>
      </c>
      <c r="Z1575">
        <v>429</v>
      </c>
      <c r="AA1575">
        <f t="shared" si="49"/>
        <v>429</v>
      </c>
      <c r="AB1575" t="s">
        <v>25</v>
      </c>
    </row>
    <row r="1576" spans="1:28" x14ac:dyDescent="0.3">
      <c r="A1576" t="s">
        <v>1360</v>
      </c>
      <c r="B1576" t="s">
        <v>1359</v>
      </c>
      <c r="C1576" t="s">
        <v>1359</v>
      </c>
      <c r="D1576" t="s">
        <v>22</v>
      </c>
      <c r="E1576">
        <v>27</v>
      </c>
      <c r="F1576">
        <v>27</v>
      </c>
      <c r="G1576" t="s">
        <v>68</v>
      </c>
      <c r="H1576" t="s">
        <v>68</v>
      </c>
      <c r="I1576" t="s">
        <v>46</v>
      </c>
      <c r="J1576" t="s">
        <v>46</v>
      </c>
      <c r="K1576" s="1">
        <v>46125</v>
      </c>
      <c r="L1576" s="1" t="str">
        <f>IF(K1576&gt;O1576,"Valid","Invalid")</f>
        <v>Valid</v>
      </c>
      <c r="M1576" s="1" t="b">
        <f>ISNUMBER(K1576)</f>
        <v>1</v>
      </c>
      <c r="N1576" s="1" t="b">
        <f>ISNUMBER(O1576)</f>
        <v>1</v>
      </c>
      <c r="O1576" s="1">
        <v>46114</v>
      </c>
      <c r="P1576" t="s">
        <v>1358</v>
      </c>
      <c r="Q1576" t="str">
        <f>SUBSTITUTE(SUBSTITUTE(SUBSTITUTE(P1576," ",""),"-",""),"+","")</f>
        <v>07566737656</v>
      </c>
      <c r="R1576" t="str">
        <f t="shared" si="48"/>
        <v>7566737656</v>
      </c>
      <c r="S1576" t="str">
        <f>IF(LEN(R1576),"Valid","Invalid")</f>
        <v>Valid</v>
      </c>
      <c r="T1576" t="s">
        <v>1357</v>
      </c>
      <c r="V1576" t="s">
        <v>35</v>
      </c>
      <c r="X1576">
        <v>9891.7000000000007</v>
      </c>
      <c r="Y1576" t="s">
        <v>17</v>
      </c>
      <c r="Z1576">
        <v>133</v>
      </c>
      <c r="AA1576">
        <f t="shared" si="49"/>
        <v>133</v>
      </c>
      <c r="AB1576" t="s">
        <v>77</v>
      </c>
    </row>
    <row r="1577" spans="1:28" x14ac:dyDescent="0.3">
      <c r="A1577" t="s">
        <v>1356</v>
      </c>
      <c r="B1577" t="s">
        <v>1355</v>
      </c>
      <c r="C1577" t="s">
        <v>1355</v>
      </c>
      <c r="D1577" t="s">
        <v>40</v>
      </c>
      <c r="E1577">
        <v>33</v>
      </c>
      <c r="F1577">
        <v>33</v>
      </c>
      <c r="G1577" t="s">
        <v>54</v>
      </c>
      <c r="H1577" t="s">
        <v>54</v>
      </c>
      <c r="I1577" t="s">
        <v>53</v>
      </c>
      <c r="J1577" t="s">
        <v>20</v>
      </c>
      <c r="K1577" s="1">
        <v>46030</v>
      </c>
      <c r="L1577" s="1" t="str">
        <f>IF(K1577&gt;O1577,"Valid","Invalid")</f>
        <v>Valid</v>
      </c>
      <c r="M1577" s="1" t="b">
        <f>ISNUMBER(K1577)</f>
        <v>1</v>
      </c>
      <c r="N1577" s="1" t="b">
        <f>ISNUMBER(O1577)</f>
        <v>1</v>
      </c>
      <c r="O1577" s="1">
        <v>46004</v>
      </c>
      <c r="P1577" t="s">
        <v>1354</v>
      </c>
      <c r="Q1577" t="str">
        <f>SUBSTITUTE(SUBSTITUTE(SUBSTITUTE(P1577," ",""),"-",""),"+","")</f>
        <v>05231749789</v>
      </c>
      <c r="R1577" t="str">
        <f t="shared" si="48"/>
        <v>5231749789</v>
      </c>
      <c r="S1577" t="str">
        <f>IF(LEN(R1577),"Valid","Invalid")</f>
        <v>Valid</v>
      </c>
      <c r="T1577" t="s">
        <v>1353</v>
      </c>
      <c r="V1577" t="s">
        <v>123</v>
      </c>
      <c r="X1577">
        <v>11694.9</v>
      </c>
      <c r="Y1577" t="s">
        <v>123</v>
      </c>
      <c r="Z1577">
        <v>501</v>
      </c>
      <c r="AA1577">
        <f t="shared" si="49"/>
        <v>501</v>
      </c>
      <c r="AB1577" t="s">
        <v>25</v>
      </c>
    </row>
    <row r="1578" spans="1:28" x14ac:dyDescent="0.3">
      <c r="A1578" t="s">
        <v>1352</v>
      </c>
      <c r="B1578" t="s">
        <v>1351</v>
      </c>
      <c r="C1578" t="s">
        <v>1351</v>
      </c>
      <c r="D1578" t="s">
        <v>60</v>
      </c>
      <c r="E1578">
        <v>58</v>
      </c>
      <c r="F1578">
        <v>58</v>
      </c>
      <c r="G1578" t="s">
        <v>39</v>
      </c>
      <c r="H1578" t="s">
        <v>39</v>
      </c>
      <c r="I1578" t="s">
        <v>67</v>
      </c>
      <c r="J1578" t="s">
        <v>67</v>
      </c>
      <c r="K1578" s="1">
        <v>46064</v>
      </c>
      <c r="L1578" s="1" t="str">
        <f>IF(K1578&gt;O1578,"Valid","Invalid")</f>
        <v>Valid</v>
      </c>
      <c r="M1578" s="1" t="b">
        <f>ISNUMBER(K1578)</f>
        <v>1</v>
      </c>
      <c r="N1578" s="1" t="b">
        <f>ISNUMBER(O1578)</f>
        <v>1</v>
      </c>
      <c r="O1578" s="1">
        <v>46041</v>
      </c>
      <c r="P1578" t="s">
        <v>1350</v>
      </c>
      <c r="Q1578" t="str">
        <f>SUBSTITUTE(SUBSTITUTE(SUBSTITUTE(P1578," ",""),"-",""),"+","")</f>
        <v>914131867260</v>
      </c>
      <c r="R1578" t="str">
        <f t="shared" si="48"/>
        <v>4131867260</v>
      </c>
      <c r="S1578" t="str">
        <f>IF(LEN(R1578),"Valid","Invalid")</f>
        <v>Valid</v>
      </c>
      <c r="T1578" t="s">
        <v>1349</v>
      </c>
      <c r="V1578" t="s">
        <v>123</v>
      </c>
      <c r="X1578">
        <v>16528.439999999999</v>
      </c>
      <c r="Y1578" t="s">
        <v>26</v>
      </c>
      <c r="Z1578">
        <v>103</v>
      </c>
      <c r="AA1578">
        <f t="shared" si="49"/>
        <v>103</v>
      </c>
      <c r="AB1578" t="s">
        <v>50</v>
      </c>
    </row>
    <row r="1579" spans="1:28" x14ac:dyDescent="0.3">
      <c r="A1579" t="s">
        <v>1348</v>
      </c>
      <c r="B1579" t="s">
        <v>1347</v>
      </c>
      <c r="C1579" t="s">
        <v>1347</v>
      </c>
      <c r="D1579" t="s">
        <v>0</v>
      </c>
      <c r="E1579">
        <v>33</v>
      </c>
      <c r="F1579">
        <v>33</v>
      </c>
      <c r="G1579" t="s">
        <v>54</v>
      </c>
      <c r="H1579" t="s">
        <v>54</v>
      </c>
      <c r="I1579" t="s">
        <v>20</v>
      </c>
      <c r="J1579" t="s">
        <v>20</v>
      </c>
      <c r="K1579" s="1">
        <v>46075</v>
      </c>
      <c r="L1579" s="1" t="str">
        <f>IF(K1579&gt;O1579,"Valid","Invalid")</f>
        <v>Valid</v>
      </c>
      <c r="M1579" s="1" t="b">
        <f>ISNUMBER(K1579)</f>
        <v>1</v>
      </c>
      <c r="N1579" s="1" t="b">
        <f>ISNUMBER(O1579)</f>
        <v>1</v>
      </c>
      <c r="O1579" s="1">
        <v>46060</v>
      </c>
      <c r="P1579" t="s">
        <v>1346</v>
      </c>
      <c r="Q1579" t="str">
        <f>SUBSTITUTE(SUBSTITUTE(SUBSTITUTE(P1579," ",""),"-",""),"+","")</f>
        <v>08042150449</v>
      </c>
      <c r="R1579" t="str">
        <f t="shared" si="48"/>
        <v>8042150449</v>
      </c>
      <c r="S1579" t="str">
        <f>IF(LEN(R1579),"Valid","Invalid")</f>
        <v>Valid</v>
      </c>
      <c r="T1579" t="s">
        <v>1345</v>
      </c>
      <c r="V1579" t="s">
        <v>57</v>
      </c>
      <c r="X1579">
        <v>3874.56</v>
      </c>
      <c r="Y1579" t="s">
        <v>26</v>
      </c>
      <c r="Z1579">
        <v>222</v>
      </c>
      <c r="AA1579">
        <f t="shared" si="49"/>
        <v>222</v>
      </c>
      <c r="AB1579" t="s">
        <v>34</v>
      </c>
    </row>
    <row r="1580" spans="1:28" x14ac:dyDescent="0.3">
      <c r="A1580" t="s">
        <v>1344</v>
      </c>
      <c r="B1580" t="s">
        <v>1343</v>
      </c>
      <c r="C1580" t="s">
        <v>1343</v>
      </c>
      <c r="E1580">
        <v>36</v>
      </c>
      <c r="F1580">
        <v>36</v>
      </c>
      <c r="G1580" t="s">
        <v>21</v>
      </c>
      <c r="H1580" t="s">
        <v>21</v>
      </c>
      <c r="I1580" t="s">
        <v>53</v>
      </c>
      <c r="J1580" t="s">
        <v>20</v>
      </c>
      <c r="K1580" s="1">
        <v>46121</v>
      </c>
      <c r="L1580" s="1" t="str">
        <f>IF(K1580&gt;O1580,"Valid","Invalid")</f>
        <v>Valid</v>
      </c>
      <c r="M1580" s="1" t="b">
        <f>ISNUMBER(K1580)</f>
        <v>1</v>
      </c>
      <c r="N1580" s="1" t="b">
        <f>ISNUMBER(O1580)</f>
        <v>1</v>
      </c>
      <c r="O1580" s="1">
        <v>46108</v>
      </c>
      <c r="P1580" t="s">
        <v>1342</v>
      </c>
      <c r="Q1580" t="str">
        <f>SUBSTITUTE(SUBSTITUTE(SUBSTITUTE(P1580," ",""),"-",""),"+","")</f>
        <v>913342183540</v>
      </c>
      <c r="R1580" t="str">
        <f t="shared" si="48"/>
        <v>3342183540</v>
      </c>
      <c r="S1580" t="str">
        <f>IF(LEN(R1580),"Valid","Invalid")</f>
        <v>Valid</v>
      </c>
      <c r="T1580" t="s">
        <v>1341</v>
      </c>
      <c r="V1580" t="s">
        <v>27</v>
      </c>
      <c r="X1580">
        <v>19317.330000000002</v>
      </c>
      <c r="Y1580" t="s">
        <v>17</v>
      </c>
      <c r="Z1580">
        <v>464</v>
      </c>
      <c r="AA1580">
        <f t="shared" si="49"/>
        <v>464</v>
      </c>
      <c r="AB1580" t="s">
        <v>43</v>
      </c>
    </row>
    <row r="1581" spans="1:28" x14ac:dyDescent="0.3">
      <c r="A1581" t="s">
        <v>1340</v>
      </c>
      <c r="B1581" t="s">
        <v>1339</v>
      </c>
      <c r="C1581" t="s">
        <v>1339</v>
      </c>
      <c r="D1581" t="s">
        <v>60</v>
      </c>
      <c r="E1581">
        <v>44</v>
      </c>
      <c r="F1581">
        <v>44</v>
      </c>
      <c r="G1581" t="s">
        <v>47</v>
      </c>
      <c r="H1581" t="s">
        <v>47</v>
      </c>
      <c r="I1581" t="s">
        <v>20</v>
      </c>
      <c r="J1581" t="s">
        <v>20</v>
      </c>
      <c r="K1581" s="1">
        <v>45994</v>
      </c>
      <c r="L1581" s="1" t="str">
        <f>IF(K1581&gt;O1581,"Valid","Invalid")</f>
        <v>Valid</v>
      </c>
      <c r="M1581" s="1" t="b">
        <f>ISNUMBER(K1581)</f>
        <v>1</v>
      </c>
      <c r="N1581" s="1" t="b">
        <f>ISNUMBER(O1581)</f>
        <v>1</v>
      </c>
      <c r="O1581" s="1">
        <v>45979</v>
      </c>
      <c r="P1581" t="s">
        <v>1338</v>
      </c>
      <c r="Q1581" t="str">
        <f>SUBSTITUTE(SUBSTITUTE(SUBSTITUTE(P1581," ",""),"-",""),"+","")</f>
        <v>917725079142</v>
      </c>
      <c r="R1581" t="str">
        <f t="shared" si="48"/>
        <v>7725079142</v>
      </c>
      <c r="S1581" t="str">
        <f>IF(LEN(R1581),"Valid","Invalid")</f>
        <v>Valid</v>
      </c>
      <c r="T1581" t="s">
        <v>1337</v>
      </c>
      <c r="V1581" t="s">
        <v>17</v>
      </c>
      <c r="X1581">
        <v>5434.33</v>
      </c>
      <c r="Y1581" t="s">
        <v>17</v>
      </c>
      <c r="Z1581">
        <v>448</v>
      </c>
      <c r="AA1581">
        <f t="shared" si="49"/>
        <v>448</v>
      </c>
      <c r="AB1581" t="s">
        <v>25</v>
      </c>
    </row>
    <row r="1582" spans="1:28" x14ac:dyDescent="0.3">
      <c r="A1582" t="s">
        <v>1336</v>
      </c>
      <c r="B1582" t="s">
        <v>1335</v>
      </c>
      <c r="C1582" t="s">
        <v>1335</v>
      </c>
      <c r="D1582" t="s">
        <v>22</v>
      </c>
      <c r="E1582">
        <v>68</v>
      </c>
      <c r="F1582">
        <v>68</v>
      </c>
      <c r="G1582" t="s">
        <v>54</v>
      </c>
      <c r="H1582" t="s">
        <v>54</v>
      </c>
      <c r="I1582" t="s">
        <v>38</v>
      </c>
      <c r="J1582" t="s">
        <v>8077</v>
      </c>
      <c r="K1582" s="1">
        <v>46038</v>
      </c>
      <c r="L1582" s="1" t="str">
        <f>IF(K1582&gt;O1582,"Valid","Invalid")</f>
        <v>Valid</v>
      </c>
      <c r="M1582" s="1" t="b">
        <f>ISNUMBER(K1582)</f>
        <v>1</v>
      </c>
      <c r="N1582" s="1" t="b">
        <f>ISNUMBER(O1582)</f>
        <v>1</v>
      </c>
      <c r="O1582" s="1">
        <v>46025</v>
      </c>
      <c r="P1582" t="s">
        <v>1334</v>
      </c>
      <c r="Q1582" t="str">
        <f>SUBSTITUTE(SUBSTITUTE(SUBSTITUTE(P1582," ",""),"-",""),"+","")</f>
        <v>3441177430</v>
      </c>
      <c r="R1582" t="str">
        <f t="shared" si="48"/>
        <v>3441177430</v>
      </c>
      <c r="S1582" t="str">
        <f>IF(LEN(R1582),"Valid","Invalid")</f>
        <v>Valid</v>
      </c>
      <c r="T1582" t="s">
        <v>1333</v>
      </c>
      <c r="V1582" t="s">
        <v>27</v>
      </c>
      <c r="X1582">
        <v>11482.82</v>
      </c>
      <c r="Y1582" t="s">
        <v>63</v>
      </c>
      <c r="Z1582">
        <v>375</v>
      </c>
      <c r="AA1582">
        <f t="shared" si="49"/>
        <v>375</v>
      </c>
      <c r="AB1582" t="s">
        <v>50</v>
      </c>
    </row>
    <row r="1583" spans="1:28" x14ac:dyDescent="0.3">
      <c r="A1583" t="s">
        <v>1324</v>
      </c>
      <c r="B1583" t="s">
        <v>1323</v>
      </c>
      <c r="C1583" t="s">
        <v>1323</v>
      </c>
      <c r="D1583" t="s">
        <v>40</v>
      </c>
      <c r="E1583">
        <v>30</v>
      </c>
      <c r="F1583">
        <v>30</v>
      </c>
      <c r="G1583" t="s">
        <v>132</v>
      </c>
      <c r="H1583" t="s">
        <v>132</v>
      </c>
      <c r="I1583" t="s">
        <v>90</v>
      </c>
      <c r="J1583" t="s">
        <v>67</v>
      </c>
      <c r="K1583" s="1">
        <v>46116</v>
      </c>
      <c r="L1583" s="1" t="str">
        <f>IF(K1583&gt;O1583,"Valid","Invalid")</f>
        <v>Valid</v>
      </c>
      <c r="M1583" s="1" t="b">
        <f>ISNUMBER(K1583)</f>
        <v>1</v>
      </c>
      <c r="N1583" s="1" t="b">
        <f>ISNUMBER(O1583)</f>
        <v>1</v>
      </c>
      <c r="O1583" s="1">
        <v>46108</v>
      </c>
      <c r="P1583" t="s">
        <v>1322</v>
      </c>
      <c r="Q1583" t="str">
        <f>SUBSTITUTE(SUBSTITUTE(SUBSTITUTE(P1583," ",""),"-",""),"+","")</f>
        <v>6003349670</v>
      </c>
      <c r="R1583" t="str">
        <f t="shared" si="48"/>
        <v>6003349670</v>
      </c>
      <c r="S1583" t="str">
        <f>IF(LEN(R1583),"Valid","Invalid")</f>
        <v>Valid</v>
      </c>
      <c r="T1583" t="s">
        <v>1321</v>
      </c>
      <c r="V1583" t="s">
        <v>27</v>
      </c>
      <c r="X1583">
        <v>13362.42</v>
      </c>
      <c r="Y1583" t="s">
        <v>27</v>
      </c>
      <c r="Z1583">
        <v>213</v>
      </c>
      <c r="AA1583">
        <f t="shared" si="49"/>
        <v>213</v>
      </c>
      <c r="AB1583" t="s">
        <v>50</v>
      </c>
    </row>
    <row r="1584" spans="1:28" x14ac:dyDescent="0.3">
      <c r="A1584" t="s">
        <v>1320</v>
      </c>
      <c r="B1584" t="s">
        <v>1319</v>
      </c>
      <c r="C1584" t="s">
        <v>1319</v>
      </c>
      <c r="E1584">
        <v>31</v>
      </c>
      <c r="F1584">
        <v>31</v>
      </c>
      <c r="G1584" t="s">
        <v>54</v>
      </c>
      <c r="H1584" t="s">
        <v>54</v>
      </c>
      <c r="I1584" t="s">
        <v>46</v>
      </c>
      <c r="J1584" t="s">
        <v>46</v>
      </c>
      <c r="K1584" s="1">
        <v>46020</v>
      </c>
      <c r="L1584" s="1" t="str">
        <f>IF(K1584&gt;O1584,"Valid","Invalid")</f>
        <v>Valid</v>
      </c>
      <c r="M1584" s="1" t="b">
        <f>ISNUMBER(K1584)</f>
        <v>1</v>
      </c>
      <c r="N1584" s="1" t="b">
        <f>ISNUMBER(O1584)</f>
        <v>1</v>
      </c>
      <c r="O1584" s="1">
        <v>46007</v>
      </c>
      <c r="P1584" t="s">
        <v>1318</v>
      </c>
      <c r="Q1584" t="str">
        <f>SUBSTITUTE(SUBSTITUTE(SUBSTITUTE(P1584," ",""),"-",""),"+","")</f>
        <v>08767467316</v>
      </c>
      <c r="R1584" t="str">
        <f t="shared" si="48"/>
        <v>8767467316</v>
      </c>
      <c r="S1584" t="str">
        <f>IF(LEN(R1584),"Valid","Invalid")</f>
        <v>Valid</v>
      </c>
      <c r="T1584" t="s">
        <v>1317</v>
      </c>
      <c r="V1584" t="s">
        <v>27</v>
      </c>
      <c r="X1584">
        <v>23974.21</v>
      </c>
      <c r="Y1584" t="s">
        <v>63</v>
      </c>
      <c r="Z1584">
        <v>374</v>
      </c>
      <c r="AA1584">
        <f t="shared" si="49"/>
        <v>374</v>
      </c>
      <c r="AB1584" t="s">
        <v>50</v>
      </c>
    </row>
    <row r="1585" spans="1:28" x14ac:dyDescent="0.3">
      <c r="A1585" t="s">
        <v>1316</v>
      </c>
      <c r="B1585" t="s">
        <v>1315</v>
      </c>
      <c r="C1585" t="s">
        <v>1315</v>
      </c>
      <c r="D1585" t="s">
        <v>123</v>
      </c>
      <c r="E1585">
        <v>3</v>
      </c>
      <c r="F1585">
        <v>3</v>
      </c>
      <c r="G1585" t="s">
        <v>132</v>
      </c>
      <c r="H1585" t="s">
        <v>132</v>
      </c>
      <c r="I1585" t="s">
        <v>46</v>
      </c>
      <c r="J1585" t="s">
        <v>46</v>
      </c>
      <c r="K1585" s="1">
        <v>46131</v>
      </c>
      <c r="L1585" s="1" t="str">
        <f>IF(K1585&gt;O1585,"Valid","Invalid")</f>
        <v>Valid</v>
      </c>
      <c r="M1585" s="1" t="b">
        <f>ISNUMBER(K1585)</f>
        <v>1</v>
      </c>
      <c r="N1585" s="1" t="b">
        <f>ISNUMBER(O1585)</f>
        <v>1</v>
      </c>
      <c r="O1585" s="1">
        <v>46116</v>
      </c>
      <c r="P1585" t="s">
        <v>1314</v>
      </c>
      <c r="Q1585" t="str">
        <f>SUBSTITUTE(SUBSTITUTE(SUBSTITUTE(P1585," ",""),"-",""),"+","")</f>
        <v>919324090108</v>
      </c>
      <c r="R1585" t="str">
        <f t="shared" si="48"/>
        <v>9324090108</v>
      </c>
      <c r="S1585" t="str">
        <f>IF(LEN(R1585),"Valid","Invalid")</f>
        <v>Valid</v>
      </c>
      <c r="T1585" t="s">
        <v>1313</v>
      </c>
      <c r="V1585" t="s">
        <v>17</v>
      </c>
      <c r="X1585">
        <v>13445.43</v>
      </c>
      <c r="Y1585" t="s">
        <v>63</v>
      </c>
      <c r="Z1585">
        <v>499</v>
      </c>
      <c r="AA1585">
        <f t="shared" si="49"/>
        <v>499</v>
      </c>
      <c r="AB1585" t="s">
        <v>77</v>
      </c>
    </row>
    <row r="1586" spans="1:28" x14ac:dyDescent="0.3">
      <c r="A1586" t="s">
        <v>1312</v>
      </c>
      <c r="B1586" t="s">
        <v>1311</v>
      </c>
      <c r="C1586" t="s">
        <v>1311</v>
      </c>
      <c r="D1586" t="s">
        <v>1</v>
      </c>
      <c r="E1586">
        <v>50</v>
      </c>
      <c r="F1586">
        <v>50</v>
      </c>
      <c r="G1586" t="s">
        <v>31</v>
      </c>
      <c r="H1586" t="s">
        <v>31</v>
      </c>
      <c r="I1586" t="s">
        <v>53</v>
      </c>
      <c r="J1586" t="s">
        <v>20</v>
      </c>
      <c r="K1586" s="1">
        <v>46013</v>
      </c>
      <c r="L1586" s="1" t="str">
        <f>IF(K1586&gt;O1586,"Valid","Invalid")</f>
        <v>Valid</v>
      </c>
      <c r="M1586" s="1" t="b">
        <f>ISNUMBER(K1586)</f>
        <v>1</v>
      </c>
      <c r="N1586" s="1" t="b">
        <f>ISNUMBER(O1586)</f>
        <v>1</v>
      </c>
      <c r="O1586" s="1">
        <v>45996</v>
      </c>
      <c r="P1586" t="s">
        <v>1310</v>
      </c>
      <c r="Q1586" t="str">
        <f>SUBSTITUTE(SUBSTITUTE(SUBSTITUTE(P1586," ",""),"-",""),"+","")</f>
        <v>6309924193</v>
      </c>
      <c r="R1586" t="str">
        <f t="shared" si="48"/>
        <v>6309924193</v>
      </c>
      <c r="S1586" t="str">
        <f>IF(LEN(R1586),"Valid","Invalid")</f>
        <v>Valid</v>
      </c>
      <c r="T1586" t="s">
        <v>1309</v>
      </c>
      <c r="V1586" t="s">
        <v>17</v>
      </c>
      <c r="X1586">
        <v>552.44000000000005</v>
      </c>
      <c r="Y1586" t="s">
        <v>123</v>
      </c>
      <c r="Z1586">
        <v>140</v>
      </c>
      <c r="AA1586">
        <f t="shared" si="49"/>
        <v>140</v>
      </c>
      <c r="AB1586" t="s">
        <v>43</v>
      </c>
    </row>
    <row r="1587" spans="1:28" x14ac:dyDescent="0.3">
      <c r="A1587" t="s">
        <v>1308</v>
      </c>
      <c r="B1587" t="s">
        <v>1307</v>
      </c>
      <c r="C1587" t="s">
        <v>1307</v>
      </c>
      <c r="D1587" t="s">
        <v>1</v>
      </c>
      <c r="E1587">
        <v>62</v>
      </c>
      <c r="F1587">
        <v>62</v>
      </c>
      <c r="G1587" t="s">
        <v>47</v>
      </c>
      <c r="H1587" t="s">
        <v>47</v>
      </c>
      <c r="I1587" t="s">
        <v>20</v>
      </c>
      <c r="J1587" t="s">
        <v>20</v>
      </c>
      <c r="K1587" s="1">
        <v>46068</v>
      </c>
      <c r="L1587" s="1" t="str">
        <f>IF(K1587&gt;O1587,"Valid","Invalid")</f>
        <v>Valid</v>
      </c>
      <c r="M1587" s="1" t="b">
        <f>ISNUMBER(K1587)</f>
        <v>1</v>
      </c>
      <c r="N1587" s="1" t="b">
        <f>ISNUMBER(O1587)</f>
        <v>1</v>
      </c>
      <c r="O1587" s="1">
        <v>46064</v>
      </c>
      <c r="P1587" t="s">
        <v>1306</v>
      </c>
      <c r="Q1587" t="str">
        <f>SUBSTITUTE(SUBSTITUTE(SUBSTITUTE(P1587," ",""),"-",""),"+","")</f>
        <v>4999395421</v>
      </c>
      <c r="R1587" t="str">
        <f t="shared" si="48"/>
        <v>4999395421</v>
      </c>
      <c r="S1587" t="str">
        <f>IF(LEN(R1587),"Valid","Invalid")</f>
        <v>Valid</v>
      </c>
      <c r="T1587" t="s">
        <v>1305</v>
      </c>
      <c r="V1587" t="s">
        <v>26</v>
      </c>
      <c r="X1587">
        <v>4391.76</v>
      </c>
      <c r="Y1587" t="s">
        <v>63</v>
      </c>
      <c r="Z1587">
        <v>443</v>
      </c>
      <c r="AA1587">
        <f t="shared" si="49"/>
        <v>443</v>
      </c>
      <c r="AB1587" t="s">
        <v>43</v>
      </c>
    </row>
    <row r="1588" spans="1:28" x14ac:dyDescent="0.3">
      <c r="A1588" t="s">
        <v>1304</v>
      </c>
      <c r="B1588" t="s">
        <v>1303</v>
      </c>
      <c r="C1588" t="s">
        <v>1303</v>
      </c>
      <c r="D1588" t="s">
        <v>123</v>
      </c>
      <c r="E1588">
        <v>21</v>
      </c>
      <c r="F1588">
        <v>21</v>
      </c>
      <c r="G1588" t="s">
        <v>54</v>
      </c>
      <c r="H1588" t="s">
        <v>54</v>
      </c>
      <c r="I1588" t="s">
        <v>38</v>
      </c>
      <c r="J1588" t="s">
        <v>8077</v>
      </c>
      <c r="K1588" s="1">
        <v>46161</v>
      </c>
      <c r="L1588" s="1" t="str">
        <f>IF(K1588&gt;O1588,"Valid","Invalid")</f>
        <v>Valid</v>
      </c>
      <c r="M1588" s="1" t="b">
        <f>ISNUMBER(K1588)</f>
        <v>1</v>
      </c>
      <c r="N1588" s="1" t="b">
        <f>ISNUMBER(O1588)</f>
        <v>1</v>
      </c>
      <c r="O1588" s="1">
        <v>46138</v>
      </c>
      <c r="P1588" t="s">
        <v>1302</v>
      </c>
      <c r="Q1588" t="str">
        <f>SUBSTITUTE(SUBSTITUTE(SUBSTITUTE(P1588," ",""),"-",""),"+","")</f>
        <v>04170291726</v>
      </c>
      <c r="R1588" t="str">
        <f t="shared" si="48"/>
        <v>4170291726</v>
      </c>
      <c r="S1588" t="str">
        <f>IF(LEN(R1588),"Valid","Invalid")</f>
        <v>Valid</v>
      </c>
      <c r="T1588" t="s">
        <v>1301</v>
      </c>
      <c r="V1588" t="s">
        <v>35</v>
      </c>
      <c r="X1588">
        <v>9163.4500000000007</v>
      </c>
      <c r="Y1588" t="s">
        <v>63</v>
      </c>
      <c r="Z1588">
        <v>258</v>
      </c>
      <c r="AA1588">
        <f t="shared" si="49"/>
        <v>258</v>
      </c>
      <c r="AB1588" t="s">
        <v>34</v>
      </c>
    </row>
    <row r="1589" spans="1:28" x14ac:dyDescent="0.3">
      <c r="A1589" t="s">
        <v>1300</v>
      </c>
      <c r="B1589" t="s">
        <v>1299</v>
      </c>
      <c r="C1589" t="s">
        <v>1299</v>
      </c>
      <c r="D1589" t="s">
        <v>74</v>
      </c>
      <c r="E1589">
        <v>10</v>
      </c>
      <c r="F1589">
        <v>10</v>
      </c>
      <c r="G1589" t="s">
        <v>39</v>
      </c>
      <c r="H1589" t="s">
        <v>39</v>
      </c>
      <c r="I1589" t="s">
        <v>20</v>
      </c>
      <c r="J1589" t="s">
        <v>20</v>
      </c>
      <c r="K1589" s="1">
        <v>46031</v>
      </c>
      <c r="L1589" s="1" t="str">
        <f>IF(K1589&gt;O1589,"Valid","Invalid")</f>
        <v>Valid</v>
      </c>
      <c r="M1589" s="1" t="b">
        <f>ISNUMBER(K1589)</f>
        <v>1</v>
      </c>
      <c r="N1589" s="1" t="b">
        <f>ISNUMBER(O1589)</f>
        <v>1</v>
      </c>
      <c r="O1589" s="1">
        <v>46004</v>
      </c>
      <c r="P1589" t="s">
        <v>1298</v>
      </c>
      <c r="Q1589" t="str">
        <f>SUBSTITUTE(SUBSTITUTE(SUBSTITUTE(P1589," ",""),"-",""),"+","")</f>
        <v>09578206644</v>
      </c>
      <c r="R1589" t="str">
        <f t="shared" si="48"/>
        <v>9578206644</v>
      </c>
      <c r="S1589" t="str">
        <f>IF(LEN(R1589),"Valid","Invalid")</f>
        <v>Valid</v>
      </c>
      <c r="T1589" t="s">
        <v>1297</v>
      </c>
      <c r="V1589" t="s">
        <v>27</v>
      </c>
      <c r="X1589">
        <v>23848.92</v>
      </c>
      <c r="Y1589" t="s">
        <v>64</v>
      </c>
      <c r="Z1589">
        <v>498</v>
      </c>
      <c r="AA1589">
        <f t="shared" si="49"/>
        <v>498</v>
      </c>
      <c r="AB1589" t="s">
        <v>50</v>
      </c>
    </row>
    <row r="1590" spans="1:28" x14ac:dyDescent="0.3">
      <c r="A1590" t="s">
        <v>1296</v>
      </c>
      <c r="B1590" t="s">
        <v>1295</v>
      </c>
      <c r="C1590" t="s">
        <v>1295</v>
      </c>
      <c r="D1590" t="s">
        <v>22</v>
      </c>
      <c r="E1590">
        <v>23</v>
      </c>
      <c r="F1590">
        <v>23</v>
      </c>
      <c r="G1590" t="s">
        <v>80</v>
      </c>
      <c r="H1590" t="s">
        <v>80</v>
      </c>
      <c r="I1590" t="s">
        <v>85</v>
      </c>
      <c r="J1590" t="s">
        <v>85</v>
      </c>
      <c r="K1590" s="1">
        <v>46034</v>
      </c>
      <c r="L1590" s="1" t="str">
        <f>IF(K1590&gt;O1590,"Valid","Invalid")</f>
        <v>Valid</v>
      </c>
      <c r="M1590" s="1" t="b">
        <f>ISNUMBER(K1590)</f>
        <v>1</v>
      </c>
      <c r="N1590" s="1" t="b">
        <f>ISNUMBER(O1590)</f>
        <v>1</v>
      </c>
      <c r="O1590" s="1">
        <v>46024</v>
      </c>
      <c r="P1590" t="s">
        <v>1294</v>
      </c>
      <c r="Q1590" t="str">
        <f>SUBSTITUTE(SUBSTITUTE(SUBSTITUTE(P1590," ",""),"-",""),"+","")</f>
        <v>08299109004</v>
      </c>
      <c r="R1590" t="str">
        <f t="shared" si="48"/>
        <v>8299109004</v>
      </c>
      <c r="S1590" t="str">
        <f>IF(LEN(R1590),"Valid","Invalid")</f>
        <v>Valid</v>
      </c>
      <c r="T1590" t="s">
        <v>1293</v>
      </c>
      <c r="V1590" t="s">
        <v>64</v>
      </c>
      <c r="X1590">
        <v>12611.48</v>
      </c>
      <c r="Y1590" t="s">
        <v>123</v>
      </c>
      <c r="Z1590">
        <v>361</v>
      </c>
      <c r="AA1590">
        <f t="shared" si="49"/>
        <v>361</v>
      </c>
      <c r="AB1590" t="s">
        <v>77</v>
      </c>
    </row>
    <row r="1591" spans="1:28" x14ac:dyDescent="0.3">
      <c r="A1591" t="s">
        <v>1292</v>
      </c>
      <c r="B1591" t="s">
        <v>1291</v>
      </c>
      <c r="C1591" t="s">
        <v>1291</v>
      </c>
      <c r="E1591">
        <v>86</v>
      </c>
      <c r="F1591">
        <v>86</v>
      </c>
      <c r="G1591" t="s">
        <v>132</v>
      </c>
      <c r="H1591" t="s">
        <v>132</v>
      </c>
      <c r="I1591" t="s">
        <v>20</v>
      </c>
      <c r="J1591" t="s">
        <v>20</v>
      </c>
      <c r="K1591" s="1">
        <v>46041</v>
      </c>
      <c r="L1591" s="1" t="str">
        <f>IF(K1591&gt;O1591,"Valid","Invalid")</f>
        <v>Valid</v>
      </c>
      <c r="M1591" s="1" t="b">
        <f>ISNUMBER(K1591)</f>
        <v>1</v>
      </c>
      <c r="N1591" s="1" t="b">
        <f>ISNUMBER(O1591)</f>
        <v>1</v>
      </c>
      <c r="O1591" s="1">
        <v>46030</v>
      </c>
      <c r="P1591" t="s">
        <v>1290</v>
      </c>
      <c r="Q1591" t="str">
        <f>SUBSTITUTE(SUBSTITUTE(SUBSTITUTE(P1591," ",""),"-",""),"+","")</f>
        <v>914281023778</v>
      </c>
      <c r="R1591" t="str">
        <f t="shared" si="48"/>
        <v>4281023778</v>
      </c>
      <c r="S1591" t="str">
        <f>IF(LEN(R1591),"Valid","Invalid")</f>
        <v>Valid</v>
      </c>
      <c r="T1591" t="s">
        <v>1289</v>
      </c>
      <c r="V1591" t="s">
        <v>64</v>
      </c>
      <c r="X1591">
        <v>8960.36</v>
      </c>
      <c r="Y1591" t="s">
        <v>123</v>
      </c>
      <c r="Z1591">
        <v>512</v>
      </c>
      <c r="AA1591">
        <f t="shared" si="49"/>
        <v>512</v>
      </c>
      <c r="AB1591" t="s">
        <v>71</v>
      </c>
    </row>
    <row r="1592" spans="1:28" x14ac:dyDescent="0.3">
      <c r="A1592" t="s">
        <v>1284</v>
      </c>
      <c r="B1592" t="s">
        <v>1283</v>
      </c>
      <c r="C1592" t="s">
        <v>1283</v>
      </c>
      <c r="D1592" t="s">
        <v>60</v>
      </c>
      <c r="E1592">
        <v>4</v>
      </c>
      <c r="F1592">
        <v>4</v>
      </c>
      <c r="G1592" t="s">
        <v>31</v>
      </c>
      <c r="H1592" t="s">
        <v>31</v>
      </c>
      <c r="I1592" t="s">
        <v>90</v>
      </c>
      <c r="J1592" t="s">
        <v>67</v>
      </c>
      <c r="K1592" s="1">
        <v>46135</v>
      </c>
      <c r="L1592" s="1" t="str">
        <f>IF(K1592&gt;O1592,"Valid","Invalid")</f>
        <v>Valid</v>
      </c>
      <c r="M1592" s="1" t="b">
        <f>ISNUMBER(K1592)</f>
        <v>1</v>
      </c>
      <c r="N1592" s="1" t="b">
        <f>ISNUMBER(O1592)</f>
        <v>1</v>
      </c>
      <c r="O1592" s="1">
        <v>46110</v>
      </c>
      <c r="P1592" t="s">
        <v>1282</v>
      </c>
      <c r="Q1592" t="str">
        <f>SUBSTITUTE(SUBSTITUTE(SUBSTITUTE(P1592," ",""),"-",""),"+","")</f>
        <v>911253570592</v>
      </c>
      <c r="R1592" t="str">
        <f t="shared" si="48"/>
        <v>1253570592</v>
      </c>
      <c r="S1592" t="str">
        <f>IF(LEN(R1592),"Valid","Invalid")</f>
        <v>Valid</v>
      </c>
      <c r="T1592" t="s">
        <v>1281</v>
      </c>
      <c r="V1592" t="s">
        <v>123</v>
      </c>
      <c r="X1592">
        <v>2768.52</v>
      </c>
      <c r="Y1592" t="s">
        <v>123</v>
      </c>
      <c r="Z1592">
        <v>208</v>
      </c>
      <c r="AA1592">
        <f t="shared" si="49"/>
        <v>208</v>
      </c>
      <c r="AB1592" t="s">
        <v>71</v>
      </c>
    </row>
    <row r="1593" spans="1:28" x14ac:dyDescent="0.3">
      <c r="A1593" t="s">
        <v>1280</v>
      </c>
      <c r="B1593" t="s">
        <v>1279</v>
      </c>
      <c r="C1593" t="s">
        <v>1279</v>
      </c>
      <c r="D1593" t="s">
        <v>1</v>
      </c>
      <c r="E1593">
        <v>80</v>
      </c>
      <c r="F1593">
        <v>80</v>
      </c>
      <c r="G1593" t="s">
        <v>68</v>
      </c>
      <c r="H1593" t="s">
        <v>68</v>
      </c>
      <c r="I1593" t="s">
        <v>20</v>
      </c>
      <c r="J1593" t="s">
        <v>20</v>
      </c>
      <c r="K1593" s="1">
        <v>46072</v>
      </c>
      <c r="L1593" s="1" t="str">
        <f>IF(K1593&gt;O1593,"Valid","Invalid")</f>
        <v>Valid</v>
      </c>
      <c r="M1593" s="1" t="b">
        <f>ISNUMBER(K1593)</f>
        <v>1</v>
      </c>
      <c r="N1593" s="1" t="b">
        <f>ISNUMBER(O1593)</f>
        <v>1</v>
      </c>
      <c r="O1593" s="1">
        <v>46049</v>
      </c>
      <c r="P1593" t="s">
        <v>1278</v>
      </c>
      <c r="Q1593" t="str">
        <f>SUBSTITUTE(SUBSTITUTE(SUBSTITUTE(P1593," ",""),"-",""),"+","")</f>
        <v>04146698095</v>
      </c>
      <c r="R1593" t="str">
        <f t="shared" si="48"/>
        <v>4146698095</v>
      </c>
      <c r="S1593" t="str">
        <f>IF(LEN(R1593),"Valid","Invalid")</f>
        <v>Valid</v>
      </c>
      <c r="T1593" t="s">
        <v>1277</v>
      </c>
      <c r="V1593" t="s">
        <v>17</v>
      </c>
      <c r="X1593">
        <v>20895.88</v>
      </c>
      <c r="Y1593" t="s">
        <v>123</v>
      </c>
      <c r="Z1593">
        <v>385</v>
      </c>
      <c r="AA1593">
        <f t="shared" si="49"/>
        <v>385</v>
      </c>
      <c r="AB1593" t="s">
        <v>50</v>
      </c>
    </row>
    <row r="1594" spans="1:28" x14ac:dyDescent="0.3">
      <c r="A1594" t="s">
        <v>1276</v>
      </c>
      <c r="B1594" t="s">
        <v>1275</v>
      </c>
      <c r="C1594" t="s">
        <v>1275</v>
      </c>
      <c r="E1594">
        <v>50</v>
      </c>
      <c r="F1594">
        <v>50</v>
      </c>
      <c r="G1594" t="s">
        <v>31</v>
      </c>
      <c r="H1594" t="s">
        <v>31</v>
      </c>
      <c r="I1594" t="s">
        <v>67</v>
      </c>
      <c r="J1594" t="s">
        <v>67</v>
      </c>
      <c r="K1594" s="1">
        <v>46010</v>
      </c>
      <c r="L1594" s="1" t="str">
        <f>IF(K1594&gt;O1594,"Valid","Invalid")</f>
        <v>Valid</v>
      </c>
      <c r="M1594" s="1" t="b">
        <f>ISNUMBER(K1594)</f>
        <v>1</v>
      </c>
      <c r="N1594" s="1" t="b">
        <f>ISNUMBER(O1594)</f>
        <v>1</v>
      </c>
      <c r="O1594" s="1">
        <v>46004</v>
      </c>
      <c r="P1594" t="s">
        <v>1274</v>
      </c>
      <c r="Q1594" t="str">
        <f>SUBSTITUTE(SUBSTITUTE(SUBSTITUTE(P1594," ",""),"-",""),"+","")</f>
        <v>9807561772</v>
      </c>
      <c r="R1594" t="str">
        <f t="shared" si="48"/>
        <v>9807561772</v>
      </c>
      <c r="S1594" t="str">
        <f>IF(LEN(R1594),"Valid","Invalid")</f>
        <v>Valid</v>
      </c>
      <c r="T1594" t="s">
        <v>1273</v>
      </c>
      <c r="V1594" t="s">
        <v>27</v>
      </c>
      <c r="X1594">
        <v>1102.21</v>
      </c>
      <c r="Y1594" t="s">
        <v>57</v>
      </c>
      <c r="Z1594">
        <v>101</v>
      </c>
      <c r="AA1594">
        <f t="shared" si="49"/>
        <v>101</v>
      </c>
      <c r="AB1594" t="s">
        <v>34</v>
      </c>
    </row>
    <row r="1595" spans="1:28" x14ac:dyDescent="0.3">
      <c r="A1595" t="s">
        <v>1272</v>
      </c>
      <c r="B1595" t="s">
        <v>1271</v>
      </c>
      <c r="C1595" t="s">
        <v>1271</v>
      </c>
      <c r="D1595" t="s">
        <v>60</v>
      </c>
      <c r="E1595">
        <v>3</v>
      </c>
      <c r="F1595">
        <v>3</v>
      </c>
      <c r="G1595" t="s">
        <v>31</v>
      </c>
      <c r="H1595" t="s">
        <v>31</v>
      </c>
      <c r="I1595" t="s">
        <v>67</v>
      </c>
      <c r="J1595" t="s">
        <v>67</v>
      </c>
      <c r="K1595" s="1">
        <v>46122</v>
      </c>
      <c r="L1595" s="1" t="str">
        <f>IF(K1595&gt;O1595,"Valid","Invalid")</f>
        <v>Valid</v>
      </c>
      <c r="M1595" s="1" t="b">
        <f>ISNUMBER(K1595)</f>
        <v>1</v>
      </c>
      <c r="N1595" s="1" t="b">
        <f>ISNUMBER(O1595)</f>
        <v>1</v>
      </c>
      <c r="O1595" s="1">
        <v>46109</v>
      </c>
      <c r="P1595" t="s">
        <v>1270</v>
      </c>
      <c r="Q1595" t="str">
        <f>SUBSTITUTE(SUBSTITUTE(SUBSTITUTE(P1595," ",""),"-",""),"+","")</f>
        <v>6755241675</v>
      </c>
      <c r="R1595" t="str">
        <f t="shared" si="48"/>
        <v>6755241675</v>
      </c>
      <c r="S1595" t="str">
        <f>IF(LEN(R1595),"Valid","Invalid")</f>
        <v>Valid</v>
      </c>
      <c r="T1595" t="s">
        <v>1269</v>
      </c>
      <c r="V1595" t="s">
        <v>27</v>
      </c>
      <c r="X1595">
        <v>24245.68</v>
      </c>
      <c r="Y1595" t="s">
        <v>123</v>
      </c>
      <c r="Z1595">
        <v>143</v>
      </c>
      <c r="AA1595">
        <f t="shared" si="49"/>
        <v>143</v>
      </c>
      <c r="AB1595" t="s">
        <v>71</v>
      </c>
    </row>
    <row r="1596" spans="1:28" x14ac:dyDescent="0.3">
      <c r="A1596" t="s">
        <v>1268</v>
      </c>
      <c r="B1596" t="s">
        <v>1267</v>
      </c>
      <c r="C1596" t="s">
        <v>1267</v>
      </c>
      <c r="D1596" t="s">
        <v>74</v>
      </c>
      <c r="E1596">
        <v>77</v>
      </c>
      <c r="F1596">
        <v>77</v>
      </c>
      <c r="G1596" t="s">
        <v>80</v>
      </c>
      <c r="H1596" t="s">
        <v>80</v>
      </c>
      <c r="I1596" t="s">
        <v>53</v>
      </c>
      <c r="J1596" t="s">
        <v>20</v>
      </c>
      <c r="K1596" s="1">
        <v>46083</v>
      </c>
      <c r="L1596" s="1" t="str">
        <f>IF(K1596&gt;O1596,"Valid","Invalid")</f>
        <v>Valid</v>
      </c>
      <c r="M1596" s="1" t="b">
        <f>ISNUMBER(K1596)</f>
        <v>1</v>
      </c>
      <c r="N1596" s="1" t="b">
        <f>ISNUMBER(O1596)</f>
        <v>1</v>
      </c>
      <c r="O1596" s="1">
        <v>46068</v>
      </c>
      <c r="P1596" t="s">
        <v>1266</v>
      </c>
      <c r="Q1596" t="str">
        <f>SUBSTITUTE(SUBSTITUTE(SUBSTITUTE(P1596," ",""),"-",""),"+","")</f>
        <v>08900899205</v>
      </c>
      <c r="R1596" t="str">
        <f t="shared" si="48"/>
        <v>8900899205</v>
      </c>
      <c r="S1596" t="str">
        <f>IF(LEN(R1596),"Valid","Invalid")</f>
        <v>Valid</v>
      </c>
      <c r="T1596" t="s">
        <v>1265</v>
      </c>
      <c r="V1596" t="s">
        <v>123</v>
      </c>
      <c r="X1596">
        <v>13928.91</v>
      </c>
      <c r="Y1596" t="s">
        <v>17</v>
      </c>
      <c r="Z1596">
        <v>161</v>
      </c>
      <c r="AA1596">
        <f t="shared" si="49"/>
        <v>161</v>
      </c>
      <c r="AB1596" t="s">
        <v>34</v>
      </c>
    </row>
    <row r="1597" spans="1:28" x14ac:dyDescent="0.3">
      <c r="A1597" t="s">
        <v>1264</v>
      </c>
      <c r="B1597" t="s">
        <v>1263</v>
      </c>
      <c r="C1597" t="s">
        <v>1263</v>
      </c>
      <c r="D1597" t="s">
        <v>40</v>
      </c>
      <c r="E1597">
        <v>82</v>
      </c>
      <c r="F1597">
        <v>82</v>
      </c>
      <c r="G1597" t="s">
        <v>31</v>
      </c>
      <c r="H1597" t="s">
        <v>31</v>
      </c>
      <c r="I1597" t="s">
        <v>38</v>
      </c>
      <c r="J1597" t="s">
        <v>8077</v>
      </c>
      <c r="K1597" s="1">
        <v>45992</v>
      </c>
      <c r="L1597" s="1" t="str">
        <f>IF(K1597&gt;O1597,"Valid","Invalid")</f>
        <v>Valid</v>
      </c>
      <c r="M1597" s="1" t="b">
        <f>ISNUMBER(K1597)</f>
        <v>1</v>
      </c>
      <c r="N1597" s="1" t="b">
        <f>ISNUMBER(O1597)</f>
        <v>1</v>
      </c>
      <c r="O1597" s="1">
        <v>45983</v>
      </c>
      <c r="P1597" t="s">
        <v>1262</v>
      </c>
      <c r="Q1597" t="str">
        <f>SUBSTITUTE(SUBSTITUTE(SUBSTITUTE(P1597," ",""),"-",""),"+","")</f>
        <v>914522410511</v>
      </c>
      <c r="R1597" t="str">
        <f t="shared" si="48"/>
        <v>4522410511</v>
      </c>
      <c r="S1597" t="str">
        <f>IF(LEN(R1597),"Valid","Invalid")</f>
        <v>Valid</v>
      </c>
      <c r="T1597" t="s">
        <v>1261</v>
      </c>
      <c r="V1597" t="s">
        <v>123</v>
      </c>
      <c r="X1597">
        <v>7477.59</v>
      </c>
      <c r="Y1597" t="s">
        <v>64</v>
      </c>
      <c r="Z1597">
        <v>128</v>
      </c>
      <c r="AA1597">
        <f t="shared" si="49"/>
        <v>128</v>
      </c>
      <c r="AB1597" t="s">
        <v>43</v>
      </c>
    </row>
    <row r="1598" spans="1:28" x14ac:dyDescent="0.3">
      <c r="A1598" t="s">
        <v>1260</v>
      </c>
      <c r="B1598" t="s">
        <v>1259</v>
      </c>
      <c r="C1598" t="s">
        <v>1259</v>
      </c>
      <c r="D1598" t="s">
        <v>0</v>
      </c>
      <c r="E1598">
        <v>90</v>
      </c>
      <c r="F1598">
        <v>90</v>
      </c>
      <c r="G1598" t="s">
        <v>132</v>
      </c>
      <c r="H1598" t="s">
        <v>132</v>
      </c>
      <c r="I1598" t="s">
        <v>90</v>
      </c>
      <c r="J1598" t="s">
        <v>67</v>
      </c>
      <c r="K1598" s="1">
        <v>46086</v>
      </c>
      <c r="L1598" s="1" t="str">
        <f>IF(K1598&gt;O1598,"Valid","Invalid")</f>
        <v>Valid</v>
      </c>
      <c r="M1598" s="1" t="b">
        <f>ISNUMBER(K1598)</f>
        <v>1</v>
      </c>
      <c r="N1598" s="1" t="b">
        <f>ISNUMBER(O1598)</f>
        <v>1</v>
      </c>
      <c r="O1598" s="1">
        <v>46082</v>
      </c>
      <c r="P1598" t="s">
        <v>1258</v>
      </c>
      <c r="Q1598" t="str">
        <f>SUBSTITUTE(SUBSTITUTE(SUBSTITUTE(P1598," ",""),"-",""),"+","")</f>
        <v>916788664356</v>
      </c>
      <c r="R1598" t="str">
        <f t="shared" si="48"/>
        <v>6788664356</v>
      </c>
      <c r="S1598" t="str">
        <f>IF(LEN(R1598),"Valid","Invalid")</f>
        <v>Valid</v>
      </c>
      <c r="T1598" t="s">
        <v>1257</v>
      </c>
      <c r="V1598" t="s">
        <v>26</v>
      </c>
      <c r="X1598">
        <v>8630.5400000000009</v>
      </c>
      <c r="Y1598" t="s">
        <v>123</v>
      </c>
      <c r="Z1598">
        <v>138</v>
      </c>
      <c r="AA1598">
        <f t="shared" si="49"/>
        <v>138</v>
      </c>
      <c r="AB1598" t="s">
        <v>34</v>
      </c>
    </row>
    <row r="1599" spans="1:28" x14ac:dyDescent="0.3">
      <c r="A1599" t="s">
        <v>1256</v>
      </c>
      <c r="B1599" t="s">
        <v>1255</v>
      </c>
      <c r="C1599" t="s">
        <v>1255</v>
      </c>
      <c r="D1599" t="s">
        <v>60</v>
      </c>
      <c r="E1599">
        <v>10</v>
      </c>
      <c r="F1599">
        <v>10</v>
      </c>
      <c r="G1599" t="s">
        <v>68</v>
      </c>
      <c r="H1599" t="s">
        <v>68</v>
      </c>
      <c r="I1599" t="s">
        <v>30</v>
      </c>
      <c r="J1599" t="s">
        <v>30</v>
      </c>
      <c r="K1599" s="1">
        <v>46155</v>
      </c>
      <c r="L1599" s="1" t="str">
        <f>IF(K1599&gt;O1599,"Valid","Invalid")</f>
        <v>Valid</v>
      </c>
      <c r="M1599" s="1" t="b">
        <f>ISNUMBER(K1599)</f>
        <v>1</v>
      </c>
      <c r="N1599" s="1" t="b">
        <f>ISNUMBER(O1599)</f>
        <v>1</v>
      </c>
      <c r="O1599" s="1">
        <v>46132</v>
      </c>
      <c r="P1599" t="s">
        <v>1254</v>
      </c>
      <c r="Q1599" t="str">
        <f>SUBSTITUTE(SUBSTITUTE(SUBSTITUTE(P1599," ",""),"-",""),"+","")</f>
        <v>1095754494</v>
      </c>
      <c r="R1599" t="str">
        <f t="shared" si="48"/>
        <v>1095754494</v>
      </c>
      <c r="S1599" t="str">
        <f>IF(LEN(R1599),"Valid","Invalid")</f>
        <v>Valid</v>
      </c>
      <c r="T1599" t="s">
        <v>1253</v>
      </c>
      <c r="V1599" t="s">
        <v>26</v>
      </c>
      <c r="X1599">
        <v>10290.4</v>
      </c>
      <c r="Y1599" t="s">
        <v>27</v>
      </c>
      <c r="Z1599">
        <v>245</v>
      </c>
      <c r="AA1599">
        <f t="shared" si="49"/>
        <v>245</v>
      </c>
      <c r="AB1599" t="s">
        <v>43</v>
      </c>
    </row>
    <row r="1600" spans="1:28" x14ac:dyDescent="0.3">
      <c r="A1600" t="s">
        <v>1252</v>
      </c>
      <c r="B1600" t="s">
        <v>1251</v>
      </c>
      <c r="C1600" t="s">
        <v>1251</v>
      </c>
      <c r="D1600" t="s">
        <v>0</v>
      </c>
      <c r="E1600">
        <v>12</v>
      </c>
      <c r="F1600">
        <v>12</v>
      </c>
      <c r="G1600" t="s">
        <v>39</v>
      </c>
      <c r="H1600" t="s">
        <v>39</v>
      </c>
      <c r="I1600" t="s">
        <v>20</v>
      </c>
      <c r="J1600" t="s">
        <v>20</v>
      </c>
      <c r="K1600" s="1">
        <v>46043</v>
      </c>
      <c r="L1600" s="1" t="str">
        <f>IF(K1600&gt;O1600,"Valid","Invalid")</f>
        <v>Valid</v>
      </c>
      <c r="M1600" s="1" t="b">
        <f>ISNUMBER(K1600)</f>
        <v>1</v>
      </c>
      <c r="N1600" s="1" t="b">
        <f>ISNUMBER(O1600)</f>
        <v>1</v>
      </c>
      <c r="O1600" s="1">
        <v>46032</v>
      </c>
      <c r="P1600" t="s">
        <v>1250</v>
      </c>
      <c r="Q1600" t="str">
        <f>SUBSTITUTE(SUBSTITUTE(SUBSTITUTE(P1600," ",""),"-",""),"+","")</f>
        <v>915746255154</v>
      </c>
      <c r="R1600" t="str">
        <f t="shared" si="48"/>
        <v>5746255154</v>
      </c>
      <c r="S1600" t="str">
        <f>IF(LEN(R1600),"Valid","Invalid")</f>
        <v>Valid</v>
      </c>
      <c r="T1600" t="s">
        <v>1249</v>
      </c>
      <c r="V1600" t="s">
        <v>64</v>
      </c>
      <c r="X1600">
        <v>2559.9</v>
      </c>
      <c r="Y1600" t="s">
        <v>63</v>
      </c>
      <c r="Z1600">
        <v>493</v>
      </c>
      <c r="AA1600">
        <f t="shared" si="49"/>
        <v>493</v>
      </c>
      <c r="AB1600" t="s">
        <v>43</v>
      </c>
    </row>
    <row r="1601" spans="1:28" x14ac:dyDescent="0.3">
      <c r="A1601" t="s">
        <v>1245</v>
      </c>
      <c r="B1601" t="s">
        <v>1244</v>
      </c>
      <c r="C1601" t="s">
        <v>1244</v>
      </c>
      <c r="D1601" t="s">
        <v>74</v>
      </c>
      <c r="E1601">
        <v>71</v>
      </c>
      <c r="F1601">
        <v>71</v>
      </c>
      <c r="G1601" t="s">
        <v>132</v>
      </c>
      <c r="H1601" t="s">
        <v>132</v>
      </c>
      <c r="I1601" t="s">
        <v>30</v>
      </c>
      <c r="J1601" t="s">
        <v>30</v>
      </c>
      <c r="K1601" s="1">
        <v>46029</v>
      </c>
      <c r="L1601" s="1" t="str">
        <f>IF(K1601&gt;O1601,"Valid","Invalid")</f>
        <v>Valid</v>
      </c>
      <c r="M1601" s="1" t="b">
        <f>ISNUMBER(K1601)</f>
        <v>1</v>
      </c>
      <c r="N1601" s="1" t="b">
        <f>ISNUMBER(O1601)</f>
        <v>1</v>
      </c>
      <c r="O1601" s="1">
        <v>46026</v>
      </c>
      <c r="P1601" t="s">
        <v>1243</v>
      </c>
      <c r="Q1601" t="str">
        <f>SUBSTITUTE(SUBSTITUTE(SUBSTITUTE(P1601," ",""),"-",""),"+","")</f>
        <v>03379992977</v>
      </c>
      <c r="R1601" t="str">
        <f t="shared" si="48"/>
        <v>3379992977</v>
      </c>
      <c r="S1601" t="str">
        <f>IF(LEN(R1601),"Valid","Invalid")</f>
        <v>Valid</v>
      </c>
      <c r="T1601" t="s">
        <v>1242</v>
      </c>
      <c r="V1601" t="s">
        <v>123</v>
      </c>
      <c r="X1601">
        <v>18857.09</v>
      </c>
      <c r="Y1601" t="s">
        <v>27</v>
      </c>
      <c r="Z1601">
        <v>259</v>
      </c>
      <c r="AA1601">
        <f t="shared" si="49"/>
        <v>259</v>
      </c>
      <c r="AB1601" t="s">
        <v>16</v>
      </c>
    </row>
    <row r="1602" spans="1:28" x14ac:dyDescent="0.3">
      <c r="A1602" t="s">
        <v>1241</v>
      </c>
      <c r="B1602" t="s">
        <v>1240</v>
      </c>
      <c r="C1602" t="s">
        <v>1240</v>
      </c>
      <c r="D1602" t="s">
        <v>74</v>
      </c>
      <c r="E1602">
        <v>85</v>
      </c>
      <c r="F1602">
        <v>85</v>
      </c>
      <c r="G1602" t="s">
        <v>31</v>
      </c>
      <c r="H1602" t="s">
        <v>31</v>
      </c>
      <c r="I1602" t="s">
        <v>30</v>
      </c>
      <c r="J1602" t="s">
        <v>30</v>
      </c>
      <c r="K1602" s="1">
        <v>46002</v>
      </c>
      <c r="L1602" s="1" t="str">
        <f>IF(K1602&gt;O1602,"Valid","Invalid")</f>
        <v>Valid</v>
      </c>
      <c r="M1602" s="1" t="b">
        <f>ISNUMBER(K1602)</f>
        <v>1</v>
      </c>
      <c r="N1602" s="1" t="b">
        <f>ISNUMBER(O1602)</f>
        <v>1</v>
      </c>
      <c r="O1602" s="1">
        <v>45979</v>
      </c>
      <c r="P1602" t="s">
        <v>1239</v>
      </c>
      <c r="Q1602" t="str">
        <f>SUBSTITUTE(SUBSTITUTE(SUBSTITUTE(P1602," ",""),"-",""),"+","")</f>
        <v>8906068945</v>
      </c>
      <c r="R1602" t="str">
        <f t="shared" si="48"/>
        <v>8906068945</v>
      </c>
      <c r="S1602" t="str">
        <f>IF(LEN(R1602),"Valid","Invalid")</f>
        <v>Valid</v>
      </c>
      <c r="T1602" t="s">
        <v>1238</v>
      </c>
      <c r="V1602" t="s">
        <v>27</v>
      </c>
      <c r="X1602">
        <v>3594.91</v>
      </c>
      <c r="Y1602" t="s">
        <v>64</v>
      </c>
      <c r="Z1602">
        <v>401</v>
      </c>
      <c r="AA1602">
        <f t="shared" si="49"/>
        <v>401</v>
      </c>
      <c r="AB1602" t="s">
        <v>77</v>
      </c>
    </row>
    <row r="1603" spans="1:28" x14ac:dyDescent="0.3">
      <c r="A1603" t="s">
        <v>1237</v>
      </c>
      <c r="B1603" t="s">
        <v>1236</v>
      </c>
      <c r="C1603" t="s">
        <v>1236</v>
      </c>
      <c r="D1603" t="s">
        <v>74</v>
      </c>
      <c r="E1603">
        <v>62</v>
      </c>
      <c r="F1603">
        <v>62</v>
      </c>
      <c r="G1603" t="s">
        <v>47</v>
      </c>
      <c r="H1603" t="s">
        <v>47</v>
      </c>
      <c r="I1603" t="s">
        <v>85</v>
      </c>
      <c r="J1603" t="s">
        <v>85</v>
      </c>
      <c r="K1603" s="1">
        <v>46142</v>
      </c>
      <c r="L1603" s="1" t="str">
        <f>IF(K1603&gt;O1603,"Valid","Invalid")</f>
        <v>Valid</v>
      </c>
      <c r="M1603" s="1" t="b">
        <f>ISNUMBER(K1603)</f>
        <v>1</v>
      </c>
      <c r="N1603" s="1" t="b">
        <f>ISNUMBER(O1603)</f>
        <v>1</v>
      </c>
      <c r="O1603" s="1">
        <v>46117</v>
      </c>
      <c r="P1603" t="s">
        <v>1235</v>
      </c>
      <c r="Q1603" t="str">
        <f>SUBSTITUTE(SUBSTITUTE(SUBSTITUTE(P1603," ",""),"-",""),"+","")</f>
        <v>01852531240</v>
      </c>
      <c r="R1603" t="str">
        <f t="shared" si="48"/>
        <v>1852531240</v>
      </c>
      <c r="S1603" t="str">
        <f>IF(LEN(R1603),"Valid","Invalid")</f>
        <v>Valid</v>
      </c>
      <c r="T1603" t="s">
        <v>1234</v>
      </c>
      <c r="V1603" t="s">
        <v>57</v>
      </c>
      <c r="X1603">
        <v>10268.52</v>
      </c>
      <c r="Y1603" t="s">
        <v>64</v>
      </c>
      <c r="Z1603">
        <v>235</v>
      </c>
      <c r="AA1603">
        <f t="shared" si="49"/>
        <v>235</v>
      </c>
      <c r="AB1603" t="s">
        <v>71</v>
      </c>
    </row>
    <row r="1604" spans="1:28" x14ac:dyDescent="0.3">
      <c r="A1604" t="s">
        <v>1233</v>
      </c>
      <c r="B1604" t="s">
        <v>1232</v>
      </c>
      <c r="C1604" t="s">
        <v>1232</v>
      </c>
      <c r="D1604" t="s">
        <v>1</v>
      </c>
      <c r="E1604">
        <v>11</v>
      </c>
      <c r="F1604">
        <v>11</v>
      </c>
      <c r="G1604" t="s">
        <v>31</v>
      </c>
      <c r="H1604" t="s">
        <v>31</v>
      </c>
      <c r="I1604" t="s">
        <v>53</v>
      </c>
      <c r="J1604" t="s">
        <v>20</v>
      </c>
      <c r="K1604" s="1">
        <v>46030</v>
      </c>
      <c r="L1604" s="1" t="str">
        <f>IF(K1604&gt;O1604,"Valid","Invalid")</f>
        <v>Valid</v>
      </c>
      <c r="M1604" s="1" t="b">
        <f>ISNUMBER(K1604)</f>
        <v>1</v>
      </c>
      <c r="N1604" s="1" t="b">
        <f>ISNUMBER(O1604)</f>
        <v>1</v>
      </c>
      <c r="O1604" s="1">
        <v>46025</v>
      </c>
      <c r="P1604" t="s">
        <v>1231</v>
      </c>
      <c r="Q1604" t="str">
        <f>SUBSTITUTE(SUBSTITUTE(SUBSTITUTE(P1604," ",""),"-",""),"+","")</f>
        <v>08176691249</v>
      </c>
      <c r="R1604" t="str">
        <f t="shared" si="48"/>
        <v>8176691249</v>
      </c>
      <c r="S1604" t="str">
        <f>IF(LEN(R1604),"Valid","Invalid")</f>
        <v>Valid</v>
      </c>
      <c r="T1604" t="s">
        <v>1230</v>
      </c>
      <c r="V1604" t="s">
        <v>64</v>
      </c>
      <c r="X1604">
        <v>15844.8</v>
      </c>
      <c r="Y1604" t="s">
        <v>27</v>
      </c>
      <c r="Z1604">
        <v>340</v>
      </c>
      <c r="AA1604">
        <f t="shared" si="49"/>
        <v>340</v>
      </c>
      <c r="AB1604" t="s">
        <v>71</v>
      </c>
    </row>
    <row r="1605" spans="1:28" x14ac:dyDescent="0.3">
      <c r="A1605" t="s">
        <v>1225</v>
      </c>
      <c r="B1605" t="s">
        <v>1224</v>
      </c>
      <c r="C1605" t="s">
        <v>1224</v>
      </c>
      <c r="D1605" t="s">
        <v>1</v>
      </c>
      <c r="E1605">
        <v>8</v>
      </c>
      <c r="F1605">
        <v>8</v>
      </c>
      <c r="G1605" t="s">
        <v>54</v>
      </c>
      <c r="H1605" t="s">
        <v>54</v>
      </c>
      <c r="I1605" t="s">
        <v>38</v>
      </c>
      <c r="J1605" t="s">
        <v>8077</v>
      </c>
      <c r="K1605" s="1">
        <v>46055</v>
      </c>
      <c r="L1605" s="1" t="str">
        <f>IF(K1605&gt;O1605,"Valid","Invalid")</f>
        <v>Valid</v>
      </c>
      <c r="M1605" s="1" t="b">
        <f>ISNUMBER(K1605)</f>
        <v>1</v>
      </c>
      <c r="N1605" s="1" t="b">
        <f>ISNUMBER(O1605)</f>
        <v>1</v>
      </c>
      <c r="O1605" s="1">
        <v>46036</v>
      </c>
      <c r="P1605" t="s">
        <v>1223</v>
      </c>
      <c r="Q1605" t="str">
        <f>SUBSTITUTE(SUBSTITUTE(SUBSTITUTE(P1605," ",""),"-",""),"+","")</f>
        <v>1470906932</v>
      </c>
      <c r="R1605" t="str">
        <f t="shared" ref="R1605:R1668" si="50">RIGHT(Q1605,10)</f>
        <v>1470906932</v>
      </c>
      <c r="S1605" t="str">
        <f>IF(LEN(R1605),"Valid","Invalid")</f>
        <v>Valid</v>
      </c>
      <c r="T1605" t="s">
        <v>1222</v>
      </c>
      <c r="V1605" t="s">
        <v>123</v>
      </c>
      <c r="X1605">
        <v>4973.3</v>
      </c>
      <c r="Y1605" t="s">
        <v>63</v>
      </c>
      <c r="Z1605">
        <v>276</v>
      </c>
      <c r="AA1605">
        <f t="shared" ref="AA1605:AA1668" si="51">IF(Z1605="Room-x",0,Z1605)</f>
        <v>276</v>
      </c>
      <c r="AB1605" t="s">
        <v>71</v>
      </c>
    </row>
    <row r="1606" spans="1:28" x14ac:dyDescent="0.3">
      <c r="A1606" t="s">
        <v>1221</v>
      </c>
      <c r="B1606" t="s">
        <v>1220</v>
      </c>
      <c r="C1606" t="s">
        <v>1220</v>
      </c>
      <c r="D1606" t="s">
        <v>123</v>
      </c>
      <c r="E1606">
        <v>76</v>
      </c>
      <c r="F1606">
        <v>76</v>
      </c>
      <c r="G1606" t="s">
        <v>54</v>
      </c>
      <c r="H1606" t="s">
        <v>54</v>
      </c>
      <c r="I1606" t="s">
        <v>30</v>
      </c>
      <c r="J1606" t="s">
        <v>30</v>
      </c>
      <c r="K1606" s="1">
        <v>46041</v>
      </c>
      <c r="L1606" s="1" t="str">
        <f>IF(K1606&gt;O1606,"Valid","Invalid")</f>
        <v>Valid</v>
      </c>
      <c r="M1606" s="1" t="b">
        <f>ISNUMBER(K1606)</f>
        <v>1</v>
      </c>
      <c r="N1606" s="1" t="b">
        <f>ISNUMBER(O1606)</f>
        <v>1</v>
      </c>
      <c r="O1606" s="1">
        <v>46033</v>
      </c>
      <c r="P1606" t="s">
        <v>1219</v>
      </c>
      <c r="Q1606" t="str">
        <f>SUBSTITUTE(SUBSTITUTE(SUBSTITUTE(P1606," ",""),"-",""),"+","")</f>
        <v>910560658035</v>
      </c>
      <c r="R1606" t="str">
        <f t="shared" si="50"/>
        <v>0560658035</v>
      </c>
      <c r="S1606" t="str">
        <f>IF(LEN(R1606),"Valid","Invalid")</f>
        <v>Valid</v>
      </c>
      <c r="T1606" t="s">
        <v>1218</v>
      </c>
      <c r="V1606" t="s">
        <v>17</v>
      </c>
      <c r="X1606">
        <v>15486.34</v>
      </c>
      <c r="Y1606" t="s">
        <v>64</v>
      </c>
      <c r="Z1606">
        <v>461</v>
      </c>
      <c r="AA1606">
        <f t="shared" si="51"/>
        <v>461</v>
      </c>
      <c r="AB1606" t="s">
        <v>16</v>
      </c>
    </row>
    <row r="1607" spans="1:28" x14ac:dyDescent="0.3">
      <c r="A1607" t="s">
        <v>1217</v>
      </c>
      <c r="B1607" t="s">
        <v>1216</v>
      </c>
      <c r="C1607" t="s">
        <v>1216</v>
      </c>
      <c r="D1607" t="s">
        <v>22</v>
      </c>
      <c r="E1607">
        <v>83</v>
      </c>
      <c r="F1607">
        <v>83</v>
      </c>
      <c r="G1607" t="s">
        <v>68</v>
      </c>
      <c r="H1607" t="s">
        <v>68</v>
      </c>
      <c r="I1607" t="s">
        <v>46</v>
      </c>
      <c r="J1607" t="s">
        <v>46</v>
      </c>
      <c r="K1607" s="1">
        <v>46056</v>
      </c>
      <c r="L1607" s="1" t="str">
        <f>IF(K1607&gt;O1607,"Valid","Invalid")</f>
        <v>Valid</v>
      </c>
      <c r="M1607" s="1" t="b">
        <f>ISNUMBER(K1607)</f>
        <v>1</v>
      </c>
      <c r="N1607" s="1" t="b">
        <f>ISNUMBER(O1607)</f>
        <v>1</v>
      </c>
      <c r="O1607" s="1">
        <v>46053</v>
      </c>
      <c r="P1607" t="s">
        <v>1215</v>
      </c>
      <c r="Q1607" t="str">
        <f>SUBSTITUTE(SUBSTITUTE(SUBSTITUTE(P1607," ",""),"-",""),"+","")</f>
        <v>916204125323</v>
      </c>
      <c r="R1607" t="str">
        <f t="shared" si="50"/>
        <v>6204125323</v>
      </c>
      <c r="S1607" t="str">
        <f>IF(LEN(R1607),"Valid","Invalid")</f>
        <v>Valid</v>
      </c>
      <c r="T1607" t="s">
        <v>1214</v>
      </c>
      <c r="V1607" t="s">
        <v>123</v>
      </c>
      <c r="X1607">
        <v>14850.29</v>
      </c>
      <c r="Y1607" t="s">
        <v>63</v>
      </c>
      <c r="Z1607">
        <v>453</v>
      </c>
      <c r="AA1607">
        <f t="shared" si="51"/>
        <v>453</v>
      </c>
      <c r="AB1607" t="s">
        <v>71</v>
      </c>
    </row>
    <row r="1608" spans="1:28" x14ac:dyDescent="0.3">
      <c r="A1608" t="s">
        <v>1213</v>
      </c>
      <c r="B1608" t="s">
        <v>1212</v>
      </c>
      <c r="C1608" t="s">
        <v>1212</v>
      </c>
      <c r="D1608" t="s">
        <v>0</v>
      </c>
      <c r="E1608">
        <v>83</v>
      </c>
      <c r="F1608">
        <v>83</v>
      </c>
      <c r="G1608" t="s">
        <v>80</v>
      </c>
      <c r="H1608" t="s">
        <v>80</v>
      </c>
      <c r="I1608" t="s">
        <v>38</v>
      </c>
      <c r="J1608" t="s">
        <v>8077</v>
      </c>
      <c r="K1608" s="1">
        <v>46058</v>
      </c>
      <c r="L1608" s="1" t="str">
        <f>IF(K1608&gt;O1608,"Valid","Invalid")</f>
        <v>Valid</v>
      </c>
      <c r="M1608" s="1" t="b">
        <f>ISNUMBER(K1608)</f>
        <v>1</v>
      </c>
      <c r="N1608" s="1" t="b">
        <f>ISNUMBER(O1608)</f>
        <v>1</v>
      </c>
      <c r="O1608" s="1">
        <v>46054</v>
      </c>
      <c r="P1608" t="s">
        <v>1211</v>
      </c>
      <c r="Q1608" t="str">
        <f>SUBSTITUTE(SUBSTITUTE(SUBSTITUTE(P1608," ",""),"-",""),"+","")</f>
        <v>9326631313</v>
      </c>
      <c r="R1608" t="str">
        <f t="shared" si="50"/>
        <v>9326631313</v>
      </c>
      <c r="S1608" t="str">
        <f>IF(LEN(R1608),"Valid","Invalid")</f>
        <v>Valid</v>
      </c>
      <c r="T1608" t="s">
        <v>1210</v>
      </c>
      <c r="V1608" t="s">
        <v>27</v>
      </c>
      <c r="X1608">
        <v>5925.22</v>
      </c>
      <c r="Y1608" t="s">
        <v>57</v>
      </c>
      <c r="Z1608">
        <v>481</v>
      </c>
      <c r="AA1608">
        <f t="shared" si="51"/>
        <v>481</v>
      </c>
      <c r="AB1608" t="s">
        <v>77</v>
      </c>
    </row>
    <row r="1609" spans="1:28" x14ac:dyDescent="0.3">
      <c r="A1609" t="s">
        <v>1209</v>
      </c>
      <c r="B1609" t="s">
        <v>1208</v>
      </c>
      <c r="C1609" t="s">
        <v>8072</v>
      </c>
      <c r="D1609" t="s">
        <v>74</v>
      </c>
      <c r="E1609">
        <v>88</v>
      </c>
      <c r="F1609">
        <v>88</v>
      </c>
      <c r="G1609" t="s">
        <v>54</v>
      </c>
      <c r="H1609" t="s">
        <v>54</v>
      </c>
      <c r="I1609" t="s">
        <v>53</v>
      </c>
      <c r="J1609" t="s">
        <v>20</v>
      </c>
      <c r="K1609" s="1">
        <v>46052</v>
      </c>
      <c r="L1609" s="1" t="str">
        <f>IF(K1609&gt;O1609,"Valid","Invalid")</f>
        <v>Valid</v>
      </c>
      <c r="M1609" s="1" t="b">
        <f>ISNUMBER(K1609)</f>
        <v>1</v>
      </c>
      <c r="N1609" s="1" t="b">
        <f>ISNUMBER(O1609)</f>
        <v>1</v>
      </c>
      <c r="O1609" s="1">
        <v>46022</v>
      </c>
      <c r="P1609" t="s">
        <v>1207</v>
      </c>
      <c r="Q1609" t="str">
        <f>SUBSTITUTE(SUBSTITUTE(SUBSTITUTE(P1609," ",""),"-",""),"+","")</f>
        <v>05565282095</v>
      </c>
      <c r="R1609" t="str">
        <f t="shared" si="50"/>
        <v>5565282095</v>
      </c>
      <c r="S1609" t="str">
        <f>IF(LEN(R1609),"Valid","Invalid")</f>
        <v>Valid</v>
      </c>
      <c r="T1609" t="s">
        <v>1206</v>
      </c>
      <c r="V1609" t="s">
        <v>17</v>
      </c>
      <c r="X1609">
        <v>7058.42</v>
      </c>
      <c r="Y1609" t="s">
        <v>64</v>
      </c>
      <c r="Z1609">
        <v>394</v>
      </c>
      <c r="AA1609">
        <f t="shared" si="51"/>
        <v>394</v>
      </c>
      <c r="AB1609" t="s">
        <v>77</v>
      </c>
    </row>
    <row r="1610" spans="1:28" x14ac:dyDescent="0.3">
      <c r="A1610" t="s">
        <v>1205</v>
      </c>
      <c r="B1610" t="s">
        <v>1204</v>
      </c>
      <c r="C1610" t="s">
        <v>8073</v>
      </c>
      <c r="D1610" t="s">
        <v>1</v>
      </c>
      <c r="E1610">
        <v>15</v>
      </c>
      <c r="F1610">
        <v>15</v>
      </c>
      <c r="G1610" t="s">
        <v>47</v>
      </c>
      <c r="H1610" t="s">
        <v>47</v>
      </c>
      <c r="I1610" t="s">
        <v>90</v>
      </c>
      <c r="J1610" t="s">
        <v>67</v>
      </c>
      <c r="K1610" s="1">
        <v>45992</v>
      </c>
      <c r="L1610" s="1" t="str">
        <f>IF(K1610&gt;O1610,"Valid","Invalid")</f>
        <v>Valid</v>
      </c>
      <c r="M1610" s="1" t="b">
        <f>ISNUMBER(K1610)</f>
        <v>1</v>
      </c>
      <c r="N1610" s="1" t="b">
        <f>ISNUMBER(O1610)</f>
        <v>1</v>
      </c>
      <c r="O1610" s="1">
        <v>45989</v>
      </c>
      <c r="P1610" t="s">
        <v>1203</v>
      </c>
      <c r="Q1610" t="str">
        <f>SUBSTITUTE(SUBSTITUTE(SUBSTITUTE(P1610," ",""),"-",""),"+","")</f>
        <v>02414908041</v>
      </c>
      <c r="R1610" t="str">
        <f t="shared" si="50"/>
        <v>2414908041</v>
      </c>
      <c r="S1610" t="str">
        <f>IF(LEN(R1610),"Valid","Invalid")</f>
        <v>Valid</v>
      </c>
      <c r="T1610" t="s">
        <v>1202</v>
      </c>
      <c r="V1610" t="s">
        <v>57</v>
      </c>
      <c r="X1610">
        <v>5317.07</v>
      </c>
      <c r="Y1610" t="s">
        <v>26</v>
      </c>
      <c r="Z1610">
        <v>175</v>
      </c>
      <c r="AA1610">
        <f t="shared" si="51"/>
        <v>175</v>
      </c>
      <c r="AB1610" t="s">
        <v>25</v>
      </c>
    </row>
    <row r="1611" spans="1:28" x14ac:dyDescent="0.3">
      <c r="A1611" t="s">
        <v>1201</v>
      </c>
      <c r="B1611" t="s">
        <v>1200</v>
      </c>
      <c r="C1611" t="s">
        <v>1200</v>
      </c>
      <c r="D1611" t="s">
        <v>74</v>
      </c>
      <c r="E1611">
        <v>48</v>
      </c>
      <c r="F1611">
        <v>48</v>
      </c>
      <c r="G1611" t="s">
        <v>31</v>
      </c>
      <c r="H1611" t="s">
        <v>31</v>
      </c>
      <c r="I1611" t="s">
        <v>90</v>
      </c>
      <c r="J1611" t="s">
        <v>67</v>
      </c>
      <c r="K1611" s="1">
        <v>46125</v>
      </c>
      <c r="L1611" s="1" t="str">
        <f>IF(K1611&gt;O1611,"Valid","Invalid")</f>
        <v>Valid</v>
      </c>
      <c r="M1611" s="1" t="b">
        <f>ISNUMBER(K1611)</f>
        <v>1</v>
      </c>
      <c r="N1611" s="1" t="b">
        <f>ISNUMBER(O1611)</f>
        <v>1</v>
      </c>
      <c r="O1611" s="1">
        <v>46113</v>
      </c>
      <c r="P1611" t="s">
        <v>1199</v>
      </c>
      <c r="Q1611" t="str">
        <f>SUBSTITUTE(SUBSTITUTE(SUBSTITUTE(P1611," ",""),"-",""),"+","")</f>
        <v>0940721651</v>
      </c>
      <c r="R1611" t="str">
        <f t="shared" si="50"/>
        <v>0940721651</v>
      </c>
      <c r="S1611" t="str">
        <f>IF(LEN(R1611),"Valid","Invalid")</f>
        <v>Valid</v>
      </c>
      <c r="T1611" t="s">
        <v>1198</v>
      </c>
      <c r="V1611" t="s">
        <v>26</v>
      </c>
      <c r="X1611">
        <v>11196.61</v>
      </c>
      <c r="Y1611" t="s">
        <v>57</v>
      </c>
      <c r="Z1611">
        <v>539</v>
      </c>
      <c r="AA1611">
        <f t="shared" si="51"/>
        <v>539</v>
      </c>
      <c r="AB1611" t="s">
        <v>25</v>
      </c>
    </row>
    <row r="1612" spans="1:28" x14ac:dyDescent="0.3">
      <c r="A1612" t="s">
        <v>1197</v>
      </c>
      <c r="B1612" t="s">
        <v>1196</v>
      </c>
      <c r="C1612" t="s">
        <v>1196</v>
      </c>
      <c r="D1612" t="s">
        <v>0</v>
      </c>
      <c r="E1612">
        <v>27</v>
      </c>
      <c r="F1612">
        <v>27</v>
      </c>
      <c r="G1612" t="s">
        <v>54</v>
      </c>
      <c r="H1612" t="s">
        <v>54</v>
      </c>
      <c r="I1612" t="s">
        <v>67</v>
      </c>
      <c r="J1612" t="s">
        <v>67</v>
      </c>
      <c r="K1612" s="1">
        <v>46053</v>
      </c>
      <c r="L1612" s="1" t="str">
        <f>IF(K1612&gt;O1612,"Valid","Invalid")</f>
        <v>Valid</v>
      </c>
      <c r="M1612" s="1" t="b">
        <f>ISNUMBER(K1612)</f>
        <v>1</v>
      </c>
      <c r="N1612" s="1" t="b">
        <f>ISNUMBER(O1612)</f>
        <v>1</v>
      </c>
      <c r="O1612" s="1">
        <v>46047</v>
      </c>
      <c r="P1612" t="s">
        <v>1195</v>
      </c>
      <c r="Q1612" t="str">
        <f>SUBSTITUTE(SUBSTITUTE(SUBSTITUTE(P1612," ",""),"-",""),"+","")</f>
        <v>916709016210</v>
      </c>
      <c r="R1612" t="str">
        <f t="shared" si="50"/>
        <v>6709016210</v>
      </c>
      <c r="S1612" t="str">
        <f>IF(LEN(R1612),"Valid","Invalid")</f>
        <v>Valid</v>
      </c>
      <c r="T1612" t="s">
        <v>1194</v>
      </c>
      <c r="V1612" t="s">
        <v>17</v>
      </c>
      <c r="X1612">
        <v>12349.85</v>
      </c>
      <c r="Y1612" t="s">
        <v>63</v>
      </c>
      <c r="Z1612">
        <v>323</v>
      </c>
      <c r="AA1612">
        <f t="shared" si="51"/>
        <v>323</v>
      </c>
      <c r="AB1612" t="s">
        <v>77</v>
      </c>
    </row>
    <row r="1613" spans="1:28" x14ac:dyDescent="0.3">
      <c r="A1613" t="s">
        <v>1193</v>
      </c>
      <c r="B1613" t="s">
        <v>1192</v>
      </c>
      <c r="C1613" t="s">
        <v>1192</v>
      </c>
      <c r="D1613" t="s">
        <v>22</v>
      </c>
      <c r="E1613">
        <v>1</v>
      </c>
      <c r="F1613">
        <v>1</v>
      </c>
      <c r="G1613" t="s">
        <v>54</v>
      </c>
      <c r="H1613" t="s">
        <v>54</v>
      </c>
      <c r="I1613" t="s">
        <v>85</v>
      </c>
      <c r="J1613" t="s">
        <v>85</v>
      </c>
      <c r="K1613" s="1">
        <v>46080</v>
      </c>
      <c r="L1613" s="1" t="str">
        <f>IF(K1613&gt;O1613,"Valid","Invalid")</f>
        <v>Valid</v>
      </c>
      <c r="M1613" s="1" t="b">
        <f>ISNUMBER(K1613)</f>
        <v>1</v>
      </c>
      <c r="N1613" s="1" t="b">
        <f>ISNUMBER(O1613)</f>
        <v>1</v>
      </c>
      <c r="O1613" s="1">
        <v>46075</v>
      </c>
      <c r="P1613" t="s">
        <v>1191</v>
      </c>
      <c r="Q1613" t="str">
        <f>SUBSTITUTE(SUBSTITUTE(SUBSTITUTE(P1613," ",""),"-",""),"+","")</f>
        <v>09063065683</v>
      </c>
      <c r="R1613" t="str">
        <f t="shared" si="50"/>
        <v>9063065683</v>
      </c>
      <c r="S1613" t="str">
        <f>IF(LEN(R1613),"Valid","Invalid")</f>
        <v>Valid</v>
      </c>
      <c r="T1613" t="s">
        <v>1190</v>
      </c>
      <c r="V1613" t="s">
        <v>27</v>
      </c>
      <c r="X1613">
        <v>19578.55</v>
      </c>
      <c r="Y1613" t="s">
        <v>27</v>
      </c>
      <c r="Z1613">
        <v>483</v>
      </c>
      <c r="AA1613">
        <f t="shared" si="51"/>
        <v>483</v>
      </c>
      <c r="AB1613" t="s">
        <v>16</v>
      </c>
    </row>
    <row r="1614" spans="1:28" x14ac:dyDescent="0.3">
      <c r="A1614" t="s">
        <v>1189</v>
      </c>
      <c r="B1614" t="s">
        <v>1188</v>
      </c>
      <c r="C1614" t="s">
        <v>1188</v>
      </c>
      <c r="D1614" t="s">
        <v>22</v>
      </c>
      <c r="E1614">
        <v>27</v>
      </c>
      <c r="F1614">
        <v>27</v>
      </c>
      <c r="G1614" t="s">
        <v>54</v>
      </c>
      <c r="H1614" t="s">
        <v>54</v>
      </c>
      <c r="I1614" t="s">
        <v>20</v>
      </c>
      <c r="J1614" t="s">
        <v>20</v>
      </c>
      <c r="K1614" s="1">
        <v>46020</v>
      </c>
      <c r="L1614" s="1" t="str">
        <f>IF(K1614&gt;O1614,"Valid","Invalid")</f>
        <v>Valid</v>
      </c>
      <c r="M1614" s="1" t="b">
        <f>ISNUMBER(K1614)</f>
        <v>1</v>
      </c>
      <c r="N1614" s="1" t="b">
        <f>ISNUMBER(O1614)</f>
        <v>1</v>
      </c>
      <c r="O1614" s="1">
        <v>45992</v>
      </c>
      <c r="P1614" t="s">
        <v>1187</v>
      </c>
      <c r="Q1614" t="str">
        <f>SUBSTITUTE(SUBSTITUTE(SUBSTITUTE(P1614," ",""),"-",""),"+","")</f>
        <v>5333255559</v>
      </c>
      <c r="R1614" t="str">
        <f t="shared" si="50"/>
        <v>5333255559</v>
      </c>
      <c r="S1614" t="str">
        <f>IF(LEN(R1614),"Valid","Invalid")</f>
        <v>Valid</v>
      </c>
      <c r="T1614" t="s">
        <v>1186</v>
      </c>
      <c r="V1614" t="s">
        <v>26</v>
      </c>
      <c r="X1614">
        <v>3689.31</v>
      </c>
      <c r="Y1614" t="s">
        <v>63</v>
      </c>
      <c r="Z1614">
        <v>190</v>
      </c>
      <c r="AA1614">
        <f t="shared" si="51"/>
        <v>190</v>
      </c>
      <c r="AB1614" t="s">
        <v>16</v>
      </c>
    </row>
    <row r="1615" spans="1:28" x14ac:dyDescent="0.3">
      <c r="A1615" t="s">
        <v>1185</v>
      </c>
      <c r="B1615" t="s">
        <v>1184</v>
      </c>
      <c r="C1615" t="s">
        <v>1184</v>
      </c>
      <c r="D1615" t="s">
        <v>40</v>
      </c>
      <c r="E1615">
        <v>61</v>
      </c>
      <c r="F1615">
        <v>61</v>
      </c>
      <c r="G1615" t="s">
        <v>80</v>
      </c>
      <c r="H1615" t="s">
        <v>80</v>
      </c>
      <c r="I1615" t="s">
        <v>85</v>
      </c>
      <c r="J1615" t="s">
        <v>85</v>
      </c>
      <c r="K1615" s="1">
        <v>46028</v>
      </c>
      <c r="L1615" s="1" t="str">
        <f>IF(K1615&gt;O1615,"Valid","Invalid")</f>
        <v>Valid</v>
      </c>
      <c r="M1615" s="1" t="b">
        <f>ISNUMBER(K1615)</f>
        <v>1</v>
      </c>
      <c r="N1615" s="1" t="b">
        <f>ISNUMBER(O1615)</f>
        <v>1</v>
      </c>
      <c r="O1615" s="1">
        <v>46017</v>
      </c>
      <c r="P1615" t="s">
        <v>1183</v>
      </c>
      <c r="Q1615" t="str">
        <f>SUBSTITUTE(SUBSTITUTE(SUBSTITUTE(P1615," ",""),"-",""),"+","")</f>
        <v>1582970501</v>
      </c>
      <c r="R1615" t="str">
        <f t="shared" si="50"/>
        <v>1582970501</v>
      </c>
      <c r="S1615" t="str">
        <f>IF(LEN(R1615),"Valid","Invalid")</f>
        <v>Valid</v>
      </c>
      <c r="T1615" t="s">
        <v>1182</v>
      </c>
      <c r="V1615" t="s">
        <v>26</v>
      </c>
      <c r="X1615">
        <v>16177.4</v>
      </c>
      <c r="Y1615" t="s">
        <v>123</v>
      </c>
      <c r="Z1615">
        <v>202</v>
      </c>
      <c r="AA1615">
        <f t="shared" si="51"/>
        <v>202</v>
      </c>
      <c r="AB1615" t="s">
        <v>25</v>
      </c>
    </row>
    <row r="1616" spans="1:28" x14ac:dyDescent="0.3">
      <c r="A1616" t="s">
        <v>1181</v>
      </c>
      <c r="B1616" t="s">
        <v>1180</v>
      </c>
      <c r="C1616" t="s">
        <v>1180</v>
      </c>
      <c r="D1616" t="s">
        <v>22</v>
      </c>
      <c r="E1616">
        <v>62</v>
      </c>
      <c r="F1616">
        <v>62</v>
      </c>
      <c r="G1616" t="s">
        <v>54</v>
      </c>
      <c r="H1616" t="s">
        <v>54</v>
      </c>
      <c r="I1616" t="s">
        <v>30</v>
      </c>
      <c r="J1616" t="s">
        <v>30</v>
      </c>
      <c r="K1616" s="1">
        <v>46027</v>
      </c>
      <c r="L1616" s="1" t="str">
        <f>IF(K1616&gt;O1616,"Valid","Invalid")</f>
        <v>Valid</v>
      </c>
      <c r="M1616" s="1" t="b">
        <f>ISNUMBER(K1616)</f>
        <v>1</v>
      </c>
      <c r="N1616" s="1" t="b">
        <f>ISNUMBER(O1616)</f>
        <v>1</v>
      </c>
      <c r="O1616" s="1">
        <v>46022</v>
      </c>
      <c r="P1616" t="s">
        <v>1179</v>
      </c>
      <c r="Q1616" t="str">
        <f>SUBSTITUTE(SUBSTITUTE(SUBSTITUTE(P1616," ",""),"-",""),"+","")</f>
        <v>4432118885</v>
      </c>
      <c r="R1616" t="str">
        <f t="shared" si="50"/>
        <v>4432118885</v>
      </c>
      <c r="S1616" t="str">
        <f>IF(LEN(R1616),"Valid","Invalid")</f>
        <v>Valid</v>
      </c>
      <c r="T1616" t="s">
        <v>1178</v>
      </c>
      <c r="V1616" t="s">
        <v>123</v>
      </c>
      <c r="X1616">
        <v>5670.03</v>
      </c>
      <c r="Y1616" t="s">
        <v>26</v>
      </c>
      <c r="Z1616">
        <v>108</v>
      </c>
      <c r="AA1616">
        <f t="shared" si="51"/>
        <v>108</v>
      </c>
      <c r="AB1616" t="s">
        <v>50</v>
      </c>
    </row>
    <row r="1617" spans="1:28" x14ac:dyDescent="0.3">
      <c r="A1617" t="s">
        <v>1177</v>
      </c>
      <c r="B1617" t="s">
        <v>1176</v>
      </c>
      <c r="C1617" t="s">
        <v>1176</v>
      </c>
      <c r="D1617" t="s">
        <v>1</v>
      </c>
      <c r="E1617">
        <v>83</v>
      </c>
      <c r="F1617">
        <v>83</v>
      </c>
      <c r="G1617" t="s">
        <v>68</v>
      </c>
      <c r="H1617" t="s">
        <v>68</v>
      </c>
      <c r="I1617" t="s">
        <v>90</v>
      </c>
      <c r="J1617" t="s">
        <v>67</v>
      </c>
      <c r="K1617" s="1">
        <v>46035</v>
      </c>
      <c r="L1617" s="1" t="str">
        <f>IF(K1617&gt;O1617,"Valid","Invalid")</f>
        <v>Valid</v>
      </c>
      <c r="M1617" s="1" t="b">
        <f>ISNUMBER(K1617)</f>
        <v>1</v>
      </c>
      <c r="N1617" s="1" t="b">
        <f>ISNUMBER(O1617)</f>
        <v>1</v>
      </c>
      <c r="O1617" s="1">
        <v>46028</v>
      </c>
      <c r="P1617" t="s">
        <v>1175</v>
      </c>
      <c r="Q1617" t="str">
        <f>SUBSTITUTE(SUBSTITUTE(SUBSTITUTE(P1617," ",""),"-",""),"+","")</f>
        <v>1537395868</v>
      </c>
      <c r="R1617" t="str">
        <f t="shared" si="50"/>
        <v>1537395868</v>
      </c>
      <c r="S1617" t="str">
        <f>IF(LEN(R1617),"Valid","Invalid")</f>
        <v>Valid</v>
      </c>
      <c r="T1617" t="s">
        <v>1174</v>
      </c>
      <c r="V1617" t="s">
        <v>35</v>
      </c>
      <c r="X1617">
        <v>2923.65</v>
      </c>
      <c r="Y1617" t="s">
        <v>17</v>
      </c>
      <c r="Z1617">
        <v>367</v>
      </c>
      <c r="AA1617">
        <f t="shared" si="51"/>
        <v>367</v>
      </c>
      <c r="AB1617" t="s">
        <v>43</v>
      </c>
    </row>
    <row r="1618" spans="1:28" x14ac:dyDescent="0.3">
      <c r="A1618" t="s">
        <v>1169</v>
      </c>
      <c r="B1618" t="s">
        <v>1168</v>
      </c>
      <c r="C1618" t="s">
        <v>1168</v>
      </c>
      <c r="D1618" t="s">
        <v>22</v>
      </c>
      <c r="E1618">
        <v>32</v>
      </c>
      <c r="F1618">
        <v>32</v>
      </c>
      <c r="G1618" t="s">
        <v>39</v>
      </c>
      <c r="H1618" t="s">
        <v>39</v>
      </c>
      <c r="I1618" t="s">
        <v>85</v>
      </c>
      <c r="J1618" t="s">
        <v>85</v>
      </c>
      <c r="K1618" s="1">
        <v>46063</v>
      </c>
      <c r="L1618" s="1" t="str">
        <f>IF(K1618&gt;O1618,"Valid","Invalid")</f>
        <v>Valid</v>
      </c>
      <c r="M1618" s="1" t="b">
        <f>ISNUMBER(K1618)</f>
        <v>1</v>
      </c>
      <c r="N1618" s="1" t="b">
        <f>ISNUMBER(O1618)</f>
        <v>1</v>
      </c>
      <c r="O1618" s="1">
        <v>46047</v>
      </c>
      <c r="P1618" t="s">
        <v>1167</v>
      </c>
      <c r="Q1618" t="str">
        <f>SUBSTITUTE(SUBSTITUTE(SUBSTITUTE(P1618," ",""),"-",""),"+","")</f>
        <v>03904964444</v>
      </c>
      <c r="R1618" t="str">
        <f t="shared" si="50"/>
        <v>3904964444</v>
      </c>
      <c r="S1618" t="str">
        <f>IF(LEN(R1618),"Valid","Invalid")</f>
        <v>Valid</v>
      </c>
      <c r="T1618" t="s">
        <v>1166</v>
      </c>
      <c r="V1618" t="s">
        <v>27</v>
      </c>
      <c r="X1618">
        <v>3897.59</v>
      </c>
      <c r="Y1618" t="s">
        <v>27</v>
      </c>
      <c r="Z1618">
        <v>267</v>
      </c>
      <c r="AA1618">
        <f t="shared" si="51"/>
        <v>267</v>
      </c>
      <c r="AB1618" t="s">
        <v>50</v>
      </c>
    </row>
    <row r="1619" spans="1:28" x14ac:dyDescent="0.3">
      <c r="A1619" t="s">
        <v>1165</v>
      </c>
      <c r="B1619" t="s">
        <v>1164</v>
      </c>
      <c r="C1619" t="s">
        <v>1164</v>
      </c>
      <c r="D1619" t="s">
        <v>123</v>
      </c>
      <c r="E1619">
        <v>73</v>
      </c>
      <c r="F1619">
        <v>73</v>
      </c>
      <c r="G1619" t="s">
        <v>31</v>
      </c>
      <c r="H1619" t="s">
        <v>31</v>
      </c>
      <c r="I1619" t="s">
        <v>46</v>
      </c>
      <c r="J1619" t="s">
        <v>46</v>
      </c>
      <c r="K1619" s="1">
        <v>46001</v>
      </c>
      <c r="L1619" s="1" t="str">
        <f>IF(K1619&gt;O1619,"Valid","Invalid")</f>
        <v>Valid</v>
      </c>
      <c r="M1619" s="1" t="b">
        <f>ISNUMBER(K1619)</f>
        <v>1</v>
      </c>
      <c r="N1619" s="1" t="b">
        <f>ISNUMBER(O1619)</f>
        <v>1</v>
      </c>
      <c r="O1619" s="1">
        <v>45986</v>
      </c>
      <c r="P1619" t="s">
        <v>1163</v>
      </c>
      <c r="Q1619" t="str">
        <f>SUBSTITUTE(SUBSTITUTE(SUBSTITUTE(P1619," ",""),"-",""),"+","")</f>
        <v>912211392118</v>
      </c>
      <c r="R1619" t="str">
        <f t="shared" si="50"/>
        <v>2211392118</v>
      </c>
      <c r="S1619" t="str">
        <f>IF(LEN(R1619),"Valid","Invalid")</f>
        <v>Valid</v>
      </c>
      <c r="T1619" t="s">
        <v>1162</v>
      </c>
      <c r="V1619" t="s">
        <v>17</v>
      </c>
      <c r="X1619">
        <v>4846.82</v>
      </c>
      <c r="Y1619" t="s">
        <v>63</v>
      </c>
      <c r="Z1619">
        <v>469</v>
      </c>
      <c r="AA1619">
        <f t="shared" si="51"/>
        <v>469</v>
      </c>
      <c r="AB1619" t="s">
        <v>50</v>
      </c>
    </row>
    <row r="1620" spans="1:28" x14ac:dyDescent="0.3">
      <c r="A1620" t="s">
        <v>1161</v>
      </c>
      <c r="B1620" t="s">
        <v>1160</v>
      </c>
      <c r="C1620" t="s">
        <v>1160</v>
      </c>
      <c r="D1620" t="s">
        <v>123</v>
      </c>
      <c r="E1620">
        <v>33</v>
      </c>
      <c r="F1620">
        <v>33</v>
      </c>
      <c r="G1620" t="s">
        <v>132</v>
      </c>
      <c r="H1620" t="s">
        <v>132</v>
      </c>
      <c r="I1620" t="s">
        <v>38</v>
      </c>
      <c r="J1620" t="s">
        <v>8077</v>
      </c>
      <c r="K1620" s="1">
        <v>46169</v>
      </c>
      <c r="L1620" s="1" t="str">
        <f>IF(K1620&gt;O1620,"Valid","Invalid")</f>
        <v>Valid</v>
      </c>
      <c r="M1620" s="1" t="b">
        <f>ISNUMBER(K1620)</f>
        <v>1</v>
      </c>
      <c r="N1620" s="1" t="b">
        <f>ISNUMBER(O1620)</f>
        <v>1</v>
      </c>
      <c r="O1620" s="1">
        <v>46149</v>
      </c>
      <c r="P1620" t="s">
        <v>1159</v>
      </c>
      <c r="Q1620" t="str">
        <f>SUBSTITUTE(SUBSTITUTE(SUBSTITUTE(P1620," ",""),"-",""),"+","")</f>
        <v>918751906394</v>
      </c>
      <c r="R1620" t="str">
        <f t="shared" si="50"/>
        <v>8751906394</v>
      </c>
      <c r="S1620" t="str">
        <f>IF(LEN(R1620),"Valid","Invalid")</f>
        <v>Valid</v>
      </c>
      <c r="T1620" t="s">
        <v>1158</v>
      </c>
      <c r="V1620" t="s">
        <v>123</v>
      </c>
      <c r="X1620">
        <v>16811.939999999999</v>
      </c>
      <c r="Y1620" t="s">
        <v>17</v>
      </c>
      <c r="Z1620">
        <v>149</v>
      </c>
      <c r="AA1620">
        <f t="shared" si="51"/>
        <v>149</v>
      </c>
      <c r="AB1620" t="s">
        <v>16</v>
      </c>
    </row>
    <row r="1621" spans="1:28" x14ac:dyDescent="0.3">
      <c r="A1621" t="s">
        <v>1157</v>
      </c>
      <c r="B1621" t="s">
        <v>1156</v>
      </c>
      <c r="C1621" t="s">
        <v>1156</v>
      </c>
      <c r="E1621">
        <v>80</v>
      </c>
      <c r="F1621">
        <v>80</v>
      </c>
      <c r="G1621" t="s">
        <v>21</v>
      </c>
      <c r="H1621" t="s">
        <v>21</v>
      </c>
      <c r="I1621" t="s">
        <v>38</v>
      </c>
      <c r="J1621" t="s">
        <v>8077</v>
      </c>
      <c r="K1621" s="1">
        <v>46060</v>
      </c>
      <c r="L1621" s="1" t="str">
        <f>IF(K1621&gt;O1621,"Valid","Invalid")</f>
        <v>Valid</v>
      </c>
      <c r="M1621" s="1" t="b">
        <f>ISNUMBER(K1621)</f>
        <v>1</v>
      </c>
      <c r="N1621" s="1" t="b">
        <f>ISNUMBER(O1621)</f>
        <v>1</v>
      </c>
      <c r="O1621" s="1">
        <v>46050</v>
      </c>
      <c r="P1621" t="s">
        <v>1155</v>
      </c>
      <c r="Q1621" t="str">
        <f>SUBSTITUTE(SUBSTITUTE(SUBSTITUTE(P1621," ",""),"-",""),"+","")</f>
        <v>6439011507</v>
      </c>
      <c r="R1621" t="str">
        <f t="shared" si="50"/>
        <v>6439011507</v>
      </c>
      <c r="S1621" t="str">
        <f>IF(LEN(R1621),"Valid","Invalid")</f>
        <v>Valid</v>
      </c>
      <c r="T1621" t="s">
        <v>1154</v>
      </c>
      <c r="V1621" t="s">
        <v>27</v>
      </c>
      <c r="X1621">
        <v>21473.35</v>
      </c>
      <c r="Y1621" t="s">
        <v>17</v>
      </c>
      <c r="Z1621">
        <v>341</v>
      </c>
      <c r="AA1621">
        <f t="shared" si="51"/>
        <v>341</v>
      </c>
      <c r="AB1621" t="s">
        <v>50</v>
      </c>
    </row>
    <row r="1622" spans="1:28" x14ac:dyDescent="0.3">
      <c r="A1622" t="s">
        <v>1153</v>
      </c>
      <c r="B1622" t="s">
        <v>1152</v>
      </c>
      <c r="C1622" t="s">
        <v>1152</v>
      </c>
      <c r="D1622" t="s">
        <v>1</v>
      </c>
      <c r="E1622">
        <v>69</v>
      </c>
      <c r="F1622">
        <v>69</v>
      </c>
      <c r="G1622" t="s">
        <v>31</v>
      </c>
      <c r="H1622" t="s">
        <v>31</v>
      </c>
      <c r="I1622" t="s">
        <v>85</v>
      </c>
      <c r="J1622" t="s">
        <v>85</v>
      </c>
      <c r="K1622" s="1">
        <v>46075</v>
      </c>
      <c r="L1622" s="1" t="str">
        <f>IF(K1622&gt;O1622,"Valid","Invalid")</f>
        <v>Valid</v>
      </c>
      <c r="M1622" s="1" t="b">
        <f>ISNUMBER(K1622)</f>
        <v>1</v>
      </c>
      <c r="N1622" s="1" t="b">
        <f>ISNUMBER(O1622)</f>
        <v>1</v>
      </c>
      <c r="O1622" s="1">
        <v>46068</v>
      </c>
      <c r="P1622" t="s">
        <v>1151</v>
      </c>
      <c r="Q1622" t="str">
        <f>SUBSTITUTE(SUBSTITUTE(SUBSTITUTE(P1622," ",""),"-",""),"+","")</f>
        <v>918345613683</v>
      </c>
      <c r="R1622" t="str">
        <f t="shared" si="50"/>
        <v>8345613683</v>
      </c>
      <c r="S1622" t="str">
        <f>IF(LEN(R1622),"Valid","Invalid")</f>
        <v>Valid</v>
      </c>
      <c r="T1622" t="s">
        <v>1150</v>
      </c>
      <c r="V1622" t="s">
        <v>123</v>
      </c>
      <c r="X1622">
        <v>23946.04</v>
      </c>
      <c r="Y1622" t="s">
        <v>27</v>
      </c>
      <c r="Z1622">
        <v>453</v>
      </c>
      <c r="AA1622">
        <f t="shared" si="51"/>
        <v>453</v>
      </c>
      <c r="AB1622" t="s">
        <v>77</v>
      </c>
    </row>
    <row r="1623" spans="1:28" x14ac:dyDescent="0.3">
      <c r="A1623" t="s">
        <v>1149</v>
      </c>
      <c r="B1623" t="s">
        <v>995</v>
      </c>
      <c r="C1623" t="s">
        <v>995</v>
      </c>
      <c r="D1623" t="s">
        <v>74</v>
      </c>
      <c r="E1623">
        <v>73</v>
      </c>
      <c r="F1623">
        <v>73</v>
      </c>
      <c r="G1623" t="s">
        <v>39</v>
      </c>
      <c r="H1623" t="s">
        <v>39</v>
      </c>
      <c r="I1623" t="s">
        <v>38</v>
      </c>
      <c r="J1623" t="s">
        <v>8077</v>
      </c>
      <c r="K1623" s="1">
        <v>46096</v>
      </c>
      <c r="L1623" s="1" t="str">
        <f>IF(K1623&gt;O1623,"Valid","Invalid")</f>
        <v>Valid</v>
      </c>
      <c r="M1623" s="1" t="b">
        <f>ISNUMBER(K1623)</f>
        <v>1</v>
      </c>
      <c r="N1623" s="1" t="b">
        <f>ISNUMBER(O1623)</f>
        <v>1</v>
      </c>
      <c r="O1623" s="1">
        <v>46083</v>
      </c>
      <c r="P1623" t="s">
        <v>1148</v>
      </c>
      <c r="Q1623" t="str">
        <f>SUBSTITUTE(SUBSTITUTE(SUBSTITUTE(P1623," ",""),"-",""),"+","")</f>
        <v>04448445423</v>
      </c>
      <c r="R1623" t="str">
        <f t="shared" si="50"/>
        <v>4448445423</v>
      </c>
      <c r="S1623" t="str">
        <f>IF(LEN(R1623),"Valid","Invalid")</f>
        <v>Valid</v>
      </c>
      <c r="T1623" t="s">
        <v>1147</v>
      </c>
      <c r="V1623" t="s">
        <v>27</v>
      </c>
      <c r="X1623">
        <v>5282.99</v>
      </c>
      <c r="Y1623" t="s">
        <v>123</v>
      </c>
      <c r="Z1623">
        <v>373</v>
      </c>
      <c r="AA1623">
        <f t="shared" si="51"/>
        <v>373</v>
      </c>
      <c r="AB1623" t="s">
        <v>25</v>
      </c>
    </row>
    <row r="1624" spans="1:28" x14ac:dyDescent="0.3">
      <c r="A1624" t="s">
        <v>1146</v>
      </c>
      <c r="B1624" t="s">
        <v>1145</v>
      </c>
      <c r="C1624" t="s">
        <v>1145</v>
      </c>
      <c r="D1624" t="s">
        <v>74</v>
      </c>
      <c r="E1624">
        <v>14</v>
      </c>
      <c r="F1624">
        <v>14</v>
      </c>
      <c r="G1624" t="s">
        <v>68</v>
      </c>
      <c r="H1624" t="s">
        <v>68</v>
      </c>
      <c r="I1624" t="s">
        <v>53</v>
      </c>
      <c r="J1624" t="s">
        <v>20</v>
      </c>
      <c r="K1624" s="1">
        <v>46015</v>
      </c>
      <c r="L1624" s="1" t="str">
        <f>IF(K1624&gt;O1624,"Valid","Invalid")</f>
        <v>Valid</v>
      </c>
      <c r="M1624" s="1" t="b">
        <f>ISNUMBER(K1624)</f>
        <v>1</v>
      </c>
      <c r="N1624" s="1" t="b">
        <f>ISNUMBER(O1624)</f>
        <v>1</v>
      </c>
      <c r="O1624" s="1">
        <v>46008</v>
      </c>
      <c r="P1624" t="s">
        <v>1144</v>
      </c>
      <c r="Q1624" t="str">
        <f>SUBSTITUTE(SUBSTITUTE(SUBSTITUTE(P1624," ",""),"-",""),"+","")</f>
        <v>04062275299</v>
      </c>
      <c r="R1624" t="str">
        <f t="shared" si="50"/>
        <v>4062275299</v>
      </c>
      <c r="S1624" t="str">
        <f>IF(LEN(R1624),"Valid","Invalid")</f>
        <v>Valid</v>
      </c>
      <c r="T1624" t="s">
        <v>1143</v>
      </c>
      <c r="V1624" t="s">
        <v>17</v>
      </c>
      <c r="X1624">
        <v>5618.07</v>
      </c>
      <c r="Y1624" t="s">
        <v>64</v>
      </c>
      <c r="Z1624">
        <v>118</v>
      </c>
      <c r="AA1624">
        <f t="shared" si="51"/>
        <v>118</v>
      </c>
      <c r="AB1624" t="s">
        <v>43</v>
      </c>
    </row>
    <row r="1625" spans="1:28" x14ac:dyDescent="0.3">
      <c r="A1625" t="s">
        <v>1142</v>
      </c>
      <c r="B1625" t="s">
        <v>1141</v>
      </c>
      <c r="C1625" t="s">
        <v>1141</v>
      </c>
      <c r="D1625" t="s">
        <v>40</v>
      </c>
      <c r="E1625">
        <v>76</v>
      </c>
      <c r="F1625">
        <v>76</v>
      </c>
      <c r="G1625" t="s">
        <v>54</v>
      </c>
      <c r="H1625" t="s">
        <v>54</v>
      </c>
      <c r="I1625" t="s">
        <v>20</v>
      </c>
      <c r="J1625" t="s">
        <v>20</v>
      </c>
      <c r="K1625" s="1">
        <v>46140</v>
      </c>
      <c r="L1625" s="1" t="str">
        <f>IF(K1625&gt;O1625,"Valid","Invalid")</f>
        <v>Valid</v>
      </c>
      <c r="M1625" s="1" t="b">
        <f>ISNUMBER(K1625)</f>
        <v>1</v>
      </c>
      <c r="N1625" s="1" t="b">
        <f>ISNUMBER(O1625)</f>
        <v>1</v>
      </c>
      <c r="O1625" s="1">
        <v>46132</v>
      </c>
      <c r="P1625" t="s">
        <v>1140</v>
      </c>
      <c r="Q1625" t="str">
        <f>SUBSTITUTE(SUBSTITUTE(SUBSTITUTE(P1625," ",""),"-",""),"+","")</f>
        <v>1649333324</v>
      </c>
      <c r="R1625" t="str">
        <f t="shared" si="50"/>
        <v>1649333324</v>
      </c>
      <c r="S1625" t="str">
        <f>IF(LEN(R1625),"Valid","Invalid")</f>
        <v>Valid</v>
      </c>
      <c r="T1625" t="s">
        <v>1139</v>
      </c>
      <c r="V1625" t="s">
        <v>123</v>
      </c>
      <c r="X1625">
        <v>22348.95</v>
      </c>
      <c r="Y1625" t="s">
        <v>64</v>
      </c>
      <c r="Z1625">
        <v>274</v>
      </c>
      <c r="AA1625">
        <f t="shared" si="51"/>
        <v>274</v>
      </c>
      <c r="AB1625" t="s">
        <v>71</v>
      </c>
    </row>
    <row r="1626" spans="1:28" x14ac:dyDescent="0.3">
      <c r="A1626" t="s">
        <v>1138</v>
      </c>
      <c r="B1626" t="s">
        <v>1137</v>
      </c>
      <c r="C1626" t="s">
        <v>1137</v>
      </c>
      <c r="D1626" t="s">
        <v>74</v>
      </c>
      <c r="E1626">
        <v>12</v>
      </c>
      <c r="F1626">
        <v>12</v>
      </c>
      <c r="G1626" t="s">
        <v>132</v>
      </c>
      <c r="H1626" t="s">
        <v>132</v>
      </c>
      <c r="I1626" t="s">
        <v>38</v>
      </c>
      <c r="J1626" t="s">
        <v>8077</v>
      </c>
      <c r="K1626" s="1">
        <v>46098</v>
      </c>
      <c r="L1626" s="1" t="str">
        <f>IF(K1626&gt;O1626,"Valid","Invalid")</f>
        <v>Valid</v>
      </c>
      <c r="M1626" s="1" t="b">
        <f>ISNUMBER(K1626)</f>
        <v>1</v>
      </c>
      <c r="N1626" s="1" t="b">
        <f>ISNUMBER(O1626)</f>
        <v>1</v>
      </c>
      <c r="O1626" s="1">
        <v>46097</v>
      </c>
      <c r="P1626" t="s">
        <v>1136</v>
      </c>
      <c r="Q1626" t="str">
        <f>SUBSTITUTE(SUBSTITUTE(SUBSTITUTE(P1626," ",""),"-",""),"+","")</f>
        <v>0117393497</v>
      </c>
      <c r="R1626" t="str">
        <f t="shared" si="50"/>
        <v>0117393497</v>
      </c>
      <c r="S1626" t="str">
        <f>IF(LEN(R1626),"Valid","Invalid")</f>
        <v>Valid</v>
      </c>
      <c r="T1626" t="s">
        <v>1135</v>
      </c>
      <c r="V1626" t="s">
        <v>123</v>
      </c>
      <c r="X1626">
        <v>17287.12</v>
      </c>
      <c r="Y1626" t="s">
        <v>26</v>
      </c>
      <c r="Z1626">
        <v>436</v>
      </c>
      <c r="AA1626">
        <f t="shared" si="51"/>
        <v>436</v>
      </c>
      <c r="AB1626" t="s">
        <v>50</v>
      </c>
    </row>
    <row r="1627" spans="1:28" x14ac:dyDescent="0.3">
      <c r="A1627" t="s">
        <v>1134</v>
      </c>
      <c r="B1627" t="s">
        <v>1133</v>
      </c>
      <c r="C1627" t="s">
        <v>1133</v>
      </c>
      <c r="D1627" t="s">
        <v>40</v>
      </c>
      <c r="E1627">
        <v>63</v>
      </c>
      <c r="F1627">
        <v>63</v>
      </c>
      <c r="G1627" t="s">
        <v>21</v>
      </c>
      <c r="H1627" t="s">
        <v>21</v>
      </c>
      <c r="I1627" t="s">
        <v>90</v>
      </c>
      <c r="J1627" t="s">
        <v>67</v>
      </c>
      <c r="K1627" s="1">
        <v>46059</v>
      </c>
      <c r="L1627" s="1" t="str">
        <f>IF(K1627&gt;O1627,"Valid","Invalid")</f>
        <v>Valid</v>
      </c>
      <c r="M1627" s="1" t="b">
        <f>ISNUMBER(K1627)</f>
        <v>1</v>
      </c>
      <c r="N1627" s="1" t="b">
        <f>ISNUMBER(O1627)</f>
        <v>1</v>
      </c>
      <c r="O1627" s="1">
        <v>46031</v>
      </c>
      <c r="P1627" t="s">
        <v>1132</v>
      </c>
      <c r="Q1627" t="str">
        <f>SUBSTITUTE(SUBSTITUTE(SUBSTITUTE(P1627," ",""),"-",""),"+","")</f>
        <v>06864086140</v>
      </c>
      <c r="R1627" t="str">
        <f t="shared" si="50"/>
        <v>6864086140</v>
      </c>
      <c r="S1627" t="str">
        <f>IF(LEN(R1627),"Valid","Invalid")</f>
        <v>Valid</v>
      </c>
      <c r="T1627" t="s">
        <v>1131</v>
      </c>
      <c r="V1627" t="s">
        <v>57</v>
      </c>
      <c r="X1627">
        <v>2682.32</v>
      </c>
      <c r="Y1627" t="s">
        <v>57</v>
      </c>
      <c r="Z1627">
        <v>394</v>
      </c>
      <c r="AA1627">
        <f t="shared" si="51"/>
        <v>394</v>
      </c>
      <c r="AB1627" t="s">
        <v>43</v>
      </c>
    </row>
    <row r="1628" spans="1:28" x14ac:dyDescent="0.3">
      <c r="A1628" t="s">
        <v>1130</v>
      </c>
      <c r="B1628" t="s">
        <v>1129</v>
      </c>
      <c r="C1628" t="s">
        <v>1129</v>
      </c>
      <c r="D1628" t="s">
        <v>40</v>
      </c>
      <c r="E1628">
        <v>55</v>
      </c>
      <c r="F1628">
        <v>55</v>
      </c>
      <c r="G1628" t="s">
        <v>31</v>
      </c>
      <c r="H1628" t="s">
        <v>31</v>
      </c>
      <c r="I1628" t="s">
        <v>67</v>
      </c>
      <c r="J1628" t="s">
        <v>67</v>
      </c>
      <c r="K1628" s="1">
        <v>46050</v>
      </c>
      <c r="L1628" s="1" t="str">
        <f>IF(K1628&gt;O1628,"Valid","Invalid")</f>
        <v>Valid</v>
      </c>
      <c r="M1628" s="1" t="b">
        <f>ISNUMBER(K1628)</f>
        <v>1</v>
      </c>
      <c r="N1628" s="1" t="b">
        <f>ISNUMBER(O1628)</f>
        <v>1</v>
      </c>
      <c r="O1628" s="1">
        <v>46026</v>
      </c>
      <c r="P1628" t="s">
        <v>1128</v>
      </c>
      <c r="Q1628" t="str">
        <f>SUBSTITUTE(SUBSTITUTE(SUBSTITUTE(P1628," ",""),"-",""),"+","")</f>
        <v>08516426682</v>
      </c>
      <c r="R1628" t="str">
        <f t="shared" si="50"/>
        <v>8516426682</v>
      </c>
      <c r="S1628" t="str">
        <f>IF(LEN(R1628),"Valid","Invalid")</f>
        <v>Valid</v>
      </c>
      <c r="T1628" t="s">
        <v>1127</v>
      </c>
      <c r="V1628" t="s">
        <v>123</v>
      </c>
      <c r="X1628">
        <v>13995.91</v>
      </c>
      <c r="Y1628" t="s">
        <v>26</v>
      </c>
      <c r="Z1628">
        <v>113</v>
      </c>
      <c r="AA1628">
        <f t="shared" si="51"/>
        <v>113</v>
      </c>
      <c r="AB1628" t="s">
        <v>25</v>
      </c>
    </row>
    <row r="1629" spans="1:28" x14ac:dyDescent="0.3">
      <c r="A1629" t="s">
        <v>1126</v>
      </c>
      <c r="B1629" t="s">
        <v>1125</v>
      </c>
      <c r="C1629" t="s">
        <v>1125</v>
      </c>
      <c r="D1629" t="s">
        <v>74</v>
      </c>
      <c r="E1629">
        <v>81</v>
      </c>
      <c r="F1629">
        <v>81</v>
      </c>
      <c r="G1629" t="s">
        <v>47</v>
      </c>
      <c r="H1629" t="s">
        <v>47</v>
      </c>
      <c r="I1629" t="s">
        <v>30</v>
      </c>
      <c r="J1629" t="s">
        <v>30</v>
      </c>
      <c r="K1629" s="1">
        <v>46053</v>
      </c>
      <c r="L1629" s="1" t="str">
        <f>IF(K1629&gt;O1629,"Valid","Invalid")</f>
        <v>Valid</v>
      </c>
      <c r="M1629" s="1" t="b">
        <f>ISNUMBER(K1629)</f>
        <v>1</v>
      </c>
      <c r="N1629" s="1" t="b">
        <f>ISNUMBER(O1629)</f>
        <v>1</v>
      </c>
      <c r="O1629" s="1">
        <v>46047</v>
      </c>
      <c r="P1629" t="s">
        <v>1124</v>
      </c>
      <c r="Q1629" t="str">
        <f>SUBSTITUTE(SUBSTITUTE(SUBSTITUTE(P1629," ",""),"-",""),"+","")</f>
        <v>04717117968</v>
      </c>
      <c r="R1629" t="str">
        <f t="shared" si="50"/>
        <v>4717117968</v>
      </c>
      <c r="S1629" t="str">
        <f>IF(LEN(R1629),"Valid","Invalid")</f>
        <v>Valid</v>
      </c>
      <c r="T1629" t="s">
        <v>1123</v>
      </c>
      <c r="V1629" t="s">
        <v>35</v>
      </c>
      <c r="X1629">
        <v>20593.39</v>
      </c>
      <c r="Y1629" t="s">
        <v>57</v>
      </c>
      <c r="Z1629">
        <v>477</v>
      </c>
      <c r="AA1629">
        <f t="shared" si="51"/>
        <v>477</v>
      </c>
      <c r="AB1629" t="s">
        <v>77</v>
      </c>
    </row>
    <row r="1630" spans="1:28" x14ac:dyDescent="0.3">
      <c r="A1630" t="s">
        <v>1122</v>
      </c>
      <c r="B1630" t="s">
        <v>1121</v>
      </c>
      <c r="C1630" t="s">
        <v>1121</v>
      </c>
      <c r="D1630" t="s">
        <v>0</v>
      </c>
      <c r="E1630">
        <v>26</v>
      </c>
      <c r="F1630">
        <v>26</v>
      </c>
      <c r="G1630" t="s">
        <v>21</v>
      </c>
      <c r="H1630" t="s">
        <v>21</v>
      </c>
      <c r="I1630" t="s">
        <v>38</v>
      </c>
      <c r="J1630" t="s">
        <v>8077</v>
      </c>
      <c r="K1630" s="1">
        <v>46152</v>
      </c>
      <c r="L1630" s="1" t="str">
        <f>IF(K1630&gt;O1630,"Valid","Invalid")</f>
        <v>Valid</v>
      </c>
      <c r="M1630" s="1" t="b">
        <f>ISNUMBER(K1630)</f>
        <v>1</v>
      </c>
      <c r="N1630" s="1" t="b">
        <f>ISNUMBER(O1630)</f>
        <v>1</v>
      </c>
      <c r="O1630" s="1">
        <v>46148</v>
      </c>
      <c r="P1630" t="s">
        <v>1120</v>
      </c>
      <c r="Q1630" t="str">
        <f>SUBSTITUTE(SUBSTITUTE(SUBSTITUTE(P1630," ",""),"-",""),"+","")</f>
        <v>912901094626</v>
      </c>
      <c r="R1630" t="str">
        <f t="shared" si="50"/>
        <v>2901094626</v>
      </c>
      <c r="S1630" t="str">
        <f>IF(LEN(R1630),"Valid","Invalid")</f>
        <v>Valid</v>
      </c>
      <c r="T1630" t="s">
        <v>1119</v>
      </c>
      <c r="V1630" t="s">
        <v>26</v>
      </c>
      <c r="X1630">
        <v>11629.21</v>
      </c>
      <c r="Y1630" t="s">
        <v>123</v>
      </c>
      <c r="Z1630">
        <v>215</v>
      </c>
      <c r="AA1630">
        <f t="shared" si="51"/>
        <v>215</v>
      </c>
      <c r="AB1630" t="s">
        <v>34</v>
      </c>
    </row>
    <row r="1631" spans="1:28" x14ac:dyDescent="0.3">
      <c r="A1631" t="s">
        <v>1118</v>
      </c>
      <c r="B1631" t="s">
        <v>1117</v>
      </c>
      <c r="C1631" t="s">
        <v>1117</v>
      </c>
      <c r="D1631" t="s">
        <v>0</v>
      </c>
      <c r="E1631">
        <v>5</v>
      </c>
      <c r="F1631">
        <v>5</v>
      </c>
      <c r="G1631" t="s">
        <v>80</v>
      </c>
      <c r="H1631" t="s">
        <v>80</v>
      </c>
      <c r="I1631" t="s">
        <v>38</v>
      </c>
      <c r="J1631" t="s">
        <v>8077</v>
      </c>
      <c r="K1631" s="1">
        <v>46025</v>
      </c>
      <c r="L1631" s="1" t="str">
        <f>IF(K1631&gt;O1631,"Valid","Invalid")</f>
        <v>Valid</v>
      </c>
      <c r="M1631" s="1" t="b">
        <f>ISNUMBER(K1631)</f>
        <v>1</v>
      </c>
      <c r="N1631" s="1" t="b">
        <f>ISNUMBER(O1631)</f>
        <v>1</v>
      </c>
      <c r="O1631" s="1">
        <v>46014</v>
      </c>
      <c r="P1631" t="s">
        <v>1116</v>
      </c>
      <c r="Q1631" t="str">
        <f>SUBSTITUTE(SUBSTITUTE(SUBSTITUTE(P1631," ",""),"-",""),"+","")</f>
        <v>00783568483</v>
      </c>
      <c r="R1631" t="str">
        <f t="shared" si="50"/>
        <v>0783568483</v>
      </c>
      <c r="S1631" t="str">
        <f>IF(LEN(R1631),"Valid","Invalid")</f>
        <v>Valid</v>
      </c>
      <c r="T1631" t="s">
        <v>1115</v>
      </c>
      <c r="V1631" t="s">
        <v>26</v>
      </c>
      <c r="X1631">
        <v>20901.71</v>
      </c>
      <c r="Y1631" t="s">
        <v>123</v>
      </c>
      <c r="Z1631">
        <v>178</v>
      </c>
      <c r="AA1631">
        <f t="shared" si="51"/>
        <v>178</v>
      </c>
      <c r="AB1631" t="s">
        <v>25</v>
      </c>
    </row>
    <row r="1632" spans="1:28" x14ac:dyDescent="0.3">
      <c r="A1632" t="s">
        <v>1110</v>
      </c>
      <c r="B1632" t="s">
        <v>1109</v>
      </c>
      <c r="C1632" t="s">
        <v>1109</v>
      </c>
      <c r="D1632" t="s">
        <v>123</v>
      </c>
      <c r="E1632">
        <v>14</v>
      </c>
      <c r="F1632">
        <v>14</v>
      </c>
      <c r="G1632" t="s">
        <v>80</v>
      </c>
      <c r="H1632" t="s">
        <v>80</v>
      </c>
      <c r="I1632" t="s">
        <v>53</v>
      </c>
      <c r="J1632" t="s">
        <v>20</v>
      </c>
      <c r="K1632" s="1">
        <v>45986</v>
      </c>
      <c r="L1632" s="1" t="str">
        <f>IF(K1632&gt;O1632,"Valid","Invalid")</f>
        <v>Valid</v>
      </c>
      <c r="M1632" s="1" t="b">
        <f>ISNUMBER(K1632)</f>
        <v>1</v>
      </c>
      <c r="N1632" s="1" t="b">
        <f>ISNUMBER(O1632)</f>
        <v>1</v>
      </c>
      <c r="O1632" s="1">
        <v>45980</v>
      </c>
      <c r="P1632" t="s">
        <v>1108</v>
      </c>
      <c r="Q1632" t="str">
        <f>SUBSTITUTE(SUBSTITUTE(SUBSTITUTE(P1632," ",""),"-",""),"+","")</f>
        <v>916496488083</v>
      </c>
      <c r="R1632" t="str">
        <f t="shared" si="50"/>
        <v>6496488083</v>
      </c>
      <c r="S1632" t="str">
        <f>IF(LEN(R1632),"Valid","Invalid")</f>
        <v>Valid</v>
      </c>
      <c r="T1632" t="s">
        <v>1107</v>
      </c>
      <c r="V1632" t="s">
        <v>64</v>
      </c>
      <c r="X1632">
        <v>4012.74</v>
      </c>
      <c r="Y1632" t="s">
        <v>64</v>
      </c>
      <c r="Z1632">
        <v>322</v>
      </c>
      <c r="AA1632">
        <f t="shared" si="51"/>
        <v>322</v>
      </c>
      <c r="AB1632" t="s">
        <v>71</v>
      </c>
    </row>
    <row r="1633" spans="1:28" x14ac:dyDescent="0.3">
      <c r="A1633" t="s">
        <v>1106</v>
      </c>
      <c r="B1633" t="s">
        <v>1105</v>
      </c>
      <c r="C1633" t="s">
        <v>1105</v>
      </c>
      <c r="D1633" t="s">
        <v>0</v>
      </c>
      <c r="E1633">
        <v>35</v>
      </c>
      <c r="F1633">
        <v>35</v>
      </c>
      <c r="G1633" t="s">
        <v>31</v>
      </c>
      <c r="H1633" t="s">
        <v>31</v>
      </c>
      <c r="I1633" t="s">
        <v>85</v>
      </c>
      <c r="J1633" t="s">
        <v>85</v>
      </c>
      <c r="K1633" s="1">
        <v>46132</v>
      </c>
      <c r="L1633" s="1" t="str">
        <f>IF(K1633&gt;O1633,"Valid","Invalid")</f>
        <v>Valid</v>
      </c>
      <c r="M1633" s="1" t="b">
        <f>ISNUMBER(K1633)</f>
        <v>1</v>
      </c>
      <c r="N1633" s="1" t="b">
        <f>ISNUMBER(O1633)</f>
        <v>1</v>
      </c>
      <c r="O1633" s="1">
        <v>46127</v>
      </c>
      <c r="P1633" t="s">
        <v>1104</v>
      </c>
      <c r="Q1633" t="str">
        <f>SUBSTITUTE(SUBSTITUTE(SUBSTITUTE(P1633," ",""),"-",""),"+","")</f>
        <v>1138790156</v>
      </c>
      <c r="R1633" t="str">
        <f t="shared" si="50"/>
        <v>1138790156</v>
      </c>
      <c r="S1633" t="str">
        <f>IF(LEN(R1633),"Valid","Invalid")</f>
        <v>Valid</v>
      </c>
      <c r="T1633" t="s">
        <v>1103</v>
      </c>
      <c r="V1633" t="s">
        <v>17</v>
      </c>
      <c r="X1633">
        <v>23849.73</v>
      </c>
      <c r="Y1633" t="s">
        <v>123</v>
      </c>
      <c r="Z1633">
        <v>188</v>
      </c>
      <c r="AA1633">
        <f t="shared" si="51"/>
        <v>188</v>
      </c>
      <c r="AB1633" t="s">
        <v>34</v>
      </c>
    </row>
    <row r="1634" spans="1:28" x14ac:dyDescent="0.3">
      <c r="A1634" t="s">
        <v>1102</v>
      </c>
      <c r="B1634" t="s">
        <v>1101</v>
      </c>
      <c r="C1634" t="s">
        <v>1101</v>
      </c>
      <c r="E1634">
        <v>36</v>
      </c>
      <c r="F1634">
        <v>36</v>
      </c>
      <c r="G1634" t="s">
        <v>31</v>
      </c>
      <c r="H1634" t="s">
        <v>31</v>
      </c>
      <c r="I1634" t="s">
        <v>30</v>
      </c>
      <c r="J1634" t="s">
        <v>30</v>
      </c>
      <c r="K1634" s="1">
        <v>45995</v>
      </c>
      <c r="L1634" s="1" t="str">
        <f>IF(K1634&gt;O1634,"Valid","Invalid")</f>
        <v>Valid</v>
      </c>
      <c r="M1634" s="1" t="b">
        <f>ISNUMBER(K1634)</f>
        <v>1</v>
      </c>
      <c r="N1634" s="1" t="b">
        <f>ISNUMBER(O1634)</f>
        <v>1</v>
      </c>
      <c r="O1634" s="1">
        <v>45976</v>
      </c>
      <c r="P1634" t="s">
        <v>1100</v>
      </c>
      <c r="Q1634" t="str">
        <f>SUBSTITUTE(SUBSTITUTE(SUBSTITUTE(P1634," ",""),"-",""),"+","")</f>
        <v>915198399807</v>
      </c>
      <c r="R1634" t="str">
        <f t="shared" si="50"/>
        <v>5198399807</v>
      </c>
      <c r="S1634" t="str">
        <f>IF(LEN(R1634),"Valid","Invalid")</f>
        <v>Valid</v>
      </c>
      <c r="T1634" t="s">
        <v>1099</v>
      </c>
      <c r="V1634" t="s">
        <v>17</v>
      </c>
      <c r="X1634">
        <v>23170.09</v>
      </c>
      <c r="Y1634" t="s">
        <v>27</v>
      </c>
      <c r="Z1634">
        <v>200</v>
      </c>
      <c r="AA1634">
        <f t="shared" si="51"/>
        <v>200</v>
      </c>
      <c r="AB1634" t="s">
        <v>16</v>
      </c>
    </row>
    <row r="1635" spans="1:28" x14ac:dyDescent="0.3">
      <c r="A1635" t="s">
        <v>1098</v>
      </c>
      <c r="B1635" t="s">
        <v>1097</v>
      </c>
      <c r="C1635" t="s">
        <v>1097</v>
      </c>
      <c r="D1635" t="s">
        <v>22</v>
      </c>
      <c r="E1635">
        <v>49</v>
      </c>
      <c r="F1635">
        <v>49</v>
      </c>
      <c r="G1635" t="s">
        <v>68</v>
      </c>
      <c r="H1635" t="s">
        <v>68</v>
      </c>
      <c r="I1635" t="s">
        <v>20</v>
      </c>
      <c r="J1635" t="s">
        <v>20</v>
      </c>
      <c r="K1635" s="1">
        <v>46049</v>
      </c>
      <c r="L1635" s="1" t="str">
        <f>IF(K1635&gt;O1635,"Valid","Invalid")</f>
        <v>Valid</v>
      </c>
      <c r="M1635" s="1" t="b">
        <f>ISNUMBER(K1635)</f>
        <v>1</v>
      </c>
      <c r="N1635" s="1" t="b">
        <f>ISNUMBER(O1635)</f>
        <v>1</v>
      </c>
      <c r="O1635" s="1">
        <v>46022</v>
      </c>
      <c r="P1635" t="s">
        <v>1096</v>
      </c>
      <c r="Q1635" t="str">
        <f>SUBSTITUTE(SUBSTITUTE(SUBSTITUTE(P1635," ",""),"-",""),"+","")</f>
        <v>8890901561</v>
      </c>
      <c r="R1635" t="str">
        <f t="shared" si="50"/>
        <v>8890901561</v>
      </c>
      <c r="S1635" t="str">
        <f>IF(LEN(R1635),"Valid","Invalid")</f>
        <v>Valid</v>
      </c>
      <c r="T1635" t="s">
        <v>1095</v>
      </c>
      <c r="V1635" t="s">
        <v>64</v>
      </c>
      <c r="X1635">
        <v>19955.72</v>
      </c>
      <c r="Y1635" t="s">
        <v>26</v>
      </c>
      <c r="Z1635">
        <v>127</v>
      </c>
      <c r="AA1635">
        <f t="shared" si="51"/>
        <v>127</v>
      </c>
      <c r="AB1635" t="s">
        <v>71</v>
      </c>
    </row>
    <row r="1636" spans="1:28" x14ac:dyDescent="0.3">
      <c r="A1636" t="s">
        <v>1094</v>
      </c>
      <c r="B1636" t="s">
        <v>1093</v>
      </c>
      <c r="C1636" t="s">
        <v>1093</v>
      </c>
      <c r="D1636" t="s">
        <v>74</v>
      </c>
      <c r="E1636">
        <v>72</v>
      </c>
      <c r="F1636">
        <v>72</v>
      </c>
      <c r="G1636" t="s">
        <v>68</v>
      </c>
      <c r="H1636" t="s">
        <v>68</v>
      </c>
      <c r="I1636" t="s">
        <v>90</v>
      </c>
      <c r="J1636" t="s">
        <v>67</v>
      </c>
      <c r="K1636" s="1">
        <v>46090</v>
      </c>
      <c r="L1636" s="1" t="str">
        <f>IF(K1636&gt;O1636,"Valid","Invalid")</f>
        <v>Valid</v>
      </c>
      <c r="M1636" s="1" t="b">
        <f>ISNUMBER(K1636)</f>
        <v>1</v>
      </c>
      <c r="N1636" s="1" t="b">
        <f>ISNUMBER(O1636)</f>
        <v>1</v>
      </c>
      <c r="O1636" s="1">
        <v>46061</v>
      </c>
      <c r="P1636" t="s">
        <v>1092</v>
      </c>
      <c r="Q1636" t="str">
        <f>SUBSTITUTE(SUBSTITUTE(SUBSTITUTE(P1636," ",""),"-",""),"+","")</f>
        <v>3614206289</v>
      </c>
      <c r="R1636" t="str">
        <f t="shared" si="50"/>
        <v>3614206289</v>
      </c>
      <c r="S1636" t="str">
        <f>IF(LEN(R1636),"Valid","Invalid")</f>
        <v>Valid</v>
      </c>
      <c r="T1636" t="s">
        <v>1091</v>
      </c>
      <c r="V1636" t="s">
        <v>35</v>
      </c>
      <c r="X1636">
        <v>1510.23</v>
      </c>
      <c r="Y1636" t="s">
        <v>26</v>
      </c>
      <c r="Z1636">
        <v>375</v>
      </c>
      <c r="AA1636">
        <f t="shared" si="51"/>
        <v>375</v>
      </c>
      <c r="AB1636" t="s">
        <v>71</v>
      </c>
    </row>
    <row r="1637" spans="1:28" x14ac:dyDescent="0.3">
      <c r="A1637" t="s">
        <v>1090</v>
      </c>
      <c r="B1637" t="s">
        <v>1089</v>
      </c>
      <c r="C1637" t="s">
        <v>1089</v>
      </c>
      <c r="D1637" t="s">
        <v>0</v>
      </c>
      <c r="E1637">
        <v>31</v>
      </c>
      <c r="F1637">
        <v>31</v>
      </c>
      <c r="G1637" t="s">
        <v>47</v>
      </c>
      <c r="H1637" t="s">
        <v>47</v>
      </c>
      <c r="I1637" t="s">
        <v>20</v>
      </c>
      <c r="J1637" t="s">
        <v>20</v>
      </c>
      <c r="K1637" s="1">
        <v>46113</v>
      </c>
      <c r="L1637" s="1" t="str">
        <f>IF(K1637&gt;O1637,"Valid","Invalid")</f>
        <v>Valid</v>
      </c>
      <c r="M1637" s="1" t="b">
        <f>ISNUMBER(K1637)</f>
        <v>1</v>
      </c>
      <c r="N1637" s="1" t="b">
        <f>ISNUMBER(O1637)</f>
        <v>1</v>
      </c>
      <c r="O1637" s="1">
        <v>46106</v>
      </c>
      <c r="P1637" t="s">
        <v>510</v>
      </c>
      <c r="Q1637" t="str">
        <f>SUBSTITUTE(SUBSTITUTE(SUBSTITUTE(P1637," ",""),"-",""),"+","")</f>
        <v>12345</v>
      </c>
      <c r="R1637" t="str">
        <f t="shared" si="50"/>
        <v>12345</v>
      </c>
      <c r="S1637" t="str">
        <f>IF(LEN(R1637),"Valid","Invalid")</f>
        <v>Valid</v>
      </c>
      <c r="T1637" t="s">
        <v>1088</v>
      </c>
      <c r="V1637" t="s">
        <v>64</v>
      </c>
      <c r="X1637">
        <v>8609.98</v>
      </c>
      <c r="Y1637" t="s">
        <v>64</v>
      </c>
      <c r="Z1637">
        <v>232</v>
      </c>
      <c r="AA1637">
        <f t="shared" si="51"/>
        <v>232</v>
      </c>
      <c r="AB1637" t="s">
        <v>43</v>
      </c>
    </row>
    <row r="1638" spans="1:28" x14ac:dyDescent="0.3">
      <c r="A1638" t="s">
        <v>1087</v>
      </c>
      <c r="B1638" t="s">
        <v>1086</v>
      </c>
      <c r="C1638" t="s">
        <v>1086</v>
      </c>
      <c r="D1638" t="s">
        <v>60</v>
      </c>
      <c r="E1638">
        <v>71</v>
      </c>
      <c r="F1638">
        <v>71</v>
      </c>
      <c r="G1638" t="s">
        <v>39</v>
      </c>
      <c r="H1638" t="s">
        <v>39</v>
      </c>
      <c r="I1638" t="s">
        <v>53</v>
      </c>
      <c r="J1638" t="s">
        <v>20</v>
      </c>
      <c r="K1638" s="1">
        <v>46144</v>
      </c>
      <c r="L1638" s="1" t="str">
        <f>IF(K1638&gt;O1638,"Valid","Invalid")</f>
        <v>Valid</v>
      </c>
      <c r="M1638" s="1" t="b">
        <f>ISNUMBER(K1638)</f>
        <v>1</v>
      </c>
      <c r="N1638" s="1" t="b">
        <f>ISNUMBER(O1638)</f>
        <v>1</v>
      </c>
      <c r="O1638" s="1">
        <v>46143</v>
      </c>
      <c r="P1638" t="s">
        <v>1085</v>
      </c>
      <c r="Q1638" t="str">
        <f>SUBSTITUTE(SUBSTITUTE(SUBSTITUTE(P1638," ",""),"-",""),"+","")</f>
        <v>08359850687</v>
      </c>
      <c r="R1638" t="str">
        <f t="shared" si="50"/>
        <v>8359850687</v>
      </c>
      <c r="S1638" t="str">
        <f>IF(LEN(R1638),"Valid","Invalid")</f>
        <v>Valid</v>
      </c>
      <c r="T1638" t="s">
        <v>1084</v>
      </c>
      <c r="V1638" t="s">
        <v>123</v>
      </c>
      <c r="X1638">
        <v>12364.61</v>
      </c>
      <c r="Y1638" t="s">
        <v>57</v>
      </c>
      <c r="Z1638">
        <v>171</v>
      </c>
      <c r="AA1638">
        <f t="shared" si="51"/>
        <v>171</v>
      </c>
      <c r="AB1638" t="s">
        <v>50</v>
      </c>
    </row>
    <row r="1639" spans="1:28" x14ac:dyDescent="0.3">
      <c r="A1639" t="s">
        <v>1083</v>
      </c>
      <c r="B1639" t="s">
        <v>1082</v>
      </c>
      <c r="C1639" t="s">
        <v>1082</v>
      </c>
      <c r="D1639" t="s">
        <v>1</v>
      </c>
      <c r="E1639">
        <v>90</v>
      </c>
      <c r="F1639">
        <v>90</v>
      </c>
      <c r="G1639" t="s">
        <v>80</v>
      </c>
      <c r="H1639" t="s">
        <v>80</v>
      </c>
      <c r="I1639" t="s">
        <v>53</v>
      </c>
      <c r="J1639" t="s">
        <v>20</v>
      </c>
      <c r="K1639" s="1">
        <v>46048</v>
      </c>
      <c r="L1639" s="1" t="str">
        <f>IF(K1639&gt;O1639,"Valid","Invalid")</f>
        <v>Valid</v>
      </c>
      <c r="M1639" s="1" t="b">
        <f>ISNUMBER(K1639)</f>
        <v>1</v>
      </c>
      <c r="N1639" s="1" t="b">
        <f>ISNUMBER(O1639)</f>
        <v>1</v>
      </c>
      <c r="O1639" s="1">
        <v>46029</v>
      </c>
      <c r="P1639" t="s">
        <v>1081</v>
      </c>
      <c r="Q1639" t="str">
        <f>SUBSTITUTE(SUBSTITUTE(SUBSTITUTE(P1639," ",""),"-",""),"+","")</f>
        <v>917394415959</v>
      </c>
      <c r="R1639" t="str">
        <f t="shared" si="50"/>
        <v>7394415959</v>
      </c>
      <c r="S1639" t="str">
        <f>IF(LEN(R1639),"Valid","Invalid")</f>
        <v>Valid</v>
      </c>
      <c r="T1639" t="s">
        <v>1080</v>
      </c>
      <c r="V1639" t="s">
        <v>123</v>
      </c>
      <c r="X1639">
        <v>1971.59</v>
      </c>
      <c r="Y1639" t="s">
        <v>64</v>
      </c>
      <c r="Z1639">
        <v>477</v>
      </c>
      <c r="AA1639">
        <f t="shared" si="51"/>
        <v>477</v>
      </c>
      <c r="AB1639" t="s">
        <v>50</v>
      </c>
    </row>
    <row r="1640" spans="1:28" x14ac:dyDescent="0.3">
      <c r="A1640" t="s">
        <v>1079</v>
      </c>
      <c r="B1640" t="s">
        <v>1078</v>
      </c>
      <c r="C1640" t="s">
        <v>1078</v>
      </c>
      <c r="D1640" t="s">
        <v>60</v>
      </c>
      <c r="E1640">
        <v>59</v>
      </c>
      <c r="F1640">
        <v>59</v>
      </c>
      <c r="G1640" t="s">
        <v>39</v>
      </c>
      <c r="H1640" t="s">
        <v>39</v>
      </c>
      <c r="I1640" t="s">
        <v>30</v>
      </c>
      <c r="J1640" t="s">
        <v>30</v>
      </c>
      <c r="K1640" s="1">
        <v>46136</v>
      </c>
      <c r="L1640" s="1" t="str">
        <f>IF(K1640&gt;O1640,"Valid","Invalid")</f>
        <v>Valid</v>
      </c>
      <c r="M1640" s="1" t="b">
        <f>ISNUMBER(K1640)</f>
        <v>1</v>
      </c>
      <c r="N1640" s="1" t="b">
        <f>ISNUMBER(O1640)</f>
        <v>1</v>
      </c>
      <c r="O1640" s="1">
        <v>46109</v>
      </c>
      <c r="P1640" t="s">
        <v>1077</v>
      </c>
      <c r="Q1640" t="str">
        <f>SUBSTITUTE(SUBSTITUTE(SUBSTITUTE(P1640," ",""),"-",""),"+","")</f>
        <v>2214449271</v>
      </c>
      <c r="R1640" t="str">
        <f t="shared" si="50"/>
        <v>2214449271</v>
      </c>
      <c r="S1640" t="str">
        <f>IF(LEN(R1640),"Valid","Invalid")</f>
        <v>Valid</v>
      </c>
      <c r="T1640" t="s">
        <v>1076</v>
      </c>
      <c r="V1640" t="s">
        <v>57</v>
      </c>
      <c r="X1640">
        <v>943.01</v>
      </c>
      <c r="Y1640" t="s">
        <v>27</v>
      </c>
      <c r="Z1640">
        <v>499</v>
      </c>
      <c r="AA1640">
        <f t="shared" si="51"/>
        <v>499</v>
      </c>
      <c r="AB1640" t="s">
        <v>77</v>
      </c>
    </row>
    <row r="1641" spans="1:28" x14ac:dyDescent="0.3">
      <c r="A1641" t="s">
        <v>1075</v>
      </c>
      <c r="B1641" t="s">
        <v>1074</v>
      </c>
      <c r="C1641" t="s">
        <v>1074</v>
      </c>
      <c r="D1641" t="s">
        <v>40</v>
      </c>
      <c r="E1641">
        <v>4</v>
      </c>
      <c r="F1641">
        <v>4</v>
      </c>
      <c r="G1641" t="s">
        <v>80</v>
      </c>
      <c r="H1641" t="s">
        <v>80</v>
      </c>
      <c r="I1641" t="s">
        <v>67</v>
      </c>
      <c r="J1641" t="s">
        <v>67</v>
      </c>
      <c r="K1641" s="1">
        <v>45981</v>
      </c>
      <c r="L1641" s="1" t="str">
        <f>IF(K1641&gt;O1641,"Valid","Invalid")</f>
        <v>Valid</v>
      </c>
      <c r="M1641" s="1" t="b">
        <f>ISNUMBER(K1641)</f>
        <v>1</v>
      </c>
      <c r="N1641" s="1" t="b">
        <f>ISNUMBER(O1641)</f>
        <v>1</v>
      </c>
      <c r="O1641" s="1">
        <v>45976</v>
      </c>
      <c r="P1641" t="s">
        <v>1073</v>
      </c>
      <c r="Q1641" t="str">
        <f>SUBSTITUTE(SUBSTITUTE(SUBSTITUTE(P1641," ",""),"-",""),"+","")</f>
        <v>914614708031</v>
      </c>
      <c r="R1641" t="str">
        <f t="shared" si="50"/>
        <v>4614708031</v>
      </c>
      <c r="S1641" t="str">
        <f>IF(LEN(R1641),"Valid","Invalid")</f>
        <v>Valid</v>
      </c>
      <c r="T1641" t="s">
        <v>1072</v>
      </c>
      <c r="V1641" t="s">
        <v>64</v>
      </c>
      <c r="X1641">
        <v>2249.29</v>
      </c>
      <c r="Y1641" t="s">
        <v>57</v>
      </c>
      <c r="Z1641">
        <v>346</v>
      </c>
      <c r="AA1641">
        <f t="shared" si="51"/>
        <v>346</v>
      </c>
      <c r="AB1641" t="s">
        <v>50</v>
      </c>
    </row>
    <row r="1642" spans="1:28" x14ac:dyDescent="0.3">
      <c r="A1642" t="s">
        <v>1071</v>
      </c>
      <c r="B1642" t="s">
        <v>1070</v>
      </c>
      <c r="C1642" t="s">
        <v>1070</v>
      </c>
      <c r="D1642" t="s">
        <v>74</v>
      </c>
      <c r="E1642">
        <v>57</v>
      </c>
      <c r="F1642">
        <v>57</v>
      </c>
      <c r="G1642" t="s">
        <v>31</v>
      </c>
      <c r="H1642" t="s">
        <v>31</v>
      </c>
      <c r="I1642" t="s">
        <v>46</v>
      </c>
      <c r="J1642" t="s">
        <v>46</v>
      </c>
      <c r="K1642" s="1">
        <v>46003</v>
      </c>
      <c r="L1642" s="1" t="str">
        <f>IF(K1642&gt;O1642,"Valid","Invalid")</f>
        <v>Valid</v>
      </c>
      <c r="M1642" s="1" t="b">
        <f>ISNUMBER(K1642)</f>
        <v>1</v>
      </c>
      <c r="N1642" s="1" t="b">
        <f>ISNUMBER(O1642)</f>
        <v>1</v>
      </c>
      <c r="O1642" s="1">
        <v>45978</v>
      </c>
      <c r="P1642" t="s">
        <v>1069</v>
      </c>
      <c r="Q1642" t="str">
        <f>SUBSTITUTE(SUBSTITUTE(SUBSTITUTE(P1642," ",""),"-",""),"+","")</f>
        <v>914299712385</v>
      </c>
      <c r="R1642" t="str">
        <f t="shared" si="50"/>
        <v>4299712385</v>
      </c>
      <c r="S1642" t="str">
        <f>IF(LEN(R1642),"Valid","Invalid")</f>
        <v>Valid</v>
      </c>
      <c r="T1642" t="s">
        <v>1068</v>
      </c>
      <c r="V1642" t="s">
        <v>27</v>
      </c>
      <c r="X1642">
        <v>18036.79</v>
      </c>
      <c r="Y1642" t="s">
        <v>17</v>
      </c>
      <c r="Z1642">
        <v>260</v>
      </c>
      <c r="AA1642">
        <f t="shared" si="51"/>
        <v>260</v>
      </c>
      <c r="AB1642" t="s">
        <v>16</v>
      </c>
    </row>
    <row r="1643" spans="1:28" x14ac:dyDescent="0.3">
      <c r="A1643" t="s">
        <v>1067</v>
      </c>
      <c r="B1643" t="s">
        <v>1066</v>
      </c>
      <c r="C1643" t="s">
        <v>1066</v>
      </c>
      <c r="D1643" t="s">
        <v>74</v>
      </c>
      <c r="E1643">
        <v>65</v>
      </c>
      <c r="F1643">
        <v>65</v>
      </c>
      <c r="G1643" t="s">
        <v>132</v>
      </c>
      <c r="H1643" t="s">
        <v>132</v>
      </c>
      <c r="I1643" t="s">
        <v>30</v>
      </c>
      <c r="J1643" t="s">
        <v>30</v>
      </c>
      <c r="K1643" s="1">
        <v>46043</v>
      </c>
      <c r="L1643" s="1" t="str">
        <f>IF(K1643&gt;O1643,"Valid","Invalid")</f>
        <v>Valid</v>
      </c>
      <c r="M1643" s="1" t="b">
        <f>ISNUMBER(K1643)</f>
        <v>1</v>
      </c>
      <c r="N1643" s="1" t="b">
        <f>ISNUMBER(O1643)</f>
        <v>1</v>
      </c>
      <c r="O1643" s="1">
        <v>46035</v>
      </c>
      <c r="P1643" t="s">
        <v>1065</v>
      </c>
      <c r="Q1643" t="str">
        <f>SUBSTITUTE(SUBSTITUTE(SUBSTITUTE(P1643," ",""),"-",""),"+","")</f>
        <v>8305492270</v>
      </c>
      <c r="R1643" t="str">
        <f t="shared" si="50"/>
        <v>8305492270</v>
      </c>
      <c r="S1643" t="str">
        <f>IF(LEN(R1643),"Valid","Invalid")</f>
        <v>Valid</v>
      </c>
      <c r="T1643" t="s">
        <v>1064</v>
      </c>
      <c r="V1643" t="s">
        <v>35</v>
      </c>
      <c r="X1643">
        <v>2309</v>
      </c>
      <c r="Y1643" t="s">
        <v>26</v>
      </c>
      <c r="Z1643">
        <v>407</v>
      </c>
      <c r="AA1643">
        <f t="shared" si="51"/>
        <v>407</v>
      </c>
      <c r="AB1643" t="s">
        <v>25</v>
      </c>
    </row>
    <row r="1644" spans="1:28" x14ac:dyDescent="0.3">
      <c r="A1644" t="s">
        <v>1063</v>
      </c>
      <c r="B1644" t="s">
        <v>1062</v>
      </c>
      <c r="C1644" t="s">
        <v>1062</v>
      </c>
      <c r="E1644">
        <v>37</v>
      </c>
      <c r="F1644">
        <v>37</v>
      </c>
      <c r="G1644" t="s">
        <v>68</v>
      </c>
      <c r="H1644" t="s">
        <v>68</v>
      </c>
      <c r="I1644" t="s">
        <v>20</v>
      </c>
      <c r="J1644" t="s">
        <v>20</v>
      </c>
      <c r="K1644" s="1">
        <v>46117</v>
      </c>
      <c r="L1644" s="1" t="str">
        <f>IF(K1644&gt;O1644,"Valid","Invalid")</f>
        <v>Valid</v>
      </c>
      <c r="M1644" s="1" t="b">
        <f>ISNUMBER(K1644)</f>
        <v>1</v>
      </c>
      <c r="N1644" s="1" t="b">
        <f>ISNUMBER(O1644)</f>
        <v>1</v>
      </c>
      <c r="O1644" s="1">
        <v>46113</v>
      </c>
      <c r="P1644" t="s">
        <v>1061</v>
      </c>
      <c r="Q1644" t="str">
        <f>SUBSTITUTE(SUBSTITUTE(SUBSTITUTE(P1644," ",""),"-",""),"+","")</f>
        <v>3938829940</v>
      </c>
      <c r="R1644" t="str">
        <f t="shared" si="50"/>
        <v>3938829940</v>
      </c>
      <c r="S1644" t="str">
        <f>IF(LEN(R1644),"Valid","Invalid")</f>
        <v>Valid</v>
      </c>
      <c r="T1644" t="s">
        <v>1060</v>
      </c>
      <c r="V1644" t="s">
        <v>35</v>
      </c>
      <c r="X1644">
        <v>20644.05</v>
      </c>
      <c r="Y1644" t="s">
        <v>63</v>
      </c>
      <c r="Z1644">
        <v>356</v>
      </c>
      <c r="AA1644">
        <f t="shared" si="51"/>
        <v>356</v>
      </c>
      <c r="AB1644" t="s">
        <v>34</v>
      </c>
    </row>
    <row r="1645" spans="1:28" x14ac:dyDescent="0.3">
      <c r="A1645" t="s">
        <v>1059</v>
      </c>
      <c r="B1645" t="s">
        <v>1058</v>
      </c>
      <c r="C1645" t="s">
        <v>1058</v>
      </c>
      <c r="D1645" t="s">
        <v>40</v>
      </c>
      <c r="E1645">
        <v>41</v>
      </c>
      <c r="F1645">
        <v>41</v>
      </c>
      <c r="G1645" t="s">
        <v>54</v>
      </c>
      <c r="H1645" t="s">
        <v>54</v>
      </c>
      <c r="I1645" t="s">
        <v>85</v>
      </c>
      <c r="J1645" t="s">
        <v>85</v>
      </c>
      <c r="K1645" s="1">
        <v>46058</v>
      </c>
      <c r="L1645" s="1" t="str">
        <f>IF(K1645&gt;O1645,"Valid","Invalid")</f>
        <v>Valid</v>
      </c>
      <c r="M1645" s="1" t="b">
        <f>ISNUMBER(K1645)</f>
        <v>1</v>
      </c>
      <c r="N1645" s="1" t="b">
        <f>ISNUMBER(O1645)</f>
        <v>1</v>
      </c>
      <c r="O1645" s="1">
        <v>46057</v>
      </c>
      <c r="P1645" t="s">
        <v>1057</v>
      </c>
      <c r="Q1645" t="str">
        <f>SUBSTITUTE(SUBSTITUTE(SUBSTITUTE(P1645," ",""),"-",""),"+","")</f>
        <v>919352902480</v>
      </c>
      <c r="R1645" t="str">
        <f t="shared" si="50"/>
        <v>9352902480</v>
      </c>
      <c r="S1645" t="str">
        <f>IF(LEN(R1645),"Valid","Invalid")</f>
        <v>Valid</v>
      </c>
      <c r="T1645" t="s">
        <v>1056</v>
      </c>
      <c r="V1645" t="s">
        <v>123</v>
      </c>
      <c r="X1645">
        <v>11789.36</v>
      </c>
      <c r="Y1645" t="s">
        <v>27</v>
      </c>
      <c r="Z1645">
        <v>406</v>
      </c>
      <c r="AA1645">
        <f t="shared" si="51"/>
        <v>406</v>
      </c>
      <c r="AB1645" t="s">
        <v>77</v>
      </c>
    </row>
    <row r="1646" spans="1:28" x14ac:dyDescent="0.3">
      <c r="A1646" t="s">
        <v>1055</v>
      </c>
      <c r="B1646" t="s">
        <v>1054</v>
      </c>
      <c r="C1646" t="s">
        <v>1054</v>
      </c>
      <c r="D1646" t="s">
        <v>40</v>
      </c>
      <c r="E1646">
        <v>85</v>
      </c>
      <c r="F1646">
        <v>85</v>
      </c>
      <c r="G1646" t="s">
        <v>132</v>
      </c>
      <c r="H1646" t="s">
        <v>132</v>
      </c>
      <c r="I1646" t="s">
        <v>38</v>
      </c>
      <c r="J1646" t="s">
        <v>8077</v>
      </c>
      <c r="K1646" s="1">
        <v>46154</v>
      </c>
      <c r="L1646" s="1" t="str">
        <f>IF(K1646&gt;O1646,"Valid","Invalid")</f>
        <v>Valid</v>
      </c>
      <c r="M1646" s="1" t="b">
        <f>ISNUMBER(K1646)</f>
        <v>1</v>
      </c>
      <c r="N1646" s="1" t="b">
        <f>ISNUMBER(O1646)</f>
        <v>1</v>
      </c>
      <c r="O1646" s="1">
        <v>46142</v>
      </c>
      <c r="P1646" t="s">
        <v>1053</v>
      </c>
      <c r="Q1646" t="str">
        <f>SUBSTITUTE(SUBSTITUTE(SUBSTITUTE(P1646," ",""),"-",""),"+","")</f>
        <v>919927447542</v>
      </c>
      <c r="R1646" t="str">
        <f t="shared" si="50"/>
        <v>9927447542</v>
      </c>
      <c r="S1646" t="str">
        <f>IF(LEN(R1646),"Valid","Invalid")</f>
        <v>Valid</v>
      </c>
      <c r="T1646" t="s">
        <v>1052</v>
      </c>
      <c r="V1646" t="s">
        <v>57</v>
      </c>
      <c r="X1646">
        <v>15989.36</v>
      </c>
      <c r="Y1646" t="s">
        <v>64</v>
      </c>
      <c r="Z1646">
        <v>285</v>
      </c>
      <c r="AA1646">
        <f t="shared" si="51"/>
        <v>285</v>
      </c>
      <c r="AB1646" t="s">
        <v>25</v>
      </c>
    </row>
    <row r="1647" spans="1:28" x14ac:dyDescent="0.3">
      <c r="A1647" t="s">
        <v>1051</v>
      </c>
      <c r="B1647" t="s">
        <v>1050</v>
      </c>
      <c r="C1647" t="s">
        <v>1050</v>
      </c>
      <c r="D1647" t="s">
        <v>22</v>
      </c>
      <c r="E1647">
        <v>68</v>
      </c>
      <c r="F1647">
        <v>68</v>
      </c>
      <c r="G1647" t="s">
        <v>39</v>
      </c>
      <c r="H1647" t="s">
        <v>39</v>
      </c>
      <c r="I1647" t="s">
        <v>90</v>
      </c>
      <c r="J1647" t="s">
        <v>67</v>
      </c>
      <c r="K1647" s="1">
        <v>46022</v>
      </c>
      <c r="L1647" s="1" t="str">
        <f>IF(K1647&gt;O1647,"Valid","Invalid")</f>
        <v>Valid</v>
      </c>
      <c r="M1647" s="1" t="b">
        <f>ISNUMBER(K1647)</f>
        <v>1</v>
      </c>
      <c r="N1647" s="1" t="b">
        <f>ISNUMBER(O1647)</f>
        <v>1</v>
      </c>
      <c r="O1647" s="1">
        <v>46010</v>
      </c>
      <c r="P1647" t="s">
        <v>1049</v>
      </c>
      <c r="Q1647" t="str">
        <f>SUBSTITUTE(SUBSTITUTE(SUBSTITUTE(P1647," ",""),"-",""),"+","")</f>
        <v>3281408203</v>
      </c>
      <c r="R1647" t="str">
        <f t="shared" si="50"/>
        <v>3281408203</v>
      </c>
      <c r="S1647" t="str">
        <f>IF(LEN(R1647),"Valid","Invalid")</f>
        <v>Valid</v>
      </c>
      <c r="T1647" t="s">
        <v>1048</v>
      </c>
      <c r="V1647" t="s">
        <v>64</v>
      </c>
      <c r="X1647">
        <v>6047.88</v>
      </c>
      <c r="Y1647" t="s">
        <v>26</v>
      </c>
      <c r="Z1647" t="s">
        <v>347</v>
      </c>
      <c r="AA1647">
        <f t="shared" si="51"/>
        <v>0</v>
      </c>
      <c r="AB1647" t="s">
        <v>43</v>
      </c>
    </row>
    <row r="1648" spans="1:28" x14ac:dyDescent="0.3">
      <c r="A1648" t="s">
        <v>1047</v>
      </c>
      <c r="B1648" t="s">
        <v>1046</v>
      </c>
      <c r="C1648" t="s">
        <v>1046</v>
      </c>
      <c r="D1648" t="s">
        <v>1</v>
      </c>
      <c r="E1648">
        <v>42</v>
      </c>
      <c r="F1648">
        <v>42</v>
      </c>
      <c r="G1648" t="s">
        <v>31</v>
      </c>
      <c r="H1648" t="s">
        <v>31</v>
      </c>
      <c r="I1648" t="s">
        <v>46</v>
      </c>
      <c r="J1648" t="s">
        <v>46</v>
      </c>
      <c r="K1648" s="1">
        <v>46045</v>
      </c>
      <c r="L1648" s="1" t="str">
        <f>IF(K1648&gt;O1648,"Valid","Invalid")</f>
        <v>Valid</v>
      </c>
      <c r="M1648" s="1" t="b">
        <f>ISNUMBER(K1648)</f>
        <v>1</v>
      </c>
      <c r="N1648" s="1" t="b">
        <f>ISNUMBER(O1648)</f>
        <v>1</v>
      </c>
      <c r="O1648" s="1">
        <v>46034</v>
      </c>
      <c r="P1648" t="s">
        <v>1045</v>
      </c>
      <c r="Q1648" t="str">
        <f>SUBSTITUTE(SUBSTITUTE(SUBSTITUTE(P1648," ",""),"-",""),"+","")</f>
        <v>0563580750</v>
      </c>
      <c r="R1648" t="str">
        <f t="shared" si="50"/>
        <v>0563580750</v>
      </c>
      <c r="S1648" t="str">
        <f>IF(LEN(R1648),"Valid","Invalid")</f>
        <v>Valid</v>
      </c>
      <c r="T1648" t="s">
        <v>1044</v>
      </c>
      <c r="V1648" t="s">
        <v>26</v>
      </c>
      <c r="X1648">
        <v>20575.14</v>
      </c>
      <c r="Y1648" t="s">
        <v>123</v>
      </c>
      <c r="Z1648">
        <v>473</v>
      </c>
      <c r="AA1648">
        <f t="shared" si="51"/>
        <v>473</v>
      </c>
      <c r="AB1648" t="s">
        <v>77</v>
      </c>
    </row>
    <row r="1649" spans="1:28" x14ac:dyDescent="0.3">
      <c r="A1649" t="s">
        <v>1043</v>
      </c>
      <c r="B1649" t="s">
        <v>1042</v>
      </c>
      <c r="C1649" t="s">
        <v>1042</v>
      </c>
      <c r="D1649" t="s">
        <v>40</v>
      </c>
      <c r="E1649">
        <v>81</v>
      </c>
      <c r="F1649">
        <v>81</v>
      </c>
      <c r="G1649" t="s">
        <v>68</v>
      </c>
      <c r="H1649" t="s">
        <v>68</v>
      </c>
      <c r="I1649" t="s">
        <v>46</v>
      </c>
      <c r="J1649" t="s">
        <v>46</v>
      </c>
      <c r="K1649" s="1">
        <v>46159</v>
      </c>
      <c r="L1649" s="1" t="str">
        <f>IF(K1649&gt;O1649,"Valid","Invalid")</f>
        <v>Valid</v>
      </c>
      <c r="M1649" s="1" t="b">
        <f>ISNUMBER(K1649)</f>
        <v>1</v>
      </c>
      <c r="N1649" s="1" t="b">
        <f>ISNUMBER(O1649)</f>
        <v>1</v>
      </c>
      <c r="O1649" s="1">
        <v>46146</v>
      </c>
      <c r="P1649" t="s">
        <v>1041</v>
      </c>
      <c r="Q1649" t="str">
        <f>SUBSTITUTE(SUBSTITUTE(SUBSTITUTE(P1649," ",""),"-",""),"+","")</f>
        <v>7454119106</v>
      </c>
      <c r="R1649" t="str">
        <f t="shared" si="50"/>
        <v>7454119106</v>
      </c>
      <c r="S1649" t="str">
        <f>IF(LEN(R1649),"Valid","Invalid")</f>
        <v>Valid</v>
      </c>
      <c r="T1649" t="s">
        <v>1040</v>
      </c>
      <c r="V1649" t="s">
        <v>17</v>
      </c>
      <c r="X1649">
        <v>6161.67</v>
      </c>
      <c r="Y1649" t="s">
        <v>123</v>
      </c>
      <c r="Z1649">
        <v>416</v>
      </c>
      <c r="AA1649">
        <f t="shared" si="51"/>
        <v>416</v>
      </c>
      <c r="AB1649" t="s">
        <v>43</v>
      </c>
    </row>
    <row r="1650" spans="1:28" x14ac:dyDescent="0.3">
      <c r="A1650" t="s">
        <v>1039</v>
      </c>
      <c r="B1650" t="s">
        <v>1038</v>
      </c>
      <c r="C1650" t="s">
        <v>1038</v>
      </c>
      <c r="D1650" t="s">
        <v>40</v>
      </c>
      <c r="E1650">
        <v>80</v>
      </c>
      <c r="F1650">
        <v>80</v>
      </c>
      <c r="G1650" t="s">
        <v>39</v>
      </c>
      <c r="H1650" t="s">
        <v>39</v>
      </c>
      <c r="I1650" t="s">
        <v>53</v>
      </c>
      <c r="J1650" t="s">
        <v>20</v>
      </c>
      <c r="K1650" s="1">
        <v>46020</v>
      </c>
      <c r="L1650" s="1" t="str">
        <f>IF(K1650&gt;O1650,"Valid","Invalid")</f>
        <v>Valid</v>
      </c>
      <c r="M1650" s="1" t="b">
        <f>ISNUMBER(K1650)</f>
        <v>1</v>
      </c>
      <c r="N1650" s="1" t="b">
        <f>ISNUMBER(O1650)</f>
        <v>1</v>
      </c>
      <c r="O1650" s="1">
        <v>46018</v>
      </c>
      <c r="P1650" t="s">
        <v>1037</v>
      </c>
      <c r="Q1650" t="str">
        <f>SUBSTITUTE(SUBSTITUTE(SUBSTITUTE(P1650," ",""),"-",""),"+","")</f>
        <v>5177972445</v>
      </c>
      <c r="R1650" t="str">
        <f t="shared" si="50"/>
        <v>5177972445</v>
      </c>
      <c r="S1650" t="str">
        <f>IF(LEN(R1650),"Valid","Invalid")</f>
        <v>Valid</v>
      </c>
      <c r="T1650" t="s">
        <v>1036</v>
      </c>
      <c r="V1650" t="s">
        <v>27</v>
      </c>
      <c r="X1650">
        <v>6841.71</v>
      </c>
      <c r="Y1650" t="s">
        <v>27</v>
      </c>
      <c r="Z1650">
        <v>162</v>
      </c>
      <c r="AA1650">
        <f t="shared" si="51"/>
        <v>162</v>
      </c>
      <c r="AB1650" t="s">
        <v>50</v>
      </c>
    </row>
    <row r="1651" spans="1:28" x14ac:dyDescent="0.3">
      <c r="A1651" t="s">
        <v>1035</v>
      </c>
      <c r="B1651" t="s">
        <v>1034</v>
      </c>
      <c r="C1651" t="s">
        <v>1034</v>
      </c>
      <c r="D1651" t="s">
        <v>123</v>
      </c>
      <c r="E1651">
        <v>33</v>
      </c>
      <c r="F1651">
        <v>33</v>
      </c>
      <c r="G1651" t="s">
        <v>80</v>
      </c>
      <c r="H1651" t="s">
        <v>80</v>
      </c>
      <c r="I1651" t="s">
        <v>46</v>
      </c>
      <c r="J1651" t="s">
        <v>46</v>
      </c>
      <c r="K1651" s="1">
        <v>46131</v>
      </c>
      <c r="L1651" s="1" t="str">
        <f>IF(K1651&gt;O1651,"Valid","Invalid")</f>
        <v>Valid</v>
      </c>
      <c r="M1651" s="1" t="b">
        <f>ISNUMBER(K1651)</f>
        <v>1</v>
      </c>
      <c r="N1651" s="1" t="b">
        <f>ISNUMBER(O1651)</f>
        <v>1</v>
      </c>
      <c r="O1651" s="1">
        <v>46123</v>
      </c>
      <c r="P1651" t="s">
        <v>1033</v>
      </c>
      <c r="Q1651" t="str">
        <f>SUBSTITUTE(SUBSTITUTE(SUBSTITUTE(P1651," ",""),"-",""),"+","")</f>
        <v>06555583529</v>
      </c>
      <c r="R1651" t="str">
        <f t="shared" si="50"/>
        <v>6555583529</v>
      </c>
      <c r="S1651" t="str">
        <f>IF(LEN(R1651),"Valid","Invalid")</f>
        <v>Valid</v>
      </c>
      <c r="T1651" t="s">
        <v>1032</v>
      </c>
      <c r="V1651" t="s">
        <v>26</v>
      </c>
      <c r="X1651">
        <v>24061.37</v>
      </c>
      <c r="Y1651" t="s">
        <v>26</v>
      </c>
      <c r="Z1651">
        <v>380</v>
      </c>
      <c r="AA1651">
        <f t="shared" si="51"/>
        <v>380</v>
      </c>
      <c r="AB1651" t="s">
        <v>16</v>
      </c>
    </row>
    <row r="1652" spans="1:28" x14ac:dyDescent="0.3">
      <c r="A1652" t="s">
        <v>1031</v>
      </c>
      <c r="B1652" t="s">
        <v>1030</v>
      </c>
      <c r="C1652" t="s">
        <v>1030</v>
      </c>
      <c r="E1652">
        <v>32</v>
      </c>
      <c r="F1652">
        <v>32</v>
      </c>
      <c r="G1652" t="s">
        <v>21</v>
      </c>
      <c r="H1652" t="s">
        <v>21</v>
      </c>
      <c r="I1652" t="s">
        <v>90</v>
      </c>
      <c r="J1652" t="s">
        <v>67</v>
      </c>
      <c r="K1652" s="1">
        <v>46059</v>
      </c>
      <c r="L1652" s="1" t="str">
        <f>IF(K1652&gt;O1652,"Valid","Invalid")</f>
        <v>Valid</v>
      </c>
      <c r="M1652" s="1" t="b">
        <f>ISNUMBER(K1652)</f>
        <v>1</v>
      </c>
      <c r="N1652" s="1" t="b">
        <f>ISNUMBER(O1652)</f>
        <v>1</v>
      </c>
      <c r="O1652" s="1">
        <v>46037</v>
      </c>
      <c r="P1652" t="s">
        <v>1029</v>
      </c>
      <c r="Q1652" t="str">
        <f>SUBSTITUTE(SUBSTITUTE(SUBSTITUTE(P1652," ",""),"-",""),"+","")</f>
        <v>916375344856</v>
      </c>
      <c r="R1652" t="str">
        <f t="shared" si="50"/>
        <v>6375344856</v>
      </c>
      <c r="S1652" t="str">
        <f>IF(LEN(R1652),"Valid","Invalid")</f>
        <v>Valid</v>
      </c>
      <c r="T1652" t="s">
        <v>1028</v>
      </c>
      <c r="V1652" t="s">
        <v>17</v>
      </c>
      <c r="X1652">
        <v>13302.37</v>
      </c>
      <c r="Y1652" t="s">
        <v>64</v>
      </c>
      <c r="Z1652">
        <v>304</v>
      </c>
      <c r="AA1652">
        <f t="shared" si="51"/>
        <v>304</v>
      </c>
      <c r="AB1652" t="s">
        <v>43</v>
      </c>
    </row>
    <row r="1653" spans="1:28" x14ac:dyDescent="0.3">
      <c r="A1653" t="s">
        <v>1027</v>
      </c>
      <c r="B1653" t="s">
        <v>1026</v>
      </c>
      <c r="C1653" t="s">
        <v>1026</v>
      </c>
      <c r="D1653" t="s">
        <v>1</v>
      </c>
      <c r="E1653">
        <v>20</v>
      </c>
      <c r="F1653">
        <v>20</v>
      </c>
      <c r="G1653" t="s">
        <v>80</v>
      </c>
      <c r="H1653" t="s">
        <v>80</v>
      </c>
      <c r="I1653" t="s">
        <v>53</v>
      </c>
      <c r="J1653" t="s">
        <v>20</v>
      </c>
      <c r="K1653" s="1">
        <v>46027</v>
      </c>
      <c r="L1653" s="1" t="str">
        <f>IF(K1653&gt;O1653,"Valid","Invalid")</f>
        <v>Valid</v>
      </c>
      <c r="M1653" s="1" t="b">
        <f>ISNUMBER(K1653)</f>
        <v>1</v>
      </c>
      <c r="N1653" s="1" t="b">
        <f>ISNUMBER(O1653)</f>
        <v>1</v>
      </c>
      <c r="O1653" s="1">
        <v>46005</v>
      </c>
      <c r="P1653" t="s">
        <v>1025</v>
      </c>
      <c r="Q1653" t="str">
        <f>SUBSTITUTE(SUBSTITUTE(SUBSTITUTE(P1653," ",""),"-",""),"+","")</f>
        <v>917636856482</v>
      </c>
      <c r="R1653" t="str">
        <f t="shared" si="50"/>
        <v>7636856482</v>
      </c>
      <c r="S1653" t="str">
        <f>IF(LEN(R1653),"Valid","Invalid")</f>
        <v>Valid</v>
      </c>
      <c r="T1653" t="s">
        <v>1024</v>
      </c>
      <c r="V1653" t="s">
        <v>123</v>
      </c>
      <c r="X1653">
        <v>15553.05</v>
      </c>
      <c r="Y1653" t="s">
        <v>63</v>
      </c>
      <c r="Z1653">
        <v>471</v>
      </c>
      <c r="AA1653">
        <f t="shared" si="51"/>
        <v>471</v>
      </c>
      <c r="AB1653" t="s">
        <v>71</v>
      </c>
    </row>
    <row r="1654" spans="1:28" x14ac:dyDescent="0.3">
      <c r="A1654" t="s">
        <v>1019</v>
      </c>
      <c r="B1654" t="s">
        <v>1018</v>
      </c>
      <c r="C1654" t="s">
        <v>1018</v>
      </c>
      <c r="D1654" t="s">
        <v>123</v>
      </c>
      <c r="E1654">
        <v>28</v>
      </c>
      <c r="F1654">
        <v>28</v>
      </c>
      <c r="G1654" t="s">
        <v>80</v>
      </c>
      <c r="H1654" t="s">
        <v>80</v>
      </c>
      <c r="I1654" t="s">
        <v>30</v>
      </c>
      <c r="J1654" t="s">
        <v>30</v>
      </c>
      <c r="K1654" s="1">
        <v>46109</v>
      </c>
      <c r="L1654" s="1" t="str">
        <f>IF(K1654&gt;O1654,"Valid","Invalid")</f>
        <v>Valid</v>
      </c>
      <c r="M1654" s="1" t="b">
        <f>ISNUMBER(K1654)</f>
        <v>1</v>
      </c>
      <c r="N1654" s="1" t="b">
        <f>ISNUMBER(O1654)</f>
        <v>1</v>
      </c>
      <c r="O1654" s="1">
        <v>46079</v>
      </c>
      <c r="P1654" t="s">
        <v>1017</v>
      </c>
      <c r="Q1654" t="str">
        <f>SUBSTITUTE(SUBSTITUTE(SUBSTITUTE(P1654," ",""),"-",""),"+","")</f>
        <v>02129281303</v>
      </c>
      <c r="R1654" t="str">
        <f t="shared" si="50"/>
        <v>2129281303</v>
      </c>
      <c r="S1654" t="str">
        <f>IF(LEN(R1654),"Valid","Invalid")</f>
        <v>Valid</v>
      </c>
      <c r="T1654" t="s">
        <v>1016</v>
      </c>
      <c r="V1654" t="s">
        <v>26</v>
      </c>
      <c r="X1654">
        <v>2237.77</v>
      </c>
      <c r="Y1654" t="s">
        <v>27</v>
      </c>
      <c r="Z1654">
        <v>520</v>
      </c>
      <c r="AA1654">
        <f t="shared" si="51"/>
        <v>520</v>
      </c>
      <c r="AB1654" t="s">
        <v>16</v>
      </c>
    </row>
    <row r="1655" spans="1:28" x14ac:dyDescent="0.3">
      <c r="A1655" t="s">
        <v>1015</v>
      </c>
      <c r="B1655" t="s">
        <v>1014</v>
      </c>
      <c r="C1655" t="s">
        <v>1014</v>
      </c>
      <c r="D1655" t="s">
        <v>22</v>
      </c>
      <c r="E1655">
        <v>81</v>
      </c>
      <c r="F1655">
        <v>81</v>
      </c>
      <c r="G1655" t="s">
        <v>54</v>
      </c>
      <c r="H1655" t="s">
        <v>54</v>
      </c>
      <c r="I1655" t="s">
        <v>53</v>
      </c>
      <c r="J1655" t="s">
        <v>20</v>
      </c>
      <c r="K1655" s="1">
        <v>46004</v>
      </c>
      <c r="L1655" s="1" t="str">
        <f>IF(K1655&gt;O1655,"Valid","Invalid")</f>
        <v>Valid</v>
      </c>
      <c r="M1655" s="1" t="b">
        <f>ISNUMBER(K1655)</f>
        <v>1</v>
      </c>
      <c r="N1655" s="1" t="b">
        <f>ISNUMBER(O1655)</f>
        <v>1</v>
      </c>
      <c r="O1655" s="1">
        <v>45993</v>
      </c>
      <c r="P1655" t="s">
        <v>1013</v>
      </c>
      <c r="Q1655" t="str">
        <f>SUBSTITUTE(SUBSTITUTE(SUBSTITUTE(P1655," ",""),"-",""),"+","")</f>
        <v>910162553287</v>
      </c>
      <c r="R1655" t="str">
        <f t="shared" si="50"/>
        <v>0162553287</v>
      </c>
      <c r="S1655" t="str">
        <f>IF(LEN(R1655),"Valid","Invalid")</f>
        <v>Valid</v>
      </c>
      <c r="T1655" t="s">
        <v>1012</v>
      </c>
      <c r="V1655" t="s">
        <v>57</v>
      </c>
      <c r="X1655">
        <v>18989.919999999998</v>
      </c>
      <c r="Y1655" t="s">
        <v>27</v>
      </c>
      <c r="Z1655">
        <v>195</v>
      </c>
      <c r="AA1655">
        <f t="shared" si="51"/>
        <v>195</v>
      </c>
      <c r="AB1655" t="s">
        <v>16</v>
      </c>
    </row>
    <row r="1656" spans="1:28" x14ac:dyDescent="0.3">
      <c r="A1656" t="s">
        <v>1011</v>
      </c>
      <c r="B1656" t="s">
        <v>1010</v>
      </c>
      <c r="C1656" t="s">
        <v>1010</v>
      </c>
      <c r="D1656" t="s">
        <v>1</v>
      </c>
      <c r="E1656">
        <v>87</v>
      </c>
      <c r="F1656">
        <v>87</v>
      </c>
      <c r="G1656" t="s">
        <v>31</v>
      </c>
      <c r="H1656" t="s">
        <v>31</v>
      </c>
      <c r="I1656" t="s">
        <v>67</v>
      </c>
      <c r="J1656" t="s">
        <v>67</v>
      </c>
      <c r="K1656" s="1">
        <v>46136</v>
      </c>
      <c r="L1656" s="1" t="str">
        <f>IF(K1656&gt;O1656,"Valid","Invalid")</f>
        <v>Valid</v>
      </c>
      <c r="M1656" s="1" t="b">
        <f>ISNUMBER(K1656)</f>
        <v>1</v>
      </c>
      <c r="N1656" s="1" t="b">
        <f>ISNUMBER(O1656)</f>
        <v>1</v>
      </c>
      <c r="O1656" s="1">
        <v>46119</v>
      </c>
      <c r="P1656" t="s">
        <v>1009</v>
      </c>
      <c r="Q1656" t="str">
        <f>SUBSTITUTE(SUBSTITUTE(SUBSTITUTE(P1656," ",""),"-",""),"+","")</f>
        <v>912144231695</v>
      </c>
      <c r="R1656" t="str">
        <f t="shared" si="50"/>
        <v>2144231695</v>
      </c>
      <c r="S1656" t="str">
        <f>IF(LEN(R1656),"Valid","Invalid")</f>
        <v>Valid</v>
      </c>
      <c r="T1656" t="s">
        <v>123</v>
      </c>
      <c r="V1656" t="s">
        <v>35</v>
      </c>
      <c r="X1656">
        <v>-500</v>
      </c>
      <c r="Y1656" t="s">
        <v>27</v>
      </c>
      <c r="Z1656">
        <v>442</v>
      </c>
      <c r="AA1656">
        <f t="shared" si="51"/>
        <v>442</v>
      </c>
      <c r="AB1656" t="s">
        <v>77</v>
      </c>
    </row>
    <row r="1657" spans="1:28" x14ac:dyDescent="0.3">
      <c r="A1657" t="s">
        <v>1008</v>
      </c>
      <c r="B1657" t="s">
        <v>1007</v>
      </c>
      <c r="C1657" t="s">
        <v>1007</v>
      </c>
      <c r="E1657">
        <v>49</v>
      </c>
      <c r="F1657">
        <v>49</v>
      </c>
      <c r="G1657" t="s">
        <v>132</v>
      </c>
      <c r="H1657" t="s">
        <v>132</v>
      </c>
      <c r="I1657" t="s">
        <v>90</v>
      </c>
      <c r="J1657" t="s">
        <v>67</v>
      </c>
      <c r="K1657" s="1">
        <v>46044</v>
      </c>
      <c r="L1657" s="1" t="str">
        <f>IF(K1657&gt;O1657,"Valid","Invalid")</f>
        <v>Valid</v>
      </c>
      <c r="M1657" s="1" t="b">
        <f>ISNUMBER(K1657)</f>
        <v>1</v>
      </c>
      <c r="N1657" s="1" t="b">
        <f>ISNUMBER(O1657)</f>
        <v>1</v>
      </c>
      <c r="O1657" s="1">
        <v>46019</v>
      </c>
      <c r="P1657" t="s">
        <v>1006</v>
      </c>
      <c r="Q1657" t="str">
        <f>SUBSTITUTE(SUBSTITUTE(SUBSTITUTE(P1657," ",""),"-",""),"+","")</f>
        <v>4719183941</v>
      </c>
      <c r="R1657" t="str">
        <f t="shared" si="50"/>
        <v>4719183941</v>
      </c>
      <c r="S1657" t="str">
        <f>IF(LEN(R1657),"Valid","Invalid")</f>
        <v>Valid</v>
      </c>
      <c r="T1657" t="s">
        <v>1005</v>
      </c>
      <c r="V1657" t="s">
        <v>26</v>
      </c>
      <c r="X1657">
        <v>21604.49</v>
      </c>
      <c r="Y1657" t="s">
        <v>27</v>
      </c>
      <c r="Z1657">
        <v>495</v>
      </c>
      <c r="AA1657">
        <f t="shared" si="51"/>
        <v>495</v>
      </c>
      <c r="AB1657" t="s">
        <v>71</v>
      </c>
    </row>
    <row r="1658" spans="1:28" x14ac:dyDescent="0.3">
      <c r="A1658" t="s">
        <v>1004</v>
      </c>
      <c r="B1658" t="s">
        <v>1003</v>
      </c>
      <c r="C1658" t="s">
        <v>1003</v>
      </c>
      <c r="D1658" t="s">
        <v>74</v>
      </c>
      <c r="E1658">
        <v>48</v>
      </c>
      <c r="F1658">
        <v>48</v>
      </c>
      <c r="G1658" t="s">
        <v>21</v>
      </c>
      <c r="H1658" t="s">
        <v>21</v>
      </c>
      <c r="I1658" t="s">
        <v>53</v>
      </c>
      <c r="J1658" t="s">
        <v>20</v>
      </c>
      <c r="K1658" s="1">
        <v>46061</v>
      </c>
      <c r="L1658" s="1" t="str">
        <f>IF(K1658&gt;O1658,"Valid","Invalid")</f>
        <v>Valid</v>
      </c>
      <c r="M1658" s="1" t="b">
        <f>ISNUMBER(K1658)</f>
        <v>1</v>
      </c>
      <c r="N1658" s="1" t="b">
        <f>ISNUMBER(O1658)</f>
        <v>1</v>
      </c>
      <c r="O1658" s="1">
        <v>46035</v>
      </c>
      <c r="P1658" t="s">
        <v>1002</v>
      </c>
      <c r="Q1658" t="str">
        <f>SUBSTITUTE(SUBSTITUTE(SUBSTITUTE(P1658," ",""),"-",""),"+","")</f>
        <v>0511331888</v>
      </c>
      <c r="R1658" t="str">
        <f t="shared" si="50"/>
        <v>0511331888</v>
      </c>
      <c r="S1658" t="str">
        <f>IF(LEN(R1658),"Valid","Invalid")</f>
        <v>Valid</v>
      </c>
      <c r="T1658" t="s">
        <v>1001</v>
      </c>
      <c r="V1658" t="s">
        <v>26</v>
      </c>
      <c r="X1658">
        <v>8422.4699999999993</v>
      </c>
      <c r="Y1658" t="s">
        <v>26</v>
      </c>
      <c r="Z1658">
        <v>338</v>
      </c>
      <c r="AA1658">
        <f t="shared" si="51"/>
        <v>338</v>
      </c>
      <c r="AB1658" t="s">
        <v>34</v>
      </c>
    </row>
    <row r="1659" spans="1:28" x14ac:dyDescent="0.3">
      <c r="A1659" t="s">
        <v>1000</v>
      </c>
      <c r="B1659" t="s">
        <v>999</v>
      </c>
      <c r="C1659" t="s">
        <v>999</v>
      </c>
      <c r="D1659" t="s">
        <v>40</v>
      </c>
      <c r="E1659">
        <v>87</v>
      </c>
      <c r="F1659">
        <v>87</v>
      </c>
      <c r="G1659" t="s">
        <v>31</v>
      </c>
      <c r="H1659" t="s">
        <v>31</v>
      </c>
      <c r="I1659" t="s">
        <v>46</v>
      </c>
      <c r="J1659" t="s">
        <v>46</v>
      </c>
      <c r="K1659" s="1">
        <v>46075</v>
      </c>
      <c r="L1659" s="1" t="str">
        <f>IF(K1659&gt;O1659,"Valid","Invalid")</f>
        <v>Valid</v>
      </c>
      <c r="M1659" s="1" t="b">
        <f>ISNUMBER(K1659)</f>
        <v>1</v>
      </c>
      <c r="N1659" s="1" t="b">
        <f>ISNUMBER(O1659)</f>
        <v>1</v>
      </c>
      <c r="O1659" s="1">
        <v>46066</v>
      </c>
      <c r="P1659" t="s">
        <v>998</v>
      </c>
      <c r="Q1659" t="str">
        <f>SUBSTITUTE(SUBSTITUTE(SUBSTITUTE(P1659," ",""),"-",""),"+","")</f>
        <v>7097226644</v>
      </c>
      <c r="R1659" t="str">
        <f t="shared" si="50"/>
        <v>7097226644</v>
      </c>
      <c r="S1659" t="str">
        <f>IF(LEN(R1659),"Valid","Invalid")</f>
        <v>Valid</v>
      </c>
      <c r="T1659" t="s">
        <v>997</v>
      </c>
      <c r="V1659" t="s">
        <v>27</v>
      </c>
      <c r="X1659">
        <v>24829.53</v>
      </c>
      <c r="Y1659" t="s">
        <v>63</v>
      </c>
      <c r="Z1659">
        <v>222</v>
      </c>
      <c r="AA1659">
        <f t="shared" si="51"/>
        <v>222</v>
      </c>
      <c r="AB1659" t="s">
        <v>71</v>
      </c>
    </row>
    <row r="1660" spans="1:28" x14ac:dyDescent="0.3">
      <c r="A1660" t="s">
        <v>996</v>
      </c>
      <c r="B1660" t="s">
        <v>995</v>
      </c>
      <c r="C1660" t="s">
        <v>995</v>
      </c>
      <c r="D1660" t="s">
        <v>1</v>
      </c>
      <c r="E1660">
        <v>27</v>
      </c>
      <c r="F1660">
        <v>27</v>
      </c>
      <c r="G1660" t="s">
        <v>31</v>
      </c>
      <c r="H1660" t="s">
        <v>31</v>
      </c>
      <c r="I1660" t="s">
        <v>38</v>
      </c>
      <c r="J1660" t="s">
        <v>8077</v>
      </c>
      <c r="K1660" s="1">
        <v>46121</v>
      </c>
      <c r="L1660" s="1" t="str">
        <f>IF(K1660&gt;O1660,"Valid","Invalid")</f>
        <v>Valid</v>
      </c>
      <c r="M1660" s="1" t="b">
        <f>ISNUMBER(K1660)</f>
        <v>1</v>
      </c>
      <c r="N1660" s="1" t="b">
        <f>ISNUMBER(O1660)</f>
        <v>1</v>
      </c>
      <c r="O1660" s="1">
        <v>46095</v>
      </c>
      <c r="P1660" t="s">
        <v>994</v>
      </c>
      <c r="Q1660" t="str">
        <f>SUBSTITUTE(SUBSTITUTE(SUBSTITUTE(P1660," ",""),"-",""),"+","")</f>
        <v>01688316286</v>
      </c>
      <c r="R1660" t="str">
        <f t="shared" si="50"/>
        <v>1688316286</v>
      </c>
      <c r="S1660" t="str">
        <f>IF(LEN(R1660),"Valid","Invalid")</f>
        <v>Valid</v>
      </c>
      <c r="T1660" t="s">
        <v>993</v>
      </c>
      <c r="V1660" t="s">
        <v>26</v>
      </c>
      <c r="X1660">
        <v>14760.61</v>
      </c>
      <c r="Y1660" t="s">
        <v>64</v>
      </c>
      <c r="Z1660">
        <v>302</v>
      </c>
      <c r="AA1660">
        <f t="shared" si="51"/>
        <v>302</v>
      </c>
      <c r="AB1660" t="s">
        <v>25</v>
      </c>
    </row>
    <row r="1661" spans="1:28" x14ac:dyDescent="0.3">
      <c r="A1661" t="s">
        <v>992</v>
      </c>
      <c r="B1661" t="s">
        <v>991</v>
      </c>
      <c r="C1661" t="s">
        <v>991</v>
      </c>
      <c r="D1661" t="s">
        <v>1</v>
      </c>
      <c r="E1661">
        <v>19</v>
      </c>
      <c r="F1661">
        <v>19</v>
      </c>
      <c r="G1661" t="s">
        <v>80</v>
      </c>
      <c r="H1661" t="s">
        <v>80</v>
      </c>
      <c r="I1661" t="s">
        <v>20</v>
      </c>
      <c r="J1661" t="s">
        <v>20</v>
      </c>
      <c r="K1661" s="1">
        <v>46038</v>
      </c>
      <c r="L1661" s="1" t="str">
        <f>IF(K1661&gt;O1661,"Valid","Invalid")</f>
        <v>Valid</v>
      </c>
      <c r="M1661" s="1" t="b">
        <f>ISNUMBER(K1661)</f>
        <v>1</v>
      </c>
      <c r="N1661" s="1" t="b">
        <f>ISNUMBER(O1661)</f>
        <v>1</v>
      </c>
      <c r="O1661" s="1">
        <v>46035</v>
      </c>
      <c r="P1661" t="s">
        <v>990</v>
      </c>
      <c r="Q1661" t="str">
        <f>SUBSTITUTE(SUBSTITUTE(SUBSTITUTE(P1661," ",""),"-",""),"+","")</f>
        <v>918937601854</v>
      </c>
      <c r="R1661" t="str">
        <f t="shared" si="50"/>
        <v>8937601854</v>
      </c>
      <c r="S1661" t="str">
        <f>IF(LEN(R1661),"Valid","Invalid")</f>
        <v>Valid</v>
      </c>
      <c r="T1661" t="s">
        <v>989</v>
      </c>
      <c r="V1661" t="s">
        <v>123</v>
      </c>
      <c r="X1661">
        <v>13250.04</v>
      </c>
      <c r="Y1661" t="s">
        <v>64</v>
      </c>
      <c r="Z1661">
        <v>378</v>
      </c>
      <c r="AA1661">
        <f t="shared" si="51"/>
        <v>378</v>
      </c>
      <c r="AB1661" t="s">
        <v>77</v>
      </c>
    </row>
    <row r="1662" spans="1:28" x14ac:dyDescent="0.3">
      <c r="A1662" t="s">
        <v>988</v>
      </c>
      <c r="B1662" t="s">
        <v>987</v>
      </c>
      <c r="C1662" t="s">
        <v>987</v>
      </c>
      <c r="D1662" t="s">
        <v>1</v>
      </c>
      <c r="E1662">
        <v>31</v>
      </c>
      <c r="F1662">
        <v>31</v>
      </c>
      <c r="G1662" t="s">
        <v>80</v>
      </c>
      <c r="H1662" t="s">
        <v>80</v>
      </c>
      <c r="I1662" t="s">
        <v>38</v>
      </c>
      <c r="J1662" t="s">
        <v>8077</v>
      </c>
      <c r="K1662" s="1">
        <v>45990</v>
      </c>
      <c r="L1662" s="1" t="str">
        <f>IF(K1662&gt;O1662,"Valid","Invalid")</f>
        <v>Valid</v>
      </c>
      <c r="M1662" s="1" t="b">
        <f>ISNUMBER(K1662)</f>
        <v>1</v>
      </c>
      <c r="N1662" s="1" t="b">
        <f>ISNUMBER(O1662)</f>
        <v>1</v>
      </c>
      <c r="O1662" s="1">
        <v>45975</v>
      </c>
      <c r="P1662" t="s">
        <v>986</v>
      </c>
      <c r="Q1662" t="str">
        <f>SUBSTITUTE(SUBSTITUTE(SUBSTITUTE(P1662," ",""),"-",""),"+","")</f>
        <v>6636177083</v>
      </c>
      <c r="R1662" t="str">
        <f t="shared" si="50"/>
        <v>6636177083</v>
      </c>
      <c r="S1662" t="str">
        <f>IF(LEN(R1662),"Valid","Invalid")</f>
        <v>Valid</v>
      </c>
      <c r="T1662" t="s">
        <v>985</v>
      </c>
      <c r="V1662" t="s">
        <v>17</v>
      </c>
      <c r="X1662">
        <v>3540.73</v>
      </c>
      <c r="Y1662" t="s">
        <v>17</v>
      </c>
      <c r="Z1662">
        <v>215</v>
      </c>
      <c r="AA1662">
        <f t="shared" si="51"/>
        <v>215</v>
      </c>
      <c r="AB1662" t="s">
        <v>77</v>
      </c>
    </row>
    <row r="1663" spans="1:28" x14ac:dyDescent="0.3">
      <c r="A1663" t="s">
        <v>984</v>
      </c>
      <c r="B1663" t="s">
        <v>983</v>
      </c>
      <c r="C1663" t="s">
        <v>983</v>
      </c>
      <c r="D1663" t="s">
        <v>123</v>
      </c>
      <c r="E1663">
        <v>5</v>
      </c>
      <c r="F1663">
        <v>5</v>
      </c>
      <c r="G1663" t="s">
        <v>80</v>
      </c>
      <c r="H1663" t="s">
        <v>80</v>
      </c>
      <c r="I1663" t="s">
        <v>20</v>
      </c>
      <c r="J1663" t="s">
        <v>20</v>
      </c>
      <c r="K1663" s="1">
        <v>46178</v>
      </c>
      <c r="L1663" s="1" t="str">
        <f>IF(K1663&gt;O1663,"Valid","Invalid")</f>
        <v>Valid</v>
      </c>
      <c r="M1663" s="1" t="b">
        <f>ISNUMBER(K1663)</f>
        <v>1</v>
      </c>
      <c r="N1663" s="1" t="b">
        <f>ISNUMBER(O1663)</f>
        <v>1</v>
      </c>
      <c r="O1663" s="1">
        <v>46149</v>
      </c>
      <c r="P1663" t="s">
        <v>982</v>
      </c>
      <c r="Q1663" t="str">
        <f>SUBSTITUTE(SUBSTITUTE(SUBSTITUTE(P1663," ",""),"-",""),"+","")</f>
        <v>06725753710</v>
      </c>
      <c r="R1663" t="str">
        <f t="shared" si="50"/>
        <v>6725753710</v>
      </c>
      <c r="S1663" t="str">
        <f>IF(LEN(R1663),"Valid","Invalid")</f>
        <v>Valid</v>
      </c>
      <c r="T1663" t="s">
        <v>981</v>
      </c>
      <c r="V1663" t="s">
        <v>123</v>
      </c>
      <c r="X1663">
        <v>19008.28</v>
      </c>
      <c r="Y1663" t="s">
        <v>17</v>
      </c>
      <c r="Z1663">
        <v>299</v>
      </c>
      <c r="AA1663">
        <f t="shared" si="51"/>
        <v>299</v>
      </c>
      <c r="AB1663" t="s">
        <v>77</v>
      </c>
    </row>
    <row r="1664" spans="1:28" x14ac:dyDescent="0.3">
      <c r="A1664" t="s">
        <v>976</v>
      </c>
      <c r="B1664" t="s">
        <v>975</v>
      </c>
      <c r="C1664" t="s">
        <v>975</v>
      </c>
      <c r="D1664" t="s">
        <v>74</v>
      </c>
      <c r="E1664">
        <v>43</v>
      </c>
      <c r="F1664">
        <v>43</v>
      </c>
      <c r="G1664" t="s">
        <v>54</v>
      </c>
      <c r="H1664" t="s">
        <v>54</v>
      </c>
      <c r="I1664" t="s">
        <v>20</v>
      </c>
      <c r="J1664" t="s">
        <v>20</v>
      </c>
      <c r="K1664" s="1">
        <v>46077</v>
      </c>
      <c r="L1664" s="1" t="str">
        <f>IF(K1664&gt;O1664,"Valid","Invalid")</f>
        <v>Valid</v>
      </c>
      <c r="M1664" s="1" t="b">
        <f>ISNUMBER(K1664)</f>
        <v>1</v>
      </c>
      <c r="N1664" s="1" t="b">
        <f>ISNUMBER(O1664)</f>
        <v>1</v>
      </c>
      <c r="O1664" s="1">
        <v>46060</v>
      </c>
      <c r="P1664" t="s">
        <v>974</v>
      </c>
      <c r="Q1664" t="str">
        <f>SUBSTITUTE(SUBSTITUTE(SUBSTITUTE(P1664," ",""),"-",""),"+","")</f>
        <v>3549687377</v>
      </c>
      <c r="R1664" t="str">
        <f t="shared" si="50"/>
        <v>3549687377</v>
      </c>
      <c r="S1664" t="str">
        <f>IF(LEN(R1664),"Valid","Invalid")</f>
        <v>Valid</v>
      </c>
      <c r="T1664" t="s">
        <v>973</v>
      </c>
      <c r="V1664" t="s">
        <v>35</v>
      </c>
      <c r="X1664">
        <v>20972.400000000001</v>
      </c>
      <c r="Y1664" t="s">
        <v>27</v>
      </c>
      <c r="Z1664">
        <v>225</v>
      </c>
      <c r="AA1664">
        <f t="shared" si="51"/>
        <v>225</v>
      </c>
      <c r="AB1664" t="s">
        <v>25</v>
      </c>
    </row>
    <row r="1665" spans="1:28" x14ac:dyDescent="0.3">
      <c r="A1665" t="s">
        <v>972</v>
      </c>
      <c r="B1665" t="s">
        <v>971</v>
      </c>
      <c r="C1665" t="s">
        <v>971</v>
      </c>
      <c r="D1665" t="s">
        <v>123</v>
      </c>
      <c r="E1665">
        <v>43</v>
      </c>
      <c r="F1665">
        <v>43</v>
      </c>
      <c r="G1665" t="s">
        <v>68</v>
      </c>
      <c r="H1665" t="s">
        <v>68</v>
      </c>
      <c r="I1665" t="s">
        <v>85</v>
      </c>
      <c r="J1665" t="s">
        <v>85</v>
      </c>
      <c r="K1665" s="1">
        <v>46037</v>
      </c>
      <c r="L1665" s="1" t="str">
        <f>IF(K1665&gt;O1665,"Valid","Invalid")</f>
        <v>Valid</v>
      </c>
      <c r="M1665" s="1" t="b">
        <f>ISNUMBER(K1665)</f>
        <v>1</v>
      </c>
      <c r="N1665" s="1" t="b">
        <f>ISNUMBER(O1665)</f>
        <v>1</v>
      </c>
      <c r="O1665" s="1">
        <v>46029</v>
      </c>
      <c r="P1665" t="s">
        <v>970</v>
      </c>
      <c r="Q1665" t="str">
        <f>SUBSTITUTE(SUBSTITUTE(SUBSTITUTE(P1665," ",""),"-",""),"+","")</f>
        <v>0154160130</v>
      </c>
      <c r="R1665" t="str">
        <f t="shared" si="50"/>
        <v>0154160130</v>
      </c>
      <c r="S1665" t="str">
        <f>IF(LEN(R1665),"Valid","Invalid")</f>
        <v>Valid</v>
      </c>
      <c r="T1665" t="s">
        <v>969</v>
      </c>
      <c r="V1665" t="s">
        <v>26</v>
      </c>
      <c r="X1665">
        <v>20611.41</v>
      </c>
      <c r="Y1665" t="s">
        <v>64</v>
      </c>
      <c r="Z1665">
        <v>471</v>
      </c>
      <c r="AA1665">
        <f t="shared" si="51"/>
        <v>471</v>
      </c>
      <c r="AB1665" t="s">
        <v>16</v>
      </c>
    </row>
    <row r="1666" spans="1:28" x14ac:dyDescent="0.3">
      <c r="A1666" t="s">
        <v>968</v>
      </c>
      <c r="B1666" t="s">
        <v>967</v>
      </c>
      <c r="C1666" t="s">
        <v>967</v>
      </c>
      <c r="D1666" t="s">
        <v>40</v>
      </c>
      <c r="E1666">
        <v>80</v>
      </c>
      <c r="F1666">
        <v>80</v>
      </c>
      <c r="G1666" t="s">
        <v>21</v>
      </c>
      <c r="H1666" t="s">
        <v>21</v>
      </c>
      <c r="I1666" t="s">
        <v>90</v>
      </c>
      <c r="J1666" t="s">
        <v>67</v>
      </c>
      <c r="K1666" s="1">
        <v>45988</v>
      </c>
      <c r="L1666" s="1" t="str">
        <f>IF(K1666&gt;O1666,"Valid","Invalid")</f>
        <v>Valid</v>
      </c>
      <c r="M1666" s="1" t="b">
        <f>ISNUMBER(K1666)</f>
        <v>1</v>
      </c>
      <c r="N1666" s="1" t="b">
        <f>ISNUMBER(O1666)</f>
        <v>1</v>
      </c>
      <c r="O1666" s="1">
        <v>45977</v>
      </c>
      <c r="P1666" t="s">
        <v>966</v>
      </c>
      <c r="Q1666" t="str">
        <f>SUBSTITUTE(SUBSTITUTE(SUBSTITUTE(P1666," ",""),"-",""),"+","")</f>
        <v>03566208156</v>
      </c>
      <c r="R1666" t="str">
        <f t="shared" si="50"/>
        <v>3566208156</v>
      </c>
      <c r="S1666" t="str">
        <f>IF(LEN(R1666),"Valid","Invalid")</f>
        <v>Valid</v>
      </c>
      <c r="T1666" t="s">
        <v>965</v>
      </c>
      <c r="V1666" t="s">
        <v>57</v>
      </c>
      <c r="X1666">
        <v>3521.37</v>
      </c>
      <c r="Y1666" t="s">
        <v>27</v>
      </c>
      <c r="Z1666">
        <v>139</v>
      </c>
      <c r="AA1666">
        <f t="shared" si="51"/>
        <v>139</v>
      </c>
      <c r="AB1666" t="s">
        <v>43</v>
      </c>
    </row>
    <row r="1667" spans="1:28" x14ac:dyDescent="0.3">
      <c r="A1667" t="s">
        <v>964</v>
      </c>
      <c r="B1667" t="s">
        <v>963</v>
      </c>
      <c r="C1667" t="s">
        <v>963</v>
      </c>
      <c r="D1667" t="s">
        <v>74</v>
      </c>
      <c r="E1667">
        <v>16</v>
      </c>
      <c r="F1667">
        <v>16</v>
      </c>
      <c r="G1667" t="s">
        <v>132</v>
      </c>
      <c r="H1667" t="s">
        <v>132</v>
      </c>
      <c r="I1667" t="s">
        <v>20</v>
      </c>
      <c r="J1667" t="s">
        <v>20</v>
      </c>
      <c r="K1667" s="1">
        <v>46006</v>
      </c>
      <c r="L1667" s="1" t="str">
        <f>IF(K1667&gt;O1667,"Valid","Invalid")</f>
        <v>Valid</v>
      </c>
      <c r="M1667" s="1" t="b">
        <f>ISNUMBER(K1667)</f>
        <v>1</v>
      </c>
      <c r="N1667" s="1" t="b">
        <f>ISNUMBER(O1667)</f>
        <v>1</v>
      </c>
      <c r="O1667" s="1">
        <v>45989</v>
      </c>
      <c r="P1667" t="s">
        <v>962</v>
      </c>
      <c r="Q1667" t="str">
        <f>SUBSTITUTE(SUBSTITUTE(SUBSTITUTE(P1667," ",""),"-",""),"+","")</f>
        <v>01993836663</v>
      </c>
      <c r="R1667" t="str">
        <f t="shared" si="50"/>
        <v>1993836663</v>
      </c>
      <c r="S1667" t="str">
        <f>IF(LEN(R1667),"Valid","Invalid")</f>
        <v>Valid</v>
      </c>
      <c r="T1667" t="s">
        <v>961</v>
      </c>
      <c r="V1667" t="s">
        <v>26</v>
      </c>
      <c r="X1667">
        <v>5800.93</v>
      </c>
      <c r="Y1667" t="s">
        <v>123</v>
      </c>
      <c r="Z1667">
        <v>371</v>
      </c>
      <c r="AA1667">
        <f t="shared" si="51"/>
        <v>371</v>
      </c>
      <c r="AB1667" t="s">
        <v>16</v>
      </c>
    </row>
    <row r="1668" spans="1:28" x14ac:dyDescent="0.3">
      <c r="A1668" t="s">
        <v>960</v>
      </c>
      <c r="B1668" t="s">
        <v>959</v>
      </c>
      <c r="C1668" t="s">
        <v>959</v>
      </c>
      <c r="D1668" t="s">
        <v>60</v>
      </c>
      <c r="E1668">
        <v>4</v>
      </c>
      <c r="F1668">
        <v>4</v>
      </c>
      <c r="G1668" t="s">
        <v>39</v>
      </c>
      <c r="H1668" t="s">
        <v>39</v>
      </c>
      <c r="I1668" t="s">
        <v>90</v>
      </c>
      <c r="J1668" t="s">
        <v>67</v>
      </c>
      <c r="K1668" s="1">
        <v>46028</v>
      </c>
      <c r="L1668" s="1" t="str">
        <f>IF(K1668&gt;O1668,"Valid","Invalid")</f>
        <v>Valid</v>
      </c>
      <c r="M1668" s="1" t="b">
        <f>ISNUMBER(K1668)</f>
        <v>1</v>
      </c>
      <c r="N1668" s="1" t="b">
        <f>ISNUMBER(O1668)</f>
        <v>1</v>
      </c>
      <c r="O1668" s="1">
        <v>46022</v>
      </c>
      <c r="P1668" t="s">
        <v>958</v>
      </c>
      <c r="Q1668" t="str">
        <f>SUBSTITUTE(SUBSTITUTE(SUBSTITUTE(P1668," ",""),"-",""),"+","")</f>
        <v>2649662373</v>
      </c>
      <c r="R1668" t="str">
        <f t="shared" si="50"/>
        <v>2649662373</v>
      </c>
      <c r="S1668" t="str">
        <f>IF(LEN(R1668),"Valid","Invalid")</f>
        <v>Valid</v>
      </c>
      <c r="T1668" t="s">
        <v>957</v>
      </c>
      <c r="V1668" t="s">
        <v>35</v>
      </c>
      <c r="X1668">
        <v>20410.669999999998</v>
      </c>
      <c r="Y1668" t="s">
        <v>26</v>
      </c>
      <c r="Z1668">
        <v>210</v>
      </c>
      <c r="AA1668">
        <f t="shared" si="51"/>
        <v>210</v>
      </c>
      <c r="AB1668" t="s">
        <v>34</v>
      </c>
    </row>
    <row r="1669" spans="1:28" x14ac:dyDescent="0.3">
      <c r="A1669" t="s">
        <v>956</v>
      </c>
      <c r="B1669" t="s">
        <v>955</v>
      </c>
      <c r="C1669" t="s">
        <v>955</v>
      </c>
      <c r="D1669" t="s">
        <v>0</v>
      </c>
      <c r="E1669">
        <v>10</v>
      </c>
      <c r="F1669">
        <v>10</v>
      </c>
      <c r="G1669" t="s">
        <v>21</v>
      </c>
      <c r="H1669" t="s">
        <v>21</v>
      </c>
      <c r="I1669" t="s">
        <v>85</v>
      </c>
      <c r="J1669" t="s">
        <v>85</v>
      </c>
      <c r="K1669" s="1">
        <v>46000</v>
      </c>
      <c r="L1669" s="1" t="str">
        <f>IF(K1669&gt;O1669,"Valid","Invalid")</f>
        <v>Valid</v>
      </c>
      <c r="M1669" s="1" t="b">
        <f>ISNUMBER(K1669)</f>
        <v>1</v>
      </c>
      <c r="N1669" s="1" t="b">
        <f>ISNUMBER(O1669)</f>
        <v>1</v>
      </c>
      <c r="O1669" s="1">
        <v>45992</v>
      </c>
      <c r="P1669" t="s">
        <v>954</v>
      </c>
      <c r="Q1669" t="str">
        <f>SUBSTITUTE(SUBSTITUTE(SUBSTITUTE(P1669," ",""),"-",""),"+","")</f>
        <v>913576596775</v>
      </c>
      <c r="R1669" t="str">
        <f t="shared" ref="R1669:R1732" si="52">RIGHT(Q1669,10)</f>
        <v>3576596775</v>
      </c>
      <c r="S1669" t="str">
        <f>IF(LEN(R1669),"Valid","Invalid")</f>
        <v>Valid</v>
      </c>
      <c r="T1669" t="s">
        <v>953</v>
      </c>
      <c r="V1669" t="s">
        <v>57</v>
      </c>
      <c r="X1669">
        <v>8574.83</v>
      </c>
      <c r="Y1669" t="s">
        <v>64</v>
      </c>
      <c r="Z1669">
        <v>147</v>
      </c>
      <c r="AA1669">
        <f t="shared" ref="AA1669:AA1732" si="53">IF(Z1669="Room-x",0,Z1669)</f>
        <v>147</v>
      </c>
      <c r="AB1669" t="s">
        <v>43</v>
      </c>
    </row>
    <row r="1670" spans="1:28" x14ac:dyDescent="0.3">
      <c r="A1670" t="s">
        <v>952</v>
      </c>
      <c r="B1670" t="s">
        <v>951</v>
      </c>
      <c r="C1670" t="s">
        <v>951</v>
      </c>
      <c r="D1670" t="s">
        <v>40</v>
      </c>
      <c r="E1670">
        <v>90</v>
      </c>
      <c r="F1670">
        <v>90</v>
      </c>
      <c r="G1670" t="s">
        <v>132</v>
      </c>
      <c r="H1670" t="s">
        <v>132</v>
      </c>
      <c r="I1670" t="s">
        <v>53</v>
      </c>
      <c r="J1670" t="s">
        <v>20</v>
      </c>
      <c r="K1670" s="1">
        <v>46070</v>
      </c>
      <c r="L1670" s="1" t="str">
        <f>IF(K1670&gt;O1670,"Valid","Invalid")</f>
        <v>Valid</v>
      </c>
      <c r="M1670" s="1" t="b">
        <f>ISNUMBER(K1670)</f>
        <v>1</v>
      </c>
      <c r="N1670" s="1" t="b">
        <f>ISNUMBER(O1670)</f>
        <v>1</v>
      </c>
      <c r="O1670" s="1">
        <v>46054</v>
      </c>
      <c r="P1670" t="s">
        <v>950</v>
      </c>
      <c r="Q1670" t="str">
        <f>SUBSTITUTE(SUBSTITUTE(SUBSTITUTE(P1670," ",""),"-",""),"+","")</f>
        <v>914525864250</v>
      </c>
      <c r="R1670" t="str">
        <f t="shared" si="52"/>
        <v>4525864250</v>
      </c>
      <c r="S1670" t="str">
        <f>IF(LEN(R1670),"Valid","Invalid")</f>
        <v>Valid</v>
      </c>
      <c r="T1670" t="s">
        <v>949</v>
      </c>
      <c r="V1670" t="s">
        <v>123</v>
      </c>
      <c r="X1670">
        <v>23528.560000000001</v>
      </c>
      <c r="Y1670" t="s">
        <v>27</v>
      </c>
      <c r="Z1670">
        <v>524</v>
      </c>
      <c r="AA1670">
        <f t="shared" si="53"/>
        <v>524</v>
      </c>
      <c r="AB1670" t="s">
        <v>43</v>
      </c>
    </row>
    <row r="1671" spans="1:28" x14ac:dyDescent="0.3">
      <c r="A1671" t="s">
        <v>948</v>
      </c>
      <c r="B1671" t="s">
        <v>947</v>
      </c>
      <c r="C1671" t="s">
        <v>947</v>
      </c>
      <c r="D1671" t="s">
        <v>40</v>
      </c>
      <c r="E1671">
        <v>44</v>
      </c>
      <c r="F1671">
        <v>44</v>
      </c>
      <c r="G1671" t="s">
        <v>21</v>
      </c>
      <c r="H1671" t="s">
        <v>21</v>
      </c>
      <c r="I1671" t="s">
        <v>85</v>
      </c>
      <c r="J1671" t="s">
        <v>85</v>
      </c>
      <c r="K1671" s="1">
        <v>46013</v>
      </c>
      <c r="L1671" s="1" t="str">
        <f>IF(K1671&gt;O1671,"Valid","Invalid")</f>
        <v>Valid</v>
      </c>
      <c r="M1671" s="1" t="b">
        <f>ISNUMBER(K1671)</f>
        <v>1</v>
      </c>
      <c r="N1671" s="1" t="b">
        <f>ISNUMBER(O1671)</f>
        <v>1</v>
      </c>
      <c r="O1671" s="1">
        <v>45984</v>
      </c>
      <c r="P1671" t="s">
        <v>946</v>
      </c>
      <c r="Q1671" t="str">
        <f>SUBSTITUTE(SUBSTITUTE(SUBSTITUTE(P1671," ",""),"-",""),"+","")</f>
        <v>3471178036</v>
      </c>
      <c r="R1671" t="str">
        <f t="shared" si="52"/>
        <v>3471178036</v>
      </c>
      <c r="S1671" t="str">
        <f>IF(LEN(R1671),"Valid","Invalid")</f>
        <v>Valid</v>
      </c>
      <c r="T1671" t="s">
        <v>945</v>
      </c>
      <c r="V1671" t="s">
        <v>123</v>
      </c>
      <c r="X1671">
        <v>10831</v>
      </c>
      <c r="Y1671" t="s">
        <v>27</v>
      </c>
      <c r="Z1671">
        <v>365</v>
      </c>
      <c r="AA1671">
        <f t="shared" si="53"/>
        <v>365</v>
      </c>
      <c r="AB1671" t="s">
        <v>25</v>
      </c>
    </row>
    <row r="1672" spans="1:28" x14ac:dyDescent="0.3">
      <c r="A1672" t="s">
        <v>944</v>
      </c>
      <c r="B1672" t="s">
        <v>943</v>
      </c>
      <c r="C1672" t="s">
        <v>943</v>
      </c>
      <c r="D1672" t="s">
        <v>74</v>
      </c>
      <c r="E1672">
        <v>15</v>
      </c>
      <c r="F1672">
        <v>15</v>
      </c>
      <c r="G1672" t="s">
        <v>39</v>
      </c>
      <c r="H1672" t="s">
        <v>39</v>
      </c>
      <c r="I1672" t="s">
        <v>90</v>
      </c>
      <c r="J1672" t="s">
        <v>67</v>
      </c>
      <c r="K1672" s="1">
        <v>46139</v>
      </c>
      <c r="L1672" s="1" t="str">
        <f>IF(K1672&gt;O1672,"Valid","Invalid")</f>
        <v>Valid</v>
      </c>
      <c r="M1672" s="1" t="b">
        <f>ISNUMBER(K1672)</f>
        <v>1</v>
      </c>
      <c r="N1672" s="1" t="b">
        <f>ISNUMBER(O1672)</f>
        <v>1</v>
      </c>
      <c r="O1672" s="1">
        <v>46115</v>
      </c>
      <c r="P1672" t="s">
        <v>942</v>
      </c>
      <c r="Q1672" t="str">
        <f>SUBSTITUTE(SUBSTITUTE(SUBSTITUTE(P1672," ",""),"-",""),"+","")</f>
        <v>09866724147</v>
      </c>
      <c r="R1672" t="str">
        <f t="shared" si="52"/>
        <v>9866724147</v>
      </c>
      <c r="S1672" t="str">
        <f>IF(LEN(R1672),"Valid","Invalid")</f>
        <v>Valid</v>
      </c>
      <c r="T1672" t="s">
        <v>941</v>
      </c>
      <c r="V1672" t="s">
        <v>27</v>
      </c>
      <c r="X1672">
        <v>23483.360000000001</v>
      </c>
      <c r="Y1672" t="s">
        <v>57</v>
      </c>
      <c r="Z1672">
        <v>547</v>
      </c>
      <c r="AA1672">
        <f t="shared" si="53"/>
        <v>547</v>
      </c>
      <c r="AB1672" t="s">
        <v>77</v>
      </c>
    </row>
    <row r="1673" spans="1:28" x14ac:dyDescent="0.3">
      <c r="A1673" t="s">
        <v>940</v>
      </c>
      <c r="B1673" t="s">
        <v>939</v>
      </c>
      <c r="C1673" t="s">
        <v>939</v>
      </c>
      <c r="D1673" t="s">
        <v>1</v>
      </c>
      <c r="E1673">
        <v>47</v>
      </c>
      <c r="F1673">
        <v>47</v>
      </c>
      <c r="G1673" t="s">
        <v>54</v>
      </c>
      <c r="H1673" t="s">
        <v>54</v>
      </c>
      <c r="I1673" t="s">
        <v>90</v>
      </c>
      <c r="J1673" t="s">
        <v>67</v>
      </c>
      <c r="K1673" s="1">
        <v>46057</v>
      </c>
      <c r="L1673" s="1" t="str">
        <f>IF(K1673&gt;O1673,"Valid","Invalid")</f>
        <v>Valid</v>
      </c>
      <c r="M1673" s="1" t="b">
        <f>ISNUMBER(K1673)</f>
        <v>1</v>
      </c>
      <c r="N1673" s="1" t="b">
        <f>ISNUMBER(O1673)</f>
        <v>1</v>
      </c>
      <c r="O1673" s="1">
        <v>46029</v>
      </c>
      <c r="P1673" t="s">
        <v>938</v>
      </c>
      <c r="Q1673" t="str">
        <f>SUBSTITUTE(SUBSTITUTE(SUBSTITUTE(P1673," ",""),"-",""),"+","")</f>
        <v>7698762801</v>
      </c>
      <c r="R1673" t="str">
        <f t="shared" si="52"/>
        <v>7698762801</v>
      </c>
      <c r="S1673" t="str">
        <f>IF(LEN(R1673),"Valid","Invalid")</f>
        <v>Valid</v>
      </c>
      <c r="T1673" t="s">
        <v>937</v>
      </c>
      <c r="V1673" t="s">
        <v>64</v>
      </c>
      <c r="X1673">
        <v>20490.669999999998</v>
      </c>
      <c r="Y1673" t="s">
        <v>27</v>
      </c>
      <c r="Z1673">
        <v>297</v>
      </c>
      <c r="AA1673">
        <f t="shared" si="53"/>
        <v>297</v>
      </c>
      <c r="AB1673" t="s">
        <v>71</v>
      </c>
    </row>
    <row r="1674" spans="1:28" x14ac:dyDescent="0.3">
      <c r="A1674" t="s">
        <v>936</v>
      </c>
      <c r="B1674" t="s">
        <v>935</v>
      </c>
      <c r="C1674" t="s">
        <v>935</v>
      </c>
      <c r="E1674">
        <v>10</v>
      </c>
      <c r="F1674">
        <v>10</v>
      </c>
      <c r="G1674" t="s">
        <v>31</v>
      </c>
      <c r="H1674" t="s">
        <v>31</v>
      </c>
      <c r="I1674" t="s">
        <v>38</v>
      </c>
      <c r="J1674" t="s">
        <v>8077</v>
      </c>
      <c r="K1674" s="1">
        <v>46148</v>
      </c>
      <c r="L1674" s="1" t="str">
        <f>IF(K1674&gt;O1674,"Valid","Invalid")</f>
        <v>Valid</v>
      </c>
      <c r="M1674" s="1" t="b">
        <f>ISNUMBER(K1674)</f>
        <v>1</v>
      </c>
      <c r="N1674" s="1" t="b">
        <f>ISNUMBER(O1674)</f>
        <v>1</v>
      </c>
      <c r="O1674" s="1">
        <v>46145</v>
      </c>
      <c r="P1674" t="s">
        <v>934</v>
      </c>
      <c r="Q1674" t="str">
        <f>SUBSTITUTE(SUBSTITUTE(SUBSTITUTE(P1674," ",""),"-",""),"+","")</f>
        <v>3252109197</v>
      </c>
      <c r="R1674" t="str">
        <f t="shared" si="52"/>
        <v>3252109197</v>
      </c>
      <c r="S1674" t="str">
        <f>IF(LEN(R1674),"Valid","Invalid")</f>
        <v>Valid</v>
      </c>
      <c r="T1674" t="s">
        <v>933</v>
      </c>
      <c r="V1674" t="s">
        <v>35</v>
      </c>
      <c r="X1674">
        <v>19236.349999999999</v>
      </c>
      <c r="Y1674" t="s">
        <v>63</v>
      </c>
      <c r="Z1674">
        <v>274</v>
      </c>
      <c r="AA1674">
        <f t="shared" si="53"/>
        <v>274</v>
      </c>
      <c r="AB1674" t="s">
        <v>43</v>
      </c>
    </row>
    <row r="1675" spans="1:28" x14ac:dyDescent="0.3">
      <c r="A1675" t="s">
        <v>932</v>
      </c>
      <c r="B1675" t="s">
        <v>931</v>
      </c>
      <c r="C1675" t="s">
        <v>931</v>
      </c>
      <c r="D1675" t="s">
        <v>40</v>
      </c>
      <c r="E1675">
        <v>56</v>
      </c>
      <c r="F1675">
        <v>56</v>
      </c>
      <c r="G1675" t="s">
        <v>39</v>
      </c>
      <c r="H1675" t="s">
        <v>39</v>
      </c>
      <c r="I1675" t="s">
        <v>90</v>
      </c>
      <c r="J1675" t="s">
        <v>67</v>
      </c>
      <c r="K1675" s="1">
        <v>46147</v>
      </c>
      <c r="L1675" s="1" t="str">
        <f>IF(K1675&gt;O1675,"Valid","Invalid")</f>
        <v>Valid</v>
      </c>
      <c r="M1675" s="1" t="b">
        <f>ISNUMBER(K1675)</f>
        <v>1</v>
      </c>
      <c r="N1675" s="1" t="b">
        <f>ISNUMBER(O1675)</f>
        <v>1</v>
      </c>
      <c r="O1675" s="1">
        <v>46129</v>
      </c>
      <c r="P1675" t="s">
        <v>930</v>
      </c>
      <c r="Q1675" t="str">
        <f>SUBSTITUTE(SUBSTITUTE(SUBSTITUTE(P1675," ",""),"-",""),"+","")</f>
        <v>00362555980</v>
      </c>
      <c r="R1675" t="str">
        <f t="shared" si="52"/>
        <v>0362555980</v>
      </c>
      <c r="S1675" t="str">
        <f>IF(LEN(R1675),"Valid","Invalid")</f>
        <v>Valid</v>
      </c>
      <c r="T1675" t="s">
        <v>929</v>
      </c>
      <c r="V1675" t="s">
        <v>64</v>
      </c>
      <c r="X1675">
        <v>12237.58</v>
      </c>
      <c r="Y1675" t="s">
        <v>123</v>
      </c>
      <c r="Z1675">
        <v>317</v>
      </c>
      <c r="AA1675">
        <f t="shared" si="53"/>
        <v>317</v>
      </c>
      <c r="AB1675" t="s">
        <v>50</v>
      </c>
    </row>
    <row r="1676" spans="1:28" x14ac:dyDescent="0.3">
      <c r="A1676" t="s">
        <v>928</v>
      </c>
      <c r="B1676" t="s">
        <v>927</v>
      </c>
      <c r="C1676" t="s">
        <v>927</v>
      </c>
      <c r="D1676" t="s">
        <v>0</v>
      </c>
      <c r="E1676">
        <v>80</v>
      </c>
      <c r="F1676">
        <v>80</v>
      </c>
      <c r="G1676" t="s">
        <v>21</v>
      </c>
      <c r="H1676" t="s">
        <v>21</v>
      </c>
      <c r="I1676" t="s">
        <v>30</v>
      </c>
      <c r="J1676" t="s">
        <v>30</v>
      </c>
      <c r="K1676" s="1">
        <v>46069</v>
      </c>
      <c r="L1676" s="1" t="str">
        <f>IF(K1676&gt;O1676,"Valid","Invalid")</f>
        <v>Valid</v>
      </c>
      <c r="M1676" s="1" t="b">
        <f>ISNUMBER(K1676)</f>
        <v>1</v>
      </c>
      <c r="N1676" s="1" t="b">
        <f>ISNUMBER(O1676)</f>
        <v>1</v>
      </c>
      <c r="O1676" s="1">
        <v>46060</v>
      </c>
      <c r="P1676" t="s">
        <v>926</v>
      </c>
      <c r="Q1676" t="str">
        <f>SUBSTITUTE(SUBSTITUTE(SUBSTITUTE(P1676," ",""),"-",""),"+","")</f>
        <v>916480938844</v>
      </c>
      <c r="R1676" t="str">
        <f t="shared" si="52"/>
        <v>6480938844</v>
      </c>
      <c r="S1676" t="str">
        <f>IF(LEN(R1676),"Valid","Invalid")</f>
        <v>Valid</v>
      </c>
      <c r="T1676" t="s">
        <v>925</v>
      </c>
      <c r="V1676" t="s">
        <v>27</v>
      </c>
      <c r="X1676">
        <v>3072.55</v>
      </c>
      <c r="Y1676" t="s">
        <v>63</v>
      </c>
      <c r="Z1676">
        <v>383</v>
      </c>
      <c r="AA1676">
        <f t="shared" si="53"/>
        <v>383</v>
      </c>
      <c r="AB1676" t="s">
        <v>77</v>
      </c>
    </row>
    <row r="1677" spans="1:28" x14ac:dyDescent="0.3">
      <c r="A1677" t="s">
        <v>924</v>
      </c>
      <c r="B1677" t="s">
        <v>923</v>
      </c>
      <c r="C1677" t="s">
        <v>923</v>
      </c>
      <c r="E1677">
        <v>25</v>
      </c>
      <c r="F1677">
        <v>25</v>
      </c>
      <c r="G1677" t="s">
        <v>31</v>
      </c>
      <c r="H1677" t="s">
        <v>31</v>
      </c>
      <c r="I1677" t="s">
        <v>30</v>
      </c>
      <c r="J1677" t="s">
        <v>30</v>
      </c>
      <c r="K1677" s="1">
        <v>45992</v>
      </c>
      <c r="L1677" s="1" t="str">
        <f>IF(K1677&gt;O1677,"Valid","Invalid")</f>
        <v>Valid</v>
      </c>
      <c r="M1677" s="1" t="b">
        <f>ISNUMBER(K1677)</f>
        <v>1</v>
      </c>
      <c r="N1677" s="1" t="b">
        <f>ISNUMBER(O1677)</f>
        <v>1</v>
      </c>
      <c r="O1677" s="1">
        <v>45985</v>
      </c>
      <c r="P1677" t="s">
        <v>922</v>
      </c>
      <c r="Q1677" t="str">
        <f>SUBSTITUTE(SUBSTITUTE(SUBSTITUTE(P1677," ",""),"-",""),"+","")</f>
        <v>918359334957</v>
      </c>
      <c r="R1677" t="str">
        <f t="shared" si="52"/>
        <v>8359334957</v>
      </c>
      <c r="S1677" t="str">
        <f>IF(LEN(R1677),"Valid","Invalid")</f>
        <v>Valid</v>
      </c>
      <c r="T1677" t="s">
        <v>921</v>
      </c>
      <c r="V1677" t="s">
        <v>123</v>
      </c>
      <c r="X1677">
        <v>21598.28</v>
      </c>
      <c r="Y1677" t="s">
        <v>26</v>
      </c>
      <c r="Z1677">
        <v>308</v>
      </c>
      <c r="AA1677">
        <f t="shared" si="53"/>
        <v>308</v>
      </c>
      <c r="AB1677" t="s">
        <v>77</v>
      </c>
    </row>
    <row r="1678" spans="1:28" x14ac:dyDescent="0.3">
      <c r="A1678" t="s">
        <v>920</v>
      </c>
      <c r="B1678" t="s">
        <v>919</v>
      </c>
      <c r="C1678" t="s">
        <v>919</v>
      </c>
      <c r="D1678" t="s">
        <v>1</v>
      </c>
      <c r="E1678">
        <v>30</v>
      </c>
      <c r="F1678">
        <v>30</v>
      </c>
      <c r="G1678" t="s">
        <v>31</v>
      </c>
      <c r="H1678" t="s">
        <v>31</v>
      </c>
      <c r="I1678" t="s">
        <v>20</v>
      </c>
      <c r="J1678" t="s">
        <v>20</v>
      </c>
      <c r="K1678" s="1">
        <v>46100</v>
      </c>
      <c r="L1678" s="1" t="str">
        <f>IF(K1678&gt;O1678,"Valid","Invalid")</f>
        <v>Valid</v>
      </c>
      <c r="M1678" s="1" t="b">
        <f>ISNUMBER(K1678)</f>
        <v>1</v>
      </c>
      <c r="N1678" s="1" t="b">
        <f>ISNUMBER(O1678)</f>
        <v>1</v>
      </c>
      <c r="O1678" s="1">
        <v>46099</v>
      </c>
      <c r="P1678" t="s">
        <v>918</v>
      </c>
      <c r="Q1678" t="str">
        <f>SUBSTITUTE(SUBSTITUTE(SUBSTITUTE(P1678," ",""),"-",""),"+","")</f>
        <v>0422865211</v>
      </c>
      <c r="R1678" t="str">
        <f t="shared" si="52"/>
        <v>0422865211</v>
      </c>
      <c r="S1678" t="str">
        <f>IF(LEN(R1678),"Valid","Invalid")</f>
        <v>Valid</v>
      </c>
      <c r="T1678" t="s">
        <v>917</v>
      </c>
      <c r="V1678" t="s">
        <v>64</v>
      </c>
      <c r="X1678">
        <v>16742.240000000002</v>
      </c>
      <c r="Y1678" t="s">
        <v>123</v>
      </c>
      <c r="Z1678">
        <v>453</v>
      </c>
      <c r="AA1678">
        <f t="shared" si="53"/>
        <v>453</v>
      </c>
      <c r="AB1678" t="s">
        <v>25</v>
      </c>
    </row>
    <row r="1679" spans="1:28" x14ac:dyDescent="0.3">
      <c r="A1679" t="s">
        <v>916</v>
      </c>
      <c r="B1679" t="s">
        <v>915</v>
      </c>
      <c r="C1679" t="s">
        <v>915</v>
      </c>
      <c r="D1679" t="s">
        <v>40</v>
      </c>
      <c r="E1679">
        <v>78</v>
      </c>
      <c r="F1679">
        <v>78</v>
      </c>
      <c r="G1679" t="s">
        <v>47</v>
      </c>
      <c r="H1679" t="s">
        <v>47</v>
      </c>
      <c r="I1679" t="s">
        <v>67</v>
      </c>
      <c r="J1679" t="s">
        <v>67</v>
      </c>
      <c r="K1679" s="1">
        <v>46097</v>
      </c>
      <c r="L1679" s="1" t="str">
        <f>IF(K1679&gt;O1679,"Valid","Invalid")</f>
        <v>Valid</v>
      </c>
      <c r="M1679" s="1" t="b">
        <f>ISNUMBER(K1679)</f>
        <v>1</v>
      </c>
      <c r="N1679" s="1" t="b">
        <f>ISNUMBER(O1679)</f>
        <v>1</v>
      </c>
      <c r="O1679" s="1">
        <v>46079</v>
      </c>
      <c r="P1679" t="s">
        <v>914</v>
      </c>
      <c r="Q1679" t="str">
        <f>SUBSTITUTE(SUBSTITUTE(SUBSTITUTE(P1679," ",""),"-",""),"+","")</f>
        <v>02510982145</v>
      </c>
      <c r="R1679" t="str">
        <f t="shared" si="52"/>
        <v>2510982145</v>
      </c>
      <c r="S1679" t="str">
        <f>IF(LEN(R1679),"Valid","Invalid")</f>
        <v>Valid</v>
      </c>
      <c r="T1679" t="s">
        <v>913</v>
      </c>
      <c r="V1679" t="s">
        <v>64</v>
      </c>
      <c r="X1679">
        <v>20121.509999999998</v>
      </c>
      <c r="Y1679" t="s">
        <v>63</v>
      </c>
      <c r="Z1679">
        <v>393</v>
      </c>
      <c r="AA1679">
        <f t="shared" si="53"/>
        <v>393</v>
      </c>
      <c r="AB1679" t="s">
        <v>71</v>
      </c>
    </row>
    <row r="1680" spans="1:28" x14ac:dyDescent="0.3">
      <c r="A1680" t="s">
        <v>912</v>
      </c>
      <c r="B1680" t="s">
        <v>911</v>
      </c>
      <c r="C1680" t="s">
        <v>911</v>
      </c>
      <c r="D1680" t="s">
        <v>40</v>
      </c>
      <c r="E1680">
        <v>58</v>
      </c>
      <c r="F1680">
        <v>58</v>
      </c>
      <c r="G1680" t="s">
        <v>132</v>
      </c>
      <c r="H1680" t="s">
        <v>132</v>
      </c>
      <c r="I1680" t="s">
        <v>53</v>
      </c>
      <c r="J1680" t="s">
        <v>20</v>
      </c>
      <c r="K1680" s="1">
        <v>46014</v>
      </c>
      <c r="L1680" s="1" t="str">
        <f>IF(K1680&gt;O1680,"Valid","Invalid")</f>
        <v>Valid</v>
      </c>
      <c r="M1680" s="1" t="b">
        <f>ISNUMBER(K1680)</f>
        <v>1</v>
      </c>
      <c r="N1680" s="1" t="b">
        <f>ISNUMBER(O1680)</f>
        <v>1</v>
      </c>
      <c r="O1680" s="1">
        <v>46002</v>
      </c>
      <c r="P1680" t="s">
        <v>910</v>
      </c>
      <c r="Q1680" t="str">
        <f>SUBSTITUTE(SUBSTITUTE(SUBSTITUTE(P1680," ",""),"-",""),"+","")</f>
        <v>09435198265</v>
      </c>
      <c r="R1680" t="str">
        <f t="shared" si="52"/>
        <v>9435198265</v>
      </c>
      <c r="S1680" t="str">
        <f>IF(LEN(R1680),"Valid","Invalid")</f>
        <v>Valid</v>
      </c>
      <c r="T1680" t="s">
        <v>909</v>
      </c>
      <c r="V1680" t="s">
        <v>123</v>
      </c>
      <c r="X1680">
        <v>19212.39</v>
      </c>
      <c r="Y1680" t="s">
        <v>123</v>
      </c>
      <c r="Z1680">
        <v>545</v>
      </c>
      <c r="AA1680">
        <f t="shared" si="53"/>
        <v>545</v>
      </c>
      <c r="AB1680" t="s">
        <v>50</v>
      </c>
    </row>
    <row r="1681" spans="1:28" x14ac:dyDescent="0.3">
      <c r="A1681" t="s">
        <v>908</v>
      </c>
      <c r="B1681" t="s">
        <v>907</v>
      </c>
      <c r="C1681" t="s">
        <v>907</v>
      </c>
      <c r="D1681" t="s">
        <v>22</v>
      </c>
      <c r="E1681">
        <v>71</v>
      </c>
      <c r="F1681">
        <v>71</v>
      </c>
      <c r="G1681" t="s">
        <v>68</v>
      </c>
      <c r="H1681" t="s">
        <v>68</v>
      </c>
      <c r="I1681" t="s">
        <v>20</v>
      </c>
      <c r="J1681" t="s">
        <v>20</v>
      </c>
      <c r="K1681" s="1">
        <v>46077</v>
      </c>
      <c r="L1681" s="1" t="str">
        <f>IF(K1681&gt;O1681,"Valid","Invalid")</f>
        <v>Valid</v>
      </c>
      <c r="M1681" s="1" t="b">
        <f>ISNUMBER(K1681)</f>
        <v>1</v>
      </c>
      <c r="N1681" s="1" t="b">
        <f>ISNUMBER(O1681)</f>
        <v>1</v>
      </c>
      <c r="O1681" s="1">
        <v>46049</v>
      </c>
      <c r="P1681" t="s">
        <v>906</v>
      </c>
      <c r="Q1681" t="str">
        <f>SUBSTITUTE(SUBSTITUTE(SUBSTITUTE(P1681," ",""),"-",""),"+","")</f>
        <v>915207572497</v>
      </c>
      <c r="R1681" t="str">
        <f t="shared" si="52"/>
        <v>5207572497</v>
      </c>
      <c r="S1681" t="str">
        <f>IF(LEN(R1681),"Valid","Invalid")</f>
        <v>Valid</v>
      </c>
      <c r="T1681" t="s">
        <v>905</v>
      </c>
      <c r="V1681" t="s">
        <v>26</v>
      </c>
      <c r="X1681">
        <v>3800.49</v>
      </c>
      <c r="Y1681" t="s">
        <v>17</v>
      </c>
      <c r="Z1681">
        <v>396</v>
      </c>
      <c r="AA1681">
        <f t="shared" si="53"/>
        <v>396</v>
      </c>
      <c r="AB1681" t="s">
        <v>16</v>
      </c>
    </row>
    <row r="1682" spans="1:28" x14ac:dyDescent="0.3">
      <c r="A1682" t="s">
        <v>904</v>
      </c>
      <c r="B1682" t="s">
        <v>903</v>
      </c>
      <c r="C1682" t="s">
        <v>903</v>
      </c>
      <c r="D1682" t="s">
        <v>1</v>
      </c>
      <c r="E1682">
        <v>19</v>
      </c>
      <c r="F1682">
        <v>19</v>
      </c>
      <c r="G1682" t="s">
        <v>31</v>
      </c>
      <c r="H1682" t="s">
        <v>31</v>
      </c>
      <c r="I1682" t="s">
        <v>20</v>
      </c>
      <c r="J1682" t="s">
        <v>20</v>
      </c>
      <c r="K1682" s="1">
        <v>46152</v>
      </c>
      <c r="L1682" s="1" t="str">
        <f>IF(K1682&gt;O1682,"Valid","Invalid")</f>
        <v>Valid</v>
      </c>
      <c r="M1682" s="1" t="b">
        <f>ISNUMBER(K1682)</f>
        <v>1</v>
      </c>
      <c r="N1682" s="1" t="b">
        <f>ISNUMBER(O1682)</f>
        <v>1</v>
      </c>
      <c r="O1682" s="1">
        <v>46143</v>
      </c>
      <c r="P1682" t="s">
        <v>902</v>
      </c>
      <c r="Q1682" t="str">
        <f>SUBSTITUTE(SUBSTITUTE(SUBSTITUTE(P1682," ",""),"-",""),"+","")</f>
        <v>915810300117</v>
      </c>
      <c r="R1682" t="str">
        <f t="shared" si="52"/>
        <v>5810300117</v>
      </c>
      <c r="S1682" t="str">
        <f>IF(LEN(R1682),"Valid","Invalid")</f>
        <v>Valid</v>
      </c>
      <c r="T1682" t="s">
        <v>901</v>
      </c>
      <c r="V1682" t="s">
        <v>27</v>
      </c>
      <c r="X1682">
        <v>19353.03</v>
      </c>
      <c r="Y1682" t="s">
        <v>63</v>
      </c>
      <c r="Z1682">
        <v>391</v>
      </c>
      <c r="AA1682">
        <f t="shared" si="53"/>
        <v>391</v>
      </c>
      <c r="AB1682" t="s">
        <v>34</v>
      </c>
    </row>
    <row r="1683" spans="1:28" x14ac:dyDescent="0.3">
      <c r="A1683" t="s">
        <v>900</v>
      </c>
      <c r="B1683" t="s">
        <v>899</v>
      </c>
      <c r="C1683" t="s">
        <v>899</v>
      </c>
      <c r="D1683" t="s">
        <v>1</v>
      </c>
      <c r="E1683">
        <v>23</v>
      </c>
      <c r="F1683">
        <v>23</v>
      </c>
      <c r="G1683" t="s">
        <v>21</v>
      </c>
      <c r="H1683" t="s">
        <v>21</v>
      </c>
      <c r="I1683" t="s">
        <v>20</v>
      </c>
      <c r="J1683" t="s">
        <v>20</v>
      </c>
      <c r="K1683" s="1">
        <v>46099</v>
      </c>
      <c r="L1683" s="1" t="str">
        <f>IF(K1683&gt;O1683,"Valid","Invalid")</f>
        <v>Valid</v>
      </c>
      <c r="M1683" s="1" t="b">
        <f>ISNUMBER(K1683)</f>
        <v>1</v>
      </c>
      <c r="N1683" s="1" t="b">
        <f>ISNUMBER(O1683)</f>
        <v>1</v>
      </c>
      <c r="O1683" s="1">
        <v>46094</v>
      </c>
      <c r="P1683" t="s">
        <v>898</v>
      </c>
      <c r="Q1683" t="str">
        <f>SUBSTITUTE(SUBSTITUTE(SUBSTITUTE(P1683," ",""),"-",""),"+","")</f>
        <v>919356153258</v>
      </c>
      <c r="R1683" t="str">
        <f t="shared" si="52"/>
        <v>9356153258</v>
      </c>
      <c r="S1683" t="str">
        <f>IF(LEN(R1683),"Valid","Invalid")</f>
        <v>Valid</v>
      </c>
      <c r="T1683" t="s">
        <v>897</v>
      </c>
      <c r="V1683" t="s">
        <v>17</v>
      </c>
      <c r="X1683">
        <v>7501.91</v>
      </c>
      <c r="Y1683" t="s">
        <v>26</v>
      </c>
      <c r="Z1683">
        <v>497</v>
      </c>
      <c r="AA1683">
        <f t="shared" si="53"/>
        <v>497</v>
      </c>
      <c r="AB1683" t="s">
        <v>16</v>
      </c>
    </row>
    <row r="1684" spans="1:28" x14ac:dyDescent="0.3">
      <c r="A1684" t="s">
        <v>896</v>
      </c>
      <c r="B1684" t="s">
        <v>895</v>
      </c>
      <c r="C1684" t="s">
        <v>895</v>
      </c>
      <c r="D1684" t="s">
        <v>123</v>
      </c>
      <c r="E1684">
        <v>73</v>
      </c>
      <c r="F1684">
        <v>73</v>
      </c>
      <c r="G1684" t="s">
        <v>47</v>
      </c>
      <c r="H1684" t="s">
        <v>47</v>
      </c>
      <c r="I1684" t="s">
        <v>90</v>
      </c>
      <c r="J1684" t="s">
        <v>67</v>
      </c>
      <c r="K1684" s="1">
        <v>46112</v>
      </c>
      <c r="L1684" s="1" t="str">
        <f>IF(K1684&gt;O1684,"Valid","Invalid")</f>
        <v>Valid</v>
      </c>
      <c r="M1684" s="1" t="b">
        <f>ISNUMBER(K1684)</f>
        <v>1</v>
      </c>
      <c r="N1684" s="1" t="b">
        <f>ISNUMBER(O1684)</f>
        <v>1</v>
      </c>
      <c r="O1684" s="1">
        <v>46093</v>
      </c>
      <c r="P1684" t="s">
        <v>894</v>
      </c>
      <c r="Q1684" t="str">
        <f>SUBSTITUTE(SUBSTITUTE(SUBSTITUTE(P1684," ",""),"-",""),"+","")</f>
        <v>911568334317</v>
      </c>
      <c r="R1684" t="str">
        <f t="shared" si="52"/>
        <v>1568334317</v>
      </c>
      <c r="S1684" t="str">
        <f>IF(LEN(R1684),"Valid","Invalid")</f>
        <v>Valid</v>
      </c>
      <c r="T1684" t="s">
        <v>893</v>
      </c>
      <c r="V1684" t="s">
        <v>27</v>
      </c>
      <c r="X1684">
        <v>24752.560000000001</v>
      </c>
      <c r="Y1684" t="s">
        <v>123</v>
      </c>
      <c r="Z1684">
        <v>179</v>
      </c>
      <c r="AA1684">
        <f t="shared" si="53"/>
        <v>179</v>
      </c>
      <c r="AB1684" t="s">
        <v>16</v>
      </c>
    </row>
    <row r="1685" spans="1:28" x14ac:dyDescent="0.3">
      <c r="A1685" t="s">
        <v>892</v>
      </c>
      <c r="B1685" t="s">
        <v>891</v>
      </c>
      <c r="C1685" t="s">
        <v>891</v>
      </c>
      <c r="D1685" t="s">
        <v>74</v>
      </c>
      <c r="E1685">
        <v>59</v>
      </c>
      <c r="F1685">
        <v>59</v>
      </c>
      <c r="G1685" t="s">
        <v>54</v>
      </c>
      <c r="H1685" t="s">
        <v>54</v>
      </c>
      <c r="I1685" t="s">
        <v>46</v>
      </c>
      <c r="J1685" t="s">
        <v>46</v>
      </c>
      <c r="K1685" s="1">
        <v>46082</v>
      </c>
      <c r="L1685" s="1" t="str">
        <f>IF(K1685&gt;O1685,"Valid","Invalid")</f>
        <v>Valid</v>
      </c>
      <c r="M1685" s="1" t="b">
        <f>ISNUMBER(K1685)</f>
        <v>1</v>
      </c>
      <c r="N1685" s="1" t="b">
        <f>ISNUMBER(O1685)</f>
        <v>1</v>
      </c>
      <c r="O1685" s="1">
        <v>46062</v>
      </c>
      <c r="P1685" t="s">
        <v>890</v>
      </c>
      <c r="Q1685" t="str">
        <f>SUBSTITUTE(SUBSTITUTE(SUBSTITUTE(P1685," ",""),"-",""),"+","")</f>
        <v>00232175642</v>
      </c>
      <c r="R1685" t="str">
        <f t="shared" si="52"/>
        <v>0232175642</v>
      </c>
      <c r="S1685" t="str">
        <f>IF(LEN(R1685),"Valid","Invalid")</f>
        <v>Valid</v>
      </c>
      <c r="T1685" t="s">
        <v>889</v>
      </c>
      <c r="V1685" t="s">
        <v>123</v>
      </c>
      <c r="X1685">
        <v>4513.08</v>
      </c>
      <c r="Y1685" t="s">
        <v>57</v>
      </c>
      <c r="Z1685">
        <v>258</v>
      </c>
      <c r="AA1685">
        <f t="shared" si="53"/>
        <v>258</v>
      </c>
      <c r="AB1685" t="s">
        <v>34</v>
      </c>
    </row>
    <row r="1686" spans="1:28" x14ac:dyDescent="0.3">
      <c r="A1686" t="s">
        <v>888</v>
      </c>
      <c r="B1686" t="s">
        <v>887</v>
      </c>
      <c r="C1686" t="s">
        <v>887</v>
      </c>
      <c r="D1686" t="s">
        <v>1</v>
      </c>
      <c r="E1686">
        <v>67</v>
      </c>
      <c r="F1686">
        <v>67</v>
      </c>
      <c r="G1686" t="s">
        <v>21</v>
      </c>
      <c r="H1686" t="s">
        <v>21</v>
      </c>
      <c r="I1686" t="s">
        <v>67</v>
      </c>
      <c r="J1686" t="s">
        <v>67</v>
      </c>
      <c r="K1686" s="1">
        <v>46117</v>
      </c>
      <c r="L1686" s="1" t="str">
        <f>IF(K1686&gt;O1686,"Valid","Invalid")</f>
        <v>Valid</v>
      </c>
      <c r="M1686" s="1" t="b">
        <f>ISNUMBER(K1686)</f>
        <v>1</v>
      </c>
      <c r="N1686" s="1" t="b">
        <f>ISNUMBER(O1686)</f>
        <v>1</v>
      </c>
      <c r="O1686" s="1">
        <v>46096</v>
      </c>
      <c r="P1686" t="s">
        <v>886</v>
      </c>
      <c r="Q1686" t="str">
        <f>SUBSTITUTE(SUBSTITUTE(SUBSTITUTE(P1686," ",""),"-",""),"+","")</f>
        <v>910749956744</v>
      </c>
      <c r="R1686" t="str">
        <f t="shared" si="52"/>
        <v>0749956744</v>
      </c>
      <c r="S1686" t="str">
        <f>IF(LEN(R1686),"Valid","Invalid")</f>
        <v>Valid</v>
      </c>
      <c r="T1686" t="s">
        <v>885</v>
      </c>
      <c r="V1686" t="s">
        <v>57</v>
      </c>
      <c r="X1686">
        <v>16324.7</v>
      </c>
      <c r="Y1686" t="s">
        <v>26</v>
      </c>
      <c r="Z1686">
        <v>436</v>
      </c>
      <c r="AA1686">
        <f t="shared" si="53"/>
        <v>436</v>
      </c>
      <c r="AB1686" t="s">
        <v>34</v>
      </c>
    </row>
    <row r="1687" spans="1:28" x14ac:dyDescent="0.3">
      <c r="A1687" t="s">
        <v>884</v>
      </c>
      <c r="B1687" t="s">
        <v>883</v>
      </c>
      <c r="C1687" t="s">
        <v>883</v>
      </c>
      <c r="D1687" t="s">
        <v>40</v>
      </c>
      <c r="E1687">
        <v>37</v>
      </c>
      <c r="F1687">
        <v>37</v>
      </c>
      <c r="G1687" t="s">
        <v>47</v>
      </c>
      <c r="H1687" t="s">
        <v>47</v>
      </c>
      <c r="I1687" t="s">
        <v>67</v>
      </c>
      <c r="J1687" t="s">
        <v>67</v>
      </c>
      <c r="K1687" s="1">
        <v>46014</v>
      </c>
      <c r="L1687" s="1" t="str">
        <f>IF(K1687&gt;O1687,"Valid","Invalid")</f>
        <v>Valid</v>
      </c>
      <c r="M1687" s="1" t="b">
        <f>ISNUMBER(K1687)</f>
        <v>1</v>
      </c>
      <c r="N1687" s="1" t="b">
        <f>ISNUMBER(O1687)</f>
        <v>1</v>
      </c>
      <c r="O1687" s="1">
        <v>45984</v>
      </c>
      <c r="P1687" t="s">
        <v>882</v>
      </c>
      <c r="Q1687" t="str">
        <f>SUBSTITUTE(SUBSTITUTE(SUBSTITUTE(P1687," ",""),"-",""),"+","")</f>
        <v>05016373527</v>
      </c>
      <c r="R1687" t="str">
        <f t="shared" si="52"/>
        <v>5016373527</v>
      </c>
      <c r="S1687" t="str">
        <f>IF(LEN(R1687),"Valid","Invalid")</f>
        <v>Valid</v>
      </c>
      <c r="T1687" t="s">
        <v>881</v>
      </c>
      <c r="V1687" t="s">
        <v>123</v>
      </c>
      <c r="X1687">
        <v>22204.61</v>
      </c>
      <c r="Y1687" t="s">
        <v>64</v>
      </c>
      <c r="Z1687">
        <v>172</v>
      </c>
      <c r="AA1687">
        <f t="shared" si="53"/>
        <v>172</v>
      </c>
      <c r="AB1687" t="s">
        <v>25</v>
      </c>
    </row>
    <row r="1688" spans="1:28" x14ac:dyDescent="0.3">
      <c r="A1688" t="s">
        <v>880</v>
      </c>
      <c r="B1688" t="s">
        <v>879</v>
      </c>
      <c r="C1688" t="s">
        <v>879</v>
      </c>
      <c r="D1688" t="s">
        <v>123</v>
      </c>
      <c r="E1688">
        <v>44</v>
      </c>
      <c r="F1688">
        <v>44</v>
      </c>
      <c r="G1688" t="s">
        <v>47</v>
      </c>
      <c r="H1688" t="s">
        <v>47</v>
      </c>
      <c r="I1688" t="s">
        <v>53</v>
      </c>
      <c r="J1688" t="s">
        <v>20</v>
      </c>
      <c r="K1688" s="1">
        <v>46014</v>
      </c>
      <c r="L1688" s="1" t="str">
        <f>IF(K1688&gt;O1688,"Valid","Invalid")</f>
        <v>Valid</v>
      </c>
      <c r="M1688" s="1" t="b">
        <f>ISNUMBER(K1688)</f>
        <v>1</v>
      </c>
      <c r="N1688" s="1" t="b">
        <f>ISNUMBER(O1688)</f>
        <v>1</v>
      </c>
      <c r="O1688" s="1">
        <v>46002</v>
      </c>
      <c r="P1688" t="s">
        <v>878</v>
      </c>
      <c r="Q1688" t="str">
        <f>SUBSTITUTE(SUBSTITUTE(SUBSTITUTE(P1688," ",""),"-",""),"+","")</f>
        <v>918121179854</v>
      </c>
      <c r="R1688" t="str">
        <f t="shared" si="52"/>
        <v>8121179854</v>
      </c>
      <c r="S1688" t="str">
        <f>IF(LEN(R1688),"Valid","Invalid")</f>
        <v>Valid</v>
      </c>
      <c r="T1688" t="s">
        <v>877</v>
      </c>
      <c r="V1688" t="s">
        <v>57</v>
      </c>
      <c r="X1688">
        <v>13703.61</v>
      </c>
      <c r="Y1688" t="s">
        <v>26</v>
      </c>
      <c r="Z1688">
        <v>322</v>
      </c>
      <c r="AA1688">
        <f t="shared" si="53"/>
        <v>322</v>
      </c>
      <c r="AB1688" t="s">
        <v>25</v>
      </c>
    </row>
    <row r="1689" spans="1:28" x14ac:dyDescent="0.3">
      <c r="A1689" t="s">
        <v>876</v>
      </c>
      <c r="B1689" t="s">
        <v>875</v>
      </c>
      <c r="C1689" t="s">
        <v>875</v>
      </c>
      <c r="D1689" t="s">
        <v>22</v>
      </c>
      <c r="E1689">
        <v>12</v>
      </c>
      <c r="F1689">
        <v>12</v>
      </c>
      <c r="G1689" t="s">
        <v>54</v>
      </c>
      <c r="H1689" t="s">
        <v>54</v>
      </c>
      <c r="I1689" t="s">
        <v>90</v>
      </c>
      <c r="J1689" t="s">
        <v>67</v>
      </c>
      <c r="K1689" s="1">
        <v>46065</v>
      </c>
      <c r="L1689" s="1" t="str">
        <f>IF(K1689&gt;O1689,"Valid","Invalid")</f>
        <v>Valid</v>
      </c>
      <c r="M1689" s="1" t="b">
        <f>ISNUMBER(K1689)</f>
        <v>1</v>
      </c>
      <c r="N1689" s="1" t="b">
        <f>ISNUMBER(O1689)</f>
        <v>1</v>
      </c>
      <c r="O1689" s="1">
        <v>46054</v>
      </c>
      <c r="P1689" t="s">
        <v>874</v>
      </c>
      <c r="Q1689" t="str">
        <f>SUBSTITUTE(SUBSTITUTE(SUBSTITUTE(P1689," ",""),"-",""),"+","")</f>
        <v>910914809599</v>
      </c>
      <c r="R1689" t="str">
        <f t="shared" si="52"/>
        <v>0914809599</v>
      </c>
      <c r="S1689" t="str">
        <f>IF(LEN(R1689),"Valid","Invalid")</f>
        <v>Valid</v>
      </c>
      <c r="T1689" t="s">
        <v>873</v>
      </c>
      <c r="V1689" t="s">
        <v>123</v>
      </c>
      <c r="X1689">
        <v>15832.75</v>
      </c>
      <c r="Y1689" t="s">
        <v>57</v>
      </c>
      <c r="Z1689">
        <v>107</v>
      </c>
      <c r="AA1689">
        <f t="shared" si="53"/>
        <v>107</v>
      </c>
      <c r="AB1689" t="s">
        <v>34</v>
      </c>
    </row>
    <row r="1690" spans="1:28" x14ac:dyDescent="0.3">
      <c r="A1690" t="s">
        <v>872</v>
      </c>
      <c r="B1690" t="s">
        <v>871</v>
      </c>
      <c r="C1690" t="s">
        <v>871</v>
      </c>
      <c r="E1690">
        <v>55</v>
      </c>
      <c r="F1690">
        <v>55</v>
      </c>
      <c r="G1690" t="s">
        <v>80</v>
      </c>
      <c r="H1690" t="s">
        <v>80</v>
      </c>
      <c r="I1690" t="s">
        <v>53</v>
      </c>
      <c r="J1690" t="s">
        <v>20</v>
      </c>
      <c r="K1690" s="1">
        <v>46148</v>
      </c>
      <c r="L1690" s="1" t="str">
        <f>IF(K1690&gt;O1690,"Valid","Invalid")</f>
        <v>Valid</v>
      </c>
      <c r="M1690" s="1" t="b">
        <f>ISNUMBER(K1690)</f>
        <v>1</v>
      </c>
      <c r="N1690" s="1" t="b">
        <f>ISNUMBER(O1690)</f>
        <v>1</v>
      </c>
      <c r="O1690" s="1">
        <v>46124</v>
      </c>
      <c r="P1690" t="s">
        <v>870</v>
      </c>
      <c r="Q1690" t="str">
        <f>SUBSTITUTE(SUBSTITUTE(SUBSTITUTE(P1690," ",""),"-",""),"+","")</f>
        <v>05725712749</v>
      </c>
      <c r="R1690" t="str">
        <f t="shared" si="52"/>
        <v>5725712749</v>
      </c>
      <c r="S1690" t="str">
        <f>IF(LEN(R1690),"Valid","Invalid")</f>
        <v>Valid</v>
      </c>
      <c r="T1690" t="s">
        <v>869</v>
      </c>
      <c r="V1690" t="s">
        <v>17</v>
      </c>
      <c r="X1690">
        <v>20219.37</v>
      </c>
      <c r="Y1690" t="s">
        <v>17</v>
      </c>
      <c r="Z1690">
        <v>392</v>
      </c>
      <c r="AA1690">
        <f t="shared" si="53"/>
        <v>392</v>
      </c>
      <c r="AB1690" t="s">
        <v>43</v>
      </c>
    </row>
    <row r="1691" spans="1:28" x14ac:dyDescent="0.3">
      <c r="A1691" t="s">
        <v>868</v>
      </c>
      <c r="B1691" t="s">
        <v>867</v>
      </c>
      <c r="C1691" t="s">
        <v>867</v>
      </c>
      <c r="D1691" t="s">
        <v>74</v>
      </c>
      <c r="E1691">
        <v>33</v>
      </c>
      <c r="F1691">
        <v>33</v>
      </c>
      <c r="G1691" t="s">
        <v>21</v>
      </c>
      <c r="H1691" t="s">
        <v>21</v>
      </c>
      <c r="I1691" t="s">
        <v>30</v>
      </c>
      <c r="J1691" t="s">
        <v>30</v>
      </c>
      <c r="K1691" s="1">
        <v>46033</v>
      </c>
      <c r="L1691" s="1" t="str">
        <f>IF(K1691&gt;O1691,"Valid","Invalid")</f>
        <v>Valid</v>
      </c>
      <c r="M1691" s="1" t="b">
        <f>ISNUMBER(K1691)</f>
        <v>1</v>
      </c>
      <c r="N1691" s="1" t="b">
        <f>ISNUMBER(O1691)</f>
        <v>1</v>
      </c>
      <c r="O1691" s="1">
        <v>46021</v>
      </c>
      <c r="P1691" t="s">
        <v>866</v>
      </c>
      <c r="Q1691" t="str">
        <f>SUBSTITUTE(SUBSTITUTE(SUBSTITUTE(P1691," ",""),"-",""),"+","")</f>
        <v>01881517601</v>
      </c>
      <c r="R1691" t="str">
        <f t="shared" si="52"/>
        <v>1881517601</v>
      </c>
      <c r="S1691" t="str">
        <f>IF(LEN(R1691),"Valid","Invalid")</f>
        <v>Valid</v>
      </c>
      <c r="T1691" t="s">
        <v>865</v>
      </c>
      <c r="V1691" t="s">
        <v>35</v>
      </c>
      <c r="X1691">
        <v>6166.9</v>
      </c>
      <c r="Y1691" t="s">
        <v>63</v>
      </c>
      <c r="Z1691">
        <v>535</v>
      </c>
      <c r="AA1691">
        <f t="shared" si="53"/>
        <v>535</v>
      </c>
      <c r="AB1691" t="s">
        <v>34</v>
      </c>
    </row>
    <row r="1692" spans="1:28" x14ac:dyDescent="0.3">
      <c r="A1692" t="s">
        <v>864</v>
      </c>
      <c r="B1692" t="s">
        <v>863</v>
      </c>
      <c r="C1692" t="s">
        <v>863</v>
      </c>
      <c r="D1692" t="s">
        <v>22</v>
      </c>
      <c r="E1692">
        <v>81</v>
      </c>
      <c r="F1692">
        <v>81</v>
      </c>
      <c r="G1692" t="s">
        <v>47</v>
      </c>
      <c r="H1692" t="s">
        <v>47</v>
      </c>
      <c r="I1692" t="s">
        <v>46</v>
      </c>
      <c r="J1692" t="s">
        <v>46</v>
      </c>
      <c r="K1692" s="1">
        <v>46163</v>
      </c>
      <c r="L1692" s="1" t="str">
        <f>IF(K1692&gt;O1692,"Valid","Invalid")</f>
        <v>Valid</v>
      </c>
      <c r="M1692" s="1" t="b">
        <f>ISNUMBER(K1692)</f>
        <v>1</v>
      </c>
      <c r="N1692" s="1" t="b">
        <f>ISNUMBER(O1692)</f>
        <v>1</v>
      </c>
      <c r="O1692" s="1">
        <v>46137</v>
      </c>
      <c r="P1692" t="s">
        <v>862</v>
      </c>
      <c r="Q1692" t="str">
        <f>SUBSTITUTE(SUBSTITUTE(SUBSTITUTE(P1692," ",""),"-",""),"+","")</f>
        <v>912680862057</v>
      </c>
      <c r="R1692" t="str">
        <f t="shared" si="52"/>
        <v>2680862057</v>
      </c>
      <c r="S1692" t="str">
        <f>IF(LEN(R1692),"Valid","Invalid")</f>
        <v>Valid</v>
      </c>
      <c r="T1692" t="s">
        <v>861</v>
      </c>
      <c r="V1692" t="s">
        <v>35</v>
      </c>
      <c r="X1692">
        <v>12064.75</v>
      </c>
      <c r="Y1692" t="s">
        <v>57</v>
      </c>
      <c r="Z1692">
        <v>100</v>
      </c>
      <c r="AA1692">
        <f t="shared" si="53"/>
        <v>100</v>
      </c>
      <c r="AB1692" t="s">
        <v>77</v>
      </c>
    </row>
    <row r="1693" spans="1:28" x14ac:dyDescent="0.3">
      <c r="A1693" t="s">
        <v>860</v>
      </c>
      <c r="B1693" t="s">
        <v>859</v>
      </c>
      <c r="C1693" t="s">
        <v>859</v>
      </c>
      <c r="D1693" t="s">
        <v>123</v>
      </c>
      <c r="E1693">
        <v>77</v>
      </c>
      <c r="F1693">
        <v>77</v>
      </c>
      <c r="G1693" t="s">
        <v>54</v>
      </c>
      <c r="H1693" t="s">
        <v>54</v>
      </c>
      <c r="I1693" t="s">
        <v>90</v>
      </c>
      <c r="J1693" t="s">
        <v>67</v>
      </c>
      <c r="K1693" s="1">
        <v>46036</v>
      </c>
      <c r="L1693" s="1" t="str">
        <f>IF(K1693&gt;O1693,"Valid","Invalid")</f>
        <v>Valid</v>
      </c>
      <c r="M1693" s="1" t="b">
        <f>ISNUMBER(K1693)</f>
        <v>1</v>
      </c>
      <c r="N1693" s="1" t="b">
        <f>ISNUMBER(O1693)</f>
        <v>1</v>
      </c>
      <c r="O1693" s="1">
        <v>46034</v>
      </c>
      <c r="P1693" t="s">
        <v>858</v>
      </c>
      <c r="Q1693" t="str">
        <f>SUBSTITUTE(SUBSTITUTE(SUBSTITUTE(P1693," ",""),"-",""),"+","")</f>
        <v>910222541894</v>
      </c>
      <c r="R1693" t="str">
        <f t="shared" si="52"/>
        <v>0222541894</v>
      </c>
      <c r="S1693" t="str">
        <f>IF(LEN(R1693),"Valid","Invalid")</f>
        <v>Valid</v>
      </c>
      <c r="T1693" t="s">
        <v>857</v>
      </c>
      <c r="V1693" t="s">
        <v>27</v>
      </c>
      <c r="X1693">
        <v>3096.24</v>
      </c>
      <c r="Y1693" t="s">
        <v>123</v>
      </c>
      <c r="Z1693">
        <v>357</v>
      </c>
      <c r="AA1693">
        <f t="shared" si="53"/>
        <v>357</v>
      </c>
      <c r="AB1693" t="s">
        <v>71</v>
      </c>
    </row>
    <row r="1694" spans="1:28" x14ac:dyDescent="0.3">
      <c r="A1694" t="s">
        <v>856</v>
      </c>
      <c r="B1694" t="s">
        <v>855</v>
      </c>
      <c r="C1694" t="s">
        <v>855</v>
      </c>
      <c r="D1694" t="s">
        <v>74</v>
      </c>
      <c r="E1694">
        <v>11</v>
      </c>
      <c r="F1694">
        <v>11</v>
      </c>
      <c r="G1694" t="s">
        <v>21</v>
      </c>
      <c r="H1694" t="s">
        <v>21</v>
      </c>
      <c r="I1694" t="s">
        <v>67</v>
      </c>
      <c r="J1694" t="s">
        <v>67</v>
      </c>
      <c r="K1694" s="1">
        <v>46121</v>
      </c>
      <c r="L1694" s="1" t="str">
        <f>IF(K1694&gt;O1694,"Valid","Invalid")</f>
        <v>Valid</v>
      </c>
      <c r="M1694" s="1" t="b">
        <f>ISNUMBER(K1694)</f>
        <v>1</v>
      </c>
      <c r="N1694" s="1" t="b">
        <f>ISNUMBER(O1694)</f>
        <v>1</v>
      </c>
      <c r="O1694" s="1">
        <v>46095</v>
      </c>
      <c r="P1694" t="s">
        <v>854</v>
      </c>
      <c r="Q1694" t="str">
        <f>SUBSTITUTE(SUBSTITUTE(SUBSTITUTE(P1694," ",""),"-",""),"+","")</f>
        <v>08568548402</v>
      </c>
      <c r="R1694" t="str">
        <f t="shared" si="52"/>
        <v>8568548402</v>
      </c>
      <c r="S1694" t="str">
        <f>IF(LEN(R1694),"Valid","Invalid")</f>
        <v>Valid</v>
      </c>
      <c r="T1694" t="s">
        <v>853</v>
      </c>
      <c r="V1694" t="s">
        <v>27</v>
      </c>
      <c r="X1694">
        <v>1388.32</v>
      </c>
      <c r="Y1694" t="s">
        <v>64</v>
      </c>
      <c r="Z1694">
        <v>292</v>
      </c>
      <c r="AA1694">
        <f t="shared" si="53"/>
        <v>292</v>
      </c>
      <c r="AB1694" t="s">
        <v>34</v>
      </c>
    </row>
    <row r="1695" spans="1:28" x14ac:dyDescent="0.3">
      <c r="A1695" t="s">
        <v>852</v>
      </c>
      <c r="B1695" t="s">
        <v>851</v>
      </c>
      <c r="C1695" t="s">
        <v>8074</v>
      </c>
      <c r="D1695" t="s">
        <v>40</v>
      </c>
      <c r="E1695">
        <v>79</v>
      </c>
      <c r="F1695">
        <v>79</v>
      </c>
      <c r="G1695" t="s">
        <v>850</v>
      </c>
      <c r="H1695" t="s">
        <v>850</v>
      </c>
      <c r="I1695" t="s">
        <v>20</v>
      </c>
      <c r="J1695" t="s">
        <v>20</v>
      </c>
      <c r="K1695" s="1">
        <v>46126</v>
      </c>
      <c r="L1695" s="1" t="str">
        <f>IF(K1695&gt;O1695,"Valid","Invalid")</f>
        <v>Valid</v>
      </c>
      <c r="M1695" s="1" t="b">
        <f>ISNUMBER(K1695)</f>
        <v>1</v>
      </c>
      <c r="N1695" s="1" t="b">
        <f>ISNUMBER(O1695)</f>
        <v>1</v>
      </c>
      <c r="O1695" s="1">
        <v>46117</v>
      </c>
      <c r="P1695" t="s">
        <v>849</v>
      </c>
      <c r="Q1695" t="str">
        <f>SUBSTITUTE(SUBSTITUTE(SUBSTITUTE(P1695," ",""),"-",""),"+","")</f>
        <v>03330373440</v>
      </c>
      <c r="R1695" t="str">
        <f t="shared" si="52"/>
        <v>3330373440</v>
      </c>
      <c r="S1695" t="str">
        <f>IF(LEN(R1695),"Valid","Invalid")</f>
        <v>Valid</v>
      </c>
      <c r="T1695" t="s">
        <v>848</v>
      </c>
      <c r="V1695" t="s">
        <v>64</v>
      </c>
      <c r="X1695">
        <v>21474.35</v>
      </c>
      <c r="Y1695" t="s">
        <v>17</v>
      </c>
      <c r="Z1695">
        <v>127</v>
      </c>
      <c r="AA1695">
        <f t="shared" si="53"/>
        <v>127</v>
      </c>
      <c r="AB1695" t="s">
        <v>16</v>
      </c>
    </row>
    <row r="1696" spans="1:28" x14ac:dyDescent="0.3">
      <c r="A1696" t="s">
        <v>847</v>
      </c>
      <c r="B1696" t="s">
        <v>846</v>
      </c>
      <c r="C1696" t="s">
        <v>846</v>
      </c>
      <c r="D1696" t="s">
        <v>123</v>
      </c>
      <c r="E1696">
        <v>23</v>
      </c>
      <c r="F1696">
        <v>23</v>
      </c>
      <c r="G1696" t="s">
        <v>21</v>
      </c>
      <c r="H1696" t="s">
        <v>21</v>
      </c>
      <c r="I1696" t="s">
        <v>85</v>
      </c>
      <c r="J1696" t="s">
        <v>85</v>
      </c>
      <c r="K1696" s="1">
        <v>46015</v>
      </c>
      <c r="L1696" s="1" t="str">
        <f>IF(K1696&gt;O1696,"Valid","Invalid")</f>
        <v>Valid</v>
      </c>
      <c r="M1696" s="1" t="b">
        <f>ISNUMBER(K1696)</f>
        <v>1</v>
      </c>
      <c r="N1696" s="1" t="b">
        <f>ISNUMBER(O1696)</f>
        <v>1</v>
      </c>
      <c r="O1696" s="1">
        <v>45995</v>
      </c>
      <c r="P1696" t="s">
        <v>845</v>
      </c>
      <c r="Q1696" t="str">
        <f>SUBSTITUTE(SUBSTITUTE(SUBSTITUTE(P1696," ",""),"-",""),"+","")</f>
        <v>6703099421</v>
      </c>
      <c r="R1696" t="str">
        <f t="shared" si="52"/>
        <v>6703099421</v>
      </c>
      <c r="S1696" t="str">
        <f>IF(LEN(R1696),"Valid","Invalid")</f>
        <v>Valid</v>
      </c>
      <c r="T1696" t="s">
        <v>844</v>
      </c>
      <c r="V1696" t="s">
        <v>123</v>
      </c>
      <c r="X1696">
        <v>15749.05</v>
      </c>
      <c r="Y1696" t="s">
        <v>27</v>
      </c>
      <c r="Z1696">
        <v>473</v>
      </c>
      <c r="AA1696">
        <f t="shared" si="53"/>
        <v>473</v>
      </c>
      <c r="AB1696" t="s">
        <v>43</v>
      </c>
    </row>
    <row r="1697" spans="1:28" x14ac:dyDescent="0.3">
      <c r="A1697" t="s">
        <v>839</v>
      </c>
      <c r="B1697" t="s">
        <v>838</v>
      </c>
      <c r="C1697" t="s">
        <v>838</v>
      </c>
      <c r="D1697" t="s">
        <v>40</v>
      </c>
      <c r="E1697">
        <v>58</v>
      </c>
      <c r="F1697">
        <v>58</v>
      </c>
      <c r="G1697" t="s">
        <v>39</v>
      </c>
      <c r="H1697" t="s">
        <v>39</v>
      </c>
      <c r="I1697" t="s">
        <v>90</v>
      </c>
      <c r="J1697" t="s">
        <v>67</v>
      </c>
      <c r="K1697" s="1">
        <v>46030</v>
      </c>
      <c r="L1697" s="1" t="str">
        <f>IF(K1697&gt;O1697,"Valid","Invalid")</f>
        <v>Valid</v>
      </c>
      <c r="M1697" s="1" t="b">
        <f>ISNUMBER(K1697)</f>
        <v>1</v>
      </c>
      <c r="N1697" s="1" t="b">
        <f>ISNUMBER(O1697)</f>
        <v>1</v>
      </c>
      <c r="O1697" s="1">
        <v>46006</v>
      </c>
      <c r="P1697" t="s">
        <v>837</v>
      </c>
      <c r="Q1697" t="str">
        <f>SUBSTITUTE(SUBSTITUTE(SUBSTITUTE(P1697," ",""),"-",""),"+","")</f>
        <v>911678021464</v>
      </c>
      <c r="R1697" t="str">
        <f t="shared" si="52"/>
        <v>1678021464</v>
      </c>
      <c r="S1697" t="str">
        <f>IF(LEN(R1697),"Valid","Invalid")</f>
        <v>Valid</v>
      </c>
      <c r="T1697" t="s">
        <v>836</v>
      </c>
      <c r="V1697" t="s">
        <v>123</v>
      </c>
      <c r="X1697">
        <v>16850.560000000001</v>
      </c>
      <c r="Y1697" t="s">
        <v>26</v>
      </c>
      <c r="Z1697">
        <v>276</v>
      </c>
      <c r="AA1697">
        <f t="shared" si="53"/>
        <v>276</v>
      </c>
      <c r="AB1697" t="s">
        <v>77</v>
      </c>
    </row>
    <row r="1698" spans="1:28" x14ac:dyDescent="0.3">
      <c r="A1698" t="s">
        <v>835</v>
      </c>
      <c r="B1698" t="s">
        <v>834</v>
      </c>
      <c r="C1698" t="s">
        <v>834</v>
      </c>
      <c r="D1698" t="s">
        <v>74</v>
      </c>
      <c r="E1698">
        <v>63</v>
      </c>
      <c r="F1698">
        <v>63</v>
      </c>
      <c r="G1698" t="s">
        <v>68</v>
      </c>
      <c r="H1698" t="s">
        <v>68</v>
      </c>
      <c r="I1698" t="s">
        <v>90</v>
      </c>
      <c r="J1698" t="s">
        <v>67</v>
      </c>
      <c r="K1698" s="1">
        <v>46068</v>
      </c>
      <c r="L1698" s="1" t="str">
        <f>IF(K1698&gt;O1698,"Valid","Invalid")</f>
        <v>Valid</v>
      </c>
      <c r="M1698" s="1" t="b">
        <f>ISNUMBER(K1698)</f>
        <v>1</v>
      </c>
      <c r="N1698" s="1" t="b">
        <f>ISNUMBER(O1698)</f>
        <v>1</v>
      </c>
      <c r="O1698" s="1">
        <v>46039</v>
      </c>
      <c r="P1698" t="s">
        <v>833</v>
      </c>
      <c r="Q1698" t="str">
        <f>SUBSTITUTE(SUBSTITUTE(SUBSTITUTE(P1698," ",""),"-",""),"+","")</f>
        <v>03231981487</v>
      </c>
      <c r="R1698" t="str">
        <f t="shared" si="52"/>
        <v>3231981487</v>
      </c>
      <c r="S1698" t="str">
        <f>IF(LEN(R1698),"Valid","Invalid")</f>
        <v>Valid</v>
      </c>
      <c r="T1698" t="s">
        <v>832</v>
      </c>
      <c r="V1698" t="s">
        <v>27</v>
      </c>
      <c r="X1698">
        <v>24553.16</v>
      </c>
      <c r="Y1698" t="s">
        <v>64</v>
      </c>
      <c r="Z1698">
        <v>493</v>
      </c>
      <c r="AA1698">
        <f t="shared" si="53"/>
        <v>493</v>
      </c>
      <c r="AB1698" t="s">
        <v>50</v>
      </c>
    </row>
    <row r="1699" spans="1:28" x14ac:dyDescent="0.3">
      <c r="A1699" t="s">
        <v>831</v>
      </c>
      <c r="B1699" t="s">
        <v>830</v>
      </c>
      <c r="C1699" t="s">
        <v>830</v>
      </c>
      <c r="D1699" t="s">
        <v>22</v>
      </c>
      <c r="E1699">
        <v>3</v>
      </c>
      <c r="F1699">
        <v>3</v>
      </c>
      <c r="G1699" t="s">
        <v>54</v>
      </c>
      <c r="H1699" t="s">
        <v>54</v>
      </c>
      <c r="I1699" t="s">
        <v>30</v>
      </c>
      <c r="J1699" t="s">
        <v>30</v>
      </c>
      <c r="K1699" s="1">
        <v>45992</v>
      </c>
      <c r="L1699" s="1" t="str">
        <f>IF(K1699&gt;O1699,"Valid","Invalid")</f>
        <v>Valid</v>
      </c>
      <c r="M1699" s="1" t="b">
        <f>ISNUMBER(K1699)</f>
        <v>1</v>
      </c>
      <c r="N1699" s="1" t="b">
        <f>ISNUMBER(O1699)</f>
        <v>1</v>
      </c>
      <c r="O1699" s="1">
        <v>45990</v>
      </c>
      <c r="P1699" t="s">
        <v>829</v>
      </c>
      <c r="Q1699" t="str">
        <f>SUBSTITUTE(SUBSTITUTE(SUBSTITUTE(P1699," ",""),"-",""),"+","")</f>
        <v>5508354379</v>
      </c>
      <c r="R1699" t="str">
        <f t="shared" si="52"/>
        <v>5508354379</v>
      </c>
      <c r="S1699" t="str">
        <f>IF(LEN(R1699),"Valid","Invalid")</f>
        <v>Valid</v>
      </c>
      <c r="T1699" t="s">
        <v>828</v>
      </c>
      <c r="V1699" t="s">
        <v>17</v>
      </c>
      <c r="X1699">
        <v>5121.29</v>
      </c>
      <c r="Y1699" t="s">
        <v>123</v>
      </c>
      <c r="Z1699">
        <v>218</v>
      </c>
      <c r="AA1699">
        <f t="shared" si="53"/>
        <v>218</v>
      </c>
      <c r="AB1699" t="s">
        <v>77</v>
      </c>
    </row>
    <row r="1700" spans="1:28" x14ac:dyDescent="0.3">
      <c r="A1700" t="s">
        <v>827</v>
      </c>
      <c r="B1700" t="s">
        <v>826</v>
      </c>
      <c r="C1700" t="s">
        <v>826</v>
      </c>
      <c r="D1700" t="s">
        <v>0</v>
      </c>
      <c r="E1700">
        <v>41</v>
      </c>
      <c r="F1700">
        <v>41</v>
      </c>
      <c r="G1700" t="s">
        <v>31</v>
      </c>
      <c r="H1700" t="s">
        <v>31</v>
      </c>
      <c r="I1700" t="s">
        <v>53</v>
      </c>
      <c r="J1700" t="s">
        <v>20</v>
      </c>
      <c r="K1700" s="1">
        <v>46029</v>
      </c>
      <c r="L1700" s="1" t="str">
        <f>IF(K1700&gt;O1700,"Valid","Invalid")</f>
        <v>Valid</v>
      </c>
      <c r="M1700" s="1" t="b">
        <f>ISNUMBER(K1700)</f>
        <v>1</v>
      </c>
      <c r="N1700" s="1" t="b">
        <f>ISNUMBER(O1700)</f>
        <v>1</v>
      </c>
      <c r="O1700" s="1">
        <v>46023</v>
      </c>
      <c r="P1700" t="s">
        <v>825</v>
      </c>
      <c r="Q1700" t="str">
        <f>SUBSTITUTE(SUBSTITUTE(SUBSTITUTE(P1700," ",""),"-",""),"+","")</f>
        <v>08979655633</v>
      </c>
      <c r="R1700" t="str">
        <f t="shared" si="52"/>
        <v>8979655633</v>
      </c>
      <c r="S1700" t="str">
        <f>IF(LEN(R1700),"Valid","Invalid")</f>
        <v>Valid</v>
      </c>
      <c r="T1700" t="s">
        <v>824</v>
      </c>
      <c r="V1700" t="s">
        <v>57</v>
      </c>
      <c r="X1700">
        <v>22912.32</v>
      </c>
      <c r="Y1700" t="s">
        <v>123</v>
      </c>
      <c r="Z1700">
        <v>155</v>
      </c>
      <c r="AA1700">
        <f t="shared" si="53"/>
        <v>155</v>
      </c>
      <c r="AB1700" t="s">
        <v>16</v>
      </c>
    </row>
    <row r="1701" spans="1:28" x14ac:dyDescent="0.3">
      <c r="A1701" t="s">
        <v>823</v>
      </c>
      <c r="B1701" t="s">
        <v>822</v>
      </c>
      <c r="C1701" t="s">
        <v>822</v>
      </c>
      <c r="D1701" t="s">
        <v>74</v>
      </c>
      <c r="E1701">
        <v>60</v>
      </c>
      <c r="F1701">
        <v>60</v>
      </c>
      <c r="G1701" t="s">
        <v>47</v>
      </c>
      <c r="H1701" t="s">
        <v>47</v>
      </c>
      <c r="I1701" t="s">
        <v>38</v>
      </c>
      <c r="J1701" t="s">
        <v>8077</v>
      </c>
      <c r="K1701" s="1">
        <v>46124</v>
      </c>
      <c r="L1701" s="1" t="str">
        <f>IF(K1701&gt;O1701,"Valid","Invalid")</f>
        <v>Valid</v>
      </c>
      <c r="M1701" s="1" t="b">
        <f>ISNUMBER(K1701)</f>
        <v>1</v>
      </c>
      <c r="N1701" s="1" t="b">
        <f>ISNUMBER(O1701)</f>
        <v>1</v>
      </c>
      <c r="O1701" s="1">
        <v>46097</v>
      </c>
      <c r="P1701" t="s">
        <v>821</v>
      </c>
      <c r="Q1701" t="str">
        <f>SUBSTITUTE(SUBSTITUTE(SUBSTITUTE(P1701," ",""),"-",""),"+","")</f>
        <v>02807775232</v>
      </c>
      <c r="R1701" t="str">
        <f t="shared" si="52"/>
        <v>2807775232</v>
      </c>
      <c r="S1701" t="str">
        <f>IF(LEN(R1701),"Valid","Invalid")</f>
        <v>Valid</v>
      </c>
      <c r="T1701" t="s">
        <v>820</v>
      </c>
      <c r="V1701" t="s">
        <v>35</v>
      </c>
      <c r="X1701">
        <v>17015.21</v>
      </c>
      <c r="Y1701" t="s">
        <v>64</v>
      </c>
      <c r="Z1701">
        <v>408</v>
      </c>
      <c r="AA1701">
        <f t="shared" si="53"/>
        <v>408</v>
      </c>
      <c r="AB1701" t="s">
        <v>71</v>
      </c>
    </row>
    <row r="1702" spans="1:28" x14ac:dyDescent="0.3">
      <c r="A1702" t="s">
        <v>819</v>
      </c>
      <c r="B1702" t="s">
        <v>818</v>
      </c>
      <c r="C1702" t="s">
        <v>818</v>
      </c>
      <c r="D1702" t="s">
        <v>40</v>
      </c>
      <c r="E1702">
        <v>49</v>
      </c>
      <c r="F1702">
        <v>49</v>
      </c>
      <c r="G1702" t="s">
        <v>80</v>
      </c>
      <c r="H1702" t="s">
        <v>80</v>
      </c>
      <c r="I1702" t="s">
        <v>38</v>
      </c>
      <c r="J1702" t="s">
        <v>8077</v>
      </c>
      <c r="K1702" s="1">
        <v>46126</v>
      </c>
      <c r="L1702" s="1" t="str">
        <f>IF(K1702&gt;O1702,"Valid","Invalid")</f>
        <v>Valid</v>
      </c>
      <c r="M1702" s="1" t="b">
        <f>ISNUMBER(K1702)</f>
        <v>1</v>
      </c>
      <c r="N1702" s="1" t="b">
        <f>ISNUMBER(O1702)</f>
        <v>1</v>
      </c>
      <c r="O1702" s="1">
        <v>46102</v>
      </c>
      <c r="P1702" t="s">
        <v>817</v>
      </c>
      <c r="Q1702" t="str">
        <f>SUBSTITUTE(SUBSTITUTE(SUBSTITUTE(P1702," ",""),"-",""),"+","")</f>
        <v>918519870939</v>
      </c>
      <c r="R1702" t="str">
        <f t="shared" si="52"/>
        <v>8519870939</v>
      </c>
      <c r="S1702" t="str">
        <f>IF(LEN(R1702),"Valid","Invalid")</f>
        <v>Valid</v>
      </c>
      <c r="T1702" t="s">
        <v>816</v>
      </c>
      <c r="V1702" t="s">
        <v>123</v>
      </c>
      <c r="X1702">
        <v>6101.73</v>
      </c>
      <c r="Y1702" t="s">
        <v>17</v>
      </c>
      <c r="Z1702">
        <v>167</v>
      </c>
      <c r="AA1702">
        <f t="shared" si="53"/>
        <v>167</v>
      </c>
      <c r="AB1702" t="s">
        <v>16</v>
      </c>
    </row>
    <row r="1703" spans="1:28" x14ac:dyDescent="0.3">
      <c r="A1703" t="s">
        <v>815</v>
      </c>
      <c r="B1703" t="s">
        <v>814</v>
      </c>
      <c r="C1703" t="s">
        <v>814</v>
      </c>
      <c r="E1703">
        <v>70</v>
      </c>
      <c r="F1703">
        <v>70</v>
      </c>
      <c r="G1703" t="s">
        <v>31</v>
      </c>
      <c r="H1703" t="s">
        <v>31</v>
      </c>
      <c r="I1703" t="s">
        <v>90</v>
      </c>
      <c r="J1703" t="s">
        <v>67</v>
      </c>
      <c r="K1703" s="1">
        <v>46044</v>
      </c>
      <c r="L1703" s="1" t="str">
        <f>IF(K1703&gt;O1703,"Valid","Invalid")</f>
        <v>Valid</v>
      </c>
      <c r="M1703" s="1" t="b">
        <f>ISNUMBER(K1703)</f>
        <v>1</v>
      </c>
      <c r="N1703" s="1" t="b">
        <f>ISNUMBER(O1703)</f>
        <v>1</v>
      </c>
      <c r="O1703" s="1">
        <v>46041</v>
      </c>
      <c r="P1703" t="s">
        <v>813</v>
      </c>
      <c r="Q1703" t="str">
        <f>SUBSTITUTE(SUBSTITUTE(SUBSTITUTE(P1703," ",""),"-",""),"+","")</f>
        <v>910330939665</v>
      </c>
      <c r="R1703" t="str">
        <f t="shared" si="52"/>
        <v>0330939665</v>
      </c>
      <c r="S1703" t="str">
        <f>IF(LEN(R1703),"Valid","Invalid")</f>
        <v>Valid</v>
      </c>
      <c r="T1703" t="s">
        <v>812</v>
      </c>
      <c r="V1703" t="s">
        <v>17</v>
      </c>
      <c r="X1703">
        <v>5612.69</v>
      </c>
      <c r="Y1703" t="s">
        <v>64</v>
      </c>
      <c r="Z1703">
        <v>441</v>
      </c>
      <c r="AA1703">
        <f t="shared" si="53"/>
        <v>441</v>
      </c>
      <c r="AB1703" t="s">
        <v>34</v>
      </c>
    </row>
    <row r="1704" spans="1:28" x14ac:dyDescent="0.3">
      <c r="A1704" t="s">
        <v>811</v>
      </c>
      <c r="B1704" t="s">
        <v>810</v>
      </c>
      <c r="C1704" t="s">
        <v>810</v>
      </c>
      <c r="D1704" t="s">
        <v>22</v>
      </c>
      <c r="E1704">
        <v>40</v>
      </c>
      <c r="F1704">
        <v>40</v>
      </c>
      <c r="G1704" t="s">
        <v>132</v>
      </c>
      <c r="H1704" t="s">
        <v>132</v>
      </c>
      <c r="I1704" t="s">
        <v>46</v>
      </c>
      <c r="J1704" t="s">
        <v>46</v>
      </c>
      <c r="K1704" s="1">
        <v>46023</v>
      </c>
      <c r="L1704" s="1" t="str">
        <f>IF(K1704&gt;O1704,"Valid","Invalid")</f>
        <v>Valid</v>
      </c>
      <c r="M1704" s="1" t="b">
        <f>ISNUMBER(K1704)</f>
        <v>1</v>
      </c>
      <c r="N1704" s="1" t="b">
        <f>ISNUMBER(O1704)</f>
        <v>1</v>
      </c>
      <c r="O1704" s="1">
        <v>46000</v>
      </c>
      <c r="P1704" t="s">
        <v>809</v>
      </c>
      <c r="Q1704" t="str">
        <f>SUBSTITUTE(SUBSTITUTE(SUBSTITUTE(P1704," ",""),"-",""),"+","")</f>
        <v>02856066257</v>
      </c>
      <c r="R1704" t="str">
        <f t="shared" si="52"/>
        <v>2856066257</v>
      </c>
      <c r="S1704" t="str">
        <f>IF(LEN(R1704),"Valid","Invalid")</f>
        <v>Valid</v>
      </c>
      <c r="T1704" t="s">
        <v>808</v>
      </c>
      <c r="V1704" t="s">
        <v>35</v>
      </c>
      <c r="X1704">
        <v>21641.040000000001</v>
      </c>
      <c r="Y1704" t="s">
        <v>17</v>
      </c>
      <c r="Z1704">
        <v>124</v>
      </c>
      <c r="AA1704">
        <f t="shared" si="53"/>
        <v>124</v>
      </c>
      <c r="AB1704" t="s">
        <v>71</v>
      </c>
    </row>
    <row r="1705" spans="1:28" x14ac:dyDescent="0.3">
      <c r="A1705" t="s">
        <v>807</v>
      </c>
      <c r="B1705" t="s">
        <v>806</v>
      </c>
      <c r="C1705" t="s">
        <v>806</v>
      </c>
      <c r="D1705" t="s">
        <v>123</v>
      </c>
      <c r="E1705">
        <v>38</v>
      </c>
      <c r="F1705">
        <v>38</v>
      </c>
      <c r="G1705" t="s">
        <v>47</v>
      </c>
      <c r="H1705" t="s">
        <v>47</v>
      </c>
      <c r="I1705" t="s">
        <v>20</v>
      </c>
      <c r="J1705" t="s">
        <v>20</v>
      </c>
      <c r="K1705" s="1">
        <v>46131</v>
      </c>
      <c r="L1705" s="1" t="str">
        <f>IF(K1705&gt;O1705,"Valid","Invalid")</f>
        <v>Valid</v>
      </c>
      <c r="M1705" s="1" t="b">
        <f>ISNUMBER(K1705)</f>
        <v>1</v>
      </c>
      <c r="N1705" s="1" t="b">
        <f>ISNUMBER(O1705)</f>
        <v>1</v>
      </c>
      <c r="O1705" s="1">
        <v>46118</v>
      </c>
      <c r="P1705" t="s">
        <v>805</v>
      </c>
      <c r="Q1705" t="str">
        <f>SUBSTITUTE(SUBSTITUTE(SUBSTITUTE(P1705," ",""),"-",""),"+","")</f>
        <v>9573995878</v>
      </c>
      <c r="R1705" t="str">
        <f t="shared" si="52"/>
        <v>9573995878</v>
      </c>
      <c r="S1705" t="str">
        <f>IF(LEN(R1705),"Valid","Invalid")</f>
        <v>Valid</v>
      </c>
      <c r="T1705" t="s">
        <v>804</v>
      </c>
      <c r="V1705" t="s">
        <v>26</v>
      </c>
      <c r="X1705">
        <v>7262.06</v>
      </c>
      <c r="Y1705" t="s">
        <v>27</v>
      </c>
      <c r="Z1705">
        <v>221</v>
      </c>
      <c r="AA1705">
        <f t="shared" si="53"/>
        <v>221</v>
      </c>
      <c r="AB1705" t="s">
        <v>16</v>
      </c>
    </row>
    <row r="1706" spans="1:28" x14ac:dyDescent="0.3">
      <c r="A1706" t="s">
        <v>803</v>
      </c>
      <c r="B1706" t="s">
        <v>802</v>
      </c>
      <c r="C1706" t="s">
        <v>802</v>
      </c>
      <c r="D1706" t="s">
        <v>1</v>
      </c>
      <c r="E1706">
        <v>88</v>
      </c>
      <c r="F1706">
        <v>88</v>
      </c>
      <c r="G1706" t="s">
        <v>132</v>
      </c>
      <c r="H1706" t="s">
        <v>132</v>
      </c>
      <c r="I1706" t="s">
        <v>20</v>
      </c>
      <c r="J1706" t="s">
        <v>20</v>
      </c>
      <c r="K1706" s="1">
        <v>46129</v>
      </c>
      <c r="L1706" s="1" t="str">
        <f>IF(K1706&gt;O1706,"Valid","Invalid")</f>
        <v>Valid</v>
      </c>
      <c r="M1706" s="1" t="b">
        <f>ISNUMBER(K1706)</f>
        <v>1</v>
      </c>
      <c r="N1706" s="1" t="b">
        <f>ISNUMBER(O1706)</f>
        <v>1</v>
      </c>
      <c r="O1706" s="1">
        <v>46117</v>
      </c>
      <c r="P1706" t="s">
        <v>801</v>
      </c>
      <c r="Q1706" t="str">
        <f>SUBSTITUTE(SUBSTITUTE(SUBSTITUTE(P1706," ",""),"-",""),"+","")</f>
        <v>913365561483</v>
      </c>
      <c r="R1706" t="str">
        <f t="shared" si="52"/>
        <v>3365561483</v>
      </c>
      <c r="S1706" t="str">
        <f>IF(LEN(R1706),"Valid","Invalid")</f>
        <v>Valid</v>
      </c>
      <c r="T1706" t="s">
        <v>800</v>
      </c>
      <c r="V1706" t="s">
        <v>123</v>
      </c>
      <c r="X1706">
        <v>13447.71</v>
      </c>
      <c r="Y1706" t="s">
        <v>26</v>
      </c>
      <c r="Z1706">
        <v>337</v>
      </c>
      <c r="AA1706">
        <f t="shared" si="53"/>
        <v>337</v>
      </c>
      <c r="AB1706" t="s">
        <v>25</v>
      </c>
    </row>
    <row r="1707" spans="1:28" x14ac:dyDescent="0.3">
      <c r="A1707" t="s">
        <v>799</v>
      </c>
      <c r="B1707" t="s">
        <v>798</v>
      </c>
      <c r="C1707" t="s">
        <v>798</v>
      </c>
      <c r="E1707">
        <v>86</v>
      </c>
      <c r="F1707">
        <v>86</v>
      </c>
      <c r="G1707" t="s">
        <v>39</v>
      </c>
      <c r="H1707" t="s">
        <v>39</v>
      </c>
      <c r="I1707" t="s">
        <v>53</v>
      </c>
      <c r="J1707" t="s">
        <v>20</v>
      </c>
      <c r="K1707" s="1">
        <v>46099</v>
      </c>
      <c r="L1707" s="1" t="str">
        <f>IF(K1707&gt;O1707,"Valid","Invalid")</f>
        <v>Valid</v>
      </c>
      <c r="M1707" s="1" t="b">
        <f>ISNUMBER(K1707)</f>
        <v>1</v>
      </c>
      <c r="N1707" s="1" t="b">
        <f>ISNUMBER(O1707)</f>
        <v>1</v>
      </c>
      <c r="O1707" s="1">
        <v>46097</v>
      </c>
      <c r="P1707" t="s">
        <v>797</v>
      </c>
      <c r="Q1707" t="str">
        <f>SUBSTITUTE(SUBSTITUTE(SUBSTITUTE(P1707," ",""),"-",""),"+","")</f>
        <v>916451589757</v>
      </c>
      <c r="R1707" t="str">
        <f t="shared" si="52"/>
        <v>6451589757</v>
      </c>
      <c r="S1707" t="str">
        <f>IF(LEN(R1707),"Valid","Invalid")</f>
        <v>Valid</v>
      </c>
      <c r="T1707" t="s">
        <v>796</v>
      </c>
      <c r="V1707" t="s">
        <v>27</v>
      </c>
      <c r="X1707">
        <v>20882.150000000001</v>
      </c>
      <c r="Y1707" t="s">
        <v>64</v>
      </c>
      <c r="Z1707">
        <v>549</v>
      </c>
      <c r="AA1707">
        <f t="shared" si="53"/>
        <v>549</v>
      </c>
      <c r="AB1707" t="s">
        <v>16</v>
      </c>
    </row>
    <row r="1708" spans="1:28" x14ac:dyDescent="0.3">
      <c r="A1708" t="s">
        <v>795</v>
      </c>
      <c r="B1708" t="s">
        <v>794</v>
      </c>
      <c r="C1708" t="s">
        <v>794</v>
      </c>
      <c r="D1708" t="s">
        <v>0</v>
      </c>
      <c r="E1708">
        <v>14</v>
      </c>
      <c r="F1708">
        <v>14</v>
      </c>
      <c r="G1708" t="s">
        <v>21</v>
      </c>
      <c r="H1708" t="s">
        <v>21</v>
      </c>
      <c r="I1708" t="s">
        <v>30</v>
      </c>
      <c r="J1708" t="s">
        <v>30</v>
      </c>
      <c r="K1708" s="1">
        <v>46128</v>
      </c>
      <c r="L1708" s="1" t="str">
        <f>IF(K1708&gt;O1708,"Valid","Invalid")</f>
        <v>Valid</v>
      </c>
      <c r="M1708" s="1" t="b">
        <f>ISNUMBER(K1708)</f>
        <v>1</v>
      </c>
      <c r="N1708" s="1" t="b">
        <f>ISNUMBER(O1708)</f>
        <v>1</v>
      </c>
      <c r="O1708" s="1">
        <v>46112</v>
      </c>
      <c r="P1708" t="s">
        <v>793</v>
      </c>
      <c r="Q1708" t="str">
        <f>SUBSTITUTE(SUBSTITUTE(SUBSTITUTE(P1708," ",""),"-",""),"+","")</f>
        <v>03062530459</v>
      </c>
      <c r="R1708" t="str">
        <f t="shared" si="52"/>
        <v>3062530459</v>
      </c>
      <c r="S1708" t="str">
        <f>IF(LEN(R1708),"Valid","Invalid")</f>
        <v>Valid</v>
      </c>
      <c r="T1708" t="s">
        <v>792</v>
      </c>
      <c r="V1708" t="s">
        <v>123</v>
      </c>
      <c r="X1708">
        <v>4456.17</v>
      </c>
      <c r="Y1708" t="s">
        <v>17</v>
      </c>
      <c r="Z1708">
        <v>476</v>
      </c>
      <c r="AA1708">
        <f t="shared" si="53"/>
        <v>476</v>
      </c>
      <c r="AB1708" t="s">
        <v>50</v>
      </c>
    </row>
    <row r="1709" spans="1:28" x14ac:dyDescent="0.3">
      <c r="A1709" t="s">
        <v>791</v>
      </c>
      <c r="B1709" t="s">
        <v>790</v>
      </c>
      <c r="C1709" t="s">
        <v>790</v>
      </c>
      <c r="E1709">
        <v>88</v>
      </c>
      <c r="F1709">
        <v>88</v>
      </c>
      <c r="G1709" t="s">
        <v>68</v>
      </c>
      <c r="H1709" t="s">
        <v>68</v>
      </c>
      <c r="I1709" t="s">
        <v>38</v>
      </c>
      <c r="J1709" t="s">
        <v>8077</v>
      </c>
      <c r="K1709" s="1">
        <v>46005</v>
      </c>
      <c r="L1709" s="1" t="str">
        <f>IF(K1709&gt;O1709,"Valid","Invalid")</f>
        <v>Valid</v>
      </c>
      <c r="M1709" s="1" t="b">
        <f>ISNUMBER(K1709)</f>
        <v>1</v>
      </c>
      <c r="N1709" s="1" t="b">
        <f>ISNUMBER(O1709)</f>
        <v>1</v>
      </c>
      <c r="O1709" s="1">
        <v>45981</v>
      </c>
      <c r="P1709" t="s">
        <v>789</v>
      </c>
      <c r="Q1709" t="str">
        <f>SUBSTITUTE(SUBSTITUTE(SUBSTITUTE(P1709," ",""),"-",""),"+","")</f>
        <v>913886976844</v>
      </c>
      <c r="R1709" t="str">
        <f t="shared" si="52"/>
        <v>3886976844</v>
      </c>
      <c r="S1709" t="str">
        <f>IF(LEN(R1709),"Valid","Invalid")</f>
        <v>Valid</v>
      </c>
      <c r="T1709" t="s">
        <v>788</v>
      </c>
      <c r="V1709" t="s">
        <v>123</v>
      </c>
      <c r="X1709">
        <v>21691.27</v>
      </c>
      <c r="Y1709" t="s">
        <v>57</v>
      </c>
      <c r="Z1709">
        <v>547</v>
      </c>
      <c r="AA1709">
        <f t="shared" si="53"/>
        <v>547</v>
      </c>
      <c r="AB1709" t="s">
        <v>50</v>
      </c>
    </row>
    <row r="1710" spans="1:28" x14ac:dyDescent="0.3">
      <c r="A1710" t="s">
        <v>787</v>
      </c>
      <c r="B1710" t="s">
        <v>786</v>
      </c>
      <c r="C1710" t="s">
        <v>786</v>
      </c>
      <c r="D1710" t="s">
        <v>1</v>
      </c>
      <c r="E1710">
        <v>15</v>
      </c>
      <c r="F1710">
        <v>15</v>
      </c>
      <c r="G1710" t="s">
        <v>39</v>
      </c>
      <c r="H1710" t="s">
        <v>39</v>
      </c>
      <c r="I1710" t="s">
        <v>67</v>
      </c>
      <c r="J1710" t="s">
        <v>67</v>
      </c>
      <c r="K1710" s="1">
        <v>46148</v>
      </c>
      <c r="L1710" s="1" t="str">
        <f>IF(K1710&gt;O1710,"Valid","Invalid")</f>
        <v>Valid</v>
      </c>
      <c r="M1710" s="1" t="b">
        <f>ISNUMBER(K1710)</f>
        <v>1</v>
      </c>
      <c r="N1710" s="1" t="b">
        <f>ISNUMBER(O1710)</f>
        <v>1</v>
      </c>
      <c r="O1710" s="1">
        <v>46135</v>
      </c>
      <c r="P1710" t="s">
        <v>785</v>
      </c>
      <c r="Q1710" t="str">
        <f>SUBSTITUTE(SUBSTITUTE(SUBSTITUTE(P1710," ",""),"-",""),"+","")</f>
        <v>910238171700</v>
      </c>
      <c r="R1710" t="str">
        <f t="shared" si="52"/>
        <v>0238171700</v>
      </c>
      <c r="S1710" t="str">
        <f>IF(LEN(R1710),"Valid","Invalid")</f>
        <v>Valid</v>
      </c>
      <c r="T1710" t="s">
        <v>784</v>
      </c>
      <c r="V1710" t="s">
        <v>27</v>
      </c>
      <c r="X1710">
        <v>8594.09</v>
      </c>
      <c r="Y1710" t="s">
        <v>123</v>
      </c>
      <c r="Z1710">
        <v>478</v>
      </c>
      <c r="AA1710">
        <f t="shared" si="53"/>
        <v>478</v>
      </c>
      <c r="AB1710" t="s">
        <v>77</v>
      </c>
    </row>
    <row r="1711" spans="1:28" x14ac:dyDescent="0.3">
      <c r="A1711" t="s">
        <v>783</v>
      </c>
      <c r="B1711" t="s">
        <v>782</v>
      </c>
      <c r="C1711" t="s">
        <v>782</v>
      </c>
      <c r="E1711">
        <v>90</v>
      </c>
      <c r="F1711">
        <v>90</v>
      </c>
      <c r="G1711" t="s">
        <v>54</v>
      </c>
      <c r="H1711" t="s">
        <v>54</v>
      </c>
      <c r="I1711" t="s">
        <v>90</v>
      </c>
      <c r="J1711" t="s">
        <v>67</v>
      </c>
      <c r="K1711" s="1">
        <v>46090</v>
      </c>
      <c r="L1711" s="1" t="str">
        <f>IF(K1711&gt;O1711,"Valid","Invalid")</f>
        <v>Valid</v>
      </c>
      <c r="M1711" s="1" t="b">
        <f>ISNUMBER(K1711)</f>
        <v>1</v>
      </c>
      <c r="N1711" s="1" t="b">
        <f>ISNUMBER(O1711)</f>
        <v>1</v>
      </c>
      <c r="O1711" s="1">
        <v>46069</v>
      </c>
      <c r="P1711" t="s">
        <v>781</v>
      </c>
      <c r="Q1711" t="str">
        <f>SUBSTITUTE(SUBSTITUTE(SUBSTITUTE(P1711," ",""),"-",""),"+","")</f>
        <v>06077906114</v>
      </c>
      <c r="R1711" t="str">
        <f t="shared" si="52"/>
        <v>6077906114</v>
      </c>
      <c r="S1711" t="str">
        <f>IF(LEN(R1711),"Valid","Invalid")</f>
        <v>Valid</v>
      </c>
      <c r="T1711" t="s">
        <v>780</v>
      </c>
      <c r="V1711" t="s">
        <v>64</v>
      </c>
      <c r="X1711">
        <v>11448.63</v>
      </c>
      <c r="Y1711" t="s">
        <v>27</v>
      </c>
      <c r="Z1711">
        <v>306</v>
      </c>
      <c r="AA1711">
        <f t="shared" si="53"/>
        <v>306</v>
      </c>
      <c r="AB1711" t="s">
        <v>50</v>
      </c>
    </row>
    <row r="1712" spans="1:28" x14ac:dyDescent="0.3">
      <c r="A1712" t="s">
        <v>779</v>
      </c>
      <c r="B1712" t="s">
        <v>778</v>
      </c>
      <c r="C1712" t="s">
        <v>778</v>
      </c>
      <c r="E1712">
        <v>31</v>
      </c>
      <c r="F1712">
        <v>31</v>
      </c>
      <c r="G1712" t="s">
        <v>54</v>
      </c>
      <c r="H1712" t="s">
        <v>54</v>
      </c>
      <c r="I1712" t="s">
        <v>53</v>
      </c>
      <c r="J1712" t="s">
        <v>20</v>
      </c>
      <c r="K1712" s="1">
        <v>46115</v>
      </c>
      <c r="L1712" s="1" t="str">
        <f>IF(K1712&gt;O1712,"Valid","Invalid")</f>
        <v>Valid</v>
      </c>
      <c r="M1712" s="1" t="b">
        <f>ISNUMBER(K1712)</f>
        <v>1</v>
      </c>
      <c r="N1712" s="1" t="b">
        <f>ISNUMBER(O1712)</f>
        <v>1</v>
      </c>
      <c r="O1712" s="1">
        <v>46088</v>
      </c>
      <c r="P1712" t="s">
        <v>777</v>
      </c>
      <c r="Q1712" t="str">
        <f>SUBSTITUTE(SUBSTITUTE(SUBSTITUTE(P1712," ",""),"-",""),"+","")</f>
        <v>7945863100</v>
      </c>
      <c r="R1712" t="str">
        <f t="shared" si="52"/>
        <v>7945863100</v>
      </c>
      <c r="S1712" t="str">
        <f>IF(LEN(R1712),"Valid","Invalid")</f>
        <v>Valid</v>
      </c>
      <c r="T1712" t="s">
        <v>776</v>
      </c>
      <c r="V1712" t="s">
        <v>27</v>
      </c>
      <c r="X1712">
        <v>9254.14</v>
      </c>
      <c r="Y1712" t="s">
        <v>27</v>
      </c>
      <c r="Z1712">
        <v>292</v>
      </c>
      <c r="AA1712">
        <f t="shared" si="53"/>
        <v>292</v>
      </c>
      <c r="AB1712" t="s">
        <v>34</v>
      </c>
    </row>
    <row r="1713" spans="1:28" x14ac:dyDescent="0.3">
      <c r="A1713" t="s">
        <v>775</v>
      </c>
      <c r="B1713" t="s">
        <v>774</v>
      </c>
      <c r="C1713" t="s">
        <v>774</v>
      </c>
      <c r="D1713" t="s">
        <v>0</v>
      </c>
      <c r="E1713">
        <v>11</v>
      </c>
      <c r="F1713">
        <v>11</v>
      </c>
      <c r="G1713" t="s">
        <v>39</v>
      </c>
      <c r="H1713" t="s">
        <v>39</v>
      </c>
      <c r="I1713" t="s">
        <v>53</v>
      </c>
      <c r="J1713" t="s">
        <v>20</v>
      </c>
      <c r="K1713" s="1">
        <v>46085</v>
      </c>
      <c r="L1713" s="1" t="str">
        <f>IF(K1713&gt;O1713,"Valid","Invalid")</f>
        <v>Valid</v>
      </c>
      <c r="M1713" s="1" t="b">
        <f>ISNUMBER(K1713)</f>
        <v>1</v>
      </c>
      <c r="N1713" s="1" t="b">
        <f>ISNUMBER(O1713)</f>
        <v>1</v>
      </c>
      <c r="O1713" s="1">
        <v>46078</v>
      </c>
      <c r="P1713" t="s">
        <v>773</v>
      </c>
      <c r="Q1713" t="str">
        <f>SUBSTITUTE(SUBSTITUTE(SUBSTITUTE(P1713," ",""),"-",""),"+","")</f>
        <v>6529967762</v>
      </c>
      <c r="R1713" t="str">
        <f t="shared" si="52"/>
        <v>6529967762</v>
      </c>
      <c r="S1713" t="str">
        <f>IF(LEN(R1713),"Valid","Invalid")</f>
        <v>Valid</v>
      </c>
      <c r="T1713" t="s">
        <v>772</v>
      </c>
      <c r="V1713" t="s">
        <v>57</v>
      </c>
      <c r="X1713">
        <v>8331.69</v>
      </c>
      <c r="Y1713" t="s">
        <v>26</v>
      </c>
      <c r="Z1713">
        <v>144</v>
      </c>
      <c r="AA1713">
        <f t="shared" si="53"/>
        <v>144</v>
      </c>
      <c r="AB1713" t="s">
        <v>16</v>
      </c>
    </row>
    <row r="1714" spans="1:28" x14ac:dyDescent="0.3">
      <c r="A1714" t="s">
        <v>767</v>
      </c>
      <c r="B1714" t="s">
        <v>766</v>
      </c>
      <c r="C1714" t="s">
        <v>766</v>
      </c>
      <c r="D1714" t="s">
        <v>74</v>
      </c>
      <c r="E1714">
        <v>67</v>
      </c>
      <c r="F1714">
        <v>67</v>
      </c>
      <c r="G1714" t="s">
        <v>39</v>
      </c>
      <c r="H1714" t="s">
        <v>39</v>
      </c>
      <c r="I1714" t="s">
        <v>20</v>
      </c>
      <c r="J1714" t="s">
        <v>20</v>
      </c>
      <c r="K1714" s="1">
        <v>46148</v>
      </c>
      <c r="L1714" s="1" t="str">
        <f>IF(K1714&gt;O1714,"Valid","Invalid")</f>
        <v>Valid</v>
      </c>
      <c r="M1714" s="1" t="b">
        <f>ISNUMBER(K1714)</f>
        <v>1</v>
      </c>
      <c r="N1714" s="1" t="b">
        <f>ISNUMBER(O1714)</f>
        <v>1</v>
      </c>
      <c r="O1714" s="1">
        <v>46130</v>
      </c>
      <c r="P1714" t="s">
        <v>765</v>
      </c>
      <c r="Q1714" t="str">
        <f>SUBSTITUTE(SUBSTITUTE(SUBSTITUTE(P1714," ",""),"-",""),"+","")</f>
        <v>911969740056</v>
      </c>
      <c r="R1714" t="str">
        <f t="shared" si="52"/>
        <v>1969740056</v>
      </c>
      <c r="S1714" t="str">
        <f>IF(LEN(R1714),"Valid","Invalid")</f>
        <v>Valid</v>
      </c>
      <c r="T1714" t="s">
        <v>764</v>
      </c>
      <c r="V1714" t="s">
        <v>35</v>
      </c>
      <c r="X1714">
        <v>8319.34</v>
      </c>
      <c r="Y1714" t="s">
        <v>123</v>
      </c>
      <c r="Z1714">
        <v>333</v>
      </c>
      <c r="AA1714">
        <f t="shared" si="53"/>
        <v>333</v>
      </c>
      <c r="AB1714" t="s">
        <v>50</v>
      </c>
    </row>
    <row r="1715" spans="1:28" x14ac:dyDescent="0.3">
      <c r="A1715" t="s">
        <v>763</v>
      </c>
      <c r="B1715" t="s">
        <v>762</v>
      </c>
      <c r="C1715" t="s">
        <v>762</v>
      </c>
      <c r="D1715" t="s">
        <v>40</v>
      </c>
      <c r="E1715">
        <v>72</v>
      </c>
      <c r="F1715">
        <v>72</v>
      </c>
      <c r="G1715" t="s">
        <v>132</v>
      </c>
      <c r="H1715" t="s">
        <v>132</v>
      </c>
      <c r="I1715" t="s">
        <v>38</v>
      </c>
      <c r="J1715" t="s">
        <v>8077</v>
      </c>
      <c r="K1715" s="1">
        <v>46125</v>
      </c>
      <c r="L1715" s="1" t="str">
        <f>IF(K1715&gt;O1715,"Valid","Invalid")</f>
        <v>Valid</v>
      </c>
      <c r="M1715" s="1" t="b">
        <f>ISNUMBER(K1715)</f>
        <v>1</v>
      </c>
      <c r="N1715" s="1" t="b">
        <f>ISNUMBER(O1715)</f>
        <v>1</v>
      </c>
      <c r="O1715" s="1">
        <v>46112</v>
      </c>
      <c r="P1715" t="s">
        <v>761</v>
      </c>
      <c r="Q1715" t="str">
        <f>SUBSTITUTE(SUBSTITUTE(SUBSTITUTE(P1715," ",""),"-",""),"+","")</f>
        <v>07185674405</v>
      </c>
      <c r="R1715" t="str">
        <f t="shared" si="52"/>
        <v>7185674405</v>
      </c>
      <c r="S1715" t="str">
        <f>IF(LEN(R1715),"Valid","Invalid")</f>
        <v>Valid</v>
      </c>
      <c r="T1715" t="s">
        <v>760</v>
      </c>
      <c r="V1715" t="s">
        <v>26</v>
      </c>
      <c r="X1715">
        <v>19627.060000000001</v>
      </c>
      <c r="Y1715" t="s">
        <v>27</v>
      </c>
      <c r="Z1715">
        <v>181</v>
      </c>
      <c r="AA1715">
        <f t="shared" si="53"/>
        <v>181</v>
      </c>
      <c r="AB1715" t="s">
        <v>71</v>
      </c>
    </row>
    <row r="1716" spans="1:28" x14ac:dyDescent="0.3">
      <c r="A1716" t="s">
        <v>759</v>
      </c>
      <c r="B1716" t="s">
        <v>758</v>
      </c>
      <c r="C1716" t="s">
        <v>758</v>
      </c>
      <c r="D1716" t="s">
        <v>40</v>
      </c>
      <c r="E1716">
        <v>43</v>
      </c>
      <c r="F1716">
        <v>43</v>
      </c>
      <c r="G1716" t="s">
        <v>47</v>
      </c>
      <c r="H1716" t="s">
        <v>47</v>
      </c>
      <c r="I1716" t="s">
        <v>38</v>
      </c>
      <c r="J1716" t="s">
        <v>8077</v>
      </c>
      <c r="K1716" s="1">
        <v>46051</v>
      </c>
      <c r="L1716" s="1" t="str">
        <f>IF(K1716&gt;O1716,"Valid","Invalid")</f>
        <v>Valid</v>
      </c>
      <c r="M1716" s="1" t="b">
        <f>ISNUMBER(K1716)</f>
        <v>1</v>
      </c>
      <c r="N1716" s="1" t="b">
        <f>ISNUMBER(O1716)</f>
        <v>1</v>
      </c>
      <c r="O1716" s="1">
        <v>46030</v>
      </c>
      <c r="P1716" t="s">
        <v>757</v>
      </c>
      <c r="Q1716" t="str">
        <f>SUBSTITUTE(SUBSTITUTE(SUBSTITUTE(P1716," ",""),"-",""),"+","")</f>
        <v>8186916452</v>
      </c>
      <c r="R1716" t="str">
        <f t="shared" si="52"/>
        <v>8186916452</v>
      </c>
      <c r="S1716" t="str">
        <f>IF(LEN(R1716),"Valid","Invalid")</f>
        <v>Valid</v>
      </c>
      <c r="T1716" t="s">
        <v>756</v>
      </c>
      <c r="V1716" t="s">
        <v>123</v>
      </c>
      <c r="X1716">
        <v>24380.23</v>
      </c>
      <c r="Y1716" t="s">
        <v>63</v>
      </c>
      <c r="Z1716">
        <v>359</v>
      </c>
      <c r="AA1716">
        <f t="shared" si="53"/>
        <v>359</v>
      </c>
      <c r="AB1716" t="s">
        <v>43</v>
      </c>
    </row>
    <row r="1717" spans="1:28" x14ac:dyDescent="0.3">
      <c r="A1717" t="s">
        <v>755</v>
      </c>
      <c r="B1717" t="s">
        <v>754</v>
      </c>
      <c r="C1717" t="s">
        <v>754</v>
      </c>
      <c r="D1717" t="s">
        <v>0</v>
      </c>
      <c r="E1717">
        <v>39</v>
      </c>
      <c r="F1717">
        <v>39</v>
      </c>
      <c r="G1717" t="s">
        <v>31</v>
      </c>
      <c r="H1717" t="s">
        <v>31</v>
      </c>
      <c r="I1717" t="s">
        <v>20</v>
      </c>
      <c r="J1717" t="s">
        <v>20</v>
      </c>
      <c r="K1717" s="1">
        <v>46001</v>
      </c>
      <c r="L1717" s="1" t="str">
        <f>IF(K1717&gt;O1717,"Valid","Invalid")</f>
        <v>Valid</v>
      </c>
      <c r="M1717" s="1" t="b">
        <f>ISNUMBER(K1717)</f>
        <v>1</v>
      </c>
      <c r="N1717" s="1" t="b">
        <f>ISNUMBER(O1717)</f>
        <v>1</v>
      </c>
      <c r="O1717" s="1">
        <v>45981</v>
      </c>
      <c r="P1717" t="s">
        <v>753</v>
      </c>
      <c r="Q1717" t="str">
        <f>SUBSTITUTE(SUBSTITUTE(SUBSTITUTE(P1717," ",""),"-",""),"+","")</f>
        <v>5510196297</v>
      </c>
      <c r="R1717" t="str">
        <f t="shared" si="52"/>
        <v>5510196297</v>
      </c>
      <c r="S1717" t="str">
        <f>IF(LEN(R1717),"Valid","Invalid")</f>
        <v>Valid</v>
      </c>
      <c r="T1717" t="s">
        <v>752</v>
      </c>
      <c r="V1717" t="s">
        <v>64</v>
      </c>
      <c r="X1717">
        <v>7232.44</v>
      </c>
      <c r="Y1717" t="s">
        <v>123</v>
      </c>
      <c r="Z1717">
        <v>420</v>
      </c>
      <c r="AA1717">
        <f t="shared" si="53"/>
        <v>420</v>
      </c>
      <c r="AB1717" t="s">
        <v>34</v>
      </c>
    </row>
    <row r="1718" spans="1:28" x14ac:dyDescent="0.3">
      <c r="A1718" t="s">
        <v>751</v>
      </c>
      <c r="B1718" t="s">
        <v>750</v>
      </c>
      <c r="C1718" t="s">
        <v>750</v>
      </c>
      <c r="E1718">
        <v>5</v>
      </c>
      <c r="F1718">
        <v>5</v>
      </c>
      <c r="G1718" t="s">
        <v>68</v>
      </c>
      <c r="H1718" t="s">
        <v>68</v>
      </c>
      <c r="I1718" t="s">
        <v>20</v>
      </c>
      <c r="J1718" t="s">
        <v>20</v>
      </c>
      <c r="K1718" s="1">
        <v>46018</v>
      </c>
      <c r="L1718" s="1" t="str">
        <f>IF(K1718&gt;O1718,"Valid","Invalid")</f>
        <v>Valid</v>
      </c>
      <c r="M1718" s="1" t="b">
        <f>ISNUMBER(K1718)</f>
        <v>1</v>
      </c>
      <c r="N1718" s="1" t="b">
        <f>ISNUMBER(O1718)</f>
        <v>1</v>
      </c>
      <c r="O1718" s="1">
        <v>46007</v>
      </c>
      <c r="P1718" t="s">
        <v>749</v>
      </c>
      <c r="Q1718" t="str">
        <f>SUBSTITUTE(SUBSTITUTE(SUBSTITUTE(P1718," ",""),"-",""),"+","")</f>
        <v>917988879033</v>
      </c>
      <c r="R1718" t="str">
        <f t="shared" si="52"/>
        <v>7988879033</v>
      </c>
      <c r="S1718" t="str">
        <f>IF(LEN(R1718),"Valid","Invalid")</f>
        <v>Valid</v>
      </c>
      <c r="T1718" t="s">
        <v>748</v>
      </c>
      <c r="V1718" t="s">
        <v>35</v>
      </c>
      <c r="X1718">
        <v>6034.97</v>
      </c>
      <c r="Y1718" t="s">
        <v>123</v>
      </c>
      <c r="Z1718">
        <v>329</v>
      </c>
      <c r="AA1718">
        <f t="shared" si="53"/>
        <v>329</v>
      </c>
      <c r="AB1718" t="s">
        <v>16</v>
      </c>
    </row>
    <row r="1719" spans="1:28" x14ac:dyDescent="0.3">
      <c r="A1719" t="s">
        <v>747</v>
      </c>
      <c r="B1719" t="s">
        <v>746</v>
      </c>
      <c r="C1719" t="s">
        <v>746</v>
      </c>
      <c r="E1719">
        <v>26</v>
      </c>
      <c r="F1719">
        <v>26</v>
      </c>
      <c r="G1719" t="s">
        <v>39</v>
      </c>
      <c r="H1719" t="s">
        <v>39</v>
      </c>
      <c r="I1719" t="s">
        <v>46</v>
      </c>
      <c r="J1719" t="s">
        <v>46</v>
      </c>
      <c r="K1719" s="1">
        <v>46014</v>
      </c>
      <c r="L1719" s="1" t="str">
        <f>IF(K1719&gt;O1719,"Valid","Invalid")</f>
        <v>Valid</v>
      </c>
      <c r="M1719" s="1" t="b">
        <f>ISNUMBER(K1719)</f>
        <v>1</v>
      </c>
      <c r="N1719" s="1" t="b">
        <f>ISNUMBER(O1719)</f>
        <v>1</v>
      </c>
      <c r="O1719" s="1">
        <v>45985</v>
      </c>
      <c r="P1719" t="s">
        <v>745</v>
      </c>
      <c r="Q1719" t="str">
        <f>SUBSTITUTE(SUBSTITUTE(SUBSTITUTE(P1719," ",""),"-",""),"+","")</f>
        <v>7013429237</v>
      </c>
      <c r="R1719" t="str">
        <f t="shared" si="52"/>
        <v>7013429237</v>
      </c>
      <c r="S1719" t="str">
        <f>IF(LEN(R1719),"Valid","Invalid")</f>
        <v>Valid</v>
      </c>
      <c r="T1719" t="s">
        <v>744</v>
      </c>
      <c r="V1719" t="s">
        <v>123</v>
      </c>
      <c r="X1719">
        <v>7017.52</v>
      </c>
      <c r="Y1719" t="s">
        <v>64</v>
      </c>
      <c r="Z1719">
        <v>414</v>
      </c>
      <c r="AA1719">
        <f t="shared" si="53"/>
        <v>414</v>
      </c>
      <c r="AB1719" t="s">
        <v>77</v>
      </c>
    </row>
    <row r="1720" spans="1:28" x14ac:dyDescent="0.3">
      <c r="A1720" t="s">
        <v>743</v>
      </c>
      <c r="B1720" t="s">
        <v>742</v>
      </c>
      <c r="C1720" t="s">
        <v>742</v>
      </c>
      <c r="E1720">
        <v>64</v>
      </c>
      <c r="F1720">
        <v>64</v>
      </c>
      <c r="G1720" t="s">
        <v>68</v>
      </c>
      <c r="H1720" t="s">
        <v>68</v>
      </c>
      <c r="I1720" t="s">
        <v>90</v>
      </c>
      <c r="J1720" t="s">
        <v>67</v>
      </c>
      <c r="K1720" s="1">
        <v>46113</v>
      </c>
      <c r="L1720" s="1" t="str">
        <f>IF(K1720&gt;O1720,"Valid","Invalid")</f>
        <v>Valid</v>
      </c>
      <c r="M1720" s="1" t="b">
        <f>ISNUMBER(K1720)</f>
        <v>1</v>
      </c>
      <c r="N1720" s="1" t="b">
        <f>ISNUMBER(O1720)</f>
        <v>1</v>
      </c>
      <c r="O1720" s="1">
        <v>46096</v>
      </c>
      <c r="P1720" t="s">
        <v>741</v>
      </c>
      <c r="Q1720" t="str">
        <f>SUBSTITUTE(SUBSTITUTE(SUBSTITUTE(P1720," ",""),"-",""),"+","")</f>
        <v>3622016246</v>
      </c>
      <c r="R1720" t="str">
        <f t="shared" si="52"/>
        <v>3622016246</v>
      </c>
      <c r="S1720" t="str">
        <f>IF(LEN(R1720),"Valid","Invalid")</f>
        <v>Valid</v>
      </c>
      <c r="T1720" t="s">
        <v>740</v>
      </c>
      <c r="V1720" t="s">
        <v>35</v>
      </c>
      <c r="X1720">
        <v>21454.19</v>
      </c>
      <c r="Y1720" t="s">
        <v>123</v>
      </c>
      <c r="Z1720">
        <v>358</v>
      </c>
      <c r="AA1720">
        <f t="shared" si="53"/>
        <v>358</v>
      </c>
      <c r="AB1720" t="s">
        <v>16</v>
      </c>
    </row>
    <row r="1721" spans="1:28" x14ac:dyDescent="0.3">
      <c r="A1721" t="s">
        <v>739</v>
      </c>
      <c r="B1721" t="s">
        <v>738</v>
      </c>
      <c r="C1721" t="s">
        <v>738</v>
      </c>
      <c r="D1721" t="s">
        <v>0</v>
      </c>
      <c r="E1721">
        <v>17</v>
      </c>
      <c r="F1721">
        <v>17</v>
      </c>
      <c r="G1721" t="s">
        <v>31</v>
      </c>
      <c r="H1721" t="s">
        <v>31</v>
      </c>
      <c r="I1721" t="s">
        <v>38</v>
      </c>
      <c r="J1721" t="s">
        <v>8077</v>
      </c>
      <c r="K1721" s="1">
        <v>46031</v>
      </c>
      <c r="L1721" s="1" t="str">
        <f>IF(K1721&gt;O1721,"Valid","Invalid")</f>
        <v>Valid</v>
      </c>
      <c r="M1721" s="1" t="b">
        <f>ISNUMBER(K1721)</f>
        <v>1</v>
      </c>
      <c r="N1721" s="1" t="b">
        <f>ISNUMBER(O1721)</f>
        <v>1</v>
      </c>
      <c r="O1721" s="1">
        <v>46016</v>
      </c>
      <c r="P1721" t="s">
        <v>737</v>
      </c>
      <c r="Q1721" t="str">
        <f>SUBSTITUTE(SUBSTITUTE(SUBSTITUTE(P1721," ",""),"-",""),"+","")</f>
        <v>5726657839</v>
      </c>
      <c r="R1721" t="str">
        <f t="shared" si="52"/>
        <v>5726657839</v>
      </c>
      <c r="S1721" t="str">
        <f>IF(LEN(R1721),"Valid","Invalid")</f>
        <v>Valid</v>
      </c>
      <c r="T1721" t="s">
        <v>736</v>
      </c>
      <c r="V1721" t="s">
        <v>27</v>
      </c>
      <c r="X1721">
        <v>19805.09</v>
      </c>
      <c r="Y1721" t="s">
        <v>17</v>
      </c>
      <c r="Z1721">
        <v>448</v>
      </c>
      <c r="AA1721">
        <f t="shared" si="53"/>
        <v>448</v>
      </c>
      <c r="AB1721" t="s">
        <v>34</v>
      </c>
    </row>
    <row r="1722" spans="1:28" x14ac:dyDescent="0.3">
      <c r="A1722" t="s">
        <v>735</v>
      </c>
      <c r="B1722" t="s">
        <v>734</v>
      </c>
      <c r="C1722" t="s">
        <v>734</v>
      </c>
      <c r="D1722" t="s">
        <v>40</v>
      </c>
      <c r="E1722">
        <v>52</v>
      </c>
      <c r="F1722">
        <v>52</v>
      </c>
      <c r="G1722" t="s">
        <v>39</v>
      </c>
      <c r="H1722" t="s">
        <v>39</v>
      </c>
      <c r="I1722" t="s">
        <v>38</v>
      </c>
      <c r="J1722" t="s">
        <v>8077</v>
      </c>
      <c r="K1722" s="1">
        <v>45995</v>
      </c>
      <c r="L1722" s="1" t="str">
        <f>IF(K1722&gt;O1722,"Valid","Invalid")</f>
        <v>Valid</v>
      </c>
      <c r="M1722" s="1" t="b">
        <f>ISNUMBER(K1722)</f>
        <v>1</v>
      </c>
      <c r="N1722" s="1" t="b">
        <f>ISNUMBER(O1722)</f>
        <v>1</v>
      </c>
      <c r="O1722" s="1">
        <v>45984</v>
      </c>
      <c r="P1722" t="s">
        <v>733</v>
      </c>
      <c r="Q1722" t="str">
        <f>SUBSTITUTE(SUBSTITUTE(SUBSTITUTE(P1722," ",""),"-",""),"+","")</f>
        <v>02800969320</v>
      </c>
      <c r="R1722" t="str">
        <f t="shared" si="52"/>
        <v>2800969320</v>
      </c>
      <c r="S1722" t="str">
        <f>IF(LEN(R1722),"Valid","Invalid")</f>
        <v>Valid</v>
      </c>
      <c r="T1722" t="s">
        <v>732</v>
      </c>
      <c r="V1722" t="s">
        <v>27</v>
      </c>
      <c r="X1722">
        <v>17448.439999999999</v>
      </c>
      <c r="Y1722" t="s">
        <v>27</v>
      </c>
      <c r="Z1722">
        <v>439</v>
      </c>
      <c r="AA1722">
        <f t="shared" si="53"/>
        <v>439</v>
      </c>
      <c r="AB1722" t="s">
        <v>50</v>
      </c>
    </row>
    <row r="1723" spans="1:28" x14ac:dyDescent="0.3">
      <c r="A1723" t="s">
        <v>731</v>
      </c>
      <c r="B1723" t="s">
        <v>730</v>
      </c>
      <c r="C1723" t="s">
        <v>730</v>
      </c>
      <c r="D1723" t="s">
        <v>60</v>
      </c>
      <c r="E1723">
        <v>50</v>
      </c>
      <c r="F1723">
        <v>50</v>
      </c>
      <c r="G1723" t="s">
        <v>54</v>
      </c>
      <c r="H1723" t="s">
        <v>54</v>
      </c>
      <c r="I1723" t="s">
        <v>67</v>
      </c>
      <c r="J1723" t="s">
        <v>67</v>
      </c>
      <c r="K1723" s="1">
        <v>46163</v>
      </c>
      <c r="L1723" s="1" t="str">
        <f>IF(K1723&gt;O1723,"Valid","Invalid")</f>
        <v>Valid</v>
      </c>
      <c r="M1723" s="1" t="b">
        <f>ISNUMBER(K1723)</f>
        <v>1</v>
      </c>
      <c r="N1723" s="1" t="b">
        <f>ISNUMBER(O1723)</f>
        <v>1</v>
      </c>
      <c r="O1723" s="1">
        <v>46142</v>
      </c>
      <c r="P1723" t="s">
        <v>729</v>
      </c>
      <c r="Q1723" t="str">
        <f>SUBSTITUTE(SUBSTITUTE(SUBSTITUTE(P1723," ",""),"-",""),"+","")</f>
        <v>00389930992</v>
      </c>
      <c r="R1723" t="str">
        <f t="shared" si="52"/>
        <v>0389930992</v>
      </c>
      <c r="S1723" t="str">
        <f>IF(LEN(R1723),"Valid","Invalid")</f>
        <v>Valid</v>
      </c>
      <c r="T1723" t="s">
        <v>728</v>
      </c>
      <c r="V1723" t="s">
        <v>123</v>
      </c>
      <c r="X1723">
        <v>14316</v>
      </c>
      <c r="Y1723" t="s">
        <v>27</v>
      </c>
      <c r="Z1723">
        <v>444</v>
      </c>
      <c r="AA1723">
        <f t="shared" si="53"/>
        <v>444</v>
      </c>
      <c r="AB1723" t="s">
        <v>77</v>
      </c>
    </row>
    <row r="1724" spans="1:28" x14ac:dyDescent="0.3">
      <c r="A1724" t="s">
        <v>727</v>
      </c>
      <c r="B1724" t="s">
        <v>726</v>
      </c>
      <c r="C1724" t="s">
        <v>726</v>
      </c>
      <c r="D1724" t="s">
        <v>0</v>
      </c>
      <c r="E1724">
        <v>36</v>
      </c>
      <c r="F1724">
        <v>36</v>
      </c>
      <c r="G1724" t="s">
        <v>39</v>
      </c>
      <c r="H1724" t="s">
        <v>39</v>
      </c>
      <c r="I1724" t="s">
        <v>67</v>
      </c>
      <c r="J1724" t="s">
        <v>67</v>
      </c>
      <c r="K1724" s="1">
        <v>46111</v>
      </c>
      <c r="L1724" s="1" t="str">
        <f>IF(K1724&gt;O1724,"Valid","Invalid")</f>
        <v>Valid</v>
      </c>
      <c r="M1724" s="1" t="b">
        <f>ISNUMBER(K1724)</f>
        <v>1</v>
      </c>
      <c r="N1724" s="1" t="b">
        <f>ISNUMBER(O1724)</f>
        <v>1</v>
      </c>
      <c r="O1724" s="1">
        <v>46084</v>
      </c>
      <c r="P1724" t="s">
        <v>725</v>
      </c>
      <c r="Q1724" t="str">
        <f>SUBSTITUTE(SUBSTITUTE(SUBSTITUTE(P1724," ",""),"-",""),"+","")</f>
        <v>03966420692</v>
      </c>
      <c r="R1724" t="str">
        <f t="shared" si="52"/>
        <v>3966420692</v>
      </c>
      <c r="S1724" t="str">
        <f>IF(LEN(R1724),"Valid","Invalid")</f>
        <v>Valid</v>
      </c>
      <c r="T1724" t="s">
        <v>724</v>
      </c>
      <c r="V1724" t="s">
        <v>57</v>
      </c>
      <c r="X1724">
        <v>6854.4</v>
      </c>
      <c r="Y1724" t="s">
        <v>26</v>
      </c>
      <c r="Z1724">
        <v>368</v>
      </c>
      <c r="AA1724">
        <f t="shared" si="53"/>
        <v>368</v>
      </c>
      <c r="AB1724" t="s">
        <v>16</v>
      </c>
    </row>
    <row r="1725" spans="1:28" x14ac:dyDescent="0.3">
      <c r="A1725" t="s">
        <v>723</v>
      </c>
      <c r="B1725" t="s">
        <v>722</v>
      </c>
      <c r="C1725" t="s">
        <v>722</v>
      </c>
      <c r="E1725">
        <v>76</v>
      </c>
      <c r="F1725">
        <v>76</v>
      </c>
      <c r="G1725" t="s">
        <v>54</v>
      </c>
      <c r="H1725" t="s">
        <v>54</v>
      </c>
      <c r="I1725" t="s">
        <v>38</v>
      </c>
      <c r="J1725" t="s">
        <v>8077</v>
      </c>
      <c r="K1725" s="1">
        <v>46046</v>
      </c>
      <c r="L1725" s="1" t="str">
        <f>IF(K1725&gt;O1725,"Valid","Invalid")</f>
        <v>Valid</v>
      </c>
      <c r="M1725" s="1" t="b">
        <f>ISNUMBER(K1725)</f>
        <v>1</v>
      </c>
      <c r="N1725" s="1" t="b">
        <f>ISNUMBER(O1725)</f>
        <v>1</v>
      </c>
      <c r="O1725" s="1">
        <v>46042</v>
      </c>
      <c r="P1725" t="s">
        <v>721</v>
      </c>
      <c r="Q1725" t="str">
        <f>SUBSTITUTE(SUBSTITUTE(SUBSTITUTE(P1725," ",""),"-",""),"+","")</f>
        <v>914207179850</v>
      </c>
      <c r="R1725" t="str">
        <f t="shared" si="52"/>
        <v>4207179850</v>
      </c>
      <c r="S1725" t="str">
        <f>IF(LEN(R1725),"Valid","Invalid")</f>
        <v>Valid</v>
      </c>
      <c r="T1725" t="s">
        <v>720</v>
      </c>
      <c r="V1725" t="s">
        <v>57</v>
      </c>
      <c r="X1725">
        <v>20696.419999999998</v>
      </c>
      <c r="Y1725" t="s">
        <v>63</v>
      </c>
      <c r="Z1725">
        <v>195</v>
      </c>
      <c r="AA1725">
        <f t="shared" si="53"/>
        <v>195</v>
      </c>
      <c r="AB1725" t="s">
        <v>25</v>
      </c>
    </row>
    <row r="1726" spans="1:28" x14ac:dyDescent="0.3">
      <c r="A1726" t="s">
        <v>719</v>
      </c>
      <c r="B1726" t="s">
        <v>718</v>
      </c>
      <c r="C1726" t="s">
        <v>718</v>
      </c>
      <c r="D1726" t="s">
        <v>1</v>
      </c>
      <c r="E1726">
        <v>82</v>
      </c>
      <c r="F1726">
        <v>82</v>
      </c>
      <c r="G1726" t="s">
        <v>39</v>
      </c>
      <c r="H1726" t="s">
        <v>39</v>
      </c>
      <c r="I1726" t="s">
        <v>30</v>
      </c>
      <c r="J1726" t="s">
        <v>30</v>
      </c>
      <c r="K1726" s="1">
        <v>46139</v>
      </c>
      <c r="L1726" s="1" t="str">
        <f>IF(K1726&gt;O1726,"Valid","Invalid")</f>
        <v>Valid</v>
      </c>
      <c r="M1726" s="1" t="b">
        <f>ISNUMBER(K1726)</f>
        <v>1</v>
      </c>
      <c r="N1726" s="1" t="b">
        <f>ISNUMBER(O1726)</f>
        <v>1</v>
      </c>
      <c r="O1726" s="1">
        <v>46114</v>
      </c>
      <c r="P1726" t="s">
        <v>717</v>
      </c>
      <c r="Q1726" t="str">
        <f>SUBSTITUTE(SUBSTITUTE(SUBSTITUTE(P1726," ",""),"-",""),"+","")</f>
        <v>9907584324</v>
      </c>
      <c r="R1726" t="str">
        <f t="shared" si="52"/>
        <v>9907584324</v>
      </c>
      <c r="S1726" t="str">
        <f>IF(LEN(R1726),"Valid","Invalid")</f>
        <v>Valid</v>
      </c>
      <c r="T1726" t="s">
        <v>716</v>
      </c>
      <c r="V1726" t="s">
        <v>123</v>
      </c>
      <c r="X1726">
        <v>20791.650000000001</v>
      </c>
      <c r="Y1726" t="s">
        <v>57</v>
      </c>
      <c r="Z1726">
        <v>543</v>
      </c>
      <c r="AA1726">
        <f t="shared" si="53"/>
        <v>543</v>
      </c>
      <c r="AB1726" t="s">
        <v>71</v>
      </c>
    </row>
    <row r="1727" spans="1:28" x14ac:dyDescent="0.3">
      <c r="A1727" t="s">
        <v>715</v>
      </c>
      <c r="B1727" t="s">
        <v>714</v>
      </c>
      <c r="C1727" t="s">
        <v>714</v>
      </c>
      <c r="D1727" t="s">
        <v>74</v>
      </c>
      <c r="E1727">
        <v>44</v>
      </c>
      <c r="F1727">
        <v>44</v>
      </c>
      <c r="G1727" t="s">
        <v>54</v>
      </c>
      <c r="H1727" t="s">
        <v>54</v>
      </c>
      <c r="I1727" t="s">
        <v>53</v>
      </c>
      <c r="J1727" t="s">
        <v>20</v>
      </c>
      <c r="K1727" s="1">
        <v>46151</v>
      </c>
      <c r="L1727" s="1" t="str">
        <f>IF(K1727&gt;O1727,"Valid","Invalid")</f>
        <v>Valid</v>
      </c>
      <c r="M1727" s="1" t="b">
        <f>ISNUMBER(K1727)</f>
        <v>1</v>
      </c>
      <c r="N1727" s="1" t="b">
        <f>ISNUMBER(O1727)</f>
        <v>1</v>
      </c>
      <c r="O1727" s="1">
        <v>46143</v>
      </c>
      <c r="P1727" t="s">
        <v>713</v>
      </c>
      <c r="Q1727" t="str">
        <f>SUBSTITUTE(SUBSTITUTE(SUBSTITUTE(P1727," ",""),"-",""),"+","")</f>
        <v>2928046915</v>
      </c>
      <c r="R1727" t="str">
        <f t="shared" si="52"/>
        <v>2928046915</v>
      </c>
      <c r="S1727" t="str">
        <f>IF(LEN(R1727),"Valid","Invalid")</f>
        <v>Valid</v>
      </c>
      <c r="T1727" t="s">
        <v>712</v>
      </c>
      <c r="V1727" t="s">
        <v>64</v>
      </c>
      <c r="X1727">
        <v>17174.84</v>
      </c>
      <c r="Y1727" t="s">
        <v>17</v>
      </c>
      <c r="Z1727">
        <v>195</v>
      </c>
      <c r="AA1727">
        <f t="shared" si="53"/>
        <v>195</v>
      </c>
      <c r="AB1727" t="s">
        <v>34</v>
      </c>
    </row>
    <row r="1728" spans="1:28" x14ac:dyDescent="0.3">
      <c r="A1728" t="s">
        <v>711</v>
      </c>
      <c r="B1728" t="s">
        <v>710</v>
      </c>
      <c r="C1728" t="s">
        <v>710</v>
      </c>
      <c r="D1728" t="s">
        <v>60</v>
      </c>
      <c r="E1728">
        <v>62</v>
      </c>
      <c r="F1728">
        <v>62</v>
      </c>
      <c r="G1728" t="s">
        <v>39</v>
      </c>
      <c r="H1728" t="s">
        <v>39</v>
      </c>
      <c r="I1728" t="s">
        <v>67</v>
      </c>
      <c r="J1728" t="s">
        <v>67</v>
      </c>
      <c r="K1728" s="1">
        <v>45996</v>
      </c>
      <c r="L1728" s="1" t="str">
        <f>IF(K1728&gt;O1728,"Valid","Invalid")</f>
        <v>Valid</v>
      </c>
      <c r="M1728" s="1" t="b">
        <f>ISNUMBER(K1728)</f>
        <v>1</v>
      </c>
      <c r="N1728" s="1" t="b">
        <f>ISNUMBER(O1728)</f>
        <v>1</v>
      </c>
      <c r="O1728" s="1">
        <v>45984</v>
      </c>
      <c r="P1728" t="s">
        <v>709</v>
      </c>
      <c r="Q1728" t="str">
        <f>SUBSTITUTE(SUBSTITUTE(SUBSTITUTE(P1728," ",""),"-",""),"+","")</f>
        <v>911507951637</v>
      </c>
      <c r="R1728" t="str">
        <f t="shared" si="52"/>
        <v>1507951637</v>
      </c>
      <c r="S1728" t="str">
        <f>IF(LEN(R1728),"Valid","Invalid")</f>
        <v>Valid</v>
      </c>
      <c r="T1728" t="s">
        <v>708</v>
      </c>
      <c r="V1728" t="s">
        <v>35</v>
      </c>
      <c r="X1728">
        <v>24221.97</v>
      </c>
      <c r="Y1728" t="s">
        <v>26</v>
      </c>
      <c r="Z1728">
        <v>306</v>
      </c>
      <c r="AA1728">
        <f t="shared" si="53"/>
        <v>306</v>
      </c>
      <c r="AB1728" t="s">
        <v>34</v>
      </c>
    </row>
    <row r="1729" spans="1:28" x14ac:dyDescent="0.3">
      <c r="A1729" t="s">
        <v>707</v>
      </c>
      <c r="B1729" t="s">
        <v>706</v>
      </c>
      <c r="C1729" t="s">
        <v>706</v>
      </c>
      <c r="D1729" t="s">
        <v>1</v>
      </c>
      <c r="E1729">
        <v>89</v>
      </c>
      <c r="F1729">
        <v>89</v>
      </c>
      <c r="G1729" t="s">
        <v>21</v>
      </c>
      <c r="H1729" t="s">
        <v>21</v>
      </c>
      <c r="I1729" t="s">
        <v>67</v>
      </c>
      <c r="J1729" t="s">
        <v>67</v>
      </c>
      <c r="K1729" s="1">
        <v>46137</v>
      </c>
      <c r="L1729" s="1" t="str">
        <f>IF(K1729&gt;O1729,"Valid","Invalid")</f>
        <v>Valid</v>
      </c>
      <c r="M1729" s="1" t="b">
        <f>ISNUMBER(K1729)</f>
        <v>1</v>
      </c>
      <c r="N1729" s="1" t="b">
        <f>ISNUMBER(O1729)</f>
        <v>1</v>
      </c>
      <c r="O1729" s="1">
        <v>46121</v>
      </c>
      <c r="P1729" t="s">
        <v>705</v>
      </c>
      <c r="Q1729" t="str">
        <f>SUBSTITUTE(SUBSTITUTE(SUBSTITUTE(P1729," ",""),"-",""),"+","")</f>
        <v>913574781911</v>
      </c>
      <c r="R1729" t="str">
        <f t="shared" si="52"/>
        <v>3574781911</v>
      </c>
      <c r="S1729" t="str">
        <f>IF(LEN(R1729),"Valid","Invalid")</f>
        <v>Valid</v>
      </c>
      <c r="T1729" t="s">
        <v>704</v>
      </c>
      <c r="V1729" t="s">
        <v>57</v>
      </c>
      <c r="X1729">
        <v>2735.07</v>
      </c>
      <c r="Y1729" t="s">
        <v>64</v>
      </c>
      <c r="Z1729">
        <v>386</v>
      </c>
      <c r="AA1729">
        <f t="shared" si="53"/>
        <v>386</v>
      </c>
      <c r="AB1729" t="s">
        <v>25</v>
      </c>
    </row>
    <row r="1730" spans="1:28" x14ac:dyDescent="0.3">
      <c r="A1730" t="s">
        <v>703</v>
      </c>
      <c r="B1730" t="s">
        <v>702</v>
      </c>
      <c r="C1730" t="s">
        <v>702</v>
      </c>
      <c r="D1730" t="s">
        <v>123</v>
      </c>
      <c r="E1730">
        <v>48</v>
      </c>
      <c r="F1730">
        <v>48</v>
      </c>
      <c r="G1730" t="s">
        <v>31</v>
      </c>
      <c r="H1730" t="s">
        <v>31</v>
      </c>
      <c r="I1730" t="s">
        <v>46</v>
      </c>
      <c r="J1730" t="s">
        <v>46</v>
      </c>
      <c r="K1730" s="1">
        <v>46015</v>
      </c>
      <c r="L1730" s="1" t="str">
        <f>IF(K1730&gt;O1730,"Valid","Invalid")</f>
        <v>Valid</v>
      </c>
      <c r="M1730" s="1" t="b">
        <f>ISNUMBER(K1730)</f>
        <v>1</v>
      </c>
      <c r="N1730" s="1" t="b">
        <f>ISNUMBER(O1730)</f>
        <v>1</v>
      </c>
      <c r="O1730" s="1">
        <v>45985</v>
      </c>
      <c r="P1730" t="s">
        <v>701</v>
      </c>
      <c r="Q1730" t="str">
        <f>SUBSTITUTE(SUBSTITUTE(SUBSTITUTE(P1730," ",""),"-",""),"+","")</f>
        <v>911970011731</v>
      </c>
      <c r="R1730" t="str">
        <f t="shared" si="52"/>
        <v>1970011731</v>
      </c>
      <c r="S1730" t="str">
        <f>IF(LEN(R1730),"Valid","Invalid")</f>
        <v>Valid</v>
      </c>
      <c r="T1730" t="s">
        <v>700</v>
      </c>
      <c r="V1730" t="s">
        <v>123</v>
      </c>
      <c r="X1730">
        <v>13069.59</v>
      </c>
      <c r="Y1730" t="s">
        <v>123</v>
      </c>
      <c r="Z1730">
        <v>535</v>
      </c>
      <c r="AA1730">
        <f t="shared" si="53"/>
        <v>535</v>
      </c>
      <c r="AB1730" t="s">
        <v>34</v>
      </c>
    </row>
    <row r="1731" spans="1:28" x14ac:dyDescent="0.3">
      <c r="A1731" t="s">
        <v>699</v>
      </c>
      <c r="B1731" t="s">
        <v>698</v>
      </c>
      <c r="C1731" t="s">
        <v>698</v>
      </c>
      <c r="D1731" t="s">
        <v>60</v>
      </c>
      <c r="E1731">
        <v>3</v>
      </c>
      <c r="F1731">
        <v>3</v>
      </c>
      <c r="G1731" t="s">
        <v>31</v>
      </c>
      <c r="H1731" t="s">
        <v>31</v>
      </c>
      <c r="I1731" t="s">
        <v>85</v>
      </c>
      <c r="J1731" t="s">
        <v>85</v>
      </c>
      <c r="K1731" s="1">
        <v>46011</v>
      </c>
      <c r="L1731" s="1" t="str">
        <f>IF(K1731&gt;O1731,"Valid","Invalid")</f>
        <v>Valid</v>
      </c>
      <c r="M1731" s="1" t="b">
        <f>ISNUMBER(K1731)</f>
        <v>1</v>
      </c>
      <c r="N1731" s="1" t="b">
        <f>ISNUMBER(O1731)</f>
        <v>1</v>
      </c>
      <c r="O1731" s="1">
        <v>45987</v>
      </c>
      <c r="P1731" t="s">
        <v>697</v>
      </c>
      <c r="Q1731" t="str">
        <f>SUBSTITUTE(SUBSTITUTE(SUBSTITUTE(P1731," ",""),"-",""),"+","")</f>
        <v>911914688211</v>
      </c>
      <c r="R1731" t="str">
        <f t="shared" si="52"/>
        <v>1914688211</v>
      </c>
      <c r="S1731" t="str">
        <f>IF(LEN(R1731),"Valid","Invalid")</f>
        <v>Valid</v>
      </c>
      <c r="T1731" t="s">
        <v>696</v>
      </c>
      <c r="V1731" t="s">
        <v>26</v>
      </c>
      <c r="X1731">
        <v>20656.580000000002</v>
      </c>
      <c r="Y1731" t="s">
        <v>57</v>
      </c>
      <c r="Z1731">
        <v>103</v>
      </c>
      <c r="AA1731">
        <f t="shared" si="53"/>
        <v>103</v>
      </c>
      <c r="AB1731" t="s">
        <v>71</v>
      </c>
    </row>
    <row r="1732" spans="1:28" x14ac:dyDescent="0.3">
      <c r="A1732" t="s">
        <v>695</v>
      </c>
      <c r="B1732" t="s">
        <v>694</v>
      </c>
      <c r="C1732" t="s">
        <v>694</v>
      </c>
      <c r="D1732" t="s">
        <v>22</v>
      </c>
      <c r="E1732">
        <v>81</v>
      </c>
      <c r="F1732">
        <v>81</v>
      </c>
      <c r="G1732" t="s">
        <v>80</v>
      </c>
      <c r="H1732" t="s">
        <v>80</v>
      </c>
      <c r="I1732" t="s">
        <v>20</v>
      </c>
      <c r="J1732" t="s">
        <v>20</v>
      </c>
      <c r="K1732" s="1">
        <v>46086</v>
      </c>
      <c r="L1732" s="1" t="str">
        <f>IF(K1732&gt;O1732,"Valid","Invalid")</f>
        <v>Valid</v>
      </c>
      <c r="M1732" s="1" t="b">
        <f>ISNUMBER(K1732)</f>
        <v>1</v>
      </c>
      <c r="N1732" s="1" t="b">
        <f>ISNUMBER(O1732)</f>
        <v>1</v>
      </c>
      <c r="O1732" s="1">
        <v>46057</v>
      </c>
      <c r="P1732" t="s">
        <v>693</v>
      </c>
      <c r="Q1732" t="str">
        <f>SUBSTITUTE(SUBSTITUTE(SUBSTITUTE(P1732," ",""),"-",""),"+","")</f>
        <v>06399375979</v>
      </c>
      <c r="R1732" t="str">
        <f t="shared" si="52"/>
        <v>6399375979</v>
      </c>
      <c r="S1732" t="str">
        <f>IF(LEN(R1732),"Valid","Invalid")</f>
        <v>Valid</v>
      </c>
      <c r="T1732" t="s">
        <v>692</v>
      </c>
      <c r="V1732" t="s">
        <v>64</v>
      </c>
      <c r="X1732">
        <v>22864.23</v>
      </c>
      <c r="Y1732" t="s">
        <v>123</v>
      </c>
      <c r="Z1732">
        <v>184</v>
      </c>
      <c r="AA1732">
        <f t="shared" si="53"/>
        <v>184</v>
      </c>
      <c r="AB1732" t="s">
        <v>77</v>
      </c>
    </row>
    <row r="1733" spans="1:28" x14ac:dyDescent="0.3">
      <c r="A1733" t="s">
        <v>691</v>
      </c>
      <c r="B1733" t="s">
        <v>690</v>
      </c>
      <c r="C1733" t="s">
        <v>690</v>
      </c>
      <c r="D1733" t="s">
        <v>1</v>
      </c>
      <c r="E1733">
        <v>67</v>
      </c>
      <c r="F1733">
        <v>67</v>
      </c>
      <c r="G1733" t="s">
        <v>31</v>
      </c>
      <c r="H1733" t="s">
        <v>31</v>
      </c>
      <c r="I1733" t="s">
        <v>38</v>
      </c>
      <c r="J1733" t="s">
        <v>8077</v>
      </c>
      <c r="K1733" s="1">
        <v>45988</v>
      </c>
      <c r="L1733" s="1" t="str">
        <f>IF(K1733&gt;O1733,"Valid","Invalid")</f>
        <v>Valid</v>
      </c>
      <c r="M1733" s="1" t="b">
        <f>ISNUMBER(K1733)</f>
        <v>1</v>
      </c>
      <c r="N1733" s="1" t="b">
        <f>ISNUMBER(O1733)</f>
        <v>1</v>
      </c>
      <c r="O1733" s="1">
        <v>45980</v>
      </c>
      <c r="P1733" t="s">
        <v>689</v>
      </c>
      <c r="Q1733" t="str">
        <f>SUBSTITUTE(SUBSTITUTE(SUBSTITUTE(P1733," ",""),"-",""),"+","")</f>
        <v>915632364869</v>
      </c>
      <c r="R1733" t="str">
        <f t="shared" ref="R1733:R1796" si="54">RIGHT(Q1733,10)</f>
        <v>5632364869</v>
      </c>
      <c r="S1733" t="str">
        <f>IF(LEN(R1733),"Valid","Invalid")</f>
        <v>Valid</v>
      </c>
      <c r="T1733" t="s">
        <v>123</v>
      </c>
      <c r="V1733" t="s">
        <v>27</v>
      </c>
      <c r="X1733">
        <v>2333.0500000000002</v>
      </c>
      <c r="Y1733" t="s">
        <v>17</v>
      </c>
      <c r="Z1733">
        <v>207</v>
      </c>
      <c r="AA1733">
        <f t="shared" ref="AA1733:AA1796" si="55">IF(Z1733="Room-x",0,Z1733)</f>
        <v>207</v>
      </c>
      <c r="AB1733" t="s">
        <v>16</v>
      </c>
    </row>
    <row r="1734" spans="1:28" x14ac:dyDescent="0.3">
      <c r="A1734" t="s">
        <v>688</v>
      </c>
      <c r="B1734" t="s">
        <v>687</v>
      </c>
      <c r="C1734" t="s">
        <v>687</v>
      </c>
      <c r="D1734" t="s">
        <v>22</v>
      </c>
      <c r="E1734">
        <v>12</v>
      </c>
      <c r="F1734">
        <v>12</v>
      </c>
      <c r="G1734" t="s">
        <v>31</v>
      </c>
      <c r="H1734" t="s">
        <v>31</v>
      </c>
      <c r="I1734" t="s">
        <v>30</v>
      </c>
      <c r="J1734" t="s">
        <v>30</v>
      </c>
      <c r="K1734" s="1">
        <v>46061</v>
      </c>
      <c r="L1734" s="1" t="str">
        <f>IF(K1734&gt;O1734,"Valid","Invalid")</f>
        <v>Valid</v>
      </c>
      <c r="M1734" s="1" t="b">
        <f>ISNUMBER(K1734)</f>
        <v>1</v>
      </c>
      <c r="N1734" s="1" t="b">
        <f>ISNUMBER(O1734)</f>
        <v>1</v>
      </c>
      <c r="O1734" s="1">
        <v>46047</v>
      </c>
      <c r="P1734" t="s">
        <v>686</v>
      </c>
      <c r="Q1734" t="str">
        <f>SUBSTITUTE(SUBSTITUTE(SUBSTITUTE(P1734," ",""),"-",""),"+","")</f>
        <v>0208098283</v>
      </c>
      <c r="R1734" t="str">
        <f t="shared" si="54"/>
        <v>0208098283</v>
      </c>
      <c r="S1734" t="str">
        <f>IF(LEN(R1734),"Valid","Invalid")</f>
        <v>Valid</v>
      </c>
      <c r="T1734" t="s">
        <v>685</v>
      </c>
      <c r="V1734" t="s">
        <v>64</v>
      </c>
      <c r="X1734">
        <v>8303.84</v>
      </c>
      <c r="Y1734" t="s">
        <v>17</v>
      </c>
      <c r="Z1734">
        <v>203</v>
      </c>
      <c r="AA1734">
        <f t="shared" si="55"/>
        <v>203</v>
      </c>
      <c r="AB1734" t="s">
        <v>77</v>
      </c>
    </row>
    <row r="1735" spans="1:28" x14ac:dyDescent="0.3">
      <c r="A1735" t="s">
        <v>684</v>
      </c>
      <c r="B1735" t="s">
        <v>683</v>
      </c>
      <c r="C1735" t="s">
        <v>683</v>
      </c>
      <c r="D1735" t="s">
        <v>1</v>
      </c>
      <c r="E1735">
        <v>23</v>
      </c>
      <c r="F1735">
        <v>23</v>
      </c>
      <c r="G1735" t="s">
        <v>31</v>
      </c>
      <c r="H1735" t="s">
        <v>31</v>
      </c>
      <c r="I1735" t="s">
        <v>38</v>
      </c>
      <c r="J1735" t="s">
        <v>8077</v>
      </c>
      <c r="K1735" s="1">
        <v>46126</v>
      </c>
      <c r="L1735" s="1" t="str">
        <f>IF(K1735&gt;O1735,"Valid","Invalid")</f>
        <v>Valid</v>
      </c>
      <c r="M1735" s="1" t="b">
        <f>ISNUMBER(K1735)</f>
        <v>1</v>
      </c>
      <c r="N1735" s="1" t="b">
        <f>ISNUMBER(O1735)</f>
        <v>1</v>
      </c>
      <c r="O1735" s="1">
        <v>46100</v>
      </c>
      <c r="P1735" t="s">
        <v>682</v>
      </c>
      <c r="Q1735" t="str">
        <f>SUBSTITUTE(SUBSTITUTE(SUBSTITUTE(P1735," ",""),"-",""),"+","")</f>
        <v>911102182396</v>
      </c>
      <c r="R1735" t="str">
        <f t="shared" si="54"/>
        <v>1102182396</v>
      </c>
      <c r="S1735" t="str">
        <f>IF(LEN(R1735),"Valid","Invalid")</f>
        <v>Valid</v>
      </c>
      <c r="T1735" t="s">
        <v>681</v>
      </c>
      <c r="V1735" t="s">
        <v>123</v>
      </c>
      <c r="X1735">
        <v>12001.22</v>
      </c>
      <c r="Y1735" t="s">
        <v>64</v>
      </c>
      <c r="Z1735">
        <v>221</v>
      </c>
      <c r="AA1735">
        <f t="shared" si="55"/>
        <v>221</v>
      </c>
      <c r="AB1735" t="s">
        <v>50</v>
      </c>
    </row>
    <row r="1736" spans="1:28" x14ac:dyDescent="0.3">
      <c r="A1736" t="s">
        <v>676</v>
      </c>
      <c r="B1736" t="s">
        <v>675</v>
      </c>
      <c r="C1736" t="s">
        <v>675</v>
      </c>
      <c r="D1736" t="s">
        <v>74</v>
      </c>
      <c r="E1736">
        <v>37</v>
      </c>
      <c r="F1736">
        <v>37</v>
      </c>
      <c r="G1736" t="s">
        <v>80</v>
      </c>
      <c r="H1736" t="s">
        <v>80</v>
      </c>
      <c r="I1736" t="s">
        <v>46</v>
      </c>
      <c r="J1736" t="s">
        <v>46</v>
      </c>
      <c r="K1736" s="1">
        <v>46032</v>
      </c>
      <c r="L1736" s="1" t="str">
        <f>IF(K1736&gt;O1736,"Valid","Invalid")</f>
        <v>Valid</v>
      </c>
      <c r="M1736" s="1" t="b">
        <f>ISNUMBER(K1736)</f>
        <v>1</v>
      </c>
      <c r="N1736" s="1" t="b">
        <f>ISNUMBER(O1736)</f>
        <v>1</v>
      </c>
      <c r="O1736" s="1">
        <v>46008</v>
      </c>
      <c r="P1736" t="s">
        <v>674</v>
      </c>
      <c r="Q1736" t="str">
        <f>SUBSTITUTE(SUBSTITUTE(SUBSTITUTE(P1736," ",""),"-",""),"+","")</f>
        <v>917986551418</v>
      </c>
      <c r="R1736" t="str">
        <f t="shared" si="54"/>
        <v>7986551418</v>
      </c>
      <c r="S1736" t="str">
        <f>IF(LEN(R1736),"Valid","Invalid")</f>
        <v>Valid</v>
      </c>
      <c r="T1736" t="s">
        <v>673</v>
      </c>
      <c r="V1736" t="s">
        <v>57</v>
      </c>
      <c r="X1736">
        <v>4597.6499999999996</v>
      </c>
      <c r="Y1736" t="s">
        <v>123</v>
      </c>
      <c r="Z1736">
        <v>415</v>
      </c>
      <c r="AA1736">
        <f t="shared" si="55"/>
        <v>415</v>
      </c>
      <c r="AB1736" t="s">
        <v>34</v>
      </c>
    </row>
    <row r="1737" spans="1:28" x14ac:dyDescent="0.3">
      <c r="A1737" t="s">
        <v>672</v>
      </c>
      <c r="B1737" t="s">
        <v>671</v>
      </c>
      <c r="C1737" t="s">
        <v>671</v>
      </c>
      <c r="D1737" t="s">
        <v>74</v>
      </c>
      <c r="E1737">
        <v>90</v>
      </c>
      <c r="F1737">
        <v>90</v>
      </c>
      <c r="G1737" t="s">
        <v>68</v>
      </c>
      <c r="H1737" t="s">
        <v>68</v>
      </c>
      <c r="I1737" t="s">
        <v>46</v>
      </c>
      <c r="J1737" t="s">
        <v>46</v>
      </c>
      <c r="K1737" s="1">
        <v>46131</v>
      </c>
      <c r="L1737" s="1" t="str">
        <f>IF(K1737&gt;O1737,"Valid","Invalid")</f>
        <v>Valid</v>
      </c>
      <c r="M1737" s="1" t="b">
        <f>ISNUMBER(K1737)</f>
        <v>1</v>
      </c>
      <c r="N1737" s="1" t="b">
        <f>ISNUMBER(O1737)</f>
        <v>1</v>
      </c>
      <c r="O1737" s="1">
        <v>46112</v>
      </c>
      <c r="P1737" t="s">
        <v>670</v>
      </c>
      <c r="Q1737" t="str">
        <f>SUBSTITUTE(SUBSTITUTE(SUBSTITUTE(P1737," ",""),"-",""),"+","")</f>
        <v>00062569375</v>
      </c>
      <c r="R1737" t="str">
        <f t="shared" si="54"/>
        <v>0062569375</v>
      </c>
      <c r="S1737" t="str">
        <f>IF(LEN(R1737),"Valid","Invalid")</f>
        <v>Valid</v>
      </c>
      <c r="T1737" t="s">
        <v>669</v>
      </c>
      <c r="V1737" t="s">
        <v>35</v>
      </c>
      <c r="X1737">
        <v>18992.57</v>
      </c>
      <c r="Y1737" t="s">
        <v>27</v>
      </c>
      <c r="Z1737">
        <v>239</v>
      </c>
      <c r="AA1737">
        <f t="shared" si="55"/>
        <v>239</v>
      </c>
      <c r="AB1737" t="s">
        <v>43</v>
      </c>
    </row>
    <row r="1738" spans="1:28" x14ac:dyDescent="0.3">
      <c r="A1738" t="s">
        <v>668</v>
      </c>
      <c r="B1738" t="s">
        <v>667</v>
      </c>
      <c r="C1738" t="s">
        <v>667</v>
      </c>
      <c r="D1738" t="s">
        <v>0</v>
      </c>
      <c r="E1738">
        <v>31</v>
      </c>
      <c r="F1738">
        <v>31</v>
      </c>
      <c r="G1738" t="s">
        <v>31</v>
      </c>
      <c r="H1738" t="s">
        <v>31</v>
      </c>
      <c r="I1738" t="s">
        <v>90</v>
      </c>
      <c r="J1738" t="s">
        <v>67</v>
      </c>
      <c r="K1738" s="1">
        <v>46056</v>
      </c>
      <c r="L1738" s="1" t="str">
        <f>IF(K1738&gt;O1738,"Valid","Invalid")</f>
        <v>Valid</v>
      </c>
      <c r="M1738" s="1" t="b">
        <f>ISNUMBER(K1738)</f>
        <v>1</v>
      </c>
      <c r="N1738" s="1" t="b">
        <f>ISNUMBER(O1738)</f>
        <v>1</v>
      </c>
      <c r="O1738" s="1">
        <v>46051</v>
      </c>
      <c r="P1738" t="s">
        <v>666</v>
      </c>
      <c r="Q1738" t="str">
        <f>SUBSTITUTE(SUBSTITUTE(SUBSTITUTE(P1738," ",""),"-",""),"+","")</f>
        <v>919442601687</v>
      </c>
      <c r="R1738" t="str">
        <f t="shared" si="54"/>
        <v>9442601687</v>
      </c>
      <c r="S1738" t="str">
        <f>IF(LEN(R1738),"Valid","Invalid")</f>
        <v>Valid</v>
      </c>
      <c r="T1738" t="s">
        <v>665</v>
      </c>
      <c r="V1738" t="s">
        <v>35</v>
      </c>
      <c r="X1738">
        <v>23392.31</v>
      </c>
      <c r="Y1738" t="s">
        <v>123</v>
      </c>
      <c r="Z1738">
        <v>313</v>
      </c>
      <c r="AA1738">
        <f t="shared" si="55"/>
        <v>313</v>
      </c>
      <c r="AB1738" t="s">
        <v>77</v>
      </c>
    </row>
    <row r="1739" spans="1:28" x14ac:dyDescent="0.3">
      <c r="A1739" t="s">
        <v>664</v>
      </c>
      <c r="B1739" t="s">
        <v>663</v>
      </c>
      <c r="C1739" t="s">
        <v>663</v>
      </c>
      <c r="D1739" t="s">
        <v>60</v>
      </c>
      <c r="E1739">
        <v>75</v>
      </c>
      <c r="F1739">
        <v>75</v>
      </c>
      <c r="G1739" t="s">
        <v>54</v>
      </c>
      <c r="H1739" t="s">
        <v>54</v>
      </c>
      <c r="I1739" t="s">
        <v>85</v>
      </c>
      <c r="J1739" t="s">
        <v>85</v>
      </c>
      <c r="K1739" s="1">
        <v>46018</v>
      </c>
      <c r="L1739" s="1" t="str">
        <f>IF(K1739&gt;O1739,"Valid","Invalid")</f>
        <v>Valid</v>
      </c>
      <c r="M1739" s="1" t="b">
        <f>ISNUMBER(K1739)</f>
        <v>1</v>
      </c>
      <c r="N1739" s="1" t="b">
        <f>ISNUMBER(O1739)</f>
        <v>1</v>
      </c>
      <c r="O1739" s="1">
        <v>46001</v>
      </c>
      <c r="P1739" t="s">
        <v>662</v>
      </c>
      <c r="Q1739" t="str">
        <f>SUBSTITUTE(SUBSTITUTE(SUBSTITUTE(P1739," ",""),"-",""),"+","")</f>
        <v>09328275875</v>
      </c>
      <c r="R1739" t="str">
        <f t="shared" si="54"/>
        <v>9328275875</v>
      </c>
      <c r="S1739" t="str">
        <f>IF(LEN(R1739),"Valid","Invalid")</f>
        <v>Valid</v>
      </c>
      <c r="T1739" t="s">
        <v>661</v>
      </c>
      <c r="V1739" t="s">
        <v>123</v>
      </c>
      <c r="X1739">
        <v>7132.54</v>
      </c>
      <c r="Y1739" t="s">
        <v>26</v>
      </c>
      <c r="Z1739">
        <v>170</v>
      </c>
      <c r="AA1739">
        <f t="shared" si="55"/>
        <v>170</v>
      </c>
      <c r="AB1739" t="s">
        <v>16</v>
      </c>
    </row>
    <row r="1740" spans="1:28" x14ac:dyDescent="0.3">
      <c r="A1740" t="s">
        <v>660</v>
      </c>
      <c r="B1740" t="s">
        <v>659</v>
      </c>
      <c r="C1740" t="s">
        <v>659</v>
      </c>
      <c r="D1740" t="s">
        <v>60</v>
      </c>
      <c r="E1740">
        <v>66</v>
      </c>
      <c r="F1740">
        <v>66</v>
      </c>
      <c r="G1740" t="s">
        <v>31</v>
      </c>
      <c r="H1740" t="s">
        <v>31</v>
      </c>
      <c r="I1740" t="s">
        <v>30</v>
      </c>
      <c r="J1740" t="s">
        <v>30</v>
      </c>
      <c r="K1740" s="1">
        <v>46089</v>
      </c>
      <c r="L1740" s="1" t="str">
        <f>IF(K1740&gt;O1740,"Valid","Invalid")</f>
        <v>Valid</v>
      </c>
      <c r="M1740" s="1" t="b">
        <f>ISNUMBER(K1740)</f>
        <v>1</v>
      </c>
      <c r="N1740" s="1" t="b">
        <f>ISNUMBER(O1740)</f>
        <v>1</v>
      </c>
      <c r="O1740" s="1">
        <v>46072</v>
      </c>
      <c r="P1740" t="s">
        <v>658</v>
      </c>
      <c r="Q1740" t="str">
        <f>SUBSTITUTE(SUBSTITUTE(SUBSTITUTE(P1740," ",""),"-",""),"+","")</f>
        <v>918966100002</v>
      </c>
      <c r="R1740" t="str">
        <f t="shared" si="54"/>
        <v>8966100002</v>
      </c>
      <c r="S1740" t="str">
        <f>IF(LEN(R1740),"Valid","Invalid")</f>
        <v>Valid</v>
      </c>
      <c r="T1740" t="s">
        <v>657</v>
      </c>
      <c r="V1740" t="s">
        <v>57</v>
      </c>
      <c r="X1740">
        <v>18375.62</v>
      </c>
      <c r="Y1740" t="s">
        <v>123</v>
      </c>
      <c r="Z1740">
        <v>286</v>
      </c>
      <c r="AA1740">
        <f t="shared" si="55"/>
        <v>286</v>
      </c>
      <c r="AB1740" t="s">
        <v>50</v>
      </c>
    </row>
    <row r="1741" spans="1:28" x14ac:dyDescent="0.3">
      <c r="A1741" t="s">
        <v>656</v>
      </c>
      <c r="B1741" t="s">
        <v>655</v>
      </c>
      <c r="C1741" t="s">
        <v>655</v>
      </c>
      <c r="D1741" t="s">
        <v>60</v>
      </c>
      <c r="E1741">
        <v>79</v>
      </c>
      <c r="F1741">
        <v>79</v>
      </c>
      <c r="G1741" t="s">
        <v>132</v>
      </c>
      <c r="H1741" t="s">
        <v>132</v>
      </c>
      <c r="I1741" t="s">
        <v>53</v>
      </c>
      <c r="J1741" t="s">
        <v>20</v>
      </c>
      <c r="K1741" s="1">
        <v>46123</v>
      </c>
      <c r="L1741" s="1" t="str">
        <f>IF(K1741&gt;O1741,"Valid","Invalid")</f>
        <v>Valid</v>
      </c>
      <c r="M1741" s="1" t="b">
        <f>ISNUMBER(K1741)</f>
        <v>1</v>
      </c>
      <c r="N1741" s="1" t="b">
        <f>ISNUMBER(O1741)</f>
        <v>1</v>
      </c>
      <c r="O1741" s="1">
        <v>46107</v>
      </c>
      <c r="P1741" t="s">
        <v>654</v>
      </c>
      <c r="Q1741" t="str">
        <f>SUBSTITUTE(SUBSTITUTE(SUBSTITUTE(P1741," ",""),"-",""),"+","")</f>
        <v>8561971514</v>
      </c>
      <c r="R1741" t="str">
        <f t="shared" si="54"/>
        <v>8561971514</v>
      </c>
      <c r="S1741" t="str">
        <f>IF(LEN(R1741),"Valid","Invalid")</f>
        <v>Valid</v>
      </c>
      <c r="T1741" t="s">
        <v>653</v>
      </c>
      <c r="V1741" t="s">
        <v>35</v>
      </c>
      <c r="X1741">
        <v>7752.63</v>
      </c>
      <c r="Y1741" t="s">
        <v>64</v>
      </c>
      <c r="Z1741">
        <v>142</v>
      </c>
      <c r="AA1741">
        <f t="shared" si="55"/>
        <v>142</v>
      </c>
      <c r="AB1741" t="s">
        <v>50</v>
      </c>
    </row>
    <row r="1742" spans="1:28" x14ac:dyDescent="0.3">
      <c r="A1742" t="s">
        <v>652</v>
      </c>
      <c r="B1742" t="s">
        <v>651</v>
      </c>
      <c r="C1742" t="s">
        <v>651</v>
      </c>
      <c r="D1742" t="s">
        <v>123</v>
      </c>
      <c r="E1742">
        <v>43</v>
      </c>
      <c r="F1742">
        <v>43</v>
      </c>
      <c r="G1742" t="s">
        <v>47</v>
      </c>
      <c r="H1742" t="s">
        <v>47</v>
      </c>
      <c r="I1742" t="s">
        <v>53</v>
      </c>
      <c r="J1742" t="s">
        <v>20</v>
      </c>
      <c r="K1742" s="1">
        <v>46037</v>
      </c>
      <c r="L1742" s="1" t="str">
        <f>IF(K1742&gt;O1742,"Valid","Invalid")</f>
        <v>Valid</v>
      </c>
      <c r="M1742" s="1" t="b">
        <f>ISNUMBER(K1742)</f>
        <v>1</v>
      </c>
      <c r="N1742" s="1" t="b">
        <f>ISNUMBER(O1742)</f>
        <v>1</v>
      </c>
      <c r="O1742" s="1">
        <v>46008</v>
      </c>
      <c r="P1742" t="s">
        <v>650</v>
      </c>
      <c r="Q1742" t="str">
        <f>SUBSTITUTE(SUBSTITUTE(SUBSTITUTE(P1742," ",""),"-",""),"+","")</f>
        <v>911839201141</v>
      </c>
      <c r="R1742" t="str">
        <f t="shared" si="54"/>
        <v>1839201141</v>
      </c>
      <c r="S1742" t="str">
        <f>IF(LEN(R1742),"Valid","Invalid")</f>
        <v>Valid</v>
      </c>
      <c r="T1742" t="s">
        <v>649</v>
      </c>
      <c r="V1742" t="s">
        <v>27</v>
      </c>
      <c r="X1742">
        <v>22085.75</v>
      </c>
      <c r="Y1742" t="s">
        <v>27</v>
      </c>
      <c r="Z1742">
        <v>179</v>
      </c>
      <c r="AA1742">
        <f t="shared" si="55"/>
        <v>179</v>
      </c>
      <c r="AB1742" t="s">
        <v>50</v>
      </c>
    </row>
    <row r="1743" spans="1:28" x14ac:dyDescent="0.3">
      <c r="A1743" t="s">
        <v>648</v>
      </c>
      <c r="B1743" t="s">
        <v>647</v>
      </c>
      <c r="C1743" t="s">
        <v>647</v>
      </c>
      <c r="D1743" t="s">
        <v>22</v>
      </c>
      <c r="E1743">
        <v>48</v>
      </c>
      <c r="F1743">
        <v>48</v>
      </c>
      <c r="G1743" t="s">
        <v>21</v>
      </c>
      <c r="H1743" t="s">
        <v>21</v>
      </c>
      <c r="I1743" t="s">
        <v>38</v>
      </c>
      <c r="J1743" t="s">
        <v>8077</v>
      </c>
      <c r="K1743" s="1">
        <v>45994</v>
      </c>
      <c r="L1743" s="1" t="str">
        <f>IF(K1743&gt;O1743,"Valid","Invalid")</f>
        <v>Valid</v>
      </c>
      <c r="M1743" s="1" t="b">
        <f>ISNUMBER(K1743)</f>
        <v>1</v>
      </c>
      <c r="N1743" s="1" t="b">
        <f>ISNUMBER(O1743)</f>
        <v>1</v>
      </c>
      <c r="O1743" s="1">
        <v>45992</v>
      </c>
      <c r="P1743" t="s">
        <v>646</v>
      </c>
      <c r="Q1743" t="str">
        <f>SUBSTITUTE(SUBSTITUTE(SUBSTITUTE(P1743," ",""),"-",""),"+","")</f>
        <v>9442017535</v>
      </c>
      <c r="R1743" t="str">
        <f t="shared" si="54"/>
        <v>9442017535</v>
      </c>
      <c r="S1743" t="str">
        <f>IF(LEN(R1743),"Valid","Invalid")</f>
        <v>Valid</v>
      </c>
      <c r="T1743" t="s">
        <v>645</v>
      </c>
      <c r="V1743" t="s">
        <v>17</v>
      </c>
      <c r="X1743">
        <v>3451.97</v>
      </c>
      <c r="Y1743" t="s">
        <v>64</v>
      </c>
      <c r="Z1743">
        <v>509</v>
      </c>
      <c r="AA1743">
        <f t="shared" si="55"/>
        <v>509</v>
      </c>
      <c r="AB1743" t="s">
        <v>43</v>
      </c>
    </row>
    <row r="1744" spans="1:28" x14ac:dyDescent="0.3">
      <c r="A1744" t="s">
        <v>644</v>
      </c>
      <c r="B1744" t="s">
        <v>643</v>
      </c>
      <c r="C1744" t="s">
        <v>643</v>
      </c>
      <c r="D1744" t="s">
        <v>60</v>
      </c>
      <c r="E1744">
        <v>9</v>
      </c>
      <c r="F1744">
        <v>9</v>
      </c>
      <c r="G1744" t="s">
        <v>21</v>
      </c>
      <c r="H1744" t="s">
        <v>21</v>
      </c>
      <c r="I1744" t="s">
        <v>46</v>
      </c>
      <c r="J1744" t="s">
        <v>46</v>
      </c>
      <c r="K1744" s="1">
        <v>46075</v>
      </c>
      <c r="L1744" s="1" t="str">
        <f>IF(K1744&gt;O1744,"Valid","Invalid")</f>
        <v>Valid</v>
      </c>
      <c r="M1744" s="1" t="b">
        <f>ISNUMBER(K1744)</f>
        <v>1</v>
      </c>
      <c r="N1744" s="1" t="b">
        <f>ISNUMBER(O1744)</f>
        <v>1</v>
      </c>
      <c r="O1744" s="1">
        <v>46065</v>
      </c>
      <c r="P1744" t="s">
        <v>642</v>
      </c>
      <c r="Q1744" t="str">
        <f>SUBSTITUTE(SUBSTITUTE(SUBSTITUTE(P1744," ",""),"-",""),"+","")</f>
        <v>6073206161</v>
      </c>
      <c r="R1744" t="str">
        <f t="shared" si="54"/>
        <v>6073206161</v>
      </c>
      <c r="S1744" t="str">
        <f>IF(LEN(R1744),"Valid","Invalid")</f>
        <v>Valid</v>
      </c>
      <c r="T1744" t="s">
        <v>641</v>
      </c>
      <c r="V1744" t="s">
        <v>57</v>
      </c>
      <c r="X1744">
        <v>12117.12</v>
      </c>
      <c r="Y1744" t="s">
        <v>57</v>
      </c>
      <c r="Z1744">
        <v>424</v>
      </c>
      <c r="AA1744">
        <f t="shared" si="55"/>
        <v>424</v>
      </c>
      <c r="AB1744" t="s">
        <v>25</v>
      </c>
    </row>
    <row r="1745" spans="1:28" x14ac:dyDescent="0.3">
      <c r="A1745" t="s">
        <v>640</v>
      </c>
      <c r="B1745" t="s">
        <v>639</v>
      </c>
      <c r="C1745" t="s">
        <v>639</v>
      </c>
      <c r="D1745" t="s">
        <v>123</v>
      </c>
      <c r="E1745">
        <v>72</v>
      </c>
      <c r="F1745">
        <v>72</v>
      </c>
      <c r="G1745" t="s">
        <v>39</v>
      </c>
      <c r="H1745" t="s">
        <v>39</v>
      </c>
      <c r="I1745" t="s">
        <v>20</v>
      </c>
      <c r="J1745" t="s">
        <v>20</v>
      </c>
      <c r="K1745" s="1">
        <v>46101</v>
      </c>
      <c r="L1745" s="1" t="str">
        <f>IF(K1745&gt;O1745,"Valid","Invalid")</f>
        <v>Valid</v>
      </c>
      <c r="M1745" s="1" t="b">
        <f>ISNUMBER(K1745)</f>
        <v>1</v>
      </c>
      <c r="N1745" s="1" t="b">
        <f>ISNUMBER(O1745)</f>
        <v>1</v>
      </c>
      <c r="O1745" s="1">
        <v>46092</v>
      </c>
      <c r="P1745" t="s">
        <v>638</v>
      </c>
      <c r="Q1745" t="str">
        <f>SUBSTITUTE(SUBSTITUTE(SUBSTITUTE(P1745," ",""),"-",""),"+","")</f>
        <v>8863741069</v>
      </c>
      <c r="R1745" t="str">
        <f t="shared" si="54"/>
        <v>8863741069</v>
      </c>
      <c r="S1745" t="str">
        <f>IF(LEN(R1745),"Valid","Invalid")</f>
        <v>Valid</v>
      </c>
      <c r="T1745" t="s">
        <v>637</v>
      </c>
      <c r="V1745" t="s">
        <v>26</v>
      </c>
      <c r="X1745">
        <v>7252.2</v>
      </c>
      <c r="Y1745" t="s">
        <v>123</v>
      </c>
      <c r="Z1745">
        <v>297</v>
      </c>
      <c r="AA1745">
        <f t="shared" si="55"/>
        <v>297</v>
      </c>
      <c r="AB1745" t="s">
        <v>34</v>
      </c>
    </row>
    <row r="1746" spans="1:28" x14ac:dyDescent="0.3">
      <c r="A1746" t="s">
        <v>636</v>
      </c>
      <c r="B1746" t="s">
        <v>635</v>
      </c>
      <c r="C1746" t="s">
        <v>635</v>
      </c>
      <c r="E1746">
        <v>19</v>
      </c>
      <c r="F1746">
        <v>19</v>
      </c>
      <c r="G1746" t="s">
        <v>68</v>
      </c>
      <c r="H1746" t="s">
        <v>68</v>
      </c>
      <c r="I1746" t="s">
        <v>38</v>
      </c>
      <c r="J1746" t="s">
        <v>8077</v>
      </c>
      <c r="K1746" s="1">
        <v>46049</v>
      </c>
      <c r="L1746" s="1" t="str">
        <f>IF(K1746&gt;O1746,"Valid","Invalid")</f>
        <v>Valid</v>
      </c>
      <c r="M1746" s="1" t="b">
        <f>ISNUMBER(K1746)</f>
        <v>1</v>
      </c>
      <c r="N1746" s="1" t="b">
        <f>ISNUMBER(O1746)</f>
        <v>1</v>
      </c>
      <c r="O1746" s="1">
        <v>46036</v>
      </c>
      <c r="P1746" t="s">
        <v>634</v>
      </c>
      <c r="Q1746" t="str">
        <f>SUBSTITUTE(SUBSTITUTE(SUBSTITUTE(P1746," ",""),"-",""),"+","")</f>
        <v>914191985684</v>
      </c>
      <c r="R1746" t="str">
        <f t="shared" si="54"/>
        <v>4191985684</v>
      </c>
      <c r="S1746" t="str">
        <f>IF(LEN(R1746),"Valid","Invalid")</f>
        <v>Valid</v>
      </c>
      <c r="T1746" t="s">
        <v>633</v>
      </c>
      <c r="V1746" t="s">
        <v>123</v>
      </c>
      <c r="X1746">
        <v>22491.95</v>
      </c>
      <c r="Y1746" t="s">
        <v>123</v>
      </c>
      <c r="Z1746">
        <v>468</v>
      </c>
      <c r="AA1746">
        <f t="shared" si="55"/>
        <v>468</v>
      </c>
      <c r="AB1746" t="s">
        <v>43</v>
      </c>
    </row>
    <row r="1747" spans="1:28" x14ac:dyDescent="0.3">
      <c r="A1747" t="s">
        <v>632</v>
      </c>
      <c r="B1747" t="s">
        <v>631</v>
      </c>
      <c r="C1747" t="s">
        <v>631</v>
      </c>
      <c r="D1747" t="s">
        <v>123</v>
      </c>
      <c r="E1747">
        <v>20</v>
      </c>
      <c r="F1747">
        <v>20</v>
      </c>
      <c r="G1747" t="s">
        <v>47</v>
      </c>
      <c r="H1747" t="s">
        <v>47</v>
      </c>
      <c r="I1747" t="s">
        <v>53</v>
      </c>
      <c r="J1747" t="s">
        <v>20</v>
      </c>
      <c r="K1747" s="1">
        <v>46047</v>
      </c>
      <c r="L1747" s="1" t="str">
        <f>IF(K1747&gt;O1747,"Valid","Invalid")</f>
        <v>Valid</v>
      </c>
      <c r="M1747" s="1" t="b">
        <f>ISNUMBER(K1747)</f>
        <v>1</v>
      </c>
      <c r="N1747" s="1" t="b">
        <f>ISNUMBER(O1747)</f>
        <v>1</v>
      </c>
      <c r="O1747" s="1">
        <v>46036</v>
      </c>
      <c r="P1747" t="s">
        <v>630</v>
      </c>
      <c r="Q1747" t="str">
        <f>SUBSTITUTE(SUBSTITUTE(SUBSTITUTE(P1747," ",""),"-",""),"+","")</f>
        <v>06580159279</v>
      </c>
      <c r="R1747" t="str">
        <f t="shared" si="54"/>
        <v>6580159279</v>
      </c>
      <c r="S1747" t="str">
        <f>IF(LEN(R1747),"Valid","Invalid")</f>
        <v>Valid</v>
      </c>
      <c r="T1747" t="s">
        <v>629</v>
      </c>
      <c r="V1747" t="s">
        <v>35</v>
      </c>
      <c r="X1747">
        <v>22997.18</v>
      </c>
      <c r="Y1747" t="s">
        <v>63</v>
      </c>
      <c r="Z1747">
        <v>207</v>
      </c>
      <c r="AA1747">
        <f t="shared" si="55"/>
        <v>207</v>
      </c>
      <c r="AB1747" t="s">
        <v>77</v>
      </c>
    </row>
    <row r="1748" spans="1:28" x14ac:dyDescent="0.3">
      <c r="A1748" t="s">
        <v>628</v>
      </c>
      <c r="B1748" t="s">
        <v>627</v>
      </c>
      <c r="C1748" t="s">
        <v>627</v>
      </c>
      <c r="D1748" t="s">
        <v>1</v>
      </c>
      <c r="E1748">
        <v>23</v>
      </c>
      <c r="F1748">
        <v>23</v>
      </c>
      <c r="G1748" t="s">
        <v>80</v>
      </c>
      <c r="H1748" t="s">
        <v>80</v>
      </c>
      <c r="I1748" t="s">
        <v>53</v>
      </c>
      <c r="J1748" t="s">
        <v>20</v>
      </c>
      <c r="K1748" s="1">
        <v>46020</v>
      </c>
      <c r="L1748" s="1" t="str">
        <f>IF(K1748&gt;O1748,"Valid","Invalid")</f>
        <v>Valid</v>
      </c>
      <c r="M1748" s="1" t="b">
        <f>ISNUMBER(K1748)</f>
        <v>1</v>
      </c>
      <c r="N1748" s="1" t="b">
        <f>ISNUMBER(O1748)</f>
        <v>1</v>
      </c>
      <c r="O1748" s="1">
        <v>46014</v>
      </c>
      <c r="P1748" t="s">
        <v>626</v>
      </c>
      <c r="Q1748" t="str">
        <f>SUBSTITUTE(SUBSTITUTE(SUBSTITUTE(P1748," ",""),"-",""),"+","")</f>
        <v>914809276820</v>
      </c>
      <c r="R1748" t="str">
        <f t="shared" si="54"/>
        <v>4809276820</v>
      </c>
      <c r="S1748" t="str">
        <f>IF(LEN(R1748),"Valid","Invalid")</f>
        <v>Valid</v>
      </c>
      <c r="T1748" t="s">
        <v>625</v>
      </c>
      <c r="V1748" t="s">
        <v>64</v>
      </c>
      <c r="X1748">
        <v>3332.13</v>
      </c>
      <c r="Y1748" t="s">
        <v>26</v>
      </c>
      <c r="Z1748">
        <v>549</v>
      </c>
      <c r="AA1748">
        <f t="shared" si="55"/>
        <v>549</v>
      </c>
      <c r="AB1748" t="s">
        <v>50</v>
      </c>
    </row>
    <row r="1749" spans="1:28" x14ac:dyDescent="0.3">
      <c r="A1749" t="s">
        <v>624</v>
      </c>
      <c r="B1749" t="s">
        <v>623</v>
      </c>
      <c r="C1749" t="s">
        <v>623</v>
      </c>
      <c r="D1749" t="s">
        <v>40</v>
      </c>
      <c r="E1749">
        <v>81</v>
      </c>
      <c r="F1749">
        <v>81</v>
      </c>
      <c r="G1749" t="s">
        <v>132</v>
      </c>
      <c r="H1749" t="s">
        <v>132</v>
      </c>
      <c r="I1749" t="s">
        <v>20</v>
      </c>
      <c r="J1749" t="s">
        <v>20</v>
      </c>
      <c r="K1749" s="1">
        <v>46123</v>
      </c>
      <c r="L1749" s="1" t="str">
        <f>IF(K1749&gt;O1749,"Valid","Invalid")</f>
        <v>Valid</v>
      </c>
      <c r="M1749" s="1" t="b">
        <f>ISNUMBER(K1749)</f>
        <v>1</v>
      </c>
      <c r="N1749" s="1" t="b">
        <f>ISNUMBER(O1749)</f>
        <v>1</v>
      </c>
      <c r="O1749" s="1">
        <v>46122</v>
      </c>
      <c r="P1749" t="s">
        <v>622</v>
      </c>
      <c r="Q1749" t="str">
        <f>SUBSTITUTE(SUBSTITUTE(SUBSTITUTE(P1749," ",""),"-",""),"+","")</f>
        <v>917390629952</v>
      </c>
      <c r="R1749" t="str">
        <f t="shared" si="54"/>
        <v>7390629952</v>
      </c>
      <c r="S1749" t="str">
        <f>IF(LEN(R1749),"Valid","Invalid")</f>
        <v>Valid</v>
      </c>
      <c r="T1749" t="s">
        <v>621</v>
      </c>
      <c r="V1749" t="s">
        <v>123</v>
      </c>
      <c r="X1749">
        <v>18509.75</v>
      </c>
      <c r="Y1749" t="s">
        <v>64</v>
      </c>
      <c r="Z1749">
        <v>366</v>
      </c>
      <c r="AA1749">
        <f t="shared" si="55"/>
        <v>366</v>
      </c>
      <c r="AB1749" t="s">
        <v>71</v>
      </c>
    </row>
    <row r="1750" spans="1:28" x14ac:dyDescent="0.3">
      <c r="A1750" t="s">
        <v>620</v>
      </c>
      <c r="B1750" t="s">
        <v>619</v>
      </c>
      <c r="C1750" t="s">
        <v>619</v>
      </c>
      <c r="D1750" t="s">
        <v>123</v>
      </c>
      <c r="E1750">
        <v>34</v>
      </c>
      <c r="F1750">
        <v>34</v>
      </c>
      <c r="G1750" t="s">
        <v>68</v>
      </c>
      <c r="H1750" t="s">
        <v>68</v>
      </c>
      <c r="I1750" t="s">
        <v>53</v>
      </c>
      <c r="J1750" t="s">
        <v>20</v>
      </c>
      <c r="K1750" s="1">
        <v>46093</v>
      </c>
      <c r="L1750" s="1" t="str">
        <f>IF(K1750&gt;O1750,"Valid","Invalid")</f>
        <v>Valid</v>
      </c>
      <c r="M1750" s="1" t="b">
        <f>ISNUMBER(K1750)</f>
        <v>1</v>
      </c>
      <c r="N1750" s="1" t="b">
        <f>ISNUMBER(O1750)</f>
        <v>1</v>
      </c>
      <c r="O1750" s="1">
        <v>46087</v>
      </c>
      <c r="P1750" t="s">
        <v>618</v>
      </c>
      <c r="Q1750" t="str">
        <f>SUBSTITUTE(SUBSTITUTE(SUBSTITUTE(P1750," ",""),"-",""),"+","")</f>
        <v>07737289198</v>
      </c>
      <c r="R1750" t="str">
        <f t="shared" si="54"/>
        <v>7737289198</v>
      </c>
      <c r="S1750" t="str">
        <f>IF(LEN(R1750),"Valid","Invalid")</f>
        <v>Valid</v>
      </c>
      <c r="T1750" t="s">
        <v>617</v>
      </c>
      <c r="V1750" t="s">
        <v>123</v>
      </c>
      <c r="X1750">
        <v>8756.18</v>
      </c>
      <c r="Y1750" t="s">
        <v>26</v>
      </c>
      <c r="Z1750">
        <v>492</v>
      </c>
      <c r="AA1750">
        <f t="shared" si="55"/>
        <v>492</v>
      </c>
      <c r="AB1750" t="s">
        <v>16</v>
      </c>
    </row>
    <row r="1751" spans="1:28" x14ac:dyDescent="0.3">
      <c r="A1751" t="s">
        <v>616</v>
      </c>
      <c r="B1751" t="s">
        <v>615</v>
      </c>
      <c r="C1751" t="s">
        <v>615</v>
      </c>
      <c r="D1751" t="s">
        <v>123</v>
      </c>
      <c r="E1751">
        <v>67</v>
      </c>
      <c r="F1751">
        <v>67</v>
      </c>
      <c r="G1751" t="s">
        <v>80</v>
      </c>
      <c r="H1751" t="s">
        <v>80</v>
      </c>
      <c r="I1751" t="s">
        <v>85</v>
      </c>
      <c r="J1751" t="s">
        <v>85</v>
      </c>
      <c r="K1751" s="1">
        <v>45999</v>
      </c>
      <c r="L1751" s="1" t="str">
        <f>IF(K1751&gt;O1751,"Valid","Invalid")</f>
        <v>Valid</v>
      </c>
      <c r="M1751" s="1" t="b">
        <f>ISNUMBER(K1751)</f>
        <v>1</v>
      </c>
      <c r="N1751" s="1" t="b">
        <f>ISNUMBER(O1751)</f>
        <v>1</v>
      </c>
      <c r="O1751" s="1">
        <v>45994</v>
      </c>
      <c r="P1751" t="s">
        <v>614</v>
      </c>
      <c r="Q1751" t="str">
        <f>SUBSTITUTE(SUBSTITUTE(SUBSTITUTE(P1751," ",""),"-",""),"+","")</f>
        <v>05277370164</v>
      </c>
      <c r="R1751" t="str">
        <f t="shared" si="54"/>
        <v>5277370164</v>
      </c>
      <c r="S1751" t="str">
        <f>IF(LEN(R1751),"Valid","Invalid")</f>
        <v>Valid</v>
      </c>
      <c r="T1751" t="s">
        <v>613</v>
      </c>
      <c r="V1751" t="s">
        <v>35</v>
      </c>
      <c r="X1751">
        <v>22516.32</v>
      </c>
      <c r="Y1751" t="s">
        <v>123</v>
      </c>
      <c r="Z1751">
        <v>337</v>
      </c>
      <c r="AA1751">
        <f t="shared" si="55"/>
        <v>337</v>
      </c>
      <c r="AB1751" t="s">
        <v>43</v>
      </c>
    </row>
    <row r="1752" spans="1:28" x14ac:dyDescent="0.3">
      <c r="A1752" t="s">
        <v>608</v>
      </c>
      <c r="B1752" t="s">
        <v>607</v>
      </c>
      <c r="C1752" t="s">
        <v>607</v>
      </c>
      <c r="D1752" t="s">
        <v>74</v>
      </c>
      <c r="E1752">
        <v>66</v>
      </c>
      <c r="F1752">
        <v>66</v>
      </c>
      <c r="G1752" t="s">
        <v>68</v>
      </c>
      <c r="H1752" t="s">
        <v>68</v>
      </c>
      <c r="I1752" t="s">
        <v>90</v>
      </c>
      <c r="J1752" t="s">
        <v>67</v>
      </c>
      <c r="K1752" s="1">
        <v>46133</v>
      </c>
      <c r="L1752" s="1" t="str">
        <f>IF(K1752&gt;O1752,"Valid","Invalid")</f>
        <v>Valid</v>
      </c>
      <c r="M1752" s="1" t="b">
        <f>ISNUMBER(K1752)</f>
        <v>1</v>
      </c>
      <c r="N1752" s="1" t="b">
        <f>ISNUMBER(O1752)</f>
        <v>1</v>
      </c>
      <c r="O1752" s="1">
        <v>46105</v>
      </c>
      <c r="P1752" t="s">
        <v>606</v>
      </c>
      <c r="Q1752" t="str">
        <f>SUBSTITUTE(SUBSTITUTE(SUBSTITUTE(P1752," ",""),"-",""),"+","")</f>
        <v>3757821873</v>
      </c>
      <c r="R1752" t="str">
        <f t="shared" si="54"/>
        <v>3757821873</v>
      </c>
      <c r="S1752" t="str">
        <f>IF(LEN(R1752),"Valid","Invalid")</f>
        <v>Valid</v>
      </c>
      <c r="T1752" t="s">
        <v>605</v>
      </c>
      <c r="V1752" t="s">
        <v>17</v>
      </c>
      <c r="X1752">
        <v>18293</v>
      </c>
      <c r="Y1752" t="s">
        <v>123</v>
      </c>
      <c r="Z1752">
        <v>127</v>
      </c>
      <c r="AA1752">
        <f t="shared" si="55"/>
        <v>127</v>
      </c>
      <c r="AB1752" t="s">
        <v>34</v>
      </c>
    </row>
    <row r="1753" spans="1:28" x14ac:dyDescent="0.3">
      <c r="A1753" t="s">
        <v>604</v>
      </c>
      <c r="B1753" t="s">
        <v>603</v>
      </c>
      <c r="C1753" t="s">
        <v>603</v>
      </c>
      <c r="D1753" t="s">
        <v>0</v>
      </c>
      <c r="E1753">
        <v>57</v>
      </c>
      <c r="F1753">
        <v>57</v>
      </c>
      <c r="G1753" t="s">
        <v>80</v>
      </c>
      <c r="H1753" t="s">
        <v>80</v>
      </c>
      <c r="I1753" t="s">
        <v>85</v>
      </c>
      <c r="J1753" t="s">
        <v>85</v>
      </c>
      <c r="K1753" s="1">
        <v>46048</v>
      </c>
      <c r="L1753" s="1" t="str">
        <f>IF(K1753&gt;O1753,"Valid","Invalid")</f>
        <v>Valid</v>
      </c>
      <c r="M1753" s="1" t="b">
        <f>ISNUMBER(K1753)</f>
        <v>1</v>
      </c>
      <c r="N1753" s="1" t="b">
        <f>ISNUMBER(O1753)</f>
        <v>1</v>
      </c>
      <c r="O1753" s="1">
        <v>46043</v>
      </c>
      <c r="P1753" t="s">
        <v>602</v>
      </c>
      <c r="Q1753" t="str">
        <f>SUBSTITUTE(SUBSTITUTE(SUBSTITUTE(P1753," ",""),"-",""),"+","")</f>
        <v>918212110499</v>
      </c>
      <c r="R1753" t="str">
        <f t="shared" si="54"/>
        <v>8212110499</v>
      </c>
      <c r="S1753" t="str">
        <f>IF(LEN(R1753),"Valid","Invalid")</f>
        <v>Valid</v>
      </c>
      <c r="T1753" t="s">
        <v>601</v>
      </c>
      <c r="V1753" t="s">
        <v>64</v>
      </c>
      <c r="X1753">
        <v>11537.74</v>
      </c>
      <c r="Y1753" t="s">
        <v>57</v>
      </c>
      <c r="Z1753">
        <v>201</v>
      </c>
      <c r="AA1753">
        <f t="shared" si="55"/>
        <v>201</v>
      </c>
      <c r="AB1753" t="s">
        <v>16</v>
      </c>
    </row>
    <row r="1754" spans="1:28" x14ac:dyDescent="0.3">
      <c r="A1754" t="s">
        <v>600</v>
      </c>
      <c r="B1754" t="s">
        <v>599</v>
      </c>
      <c r="C1754" t="s">
        <v>599</v>
      </c>
      <c r="D1754" t="s">
        <v>1</v>
      </c>
      <c r="E1754">
        <v>73</v>
      </c>
      <c r="F1754">
        <v>73</v>
      </c>
      <c r="G1754" t="s">
        <v>39</v>
      </c>
      <c r="H1754" t="s">
        <v>39</v>
      </c>
      <c r="I1754" t="s">
        <v>46</v>
      </c>
      <c r="J1754" t="s">
        <v>46</v>
      </c>
      <c r="K1754" s="1">
        <v>46041</v>
      </c>
      <c r="L1754" s="1" t="str">
        <f>IF(K1754&gt;O1754,"Valid","Invalid")</f>
        <v>Valid</v>
      </c>
      <c r="M1754" s="1" t="b">
        <f>ISNUMBER(K1754)</f>
        <v>1</v>
      </c>
      <c r="N1754" s="1" t="b">
        <f>ISNUMBER(O1754)</f>
        <v>1</v>
      </c>
      <c r="O1754" s="1">
        <v>46031</v>
      </c>
      <c r="P1754" t="s">
        <v>598</v>
      </c>
      <c r="Q1754" t="str">
        <f>SUBSTITUTE(SUBSTITUTE(SUBSTITUTE(P1754," ",""),"-",""),"+","")</f>
        <v>08180589914</v>
      </c>
      <c r="R1754" t="str">
        <f t="shared" si="54"/>
        <v>8180589914</v>
      </c>
      <c r="S1754" t="str">
        <f>IF(LEN(R1754),"Valid","Invalid")</f>
        <v>Valid</v>
      </c>
      <c r="T1754" t="s">
        <v>597</v>
      </c>
      <c r="V1754" t="s">
        <v>35</v>
      </c>
      <c r="X1754">
        <v>4479.09</v>
      </c>
      <c r="Y1754" t="s">
        <v>57</v>
      </c>
      <c r="Z1754">
        <v>479</v>
      </c>
      <c r="AA1754">
        <f t="shared" si="55"/>
        <v>479</v>
      </c>
      <c r="AB1754" t="s">
        <v>16</v>
      </c>
    </row>
    <row r="1755" spans="1:28" x14ac:dyDescent="0.3">
      <c r="A1755" t="s">
        <v>596</v>
      </c>
      <c r="B1755" t="s">
        <v>595</v>
      </c>
      <c r="C1755" t="s">
        <v>595</v>
      </c>
      <c r="D1755" t="s">
        <v>0</v>
      </c>
      <c r="E1755">
        <v>13</v>
      </c>
      <c r="F1755">
        <v>13</v>
      </c>
      <c r="G1755" t="s">
        <v>54</v>
      </c>
      <c r="H1755" t="s">
        <v>54</v>
      </c>
      <c r="I1755" t="s">
        <v>67</v>
      </c>
      <c r="J1755" t="s">
        <v>67</v>
      </c>
      <c r="K1755" s="1">
        <v>46147</v>
      </c>
      <c r="L1755" s="1" t="str">
        <f>IF(K1755&gt;O1755,"Valid","Invalid")</f>
        <v>Valid</v>
      </c>
      <c r="M1755" s="1" t="b">
        <f>ISNUMBER(K1755)</f>
        <v>1</v>
      </c>
      <c r="N1755" s="1" t="b">
        <f>ISNUMBER(O1755)</f>
        <v>1</v>
      </c>
      <c r="O1755" s="1">
        <v>46126</v>
      </c>
      <c r="P1755" t="s">
        <v>594</v>
      </c>
      <c r="Q1755" t="str">
        <f>SUBSTITUTE(SUBSTITUTE(SUBSTITUTE(P1755," ",""),"-",""),"+","")</f>
        <v>00332182996</v>
      </c>
      <c r="R1755" t="str">
        <f t="shared" si="54"/>
        <v>0332182996</v>
      </c>
      <c r="S1755" t="str">
        <f>IF(LEN(R1755),"Valid","Invalid")</f>
        <v>Valid</v>
      </c>
      <c r="T1755" t="s">
        <v>593</v>
      </c>
      <c r="V1755" t="s">
        <v>64</v>
      </c>
      <c r="X1755">
        <v>16080.87</v>
      </c>
      <c r="Y1755" t="s">
        <v>57</v>
      </c>
      <c r="Z1755">
        <v>383</v>
      </c>
      <c r="AA1755">
        <f t="shared" si="55"/>
        <v>383</v>
      </c>
      <c r="AB1755" t="s">
        <v>34</v>
      </c>
    </row>
    <row r="1756" spans="1:28" x14ac:dyDescent="0.3">
      <c r="A1756" t="s">
        <v>592</v>
      </c>
      <c r="B1756" t="s">
        <v>591</v>
      </c>
      <c r="C1756" t="s">
        <v>591</v>
      </c>
      <c r="D1756" t="s">
        <v>0</v>
      </c>
      <c r="E1756">
        <v>31</v>
      </c>
      <c r="F1756">
        <v>31</v>
      </c>
      <c r="G1756" t="s">
        <v>39</v>
      </c>
      <c r="H1756" t="s">
        <v>39</v>
      </c>
      <c r="I1756" t="s">
        <v>67</v>
      </c>
      <c r="J1756" t="s">
        <v>67</v>
      </c>
      <c r="K1756" s="1">
        <v>46135</v>
      </c>
      <c r="L1756" s="1" t="str">
        <f>IF(K1756&gt;O1756,"Valid","Invalid")</f>
        <v>Valid</v>
      </c>
      <c r="M1756" s="1" t="b">
        <f>ISNUMBER(K1756)</f>
        <v>1</v>
      </c>
      <c r="N1756" s="1" t="b">
        <f>ISNUMBER(O1756)</f>
        <v>1</v>
      </c>
      <c r="O1756" s="1">
        <v>46115</v>
      </c>
      <c r="P1756" t="s">
        <v>590</v>
      </c>
      <c r="Q1756" t="str">
        <f>SUBSTITUTE(SUBSTITUTE(SUBSTITUTE(P1756," ",""),"-",""),"+","")</f>
        <v>917138635533</v>
      </c>
      <c r="R1756" t="str">
        <f t="shared" si="54"/>
        <v>7138635533</v>
      </c>
      <c r="S1756" t="str">
        <f>IF(LEN(R1756),"Valid","Invalid")</f>
        <v>Valid</v>
      </c>
      <c r="T1756" t="s">
        <v>589</v>
      </c>
      <c r="V1756" t="s">
        <v>57</v>
      </c>
      <c r="X1756">
        <v>17621.259999999998</v>
      </c>
      <c r="Y1756" t="s">
        <v>57</v>
      </c>
      <c r="Z1756">
        <v>504</v>
      </c>
      <c r="AA1756">
        <f t="shared" si="55"/>
        <v>504</v>
      </c>
      <c r="AB1756" t="s">
        <v>34</v>
      </c>
    </row>
    <row r="1757" spans="1:28" x14ac:dyDescent="0.3">
      <c r="A1757" t="s">
        <v>588</v>
      </c>
      <c r="B1757" t="s">
        <v>587</v>
      </c>
      <c r="C1757" t="s">
        <v>587</v>
      </c>
      <c r="D1757" t="s">
        <v>1</v>
      </c>
      <c r="E1757">
        <v>41</v>
      </c>
      <c r="F1757">
        <v>41</v>
      </c>
      <c r="G1757" t="s">
        <v>132</v>
      </c>
      <c r="H1757" t="s">
        <v>132</v>
      </c>
      <c r="I1757" t="s">
        <v>30</v>
      </c>
      <c r="J1757" t="s">
        <v>30</v>
      </c>
      <c r="K1757" s="1">
        <v>46152</v>
      </c>
      <c r="L1757" s="1" t="str">
        <f>IF(K1757&gt;O1757,"Valid","Invalid")</f>
        <v>Valid</v>
      </c>
      <c r="M1757" s="1" t="b">
        <f>ISNUMBER(K1757)</f>
        <v>1</v>
      </c>
      <c r="N1757" s="1" t="b">
        <f>ISNUMBER(O1757)</f>
        <v>1</v>
      </c>
      <c r="O1757" s="1">
        <v>46139</v>
      </c>
      <c r="P1757" t="s">
        <v>586</v>
      </c>
      <c r="Q1757" t="str">
        <f>SUBSTITUTE(SUBSTITUTE(SUBSTITUTE(P1757," ",""),"-",""),"+","")</f>
        <v>913726580732</v>
      </c>
      <c r="R1757" t="str">
        <f t="shared" si="54"/>
        <v>3726580732</v>
      </c>
      <c r="S1757" t="str">
        <f>IF(LEN(R1757),"Valid","Invalid")</f>
        <v>Valid</v>
      </c>
      <c r="T1757" t="s">
        <v>585</v>
      </c>
      <c r="V1757" t="s">
        <v>64</v>
      </c>
      <c r="X1757">
        <v>12329.76</v>
      </c>
      <c r="Y1757" t="s">
        <v>123</v>
      </c>
      <c r="Z1757">
        <v>477</v>
      </c>
      <c r="AA1757">
        <f t="shared" si="55"/>
        <v>477</v>
      </c>
      <c r="AB1757" t="s">
        <v>25</v>
      </c>
    </row>
    <row r="1758" spans="1:28" x14ac:dyDescent="0.3">
      <c r="A1758" t="s">
        <v>584</v>
      </c>
      <c r="B1758" t="s">
        <v>583</v>
      </c>
      <c r="C1758" t="s">
        <v>583</v>
      </c>
      <c r="E1758">
        <v>29</v>
      </c>
      <c r="F1758">
        <v>29</v>
      </c>
      <c r="G1758" t="s">
        <v>39</v>
      </c>
      <c r="H1758" t="s">
        <v>39</v>
      </c>
      <c r="I1758" t="s">
        <v>90</v>
      </c>
      <c r="J1758" t="s">
        <v>67</v>
      </c>
      <c r="K1758" s="1">
        <v>46038</v>
      </c>
      <c r="L1758" s="1" t="str">
        <f>IF(K1758&gt;O1758,"Valid","Invalid")</f>
        <v>Valid</v>
      </c>
      <c r="M1758" s="1" t="b">
        <f>ISNUMBER(K1758)</f>
        <v>1</v>
      </c>
      <c r="N1758" s="1" t="b">
        <f>ISNUMBER(O1758)</f>
        <v>1</v>
      </c>
      <c r="O1758" s="1">
        <v>46029</v>
      </c>
      <c r="P1758" t="s">
        <v>582</v>
      </c>
      <c r="Q1758" t="str">
        <f>SUBSTITUTE(SUBSTITUTE(SUBSTITUTE(P1758," ",""),"-",""),"+","")</f>
        <v>918176621680</v>
      </c>
      <c r="R1758" t="str">
        <f t="shared" si="54"/>
        <v>8176621680</v>
      </c>
      <c r="S1758" t="str">
        <f>IF(LEN(R1758),"Valid","Invalid")</f>
        <v>Valid</v>
      </c>
      <c r="T1758" t="s">
        <v>581</v>
      </c>
      <c r="V1758" t="s">
        <v>17</v>
      </c>
      <c r="X1758">
        <v>23559.08</v>
      </c>
      <c r="Y1758" t="s">
        <v>17</v>
      </c>
      <c r="Z1758">
        <v>233</v>
      </c>
      <c r="AA1758">
        <f t="shared" si="55"/>
        <v>233</v>
      </c>
      <c r="AB1758" t="s">
        <v>50</v>
      </c>
    </row>
    <row r="1759" spans="1:28" x14ac:dyDescent="0.3">
      <c r="A1759" t="s">
        <v>580</v>
      </c>
      <c r="B1759" t="s">
        <v>579</v>
      </c>
      <c r="C1759" t="s">
        <v>579</v>
      </c>
      <c r="D1759" t="s">
        <v>22</v>
      </c>
      <c r="E1759">
        <v>74</v>
      </c>
      <c r="F1759">
        <v>74</v>
      </c>
      <c r="G1759" t="s">
        <v>68</v>
      </c>
      <c r="H1759" t="s">
        <v>68</v>
      </c>
      <c r="I1759" t="s">
        <v>20</v>
      </c>
      <c r="J1759" t="s">
        <v>20</v>
      </c>
      <c r="K1759" s="1">
        <v>46100</v>
      </c>
      <c r="L1759" s="1" t="str">
        <f>IF(K1759&gt;O1759,"Valid","Invalid")</f>
        <v>Valid</v>
      </c>
      <c r="M1759" s="1" t="b">
        <f>ISNUMBER(K1759)</f>
        <v>1</v>
      </c>
      <c r="N1759" s="1" t="b">
        <f>ISNUMBER(O1759)</f>
        <v>1</v>
      </c>
      <c r="O1759" s="1">
        <v>46095</v>
      </c>
      <c r="P1759" t="s">
        <v>578</v>
      </c>
      <c r="Q1759" t="str">
        <f>SUBSTITUTE(SUBSTITUTE(SUBSTITUTE(P1759," ",""),"-",""),"+","")</f>
        <v>4841536811</v>
      </c>
      <c r="R1759" t="str">
        <f t="shared" si="54"/>
        <v>4841536811</v>
      </c>
      <c r="S1759" t="str">
        <f>IF(LEN(R1759),"Valid","Invalid")</f>
        <v>Valid</v>
      </c>
      <c r="T1759" t="s">
        <v>577</v>
      </c>
      <c r="V1759" t="s">
        <v>123</v>
      </c>
      <c r="X1759">
        <v>15169.46</v>
      </c>
      <c r="Y1759" t="s">
        <v>123</v>
      </c>
      <c r="Z1759">
        <v>101</v>
      </c>
      <c r="AA1759">
        <f t="shared" si="55"/>
        <v>101</v>
      </c>
      <c r="AB1759" t="s">
        <v>71</v>
      </c>
    </row>
    <row r="1760" spans="1:28" x14ac:dyDescent="0.3">
      <c r="A1760" t="s">
        <v>576</v>
      </c>
      <c r="B1760" t="s">
        <v>575</v>
      </c>
      <c r="C1760" t="s">
        <v>575</v>
      </c>
      <c r="D1760" t="s">
        <v>0</v>
      </c>
      <c r="E1760">
        <v>57</v>
      </c>
      <c r="F1760">
        <v>57</v>
      </c>
      <c r="G1760" t="s">
        <v>80</v>
      </c>
      <c r="H1760" t="s">
        <v>80</v>
      </c>
      <c r="I1760" t="s">
        <v>53</v>
      </c>
      <c r="J1760" t="s">
        <v>20</v>
      </c>
      <c r="K1760" s="1">
        <v>46057</v>
      </c>
      <c r="L1760" s="1" t="str">
        <f>IF(K1760&gt;O1760,"Valid","Invalid")</f>
        <v>Valid</v>
      </c>
      <c r="M1760" s="1" t="b">
        <f>ISNUMBER(K1760)</f>
        <v>1</v>
      </c>
      <c r="N1760" s="1" t="b">
        <f>ISNUMBER(O1760)</f>
        <v>1</v>
      </c>
      <c r="O1760" s="1">
        <v>46056</v>
      </c>
      <c r="P1760" t="s">
        <v>574</v>
      </c>
      <c r="Q1760" t="str">
        <f>SUBSTITUTE(SUBSTITUTE(SUBSTITUTE(P1760," ",""),"-",""),"+","")</f>
        <v>914480728908</v>
      </c>
      <c r="R1760" t="str">
        <f t="shared" si="54"/>
        <v>4480728908</v>
      </c>
      <c r="S1760" t="str">
        <f>IF(LEN(R1760),"Valid","Invalid")</f>
        <v>Valid</v>
      </c>
      <c r="T1760" t="s">
        <v>573</v>
      </c>
      <c r="V1760" t="s">
        <v>57</v>
      </c>
      <c r="X1760">
        <v>6312.94</v>
      </c>
      <c r="Y1760" t="s">
        <v>123</v>
      </c>
      <c r="Z1760">
        <v>488</v>
      </c>
      <c r="AA1760">
        <f t="shared" si="55"/>
        <v>488</v>
      </c>
      <c r="AB1760" t="s">
        <v>34</v>
      </c>
    </row>
    <row r="1761" spans="1:28" x14ac:dyDescent="0.3">
      <c r="A1761" t="s">
        <v>568</v>
      </c>
      <c r="B1761" t="s">
        <v>567</v>
      </c>
      <c r="C1761" t="s">
        <v>567</v>
      </c>
      <c r="D1761" t="s">
        <v>40</v>
      </c>
      <c r="E1761">
        <v>87</v>
      </c>
      <c r="F1761">
        <v>87</v>
      </c>
      <c r="G1761" t="s">
        <v>80</v>
      </c>
      <c r="H1761" t="s">
        <v>80</v>
      </c>
      <c r="I1761" t="s">
        <v>53</v>
      </c>
      <c r="J1761" t="s">
        <v>20</v>
      </c>
      <c r="K1761" s="1">
        <v>46160</v>
      </c>
      <c r="L1761" s="1" t="str">
        <f>IF(K1761&gt;O1761,"Valid","Invalid")</f>
        <v>Valid</v>
      </c>
      <c r="M1761" s="1" t="b">
        <f>ISNUMBER(K1761)</f>
        <v>1</v>
      </c>
      <c r="N1761" s="1" t="b">
        <f>ISNUMBER(O1761)</f>
        <v>1</v>
      </c>
      <c r="O1761" s="1">
        <v>46135</v>
      </c>
      <c r="P1761" t="s">
        <v>566</v>
      </c>
      <c r="Q1761" t="str">
        <f>SUBSTITUTE(SUBSTITUTE(SUBSTITUTE(P1761," ",""),"-",""),"+","")</f>
        <v>07180580759</v>
      </c>
      <c r="R1761" t="str">
        <f t="shared" si="54"/>
        <v>7180580759</v>
      </c>
      <c r="S1761" t="str">
        <f>IF(LEN(R1761),"Valid","Invalid")</f>
        <v>Valid</v>
      </c>
      <c r="T1761" t="s">
        <v>565</v>
      </c>
      <c r="V1761" t="s">
        <v>57</v>
      </c>
      <c r="X1761">
        <v>10048.870000000001</v>
      </c>
      <c r="Y1761" t="s">
        <v>27</v>
      </c>
      <c r="Z1761">
        <v>380</v>
      </c>
      <c r="AA1761">
        <f t="shared" si="55"/>
        <v>380</v>
      </c>
      <c r="AB1761" t="s">
        <v>71</v>
      </c>
    </row>
    <row r="1762" spans="1:28" x14ac:dyDescent="0.3">
      <c r="A1762" t="s">
        <v>564</v>
      </c>
      <c r="B1762" t="s">
        <v>563</v>
      </c>
      <c r="C1762" t="s">
        <v>563</v>
      </c>
      <c r="D1762" t="s">
        <v>0</v>
      </c>
      <c r="E1762">
        <v>5</v>
      </c>
      <c r="F1762">
        <v>5</v>
      </c>
      <c r="G1762" t="s">
        <v>47</v>
      </c>
      <c r="H1762" t="s">
        <v>47</v>
      </c>
      <c r="I1762" t="s">
        <v>30</v>
      </c>
      <c r="J1762" t="s">
        <v>30</v>
      </c>
      <c r="K1762" s="1">
        <v>46159</v>
      </c>
      <c r="L1762" s="1" t="str">
        <f>IF(K1762&gt;O1762,"Valid","Invalid")</f>
        <v>Valid</v>
      </c>
      <c r="M1762" s="1" t="b">
        <f>ISNUMBER(K1762)</f>
        <v>1</v>
      </c>
      <c r="N1762" s="1" t="b">
        <f>ISNUMBER(O1762)</f>
        <v>1</v>
      </c>
      <c r="O1762" s="1">
        <v>46135</v>
      </c>
      <c r="P1762" t="s">
        <v>562</v>
      </c>
      <c r="Q1762" t="str">
        <f>SUBSTITUTE(SUBSTITUTE(SUBSTITUTE(P1762," ",""),"-",""),"+","")</f>
        <v>6874295426</v>
      </c>
      <c r="R1762" t="str">
        <f t="shared" si="54"/>
        <v>6874295426</v>
      </c>
      <c r="S1762" t="str">
        <f>IF(LEN(R1762),"Valid","Invalid")</f>
        <v>Valid</v>
      </c>
      <c r="T1762" t="s">
        <v>561</v>
      </c>
      <c r="V1762" t="s">
        <v>123</v>
      </c>
      <c r="X1762">
        <v>15243.18</v>
      </c>
      <c r="Y1762" t="s">
        <v>123</v>
      </c>
      <c r="Z1762">
        <v>365</v>
      </c>
      <c r="AA1762">
        <f t="shared" si="55"/>
        <v>365</v>
      </c>
      <c r="AB1762" t="s">
        <v>34</v>
      </c>
    </row>
    <row r="1763" spans="1:28" x14ac:dyDescent="0.3">
      <c r="A1763" t="s">
        <v>560</v>
      </c>
      <c r="B1763" t="s">
        <v>559</v>
      </c>
      <c r="C1763" t="s">
        <v>559</v>
      </c>
      <c r="E1763">
        <v>45</v>
      </c>
      <c r="F1763">
        <v>45</v>
      </c>
      <c r="G1763" t="s">
        <v>21</v>
      </c>
      <c r="H1763" t="s">
        <v>21</v>
      </c>
      <c r="I1763" t="s">
        <v>67</v>
      </c>
      <c r="J1763" t="s">
        <v>67</v>
      </c>
      <c r="K1763" s="1">
        <v>46069</v>
      </c>
      <c r="L1763" s="1" t="str">
        <f>IF(K1763&gt;O1763,"Valid","Invalid")</f>
        <v>Valid</v>
      </c>
      <c r="M1763" s="1" t="b">
        <f>ISNUMBER(K1763)</f>
        <v>1</v>
      </c>
      <c r="N1763" s="1" t="b">
        <f>ISNUMBER(O1763)</f>
        <v>1</v>
      </c>
      <c r="O1763" s="1">
        <v>46048</v>
      </c>
      <c r="P1763" t="s">
        <v>558</v>
      </c>
      <c r="Q1763" t="str">
        <f>SUBSTITUTE(SUBSTITUTE(SUBSTITUTE(P1763," ",""),"-",""),"+","")</f>
        <v>9096812120</v>
      </c>
      <c r="R1763" t="str">
        <f t="shared" si="54"/>
        <v>9096812120</v>
      </c>
      <c r="S1763" t="str">
        <f>IF(LEN(R1763),"Valid","Invalid")</f>
        <v>Valid</v>
      </c>
      <c r="T1763" t="s">
        <v>557</v>
      </c>
      <c r="V1763" t="s">
        <v>57</v>
      </c>
      <c r="X1763">
        <v>4779.47</v>
      </c>
      <c r="Y1763" t="s">
        <v>123</v>
      </c>
      <c r="Z1763">
        <v>131</v>
      </c>
      <c r="AA1763">
        <f t="shared" si="55"/>
        <v>131</v>
      </c>
      <c r="AB1763" t="s">
        <v>50</v>
      </c>
    </row>
    <row r="1764" spans="1:28" x14ac:dyDescent="0.3">
      <c r="A1764" t="s">
        <v>556</v>
      </c>
      <c r="B1764" t="s">
        <v>555</v>
      </c>
      <c r="C1764" t="s">
        <v>555</v>
      </c>
      <c r="D1764" t="s">
        <v>40</v>
      </c>
      <c r="E1764">
        <v>26</v>
      </c>
      <c r="F1764">
        <v>26</v>
      </c>
      <c r="G1764" t="s">
        <v>47</v>
      </c>
      <c r="H1764" t="s">
        <v>47</v>
      </c>
      <c r="I1764" t="s">
        <v>30</v>
      </c>
      <c r="J1764" t="s">
        <v>30</v>
      </c>
      <c r="K1764" s="1">
        <v>45998</v>
      </c>
      <c r="L1764" s="1" t="str">
        <f>IF(K1764&gt;O1764,"Valid","Invalid")</f>
        <v>Valid</v>
      </c>
      <c r="M1764" s="1" t="b">
        <f>ISNUMBER(K1764)</f>
        <v>1</v>
      </c>
      <c r="N1764" s="1" t="b">
        <f>ISNUMBER(O1764)</f>
        <v>1</v>
      </c>
      <c r="O1764" s="1">
        <v>45989</v>
      </c>
      <c r="P1764" t="s">
        <v>554</v>
      </c>
      <c r="Q1764" t="str">
        <f>SUBSTITUTE(SUBSTITUTE(SUBSTITUTE(P1764," ",""),"-",""),"+","")</f>
        <v>910332626440</v>
      </c>
      <c r="R1764" t="str">
        <f t="shared" si="54"/>
        <v>0332626440</v>
      </c>
      <c r="S1764" t="str">
        <f>IF(LEN(R1764),"Valid","Invalid")</f>
        <v>Valid</v>
      </c>
      <c r="T1764" t="s">
        <v>553</v>
      </c>
      <c r="V1764" t="s">
        <v>17</v>
      </c>
      <c r="X1764">
        <v>23079.11</v>
      </c>
      <c r="Y1764" t="s">
        <v>64</v>
      </c>
      <c r="Z1764">
        <v>517</v>
      </c>
      <c r="AA1764">
        <f t="shared" si="55"/>
        <v>517</v>
      </c>
      <c r="AB1764" t="s">
        <v>34</v>
      </c>
    </row>
    <row r="1765" spans="1:28" x14ac:dyDescent="0.3">
      <c r="A1765" t="s">
        <v>552</v>
      </c>
      <c r="B1765" t="s">
        <v>551</v>
      </c>
      <c r="C1765" t="s">
        <v>551</v>
      </c>
      <c r="D1765" t="s">
        <v>60</v>
      </c>
      <c r="E1765">
        <v>15</v>
      </c>
      <c r="F1765">
        <v>15</v>
      </c>
      <c r="G1765" t="s">
        <v>68</v>
      </c>
      <c r="H1765" t="s">
        <v>68</v>
      </c>
      <c r="I1765" t="s">
        <v>20</v>
      </c>
      <c r="J1765" t="s">
        <v>20</v>
      </c>
      <c r="K1765" s="1">
        <v>46074</v>
      </c>
      <c r="L1765" s="1" t="str">
        <f>IF(K1765&gt;O1765,"Valid","Invalid")</f>
        <v>Valid</v>
      </c>
      <c r="M1765" s="1" t="b">
        <f>ISNUMBER(K1765)</f>
        <v>1</v>
      </c>
      <c r="N1765" s="1" t="b">
        <f>ISNUMBER(O1765)</f>
        <v>1</v>
      </c>
      <c r="O1765" s="1">
        <v>46063</v>
      </c>
      <c r="P1765" t="s">
        <v>550</v>
      </c>
      <c r="Q1765" t="str">
        <f>SUBSTITUTE(SUBSTITUTE(SUBSTITUTE(P1765," ",""),"-",""),"+","")</f>
        <v>3636721934</v>
      </c>
      <c r="R1765" t="str">
        <f t="shared" si="54"/>
        <v>3636721934</v>
      </c>
      <c r="S1765" t="str">
        <f>IF(LEN(R1765),"Valid","Invalid")</f>
        <v>Valid</v>
      </c>
      <c r="T1765" t="s">
        <v>549</v>
      </c>
      <c r="V1765" t="s">
        <v>35</v>
      </c>
      <c r="X1765">
        <v>23861.54</v>
      </c>
      <c r="Y1765" t="s">
        <v>64</v>
      </c>
      <c r="Z1765">
        <v>111</v>
      </c>
      <c r="AA1765">
        <f t="shared" si="55"/>
        <v>111</v>
      </c>
      <c r="AB1765" t="s">
        <v>50</v>
      </c>
    </row>
    <row r="1766" spans="1:28" x14ac:dyDescent="0.3">
      <c r="A1766" t="s">
        <v>548</v>
      </c>
      <c r="B1766" t="s">
        <v>547</v>
      </c>
      <c r="C1766" t="s">
        <v>547</v>
      </c>
      <c r="D1766" t="s">
        <v>0</v>
      </c>
      <c r="E1766">
        <v>83</v>
      </c>
      <c r="F1766">
        <v>83</v>
      </c>
      <c r="G1766" t="s">
        <v>39</v>
      </c>
      <c r="H1766" t="s">
        <v>39</v>
      </c>
      <c r="I1766" t="s">
        <v>67</v>
      </c>
      <c r="J1766" t="s">
        <v>67</v>
      </c>
      <c r="K1766" s="1">
        <v>46169</v>
      </c>
      <c r="L1766" s="1" t="str">
        <f>IF(K1766&gt;O1766,"Valid","Invalid")</f>
        <v>Valid</v>
      </c>
      <c r="M1766" s="1" t="b">
        <f>ISNUMBER(K1766)</f>
        <v>1</v>
      </c>
      <c r="N1766" s="1" t="b">
        <f>ISNUMBER(O1766)</f>
        <v>1</v>
      </c>
      <c r="O1766" s="1">
        <v>46148</v>
      </c>
      <c r="P1766" t="s">
        <v>546</v>
      </c>
      <c r="Q1766" t="str">
        <f>SUBSTITUTE(SUBSTITUTE(SUBSTITUTE(P1766," ",""),"-",""),"+","")</f>
        <v>912100969046</v>
      </c>
      <c r="R1766" t="str">
        <f t="shared" si="54"/>
        <v>2100969046</v>
      </c>
      <c r="S1766" t="str">
        <f>IF(LEN(R1766),"Valid","Invalid")</f>
        <v>Valid</v>
      </c>
      <c r="T1766" t="s">
        <v>545</v>
      </c>
      <c r="V1766" t="s">
        <v>27</v>
      </c>
      <c r="X1766">
        <v>2493.38</v>
      </c>
      <c r="Y1766" t="s">
        <v>57</v>
      </c>
      <c r="Z1766">
        <v>344</v>
      </c>
      <c r="AA1766">
        <f t="shared" si="55"/>
        <v>344</v>
      </c>
      <c r="AB1766" t="s">
        <v>43</v>
      </c>
    </row>
    <row r="1767" spans="1:28" x14ac:dyDescent="0.3">
      <c r="A1767" t="s">
        <v>544</v>
      </c>
      <c r="B1767" t="s">
        <v>543</v>
      </c>
      <c r="C1767" t="s">
        <v>543</v>
      </c>
      <c r="D1767" t="s">
        <v>1</v>
      </c>
      <c r="E1767">
        <v>8</v>
      </c>
      <c r="F1767">
        <v>8</v>
      </c>
      <c r="G1767" t="s">
        <v>21</v>
      </c>
      <c r="H1767" t="s">
        <v>21</v>
      </c>
      <c r="I1767" t="s">
        <v>46</v>
      </c>
      <c r="J1767" t="s">
        <v>46</v>
      </c>
      <c r="K1767" s="1">
        <v>46064</v>
      </c>
      <c r="L1767" s="1" t="str">
        <f>IF(K1767&gt;O1767,"Valid","Invalid")</f>
        <v>Valid</v>
      </c>
      <c r="M1767" s="1" t="b">
        <f>ISNUMBER(K1767)</f>
        <v>1</v>
      </c>
      <c r="N1767" s="1" t="b">
        <f>ISNUMBER(O1767)</f>
        <v>1</v>
      </c>
      <c r="O1767" s="1">
        <v>46046</v>
      </c>
      <c r="P1767" t="s">
        <v>542</v>
      </c>
      <c r="Q1767" t="str">
        <f>SUBSTITUTE(SUBSTITUTE(SUBSTITUTE(P1767," ",""),"-",""),"+","")</f>
        <v>910766494046</v>
      </c>
      <c r="R1767" t="str">
        <f t="shared" si="54"/>
        <v>0766494046</v>
      </c>
      <c r="S1767" t="str">
        <f>IF(LEN(R1767),"Valid","Invalid")</f>
        <v>Valid</v>
      </c>
      <c r="T1767" t="s">
        <v>541</v>
      </c>
      <c r="V1767" t="s">
        <v>123</v>
      </c>
      <c r="X1767">
        <v>24806.03</v>
      </c>
      <c r="Y1767" t="s">
        <v>64</v>
      </c>
      <c r="Z1767">
        <v>207</v>
      </c>
      <c r="AA1767">
        <f t="shared" si="55"/>
        <v>207</v>
      </c>
      <c r="AB1767" t="s">
        <v>25</v>
      </c>
    </row>
    <row r="1768" spans="1:28" x14ac:dyDescent="0.3">
      <c r="A1768" t="s">
        <v>540</v>
      </c>
      <c r="B1768" t="s">
        <v>539</v>
      </c>
      <c r="C1768" t="s">
        <v>539</v>
      </c>
      <c r="E1768">
        <v>12</v>
      </c>
      <c r="F1768">
        <v>12</v>
      </c>
      <c r="G1768" t="s">
        <v>80</v>
      </c>
      <c r="H1768" t="s">
        <v>80</v>
      </c>
      <c r="I1768" t="s">
        <v>53</v>
      </c>
      <c r="J1768" t="s">
        <v>20</v>
      </c>
      <c r="K1768" s="1">
        <v>46075</v>
      </c>
      <c r="L1768" s="1" t="str">
        <f>IF(K1768&gt;O1768,"Valid","Invalid")</f>
        <v>Valid</v>
      </c>
      <c r="M1768" s="1" t="b">
        <f>ISNUMBER(K1768)</f>
        <v>1</v>
      </c>
      <c r="N1768" s="1" t="b">
        <f>ISNUMBER(O1768)</f>
        <v>1</v>
      </c>
      <c r="O1768" s="1">
        <v>46063</v>
      </c>
      <c r="P1768" t="s">
        <v>538</v>
      </c>
      <c r="Q1768" t="str">
        <f>SUBSTITUTE(SUBSTITUTE(SUBSTITUTE(P1768," ",""),"-",""),"+","")</f>
        <v>07522667043</v>
      </c>
      <c r="R1768" t="str">
        <f t="shared" si="54"/>
        <v>7522667043</v>
      </c>
      <c r="S1768" t="str">
        <f>IF(LEN(R1768),"Valid","Invalid")</f>
        <v>Valid</v>
      </c>
      <c r="T1768" t="s">
        <v>537</v>
      </c>
      <c r="V1768" t="s">
        <v>27</v>
      </c>
      <c r="X1768">
        <v>15905.61</v>
      </c>
      <c r="Y1768" t="s">
        <v>26</v>
      </c>
      <c r="Z1768">
        <v>159</v>
      </c>
      <c r="AA1768">
        <f t="shared" si="55"/>
        <v>159</v>
      </c>
      <c r="AB1768" t="s">
        <v>71</v>
      </c>
    </row>
    <row r="1769" spans="1:28" x14ac:dyDescent="0.3">
      <c r="A1769" t="s">
        <v>536</v>
      </c>
      <c r="B1769" t="s">
        <v>535</v>
      </c>
      <c r="C1769" t="s">
        <v>535</v>
      </c>
      <c r="D1769" t="s">
        <v>0</v>
      </c>
      <c r="E1769">
        <v>16</v>
      </c>
      <c r="F1769">
        <v>16</v>
      </c>
      <c r="G1769" t="s">
        <v>68</v>
      </c>
      <c r="H1769" t="s">
        <v>68</v>
      </c>
      <c r="I1769" t="s">
        <v>90</v>
      </c>
      <c r="J1769" t="s">
        <v>67</v>
      </c>
      <c r="K1769" s="1">
        <v>46035</v>
      </c>
      <c r="L1769" s="1" t="str">
        <f>IF(K1769&gt;O1769,"Valid","Invalid")</f>
        <v>Valid</v>
      </c>
      <c r="M1769" s="1" t="b">
        <f>ISNUMBER(K1769)</f>
        <v>1</v>
      </c>
      <c r="N1769" s="1" t="b">
        <f>ISNUMBER(O1769)</f>
        <v>1</v>
      </c>
      <c r="O1769" s="1">
        <v>46021</v>
      </c>
      <c r="P1769" t="s">
        <v>534</v>
      </c>
      <c r="Q1769" t="str">
        <f>SUBSTITUTE(SUBSTITUTE(SUBSTITUTE(P1769," ",""),"-",""),"+","")</f>
        <v>00786429675</v>
      </c>
      <c r="R1769" t="str">
        <f t="shared" si="54"/>
        <v>0786429675</v>
      </c>
      <c r="S1769" t="str">
        <f>IF(LEN(R1769),"Valid","Invalid")</f>
        <v>Valid</v>
      </c>
      <c r="T1769" t="s">
        <v>533</v>
      </c>
      <c r="V1769" t="s">
        <v>35</v>
      </c>
      <c r="X1769">
        <v>1526.89</v>
      </c>
      <c r="Y1769" t="s">
        <v>64</v>
      </c>
      <c r="Z1769">
        <v>159</v>
      </c>
      <c r="AA1769">
        <f t="shared" si="55"/>
        <v>159</v>
      </c>
      <c r="AB1769" t="s">
        <v>77</v>
      </c>
    </row>
    <row r="1770" spans="1:28" x14ac:dyDescent="0.3">
      <c r="A1770" t="s">
        <v>532</v>
      </c>
      <c r="B1770" t="s">
        <v>531</v>
      </c>
      <c r="C1770" t="s">
        <v>531</v>
      </c>
      <c r="D1770" t="s">
        <v>123</v>
      </c>
      <c r="E1770">
        <v>52</v>
      </c>
      <c r="F1770">
        <v>52</v>
      </c>
      <c r="G1770" t="s">
        <v>80</v>
      </c>
      <c r="H1770" t="s">
        <v>80</v>
      </c>
      <c r="I1770" t="s">
        <v>53</v>
      </c>
      <c r="J1770" t="s">
        <v>20</v>
      </c>
      <c r="K1770" s="1">
        <v>46085</v>
      </c>
      <c r="L1770" s="1" t="str">
        <f>IF(K1770&gt;O1770,"Valid","Invalid")</f>
        <v>Valid</v>
      </c>
      <c r="M1770" s="1" t="b">
        <f>ISNUMBER(K1770)</f>
        <v>1</v>
      </c>
      <c r="N1770" s="1" t="b">
        <f>ISNUMBER(O1770)</f>
        <v>1</v>
      </c>
      <c r="O1770" s="1">
        <v>46056</v>
      </c>
      <c r="P1770" t="s">
        <v>530</v>
      </c>
      <c r="Q1770" t="str">
        <f>SUBSTITUTE(SUBSTITUTE(SUBSTITUTE(P1770," ",""),"-",""),"+","")</f>
        <v>7348610054</v>
      </c>
      <c r="R1770" t="str">
        <f t="shared" si="54"/>
        <v>7348610054</v>
      </c>
      <c r="S1770" t="str">
        <f>IF(LEN(R1770),"Valid","Invalid")</f>
        <v>Valid</v>
      </c>
      <c r="T1770" t="s">
        <v>529</v>
      </c>
      <c r="V1770" t="s">
        <v>35</v>
      </c>
      <c r="X1770">
        <v>1237.9100000000001</v>
      </c>
      <c r="Y1770" t="s">
        <v>27</v>
      </c>
      <c r="Z1770">
        <v>328</v>
      </c>
      <c r="AA1770">
        <f t="shared" si="55"/>
        <v>328</v>
      </c>
      <c r="AB1770" t="s">
        <v>71</v>
      </c>
    </row>
    <row r="1771" spans="1:28" x14ac:dyDescent="0.3">
      <c r="A1771" t="s">
        <v>528</v>
      </c>
      <c r="B1771" t="s">
        <v>527</v>
      </c>
      <c r="C1771" t="s">
        <v>527</v>
      </c>
      <c r="D1771" t="s">
        <v>60</v>
      </c>
      <c r="E1771">
        <v>85</v>
      </c>
      <c r="F1771">
        <v>85</v>
      </c>
      <c r="G1771" t="s">
        <v>68</v>
      </c>
      <c r="H1771" t="s">
        <v>68</v>
      </c>
      <c r="I1771" t="s">
        <v>38</v>
      </c>
      <c r="J1771" t="s">
        <v>8077</v>
      </c>
      <c r="K1771" s="1">
        <v>45989</v>
      </c>
      <c r="L1771" s="1" t="str">
        <f>IF(K1771&gt;O1771,"Valid","Invalid")</f>
        <v>Valid</v>
      </c>
      <c r="M1771" s="1" t="b">
        <f>ISNUMBER(K1771)</f>
        <v>1</v>
      </c>
      <c r="N1771" s="1" t="b">
        <f>ISNUMBER(O1771)</f>
        <v>1</v>
      </c>
      <c r="O1771" s="1">
        <v>45983</v>
      </c>
      <c r="P1771" t="s">
        <v>526</v>
      </c>
      <c r="Q1771" t="str">
        <f>SUBSTITUTE(SUBSTITUTE(SUBSTITUTE(P1771," ",""),"-",""),"+","")</f>
        <v>8406267785</v>
      </c>
      <c r="R1771" t="str">
        <f t="shared" si="54"/>
        <v>8406267785</v>
      </c>
      <c r="S1771" t="str">
        <f>IF(LEN(R1771),"Valid","Invalid")</f>
        <v>Valid</v>
      </c>
      <c r="T1771" t="s">
        <v>525</v>
      </c>
      <c r="V1771" t="s">
        <v>17</v>
      </c>
      <c r="X1771">
        <v>1118.17</v>
      </c>
      <c r="Y1771" t="s">
        <v>57</v>
      </c>
      <c r="Z1771">
        <v>320</v>
      </c>
      <c r="AA1771">
        <f t="shared" si="55"/>
        <v>320</v>
      </c>
      <c r="AB1771" t="s">
        <v>16</v>
      </c>
    </row>
    <row r="1772" spans="1:28" x14ac:dyDescent="0.3">
      <c r="A1772" t="s">
        <v>524</v>
      </c>
      <c r="B1772" t="s">
        <v>523</v>
      </c>
      <c r="C1772" t="s">
        <v>523</v>
      </c>
      <c r="D1772" t="s">
        <v>60</v>
      </c>
      <c r="E1772">
        <v>27</v>
      </c>
      <c r="F1772">
        <v>27</v>
      </c>
      <c r="G1772" t="s">
        <v>47</v>
      </c>
      <c r="H1772" t="s">
        <v>47</v>
      </c>
      <c r="I1772" t="s">
        <v>53</v>
      </c>
      <c r="J1772" t="s">
        <v>20</v>
      </c>
      <c r="K1772" s="1">
        <v>46088</v>
      </c>
      <c r="L1772" s="1" t="str">
        <f>IF(K1772&gt;O1772,"Valid","Invalid")</f>
        <v>Valid</v>
      </c>
      <c r="M1772" s="1" t="b">
        <f>ISNUMBER(K1772)</f>
        <v>1</v>
      </c>
      <c r="N1772" s="1" t="b">
        <f>ISNUMBER(O1772)</f>
        <v>1</v>
      </c>
      <c r="O1772" s="1">
        <v>46074</v>
      </c>
      <c r="P1772" t="s">
        <v>522</v>
      </c>
      <c r="Q1772" t="str">
        <f>SUBSTITUTE(SUBSTITUTE(SUBSTITUTE(P1772," ",""),"-",""),"+","")</f>
        <v>0156302880</v>
      </c>
      <c r="R1772" t="str">
        <f t="shared" si="54"/>
        <v>0156302880</v>
      </c>
      <c r="S1772" t="str">
        <f>IF(LEN(R1772),"Valid","Invalid")</f>
        <v>Valid</v>
      </c>
      <c r="T1772" t="s">
        <v>521</v>
      </c>
      <c r="V1772" t="s">
        <v>26</v>
      </c>
      <c r="X1772">
        <v>19460.89</v>
      </c>
      <c r="Y1772" t="s">
        <v>64</v>
      </c>
      <c r="Z1772">
        <v>176</v>
      </c>
      <c r="AA1772">
        <f t="shared" si="55"/>
        <v>176</v>
      </c>
      <c r="AB1772" t="s">
        <v>50</v>
      </c>
    </row>
    <row r="1773" spans="1:28" x14ac:dyDescent="0.3">
      <c r="A1773" t="s">
        <v>520</v>
      </c>
      <c r="B1773" t="s">
        <v>519</v>
      </c>
      <c r="C1773" t="s">
        <v>519</v>
      </c>
      <c r="D1773" t="s">
        <v>22</v>
      </c>
      <c r="E1773">
        <v>23</v>
      </c>
      <c r="F1773">
        <v>23</v>
      </c>
      <c r="G1773" t="s">
        <v>80</v>
      </c>
      <c r="H1773" t="s">
        <v>80</v>
      </c>
      <c r="I1773" t="s">
        <v>20</v>
      </c>
      <c r="J1773" t="s">
        <v>20</v>
      </c>
      <c r="K1773" s="1">
        <v>46019</v>
      </c>
      <c r="L1773" s="1" t="str">
        <f>IF(K1773&gt;O1773,"Valid","Invalid")</f>
        <v>Valid</v>
      </c>
      <c r="M1773" s="1" t="b">
        <f>ISNUMBER(K1773)</f>
        <v>1</v>
      </c>
      <c r="N1773" s="1" t="b">
        <f>ISNUMBER(O1773)</f>
        <v>1</v>
      </c>
      <c r="O1773" s="1">
        <v>46010</v>
      </c>
      <c r="P1773" t="s">
        <v>518</v>
      </c>
      <c r="Q1773" t="str">
        <f>SUBSTITUTE(SUBSTITUTE(SUBSTITUTE(P1773," ",""),"-",""),"+","")</f>
        <v>916785841496</v>
      </c>
      <c r="R1773" t="str">
        <f t="shared" si="54"/>
        <v>6785841496</v>
      </c>
      <c r="S1773" t="str">
        <f>IF(LEN(R1773),"Valid","Invalid")</f>
        <v>Valid</v>
      </c>
      <c r="T1773" t="s">
        <v>517</v>
      </c>
      <c r="V1773" t="s">
        <v>27</v>
      </c>
      <c r="X1773">
        <v>19787.96</v>
      </c>
      <c r="Y1773" t="s">
        <v>123</v>
      </c>
      <c r="Z1773">
        <v>420</v>
      </c>
      <c r="AA1773">
        <f t="shared" si="55"/>
        <v>420</v>
      </c>
      <c r="AB1773" t="s">
        <v>34</v>
      </c>
    </row>
    <row r="1774" spans="1:28" x14ac:dyDescent="0.3">
      <c r="A1774" t="s">
        <v>516</v>
      </c>
      <c r="B1774" t="s">
        <v>515</v>
      </c>
      <c r="C1774" t="s">
        <v>515</v>
      </c>
      <c r="D1774" t="s">
        <v>0</v>
      </c>
      <c r="E1774">
        <v>44</v>
      </c>
      <c r="F1774">
        <v>44</v>
      </c>
      <c r="G1774" t="s">
        <v>47</v>
      </c>
      <c r="H1774" t="s">
        <v>47</v>
      </c>
      <c r="I1774" t="s">
        <v>67</v>
      </c>
      <c r="J1774" t="s">
        <v>67</v>
      </c>
      <c r="K1774" s="1">
        <v>46061</v>
      </c>
      <c r="L1774" s="1" t="str">
        <f>IF(K1774&gt;O1774,"Valid","Invalid")</f>
        <v>Valid</v>
      </c>
      <c r="M1774" s="1" t="b">
        <f>ISNUMBER(K1774)</f>
        <v>1</v>
      </c>
      <c r="N1774" s="1" t="b">
        <f>ISNUMBER(O1774)</f>
        <v>1</v>
      </c>
      <c r="O1774" s="1">
        <v>46057</v>
      </c>
      <c r="P1774" t="s">
        <v>514</v>
      </c>
      <c r="Q1774" t="str">
        <f>SUBSTITUTE(SUBSTITUTE(SUBSTITUTE(P1774," ",""),"-",""),"+","")</f>
        <v>05257606656</v>
      </c>
      <c r="R1774" t="str">
        <f t="shared" si="54"/>
        <v>5257606656</v>
      </c>
      <c r="S1774" t="str">
        <f>IF(LEN(R1774),"Valid","Invalid")</f>
        <v>Valid</v>
      </c>
      <c r="T1774" t="s">
        <v>513</v>
      </c>
      <c r="V1774" t="s">
        <v>35</v>
      </c>
      <c r="X1774">
        <v>14988.82</v>
      </c>
      <c r="Y1774" t="s">
        <v>123</v>
      </c>
      <c r="Z1774">
        <v>165</v>
      </c>
      <c r="AA1774">
        <f t="shared" si="55"/>
        <v>165</v>
      </c>
      <c r="AB1774" t="s">
        <v>77</v>
      </c>
    </row>
    <row r="1775" spans="1:28" x14ac:dyDescent="0.3">
      <c r="A1775" t="s">
        <v>512</v>
      </c>
      <c r="B1775" t="s">
        <v>511</v>
      </c>
      <c r="C1775" t="s">
        <v>511</v>
      </c>
      <c r="D1775" t="s">
        <v>1</v>
      </c>
      <c r="E1775">
        <v>90</v>
      </c>
      <c r="F1775">
        <v>90</v>
      </c>
      <c r="G1775" t="s">
        <v>31</v>
      </c>
      <c r="H1775" t="s">
        <v>31</v>
      </c>
      <c r="I1775" t="s">
        <v>67</v>
      </c>
      <c r="J1775" t="s">
        <v>67</v>
      </c>
      <c r="K1775" s="1">
        <v>46075</v>
      </c>
      <c r="L1775" s="1" t="str">
        <f>IF(K1775&gt;O1775,"Valid","Invalid")</f>
        <v>Valid</v>
      </c>
      <c r="M1775" s="1" t="b">
        <f>ISNUMBER(K1775)</f>
        <v>1</v>
      </c>
      <c r="N1775" s="1" t="b">
        <f>ISNUMBER(O1775)</f>
        <v>1</v>
      </c>
      <c r="O1775" s="1">
        <v>46052</v>
      </c>
      <c r="P1775" t="s">
        <v>510</v>
      </c>
      <c r="Q1775" t="str">
        <f>SUBSTITUTE(SUBSTITUTE(SUBSTITUTE(P1775," ",""),"-",""),"+","")</f>
        <v>12345</v>
      </c>
      <c r="R1775" t="str">
        <f t="shared" si="54"/>
        <v>12345</v>
      </c>
      <c r="S1775" t="str">
        <f>IF(LEN(R1775),"Valid","Invalid")</f>
        <v>Valid</v>
      </c>
      <c r="T1775" t="s">
        <v>509</v>
      </c>
      <c r="V1775" t="s">
        <v>123</v>
      </c>
      <c r="X1775">
        <v>21023.22</v>
      </c>
      <c r="Y1775" t="s">
        <v>64</v>
      </c>
      <c r="Z1775">
        <v>514</v>
      </c>
      <c r="AA1775">
        <f t="shared" si="55"/>
        <v>514</v>
      </c>
      <c r="AB1775" t="s">
        <v>25</v>
      </c>
    </row>
    <row r="1776" spans="1:28" x14ac:dyDescent="0.3">
      <c r="A1776" t="s">
        <v>508</v>
      </c>
      <c r="B1776" t="s">
        <v>507</v>
      </c>
      <c r="C1776" t="s">
        <v>507</v>
      </c>
      <c r="D1776" t="s">
        <v>40</v>
      </c>
      <c r="E1776">
        <v>28</v>
      </c>
      <c r="F1776">
        <v>28</v>
      </c>
      <c r="G1776" t="s">
        <v>31</v>
      </c>
      <c r="H1776" t="s">
        <v>31</v>
      </c>
      <c r="I1776" t="s">
        <v>53</v>
      </c>
      <c r="J1776" t="s">
        <v>20</v>
      </c>
      <c r="K1776" s="1">
        <v>46082</v>
      </c>
      <c r="L1776" s="1" t="str">
        <f>IF(K1776&gt;O1776,"Valid","Invalid")</f>
        <v>Valid</v>
      </c>
      <c r="M1776" s="1" t="b">
        <f>ISNUMBER(K1776)</f>
        <v>1</v>
      </c>
      <c r="N1776" s="1" t="b">
        <f>ISNUMBER(O1776)</f>
        <v>1</v>
      </c>
      <c r="O1776" s="1">
        <v>46058</v>
      </c>
      <c r="P1776" t="s">
        <v>506</v>
      </c>
      <c r="Q1776" t="str">
        <f>SUBSTITUTE(SUBSTITUTE(SUBSTITUTE(P1776," ",""),"-",""),"+","")</f>
        <v>910403050477</v>
      </c>
      <c r="R1776" t="str">
        <f t="shared" si="54"/>
        <v>0403050477</v>
      </c>
      <c r="S1776" t="str">
        <f>IF(LEN(R1776),"Valid","Invalid")</f>
        <v>Valid</v>
      </c>
      <c r="T1776" t="s">
        <v>505</v>
      </c>
      <c r="V1776" t="s">
        <v>123</v>
      </c>
      <c r="X1776">
        <v>20622.64</v>
      </c>
      <c r="Y1776" t="s">
        <v>64</v>
      </c>
      <c r="Z1776">
        <v>217</v>
      </c>
      <c r="AA1776">
        <f t="shared" si="55"/>
        <v>217</v>
      </c>
      <c r="AB1776" t="s">
        <v>16</v>
      </c>
    </row>
    <row r="1777" spans="1:28" x14ac:dyDescent="0.3">
      <c r="A1777" t="s">
        <v>504</v>
      </c>
      <c r="B1777" t="s">
        <v>503</v>
      </c>
      <c r="C1777" t="s">
        <v>503</v>
      </c>
      <c r="D1777" t="s">
        <v>74</v>
      </c>
      <c r="E1777">
        <v>19</v>
      </c>
      <c r="F1777">
        <v>19</v>
      </c>
      <c r="G1777" t="s">
        <v>132</v>
      </c>
      <c r="H1777" t="s">
        <v>132</v>
      </c>
      <c r="I1777" t="s">
        <v>38</v>
      </c>
      <c r="J1777" t="s">
        <v>8077</v>
      </c>
      <c r="K1777" s="1">
        <v>46118</v>
      </c>
      <c r="L1777" s="1" t="str">
        <f>IF(K1777&gt;O1777,"Valid","Invalid")</f>
        <v>Valid</v>
      </c>
      <c r="M1777" s="1" t="b">
        <f>ISNUMBER(K1777)</f>
        <v>1</v>
      </c>
      <c r="N1777" s="1" t="b">
        <f>ISNUMBER(O1777)</f>
        <v>1</v>
      </c>
      <c r="O1777" s="1">
        <v>46105</v>
      </c>
      <c r="P1777" t="s">
        <v>502</v>
      </c>
      <c r="Q1777" t="str">
        <f>SUBSTITUTE(SUBSTITUTE(SUBSTITUTE(P1777," ",""),"-",""),"+","")</f>
        <v>919611523878</v>
      </c>
      <c r="R1777" t="str">
        <f t="shared" si="54"/>
        <v>9611523878</v>
      </c>
      <c r="S1777" t="str">
        <f>IF(LEN(R1777),"Valid","Invalid")</f>
        <v>Valid</v>
      </c>
      <c r="T1777" t="s">
        <v>501</v>
      </c>
      <c r="V1777" t="s">
        <v>57</v>
      </c>
      <c r="X1777">
        <v>13832.44</v>
      </c>
      <c r="Y1777" t="s">
        <v>17</v>
      </c>
      <c r="Z1777">
        <v>298</v>
      </c>
      <c r="AA1777">
        <f t="shared" si="55"/>
        <v>298</v>
      </c>
      <c r="AB1777" t="s">
        <v>43</v>
      </c>
    </row>
    <row r="1778" spans="1:28" x14ac:dyDescent="0.3">
      <c r="A1778" t="s">
        <v>500</v>
      </c>
      <c r="B1778" t="s">
        <v>499</v>
      </c>
      <c r="C1778" t="s">
        <v>499</v>
      </c>
      <c r="D1778" t="s">
        <v>0</v>
      </c>
      <c r="E1778">
        <v>28</v>
      </c>
      <c r="F1778">
        <v>28</v>
      </c>
      <c r="G1778" t="s">
        <v>47</v>
      </c>
      <c r="H1778" t="s">
        <v>47</v>
      </c>
      <c r="I1778" t="s">
        <v>30</v>
      </c>
      <c r="J1778" t="s">
        <v>30</v>
      </c>
      <c r="K1778" s="1">
        <v>46164</v>
      </c>
      <c r="L1778" s="1" t="str">
        <f>IF(K1778&gt;O1778,"Valid","Invalid")</f>
        <v>Valid</v>
      </c>
      <c r="M1778" s="1" t="b">
        <f>ISNUMBER(K1778)</f>
        <v>1</v>
      </c>
      <c r="N1778" s="1" t="b">
        <f>ISNUMBER(O1778)</f>
        <v>1</v>
      </c>
      <c r="O1778" s="1">
        <v>46134</v>
      </c>
      <c r="P1778" t="s">
        <v>498</v>
      </c>
      <c r="Q1778" t="str">
        <f>SUBSTITUTE(SUBSTITUTE(SUBSTITUTE(P1778," ",""),"-",""),"+","")</f>
        <v>9806689644</v>
      </c>
      <c r="R1778" t="str">
        <f t="shared" si="54"/>
        <v>9806689644</v>
      </c>
      <c r="S1778" t="str">
        <f>IF(LEN(R1778),"Valid","Invalid")</f>
        <v>Valid</v>
      </c>
      <c r="T1778" t="s">
        <v>497</v>
      </c>
      <c r="V1778" t="s">
        <v>64</v>
      </c>
      <c r="X1778">
        <v>22224.94</v>
      </c>
      <c r="Y1778" t="s">
        <v>26</v>
      </c>
      <c r="Z1778">
        <v>113</v>
      </c>
      <c r="AA1778">
        <f t="shared" si="55"/>
        <v>113</v>
      </c>
      <c r="AB1778" t="s">
        <v>71</v>
      </c>
    </row>
    <row r="1779" spans="1:28" x14ac:dyDescent="0.3">
      <c r="A1779" t="s">
        <v>496</v>
      </c>
      <c r="B1779" t="s">
        <v>495</v>
      </c>
      <c r="C1779" t="s">
        <v>495</v>
      </c>
      <c r="E1779">
        <v>7</v>
      </c>
      <c r="F1779">
        <v>7</v>
      </c>
      <c r="G1779" t="s">
        <v>54</v>
      </c>
      <c r="H1779" t="s">
        <v>54</v>
      </c>
      <c r="I1779" t="s">
        <v>20</v>
      </c>
      <c r="J1779" t="s">
        <v>20</v>
      </c>
      <c r="K1779" s="1">
        <v>46074</v>
      </c>
      <c r="L1779" s="1" t="str">
        <f>IF(K1779&gt;O1779,"Valid","Invalid")</f>
        <v>Valid</v>
      </c>
      <c r="M1779" s="1" t="b">
        <f>ISNUMBER(K1779)</f>
        <v>1</v>
      </c>
      <c r="N1779" s="1" t="b">
        <f>ISNUMBER(O1779)</f>
        <v>1</v>
      </c>
      <c r="O1779" s="1">
        <v>46063</v>
      </c>
      <c r="P1779" t="s">
        <v>494</v>
      </c>
      <c r="Q1779" t="str">
        <f>SUBSTITUTE(SUBSTITUTE(SUBSTITUTE(P1779," ",""),"-",""),"+","")</f>
        <v>04844223202</v>
      </c>
      <c r="R1779" t="str">
        <f t="shared" si="54"/>
        <v>4844223202</v>
      </c>
      <c r="S1779" t="str">
        <f>IF(LEN(R1779),"Valid","Invalid")</f>
        <v>Valid</v>
      </c>
      <c r="T1779" t="s">
        <v>493</v>
      </c>
      <c r="V1779" t="s">
        <v>35</v>
      </c>
      <c r="X1779">
        <v>12086.9</v>
      </c>
      <c r="Y1779" t="s">
        <v>123</v>
      </c>
      <c r="Z1779">
        <v>242</v>
      </c>
      <c r="AA1779">
        <f t="shared" si="55"/>
        <v>242</v>
      </c>
      <c r="AB1779" t="s">
        <v>77</v>
      </c>
    </row>
    <row r="1780" spans="1:28" x14ac:dyDescent="0.3">
      <c r="A1780" t="s">
        <v>492</v>
      </c>
      <c r="B1780" t="s">
        <v>491</v>
      </c>
      <c r="C1780" t="s">
        <v>8075</v>
      </c>
      <c r="D1780" t="s">
        <v>0</v>
      </c>
      <c r="E1780">
        <v>77</v>
      </c>
      <c r="F1780">
        <v>77</v>
      </c>
      <c r="G1780" t="s">
        <v>47</v>
      </c>
      <c r="H1780" t="s">
        <v>47</v>
      </c>
      <c r="I1780" t="s">
        <v>85</v>
      </c>
      <c r="J1780" t="s">
        <v>85</v>
      </c>
      <c r="K1780" s="1">
        <v>46002</v>
      </c>
      <c r="L1780" s="1" t="str">
        <f>IF(K1780&gt;O1780,"Valid","Invalid")</f>
        <v>Valid</v>
      </c>
      <c r="M1780" s="1" t="b">
        <f>ISNUMBER(K1780)</f>
        <v>1</v>
      </c>
      <c r="N1780" s="1" t="b">
        <f>ISNUMBER(O1780)</f>
        <v>1</v>
      </c>
      <c r="O1780" s="1">
        <v>45979</v>
      </c>
      <c r="P1780" t="s">
        <v>490</v>
      </c>
      <c r="Q1780" t="str">
        <f>SUBSTITUTE(SUBSTITUTE(SUBSTITUTE(P1780," ",""),"-",""),"+","")</f>
        <v>914490437073</v>
      </c>
      <c r="R1780" t="str">
        <f t="shared" si="54"/>
        <v>4490437073</v>
      </c>
      <c r="S1780" t="str">
        <f>IF(LEN(R1780),"Valid","Invalid")</f>
        <v>Valid</v>
      </c>
      <c r="T1780" t="s">
        <v>489</v>
      </c>
      <c r="V1780" t="s">
        <v>64</v>
      </c>
      <c r="X1780" t="s">
        <v>488</v>
      </c>
      <c r="Y1780" t="s">
        <v>27</v>
      </c>
      <c r="Z1780">
        <v>311</v>
      </c>
      <c r="AA1780">
        <f t="shared" si="55"/>
        <v>311</v>
      </c>
      <c r="AB1780" t="s">
        <v>71</v>
      </c>
    </row>
    <row r="1781" spans="1:28" x14ac:dyDescent="0.3">
      <c r="A1781" t="s">
        <v>487</v>
      </c>
      <c r="B1781" t="s">
        <v>486</v>
      </c>
      <c r="C1781" t="s">
        <v>486</v>
      </c>
      <c r="D1781" t="s">
        <v>0</v>
      </c>
      <c r="E1781">
        <v>17</v>
      </c>
      <c r="F1781">
        <v>17</v>
      </c>
      <c r="G1781" t="s">
        <v>132</v>
      </c>
      <c r="H1781" t="s">
        <v>132</v>
      </c>
      <c r="I1781" t="s">
        <v>20</v>
      </c>
      <c r="J1781" t="s">
        <v>20</v>
      </c>
      <c r="K1781" s="1">
        <v>46029</v>
      </c>
      <c r="L1781" s="1" t="str">
        <f>IF(K1781&gt;O1781,"Valid","Invalid")</f>
        <v>Valid</v>
      </c>
      <c r="M1781" s="1" t="b">
        <f>ISNUMBER(K1781)</f>
        <v>1</v>
      </c>
      <c r="N1781" s="1" t="b">
        <f>ISNUMBER(O1781)</f>
        <v>1</v>
      </c>
      <c r="O1781" s="1">
        <v>46019</v>
      </c>
      <c r="P1781" t="s">
        <v>485</v>
      </c>
      <c r="Q1781" t="str">
        <f>SUBSTITUTE(SUBSTITUTE(SUBSTITUTE(P1781," ",""),"-",""),"+","")</f>
        <v>3007472307</v>
      </c>
      <c r="R1781" t="str">
        <f t="shared" si="54"/>
        <v>3007472307</v>
      </c>
      <c r="S1781" t="str">
        <f>IF(LEN(R1781),"Valid","Invalid")</f>
        <v>Valid</v>
      </c>
      <c r="T1781" t="s">
        <v>484</v>
      </c>
      <c r="V1781" t="s">
        <v>57</v>
      </c>
      <c r="X1781">
        <v>6674.33</v>
      </c>
      <c r="Y1781" t="s">
        <v>26</v>
      </c>
      <c r="Z1781">
        <v>523</v>
      </c>
      <c r="AA1781">
        <f t="shared" si="55"/>
        <v>523</v>
      </c>
      <c r="AB1781" t="s">
        <v>25</v>
      </c>
    </row>
    <row r="1782" spans="1:28" x14ac:dyDescent="0.3">
      <c r="A1782" t="s">
        <v>483</v>
      </c>
      <c r="B1782" t="s">
        <v>482</v>
      </c>
      <c r="C1782" t="s">
        <v>482</v>
      </c>
      <c r="D1782" t="s">
        <v>40</v>
      </c>
      <c r="E1782">
        <v>29</v>
      </c>
      <c r="F1782">
        <v>29</v>
      </c>
      <c r="G1782" t="s">
        <v>132</v>
      </c>
      <c r="H1782" t="s">
        <v>132</v>
      </c>
      <c r="I1782" t="s">
        <v>46</v>
      </c>
      <c r="J1782" t="s">
        <v>46</v>
      </c>
      <c r="K1782" s="1">
        <v>46027</v>
      </c>
      <c r="L1782" s="1" t="str">
        <f>IF(K1782&gt;O1782,"Valid","Invalid")</f>
        <v>Valid</v>
      </c>
      <c r="M1782" s="1" t="b">
        <f>ISNUMBER(K1782)</f>
        <v>1</v>
      </c>
      <c r="N1782" s="1" t="b">
        <f>ISNUMBER(O1782)</f>
        <v>1</v>
      </c>
      <c r="O1782" s="1">
        <v>46020</v>
      </c>
      <c r="P1782" t="s">
        <v>481</v>
      </c>
      <c r="Q1782" t="str">
        <f>SUBSTITUTE(SUBSTITUTE(SUBSTITUTE(P1782," ",""),"-",""),"+","")</f>
        <v>913509122468</v>
      </c>
      <c r="R1782" t="str">
        <f t="shared" si="54"/>
        <v>3509122468</v>
      </c>
      <c r="S1782" t="str">
        <f>IF(LEN(R1782),"Valid","Invalid")</f>
        <v>Valid</v>
      </c>
      <c r="T1782" t="s">
        <v>480</v>
      </c>
      <c r="V1782" t="s">
        <v>27</v>
      </c>
      <c r="X1782">
        <v>3292.43</v>
      </c>
      <c r="Y1782" t="s">
        <v>17</v>
      </c>
      <c r="Z1782">
        <v>307</v>
      </c>
      <c r="AA1782">
        <f t="shared" si="55"/>
        <v>307</v>
      </c>
      <c r="AB1782" t="s">
        <v>16</v>
      </c>
    </row>
    <row r="1783" spans="1:28" x14ac:dyDescent="0.3">
      <c r="A1783" t="s">
        <v>479</v>
      </c>
      <c r="B1783" t="s">
        <v>478</v>
      </c>
      <c r="C1783" t="s">
        <v>478</v>
      </c>
      <c r="E1783">
        <v>48</v>
      </c>
      <c r="F1783">
        <v>48</v>
      </c>
      <c r="G1783" t="s">
        <v>54</v>
      </c>
      <c r="H1783" t="s">
        <v>54</v>
      </c>
      <c r="I1783" t="s">
        <v>30</v>
      </c>
      <c r="J1783" t="s">
        <v>30</v>
      </c>
      <c r="K1783" s="1">
        <v>46025</v>
      </c>
      <c r="L1783" s="1" t="str">
        <f>IF(K1783&gt;O1783,"Valid","Invalid")</f>
        <v>Valid</v>
      </c>
      <c r="M1783" s="1" t="b">
        <f>ISNUMBER(K1783)</f>
        <v>1</v>
      </c>
      <c r="N1783" s="1" t="b">
        <f>ISNUMBER(O1783)</f>
        <v>1</v>
      </c>
      <c r="O1783" s="1">
        <v>46006</v>
      </c>
      <c r="P1783" t="s">
        <v>477</v>
      </c>
      <c r="Q1783" t="str">
        <f>SUBSTITUTE(SUBSTITUTE(SUBSTITUTE(P1783," ",""),"-",""),"+","")</f>
        <v>918244305251</v>
      </c>
      <c r="R1783" t="str">
        <f t="shared" si="54"/>
        <v>8244305251</v>
      </c>
      <c r="S1783" t="str">
        <f>IF(LEN(R1783),"Valid","Invalid")</f>
        <v>Valid</v>
      </c>
      <c r="T1783" t="s">
        <v>476</v>
      </c>
      <c r="V1783" t="s">
        <v>64</v>
      </c>
      <c r="X1783">
        <v>9398.02</v>
      </c>
      <c r="Y1783" t="s">
        <v>17</v>
      </c>
      <c r="Z1783">
        <v>290</v>
      </c>
      <c r="AA1783">
        <f t="shared" si="55"/>
        <v>290</v>
      </c>
      <c r="AB1783" t="s">
        <v>43</v>
      </c>
    </row>
    <row r="1784" spans="1:28" x14ac:dyDescent="0.3">
      <c r="A1784" t="s">
        <v>475</v>
      </c>
      <c r="B1784" t="s">
        <v>474</v>
      </c>
      <c r="C1784" t="s">
        <v>474</v>
      </c>
      <c r="D1784" t="s">
        <v>123</v>
      </c>
      <c r="E1784">
        <v>23</v>
      </c>
      <c r="F1784">
        <v>23</v>
      </c>
      <c r="G1784" t="s">
        <v>21</v>
      </c>
      <c r="H1784" t="s">
        <v>21</v>
      </c>
      <c r="I1784" t="s">
        <v>30</v>
      </c>
      <c r="J1784" t="s">
        <v>30</v>
      </c>
      <c r="K1784" s="1">
        <v>46006</v>
      </c>
      <c r="L1784" s="1" t="str">
        <f>IF(K1784&gt;O1784,"Valid","Invalid")</f>
        <v>Valid</v>
      </c>
      <c r="M1784" s="1" t="b">
        <f>ISNUMBER(K1784)</f>
        <v>1</v>
      </c>
      <c r="N1784" s="1" t="b">
        <f>ISNUMBER(O1784)</f>
        <v>1</v>
      </c>
      <c r="O1784" s="1">
        <v>45991</v>
      </c>
      <c r="P1784" t="s">
        <v>473</v>
      </c>
      <c r="Q1784" t="str">
        <f>SUBSTITUTE(SUBSTITUTE(SUBSTITUTE(P1784," ",""),"-",""),"+","")</f>
        <v>3955441703</v>
      </c>
      <c r="R1784" t="str">
        <f t="shared" si="54"/>
        <v>3955441703</v>
      </c>
      <c r="S1784" t="str">
        <f>IF(LEN(R1784),"Valid","Invalid")</f>
        <v>Valid</v>
      </c>
      <c r="T1784" t="s">
        <v>472</v>
      </c>
      <c r="V1784" t="s">
        <v>64</v>
      </c>
      <c r="X1784">
        <v>3594.11</v>
      </c>
      <c r="Y1784" t="s">
        <v>63</v>
      </c>
      <c r="Z1784">
        <v>336</v>
      </c>
      <c r="AA1784">
        <f t="shared" si="55"/>
        <v>336</v>
      </c>
      <c r="AB1784" t="s">
        <v>16</v>
      </c>
    </row>
    <row r="1785" spans="1:28" x14ac:dyDescent="0.3">
      <c r="A1785" t="s">
        <v>471</v>
      </c>
      <c r="B1785" t="s">
        <v>470</v>
      </c>
      <c r="C1785" t="s">
        <v>470</v>
      </c>
      <c r="D1785" t="s">
        <v>40</v>
      </c>
      <c r="E1785">
        <v>15</v>
      </c>
      <c r="F1785">
        <v>15</v>
      </c>
      <c r="G1785" t="s">
        <v>47</v>
      </c>
      <c r="H1785" t="s">
        <v>47</v>
      </c>
      <c r="I1785" t="s">
        <v>46</v>
      </c>
      <c r="J1785" t="s">
        <v>46</v>
      </c>
      <c r="K1785" s="1">
        <v>46147</v>
      </c>
      <c r="L1785" s="1" t="str">
        <f>IF(K1785&gt;O1785,"Valid","Invalid")</f>
        <v>Valid</v>
      </c>
      <c r="M1785" s="1" t="b">
        <f>ISNUMBER(K1785)</f>
        <v>1</v>
      </c>
      <c r="N1785" s="1" t="b">
        <f>ISNUMBER(O1785)</f>
        <v>1</v>
      </c>
      <c r="O1785" s="1">
        <v>46123</v>
      </c>
      <c r="P1785" t="s">
        <v>469</v>
      </c>
      <c r="Q1785" t="str">
        <f>SUBSTITUTE(SUBSTITUTE(SUBSTITUTE(P1785," ",""),"-",""),"+","")</f>
        <v>5985700906</v>
      </c>
      <c r="R1785" t="str">
        <f t="shared" si="54"/>
        <v>5985700906</v>
      </c>
      <c r="S1785" t="str">
        <f>IF(LEN(R1785),"Valid","Invalid")</f>
        <v>Valid</v>
      </c>
      <c r="T1785" t="s">
        <v>468</v>
      </c>
      <c r="V1785" t="s">
        <v>64</v>
      </c>
      <c r="X1785">
        <v>19972.02</v>
      </c>
      <c r="Y1785" t="s">
        <v>64</v>
      </c>
      <c r="Z1785">
        <v>119</v>
      </c>
      <c r="AA1785">
        <f t="shared" si="55"/>
        <v>119</v>
      </c>
      <c r="AB1785" t="s">
        <v>71</v>
      </c>
    </row>
    <row r="1786" spans="1:28" x14ac:dyDescent="0.3">
      <c r="A1786" t="s">
        <v>467</v>
      </c>
      <c r="B1786" t="s">
        <v>466</v>
      </c>
      <c r="C1786" t="s">
        <v>466</v>
      </c>
      <c r="D1786" t="s">
        <v>40</v>
      </c>
      <c r="E1786">
        <v>53</v>
      </c>
      <c r="F1786">
        <v>53</v>
      </c>
      <c r="G1786" t="s">
        <v>21</v>
      </c>
      <c r="H1786" t="s">
        <v>21</v>
      </c>
      <c r="I1786" t="s">
        <v>20</v>
      </c>
      <c r="J1786" t="s">
        <v>20</v>
      </c>
      <c r="K1786" s="1">
        <v>46074</v>
      </c>
      <c r="L1786" s="1" t="str">
        <f>IF(K1786&gt;O1786,"Valid","Invalid")</f>
        <v>Valid</v>
      </c>
      <c r="M1786" s="1" t="b">
        <f>ISNUMBER(K1786)</f>
        <v>1</v>
      </c>
      <c r="N1786" s="1" t="b">
        <f>ISNUMBER(O1786)</f>
        <v>1</v>
      </c>
      <c r="O1786" s="1">
        <v>46060</v>
      </c>
      <c r="P1786" t="s">
        <v>465</v>
      </c>
      <c r="Q1786" t="str">
        <f>SUBSTITUTE(SUBSTITUTE(SUBSTITUTE(P1786," ",""),"-",""),"+","")</f>
        <v>08439781715</v>
      </c>
      <c r="R1786" t="str">
        <f t="shared" si="54"/>
        <v>8439781715</v>
      </c>
      <c r="S1786" t="str">
        <f>IF(LEN(R1786),"Valid","Invalid")</f>
        <v>Valid</v>
      </c>
      <c r="T1786" t="s">
        <v>464</v>
      </c>
      <c r="V1786" t="s">
        <v>123</v>
      </c>
      <c r="X1786">
        <v>7049.02</v>
      </c>
      <c r="Y1786" t="s">
        <v>64</v>
      </c>
      <c r="Z1786">
        <v>350</v>
      </c>
      <c r="AA1786">
        <f t="shared" si="55"/>
        <v>350</v>
      </c>
      <c r="AB1786" t="s">
        <v>71</v>
      </c>
    </row>
    <row r="1787" spans="1:28" x14ac:dyDescent="0.3">
      <c r="A1787" t="s">
        <v>463</v>
      </c>
      <c r="B1787" t="s">
        <v>462</v>
      </c>
      <c r="C1787" t="s">
        <v>462</v>
      </c>
      <c r="D1787" t="s">
        <v>123</v>
      </c>
      <c r="E1787">
        <v>67</v>
      </c>
      <c r="F1787">
        <v>67</v>
      </c>
      <c r="G1787" t="s">
        <v>47</v>
      </c>
      <c r="H1787" t="s">
        <v>47</v>
      </c>
      <c r="I1787" t="s">
        <v>46</v>
      </c>
      <c r="J1787" t="s">
        <v>46</v>
      </c>
      <c r="K1787" s="1">
        <v>46053</v>
      </c>
      <c r="L1787" s="1" t="str">
        <f>IF(K1787&gt;O1787,"Valid","Invalid")</f>
        <v>Valid</v>
      </c>
      <c r="M1787" s="1" t="b">
        <f>ISNUMBER(K1787)</f>
        <v>1</v>
      </c>
      <c r="N1787" s="1" t="b">
        <f>ISNUMBER(O1787)</f>
        <v>1</v>
      </c>
      <c r="O1787" s="1">
        <v>46037</v>
      </c>
      <c r="P1787" t="s">
        <v>461</v>
      </c>
      <c r="Q1787" t="str">
        <f>SUBSTITUTE(SUBSTITUTE(SUBSTITUTE(P1787," ",""),"-",""),"+","")</f>
        <v>01624761166</v>
      </c>
      <c r="R1787" t="str">
        <f t="shared" si="54"/>
        <v>1624761166</v>
      </c>
      <c r="S1787" t="str">
        <f>IF(LEN(R1787),"Valid","Invalid")</f>
        <v>Valid</v>
      </c>
      <c r="T1787" t="s">
        <v>460</v>
      </c>
      <c r="V1787" t="s">
        <v>64</v>
      </c>
      <c r="X1787">
        <v>20345.939999999999</v>
      </c>
      <c r="Y1787" t="s">
        <v>17</v>
      </c>
      <c r="Z1787">
        <v>329</v>
      </c>
      <c r="AA1787">
        <f t="shared" si="55"/>
        <v>329</v>
      </c>
      <c r="AB1787" t="s">
        <v>77</v>
      </c>
    </row>
    <row r="1788" spans="1:28" x14ac:dyDescent="0.3">
      <c r="A1788" t="s">
        <v>459</v>
      </c>
      <c r="B1788" t="s">
        <v>458</v>
      </c>
      <c r="C1788" t="s">
        <v>458</v>
      </c>
      <c r="D1788" t="s">
        <v>0</v>
      </c>
      <c r="E1788">
        <v>76</v>
      </c>
      <c r="F1788">
        <v>76</v>
      </c>
      <c r="G1788" t="s">
        <v>47</v>
      </c>
      <c r="H1788" t="s">
        <v>47</v>
      </c>
      <c r="I1788" t="s">
        <v>20</v>
      </c>
      <c r="J1788" t="s">
        <v>20</v>
      </c>
      <c r="K1788" s="1">
        <v>46011</v>
      </c>
      <c r="L1788" s="1" t="str">
        <f>IF(K1788&gt;O1788,"Valid","Invalid")</f>
        <v>Valid</v>
      </c>
      <c r="M1788" s="1" t="b">
        <f>ISNUMBER(K1788)</f>
        <v>1</v>
      </c>
      <c r="N1788" s="1" t="b">
        <f>ISNUMBER(O1788)</f>
        <v>1</v>
      </c>
      <c r="O1788" s="1">
        <v>46001</v>
      </c>
      <c r="P1788" t="s">
        <v>457</v>
      </c>
      <c r="Q1788" t="str">
        <f>SUBSTITUTE(SUBSTITUTE(SUBSTITUTE(P1788," ",""),"-",""),"+","")</f>
        <v>9117006826</v>
      </c>
      <c r="R1788" t="str">
        <f t="shared" si="54"/>
        <v>9117006826</v>
      </c>
      <c r="S1788" t="str">
        <f>IF(LEN(R1788),"Valid","Invalid")</f>
        <v>Valid</v>
      </c>
      <c r="T1788" t="s">
        <v>456</v>
      </c>
      <c r="V1788" t="s">
        <v>27</v>
      </c>
      <c r="X1788">
        <v>11693.69</v>
      </c>
      <c r="Y1788" t="s">
        <v>57</v>
      </c>
      <c r="Z1788">
        <v>360</v>
      </c>
      <c r="AA1788">
        <f t="shared" si="55"/>
        <v>360</v>
      </c>
      <c r="AB1788" t="s">
        <v>77</v>
      </c>
    </row>
    <row r="1789" spans="1:28" x14ac:dyDescent="0.3">
      <c r="A1789" t="s">
        <v>455</v>
      </c>
      <c r="B1789" t="s">
        <v>454</v>
      </c>
      <c r="C1789" t="s">
        <v>454</v>
      </c>
      <c r="D1789" t="s">
        <v>123</v>
      </c>
      <c r="E1789">
        <v>58</v>
      </c>
      <c r="F1789">
        <v>58</v>
      </c>
      <c r="G1789" t="s">
        <v>80</v>
      </c>
      <c r="H1789" t="s">
        <v>80</v>
      </c>
      <c r="I1789" t="s">
        <v>38</v>
      </c>
      <c r="J1789" t="s">
        <v>8077</v>
      </c>
      <c r="K1789" s="1">
        <v>46130</v>
      </c>
      <c r="L1789" s="1" t="str">
        <f>IF(K1789&gt;O1789,"Valid","Invalid")</f>
        <v>Valid</v>
      </c>
      <c r="M1789" s="1" t="b">
        <f>ISNUMBER(K1789)</f>
        <v>1</v>
      </c>
      <c r="N1789" s="1" t="b">
        <f>ISNUMBER(O1789)</f>
        <v>1</v>
      </c>
      <c r="O1789" s="1">
        <v>46129</v>
      </c>
      <c r="P1789" t="s">
        <v>453</v>
      </c>
      <c r="Q1789" t="str">
        <f>SUBSTITUTE(SUBSTITUTE(SUBSTITUTE(P1789," ",""),"-",""),"+","")</f>
        <v>1056739054</v>
      </c>
      <c r="R1789" t="str">
        <f t="shared" si="54"/>
        <v>1056739054</v>
      </c>
      <c r="S1789" t="str">
        <f>IF(LEN(R1789),"Valid","Invalid")</f>
        <v>Valid</v>
      </c>
      <c r="T1789" t="s">
        <v>452</v>
      </c>
      <c r="V1789" t="s">
        <v>123</v>
      </c>
      <c r="X1789">
        <v>17873.009999999998</v>
      </c>
      <c r="Y1789" t="s">
        <v>17</v>
      </c>
      <c r="Z1789">
        <v>140</v>
      </c>
      <c r="AA1789">
        <f t="shared" si="55"/>
        <v>140</v>
      </c>
      <c r="AB1789" t="s">
        <v>77</v>
      </c>
    </row>
    <row r="1790" spans="1:28" x14ac:dyDescent="0.3">
      <c r="A1790" t="s">
        <v>451</v>
      </c>
      <c r="B1790" t="s">
        <v>450</v>
      </c>
      <c r="C1790" t="s">
        <v>450</v>
      </c>
      <c r="D1790" t="s">
        <v>22</v>
      </c>
      <c r="E1790">
        <v>47</v>
      </c>
      <c r="F1790">
        <v>47</v>
      </c>
      <c r="G1790" t="s">
        <v>132</v>
      </c>
      <c r="H1790" t="s">
        <v>132</v>
      </c>
      <c r="I1790" t="s">
        <v>85</v>
      </c>
      <c r="J1790" t="s">
        <v>85</v>
      </c>
      <c r="K1790" s="1">
        <v>46076</v>
      </c>
      <c r="L1790" s="1" t="str">
        <f>IF(K1790&gt;O1790,"Valid","Invalid")</f>
        <v>Valid</v>
      </c>
      <c r="M1790" s="1" t="b">
        <f>ISNUMBER(K1790)</f>
        <v>1</v>
      </c>
      <c r="N1790" s="1" t="b">
        <f>ISNUMBER(O1790)</f>
        <v>1</v>
      </c>
      <c r="O1790" s="1">
        <v>46067</v>
      </c>
      <c r="P1790" t="s">
        <v>449</v>
      </c>
      <c r="Q1790" t="str">
        <f>SUBSTITUTE(SUBSTITUTE(SUBSTITUTE(P1790," ",""),"-",""),"+","")</f>
        <v>6397607564</v>
      </c>
      <c r="R1790" t="str">
        <f t="shared" si="54"/>
        <v>6397607564</v>
      </c>
      <c r="S1790" t="str">
        <f>IF(LEN(R1790),"Valid","Invalid")</f>
        <v>Valid</v>
      </c>
      <c r="T1790" t="s">
        <v>448</v>
      </c>
      <c r="V1790" t="s">
        <v>17</v>
      </c>
      <c r="X1790">
        <v>20065.46</v>
      </c>
      <c r="Y1790" t="s">
        <v>26</v>
      </c>
      <c r="Z1790">
        <v>158</v>
      </c>
      <c r="AA1790">
        <f t="shared" si="55"/>
        <v>158</v>
      </c>
      <c r="AB1790" t="s">
        <v>25</v>
      </c>
    </row>
    <row r="1791" spans="1:28" x14ac:dyDescent="0.3">
      <c r="A1791" t="s">
        <v>447</v>
      </c>
      <c r="B1791" t="s">
        <v>446</v>
      </c>
      <c r="C1791" t="s">
        <v>446</v>
      </c>
      <c r="D1791" t="s">
        <v>1</v>
      </c>
      <c r="E1791">
        <v>4</v>
      </c>
      <c r="F1791">
        <v>4</v>
      </c>
      <c r="G1791" t="s">
        <v>47</v>
      </c>
      <c r="H1791" t="s">
        <v>47</v>
      </c>
      <c r="I1791" t="s">
        <v>90</v>
      </c>
      <c r="J1791" t="s">
        <v>67</v>
      </c>
      <c r="K1791" s="1">
        <v>46067</v>
      </c>
      <c r="L1791" s="1" t="str">
        <f>IF(K1791&gt;O1791,"Valid","Invalid")</f>
        <v>Valid</v>
      </c>
      <c r="M1791" s="1" t="b">
        <f>ISNUMBER(K1791)</f>
        <v>1</v>
      </c>
      <c r="N1791" s="1" t="b">
        <f>ISNUMBER(O1791)</f>
        <v>1</v>
      </c>
      <c r="O1791" s="1">
        <v>46062</v>
      </c>
      <c r="P1791" t="s">
        <v>445</v>
      </c>
      <c r="Q1791" t="str">
        <f>SUBSTITUTE(SUBSTITUTE(SUBSTITUTE(P1791," ",""),"-",""),"+","")</f>
        <v>2372398265</v>
      </c>
      <c r="R1791" t="str">
        <f t="shared" si="54"/>
        <v>2372398265</v>
      </c>
      <c r="S1791" t="str">
        <f>IF(LEN(R1791),"Valid","Invalid")</f>
        <v>Valid</v>
      </c>
      <c r="T1791" t="s">
        <v>444</v>
      </c>
      <c r="V1791" t="s">
        <v>57</v>
      </c>
      <c r="X1791">
        <v>13385.95</v>
      </c>
      <c r="Y1791" t="s">
        <v>17</v>
      </c>
      <c r="Z1791">
        <v>328</v>
      </c>
      <c r="AA1791">
        <f t="shared" si="55"/>
        <v>328</v>
      </c>
      <c r="AB1791" t="s">
        <v>16</v>
      </c>
    </row>
    <row r="1792" spans="1:28" x14ac:dyDescent="0.3">
      <c r="A1792" t="s">
        <v>439</v>
      </c>
      <c r="B1792" t="s">
        <v>438</v>
      </c>
      <c r="C1792" t="s">
        <v>438</v>
      </c>
      <c r="D1792" t="s">
        <v>1</v>
      </c>
      <c r="E1792">
        <v>78</v>
      </c>
      <c r="F1792">
        <v>78</v>
      </c>
      <c r="G1792" t="s">
        <v>54</v>
      </c>
      <c r="H1792" t="s">
        <v>54</v>
      </c>
      <c r="I1792" t="s">
        <v>53</v>
      </c>
      <c r="J1792" t="s">
        <v>20</v>
      </c>
      <c r="K1792" s="1">
        <v>46061</v>
      </c>
      <c r="L1792" s="1" t="str">
        <f>IF(K1792&gt;O1792,"Valid","Invalid")</f>
        <v>Valid</v>
      </c>
      <c r="M1792" s="1" t="b">
        <f>ISNUMBER(K1792)</f>
        <v>1</v>
      </c>
      <c r="N1792" s="1" t="b">
        <f>ISNUMBER(O1792)</f>
        <v>1</v>
      </c>
      <c r="O1792" s="1">
        <v>46035</v>
      </c>
      <c r="P1792" t="s">
        <v>437</v>
      </c>
      <c r="Q1792" t="str">
        <f>SUBSTITUTE(SUBSTITUTE(SUBSTITUTE(P1792," ",""),"-",""),"+","")</f>
        <v>7750018115</v>
      </c>
      <c r="R1792" t="str">
        <f t="shared" si="54"/>
        <v>7750018115</v>
      </c>
      <c r="S1792" t="str">
        <f>IF(LEN(R1792),"Valid","Invalid")</f>
        <v>Valid</v>
      </c>
      <c r="T1792" t="s">
        <v>436</v>
      </c>
      <c r="V1792" t="s">
        <v>123</v>
      </c>
      <c r="X1792">
        <v>23064.84</v>
      </c>
      <c r="Y1792" t="s">
        <v>123</v>
      </c>
      <c r="Z1792">
        <v>301</v>
      </c>
      <c r="AA1792">
        <f t="shared" si="55"/>
        <v>301</v>
      </c>
      <c r="AB1792" t="s">
        <v>16</v>
      </c>
    </row>
    <row r="1793" spans="1:28" x14ac:dyDescent="0.3">
      <c r="A1793" t="s">
        <v>435</v>
      </c>
      <c r="B1793" t="s">
        <v>434</v>
      </c>
      <c r="C1793" t="s">
        <v>434</v>
      </c>
      <c r="D1793" t="s">
        <v>0</v>
      </c>
      <c r="E1793">
        <v>11</v>
      </c>
      <c r="F1793">
        <v>11</v>
      </c>
      <c r="G1793" t="s">
        <v>31</v>
      </c>
      <c r="H1793" t="s">
        <v>31</v>
      </c>
      <c r="I1793" t="s">
        <v>20</v>
      </c>
      <c r="J1793" t="s">
        <v>20</v>
      </c>
      <c r="K1793" s="1">
        <v>46118</v>
      </c>
      <c r="L1793" s="1" t="str">
        <f>IF(K1793&gt;O1793,"Valid","Invalid")</f>
        <v>Valid</v>
      </c>
      <c r="M1793" s="1" t="b">
        <f>ISNUMBER(K1793)</f>
        <v>1</v>
      </c>
      <c r="N1793" s="1" t="b">
        <f>ISNUMBER(O1793)</f>
        <v>1</v>
      </c>
      <c r="O1793" s="1">
        <v>46102</v>
      </c>
      <c r="P1793" t="s">
        <v>433</v>
      </c>
      <c r="Q1793" t="str">
        <f>SUBSTITUTE(SUBSTITUTE(SUBSTITUTE(P1793," ",""),"-",""),"+","")</f>
        <v>03706838682</v>
      </c>
      <c r="R1793" t="str">
        <f t="shared" si="54"/>
        <v>3706838682</v>
      </c>
      <c r="S1793" t="str">
        <f>IF(LEN(R1793),"Valid","Invalid")</f>
        <v>Valid</v>
      </c>
      <c r="T1793" t="s">
        <v>432</v>
      </c>
      <c r="V1793" t="s">
        <v>17</v>
      </c>
      <c r="X1793">
        <v>20801.189999999999</v>
      </c>
      <c r="Y1793" t="s">
        <v>123</v>
      </c>
      <c r="Z1793">
        <v>109</v>
      </c>
      <c r="AA1793">
        <f t="shared" si="55"/>
        <v>109</v>
      </c>
      <c r="AB1793" t="s">
        <v>77</v>
      </c>
    </row>
    <row r="1794" spans="1:28" x14ac:dyDescent="0.3">
      <c r="A1794" t="s">
        <v>431</v>
      </c>
      <c r="B1794" t="s">
        <v>430</v>
      </c>
      <c r="C1794" t="s">
        <v>430</v>
      </c>
      <c r="D1794" t="s">
        <v>40</v>
      </c>
      <c r="E1794">
        <v>35</v>
      </c>
      <c r="F1794">
        <v>35</v>
      </c>
      <c r="G1794" t="s">
        <v>54</v>
      </c>
      <c r="H1794" t="s">
        <v>54</v>
      </c>
      <c r="I1794" t="s">
        <v>90</v>
      </c>
      <c r="J1794" t="s">
        <v>67</v>
      </c>
      <c r="K1794" s="1">
        <v>46015</v>
      </c>
      <c r="L1794" s="1" t="str">
        <f>IF(K1794&gt;O1794,"Valid","Invalid")</f>
        <v>Valid</v>
      </c>
      <c r="M1794" s="1" t="b">
        <f>ISNUMBER(K1794)</f>
        <v>1</v>
      </c>
      <c r="N1794" s="1" t="b">
        <f>ISNUMBER(O1794)</f>
        <v>1</v>
      </c>
      <c r="O1794" s="1">
        <v>46002</v>
      </c>
      <c r="P1794" t="s">
        <v>429</v>
      </c>
      <c r="Q1794" t="str">
        <f>SUBSTITUTE(SUBSTITUTE(SUBSTITUTE(P1794," ",""),"-",""),"+","")</f>
        <v>3703662198</v>
      </c>
      <c r="R1794" t="str">
        <f t="shared" si="54"/>
        <v>3703662198</v>
      </c>
      <c r="S1794" t="str">
        <f>IF(LEN(R1794),"Valid","Invalid")</f>
        <v>Valid</v>
      </c>
      <c r="T1794" t="s">
        <v>428</v>
      </c>
      <c r="V1794" t="s">
        <v>64</v>
      </c>
      <c r="X1794">
        <v>7902.91</v>
      </c>
      <c r="Y1794" t="s">
        <v>17</v>
      </c>
      <c r="Z1794">
        <v>420</v>
      </c>
      <c r="AA1794">
        <f t="shared" si="55"/>
        <v>420</v>
      </c>
      <c r="AB1794" t="s">
        <v>34</v>
      </c>
    </row>
    <row r="1795" spans="1:28" x14ac:dyDescent="0.3">
      <c r="A1795" t="s">
        <v>427</v>
      </c>
      <c r="B1795" t="s">
        <v>426</v>
      </c>
      <c r="C1795" t="s">
        <v>426</v>
      </c>
      <c r="D1795" t="s">
        <v>40</v>
      </c>
      <c r="E1795">
        <v>9</v>
      </c>
      <c r="F1795">
        <v>9</v>
      </c>
      <c r="G1795" t="s">
        <v>80</v>
      </c>
      <c r="H1795" t="s">
        <v>80</v>
      </c>
      <c r="I1795" t="s">
        <v>46</v>
      </c>
      <c r="J1795" t="s">
        <v>46</v>
      </c>
      <c r="K1795" s="1">
        <v>46053</v>
      </c>
      <c r="L1795" s="1" t="str">
        <f>IF(K1795&gt;O1795,"Valid","Invalid")</f>
        <v>Valid</v>
      </c>
      <c r="M1795" s="1" t="b">
        <f>ISNUMBER(K1795)</f>
        <v>1</v>
      </c>
      <c r="N1795" s="1" t="b">
        <f>ISNUMBER(O1795)</f>
        <v>1</v>
      </c>
      <c r="O1795" s="1">
        <v>46039</v>
      </c>
      <c r="P1795" t="s">
        <v>425</v>
      </c>
      <c r="Q1795" t="str">
        <f>SUBSTITUTE(SUBSTITUTE(SUBSTITUTE(P1795," ",""),"-",""),"+","")</f>
        <v>06125438383</v>
      </c>
      <c r="R1795" t="str">
        <f t="shared" si="54"/>
        <v>6125438383</v>
      </c>
      <c r="S1795" t="str">
        <f>IF(LEN(R1795),"Valid","Invalid")</f>
        <v>Valid</v>
      </c>
      <c r="T1795" t="s">
        <v>424</v>
      </c>
      <c r="V1795" t="s">
        <v>123</v>
      </c>
      <c r="X1795">
        <v>16730.11</v>
      </c>
      <c r="Y1795" t="s">
        <v>64</v>
      </c>
      <c r="Z1795">
        <v>229</v>
      </c>
      <c r="AA1795">
        <f t="shared" si="55"/>
        <v>229</v>
      </c>
      <c r="AB1795" t="s">
        <v>77</v>
      </c>
    </row>
    <row r="1796" spans="1:28" x14ac:dyDescent="0.3">
      <c r="A1796" t="s">
        <v>423</v>
      </c>
      <c r="B1796" t="s">
        <v>422</v>
      </c>
      <c r="C1796" t="s">
        <v>422</v>
      </c>
      <c r="D1796" t="s">
        <v>40</v>
      </c>
      <c r="E1796">
        <v>84</v>
      </c>
      <c r="F1796">
        <v>84</v>
      </c>
      <c r="G1796" t="s">
        <v>132</v>
      </c>
      <c r="H1796" t="s">
        <v>132</v>
      </c>
      <c r="I1796" t="s">
        <v>38</v>
      </c>
      <c r="J1796" t="s">
        <v>8077</v>
      </c>
      <c r="K1796" s="1">
        <v>46005</v>
      </c>
      <c r="L1796" s="1" t="str">
        <f>IF(K1796&gt;O1796,"Valid","Invalid")</f>
        <v>Valid</v>
      </c>
      <c r="M1796" s="1" t="b">
        <f>ISNUMBER(K1796)</f>
        <v>1</v>
      </c>
      <c r="N1796" s="1" t="b">
        <f>ISNUMBER(O1796)</f>
        <v>1</v>
      </c>
      <c r="O1796" s="1">
        <v>45988</v>
      </c>
      <c r="P1796" t="s">
        <v>421</v>
      </c>
      <c r="Q1796" t="str">
        <f>SUBSTITUTE(SUBSTITUTE(SUBSTITUTE(P1796," ",""),"-",""),"+","")</f>
        <v>0493138981</v>
      </c>
      <c r="R1796" t="str">
        <f t="shared" si="54"/>
        <v>0493138981</v>
      </c>
      <c r="S1796" t="str">
        <f>IF(LEN(R1796),"Valid","Invalid")</f>
        <v>Valid</v>
      </c>
      <c r="T1796" t="s">
        <v>420</v>
      </c>
      <c r="V1796" t="s">
        <v>64</v>
      </c>
      <c r="X1796">
        <v>20549.580000000002</v>
      </c>
      <c r="Y1796" t="s">
        <v>63</v>
      </c>
      <c r="Z1796">
        <v>393</v>
      </c>
      <c r="AA1796">
        <f t="shared" si="55"/>
        <v>393</v>
      </c>
      <c r="AB1796" t="s">
        <v>77</v>
      </c>
    </row>
    <row r="1797" spans="1:28" x14ac:dyDescent="0.3">
      <c r="A1797" t="s">
        <v>419</v>
      </c>
      <c r="B1797" t="s">
        <v>418</v>
      </c>
      <c r="C1797" t="s">
        <v>418</v>
      </c>
      <c r="D1797" t="s">
        <v>60</v>
      </c>
      <c r="E1797">
        <v>32</v>
      </c>
      <c r="F1797">
        <v>32</v>
      </c>
      <c r="G1797" t="s">
        <v>80</v>
      </c>
      <c r="H1797" t="s">
        <v>80</v>
      </c>
      <c r="I1797" t="s">
        <v>67</v>
      </c>
      <c r="J1797" t="s">
        <v>67</v>
      </c>
      <c r="K1797" s="1">
        <v>46032</v>
      </c>
      <c r="L1797" s="1" t="str">
        <f>IF(K1797&gt;O1797,"Valid","Invalid")</f>
        <v>Valid</v>
      </c>
      <c r="M1797" s="1" t="b">
        <f>ISNUMBER(K1797)</f>
        <v>1</v>
      </c>
      <c r="N1797" s="1" t="b">
        <f>ISNUMBER(O1797)</f>
        <v>1</v>
      </c>
      <c r="O1797" s="1">
        <v>46007</v>
      </c>
      <c r="P1797" t="s">
        <v>417</v>
      </c>
      <c r="Q1797" t="str">
        <f>SUBSTITUTE(SUBSTITUTE(SUBSTITUTE(P1797," ",""),"-",""),"+","")</f>
        <v>06363637757</v>
      </c>
      <c r="R1797" t="str">
        <f t="shared" ref="R1797:R1860" si="56">RIGHT(Q1797,10)</f>
        <v>6363637757</v>
      </c>
      <c r="S1797" t="str">
        <f>IF(LEN(R1797),"Valid","Invalid")</f>
        <v>Valid</v>
      </c>
      <c r="T1797" t="s">
        <v>416</v>
      </c>
      <c r="V1797" t="s">
        <v>35</v>
      </c>
      <c r="X1797">
        <v>1248.96</v>
      </c>
      <c r="Y1797" t="s">
        <v>27</v>
      </c>
      <c r="Z1797">
        <v>513</v>
      </c>
      <c r="AA1797">
        <f t="shared" ref="AA1797:AA1860" si="57">IF(Z1797="Room-x",0,Z1797)</f>
        <v>513</v>
      </c>
      <c r="AB1797" t="s">
        <v>34</v>
      </c>
    </row>
    <row r="1798" spans="1:28" x14ac:dyDescent="0.3">
      <c r="A1798" t="s">
        <v>415</v>
      </c>
      <c r="B1798" t="s">
        <v>414</v>
      </c>
      <c r="C1798" t="s">
        <v>414</v>
      </c>
      <c r="D1798" t="s">
        <v>22</v>
      </c>
      <c r="E1798">
        <v>83</v>
      </c>
      <c r="F1798">
        <v>83</v>
      </c>
      <c r="G1798" t="s">
        <v>68</v>
      </c>
      <c r="H1798" t="s">
        <v>68</v>
      </c>
      <c r="I1798" t="s">
        <v>90</v>
      </c>
      <c r="J1798" t="s">
        <v>67</v>
      </c>
      <c r="K1798" s="1">
        <v>46082</v>
      </c>
      <c r="L1798" s="1" t="str">
        <f>IF(K1798&gt;O1798,"Valid","Invalid")</f>
        <v>Valid</v>
      </c>
      <c r="M1798" s="1" t="b">
        <f>ISNUMBER(K1798)</f>
        <v>1</v>
      </c>
      <c r="N1798" s="1" t="b">
        <f>ISNUMBER(O1798)</f>
        <v>1</v>
      </c>
      <c r="O1798" s="1">
        <v>46057</v>
      </c>
      <c r="P1798" t="s">
        <v>413</v>
      </c>
      <c r="Q1798" t="str">
        <f>SUBSTITUTE(SUBSTITUTE(SUBSTITUTE(P1798," ",""),"-",""),"+","")</f>
        <v>2384218047</v>
      </c>
      <c r="R1798" t="str">
        <f t="shared" si="56"/>
        <v>2384218047</v>
      </c>
      <c r="S1798" t="str">
        <f>IF(LEN(R1798),"Valid","Invalid")</f>
        <v>Valid</v>
      </c>
      <c r="T1798" t="s">
        <v>412</v>
      </c>
      <c r="V1798" t="s">
        <v>123</v>
      </c>
      <c r="X1798">
        <v>16044.26</v>
      </c>
      <c r="Y1798" t="s">
        <v>64</v>
      </c>
      <c r="Z1798">
        <v>201</v>
      </c>
      <c r="AA1798">
        <f t="shared" si="57"/>
        <v>201</v>
      </c>
      <c r="AB1798" t="s">
        <v>16</v>
      </c>
    </row>
    <row r="1799" spans="1:28" x14ac:dyDescent="0.3">
      <c r="A1799" t="s">
        <v>411</v>
      </c>
      <c r="B1799" t="s">
        <v>410</v>
      </c>
      <c r="C1799" t="s">
        <v>410</v>
      </c>
      <c r="E1799">
        <v>88</v>
      </c>
      <c r="F1799">
        <v>88</v>
      </c>
      <c r="G1799" t="s">
        <v>80</v>
      </c>
      <c r="H1799" t="s">
        <v>80</v>
      </c>
      <c r="I1799" t="s">
        <v>90</v>
      </c>
      <c r="J1799" t="s">
        <v>67</v>
      </c>
      <c r="K1799" s="1">
        <v>46036</v>
      </c>
      <c r="L1799" s="1" t="str">
        <f>IF(K1799&gt;O1799,"Valid","Invalid")</f>
        <v>Valid</v>
      </c>
      <c r="M1799" s="1" t="b">
        <f>ISNUMBER(K1799)</f>
        <v>1</v>
      </c>
      <c r="N1799" s="1" t="b">
        <f>ISNUMBER(O1799)</f>
        <v>1</v>
      </c>
      <c r="O1799" s="1">
        <v>46024</v>
      </c>
      <c r="P1799" t="s">
        <v>409</v>
      </c>
      <c r="Q1799" t="str">
        <f>SUBSTITUTE(SUBSTITUTE(SUBSTITUTE(P1799," ",""),"-",""),"+","")</f>
        <v>09865129062</v>
      </c>
      <c r="R1799" t="str">
        <f t="shared" si="56"/>
        <v>9865129062</v>
      </c>
      <c r="S1799" t="str">
        <f>IF(LEN(R1799),"Valid","Invalid")</f>
        <v>Valid</v>
      </c>
      <c r="T1799" t="s">
        <v>408</v>
      </c>
      <c r="V1799" t="s">
        <v>26</v>
      </c>
      <c r="X1799">
        <v>2730.97</v>
      </c>
      <c r="Y1799" t="s">
        <v>123</v>
      </c>
      <c r="Z1799">
        <v>150</v>
      </c>
      <c r="AA1799">
        <f t="shared" si="57"/>
        <v>150</v>
      </c>
      <c r="AB1799" t="s">
        <v>71</v>
      </c>
    </row>
    <row r="1800" spans="1:28" x14ac:dyDescent="0.3">
      <c r="A1800" t="s">
        <v>407</v>
      </c>
      <c r="B1800" t="s">
        <v>406</v>
      </c>
      <c r="C1800" t="s">
        <v>406</v>
      </c>
      <c r="D1800" t="s">
        <v>1</v>
      </c>
      <c r="E1800">
        <v>63</v>
      </c>
      <c r="F1800">
        <v>63</v>
      </c>
      <c r="G1800" t="s">
        <v>132</v>
      </c>
      <c r="H1800" t="s">
        <v>132</v>
      </c>
      <c r="I1800" t="s">
        <v>46</v>
      </c>
      <c r="J1800" t="s">
        <v>46</v>
      </c>
      <c r="K1800" s="1">
        <v>46026</v>
      </c>
      <c r="L1800" s="1" t="str">
        <f>IF(K1800&gt;O1800,"Valid","Invalid")</f>
        <v>Valid</v>
      </c>
      <c r="M1800" s="1" t="b">
        <f>ISNUMBER(K1800)</f>
        <v>1</v>
      </c>
      <c r="N1800" s="1" t="b">
        <f>ISNUMBER(O1800)</f>
        <v>1</v>
      </c>
      <c r="O1800" s="1">
        <v>46011</v>
      </c>
      <c r="P1800" t="s">
        <v>405</v>
      </c>
      <c r="Q1800" t="str">
        <f>SUBSTITUTE(SUBSTITUTE(SUBSTITUTE(P1800," ",""),"-",""),"+","")</f>
        <v>913038407891</v>
      </c>
      <c r="R1800" t="str">
        <f t="shared" si="56"/>
        <v>3038407891</v>
      </c>
      <c r="S1800" t="str">
        <f>IF(LEN(R1800),"Valid","Invalid")</f>
        <v>Valid</v>
      </c>
      <c r="T1800" t="s">
        <v>404</v>
      </c>
      <c r="V1800" t="s">
        <v>123</v>
      </c>
      <c r="X1800">
        <v>14361.24</v>
      </c>
      <c r="Y1800" t="s">
        <v>57</v>
      </c>
      <c r="Z1800">
        <v>219</v>
      </c>
      <c r="AA1800">
        <f t="shared" si="57"/>
        <v>219</v>
      </c>
      <c r="AB1800" t="s">
        <v>50</v>
      </c>
    </row>
    <row r="1801" spans="1:28" x14ac:dyDescent="0.3">
      <c r="A1801" t="s">
        <v>403</v>
      </c>
      <c r="B1801" t="s">
        <v>402</v>
      </c>
      <c r="C1801" t="s">
        <v>402</v>
      </c>
      <c r="D1801" t="s">
        <v>0</v>
      </c>
      <c r="E1801">
        <v>42</v>
      </c>
      <c r="F1801">
        <v>42</v>
      </c>
      <c r="G1801" t="s">
        <v>54</v>
      </c>
      <c r="H1801" t="s">
        <v>54</v>
      </c>
      <c r="I1801" t="s">
        <v>53</v>
      </c>
      <c r="J1801" t="s">
        <v>20</v>
      </c>
      <c r="K1801" s="1">
        <v>46113</v>
      </c>
      <c r="L1801" s="1" t="str">
        <f>IF(K1801&gt;O1801,"Valid","Invalid")</f>
        <v>Valid</v>
      </c>
      <c r="M1801" s="1" t="b">
        <f>ISNUMBER(K1801)</f>
        <v>1</v>
      </c>
      <c r="N1801" s="1" t="b">
        <f>ISNUMBER(O1801)</f>
        <v>1</v>
      </c>
      <c r="O1801" s="1">
        <v>46107</v>
      </c>
      <c r="P1801" t="s">
        <v>401</v>
      </c>
      <c r="Q1801" t="str">
        <f>SUBSTITUTE(SUBSTITUTE(SUBSTITUTE(P1801," ",""),"-",""),"+","")</f>
        <v>919769004774</v>
      </c>
      <c r="R1801" t="str">
        <f t="shared" si="56"/>
        <v>9769004774</v>
      </c>
      <c r="S1801" t="str">
        <f>IF(LEN(R1801),"Valid","Invalid")</f>
        <v>Valid</v>
      </c>
      <c r="T1801" t="s">
        <v>400</v>
      </c>
      <c r="V1801" t="s">
        <v>26</v>
      </c>
      <c r="X1801">
        <v>14655.03</v>
      </c>
      <c r="Y1801" t="s">
        <v>64</v>
      </c>
      <c r="Z1801">
        <v>412</v>
      </c>
      <c r="AA1801">
        <f t="shared" si="57"/>
        <v>412</v>
      </c>
      <c r="AB1801" t="s">
        <v>16</v>
      </c>
    </row>
    <row r="1802" spans="1:28" x14ac:dyDescent="0.3">
      <c r="A1802" t="s">
        <v>399</v>
      </c>
      <c r="B1802" t="s">
        <v>398</v>
      </c>
      <c r="C1802" t="s">
        <v>398</v>
      </c>
      <c r="D1802" t="s">
        <v>40</v>
      </c>
      <c r="E1802">
        <v>9</v>
      </c>
      <c r="F1802">
        <v>9</v>
      </c>
      <c r="G1802" t="s">
        <v>132</v>
      </c>
      <c r="H1802" t="s">
        <v>132</v>
      </c>
      <c r="I1802" t="s">
        <v>53</v>
      </c>
      <c r="J1802" t="s">
        <v>20</v>
      </c>
      <c r="K1802" s="1">
        <v>46018</v>
      </c>
      <c r="L1802" s="1" t="str">
        <f>IF(K1802&gt;O1802,"Valid","Invalid")</f>
        <v>Valid</v>
      </c>
      <c r="M1802" s="1" t="b">
        <f>ISNUMBER(K1802)</f>
        <v>1</v>
      </c>
      <c r="N1802" s="1" t="b">
        <f>ISNUMBER(O1802)</f>
        <v>1</v>
      </c>
      <c r="O1802" s="1">
        <v>45990</v>
      </c>
      <c r="P1802" t="s">
        <v>397</v>
      </c>
      <c r="Q1802" t="str">
        <f>SUBSTITUTE(SUBSTITUTE(SUBSTITUTE(P1802," ",""),"-",""),"+","")</f>
        <v>0741836392</v>
      </c>
      <c r="R1802" t="str">
        <f t="shared" si="56"/>
        <v>0741836392</v>
      </c>
      <c r="S1802" t="str">
        <f>IF(LEN(R1802),"Valid","Invalid")</f>
        <v>Valid</v>
      </c>
      <c r="T1802" t="s">
        <v>396</v>
      </c>
      <c r="V1802" t="s">
        <v>123</v>
      </c>
      <c r="X1802">
        <v>21233.41</v>
      </c>
      <c r="Y1802" t="s">
        <v>26</v>
      </c>
      <c r="Z1802">
        <v>113</v>
      </c>
      <c r="AA1802">
        <f t="shared" si="57"/>
        <v>113</v>
      </c>
      <c r="AB1802" t="s">
        <v>71</v>
      </c>
    </row>
    <row r="1803" spans="1:28" x14ac:dyDescent="0.3">
      <c r="A1803" t="s">
        <v>395</v>
      </c>
      <c r="B1803" t="s">
        <v>394</v>
      </c>
      <c r="C1803" t="s">
        <v>394</v>
      </c>
      <c r="E1803">
        <v>7</v>
      </c>
      <c r="F1803">
        <v>7</v>
      </c>
      <c r="G1803" t="s">
        <v>68</v>
      </c>
      <c r="H1803" t="s">
        <v>68</v>
      </c>
      <c r="I1803" t="s">
        <v>53</v>
      </c>
      <c r="J1803" t="s">
        <v>20</v>
      </c>
      <c r="K1803" s="1">
        <v>46115</v>
      </c>
      <c r="L1803" s="1" t="str">
        <f>IF(K1803&gt;O1803,"Valid","Invalid")</f>
        <v>Valid</v>
      </c>
      <c r="M1803" s="1" t="b">
        <f>ISNUMBER(K1803)</f>
        <v>1</v>
      </c>
      <c r="N1803" s="1" t="b">
        <f>ISNUMBER(O1803)</f>
        <v>1</v>
      </c>
      <c r="O1803" s="1">
        <v>46112</v>
      </c>
      <c r="P1803" t="s">
        <v>393</v>
      </c>
      <c r="Q1803" t="str">
        <f>SUBSTITUTE(SUBSTITUTE(SUBSTITUTE(P1803," ",""),"-",""),"+","")</f>
        <v>05878920517</v>
      </c>
      <c r="R1803" t="str">
        <f t="shared" si="56"/>
        <v>5878920517</v>
      </c>
      <c r="S1803" t="str">
        <f>IF(LEN(R1803),"Valid","Invalid")</f>
        <v>Valid</v>
      </c>
      <c r="T1803" t="s">
        <v>392</v>
      </c>
      <c r="V1803" t="s">
        <v>64</v>
      </c>
      <c r="X1803">
        <v>10386.4</v>
      </c>
      <c r="Y1803" t="s">
        <v>26</v>
      </c>
      <c r="Z1803">
        <v>438</v>
      </c>
      <c r="AA1803">
        <f t="shared" si="57"/>
        <v>438</v>
      </c>
      <c r="AB1803" t="s">
        <v>25</v>
      </c>
    </row>
    <row r="1804" spans="1:28" x14ac:dyDescent="0.3">
      <c r="A1804" t="s">
        <v>391</v>
      </c>
      <c r="B1804" t="s">
        <v>390</v>
      </c>
      <c r="C1804" t="s">
        <v>390</v>
      </c>
      <c r="D1804" t="s">
        <v>40</v>
      </c>
      <c r="E1804">
        <v>81</v>
      </c>
      <c r="F1804">
        <v>81</v>
      </c>
      <c r="G1804" t="s">
        <v>132</v>
      </c>
      <c r="H1804" t="s">
        <v>132</v>
      </c>
      <c r="I1804" t="s">
        <v>20</v>
      </c>
      <c r="J1804" t="s">
        <v>20</v>
      </c>
      <c r="K1804" s="1">
        <v>46028</v>
      </c>
      <c r="L1804" s="1" t="str">
        <f>IF(K1804&gt;O1804,"Valid","Invalid")</f>
        <v>Valid</v>
      </c>
      <c r="M1804" s="1" t="b">
        <f>ISNUMBER(K1804)</f>
        <v>1</v>
      </c>
      <c r="N1804" s="1" t="b">
        <f>ISNUMBER(O1804)</f>
        <v>1</v>
      </c>
      <c r="O1804" s="1">
        <v>46001</v>
      </c>
      <c r="P1804" t="s">
        <v>389</v>
      </c>
      <c r="Q1804" t="str">
        <f>SUBSTITUTE(SUBSTITUTE(SUBSTITUTE(P1804," ",""),"-",""),"+","")</f>
        <v>6149696834</v>
      </c>
      <c r="R1804" t="str">
        <f t="shared" si="56"/>
        <v>6149696834</v>
      </c>
      <c r="S1804" t="str">
        <f>IF(LEN(R1804),"Valid","Invalid")</f>
        <v>Valid</v>
      </c>
      <c r="T1804" t="s">
        <v>388</v>
      </c>
      <c r="V1804" t="s">
        <v>64</v>
      </c>
      <c r="X1804">
        <v>6033.23</v>
      </c>
      <c r="Y1804" t="s">
        <v>123</v>
      </c>
      <c r="Z1804">
        <v>175</v>
      </c>
      <c r="AA1804">
        <f t="shared" si="57"/>
        <v>175</v>
      </c>
      <c r="AB1804" t="s">
        <v>77</v>
      </c>
    </row>
    <row r="1805" spans="1:28" x14ac:dyDescent="0.3">
      <c r="A1805" t="s">
        <v>387</v>
      </c>
      <c r="B1805" t="s">
        <v>386</v>
      </c>
      <c r="C1805" t="s">
        <v>386</v>
      </c>
      <c r="D1805" t="s">
        <v>74</v>
      </c>
      <c r="E1805">
        <v>57</v>
      </c>
      <c r="F1805">
        <v>57</v>
      </c>
      <c r="G1805" t="s">
        <v>47</v>
      </c>
      <c r="H1805" t="s">
        <v>47</v>
      </c>
      <c r="I1805" t="s">
        <v>30</v>
      </c>
      <c r="J1805" t="s">
        <v>30</v>
      </c>
      <c r="K1805" s="1">
        <v>46135</v>
      </c>
      <c r="L1805" s="1" t="str">
        <f>IF(K1805&gt;O1805,"Valid","Invalid")</f>
        <v>Valid</v>
      </c>
      <c r="M1805" s="1" t="b">
        <f>ISNUMBER(K1805)</f>
        <v>1</v>
      </c>
      <c r="N1805" s="1" t="b">
        <f>ISNUMBER(O1805)</f>
        <v>1</v>
      </c>
      <c r="O1805" s="1">
        <v>46106</v>
      </c>
      <c r="P1805" t="s">
        <v>385</v>
      </c>
      <c r="Q1805" t="str">
        <f>SUBSTITUTE(SUBSTITUTE(SUBSTITUTE(P1805," ",""),"-",""),"+","")</f>
        <v>09542572837</v>
      </c>
      <c r="R1805" t="str">
        <f t="shared" si="56"/>
        <v>9542572837</v>
      </c>
      <c r="S1805" t="str">
        <f>IF(LEN(R1805),"Valid","Invalid")</f>
        <v>Valid</v>
      </c>
      <c r="T1805" t="s">
        <v>384</v>
      </c>
      <c r="V1805" t="s">
        <v>27</v>
      </c>
      <c r="X1805">
        <v>20419.91</v>
      </c>
      <c r="Y1805" t="s">
        <v>64</v>
      </c>
      <c r="Z1805">
        <v>379</v>
      </c>
      <c r="AA1805">
        <f t="shared" si="57"/>
        <v>379</v>
      </c>
      <c r="AB1805" t="s">
        <v>16</v>
      </c>
    </row>
    <row r="1806" spans="1:28" x14ac:dyDescent="0.3">
      <c r="A1806" t="s">
        <v>383</v>
      </c>
      <c r="B1806" t="s">
        <v>382</v>
      </c>
      <c r="C1806" t="s">
        <v>382</v>
      </c>
      <c r="D1806" t="s">
        <v>22</v>
      </c>
      <c r="E1806">
        <v>39</v>
      </c>
      <c r="F1806">
        <v>39</v>
      </c>
      <c r="G1806" t="s">
        <v>39</v>
      </c>
      <c r="H1806" t="s">
        <v>39</v>
      </c>
      <c r="I1806" t="s">
        <v>53</v>
      </c>
      <c r="J1806" t="s">
        <v>20</v>
      </c>
      <c r="K1806" s="1">
        <v>46013</v>
      </c>
      <c r="L1806" s="1" t="str">
        <f>IF(K1806&gt;O1806,"Valid","Invalid")</f>
        <v>Valid</v>
      </c>
      <c r="M1806" s="1" t="b">
        <f>ISNUMBER(K1806)</f>
        <v>1</v>
      </c>
      <c r="N1806" s="1" t="b">
        <f>ISNUMBER(O1806)</f>
        <v>1</v>
      </c>
      <c r="O1806" s="1">
        <v>45989</v>
      </c>
      <c r="P1806" t="s">
        <v>381</v>
      </c>
      <c r="Q1806" t="str">
        <f>SUBSTITUTE(SUBSTITUTE(SUBSTITUTE(P1806," ",""),"-",""),"+","")</f>
        <v>910130386970</v>
      </c>
      <c r="R1806" t="str">
        <f t="shared" si="56"/>
        <v>0130386970</v>
      </c>
      <c r="S1806" t="str">
        <f>IF(LEN(R1806),"Valid","Invalid")</f>
        <v>Valid</v>
      </c>
      <c r="T1806" t="s">
        <v>380</v>
      </c>
      <c r="V1806" t="s">
        <v>64</v>
      </c>
      <c r="X1806">
        <v>11392.03</v>
      </c>
      <c r="Y1806" t="s">
        <v>17</v>
      </c>
      <c r="Z1806">
        <v>367</v>
      </c>
      <c r="AA1806">
        <f t="shared" si="57"/>
        <v>367</v>
      </c>
      <c r="AB1806" t="s">
        <v>34</v>
      </c>
    </row>
    <row r="1807" spans="1:28" x14ac:dyDescent="0.3">
      <c r="A1807" t="s">
        <v>379</v>
      </c>
      <c r="B1807" t="s">
        <v>378</v>
      </c>
      <c r="C1807" t="s">
        <v>378</v>
      </c>
      <c r="D1807" t="s">
        <v>1</v>
      </c>
      <c r="E1807">
        <v>74</v>
      </c>
      <c r="F1807">
        <v>74</v>
      </c>
      <c r="G1807" t="s">
        <v>68</v>
      </c>
      <c r="H1807" t="s">
        <v>68</v>
      </c>
      <c r="I1807" t="s">
        <v>67</v>
      </c>
      <c r="J1807" t="s">
        <v>67</v>
      </c>
      <c r="K1807" s="1">
        <v>46141</v>
      </c>
      <c r="L1807" s="1" t="str">
        <f>IF(K1807&gt;O1807,"Valid","Invalid")</f>
        <v>Valid</v>
      </c>
      <c r="M1807" s="1" t="b">
        <f>ISNUMBER(K1807)</f>
        <v>1</v>
      </c>
      <c r="N1807" s="1" t="b">
        <f>ISNUMBER(O1807)</f>
        <v>1</v>
      </c>
      <c r="O1807" s="1">
        <v>46127</v>
      </c>
      <c r="P1807" t="s">
        <v>377</v>
      </c>
      <c r="Q1807" t="str">
        <f>SUBSTITUTE(SUBSTITUTE(SUBSTITUTE(P1807," ",""),"-",""),"+","")</f>
        <v>3356447100</v>
      </c>
      <c r="R1807" t="str">
        <f t="shared" si="56"/>
        <v>3356447100</v>
      </c>
      <c r="S1807" t="str">
        <f>IF(LEN(R1807),"Valid","Invalid")</f>
        <v>Valid</v>
      </c>
      <c r="T1807" t="s">
        <v>376</v>
      </c>
      <c r="V1807" t="s">
        <v>27</v>
      </c>
      <c r="X1807">
        <v>13569.67</v>
      </c>
      <c r="Y1807" t="s">
        <v>27</v>
      </c>
      <c r="Z1807">
        <v>515</v>
      </c>
      <c r="AA1807">
        <f t="shared" si="57"/>
        <v>515</v>
      </c>
      <c r="AB1807" t="s">
        <v>77</v>
      </c>
    </row>
    <row r="1808" spans="1:28" x14ac:dyDescent="0.3">
      <c r="A1808" t="s">
        <v>375</v>
      </c>
      <c r="B1808" t="s">
        <v>374</v>
      </c>
      <c r="C1808" t="s">
        <v>374</v>
      </c>
      <c r="D1808" t="s">
        <v>22</v>
      </c>
      <c r="E1808">
        <v>70</v>
      </c>
      <c r="F1808">
        <v>70</v>
      </c>
      <c r="G1808" t="s">
        <v>47</v>
      </c>
      <c r="H1808" t="s">
        <v>47</v>
      </c>
      <c r="I1808" t="s">
        <v>90</v>
      </c>
      <c r="J1808" t="s">
        <v>67</v>
      </c>
      <c r="K1808" s="1">
        <v>46012</v>
      </c>
      <c r="L1808" s="1" t="str">
        <f>IF(K1808&gt;O1808,"Valid","Invalid")</f>
        <v>Valid</v>
      </c>
      <c r="M1808" s="1" t="b">
        <f>ISNUMBER(K1808)</f>
        <v>1</v>
      </c>
      <c r="N1808" s="1" t="b">
        <f>ISNUMBER(O1808)</f>
        <v>1</v>
      </c>
      <c r="O1808" s="1">
        <v>45997</v>
      </c>
      <c r="P1808" t="s">
        <v>373</v>
      </c>
      <c r="Q1808" t="str">
        <f>SUBSTITUTE(SUBSTITUTE(SUBSTITUTE(P1808," ",""),"-",""),"+","")</f>
        <v>2707795379</v>
      </c>
      <c r="R1808" t="str">
        <f t="shared" si="56"/>
        <v>2707795379</v>
      </c>
      <c r="S1808" t="str">
        <f>IF(LEN(R1808),"Valid","Invalid")</f>
        <v>Valid</v>
      </c>
      <c r="T1808" t="s">
        <v>372</v>
      </c>
      <c r="V1808" t="s">
        <v>57</v>
      </c>
      <c r="X1808">
        <v>11937.23</v>
      </c>
      <c r="Y1808" t="s">
        <v>64</v>
      </c>
      <c r="Z1808">
        <v>524</v>
      </c>
      <c r="AA1808">
        <f t="shared" si="57"/>
        <v>524</v>
      </c>
      <c r="AB1808" t="s">
        <v>50</v>
      </c>
    </row>
    <row r="1809" spans="1:28" x14ac:dyDescent="0.3">
      <c r="A1809" t="s">
        <v>371</v>
      </c>
      <c r="B1809" t="s">
        <v>370</v>
      </c>
      <c r="C1809" t="s">
        <v>370</v>
      </c>
      <c r="D1809" t="s">
        <v>0</v>
      </c>
      <c r="E1809">
        <v>25</v>
      </c>
      <c r="F1809">
        <v>25</v>
      </c>
      <c r="G1809" t="s">
        <v>369</v>
      </c>
      <c r="H1809" t="s">
        <v>369</v>
      </c>
      <c r="I1809" t="s">
        <v>20</v>
      </c>
      <c r="J1809" t="s">
        <v>20</v>
      </c>
      <c r="K1809" s="1">
        <v>46067</v>
      </c>
      <c r="L1809" s="1" t="str">
        <f>IF(K1809&gt;O1809,"Valid","Invalid")</f>
        <v>Valid</v>
      </c>
      <c r="M1809" s="1" t="b">
        <f>ISNUMBER(K1809)</f>
        <v>1</v>
      </c>
      <c r="N1809" s="1" t="b">
        <f>ISNUMBER(O1809)</f>
        <v>1</v>
      </c>
      <c r="O1809" s="1">
        <v>46058</v>
      </c>
      <c r="P1809" t="s">
        <v>368</v>
      </c>
      <c r="Q1809" t="str">
        <f>SUBSTITUTE(SUBSTITUTE(SUBSTITUTE(P1809," ",""),"-",""),"+","")</f>
        <v>917463560758</v>
      </c>
      <c r="R1809" t="str">
        <f t="shared" si="56"/>
        <v>7463560758</v>
      </c>
      <c r="S1809" t="str">
        <f>IF(LEN(R1809),"Valid","Invalid")</f>
        <v>Valid</v>
      </c>
      <c r="T1809" t="s">
        <v>123</v>
      </c>
      <c r="V1809" t="s">
        <v>123</v>
      </c>
      <c r="X1809">
        <v>-500</v>
      </c>
      <c r="Y1809" t="s">
        <v>64</v>
      </c>
      <c r="Z1809">
        <v>180</v>
      </c>
      <c r="AA1809">
        <f t="shared" si="57"/>
        <v>180</v>
      </c>
      <c r="AB1809" t="s">
        <v>34</v>
      </c>
    </row>
    <row r="1810" spans="1:28" x14ac:dyDescent="0.3">
      <c r="A1810" t="s">
        <v>367</v>
      </c>
      <c r="B1810" t="s">
        <v>366</v>
      </c>
      <c r="C1810" t="s">
        <v>366</v>
      </c>
      <c r="E1810">
        <v>87</v>
      </c>
      <c r="F1810">
        <v>87</v>
      </c>
      <c r="G1810" t="s">
        <v>132</v>
      </c>
      <c r="H1810" t="s">
        <v>132</v>
      </c>
      <c r="I1810" t="s">
        <v>53</v>
      </c>
      <c r="J1810" t="s">
        <v>20</v>
      </c>
      <c r="K1810" s="1">
        <v>46163</v>
      </c>
      <c r="L1810" s="1" t="str">
        <f>IF(K1810&gt;O1810,"Valid","Invalid")</f>
        <v>Valid</v>
      </c>
      <c r="M1810" s="1" t="b">
        <f>ISNUMBER(K1810)</f>
        <v>1</v>
      </c>
      <c r="N1810" s="1" t="b">
        <f>ISNUMBER(O1810)</f>
        <v>1</v>
      </c>
      <c r="O1810" s="1">
        <v>46144</v>
      </c>
      <c r="P1810" t="s">
        <v>365</v>
      </c>
      <c r="Q1810" t="str">
        <f>SUBSTITUTE(SUBSTITUTE(SUBSTITUTE(P1810," ",""),"-",""),"+","")</f>
        <v>02159631728</v>
      </c>
      <c r="R1810" t="str">
        <f t="shared" si="56"/>
        <v>2159631728</v>
      </c>
      <c r="S1810" t="str">
        <f>IF(LEN(R1810),"Valid","Invalid")</f>
        <v>Valid</v>
      </c>
      <c r="T1810" t="s">
        <v>364</v>
      </c>
      <c r="V1810" t="s">
        <v>123</v>
      </c>
      <c r="X1810">
        <v>14080.28</v>
      </c>
      <c r="Y1810" t="s">
        <v>26</v>
      </c>
      <c r="Z1810">
        <v>337</v>
      </c>
      <c r="AA1810">
        <f t="shared" si="57"/>
        <v>337</v>
      </c>
      <c r="AB1810" t="s">
        <v>25</v>
      </c>
    </row>
    <row r="1811" spans="1:28" x14ac:dyDescent="0.3">
      <c r="A1811" t="s">
        <v>363</v>
      </c>
      <c r="B1811" t="s">
        <v>362</v>
      </c>
      <c r="C1811" t="s">
        <v>362</v>
      </c>
      <c r="D1811" t="s">
        <v>123</v>
      </c>
      <c r="E1811">
        <v>75</v>
      </c>
      <c r="F1811">
        <v>75</v>
      </c>
      <c r="G1811" t="s">
        <v>68</v>
      </c>
      <c r="H1811" t="s">
        <v>68</v>
      </c>
      <c r="I1811" t="s">
        <v>46</v>
      </c>
      <c r="J1811" t="s">
        <v>46</v>
      </c>
      <c r="K1811" s="1">
        <v>46011</v>
      </c>
      <c r="L1811" s="1" t="str">
        <f>IF(K1811&gt;O1811,"Valid","Invalid")</f>
        <v>Valid</v>
      </c>
      <c r="M1811" s="1" t="b">
        <f>ISNUMBER(K1811)</f>
        <v>1</v>
      </c>
      <c r="N1811" s="1" t="b">
        <f>ISNUMBER(O1811)</f>
        <v>1</v>
      </c>
      <c r="O1811" s="1">
        <v>46003</v>
      </c>
      <c r="P1811" t="s">
        <v>361</v>
      </c>
      <c r="Q1811" t="str">
        <f>SUBSTITUTE(SUBSTITUTE(SUBSTITUTE(P1811," ",""),"-",""),"+","")</f>
        <v>915284682787</v>
      </c>
      <c r="R1811" t="str">
        <f t="shared" si="56"/>
        <v>5284682787</v>
      </c>
      <c r="S1811" t="str">
        <f>IF(LEN(R1811),"Valid","Invalid")</f>
        <v>Valid</v>
      </c>
      <c r="T1811" t="s">
        <v>360</v>
      </c>
      <c r="V1811" t="s">
        <v>27</v>
      </c>
      <c r="X1811">
        <v>14803.27</v>
      </c>
      <c r="Y1811" t="s">
        <v>57</v>
      </c>
      <c r="Z1811">
        <v>465</v>
      </c>
      <c r="AA1811">
        <f t="shared" si="57"/>
        <v>465</v>
      </c>
      <c r="AB1811" t="s">
        <v>77</v>
      </c>
    </row>
    <row r="1812" spans="1:28" x14ac:dyDescent="0.3">
      <c r="A1812" t="s">
        <v>359</v>
      </c>
      <c r="B1812" t="s">
        <v>358</v>
      </c>
      <c r="C1812" t="s">
        <v>358</v>
      </c>
      <c r="D1812" t="s">
        <v>22</v>
      </c>
      <c r="E1812">
        <v>12</v>
      </c>
      <c r="F1812">
        <v>12</v>
      </c>
      <c r="G1812" t="s">
        <v>54</v>
      </c>
      <c r="H1812" t="s">
        <v>54</v>
      </c>
      <c r="I1812" t="s">
        <v>20</v>
      </c>
      <c r="J1812" t="s">
        <v>20</v>
      </c>
      <c r="K1812" s="1">
        <v>46152</v>
      </c>
      <c r="L1812" s="1" t="str">
        <f>IF(K1812&gt;O1812,"Valid","Invalid")</f>
        <v>Valid</v>
      </c>
      <c r="M1812" s="1" t="b">
        <f>ISNUMBER(K1812)</f>
        <v>1</v>
      </c>
      <c r="N1812" s="1" t="b">
        <f>ISNUMBER(O1812)</f>
        <v>1</v>
      </c>
      <c r="O1812" s="1">
        <v>46141</v>
      </c>
      <c r="P1812" t="s">
        <v>357</v>
      </c>
      <c r="Q1812" t="str">
        <f>SUBSTITUTE(SUBSTITUTE(SUBSTITUTE(P1812," ",""),"-",""),"+","")</f>
        <v>07021652197</v>
      </c>
      <c r="R1812" t="str">
        <f t="shared" si="56"/>
        <v>7021652197</v>
      </c>
      <c r="S1812" t="str">
        <f>IF(LEN(R1812),"Valid","Invalid")</f>
        <v>Valid</v>
      </c>
      <c r="T1812" t="s">
        <v>356</v>
      </c>
      <c r="V1812" t="s">
        <v>123</v>
      </c>
      <c r="X1812">
        <v>1291.73</v>
      </c>
      <c r="Y1812" t="s">
        <v>57</v>
      </c>
      <c r="Z1812">
        <v>190</v>
      </c>
      <c r="AA1812">
        <f t="shared" si="57"/>
        <v>190</v>
      </c>
      <c r="AB1812" t="s">
        <v>16</v>
      </c>
    </row>
    <row r="1813" spans="1:28" x14ac:dyDescent="0.3">
      <c r="A1813" t="s">
        <v>355</v>
      </c>
      <c r="B1813" t="s">
        <v>354</v>
      </c>
      <c r="C1813" t="s">
        <v>354</v>
      </c>
      <c r="D1813" t="s">
        <v>22</v>
      </c>
      <c r="E1813">
        <v>87</v>
      </c>
      <c r="F1813">
        <v>87</v>
      </c>
      <c r="G1813" t="s">
        <v>21</v>
      </c>
      <c r="H1813" t="s">
        <v>21</v>
      </c>
      <c r="I1813" t="s">
        <v>67</v>
      </c>
      <c r="J1813" t="s">
        <v>67</v>
      </c>
      <c r="K1813" s="1">
        <v>46000</v>
      </c>
      <c r="L1813" s="1" t="str">
        <f>IF(K1813&gt;O1813,"Valid","Invalid")</f>
        <v>Valid</v>
      </c>
      <c r="M1813" s="1" t="b">
        <f>ISNUMBER(K1813)</f>
        <v>1</v>
      </c>
      <c r="N1813" s="1" t="b">
        <f>ISNUMBER(O1813)</f>
        <v>1</v>
      </c>
      <c r="O1813" s="1">
        <v>45977</v>
      </c>
      <c r="P1813" t="s">
        <v>353</v>
      </c>
      <c r="Q1813" t="str">
        <f>SUBSTITUTE(SUBSTITUTE(SUBSTITUTE(P1813," ",""),"-",""),"+","")</f>
        <v>07819822604</v>
      </c>
      <c r="R1813" t="str">
        <f t="shared" si="56"/>
        <v>7819822604</v>
      </c>
      <c r="S1813" t="str">
        <f>IF(LEN(R1813),"Valid","Invalid")</f>
        <v>Valid</v>
      </c>
      <c r="T1813" t="s">
        <v>352</v>
      </c>
      <c r="V1813" t="s">
        <v>123</v>
      </c>
      <c r="X1813">
        <v>8980.26</v>
      </c>
      <c r="Y1813" t="s">
        <v>123</v>
      </c>
      <c r="Z1813">
        <v>397</v>
      </c>
      <c r="AA1813">
        <f t="shared" si="57"/>
        <v>397</v>
      </c>
      <c r="AB1813" t="s">
        <v>50</v>
      </c>
    </row>
    <row r="1814" spans="1:28" x14ac:dyDescent="0.3">
      <c r="A1814" t="s">
        <v>351</v>
      </c>
      <c r="B1814" t="s">
        <v>350</v>
      </c>
      <c r="C1814" t="s">
        <v>350</v>
      </c>
      <c r="D1814" t="s">
        <v>123</v>
      </c>
      <c r="E1814">
        <v>24</v>
      </c>
      <c r="F1814">
        <v>24</v>
      </c>
      <c r="G1814" t="s">
        <v>132</v>
      </c>
      <c r="H1814" t="s">
        <v>132</v>
      </c>
      <c r="I1814" t="s">
        <v>46</v>
      </c>
      <c r="J1814" t="s">
        <v>46</v>
      </c>
      <c r="K1814" s="1">
        <v>46101</v>
      </c>
      <c r="L1814" s="1" t="str">
        <f>IF(K1814&gt;O1814,"Valid","Invalid")</f>
        <v>Valid</v>
      </c>
      <c r="M1814" s="1" t="b">
        <f>ISNUMBER(K1814)</f>
        <v>1</v>
      </c>
      <c r="N1814" s="1" t="b">
        <f>ISNUMBER(O1814)</f>
        <v>1</v>
      </c>
      <c r="O1814" s="1">
        <v>46073</v>
      </c>
      <c r="P1814" t="s">
        <v>349</v>
      </c>
      <c r="Q1814" t="str">
        <f>SUBSTITUTE(SUBSTITUTE(SUBSTITUTE(P1814," ",""),"-",""),"+","")</f>
        <v>916121809483</v>
      </c>
      <c r="R1814" t="str">
        <f t="shared" si="56"/>
        <v>6121809483</v>
      </c>
      <c r="S1814" t="str">
        <f>IF(LEN(R1814),"Valid","Invalid")</f>
        <v>Valid</v>
      </c>
      <c r="T1814" t="s">
        <v>348</v>
      </c>
      <c r="V1814" t="s">
        <v>123</v>
      </c>
      <c r="X1814">
        <v>17609.87</v>
      </c>
      <c r="Y1814" t="s">
        <v>63</v>
      </c>
      <c r="Z1814" t="s">
        <v>347</v>
      </c>
      <c r="AA1814">
        <f t="shared" si="57"/>
        <v>0</v>
      </c>
      <c r="AB1814" t="s">
        <v>34</v>
      </c>
    </row>
    <row r="1815" spans="1:28" x14ac:dyDescent="0.3">
      <c r="A1815" t="s">
        <v>346</v>
      </c>
      <c r="B1815" t="s">
        <v>345</v>
      </c>
      <c r="C1815" t="s">
        <v>345</v>
      </c>
      <c r="D1815" t="s">
        <v>123</v>
      </c>
      <c r="E1815">
        <v>50</v>
      </c>
      <c r="F1815">
        <v>50</v>
      </c>
      <c r="G1815" t="s">
        <v>21</v>
      </c>
      <c r="H1815" t="s">
        <v>21</v>
      </c>
      <c r="I1815" t="s">
        <v>30</v>
      </c>
      <c r="J1815" t="s">
        <v>30</v>
      </c>
      <c r="K1815" s="1">
        <v>46004</v>
      </c>
      <c r="L1815" s="1" t="str">
        <f>IF(K1815&gt;O1815,"Valid","Invalid")</f>
        <v>Valid</v>
      </c>
      <c r="M1815" s="1" t="b">
        <f>ISNUMBER(K1815)</f>
        <v>1</v>
      </c>
      <c r="N1815" s="1" t="b">
        <f>ISNUMBER(O1815)</f>
        <v>1</v>
      </c>
      <c r="O1815" s="1">
        <v>45975</v>
      </c>
      <c r="P1815" t="s">
        <v>344</v>
      </c>
      <c r="Q1815" t="str">
        <f>SUBSTITUTE(SUBSTITUTE(SUBSTITUTE(P1815," ",""),"-",""),"+","")</f>
        <v>6047300101</v>
      </c>
      <c r="R1815" t="str">
        <f t="shared" si="56"/>
        <v>6047300101</v>
      </c>
      <c r="S1815" t="str">
        <f>IF(LEN(R1815),"Valid","Invalid")</f>
        <v>Valid</v>
      </c>
      <c r="T1815" t="s">
        <v>343</v>
      </c>
      <c r="V1815" t="s">
        <v>123</v>
      </c>
      <c r="X1815">
        <v>835.4</v>
      </c>
      <c r="Y1815" t="s">
        <v>123</v>
      </c>
      <c r="Z1815">
        <v>361</v>
      </c>
      <c r="AA1815">
        <f t="shared" si="57"/>
        <v>361</v>
      </c>
      <c r="AB1815" t="s">
        <v>43</v>
      </c>
    </row>
    <row r="1816" spans="1:28" x14ac:dyDescent="0.3">
      <c r="A1816" t="s">
        <v>342</v>
      </c>
      <c r="B1816" t="s">
        <v>341</v>
      </c>
      <c r="C1816" t="s">
        <v>341</v>
      </c>
      <c r="D1816" t="s">
        <v>0</v>
      </c>
      <c r="E1816">
        <v>9</v>
      </c>
      <c r="F1816">
        <v>9</v>
      </c>
      <c r="G1816" t="s">
        <v>68</v>
      </c>
      <c r="H1816" t="s">
        <v>68</v>
      </c>
      <c r="I1816" t="s">
        <v>46</v>
      </c>
      <c r="J1816" t="s">
        <v>46</v>
      </c>
      <c r="K1816" s="1">
        <v>46035</v>
      </c>
      <c r="L1816" s="1" t="str">
        <f>IF(K1816&gt;O1816,"Valid","Invalid")</f>
        <v>Valid</v>
      </c>
      <c r="M1816" s="1" t="b">
        <f>ISNUMBER(K1816)</f>
        <v>1</v>
      </c>
      <c r="N1816" s="1" t="b">
        <f>ISNUMBER(O1816)</f>
        <v>1</v>
      </c>
      <c r="O1816" s="1">
        <v>46031</v>
      </c>
      <c r="P1816" t="s">
        <v>340</v>
      </c>
      <c r="Q1816" t="str">
        <f>SUBSTITUTE(SUBSTITUTE(SUBSTITUTE(P1816," ",""),"-",""),"+","")</f>
        <v>4151375267</v>
      </c>
      <c r="R1816" t="str">
        <f t="shared" si="56"/>
        <v>4151375267</v>
      </c>
      <c r="S1816" t="str">
        <f>IF(LEN(R1816),"Valid","Invalid")</f>
        <v>Valid</v>
      </c>
      <c r="T1816" t="s">
        <v>339</v>
      </c>
      <c r="V1816" t="s">
        <v>57</v>
      </c>
      <c r="X1816">
        <v>2734.8</v>
      </c>
      <c r="Y1816" t="s">
        <v>26</v>
      </c>
      <c r="Z1816">
        <v>181</v>
      </c>
      <c r="AA1816">
        <f t="shared" si="57"/>
        <v>181</v>
      </c>
      <c r="AB1816" t="s">
        <v>43</v>
      </c>
    </row>
    <row r="1817" spans="1:28" x14ac:dyDescent="0.3">
      <c r="A1817" t="s">
        <v>338</v>
      </c>
      <c r="B1817" t="s">
        <v>337</v>
      </c>
      <c r="C1817" t="s">
        <v>337</v>
      </c>
      <c r="D1817" t="s">
        <v>1</v>
      </c>
      <c r="E1817">
        <v>81</v>
      </c>
      <c r="F1817">
        <v>81</v>
      </c>
      <c r="G1817" t="s">
        <v>54</v>
      </c>
      <c r="H1817" t="s">
        <v>54</v>
      </c>
      <c r="I1817" t="s">
        <v>30</v>
      </c>
      <c r="J1817" t="s">
        <v>30</v>
      </c>
      <c r="K1817" s="1">
        <v>46112</v>
      </c>
      <c r="L1817" s="1" t="str">
        <f>IF(K1817&gt;O1817,"Valid","Invalid")</f>
        <v>Valid</v>
      </c>
      <c r="M1817" s="1" t="b">
        <f>ISNUMBER(K1817)</f>
        <v>1</v>
      </c>
      <c r="N1817" s="1" t="b">
        <f>ISNUMBER(O1817)</f>
        <v>1</v>
      </c>
      <c r="O1817" s="1">
        <v>46095</v>
      </c>
      <c r="P1817" t="s">
        <v>336</v>
      </c>
      <c r="Q1817" t="str">
        <f>SUBSTITUTE(SUBSTITUTE(SUBSTITUTE(P1817," ",""),"-",""),"+","")</f>
        <v>917359513632</v>
      </c>
      <c r="R1817" t="str">
        <f t="shared" si="56"/>
        <v>7359513632</v>
      </c>
      <c r="S1817" t="str">
        <f>IF(LEN(R1817),"Valid","Invalid")</f>
        <v>Valid</v>
      </c>
      <c r="T1817" t="s">
        <v>335</v>
      </c>
      <c r="V1817" t="s">
        <v>35</v>
      </c>
      <c r="X1817">
        <v>208.51</v>
      </c>
      <c r="Y1817" t="s">
        <v>57</v>
      </c>
      <c r="Z1817">
        <v>236</v>
      </c>
      <c r="AA1817">
        <f t="shared" si="57"/>
        <v>236</v>
      </c>
      <c r="AB1817" t="s">
        <v>34</v>
      </c>
    </row>
    <row r="1818" spans="1:28" x14ac:dyDescent="0.3">
      <c r="A1818" t="s">
        <v>334</v>
      </c>
      <c r="B1818" t="s">
        <v>333</v>
      </c>
      <c r="C1818" t="s">
        <v>333</v>
      </c>
      <c r="D1818" t="s">
        <v>123</v>
      </c>
      <c r="E1818">
        <v>69</v>
      </c>
      <c r="F1818">
        <v>69</v>
      </c>
      <c r="G1818" t="s">
        <v>21</v>
      </c>
      <c r="H1818" t="s">
        <v>21</v>
      </c>
      <c r="I1818" t="s">
        <v>46</v>
      </c>
      <c r="J1818" t="s">
        <v>46</v>
      </c>
      <c r="K1818" s="1">
        <v>46144</v>
      </c>
      <c r="L1818" s="1" t="str">
        <f>IF(K1818&gt;O1818,"Valid","Invalid")</f>
        <v>Valid</v>
      </c>
      <c r="M1818" s="1" t="b">
        <f>ISNUMBER(K1818)</f>
        <v>1</v>
      </c>
      <c r="N1818" s="1" t="b">
        <f>ISNUMBER(O1818)</f>
        <v>1</v>
      </c>
      <c r="O1818" s="1">
        <v>46116</v>
      </c>
      <c r="P1818" t="s">
        <v>332</v>
      </c>
      <c r="Q1818" t="str">
        <f>SUBSTITUTE(SUBSTITUTE(SUBSTITUTE(P1818," ",""),"-",""),"+","")</f>
        <v>04934974680</v>
      </c>
      <c r="R1818" t="str">
        <f t="shared" si="56"/>
        <v>4934974680</v>
      </c>
      <c r="S1818" t="str">
        <f>IF(LEN(R1818),"Valid","Invalid")</f>
        <v>Valid</v>
      </c>
      <c r="T1818" t="s">
        <v>331</v>
      </c>
      <c r="V1818" t="s">
        <v>123</v>
      </c>
      <c r="X1818">
        <v>3608.99</v>
      </c>
      <c r="Y1818" t="s">
        <v>63</v>
      </c>
      <c r="Z1818">
        <v>302</v>
      </c>
      <c r="AA1818">
        <f t="shared" si="57"/>
        <v>302</v>
      </c>
      <c r="AB1818" t="s">
        <v>16</v>
      </c>
    </row>
    <row r="1819" spans="1:28" x14ac:dyDescent="0.3">
      <c r="A1819" t="s">
        <v>330</v>
      </c>
      <c r="B1819" t="s">
        <v>329</v>
      </c>
      <c r="C1819" t="s">
        <v>329</v>
      </c>
      <c r="D1819" t="s">
        <v>0</v>
      </c>
      <c r="E1819">
        <v>68</v>
      </c>
      <c r="F1819">
        <v>68</v>
      </c>
      <c r="G1819" t="s">
        <v>68</v>
      </c>
      <c r="H1819" t="s">
        <v>68</v>
      </c>
      <c r="I1819" t="s">
        <v>20</v>
      </c>
      <c r="J1819" t="s">
        <v>20</v>
      </c>
      <c r="K1819" s="1">
        <v>46085</v>
      </c>
      <c r="L1819" s="1" t="str">
        <f>IF(K1819&gt;O1819,"Valid","Invalid")</f>
        <v>Valid</v>
      </c>
      <c r="M1819" s="1" t="b">
        <f>ISNUMBER(K1819)</f>
        <v>1</v>
      </c>
      <c r="N1819" s="1" t="b">
        <f>ISNUMBER(O1819)</f>
        <v>1</v>
      </c>
      <c r="O1819" s="1">
        <v>46072</v>
      </c>
      <c r="P1819" t="s">
        <v>328</v>
      </c>
      <c r="Q1819" t="str">
        <f>SUBSTITUTE(SUBSTITUTE(SUBSTITUTE(P1819," ",""),"-",""),"+","")</f>
        <v>1051494436</v>
      </c>
      <c r="R1819" t="str">
        <f t="shared" si="56"/>
        <v>1051494436</v>
      </c>
      <c r="S1819" t="str">
        <f>IF(LEN(R1819),"Valid","Invalid")</f>
        <v>Valid</v>
      </c>
      <c r="T1819" t="s">
        <v>327</v>
      </c>
      <c r="V1819" t="s">
        <v>27</v>
      </c>
      <c r="X1819">
        <v>15656.33</v>
      </c>
      <c r="Y1819" t="s">
        <v>64</v>
      </c>
      <c r="Z1819">
        <v>145</v>
      </c>
      <c r="AA1819">
        <f t="shared" si="57"/>
        <v>145</v>
      </c>
      <c r="AB1819" t="s">
        <v>43</v>
      </c>
    </row>
    <row r="1820" spans="1:28" x14ac:dyDescent="0.3">
      <c r="A1820" t="s">
        <v>326</v>
      </c>
      <c r="B1820" t="s">
        <v>325</v>
      </c>
      <c r="C1820" t="s">
        <v>325</v>
      </c>
      <c r="D1820" t="s">
        <v>74</v>
      </c>
      <c r="E1820">
        <v>28</v>
      </c>
      <c r="F1820">
        <v>28</v>
      </c>
      <c r="G1820" t="s">
        <v>80</v>
      </c>
      <c r="H1820" t="s">
        <v>80</v>
      </c>
      <c r="I1820" t="s">
        <v>38</v>
      </c>
      <c r="J1820" t="s">
        <v>8077</v>
      </c>
      <c r="K1820" s="1">
        <v>46073</v>
      </c>
      <c r="L1820" s="1" t="str">
        <f>IF(K1820&gt;O1820,"Valid","Invalid")</f>
        <v>Valid</v>
      </c>
      <c r="M1820" s="1" t="b">
        <f>ISNUMBER(K1820)</f>
        <v>1</v>
      </c>
      <c r="N1820" s="1" t="b">
        <f>ISNUMBER(O1820)</f>
        <v>1</v>
      </c>
      <c r="O1820" s="1">
        <v>46062</v>
      </c>
      <c r="P1820" t="s">
        <v>324</v>
      </c>
      <c r="Q1820" t="str">
        <f>SUBSTITUTE(SUBSTITUTE(SUBSTITUTE(P1820," ",""),"-",""),"+","")</f>
        <v>04136747083</v>
      </c>
      <c r="R1820" t="str">
        <f t="shared" si="56"/>
        <v>4136747083</v>
      </c>
      <c r="S1820" t="str">
        <f>IF(LEN(R1820),"Valid","Invalid")</f>
        <v>Valid</v>
      </c>
      <c r="T1820" t="s">
        <v>323</v>
      </c>
      <c r="V1820" t="s">
        <v>35</v>
      </c>
      <c r="X1820">
        <v>24964.76</v>
      </c>
      <c r="Y1820" t="s">
        <v>57</v>
      </c>
      <c r="Z1820">
        <v>465</v>
      </c>
      <c r="AA1820">
        <f t="shared" si="57"/>
        <v>465</v>
      </c>
      <c r="AB1820" t="s">
        <v>16</v>
      </c>
    </row>
    <row r="1821" spans="1:28" x14ac:dyDescent="0.3">
      <c r="A1821" t="s">
        <v>322</v>
      </c>
      <c r="B1821" t="s">
        <v>321</v>
      </c>
      <c r="C1821" t="s">
        <v>8076</v>
      </c>
      <c r="D1821" t="s">
        <v>74</v>
      </c>
      <c r="E1821">
        <v>30</v>
      </c>
      <c r="F1821">
        <v>30</v>
      </c>
      <c r="G1821" t="s">
        <v>21</v>
      </c>
      <c r="H1821" t="s">
        <v>21</v>
      </c>
      <c r="I1821" t="s">
        <v>85</v>
      </c>
      <c r="J1821" t="s">
        <v>85</v>
      </c>
      <c r="K1821" s="1">
        <v>46017</v>
      </c>
      <c r="L1821" s="1" t="str">
        <f>IF(K1821&gt;O1821,"Valid","Invalid")</f>
        <v>Valid</v>
      </c>
      <c r="M1821" s="1" t="b">
        <f>ISNUMBER(K1821)</f>
        <v>1</v>
      </c>
      <c r="N1821" s="1" t="b">
        <f>ISNUMBER(O1821)</f>
        <v>1</v>
      </c>
      <c r="O1821" s="1">
        <v>45994</v>
      </c>
      <c r="P1821" t="s">
        <v>320</v>
      </c>
      <c r="Q1821" t="str">
        <f>SUBSTITUTE(SUBSTITUTE(SUBSTITUTE(P1821," ",""),"-",""),"+","")</f>
        <v>04379609633</v>
      </c>
      <c r="R1821" t="str">
        <f t="shared" si="56"/>
        <v>4379609633</v>
      </c>
      <c r="S1821" t="str">
        <f>IF(LEN(R1821),"Valid","Invalid")</f>
        <v>Valid</v>
      </c>
      <c r="T1821" t="s">
        <v>319</v>
      </c>
      <c r="V1821" t="s">
        <v>123</v>
      </c>
      <c r="X1821">
        <v>22382.17</v>
      </c>
      <c r="Y1821" t="s">
        <v>17</v>
      </c>
      <c r="Z1821">
        <v>195</v>
      </c>
      <c r="AA1821">
        <f t="shared" si="57"/>
        <v>195</v>
      </c>
      <c r="AB1821" t="s">
        <v>71</v>
      </c>
    </row>
    <row r="1822" spans="1:28" x14ac:dyDescent="0.3">
      <c r="A1822" t="s">
        <v>318</v>
      </c>
      <c r="B1822" t="s">
        <v>317</v>
      </c>
      <c r="C1822" t="s">
        <v>317</v>
      </c>
      <c r="D1822" t="s">
        <v>40</v>
      </c>
      <c r="E1822">
        <v>33</v>
      </c>
      <c r="F1822">
        <v>33</v>
      </c>
      <c r="G1822" t="s">
        <v>31</v>
      </c>
      <c r="H1822" t="s">
        <v>31</v>
      </c>
      <c r="I1822" t="s">
        <v>20</v>
      </c>
      <c r="J1822" t="s">
        <v>20</v>
      </c>
      <c r="K1822" s="1">
        <v>46074</v>
      </c>
      <c r="L1822" s="1" t="str">
        <f>IF(K1822&gt;O1822,"Valid","Invalid")</f>
        <v>Valid</v>
      </c>
      <c r="M1822" s="1" t="b">
        <f>ISNUMBER(K1822)</f>
        <v>1</v>
      </c>
      <c r="N1822" s="1" t="b">
        <f>ISNUMBER(O1822)</f>
        <v>1</v>
      </c>
      <c r="O1822" s="1">
        <v>46062</v>
      </c>
      <c r="P1822" t="s">
        <v>316</v>
      </c>
      <c r="Q1822" t="str">
        <f>SUBSTITUTE(SUBSTITUTE(SUBSTITUTE(P1822," ",""),"-",""),"+","")</f>
        <v>08033970659</v>
      </c>
      <c r="R1822" t="str">
        <f t="shared" si="56"/>
        <v>8033970659</v>
      </c>
      <c r="S1822" t="str">
        <f>IF(LEN(R1822),"Valid","Invalid")</f>
        <v>Valid</v>
      </c>
      <c r="T1822" t="s">
        <v>315</v>
      </c>
      <c r="V1822" t="s">
        <v>57</v>
      </c>
      <c r="X1822">
        <v>19538.02</v>
      </c>
      <c r="Y1822" t="s">
        <v>27</v>
      </c>
      <c r="Z1822">
        <v>184</v>
      </c>
      <c r="AA1822">
        <f t="shared" si="57"/>
        <v>184</v>
      </c>
      <c r="AB1822" t="s">
        <v>43</v>
      </c>
    </row>
    <row r="1823" spans="1:28" x14ac:dyDescent="0.3">
      <c r="A1823" t="s">
        <v>314</v>
      </c>
      <c r="B1823" t="s">
        <v>313</v>
      </c>
      <c r="C1823" t="s">
        <v>313</v>
      </c>
      <c r="D1823" t="s">
        <v>22</v>
      </c>
      <c r="E1823">
        <v>39</v>
      </c>
      <c r="F1823">
        <v>39</v>
      </c>
      <c r="G1823" t="s">
        <v>68</v>
      </c>
      <c r="H1823" t="s">
        <v>68</v>
      </c>
      <c r="I1823" t="s">
        <v>53</v>
      </c>
      <c r="J1823" t="s">
        <v>20</v>
      </c>
      <c r="K1823" s="1">
        <v>46134</v>
      </c>
      <c r="L1823" s="1" t="str">
        <f>IF(K1823&gt;O1823,"Valid","Invalid")</f>
        <v>Valid</v>
      </c>
      <c r="M1823" s="1" t="b">
        <f>ISNUMBER(K1823)</f>
        <v>1</v>
      </c>
      <c r="N1823" s="1" t="b">
        <f>ISNUMBER(O1823)</f>
        <v>1</v>
      </c>
      <c r="O1823" s="1">
        <v>46126</v>
      </c>
      <c r="P1823" t="s">
        <v>312</v>
      </c>
      <c r="Q1823" t="str">
        <f>SUBSTITUTE(SUBSTITUTE(SUBSTITUTE(P1823," ",""),"-",""),"+","")</f>
        <v>03497088491</v>
      </c>
      <c r="R1823" t="str">
        <f t="shared" si="56"/>
        <v>3497088491</v>
      </c>
      <c r="S1823" t="str">
        <f>IF(LEN(R1823),"Valid","Invalid")</f>
        <v>Valid</v>
      </c>
      <c r="T1823" t="s">
        <v>311</v>
      </c>
      <c r="V1823" t="s">
        <v>64</v>
      </c>
      <c r="X1823">
        <v>15483.73</v>
      </c>
      <c r="Y1823" t="s">
        <v>123</v>
      </c>
      <c r="Z1823">
        <v>262</v>
      </c>
      <c r="AA1823">
        <f t="shared" si="57"/>
        <v>262</v>
      </c>
      <c r="AB1823" t="s">
        <v>25</v>
      </c>
    </row>
    <row r="1824" spans="1:28" x14ac:dyDescent="0.3">
      <c r="A1824" t="s">
        <v>306</v>
      </c>
      <c r="B1824" t="s">
        <v>305</v>
      </c>
      <c r="C1824" t="s">
        <v>305</v>
      </c>
      <c r="E1824">
        <v>9</v>
      </c>
      <c r="F1824">
        <v>9</v>
      </c>
      <c r="G1824" t="s">
        <v>39</v>
      </c>
      <c r="H1824" t="s">
        <v>39</v>
      </c>
      <c r="I1824" t="s">
        <v>30</v>
      </c>
      <c r="J1824" t="s">
        <v>30</v>
      </c>
      <c r="K1824" s="1">
        <v>46126</v>
      </c>
      <c r="L1824" s="1" t="str">
        <f>IF(K1824&gt;O1824,"Valid","Invalid")</f>
        <v>Valid</v>
      </c>
      <c r="M1824" s="1" t="b">
        <f>ISNUMBER(K1824)</f>
        <v>1</v>
      </c>
      <c r="N1824" s="1" t="b">
        <f>ISNUMBER(O1824)</f>
        <v>1</v>
      </c>
      <c r="O1824" s="1">
        <v>46107</v>
      </c>
      <c r="P1824" t="s">
        <v>304</v>
      </c>
      <c r="Q1824" t="str">
        <f>SUBSTITUTE(SUBSTITUTE(SUBSTITUTE(P1824," ",""),"-",""),"+","")</f>
        <v>915955797212</v>
      </c>
      <c r="R1824" t="str">
        <f t="shared" si="56"/>
        <v>5955797212</v>
      </c>
      <c r="S1824" t="str">
        <f>IF(LEN(R1824),"Valid","Invalid")</f>
        <v>Valid</v>
      </c>
      <c r="T1824" t="s">
        <v>303</v>
      </c>
      <c r="V1824" t="s">
        <v>27</v>
      </c>
      <c r="X1824">
        <v>13758.27</v>
      </c>
      <c r="Y1824" t="s">
        <v>27</v>
      </c>
      <c r="Z1824">
        <v>543</v>
      </c>
      <c r="AA1824">
        <f t="shared" si="57"/>
        <v>543</v>
      </c>
      <c r="AB1824" t="s">
        <v>16</v>
      </c>
    </row>
    <row r="1825" spans="1:28" x14ac:dyDescent="0.3">
      <c r="A1825" t="s">
        <v>302</v>
      </c>
      <c r="B1825" t="s">
        <v>301</v>
      </c>
      <c r="C1825" t="s">
        <v>301</v>
      </c>
      <c r="E1825">
        <v>71</v>
      </c>
      <c r="F1825">
        <v>71</v>
      </c>
      <c r="G1825" t="s">
        <v>39</v>
      </c>
      <c r="H1825" t="s">
        <v>39</v>
      </c>
      <c r="I1825" t="s">
        <v>20</v>
      </c>
      <c r="J1825" t="s">
        <v>20</v>
      </c>
      <c r="K1825" s="1">
        <v>45989</v>
      </c>
      <c r="L1825" s="1" t="str">
        <f>IF(K1825&gt;O1825,"Valid","Invalid")</f>
        <v>Valid</v>
      </c>
      <c r="M1825" s="1" t="b">
        <f>ISNUMBER(K1825)</f>
        <v>1</v>
      </c>
      <c r="N1825" s="1" t="b">
        <f>ISNUMBER(O1825)</f>
        <v>1</v>
      </c>
      <c r="O1825" s="1">
        <v>45981</v>
      </c>
      <c r="P1825" t="s">
        <v>300</v>
      </c>
      <c r="Q1825" t="str">
        <f>SUBSTITUTE(SUBSTITUTE(SUBSTITUTE(P1825," ",""),"-",""),"+","")</f>
        <v>6278303548</v>
      </c>
      <c r="R1825" t="str">
        <f t="shared" si="56"/>
        <v>6278303548</v>
      </c>
      <c r="S1825" t="str">
        <f>IF(LEN(R1825),"Valid","Invalid")</f>
        <v>Valid</v>
      </c>
      <c r="T1825" t="s">
        <v>299</v>
      </c>
      <c r="V1825" t="s">
        <v>64</v>
      </c>
      <c r="X1825">
        <v>11182.7</v>
      </c>
      <c r="Y1825" t="s">
        <v>123</v>
      </c>
      <c r="Z1825">
        <v>364</v>
      </c>
      <c r="AA1825">
        <f t="shared" si="57"/>
        <v>364</v>
      </c>
      <c r="AB1825" t="s">
        <v>50</v>
      </c>
    </row>
    <row r="1826" spans="1:28" x14ac:dyDescent="0.3">
      <c r="A1826" t="s">
        <v>298</v>
      </c>
      <c r="B1826" t="s">
        <v>297</v>
      </c>
      <c r="C1826" t="s">
        <v>297</v>
      </c>
      <c r="D1826" t="s">
        <v>74</v>
      </c>
      <c r="E1826">
        <v>29</v>
      </c>
      <c r="F1826">
        <v>29</v>
      </c>
      <c r="G1826" t="s">
        <v>31</v>
      </c>
      <c r="H1826" t="s">
        <v>31</v>
      </c>
      <c r="I1826" t="s">
        <v>53</v>
      </c>
      <c r="J1826" t="s">
        <v>20</v>
      </c>
      <c r="K1826" s="1">
        <v>46168</v>
      </c>
      <c r="L1826" s="1" t="str">
        <f>IF(K1826&gt;O1826,"Valid","Invalid")</f>
        <v>Valid</v>
      </c>
      <c r="M1826" s="1" t="b">
        <f>ISNUMBER(K1826)</f>
        <v>1</v>
      </c>
      <c r="N1826" s="1" t="b">
        <f>ISNUMBER(O1826)</f>
        <v>1</v>
      </c>
      <c r="O1826" s="1">
        <v>46139</v>
      </c>
      <c r="P1826" t="s">
        <v>296</v>
      </c>
      <c r="Q1826" t="str">
        <f>SUBSTITUTE(SUBSTITUTE(SUBSTITUTE(P1826," ",""),"-",""),"+","")</f>
        <v>910705956146</v>
      </c>
      <c r="R1826" t="str">
        <f t="shared" si="56"/>
        <v>0705956146</v>
      </c>
      <c r="S1826" t="str">
        <f>IF(LEN(R1826),"Valid","Invalid")</f>
        <v>Valid</v>
      </c>
      <c r="T1826" t="s">
        <v>295</v>
      </c>
      <c r="V1826" t="s">
        <v>123</v>
      </c>
      <c r="X1826">
        <v>15739.43</v>
      </c>
      <c r="Y1826" t="s">
        <v>63</v>
      </c>
      <c r="Z1826">
        <v>379</v>
      </c>
      <c r="AA1826">
        <f t="shared" si="57"/>
        <v>379</v>
      </c>
      <c r="AB1826" t="s">
        <v>16</v>
      </c>
    </row>
    <row r="1827" spans="1:28" x14ac:dyDescent="0.3">
      <c r="A1827" t="s">
        <v>294</v>
      </c>
      <c r="B1827" t="s">
        <v>293</v>
      </c>
      <c r="C1827" t="s">
        <v>293</v>
      </c>
      <c r="D1827" t="s">
        <v>1</v>
      </c>
      <c r="E1827">
        <v>90</v>
      </c>
      <c r="F1827">
        <v>90</v>
      </c>
      <c r="G1827" t="s">
        <v>54</v>
      </c>
      <c r="H1827" t="s">
        <v>54</v>
      </c>
      <c r="I1827" t="s">
        <v>85</v>
      </c>
      <c r="J1827" t="s">
        <v>85</v>
      </c>
      <c r="K1827" s="1">
        <v>46128</v>
      </c>
      <c r="L1827" s="1" t="str">
        <f>IF(K1827&gt;O1827,"Valid","Invalid")</f>
        <v>Valid</v>
      </c>
      <c r="M1827" s="1" t="b">
        <f>ISNUMBER(K1827)</f>
        <v>1</v>
      </c>
      <c r="N1827" s="1" t="b">
        <f>ISNUMBER(O1827)</f>
        <v>1</v>
      </c>
      <c r="O1827" s="1">
        <v>46119</v>
      </c>
      <c r="P1827" t="s">
        <v>292</v>
      </c>
      <c r="Q1827" t="str">
        <f>SUBSTITUTE(SUBSTITUTE(SUBSTITUTE(P1827," ",""),"-",""),"+","")</f>
        <v>3140179064</v>
      </c>
      <c r="R1827" t="str">
        <f t="shared" si="56"/>
        <v>3140179064</v>
      </c>
      <c r="S1827" t="str">
        <f>IF(LEN(R1827),"Valid","Invalid")</f>
        <v>Valid</v>
      </c>
      <c r="T1827" t="s">
        <v>291</v>
      </c>
      <c r="V1827" t="s">
        <v>123</v>
      </c>
      <c r="X1827">
        <v>14267.09</v>
      </c>
      <c r="Y1827" t="s">
        <v>64</v>
      </c>
      <c r="Z1827">
        <v>267</v>
      </c>
      <c r="AA1827">
        <f t="shared" si="57"/>
        <v>267</v>
      </c>
      <c r="AB1827" t="s">
        <v>43</v>
      </c>
    </row>
    <row r="1828" spans="1:28" x14ac:dyDescent="0.3">
      <c r="A1828" t="s">
        <v>290</v>
      </c>
      <c r="B1828" t="s">
        <v>289</v>
      </c>
      <c r="C1828" t="s">
        <v>289</v>
      </c>
      <c r="D1828" t="s">
        <v>22</v>
      </c>
      <c r="E1828">
        <v>41</v>
      </c>
      <c r="F1828">
        <v>41</v>
      </c>
      <c r="G1828" t="s">
        <v>47</v>
      </c>
      <c r="H1828" t="s">
        <v>47</v>
      </c>
      <c r="I1828" t="s">
        <v>20</v>
      </c>
      <c r="J1828" t="s">
        <v>20</v>
      </c>
      <c r="K1828" s="1">
        <v>46144</v>
      </c>
      <c r="L1828" s="1" t="str">
        <f>IF(K1828&gt;O1828,"Valid","Invalid")</f>
        <v>Valid</v>
      </c>
      <c r="M1828" s="1" t="b">
        <f>ISNUMBER(K1828)</f>
        <v>1</v>
      </c>
      <c r="N1828" s="1" t="b">
        <f>ISNUMBER(O1828)</f>
        <v>1</v>
      </c>
      <c r="O1828" s="1">
        <v>46141</v>
      </c>
      <c r="P1828" t="s">
        <v>288</v>
      </c>
      <c r="Q1828" t="str">
        <f>SUBSTITUTE(SUBSTITUTE(SUBSTITUTE(P1828," ",""),"-",""),"+","")</f>
        <v>04472707166</v>
      </c>
      <c r="R1828" t="str">
        <f t="shared" si="56"/>
        <v>4472707166</v>
      </c>
      <c r="S1828" t="str">
        <f>IF(LEN(R1828),"Valid","Invalid")</f>
        <v>Valid</v>
      </c>
      <c r="T1828" t="s">
        <v>287</v>
      </c>
      <c r="V1828" t="s">
        <v>35</v>
      </c>
      <c r="X1828">
        <v>18115.060000000001</v>
      </c>
      <c r="Y1828" t="s">
        <v>26</v>
      </c>
      <c r="Z1828">
        <v>129</v>
      </c>
      <c r="AA1828">
        <f t="shared" si="57"/>
        <v>129</v>
      </c>
      <c r="AB1828" t="s">
        <v>50</v>
      </c>
    </row>
    <row r="1829" spans="1:28" x14ac:dyDescent="0.3">
      <c r="A1829" t="s">
        <v>286</v>
      </c>
      <c r="B1829" t="s">
        <v>285</v>
      </c>
      <c r="C1829" t="s">
        <v>285</v>
      </c>
      <c r="E1829">
        <v>47</v>
      </c>
      <c r="F1829">
        <v>47</v>
      </c>
      <c r="G1829" t="s">
        <v>21</v>
      </c>
      <c r="H1829" t="s">
        <v>21</v>
      </c>
      <c r="I1829" t="s">
        <v>90</v>
      </c>
      <c r="J1829" t="s">
        <v>67</v>
      </c>
      <c r="K1829" s="1">
        <v>46108</v>
      </c>
      <c r="L1829" s="1" t="str">
        <f>IF(K1829&gt;O1829,"Valid","Invalid")</f>
        <v>Valid</v>
      </c>
      <c r="M1829" s="1" t="b">
        <f>ISNUMBER(K1829)</f>
        <v>1</v>
      </c>
      <c r="N1829" s="1" t="b">
        <f>ISNUMBER(O1829)</f>
        <v>1</v>
      </c>
      <c r="O1829" s="1">
        <v>46080</v>
      </c>
      <c r="P1829" t="s">
        <v>284</v>
      </c>
      <c r="Q1829" t="str">
        <f>SUBSTITUTE(SUBSTITUTE(SUBSTITUTE(P1829," ",""),"-",""),"+","")</f>
        <v>9246492832</v>
      </c>
      <c r="R1829" t="str">
        <f t="shared" si="56"/>
        <v>9246492832</v>
      </c>
      <c r="S1829" t="str">
        <f>IF(LEN(R1829),"Valid","Invalid")</f>
        <v>Valid</v>
      </c>
      <c r="T1829" t="s">
        <v>283</v>
      </c>
      <c r="V1829" t="s">
        <v>27</v>
      </c>
      <c r="X1829">
        <v>8911.27</v>
      </c>
      <c r="Y1829" t="s">
        <v>64</v>
      </c>
      <c r="Z1829">
        <v>342</v>
      </c>
      <c r="AA1829">
        <f t="shared" si="57"/>
        <v>342</v>
      </c>
      <c r="AB1829" t="s">
        <v>77</v>
      </c>
    </row>
    <row r="1830" spans="1:28" x14ac:dyDescent="0.3">
      <c r="A1830" t="s">
        <v>282</v>
      </c>
      <c r="B1830" t="s">
        <v>281</v>
      </c>
      <c r="C1830" t="s">
        <v>281</v>
      </c>
      <c r="D1830" t="s">
        <v>123</v>
      </c>
      <c r="E1830">
        <v>88</v>
      </c>
      <c r="F1830">
        <v>88</v>
      </c>
      <c r="G1830" t="s">
        <v>47</v>
      </c>
      <c r="H1830" t="s">
        <v>47</v>
      </c>
      <c r="I1830" t="s">
        <v>38</v>
      </c>
      <c r="J1830" t="s">
        <v>8077</v>
      </c>
      <c r="K1830" s="1">
        <v>46106</v>
      </c>
      <c r="L1830" s="1" t="str">
        <f>IF(K1830&gt;O1830,"Valid","Invalid")</f>
        <v>Valid</v>
      </c>
      <c r="M1830" s="1" t="b">
        <f>ISNUMBER(K1830)</f>
        <v>1</v>
      </c>
      <c r="N1830" s="1" t="b">
        <f>ISNUMBER(O1830)</f>
        <v>1</v>
      </c>
      <c r="O1830" s="1">
        <v>46080</v>
      </c>
      <c r="P1830" t="s">
        <v>280</v>
      </c>
      <c r="Q1830" t="str">
        <f>SUBSTITUTE(SUBSTITUTE(SUBSTITUTE(P1830," ",""),"-",""),"+","")</f>
        <v>915640055222</v>
      </c>
      <c r="R1830" t="str">
        <f t="shared" si="56"/>
        <v>5640055222</v>
      </c>
      <c r="S1830" t="str">
        <f>IF(LEN(R1830),"Valid","Invalid")</f>
        <v>Valid</v>
      </c>
      <c r="T1830" t="s">
        <v>279</v>
      </c>
      <c r="V1830" t="s">
        <v>123</v>
      </c>
      <c r="X1830">
        <v>5337.11</v>
      </c>
      <c r="Y1830" t="s">
        <v>17</v>
      </c>
      <c r="Z1830">
        <v>227</v>
      </c>
      <c r="AA1830">
        <f t="shared" si="57"/>
        <v>227</v>
      </c>
      <c r="AB1830" t="s">
        <v>16</v>
      </c>
    </row>
    <row r="1831" spans="1:28" x14ac:dyDescent="0.3">
      <c r="A1831" t="s">
        <v>278</v>
      </c>
      <c r="B1831" t="s">
        <v>277</v>
      </c>
      <c r="C1831" t="s">
        <v>277</v>
      </c>
      <c r="D1831" t="s">
        <v>0</v>
      </c>
      <c r="E1831">
        <v>13</v>
      </c>
      <c r="F1831">
        <v>13</v>
      </c>
      <c r="G1831" t="s">
        <v>132</v>
      </c>
      <c r="H1831" t="s">
        <v>132</v>
      </c>
      <c r="I1831" t="s">
        <v>67</v>
      </c>
      <c r="J1831" t="s">
        <v>67</v>
      </c>
      <c r="K1831" s="1">
        <v>46160</v>
      </c>
      <c r="L1831" s="1" t="str">
        <f>IF(K1831&gt;O1831,"Valid","Invalid")</f>
        <v>Valid</v>
      </c>
      <c r="M1831" s="1" t="b">
        <f>ISNUMBER(K1831)</f>
        <v>1</v>
      </c>
      <c r="N1831" s="1" t="b">
        <f>ISNUMBER(O1831)</f>
        <v>1</v>
      </c>
      <c r="O1831" s="1">
        <v>46149</v>
      </c>
      <c r="P1831" t="s">
        <v>276</v>
      </c>
      <c r="Q1831" t="str">
        <f>SUBSTITUTE(SUBSTITUTE(SUBSTITUTE(P1831," ",""),"-",""),"+","")</f>
        <v>6703492972</v>
      </c>
      <c r="R1831" t="str">
        <f t="shared" si="56"/>
        <v>6703492972</v>
      </c>
      <c r="S1831" t="str">
        <f>IF(LEN(R1831),"Valid","Invalid")</f>
        <v>Valid</v>
      </c>
      <c r="T1831" t="s">
        <v>275</v>
      </c>
      <c r="V1831" t="s">
        <v>27</v>
      </c>
      <c r="X1831">
        <v>9598.7800000000007</v>
      </c>
      <c r="Y1831" t="s">
        <v>27</v>
      </c>
      <c r="Z1831">
        <v>125</v>
      </c>
      <c r="AA1831">
        <f t="shared" si="57"/>
        <v>125</v>
      </c>
      <c r="AB1831" t="s">
        <v>77</v>
      </c>
    </row>
    <row r="1832" spans="1:28" x14ac:dyDescent="0.3">
      <c r="A1832" t="s">
        <v>274</v>
      </c>
      <c r="B1832" t="s">
        <v>273</v>
      </c>
      <c r="C1832" t="s">
        <v>273</v>
      </c>
      <c r="D1832" t="s">
        <v>22</v>
      </c>
      <c r="E1832">
        <v>18</v>
      </c>
      <c r="F1832">
        <v>18</v>
      </c>
      <c r="G1832" t="s">
        <v>132</v>
      </c>
      <c r="H1832" t="s">
        <v>132</v>
      </c>
      <c r="I1832" t="s">
        <v>30</v>
      </c>
      <c r="J1832" t="s">
        <v>30</v>
      </c>
      <c r="K1832" s="1">
        <v>46054</v>
      </c>
      <c r="L1832" s="1" t="str">
        <f>IF(K1832&gt;O1832,"Valid","Invalid")</f>
        <v>Valid</v>
      </c>
      <c r="M1832" s="1" t="b">
        <f>ISNUMBER(K1832)</f>
        <v>1</v>
      </c>
      <c r="N1832" s="1" t="b">
        <f>ISNUMBER(O1832)</f>
        <v>1</v>
      </c>
      <c r="O1832" s="1">
        <v>46049</v>
      </c>
      <c r="P1832" t="s">
        <v>272</v>
      </c>
      <c r="Q1832" t="str">
        <f>SUBSTITUTE(SUBSTITUTE(SUBSTITUTE(P1832," ",""),"-",""),"+","")</f>
        <v>0441975196</v>
      </c>
      <c r="R1832" t="str">
        <f t="shared" si="56"/>
        <v>0441975196</v>
      </c>
      <c r="S1832" t="str">
        <f>IF(LEN(R1832),"Valid","Invalid")</f>
        <v>Valid</v>
      </c>
      <c r="T1832" t="s">
        <v>271</v>
      </c>
      <c r="V1832" t="s">
        <v>27</v>
      </c>
      <c r="X1832">
        <v>7474.27</v>
      </c>
      <c r="Y1832" t="s">
        <v>123</v>
      </c>
      <c r="Z1832">
        <v>292</v>
      </c>
      <c r="AA1832">
        <f t="shared" si="57"/>
        <v>292</v>
      </c>
      <c r="AB1832" t="s">
        <v>25</v>
      </c>
    </row>
    <row r="1833" spans="1:28" x14ac:dyDescent="0.3">
      <c r="A1833" t="s">
        <v>270</v>
      </c>
      <c r="B1833" t="s">
        <v>269</v>
      </c>
      <c r="C1833" t="s">
        <v>269</v>
      </c>
      <c r="D1833" t="s">
        <v>22</v>
      </c>
      <c r="E1833">
        <v>72</v>
      </c>
      <c r="F1833">
        <v>72</v>
      </c>
      <c r="G1833" t="s">
        <v>54</v>
      </c>
      <c r="H1833" t="s">
        <v>54</v>
      </c>
      <c r="I1833" t="s">
        <v>90</v>
      </c>
      <c r="J1833" t="s">
        <v>67</v>
      </c>
      <c r="K1833" s="1">
        <v>45998</v>
      </c>
      <c r="L1833" s="1" t="str">
        <f>IF(K1833&gt;O1833,"Valid","Invalid")</f>
        <v>Valid</v>
      </c>
      <c r="M1833" s="1" t="b">
        <f>ISNUMBER(K1833)</f>
        <v>1</v>
      </c>
      <c r="N1833" s="1" t="b">
        <f>ISNUMBER(O1833)</f>
        <v>1</v>
      </c>
      <c r="O1833" s="1">
        <v>45983</v>
      </c>
      <c r="P1833" t="s">
        <v>268</v>
      </c>
      <c r="Q1833" t="str">
        <f>SUBSTITUTE(SUBSTITUTE(SUBSTITUTE(P1833," ",""),"-",""),"+","")</f>
        <v>915500790992</v>
      </c>
      <c r="R1833" t="str">
        <f t="shared" si="56"/>
        <v>5500790992</v>
      </c>
      <c r="S1833" t="str">
        <f>IF(LEN(R1833),"Valid","Invalid")</f>
        <v>Valid</v>
      </c>
      <c r="T1833" t="s">
        <v>267</v>
      </c>
      <c r="V1833" t="s">
        <v>123</v>
      </c>
      <c r="X1833">
        <v>1440.06</v>
      </c>
      <c r="Y1833" t="s">
        <v>123</v>
      </c>
      <c r="Z1833">
        <v>234</v>
      </c>
      <c r="AA1833">
        <f t="shared" si="57"/>
        <v>234</v>
      </c>
      <c r="AB1833" t="s">
        <v>71</v>
      </c>
    </row>
    <row r="1834" spans="1:28" x14ac:dyDescent="0.3">
      <c r="A1834" t="s">
        <v>266</v>
      </c>
      <c r="B1834" t="s">
        <v>265</v>
      </c>
      <c r="C1834" t="s">
        <v>265</v>
      </c>
      <c r="D1834" t="s">
        <v>40</v>
      </c>
      <c r="E1834">
        <v>40</v>
      </c>
      <c r="F1834">
        <v>40</v>
      </c>
      <c r="G1834" t="s">
        <v>31</v>
      </c>
      <c r="H1834" t="s">
        <v>31</v>
      </c>
      <c r="I1834" t="s">
        <v>90</v>
      </c>
      <c r="J1834" t="s">
        <v>67</v>
      </c>
      <c r="K1834" s="1">
        <v>46087</v>
      </c>
      <c r="L1834" s="1" t="str">
        <f>IF(K1834&gt;O1834,"Valid","Invalid")</f>
        <v>Valid</v>
      </c>
      <c r="M1834" s="1" t="b">
        <f>ISNUMBER(K1834)</f>
        <v>1</v>
      </c>
      <c r="N1834" s="1" t="b">
        <f>ISNUMBER(O1834)</f>
        <v>1</v>
      </c>
      <c r="O1834" s="1">
        <v>46060</v>
      </c>
      <c r="P1834" t="s">
        <v>264</v>
      </c>
      <c r="Q1834" t="str">
        <f>SUBSTITUTE(SUBSTITUTE(SUBSTITUTE(P1834," ",""),"-",""),"+","")</f>
        <v>2568783491</v>
      </c>
      <c r="R1834" t="str">
        <f t="shared" si="56"/>
        <v>2568783491</v>
      </c>
      <c r="S1834" t="str">
        <f>IF(LEN(R1834),"Valid","Invalid")</f>
        <v>Valid</v>
      </c>
      <c r="T1834" t="s">
        <v>263</v>
      </c>
      <c r="V1834" t="s">
        <v>57</v>
      </c>
      <c r="X1834">
        <v>12352.73</v>
      </c>
      <c r="Y1834" t="s">
        <v>123</v>
      </c>
      <c r="Z1834">
        <v>274</v>
      </c>
      <c r="AA1834">
        <f t="shared" si="57"/>
        <v>274</v>
      </c>
      <c r="AB1834" t="s">
        <v>34</v>
      </c>
    </row>
    <row r="1835" spans="1:28" x14ac:dyDescent="0.3">
      <c r="A1835" t="s">
        <v>262</v>
      </c>
      <c r="B1835" t="s">
        <v>261</v>
      </c>
      <c r="C1835" t="s">
        <v>261</v>
      </c>
      <c r="D1835" t="s">
        <v>40</v>
      </c>
      <c r="E1835">
        <v>74</v>
      </c>
      <c r="F1835">
        <v>74</v>
      </c>
      <c r="G1835" t="s">
        <v>68</v>
      </c>
      <c r="H1835" t="s">
        <v>68</v>
      </c>
      <c r="I1835" t="s">
        <v>30</v>
      </c>
      <c r="J1835" t="s">
        <v>30</v>
      </c>
      <c r="K1835" s="1">
        <v>46152</v>
      </c>
      <c r="L1835" s="1" t="str">
        <f>IF(K1835&gt;O1835,"Valid","Invalid")</f>
        <v>Valid</v>
      </c>
      <c r="M1835" s="1" t="b">
        <f>ISNUMBER(K1835)</f>
        <v>1</v>
      </c>
      <c r="N1835" s="1" t="b">
        <f>ISNUMBER(O1835)</f>
        <v>1</v>
      </c>
      <c r="O1835" s="1">
        <v>46128</v>
      </c>
      <c r="P1835" t="s">
        <v>260</v>
      </c>
      <c r="Q1835" t="str">
        <f>SUBSTITUTE(SUBSTITUTE(SUBSTITUTE(P1835," ",""),"-",""),"+","")</f>
        <v>5593091372</v>
      </c>
      <c r="R1835" t="str">
        <f t="shared" si="56"/>
        <v>5593091372</v>
      </c>
      <c r="S1835" t="str">
        <f>IF(LEN(R1835),"Valid","Invalid")</f>
        <v>Valid</v>
      </c>
      <c r="T1835" t="s">
        <v>259</v>
      </c>
      <c r="V1835" t="s">
        <v>57</v>
      </c>
      <c r="X1835">
        <v>24125.99</v>
      </c>
      <c r="Y1835" t="s">
        <v>57</v>
      </c>
      <c r="Z1835">
        <v>500</v>
      </c>
      <c r="AA1835">
        <f t="shared" si="57"/>
        <v>500</v>
      </c>
      <c r="AB1835" t="s">
        <v>34</v>
      </c>
    </row>
    <row r="1836" spans="1:28" x14ac:dyDescent="0.3">
      <c r="A1836" t="s">
        <v>258</v>
      </c>
      <c r="B1836" t="s">
        <v>257</v>
      </c>
      <c r="C1836" t="s">
        <v>257</v>
      </c>
      <c r="D1836" t="s">
        <v>40</v>
      </c>
      <c r="E1836">
        <v>55</v>
      </c>
      <c r="F1836">
        <v>55</v>
      </c>
      <c r="G1836" t="s">
        <v>39</v>
      </c>
      <c r="H1836" t="s">
        <v>39</v>
      </c>
      <c r="I1836" t="s">
        <v>38</v>
      </c>
      <c r="J1836" t="s">
        <v>8077</v>
      </c>
      <c r="K1836" s="1">
        <v>46029</v>
      </c>
      <c r="L1836" s="1" t="str">
        <f>IF(K1836&gt;O1836,"Valid","Invalid")</f>
        <v>Valid</v>
      </c>
      <c r="M1836" s="1" t="b">
        <f>ISNUMBER(K1836)</f>
        <v>1</v>
      </c>
      <c r="N1836" s="1" t="b">
        <f>ISNUMBER(O1836)</f>
        <v>1</v>
      </c>
      <c r="O1836" s="1">
        <v>46002</v>
      </c>
      <c r="P1836" t="s">
        <v>256</v>
      </c>
      <c r="Q1836" t="str">
        <f>SUBSTITUTE(SUBSTITUTE(SUBSTITUTE(P1836," ",""),"-",""),"+","")</f>
        <v>3880235726</v>
      </c>
      <c r="R1836" t="str">
        <f t="shared" si="56"/>
        <v>3880235726</v>
      </c>
      <c r="S1836" t="str">
        <f>IF(LEN(R1836),"Valid","Invalid")</f>
        <v>Valid</v>
      </c>
      <c r="T1836" t="s">
        <v>255</v>
      </c>
      <c r="V1836" t="s">
        <v>57</v>
      </c>
      <c r="X1836">
        <v>6600.6</v>
      </c>
      <c r="Y1836" t="s">
        <v>123</v>
      </c>
      <c r="Z1836">
        <v>548</v>
      </c>
      <c r="AA1836">
        <f t="shared" si="57"/>
        <v>548</v>
      </c>
      <c r="AB1836" t="s">
        <v>16</v>
      </c>
    </row>
    <row r="1837" spans="1:28" x14ac:dyDescent="0.3">
      <c r="A1837" t="s">
        <v>254</v>
      </c>
      <c r="B1837" t="s">
        <v>253</v>
      </c>
      <c r="C1837" t="s">
        <v>253</v>
      </c>
      <c r="D1837" t="s">
        <v>0</v>
      </c>
      <c r="E1837">
        <v>82</v>
      </c>
      <c r="F1837">
        <v>82</v>
      </c>
      <c r="G1837" t="s">
        <v>39</v>
      </c>
      <c r="H1837" t="s">
        <v>39</v>
      </c>
      <c r="I1837" t="s">
        <v>90</v>
      </c>
      <c r="J1837" t="s">
        <v>67</v>
      </c>
      <c r="K1837" s="1">
        <v>46107</v>
      </c>
      <c r="L1837" s="1" t="str">
        <f>IF(K1837&gt;O1837,"Valid","Invalid")</f>
        <v>Valid</v>
      </c>
      <c r="M1837" s="1" t="b">
        <f>ISNUMBER(K1837)</f>
        <v>1</v>
      </c>
      <c r="N1837" s="1" t="b">
        <f>ISNUMBER(O1837)</f>
        <v>1</v>
      </c>
      <c r="O1837" s="1">
        <v>46097</v>
      </c>
      <c r="P1837" t="s">
        <v>252</v>
      </c>
      <c r="Q1837" t="str">
        <f>SUBSTITUTE(SUBSTITUTE(SUBSTITUTE(P1837," ",""),"-",""),"+","")</f>
        <v>915670504163</v>
      </c>
      <c r="R1837" t="str">
        <f t="shared" si="56"/>
        <v>5670504163</v>
      </c>
      <c r="S1837" t="str">
        <f>IF(LEN(R1837),"Valid","Invalid")</f>
        <v>Valid</v>
      </c>
      <c r="T1837" t="s">
        <v>251</v>
      </c>
      <c r="V1837" t="s">
        <v>26</v>
      </c>
      <c r="X1837">
        <v>1543.97</v>
      </c>
      <c r="Y1837" t="s">
        <v>123</v>
      </c>
      <c r="Z1837">
        <v>423</v>
      </c>
      <c r="AA1837">
        <f t="shared" si="57"/>
        <v>423</v>
      </c>
      <c r="AB1837" t="s">
        <v>43</v>
      </c>
    </row>
    <row r="1838" spans="1:28" x14ac:dyDescent="0.3">
      <c r="A1838" t="s">
        <v>246</v>
      </c>
      <c r="B1838" t="s">
        <v>245</v>
      </c>
      <c r="C1838" t="s">
        <v>245</v>
      </c>
      <c r="D1838" t="s">
        <v>0</v>
      </c>
      <c r="E1838">
        <v>38</v>
      </c>
      <c r="F1838">
        <v>38</v>
      </c>
      <c r="G1838" t="s">
        <v>39</v>
      </c>
      <c r="H1838" t="s">
        <v>39</v>
      </c>
      <c r="I1838" t="s">
        <v>85</v>
      </c>
      <c r="J1838" t="s">
        <v>85</v>
      </c>
      <c r="K1838" s="1">
        <v>46032</v>
      </c>
      <c r="L1838" s="1" t="str">
        <f>IF(K1838&gt;O1838,"Valid","Invalid")</f>
        <v>Valid</v>
      </c>
      <c r="M1838" s="1" t="b">
        <f>ISNUMBER(K1838)</f>
        <v>1</v>
      </c>
      <c r="N1838" s="1" t="b">
        <f>ISNUMBER(O1838)</f>
        <v>1</v>
      </c>
      <c r="O1838" s="1">
        <v>46019</v>
      </c>
      <c r="P1838" t="s">
        <v>244</v>
      </c>
      <c r="Q1838" t="str">
        <f>SUBSTITUTE(SUBSTITUTE(SUBSTITUTE(P1838," ",""),"-",""),"+","")</f>
        <v>912250708263</v>
      </c>
      <c r="R1838" t="str">
        <f t="shared" si="56"/>
        <v>2250708263</v>
      </c>
      <c r="S1838" t="str">
        <f>IF(LEN(R1838),"Valid","Invalid")</f>
        <v>Valid</v>
      </c>
      <c r="T1838" t="s">
        <v>243</v>
      </c>
      <c r="V1838" t="s">
        <v>123</v>
      </c>
      <c r="X1838">
        <v>17409.95</v>
      </c>
      <c r="Y1838" t="s">
        <v>123</v>
      </c>
      <c r="Z1838">
        <v>259</v>
      </c>
      <c r="AA1838">
        <f t="shared" si="57"/>
        <v>259</v>
      </c>
      <c r="AB1838" t="s">
        <v>16</v>
      </c>
    </row>
    <row r="1839" spans="1:28" x14ac:dyDescent="0.3">
      <c r="A1839" t="s">
        <v>238</v>
      </c>
      <c r="B1839" t="s">
        <v>237</v>
      </c>
      <c r="C1839" t="s">
        <v>237</v>
      </c>
      <c r="D1839" t="s">
        <v>74</v>
      </c>
      <c r="E1839">
        <v>48</v>
      </c>
      <c r="F1839">
        <v>48</v>
      </c>
      <c r="G1839" t="s">
        <v>132</v>
      </c>
      <c r="H1839" t="s">
        <v>132</v>
      </c>
      <c r="I1839" t="s">
        <v>90</v>
      </c>
      <c r="J1839" t="s">
        <v>67</v>
      </c>
      <c r="K1839" s="1">
        <v>46007</v>
      </c>
      <c r="L1839" s="1" t="str">
        <f>IF(K1839&gt;O1839,"Valid","Invalid")</f>
        <v>Valid</v>
      </c>
      <c r="M1839" s="1" t="b">
        <f>ISNUMBER(K1839)</f>
        <v>1</v>
      </c>
      <c r="N1839" s="1" t="b">
        <f>ISNUMBER(O1839)</f>
        <v>1</v>
      </c>
      <c r="O1839" s="1">
        <v>46006</v>
      </c>
      <c r="P1839" t="s">
        <v>236</v>
      </c>
      <c r="Q1839" t="str">
        <f>SUBSTITUTE(SUBSTITUTE(SUBSTITUTE(P1839," ",""),"-",""),"+","")</f>
        <v>04616195673</v>
      </c>
      <c r="R1839" t="str">
        <f t="shared" si="56"/>
        <v>4616195673</v>
      </c>
      <c r="S1839" t="str">
        <f>IF(LEN(R1839),"Valid","Invalid")</f>
        <v>Valid</v>
      </c>
      <c r="T1839" t="s">
        <v>235</v>
      </c>
      <c r="V1839" t="s">
        <v>27</v>
      </c>
      <c r="X1839">
        <v>19060.22</v>
      </c>
      <c r="Y1839" t="s">
        <v>27</v>
      </c>
      <c r="Z1839">
        <v>155</v>
      </c>
      <c r="AA1839">
        <f t="shared" si="57"/>
        <v>155</v>
      </c>
      <c r="AB1839" t="s">
        <v>16</v>
      </c>
    </row>
    <row r="1840" spans="1:28" x14ac:dyDescent="0.3">
      <c r="A1840" t="s">
        <v>234</v>
      </c>
      <c r="B1840" t="s">
        <v>233</v>
      </c>
      <c r="C1840" t="s">
        <v>233</v>
      </c>
      <c r="D1840" t="s">
        <v>123</v>
      </c>
      <c r="E1840">
        <v>62</v>
      </c>
      <c r="F1840">
        <v>62</v>
      </c>
      <c r="G1840" t="s">
        <v>68</v>
      </c>
      <c r="H1840" t="s">
        <v>68</v>
      </c>
      <c r="I1840" t="s">
        <v>53</v>
      </c>
      <c r="J1840" t="s">
        <v>20</v>
      </c>
      <c r="K1840" s="1">
        <v>46049</v>
      </c>
      <c r="L1840" s="1" t="str">
        <f>IF(K1840&gt;O1840,"Valid","Invalid")</f>
        <v>Valid</v>
      </c>
      <c r="M1840" s="1" t="b">
        <f>ISNUMBER(K1840)</f>
        <v>1</v>
      </c>
      <c r="N1840" s="1" t="b">
        <f>ISNUMBER(O1840)</f>
        <v>1</v>
      </c>
      <c r="O1840" s="1">
        <v>46043</v>
      </c>
      <c r="P1840" t="s">
        <v>232</v>
      </c>
      <c r="Q1840" t="str">
        <f>SUBSTITUTE(SUBSTITUTE(SUBSTITUTE(P1840," ",""),"-",""),"+","")</f>
        <v>6744437586</v>
      </c>
      <c r="R1840" t="str">
        <f t="shared" si="56"/>
        <v>6744437586</v>
      </c>
      <c r="S1840" t="str">
        <f>IF(LEN(R1840),"Valid","Invalid")</f>
        <v>Valid</v>
      </c>
      <c r="T1840" t="s">
        <v>231</v>
      </c>
      <c r="V1840" t="s">
        <v>64</v>
      </c>
      <c r="X1840">
        <v>4487.6499999999996</v>
      </c>
      <c r="Y1840" t="s">
        <v>17</v>
      </c>
      <c r="Z1840">
        <v>327</v>
      </c>
      <c r="AA1840">
        <f t="shared" si="57"/>
        <v>327</v>
      </c>
      <c r="AB1840" t="s">
        <v>50</v>
      </c>
    </row>
    <row r="1841" spans="1:28" x14ac:dyDescent="0.3">
      <c r="A1841" t="s">
        <v>230</v>
      </c>
      <c r="B1841" t="s">
        <v>229</v>
      </c>
      <c r="C1841" t="s">
        <v>229</v>
      </c>
      <c r="D1841" t="s">
        <v>40</v>
      </c>
      <c r="E1841">
        <v>35</v>
      </c>
      <c r="F1841">
        <v>35</v>
      </c>
      <c r="G1841" t="s">
        <v>68</v>
      </c>
      <c r="H1841" t="s">
        <v>68</v>
      </c>
      <c r="I1841" t="s">
        <v>53</v>
      </c>
      <c r="J1841" t="s">
        <v>20</v>
      </c>
      <c r="K1841" s="1">
        <v>46090</v>
      </c>
      <c r="L1841" s="1" t="str">
        <f>IF(K1841&gt;O1841,"Valid","Invalid")</f>
        <v>Valid</v>
      </c>
      <c r="M1841" s="1" t="b">
        <f>ISNUMBER(K1841)</f>
        <v>1</v>
      </c>
      <c r="N1841" s="1" t="b">
        <f>ISNUMBER(O1841)</f>
        <v>1</v>
      </c>
      <c r="O1841" s="1">
        <v>46068</v>
      </c>
      <c r="P1841" t="s">
        <v>228</v>
      </c>
      <c r="Q1841" t="str">
        <f>SUBSTITUTE(SUBSTITUTE(SUBSTITUTE(P1841," ",""),"-",""),"+","")</f>
        <v>00039704700</v>
      </c>
      <c r="R1841" t="str">
        <f t="shared" si="56"/>
        <v>0039704700</v>
      </c>
      <c r="S1841" t="str">
        <f>IF(LEN(R1841),"Valid","Invalid")</f>
        <v>Valid</v>
      </c>
      <c r="T1841" t="s">
        <v>227</v>
      </c>
      <c r="V1841" t="s">
        <v>123</v>
      </c>
      <c r="X1841">
        <v>19854.7</v>
      </c>
      <c r="Y1841" t="s">
        <v>26</v>
      </c>
      <c r="Z1841">
        <v>426</v>
      </c>
      <c r="AA1841">
        <f t="shared" si="57"/>
        <v>426</v>
      </c>
      <c r="AB1841" t="s">
        <v>50</v>
      </c>
    </row>
    <row r="1842" spans="1:28" x14ac:dyDescent="0.3">
      <c r="A1842" t="s">
        <v>226</v>
      </c>
      <c r="B1842" t="s">
        <v>225</v>
      </c>
      <c r="C1842" t="s">
        <v>225</v>
      </c>
      <c r="D1842" t="s">
        <v>123</v>
      </c>
      <c r="E1842">
        <v>10</v>
      </c>
      <c r="F1842">
        <v>10</v>
      </c>
      <c r="G1842" t="s">
        <v>39</v>
      </c>
      <c r="H1842" t="s">
        <v>39</v>
      </c>
      <c r="I1842" t="s">
        <v>20</v>
      </c>
      <c r="J1842" t="s">
        <v>20</v>
      </c>
      <c r="K1842" s="1">
        <v>46068</v>
      </c>
      <c r="L1842" s="1" t="str">
        <f>IF(K1842&gt;O1842,"Valid","Invalid")</f>
        <v>Valid</v>
      </c>
      <c r="M1842" s="1" t="b">
        <f>ISNUMBER(K1842)</f>
        <v>1</v>
      </c>
      <c r="N1842" s="1" t="b">
        <f>ISNUMBER(O1842)</f>
        <v>1</v>
      </c>
      <c r="O1842" s="1">
        <v>46039</v>
      </c>
      <c r="P1842" t="s">
        <v>224</v>
      </c>
      <c r="Q1842" t="str">
        <f>SUBSTITUTE(SUBSTITUTE(SUBSTITUTE(P1842," ",""),"-",""),"+","")</f>
        <v>02457892908</v>
      </c>
      <c r="R1842" t="str">
        <f t="shared" si="56"/>
        <v>2457892908</v>
      </c>
      <c r="S1842" t="str">
        <f>IF(LEN(R1842),"Valid","Invalid")</f>
        <v>Valid</v>
      </c>
      <c r="T1842" t="s">
        <v>223</v>
      </c>
      <c r="V1842" t="s">
        <v>35</v>
      </c>
      <c r="X1842">
        <v>1526.09</v>
      </c>
      <c r="Y1842" t="s">
        <v>63</v>
      </c>
      <c r="Z1842">
        <v>217</v>
      </c>
      <c r="AA1842">
        <f t="shared" si="57"/>
        <v>217</v>
      </c>
      <c r="AB1842" t="s">
        <v>25</v>
      </c>
    </row>
    <row r="1843" spans="1:28" x14ac:dyDescent="0.3">
      <c r="A1843" t="s">
        <v>222</v>
      </c>
      <c r="B1843" t="s">
        <v>221</v>
      </c>
      <c r="C1843" t="s">
        <v>221</v>
      </c>
      <c r="E1843">
        <v>44</v>
      </c>
      <c r="F1843">
        <v>44</v>
      </c>
      <c r="G1843" t="s">
        <v>21</v>
      </c>
      <c r="H1843" t="s">
        <v>21</v>
      </c>
      <c r="I1843" t="s">
        <v>90</v>
      </c>
      <c r="J1843" t="s">
        <v>67</v>
      </c>
      <c r="K1843" s="1">
        <v>46073</v>
      </c>
      <c r="L1843" s="1" t="str">
        <f>IF(K1843&gt;O1843,"Valid","Invalid")</f>
        <v>Valid</v>
      </c>
      <c r="M1843" s="1" t="b">
        <f>ISNUMBER(K1843)</f>
        <v>1</v>
      </c>
      <c r="N1843" s="1" t="b">
        <f>ISNUMBER(O1843)</f>
        <v>1</v>
      </c>
      <c r="O1843" s="1">
        <v>46062</v>
      </c>
      <c r="P1843" t="s">
        <v>220</v>
      </c>
      <c r="Q1843" t="str">
        <f>SUBSTITUTE(SUBSTITUTE(SUBSTITUTE(P1843," ",""),"-",""),"+","")</f>
        <v>5633737859</v>
      </c>
      <c r="R1843" t="str">
        <f t="shared" si="56"/>
        <v>5633737859</v>
      </c>
      <c r="S1843" t="str">
        <f>IF(LEN(R1843),"Valid","Invalid")</f>
        <v>Valid</v>
      </c>
      <c r="T1843" t="s">
        <v>219</v>
      </c>
      <c r="V1843" t="s">
        <v>123</v>
      </c>
      <c r="X1843">
        <v>21686.68</v>
      </c>
      <c r="Y1843" t="s">
        <v>27</v>
      </c>
      <c r="Z1843">
        <v>336</v>
      </c>
      <c r="AA1843">
        <f t="shared" si="57"/>
        <v>336</v>
      </c>
      <c r="AB1843" t="s">
        <v>34</v>
      </c>
    </row>
    <row r="1844" spans="1:28" x14ac:dyDescent="0.3">
      <c r="A1844" t="s">
        <v>218</v>
      </c>
      <c r="B1844" t="s">
        <v>217</v>
      </c>
      <c r="C1844" t="s">
        <v>217</v>
      </c>
      <c r="D1844" t="s">
        <v>60</v>
      </c>
      <c r="E1844">
        <v>82</v>
      </c>
      <c r="F1844">
        <v>82</v>
      </c>
      <c r="G1844" t="s">
        <v>39</v>
      </c>
      <c r="H1844" t="s">
        <v>39</v>
      </c>
      <c r="I1844" t="s">
        <v>67</v>
      </c>
      <c r="J1844" t="s">
        <v>67</v>
      </c>
      <c r="K1844" s="1">
        <v>46078</v>
      </c>
      <c r="L1844" s="1" t="str">
        <f>IF(K1844&gt;O1844,"Valid","Invalid")</f>
        <v>Valid</v>
      </c>
      <c r="M1844" s="1" t="b">
        <f>ISNUMBER(K1844)</f>
        <v>1</v>
      </c>
      <c r="N1844" s="1" t="b">
        <f>ISNUMBER(O1844)</f>
        <v>1</v>
      </c>
      <c r="O1844" s="1">
        <v>46070</v>
      </c>
      <c r="P1844" t="s">
        <v>216</v>
      </c>
      <c r="Q1844" t="str">
        <f>SUBSTITUTE(SUBSTITUTE(SUBSTITUTE(P1844," ",""),"-",""),"+","")</f>
        <v>2861636992</v>
      </c>
      <c r="R1844" t="str">
        <f t="shared" si="56"/>
        <v>2861636992</v>
      </c>
      <c r="S1844" t="str">
        <f>IF(LEN(R1844),"Valid","Invalid")</f>
        <v>Valid</v>
      </c>
      <c r="T1844" t="s">
        <v>215</v>
      </c>
      <c r="V1844" t="s">
        <v>35</v>
      </c>
      <c r="X1844">
        <v>7882.12</v>
      </c>
      <c r="Y1844" t="s">
        <v>64</v>
      </c>
      <c r="Z1844">
        <v>443</v>
      </c>
      <c r="AA1844">
        <f t="shared" si="57"/>
        <v>443</v>
      </c>
      <c r="AB1844" t="s">
        <v>34</v>
      </c>
    </row>
    <row r="1845" spans="1:28" x14ac:dyDescent="0.3">
      <c r="A1845" t="s">
        <v>214</v>
      </c>
      <c r="B1845" t="s">
        <v>213</v>
      </c>
      <c r="C1845" t="s">
        <v>213</v>
      </c>
      <c r="D1845" t="s">
        <v>1</v>
      </c>
      <c r="E1845">
        <v>65</v>
      </c>
      <c r="F1845">
        <v>65</v>
      </c>
      <c r="G1845" t="s">
        <v>31</v>
      </c>
      <c r="H1845" t="s">
        <v>31</v>
      </c>
      <c r="I1845" t="s">
        <v>30</v>
      </c>
      <c r="J1845" t="s">
        <v>30</v>
      </c>
      <c r="K1845" s="1">
        <v>46001</v>
      </c>
      <c r="L1845" s="1" t="str">
        <f>IF(K1845&gt;O1845,"Valid","Invalid")</f>
        <v>Valid</v>
      </c>
      <c r="M1845" s="1" t="b">
        <f>ISNUMBER(K1845)</f>
        <v>1</v>
      </c>
      <c r="N1845" s="1" t="b">
        <f>ISNUMBER(O1845)</f>
        <v>1</v>
      </c>
      <c r="O1845" s="1">
        <v>45990</v>
      </c>
      <c r="P1845" t="s">
        <v>212</v>
      </c>
      <c r="Q1845" t="str">
        <f>SUBSTITUTE(SUBSTITUTE(SUBSTITUTE(P1845," ",""),"-",""),"+","")</f>
        <v>915576008755</v>
      </c>
      <c r="R1845" t="str">
        <f t="shared" si="56"/>
        <v>5576008755</v>
      </c>
      <c r="S1845" t="str">
        <f>IF(LEN(R1845),"Valid","Invalid")</f>
        <v>Valid</v>
      </c>
      <c r="T1845" t="s">
        <v>211</v>
      </c>
      <c r="V1845" t="s">
        <v>26</v>
      </c>
      <c r="X1845">
        <v>1369.3</v>
      </c>
      <c r="Y1845" t="s">
        <v>123</v>
      </c>
      <c r="Z1845">
        <v>230</v>
      </c>
      <c r="AA1845">
        <f t="shared" si="57"/>
        <v>230</v>
      </c>
      <c r="AB1845" t="s">
        <v>43</v>
      </c>
    </row>
    <row r="1846" spans="1:28" x14ac:dyDescent="0.3">
      <c r="A1846" t="s">
        <v>206</v>
      </c>
      <c r="B1846" t="s">
        <v>205</v>
      </c>
      <c r="C1846" t="s">
        <v>205</v>
      </c>
      <c r="D1846" t="s">
        <v>1</v>
      </c>
      <c r="E1846">
        <v>20</v>
      </c>
      <c r="F1846">
        <v>20</v>
      </c>
      <c r="G1846" t="s">
        <v>68</v>
      </c>
      <c r="H1846" t="s">
        <v>68</v>
      </c>
      <c r="I1846" t="s">
        <v>30</v>
      </c>
      <c r="J1846" t="s">
        <v>30</v>
      </c>
      <c r="K1846" s="1">
        <v>46172</v>
      </c>
      <c r="L1846" s="1" t="str">
        <f>IF(K1846&gt;O1846,"Valid","Invalid")</f>
        <v>Valid</v>
      </c>
      <c r="M1846" s="1" t="b">
        <f>ISNUMBER(K1846)</f>
        <v>1</v>
      </c>
      <c r="N1846" s="1" t="b">
        <f>ISNUMBER(O1846)</f>
        <v>1</v>
      </c>
      <c r="O1846" s="1">
        <v>46148</v>
      </c>
      <c r="P1846" t="s">
        <v>204</v>
      </c>
      <c r="Q1846" t="str">
        <f>SUBSTITUTE(SUBSTITUTE(SUBSTITUTE(P1846," ",""),"-",""),"+","")</f>
        <v>03435886461</v>
      </c>
      <c r="R1846" t="str">
        <f t="shared" si="56"/>
        <v>3435886461</v>
      </c>
      <c r="S1846" t="str">
        <f>IF(LEN(R1846),"Valid","Invalid")</f>
        <v>Valid</v>
      </c>
      <c r="T1846" t="s">
        <v>203</v>
      </c>
      <c r="V1846" t="s">
        <v>123</v>
      </c>
      <c r="X1846">
        <v>17117.87</v>
      </c>
      <c r="Y1846" t="s">
        <v>64</v>
      </c>
      <c r="Z1846">
        <v>330</v>
      </c>
      <c r="AA1846">
        <f t="shared" si="57"/>
        <v>330</v>
      </c>
      <c r="AB1846" t="s">
        <v>16</v>
      </c>
    </row>
    <row r="1847" spans="1:28" x14ac:dyDescent="0.3">
      <c r="A1847" t="s">
        <v>202</v>
      </c>
      <c r="B1847" t="s">
        <v>201</v>
      </c>
      <c r="C1847" t="s">
        <v>201</v>
      </c>
      <c r="D1847" t="s">
        <v>123</v>
      </c>
      <c r="E1847">
        <v>27</v>
      </c>
      <c r="F1847">
        <v>27</v>
      </c>
      <c r="G1847" t="s">
        <v>21</v>
      </c>
      <c r="H1847" t="s">
        <v>21</v>
      </c>
      <c r="I1847" t="s">
        <v>30</v>
      </c>
      <c r="J1847" t="s">
        <v>30</v>
      </c>
      <c r="K1847" s="1">
        <v>46169</v>
      </c>
      <c r="L1847" s="1" t="str">
        <f>IF(K1847&gt;O1847,"Valid","Invalid")</f>
        <v>Valid</v>
      </c>
      <c r="M1847" s="1" t="b">
        <f>ISNUMBER(K1847)</f>
        <v>1</v>
      </c>
      <c r="N1847" s="1" t="b">
        <f>ISNUMBER(O1847)</f>
        <v>1</v>
      </c>
      <c r="O1847" s="1">
        <v>46149</v>
      </c>
      <c r="P1847" t="s">
        <v>200</v>
      </c>
      <c r="Q1847" t="str">
        <f>SUBSTITUTE(SUBSTITUTE(SUBSTITUTE(P1847," ",""),"-",""),"+","")</f>
        <v>918281850869</v>
      </c>
      <c r="R1847" t="str">
        <f t="shared" si="56"/>
        <v>8281850869</v>
      </c>
      <c r="S1847" t="str">
        <f>IF(LEN(R1847),"Valid","Invalid")</f>
        <v>Valid</v>
      </c>
      <c r="T1847" t="s">
        <v>199</v>
      </c>
      <c r="V1847" t="s">
        <v>35</v>
      </c>
      <c r="X1847">
        <v>12334.27</v>
      </c>
      <c r="Y1847" t="s">
        <v>27</v>
      </c>
      <c r="Z1847">
        <v>198</v>
      </c>
      <c r="AA1847">
        <f t="shared" si="57"/>
        <v>198</v>
      </c>
      <c r="AB1847" t="s">
        <v>50</v>
      </c>
    </row>
    <row r="1848" spans="1:28" x14ac:dyDescent="0.3">
      <c r="A1848" t="s">
        <v>198</v>
      </c>
      <c r="B1848" t="s">
        <v>197</v>
      </c>
      <c r="C1848" t="s">
        <v>197</v>
      </c>
      <c r="D1848" t="s">
        <v>123</v>
      </c>
      <c r="E1848">
        <v>88</v>
      </c>
      <c r="F1848">
        <v>88</v>
      </c>
      <c r="G1848" t="s">
        <v>39</v>
      </c>
      <c r="H1848" t="s">
        <v>39</v>
      </c>
      <c r="I1848" t="s">
        <v>20</v>
      </c>
      <c r="J1848" t="s">
        <v>20</v>
      </c>
      <c r="K1848" s="1">
        <v>46125</v>
      </c>
      <c r="L1848" s="1" t="str">
        <f>IF(K1848&gt;O1848,"Valid","Invalid")</f>
        <v>Valid</v>
      </c>
      <c r="M1848" s="1" t="b">
        <f>ISNUMBER(K1848)</f>
        <v>1</v>
      </c>
      <c r="N1848" s="1" t="b">
        <f>ISNUMBER(O1848)</f>
        <v>1</v>
      </c>
      <c r="O1848" s="1">
        <v>46097</v>
      </c>
      <c r="P1848" t="s">
        <v>196</v>
      </c>
      <c r="Q1848" t="str">
        <f>SUBSTITUTE(SUBSTITUTE(SUBSTITUTE(P1848," ",""),"-",""),"+","")</f>
        <v>914980404156</v>
      </c>
      <c r="R1848" t="str">
        <f t="shared" si="56"/>
        <v>4980404156</v>
      </c>
      <c r="S1848" t="str">
        <f>IF(LEN(R1848),"Valid","Invalid")</f>
        <v>Valid</v>
      </c>
      <c r="T1848" t="s">
        <v>195</v>
      </c>
      <c r="V1848" t="s">
        <v>123</v>
      </c>
      <c r="X1848">
        <v>8970.0300000000007</v>
      </c>
      <c r="Y1848" t="s">
        <v>27</v>
      </c>
      <c r="Z1848">
        <v>435</v>
      </c>
      <c r="AA1848">
        <f t="shared" si="57"/>
        <v>435</v>
      </c>
      <c r="AB1848" t="s">
        <v>34</v>
      </c>
    </row>
    <row r="1849" spans="1:28" x14ac:dyDescent="0.3">
      <c r="A1849" t="s">
        <v>194</v>
      </c>
      <c r="B1849" t="s">
        <v>193</v>
      </c>
      <c r="C1849" t="s">
        <v>193</v>
      </c>
      <c r="D1849" t="s">
        <v>40</v>
      </c>
      <c r="E1849">
        <v>9</v>
      </c>
      <c r="F1849">
        <v>9</v>
      </c>
      <c r="G1849" t="s">
        <v>54</v>
      </c>
      <c r="H1849" t="s">
        <v>54</v>
      </c>
      <c r="I1849" t="s">
        <v>38</v>
      </c>
      <c r="J1849" t="s">
        <v>8077</v>
      </c>
      <c r="K1849" s="1">
        <v>46056</v>
      </c>
      <c r="L1849" s="1" t="str">
        <f>IF(K1849&gt;O1849,"Valid","Invalid")</f>
        <v>Valid</v>
      </c>
      <c r="M1849" s="1" t="b">
        <f>ISNUMBER(K1849)</f>
        <v>1</v>
      </c>
      <c r="N1849" s="1" t="b">
        <f>ISNUMBER(O1849)</f>
        <v>1</v>
      </c>
      <c r="O1849" s="1">
        <v>46030</v>
      </c>
      <c r="P1849" t="s">
        <v>192</v>
      </c>
      <c r="Q1849" t="str">
        <f>SUBSTITUTE(SUBSTITUTE(SUBSTITUTE(P1849," ",""),"-",""),"+","")</f>
        <v>09692256009</v>
      </c>
      <c r="R1849" t="str">
        <f t="shared" si="56"/>
        <v>9692256009</v>
      </c>
      <c r="S1849" t="str">
        <f>IF(LEN(R1849),"Valid","Invalid")</f>
        <v>Valid</v>
      </c>
      <c r="T1849" t="s">
        <v>191</v>
      </c>
      <c r="V1849" t="s">
        <v>27</v>
      </c>
      <c r="X1849">
        <v>6522.26</v>
      </c>
      <c r="Y1849" t="s">
        <v>57</v>
      </c>
      <c r="Z1849">
        <v>116</v>
      </c>
      <c r="AA1849">
        <f t="shared" si="57"/>
        <v>116</v>
      </c>
      <c r="AB1849" t="s">
        <v>16</v>
      </c>
    </row>
    <row r="1850" spans="1:28" x14ac:dyDescent="0.3">
      <c r="A1850" t="s">
        <v>190</v>
      </c>
      <c r="B1850" t="s">
        <v>189</v>
      </c>
      <c r="C1850" t="s">
        <v>189</v>
      </c>
      <c r="D1850" t="s">
        <v>1</v>
      </c>
      <c r="E1850">
        <v>42</v>
      </c>
      <c r="F1850">
        <v>42</v>
      </c>
      <c r="G1850" t="s">
        <v>39</v>
      </c>
      <c r="H1850" t="s">
        <v>39</v>
      </c>
      <c r="I1850" t="s">
        <v>30</v>
      </c>
      <c r="J1850" t="s">
        <v>30</v>
      </c>
      <c r="K1850" s="1">
        <v>46076</v>
      </c>
      <c r="L1850" s="1" t="str">
        <f>IF(K1850&gt;O1850,"Valid","Invalid")</f>
        <v>Valid</v>
      </c>
      <c r="M1850" s="1" t="b">
        <f>ISNUMBER(K1850)</f>
        <v>1</v>
      </c>
      <c r="N1850" s="1" t="b">
        <f>ISNUMBER(O1850)</f>
        <v>1</v>
      </c>
      <c r="O1850" s="1">
        <v>46057</v>
      </c>
      <c r="P1850" t="s">
        <v>188</v>
      </c>
      <c r="Q1850" t="str">
        <f>SUBSTITUTE(SUBSTITUTE(SUBSTITUTE(P1850," ",""),"-",""),"+","")</f>
        <v>08361574207</v>
      </c>
      <c r="R1850" t="str">
        <f t="shared" si="56"/>
        <v>8361574207</v>
      </c>
      <c r="S1850" t="str">
        <f>IF(LEN(R1850),"Valid","Invalid")</f>
        <v>Valid</v>
      </c>
      <c r="T1850" t="s">
        <v>187</v>
      </c>
      <c r="V1850" t="s">
        <v>17</v>
      </c>
      <c r="X1850">
        <v>8409.4</v>
      </c>
      <c r="Y1850" t="s">
        <v>57</v>
      </c>
      <c r="Z1850">
        <v>256</v>
      </c>
      <c r="AA1850">
        <f t="shared" si="57"/>
        <v>256</v>
      </c>
      <c r="AB1850" t="s">
        <v>77</v>
      </c>
    </row>
    <row r="1851" spans="1:28" x14ac:dyDescent="0.3">
      <c r="A1851" t="s">
        <v>186</v>
      </c>
      <c r="B1851" t="s">
        <v>185</v>
      </c>
      <c r="C1851" t="s">
        <v>185</v>
      </c>
      <c r="D1851" t="s">
        <v>40</v>
      </c>
      <c r="E1851">
        <v>90</v>
      </c>
      <c r="F1851">
        <v>90</v>
      </c>
      <c r="G1851" t="s">
        <v>80</v>
      </c>
      <c r="H1851" t="s">
        <v>80</v>
      </c>
      <c r="I1851" t="s">
        <v>20</v>
      </c>
      <c r="J1851" t="s">
        <v>20</v>
      </c>
      <c r="K1851" s="1">
        <v>46122</v>
      </c>
      <c r="L1851" s="1" t="str">
        <f>IF(K1851&gt;O1851,"Valid","Invalid")</f>
        <v>Valid</v>
      </c>
      <c r="M1851" s="1" t="b">
        <f>ISNUMBER(K1851)</f>
        <v>1</v>
      </c>
      <c r="N1851" s="1" t="b">
        <f>ISNUMBER(O1851)</f>
        <v>1</v>
      </c>
      <c r="O1851" s="1">
        <v>46100</v>
      </c>
      <c r="P1851" t="s">
        <v>184</v>
      </c>
      <c r="Q1851" t="str">
        <f>SUBSTITUTE(SUBSTITUTE(SUBSTITUTE(P1851," ",""),"-",""),"+","")</f>
        <v>916457096711</v>
      </c>
      <c r="R1851" t="str">
        <f t="shared" si="56"/>
        <v>6457096711</v>
      </c>
      <c r="S1851" t="str">
        <f>IF(LEN(R1851),"Valid","Invalid")</f>
        <v>Valid</v>
      </c>
      <c r="T1851" t="s">
        <v>183</v>
      </c>
      <c r="V1851" t="s">
        <v>123</v>
      </c>
      <c r="X1851">
        <v>11125.43</v>
      </c>
      <c r="Y1851" t="s">
        <v>63</v>
      </c>
      <c r="Z1851">
        <v>363</v>
      </c>
      <c r="AA1851">
        <f t="shared" si="57"/>
        <v>363</v>
      </c>
      <c r="AB1851" t="s">
        <v>77</v>
      </c>
    </row>
    <row r="1852" spans="1:28" x14ac:dyDescent="0.3">
      <c r="A1852" t="s">
        <v>182</v>
      </c>
      <c r="B1852" t="s">
        <v>181</v>
      </c>
      <c r="C1852" t="s">
        <v>181</v>
      </c>
      <c r="D1852" t="s">
        <v>123</v>
      </c>
      <c r="E1852">
        <v>45</v>
      </c>
      <c r="F1852">
        <v>45</v>
      </c>
      <c r="G1852" t="s">
        <v>39</v>
      </c>
      <c r="H1852" t="s">
        <v>39</v>
      </c>
      <c r="I1852" t="s">
        <v>30</v>
      </c>
      <c r="J1852" t="s">
        <v>30</v>
      </c>
      <c r="K1852" s="1">
        <v>46056</v>
      </c>
      <c r="L1852" s="1" t="str">
        <f>IF(K1852&gt;O1852,"Valid","Invalid")</f>
        <v>Valid</v>
      </c>
      <c r="M1852" s="1" t="b">
        <f>ISNUMBER(K1852)</f>
        <v>1</v>
      </c>
      <c r="N1852" s="1" t="b">
        <f>ISNUMBER(O1852)</f>
        <v>1</v>
      </c>
      <c r="O1852" s="1">
        <v>46048</v>
      </c>
      <c r="P1852" t="s">
        <v>180</v>
      </c>
      <c r="Q1852" t="str">
        <f>SUBSTITUTE(SUBSTITUTE(SUBSTITUTE(P1852," ",""),"-",""),"+","")</f>
        <v>914017332296</v>
      </c>
      <c r="R1852" t="str">
        <f t="shared" si="56"/>
        <v>4017332296</v>
      </c>
      <c r="S1852" t="str">
        <f>IF(LEN(R1852),"Valid","Invalid")</f>
        <v>Valid</v>
      </c>
      <c r="T1852" t="s">
        <v>179</v>
      </c>
      <c r="V1852" t="s">
        <v>26</v>
      </c>
      <c r="X1852">
        <v>22936.39</v>
      </c>
      <c r="Y1852" t="s">
        <v>17</v>
      </c>
      <c r="Z1852">
        <v>233</v>
      </c>
      <c r="AA1852">
        <f t="shared" si="57"/>
        <v>233</v>
      </c>
      <c r="AB1852" t="s">
        <v>43</v>
      </c>
    </row>
    <row r="1853" spans="1:28" x14ac:dyDescent="0.3">
      <c r="A1853" t="s">
        <v>178</v>
      </c>
      <c r="B1853" t="s">
        <v>177</v>
      </c>
      <c r="C1853" t="s">
        <v>177</v>
      </c>
      <c r="D1853" t="s">
        <v>123</v>
      </c>
      <c r="E1853">
        <v>7</v>
      </c>
      <c r="F1853">
        <v>7</v>
      </c>
      <c r="G1853" t="s">
        <v>21</v>
      </c>
      <c r="H1853" t="s">
        <v>21</v>
      </c>
      <c r="I1853" t="s">
        <v>67</v>
      </c>
      <c r="J1853" t="s">
        <v>67</v>
      </c>
      <c r="K1853" s="1">
        <v>46145</v>
      </c>
      <c r="L1853" s="1" t="str">
        <f>IF(K1853&gt;O1853,"Valid","Invalid")</f>
        <v>Valid</v>
      </c>
      <c r="M1853" s="1" t="b">
        <f>ISNUMBER(K1853)</f>
        <v>1</v>
      </c>
      <c r="N1853" s="1" t="b">
        <f>ISNUMBER(O1853)</f>
        <v>1</v>
      </c>
      <c r="O1853" s="1">
        <v>46123</v>
      </c>
      <c r="P1853" t="s">
        <v>176</v>
      </c>
      <c r="Q1853" t="str">
        <f>SUBSTITUTE(SUBSTITUTE(SUBSTITUTE(P1853," ",""),"-",""),"+","")</f>
        <v>918696662289</v>
      </c>
      <c r="R1853" t="str">
        <f t="shared" si="56"/>
        <v>8696662289</v>
      </c>
      <c r="S1853" t="str">
        <f>IF(LEN(R1853),"Valid","Invalid")</f>
        <v>Valid</v>
      </c>
      <c r="T1853" t="s">
        <v>175</v>
      </c>
      <c r="V1853" t="s">
        <v>64</v>
      </c>
      <c r="X1853">
        <v>11982.76</v>
      </c>
      <c r="Y1853" t="s">
        <v>57</v>
      </c>
      <c r="Z1853">
        <v>330</v>
      </c>
      <c r="AA1853">
        <f t="shared" si="57"/>
        <v>330</v>
      </c>
      <c r="AB1853" t="s">
        <v>25</v>
      </c>
    </row>
    <row r="1854" spans="1:28" x14ac:dyDescent="0.3">
      <c r="A1854" t="s">
        <v>174</v>
      </c>
      <c r="B1854" t="s">
        <v>173</v>
      </c>
      <c r="C1854" t="s">
        <v>173</v>
      </c>
      <c r="D1854" t="s">
        <v>74</v>
      </c>
      <c r="E1854">
        <v>2</v>
      </c>
      <c r="F1854">
        <v>2</v>
      </c>
      <c r="G1854" t="s">
        <v>31</v>
      </c>
      <c r="H1854" t="s">
        <v>31</v>
      </c>
      <c r="I1854" t="s">
        <v>38</v>
      </c>
      <c r="J1854" t="s">
        <v>8077</v>
      </c>
      <c r="K1854" s="1">
        <v>46074</v>
      </c>
      <c r="L1854" s="1" t="str">
        <f>IF(K1854&gt;O1854,"Valid","Invalid")</f>
        <v>Valid</v>
      </c>
      <c r="M1854" s="1" t="b">
        <f>ISNUMBER(K1854)</f>
        <v>1</v>
      </c>
      <c r="N1854" s="1" t="b">
        <f>ISNUMBER(O1854)</f>
        <v>1</v>
      </c>
      <c r="O1854" s="1">
        <v>46054</v>
      </c>
      <c r="P1854" t="s">
        <v>172</v>
      </c>
      <c r="Q1854" t="str">
        <f>SUBSTITUTE(SUBSTITUTE(SUBSTITUTE(P1854," ",""),"-",""),"+","")</f>
        <v>00036796423</v>
      </c>
      <c r="R1854" t="str">
        <f t="shared" si="56"/>
        <v>0036796423</v>
      </c>
      <c r="S1854" t="str">
        <f>IF(LEN(R1854),"Valid","Invalid")</f>
        <v>Valid</v>
      </c>
      <c r="T1854" t="s">
        <v>171</v>
      </c>
      <c r="V1854" t="s">
        <v>64</v>
      </c>
      <c r="X1854">
        <v>3847.67</v>
      </c>
      <c r="Y1854" t="s">
        <v>123</v>
      </c>
      <c r="Z1854">
        <v>357</v>
      </c>
      <c r="AA1854">
        <f t="shared" si="57"/>
        <v>357</v>
      </c>
      <c r="AB1854" t="s">
        <v>34</v>
      </c>
    </row>
    <row r="1855" spans="1:28" x14ac:dyDescent="0.3">
      <c r="A1855" t="s">
        <v>170</v>
      </c>
      <c r="B1855" t="s">
        <v>169</v>
      </c>
      <c r="C1855" t="s">
        <v>169</v>
      </c>
      <c r="D1855" t="s">
        <v>22</v>
      </c>
      <c r="E1855">
        <v>69</v>
      </c>
      <c r="F1855">
        <v>69</v>
      </c>
      <c r="G1855" t="s">
        <v>54</v>
      </c>
      <c r="H1855" t="s">
        <v>54</v>
      </c>
      <c r="I1855" t="s">
        <v>90</v>
      </c>
      <c r="J1855" t="s">
        <v>67</v>
      </c>
      <c r="K1855" s="1">
        <v>46050</v>
      </c>
      <c r="L1855" s="1" t="str">
        <f>IF(K1855&gt;O1855,"Valid","Invalid")</f>
        <v>Valid</v>
      </c>
      <c r="M1855" s="1" t="b">
        <f>ISNUMBER(K1855)</f>
        <v>1</v>
      </c>
      <c r="N1855" s="1" t="b">
        <f>ISNUMBER(O1855)</f>
        <v>1</v>
      </c>
      <c r="O1855" s="1">
        <v>46032</v>
      </c>
      <c r="P1855" t="s">
        <v>168</v>
      </c>
      <c r="Q1855" t="str">
        <f>SUBSTITUTE(SUBSTITUTE(SUBSTITUTE(P1855," ",""),"-",""),"+","")</f>
        <v>09076856503</v>
      </c>
      <c r="R1855" t="str">
        <f t="shared" si="56"/>
        <v>9076856503</v>
      </c>
      <c r="S1855" t="str">
        <f>IF(LEN(R1855),"Valid","Invalid")</f>
        <v>Valid</v>
      </c>
      <c r="T1855" t="s">
        <v>167</v>
      </c>
      <c r="V1855" t="s">
        <v>35</v>
      </c>
      <c r="X1855">
        <v>22143.02</v>
      </c>
      <c r="Y1855" t="s">
        <v>27</v>
      </c>
      <c r="Z1855">
        <v>256</v>
      </c>
      <c r="AA1855">
        <f t="shared" si="57"/>
        <v>256</v>
      </c>
      <c r="AB1855" t="s">
        <v>43</v>
      </c>
    </row>
    <row r="1856" spans="1:28" x14ac:dyDescent="0.3">
      <c r="A1856" t="s">
        <v>166</v>
      </c>
      <c r="B1856" t="s">
        <v>165</v>
      </c>
      <c r="C1856" t="s">
        <v>165</v>
      </c>
      <c r="E1856">
        <v>75</v>
      </c>
      <c r="F1856">
        <v>75</v>
      </c>
      <c r="G1856" t="s">
        <v>39</v>
      </c>
      <c r="H1856" t="s">
        <v>39</v>
      </c>
      <c r="I1856" t="s">
        <v>85</v>
      </c>
      <c r="J1856" t="s">
        <v>85</v>
      </c>
      <c r="K1856" s="1">
        <v>46134</v>
      </c>
      <c r="L1856" s="1" t="str">
        <f>IF(K1856&gt;O1856,"Valid","Invalid")</f>
        <v>Valid</v>
      </c>
      <c r="M1856" s="1" t="b">
        <f>ISNUMBER(K1856)</f>
        <v>1</v>
      </c>
      <c r="N1856" s="1" t="b">
        <f>ISNUMBER(O1856)</f>
        <v>1</v>
      </c>
      <c r="O1856" s="1">
        <v>46131</v>
      </c>
      <c r="P1856" t="s">
        <v>164</v>
      </c>
      <c r="Q1856" t="str">
        <f>SUBSTITUTE(SUBSTITUTE(SUBSTITUTE(P1856," ",""),"-",""),"+","")</f>
        <v>2073640022</v>
      </c>
      <c r="R1856" t="str">
        <f t="shared" si="56"/>
        <v>2073640022</v>
      </c>
      <c r="S1856" t="str">
        <f>IF(LEN(R1856),"Valid","Invalid")</f>
        <v>Valid</v>
      </c>
      <c r="T1856" t="s">
        <v>163</v>
      </c>
      <c r="V1856" t="s">
        <v>26</v>
      </c>
      <c r="X1856">
        <v>21025.69</v>
      </c>
      <c r="Y1856" t="s">
        <v>26</v>
      </c>
      <c r="Z1856">
        <v>229</v>
      </c>
      <c r="AA1856">
        <f t="shared" si="57"/>
        <v>229</v>
      </c>
      <c r="AB1856" t="s">
        <v>16</v>
      </c>
    </row>
    <row r="1857" spans="1:28" x14ac:dyDescent="0.3">
      <c r="A1857" t="s">
        <v>162</v>
      </c>
      <c r="B1857" t="s">
        <v>161</v>
      </c>
      <c r="C1857" t="s">
        <v>161</v>
      </c>
      <c r="D1857" t="s">
        <v>1</v>
      </c>
      <c r="E1857">
        <v>5</v>
      </c>
      <c r="F1857">
        <v>5</v>
      </c>
      <c r="G1857" t="s">
        <v>80</v>
      </c>
      <c r="H1857" t="s">
        <v>80</v>
      </c>
      <c r="I1857" t="s">
        <v>90</v>
      </c>
      <c r="J1857" t="s">
        <v>67</v>
      </c>
      <c r="K1857" s="1">
        <v>46125</v>
      </c>
      <c r="L1857" s="1" t="str">
        <f>IF(K1857&gt;O1857,"Valid","Invalid")</f>
        <v>Valid</v>
      </c>
      <c r="M1857" s="1" t="b">
        <f>ISNUMBER(K1857)</f>
        <v>1</v>
      </c>
      <c r="N1857" s="1" t="b">
        <f>ISNUMBER(O1857)</f>
        <v>1</v>
      </c>
      <c r="O1857" s="1">
        <v>46103</v>
      </c>
      <c r="P1857" t="s">
        <v>160</v>
      </c>
      <c r="Q1857" t="str">
        <f>SUBSTITUTE(SUBSTITUTE(SUBSTITUTE(P1857," ",""),"-",""),"+","")</f>
        <v>09069855603</v>
      </c>
      <c r="R1857" t="str">
        <f t="shared" si="56"/>
        <v>9069855603</v>
      </c>
      <c r="S1857" t="str">
        <f>IF(LEN(R1857),"Valid","Invalid")</f>
        <v>Valid</v>
      </c>
      <c r="T1857" t="s">
        <v>159</v>
      </c>
      <c r="V1857" t="s">
        <v>26</v>
      </c>
      <c r="X1857">
        <v>4540.7299999999996</v>
      </c>
      <c r="Y1857" t="s">
        <v>26</v>
      </c>
      <c r="Z1857">
        <v>204</v>
      </c>
      <c r="AA1857">
        <f t="shared" si="57"/>
        <v>204</v>
      </c>
      <c r="AB1857" t="s">
        <v>50</v>
      </c>
    </row>
    <row r="1858" spans="1:28" x14ac:dyDescent="0.3">
      <c r="A1858" t="s">
        <v>158</v>
      </c>
      <c r="B1858" t="s">
        <v>157</v>
      </c>
      <c r="C1858" t="s">
        <v>157</v>
      </c>
      <c r="D1858" t="s">
        <v>1</v>
      </c>
      <c r="E1858">
        <v>76</v>
      </c>
      <c r="F1858">
        <v>76</v>
      </c>
      <c r="G1858" t="s">
        <v>68</v>
      </c>
      <c r="H1858" t="s">
        <v>68</v>
      </c>
      <c r="I1858" t="s">
        <v>53</v>
      </c>
      <c r="J1858" t="s">
        <v>20</v>
      </c>
      <c r="K1858" s="1">
        <v>46117</v>
      </c>
      <c r="L1858" s="1" t="str">
        <f>IF(K1858&gt;O1858,"Valid","Invalid")</f>
        <v>Valid</v>
      </c>
      <c r="M1858" s="1" t="b">
        <f>ISNUMBER(K1858)</f>
        <v>1</v>
      </c>
      <c r="N1858" s="1" t="b">
        <f>ISNUMBER(O1858)</f>
        <v>1</v>
      </c>
      <c r="O1858" s="1">
        <v>46101</v>
      </c>
      <c r="P1858" t="s">
        <v>156</v>
      </c>
      <c r="Q1858" t="str">
        <f>SUBSTITUTE(SUBSTITUTE(SUBSTITUTE(P1858," ",""),"-",""),"+","")</f>
        <v>03639536221</v>
      </c>
      <c r="R1858" t="str">
        <f t="shared" si="56"/>
        <v>3639536221</v>
      </c>
      <c r="S1858" t="str">
        <f>IF(LEN(R1858),"Valid","Invalid")</f>
        <v>Valid</v>
      </c>
      <c r="T1858" t="s">
        <v>155</v>
      </c>
      <c r="V1858" t="s">
        <v>17</v>
      </c>
      <c r="X1858">
        <v>6109.03</v>
      </c>
      <c r="Y1858" t="s">
        <v>64</v>
      </c>
      <c r="Z1858">
        <v>177</v>
      </c>
      <c r="AA1858">
        <f t="shared" si="57"/>
        <v>177</v>
      </c>
      <c r="AB1858" t="s">
        <v>77</v>
      </c>
    </row>
    <row r="1859" spans="1:28" x14ac:dyDescent="0.3">
      <c r="A1859" t="s">
        <v>154</v>
      </c>
      <c r="B1859" t="s">
        <v>153</v>
      </c>
      <c r="C1859" t="s">
        <v>153</v>
      </c>
      <c r="E1859">
        <v>4</v>
      </c>
      <c r="F1859">
        <v>4</v>
      </c>
      <c r="G1859" t="s">
        <v>54</v>
      </c>
      <c r="H1859" t="s">
        <v>54</v>
      </c>
      <c r="I1859" t="s">
        <v>53</v>
      </c>
      <c r="J1859" t="s">
        <v>20</v>
      </c>
      <c r="K1859" s="1">
        <v>46099</v>
      </c>
      <c r="L1859" s="1" t="str">
        <f>IF(K1859&gt;O1859,"Valid","Invalid")</f>
        <v>Valid</v>
      </c>
      <c r="M1859" s="1" t="b">
        <f>ISNUMBER(K1859)</f>
        <v>1</v>
      </c>
      <c r="N1859" s="1" t="b">
        <f>ISNUMBER(O1859)</f>
        <v>1</v>
      </c>
      <c r="O1859" s="1">
        <v>46069</v>
      </c>
      <c r="P1859" t="s">
        <v>152</v>
      </c>
      <c r="Q1859" t="str">
        <f>SUBSTITUTE(SUBSTITUTE(SUBSTITUTE(P1859," ",""),"-",""),"+","")</f>
        <v>9619514849</v>
      </c>
      <c r="R1859" t="str">
        <f t="shared" si="56"/>
        <v>9619514849</v>
      </c>
      <c r="S1859" t="str">
        <f>IF(LEN(R1859),"Valid","Invalid")</f>
        <v>Valid</v>
      </c>
      <c r="T1859" t="s">
        <v>151</v>
      </c>
      <c r="V1859" t="s">
        <v>17</v>
      </c>
      <c r="X1859">
        <v>24588.45</v>
      </c>
      <c r="Y1859" t="s">
        <v>27</v>
      </c>
      <c r="Z1859">
        <v>464</v>
      </c>
      <c r="AA1859">
        <f t="shared" si="57"/>
        <v>464</v>
      </c>
      <c r="AB1859" t="s">
        <v>34</v>
      </c>
    </row>
    <row r="1860" spans="1:28" x14ac:dyDescent="0.3">
      <c r="A1860" t="s">
        <v>150</v>
      </c>
      <c r="B1860" t="s">
        <v>149</v>
      </c>
      <c r="C1860" t="s">
        <v>149</v>
      </c>
      <c r="D1860" t="s">
        <v>1</v>
      </c>
      <c r="E1860">
        <v>22</v>
      </c>
      <c r="F1860">
        <v>22</v>
      </c>
      <c r="G1860" t="s">
        <v>39</v>
      </c>
      <c r="H1860" t="s">
        <v>39</v>
      </c>
      <c r="I1860" t="s">
        <v>20</v>
      </c>
      <c r="J1860" t="s">
        <v>20</v>
      </c>
      <c r="K1860" s="1">
        <v>46086</v>
      </c>
      <c r="L1860" s="1" t="str">
        <f>IF(K1860&gt;O1860,"Valid","Invalid")</f>
        <v>Valid</v>
      </c>
      <c r="M1860" s="1" t="b">
        <f>ISNUMBER(K1860)</f>
        <v>1</v>
      </c>
      <c r="N1860" s="1" t="b">
        <f>ISNUMBER(O1860)</f>
        <v>1</v>
      </c>
      <c r="O1860" s="1">
        <v>46085</v>
      </c>
      <c r="P1860" t="s">
        <v>148</v>
      </c>
      <c r="Q1860" t="str">
        <f>SUBSTITUTE(SUBSTITUTE(SUBSTITUTE(P1860," ",""),"-",""),"+","")</f>
        <v>07713312340</v>
      </c>
      <c r="R1860" t="str">
        <f t="shared" si="56"/>
        <v>7713312340</v>
      </c>
      <c r="S1860" t="str">
        <f>IF(LEN(R1860),"Valid","Invalid")</f>
        <v>Valid</v>
      </c>
      <c r="T1860" t="s">
        <v>147</v>
      </c>
      <c r="V1860" t="s">
        <v>64</v>
      </c>
      <c r="X1860">
        <v>569.59</v>
      </c>
      <c r="Y1860" t="s">
        <v>57</v>
      </c>
      <c r="Z1860">
        <v>189</v>
      </c>
      <c r="AA1860">
        <f t="shared" si="57"/>
        <v>189</v>
      </c>
      <c r="AB1860" t="s">
        <v>77</v>
      </c>
    </row>
    <row r="1861" spans="1:28" x14ac:dyDescent="0.3">
      <c r="A1861" t="s">
        <v>146</v>
      </c>
      <c r="B1861" t="s">
        <v>145</v>
      </c>
      <c r="C1861" t="s">
        <v>145</v>
      </c>
      <c r="D1861" t="s">
        <v>40</v>
      </c>
      <c r="E1861">
        <v>9</v>
      </c>
      <c r="F1861">
        <v>9</v>
      </c>
      <c r="G1861" t="s">
        <v>54</v>
      </c>
      <c r="H1861" t="s">
        <v>54</v>
      </c>
      <c r="I1861" t="s">
        <v>85</v>
      </c>
      <c r="J1861" t="s">
        <v>85</v>
      </c>
      <c r="K1861" s="1">
        <v>46043</v>
      </c>
      <c r="L1861" s="1" t="str">
        <f>IF(K1861&gt;O1861,"Valid","Invalid")</f>
        <v>Valid</v>
      </c>
      <c r="M1861" s="1" t="b">
        <f>ISNUMBER(K1861)</f>
        <v>1</v>
      </c>
      <c r="N1861" s="1" t="b">
        <f>ISNUMBER(O1861)</f>
        <v>1</v>
      </c>
      <c r="O1861" s="1">
        <v>46030</v>
      </c>
      <c r="P1861" t="s">
        <v>144</v>
      </c>
      <c r="Q1861" t="str">
        <f>SUBSTITUTE(SUBSTITUTE(SUBSTITUTE(P1861," ",""),"-",""),"+","")</f>
        <v>04033220894</v>
      </c>
      <c r="R1861" t="str">
        <f t="shared" ref="R1861:R1879" si="58">RIGHT(Q1861,10)</f>
        <v>4033220894</v>
      </c>
      <c r="S1861" t="str">
        <f>IF(LEN(R1861),"Valid","Invalid")</f>
        <v>Valid</v>
      </c>
      <c r="T1861" t="s">
        <v>143</v>
      </c>
      <c r="V1861" t="s">
        <v>123</v>
      </c>
      <c r="X1861">
        <v>3042.44</v>
      </c>
      <c r="Y1861" t="s">
        <v>27</v>
      </c>
      <c r="Z1861">
        <v>360</v>
      </c>
      <c r="AA1861">
        <f t="shared" ref="AA1861:AA1879" si="59">IF(Z1861="Room-x",0,Z1861)</f>
        <v>360</v>
      </c>
      <c r="AB1861" t="s">
        <v>50</v>
      </c>
    </row>
    <row r="1862" spans="1:28" x14ac:dyDescent="0.3">
      <c r="A1862" t="s">
        <v>142</v>
      </c>
      <c r="B1862" t="s">
        <v>141</v>
      </c>
      <c r="C1862" t="s">
        <v>141</v>
      </c>
      <c r="E1862">
        <v>50</v>
      </c>
      <c r="F1862">
        <v>50</v>
      </c>
      <c r="G1862" t="s">
        <v>80</v>
      </c>
      <c r="H1862" t="s">
        <v>80</v>
      </c>
      <c r="I1862" t="s">
        <v>46</v>
      </c>
      <c r="J1862" t="s">
        <v>46</v>
      </c>
      <c r="K1862" s="1">
        <v>46082</v>
      </c>
      <c r="L1862" s="1" t="str">
        <f>IF(K1862&gt;O1862,"Valid","Invalid")</f>
        <v>Valid</v>
      </c>
      <c r="M1862" s="1" t="b">
        <f>ISNUMBER(K1862)</f>
        <v>1</v>
      </c>
      <c r="N1862" s="1" t="b">
        <f>ISNUMBER(O1862)</f>
        <v>1</v>
      </c>
      <c r="O1862" s="1">
        <v>46065</v>
      </c>
      <c r="P1862" t="s">
        <v>140</v>
      </c>
      <c r="Q1862" t="str">
        <f>SUBSTITUTE(SUBSTITUTE(SUBSTITUTE(P1862," ",""),"-",""),"+","")</f>
        <v>7320699199</v>
      </c>
      <c r="R1862" t="str">
        <f t="shared" si="58"/>
        <v>7320699199</v>
      </c>
      <c r="S1862" t="str">
        <f>IF(LEN(R1862),"Valid","Invalid")</f>
        <v>Valid</v>
      </c>
      <c r="T1862" t="s">
        <v>139</v>
      </c>
      <c r="V1862" t="s">
        <v>64</v>
      </c>
      <c r="X1862">
        <v>20482.18</v>
      </c>
      <c r="Y1862" t="s">
        <v>57</v>
      </c>
      <c r="Z1862">
        <v>290</v>
      </c>
      <c r="AA1862">
        <f t="shared" si="59"/>
        <v>290</v>
      </c>
      <c r="AB1862" t="s">
        <v>16</v>
      </c>
    </row>
    <row r="1863" spans="1:28" x14ac:dyDescent="0.3">
      <c r="A1863" t="s">
        <v>138</v>
      </c>
      <c r="B1863" t="s">
        <v>137</v>
      </c>
      <c r="C1863" t="s">
        <v>137</v>
      </c>
      <c r="D1863" t="s">
        <v>74</v>
      </c>
      <c r="E1863">
        <v>37</v>
      </c>
      <c r="F1863">
        <v>37</v>
      </c>
      <c r="G1863" t="s">
        <v>47</v>
      </c>
      <c r="H1863" t="s">
        <v>47</v>
      </c>
      <c r="I1863" t="s">
        <v>38</v>
      </c>
      <c r="J1863" t="s">
        <v>8077</v>
      </c>
      <c r="K1863" s="1">
        <v>46172</v>
      </c>
      <c r="L1863" s="1" t="str">
        <f>IF(K1863&gt;O1863,"Valid","Invalid")</f>
        <v>Valid</v>
      </c>
      <c r="M1863" s="1" t="b">
        <f>ISNUMBER(K1863)</f>
        <v>1</v>
      </c>
      <c r="N1863" s="1" t="b">
        <f>ISNUMBER(O1863)</f>
        <v>1</v>
      </c>
      <c r="O1863" s="1">
        <v>46144</v>
      </c>
      <c r="P1863" t="s">
        <v>136</v>
      </c>
      <c r="Q1863" t="str">
        <f>SUBSTITUTE(SUBSTITUTE(SUBSTITUTE(P1863," ",""),"-",""),"+","")</f>
        <v>919185560263</v>
      </c>
      <c r="R1863" t="str">
        <f t="shared" si="58"/>
        <v>9185560263</v>
      </c>
      <c r="S1863" t="str">
        <f>IF(LEN(R1863),"Valid","Invalid")</f>
        <v>Valid</v>
      </c>
      <c r="T1863" t="s">
        <v>135</v>
      </c>
      <c r="V1863" t="s">
        <v>26</v>
      </c>
      <c r="X1863">
        <v>23228.19</v>
      </c>
      <c r="Y1863" t="s">
        <v>57</v>
      </c>
      <c r="Z1863">
        <v>428</v>
      </c>
      <c r="AA1863">
        <f t="shared" si="59"/>
        <v>428</v>
      </c>
      <c r="AB1863" t="s">
        <v>77</v>
      </c>
    </row>
    <row r="1864" spans="1:28" x14ac:dyDescent="0.3">
      <c r="A1864" t="s">
        <v>134</v>
      </c>
      <c r="B1864" t="s">
        <v>133</v>
      </c>
      <c r="C1864" t="s">
        <v>133</v>
      </c>
      <c r="D1864" t="s">
        <v>40</v>
      </c>
      <c r="E1864">
        <v>62</v>
      </c>
      <c r="F1864">
        <v>62</v>
      </c>
      <c r="G1864" t="s">
        <v>132</v>
      </c>
      <c r="H1864" t="s">
        <v>132</v>
      </c>
      <c r="I1864" t="s">
        <v>90</v>
      </c>
      <c r="J1864" t="s">
        <v>67</v>
      </c>
      <c r="K1864" s="1">
        <v>46039</v>
      </c>
      <c r="L1864" s="1" t="str">
        <f>IF(K1864&gt;O1864,"Valid","Invalid")</f>
        <v>Valid</v>
      </c>
      <c r="M1864" s="1" t="b">
        <f>ISNUMBER(K1864)</f>
        <v>1</v>
      </c>
      <c r="N1864" s="1" t="b">
        <f>ISNUMBER(O1864)</f>
        <v>1</v>
      </c>
      <c r="O1864" s="1">
        <v>46014</v>
      </c>
      <c r="P1864" t="s">
        <v>131</v>
      </c>
      <c r="Q1864" t="str">
        <f>SUBSTITUTE(SUBSTITUTE(SUBSTITUTE(P1864," ",""),"-",""),"+","")</f>
        <v>04327115517</v>
      </c>
      <c r="R1864" t="str">
        <f t="shared" si="58"/>
        <v>4327115517</v>
      </c>
      <c r="S1864" t="str">
        <f>IF(LEN(R1864),"Valid","Invalid")</f>
        <v>Valid</v>
      </c>
      <c r="T1864" t="s">
        <v>130</v>
      </c>
      <c r="V1864" t="s">
        <v>35</v>
      </c>
      <c r="X1864">
        <v>5035.6899999999996</v>
      </c>
      <c r="Y1864" t="s">
        <v>63</v>
      </c>
      <c r="Z1864">
        <v>309</v>
      </c>
      <c r="AA1864">
        <f t="shared" si="59"/>
        <v>309</v>
      </c>
      <c r="AB1864" t="s">
        <v>50</v>
      </c>
    </row>
    <row r="1865" spans="1:28" x14ac:dyDescent="0.3">
      <c r="A1865" t="s">
        <v>125</v>
      </c>
      <c r="B1865" t="s">
        <v>124</v>
      </c>
      <c r="C1865" t="s">
        <v>124</v>
      </c>
      <c r="D1865" t="s">
        <v>123</v>
      </c>
      <c r="E1865">
        <v>24</v>
      </c>
      <c r="F1865">
        <v>24</v>
      </c>
      <c r="G1865" t="s">
        <v>47</v>
      </c>
      <c r="H1865" t="s">
        <v>47</v>
      </c>
      <c r="I1865" t="s">
        <v>67</v>
      </c>
      <c r="J1865" t="s">
        <v>67</v>
      </c>
      <c r="K1865" s="1">
        <v>46113</v>
      </c>
      <c r="L1865" s="1" t="str">
        <f>IF(K1865&gt;O1865,"Valid","Invalid")</f>
        <v>Valid</v>
      </c>
      <c r="M1865" s="1" t="b">
        <f>ISNUMBER(K1865)</f>
        <v>1</v>
      </c>
      <c r="N1865" s="1" t="b">
        <f>ISNUMBER(O1865)</f>
        <v>1</v>
      </c>
      <c r="O1865" s="1">
        <v>46087</v>
      </c>
      <c r="P1865" t="s">
        <v>122</v>
      </c>
      <c r="Q1865" t="str">
        <f>SUBSTITUTE(SUBSTITUTE(SUBSTITUTE(P1865," ",""),"-",""),"+","")</f>
        <v>2866331707</v>
      </c>
      <c r="R1865" t="str">
        <f t="shared" si="58"/>
        <v>2866331707</v>
      </c>
      <c r="S1865" t="str">
        <f>IF(LEN(R1865),"Valid","Invalid")</f>
        <v>Valid</v>
      </c>
      <c r="T1865" t="s">
        <v>121</v>
      </c>
      <c r="V1865" t="s">
        <v>26</v>
      </c>
      <c r="X1865">
        <v>23597.77</v>
      </c>
      <c r="Y1865" t="s">
        <v>123</v>
      </c>
      <c r="Z1865">
        <v>324</v>
      </c>
      <c r="AA1865">
        <f t="shared" si="59"/>
        <v>324</v>
      </c>
      <c r="AB1865" t="s">
        <v>50</v>
      </c>
    </row>
    <row r="1866" spans="1:28" x14ac:dyDescent="0.3">
      <c r="A1866" t="s">
        <v>120</v>
      </c>
      <c r="B1866" t="s">
        <v>119</v>
      </c>
      <c r="C1866" t="s">
        <v>119</v>
      </c>
      <c r="D1866" t="s">
        <v>74</v>
      </c>
      <c r="E1866">
        <v>43</v>
      </c>
      <c r="F1866">
        <v>43</v>
      </c>
      <c r="G1866" t="s">
        <v>47</v>
      </c>
      <c r="H1866" t="s">
        <v>47</v>
      </c>
      <c r="I1866" t="s">
        <v>46</v>
      </c>
      <c r="J1866" t="s">
        <v>46</v>
      </c>
      <c r="K1866" s="1">
        <v>46064</v>
      </c>
      <c r="L1866" s="1" t="str">
        <f>IF(K1866&gt;O1866,"Valid","Invalid")</f>
        <v>Valid</v>
      </c>
      <c r="M1866" s="1" t="b">
        <f>ISNUMBER(K1866)</f>
        <v>1</v>
      </c>
      <c r="N1866" s="1" t="b">
        <f>ISNUMBER(O1866)</f>
        <v>1</v>
      </c>
      <c r="O1866" s="1">
        <v>46051</v>
      </c>
      <c r="P1866" t="s">
        <v>118</v>
      </c>
      <c r="Q1866" t="str">
        <f>SUBSTITUTE(SUBSTITUTE(SUBSTITUTE(P1866," ",""),"-",""),"+","")</f>
        <v>918445048640</v>
      </c>
      <c r="R1866" t="str">
        <f t="shared" si="58"/>
        <v>8445048640</v>
      </c>
      <c r="S1866" t="str">
        <f>IF(LEN(R1866),"Valid","Invalid")</f>
        <v>Valid</v>
      </c>
      <c r="T1866" t="s">
        <v>117</v>
      </c>
      <c r="V1866" t="s">
        <v>123</v>
      </c>
      <c r="X1866">
        <v>24316.61</v>
      </c>
      <c r="Y1866" t="s">
        <v>123</v>
      </c>
      <c r="Z1866">
        <v>316</v>
      </c>
      <c r="AA1866">
        <f t="shared" si="59"/>
        <v>316</v>
      </c>
      <c r="AB1866" t="s">
        <v>43</v>
      </c>
    </row>
    <row r="1867" spans="1:28" x14ac:dyDescent="0.3">
      <c r="A1867" t="s">
        <v>116</v>
      </c>
      <c r="B1867" t="s">
        <v>115</v>
      </c>
      <c r="C1867" t="s">
        <v>115</v>
      </c>
      <c r="D1867" t="s">
        <v>74</v>
      </c>
      <c r="E1867">
        <v>10</v>
      </c>
      <c r="F1867">
        <v>10</v>
      </c>
      <c r="G1867" t="s">
        <v>47</v>
      </c>
      <c r="H1867" t="s">
        <v>47</v>
      </c>
      <c r="I1867" t="s">
        <v>90</v>
      </c>
      <c r="J1867" t="s">
        <v>67</v>
      </c>
      <c r="K1867" s="1">
        <v>46107</v>
      </c>
      <c r="L1867" s="1" t="str">
        <f>IF(K1867&gt;O1867,"Valid","Invalid")</f>
        <v>Valid</v>
      </c>
      <c r="M1867" s="1" t="b">
        <f>ISNUMBER(K1867)</f>
        <v>1</v>
      </c>
      <c r="N1867" s="1" t="b">
        <f>ISNUMBER(O1867)</f>
        <v>1</v>
      </c>
      <c r="O1867" s="1">
        <v>46078</v>
      </c>
      <c r="P1867" t="s">
        <v>114</v>
      </c>
      <c r="Q1867" t="str">
        <f>SUBSTITUTE(SUBSTITUTE(SUBSTITUTE(P1867," ",""),"-",""),"+","")</f>
        <v>06093884567</v>
      </c>
      <c r="R1867" t="str">
        <f t="shared" si="58"/>
        <v>6093884567</v>
      </c>
      <c r="S1867" t="str">
        <f>IF(LEN(R1867),"Valid","Invalid")</f>
        <v>Valid</v>
      </c>
      <c r="T1867" t="s">
        <v>113</v>
      </c>
      <c r="V1867" t="s">
        <v>57</v>
      </c>
      <c r="X1867">
        <v>7617.45</v>
      </c>
      <c r="Y1867" t="s">
        <v>64</v>
      </c>
      <c r="Z1867">
        <v>462</v>
      </c>
      <c r="AA1867">
        <f t="shared" si="59"/>
        <v>462</v>
      </c>
      <c r="AB1867" t="s">
        <v>77</v>
      </c>
    </row>
    <row r="1868" spans="1:28" x14ac:dyDescent="0.3">
      <c r="A1868" t="s">
        <v>112</v>
      </c>
      <c r="B1868" t="s">
        <v>111</v>
      </c>
      <c r="C1868" t="s">
        <v>111</v>
      </c>
      <c r="D1868" t="s">
        <v>1</v>
      </c>
      <c r="E1868">
        <v>37</v>
      </c>
      <c r="F1868">
        <v>37</v>
      </c>
      <c r="G1868" t="s">
        <v>47</v>
      </c>
      <c r="H1868" t="s">
        <v>47</v>
      </c>
      <c r="I1868" t="s">
        <v>85</v>
      </c>
      <c r="J1868" t="s">
        <v>85</v>
      </c>
      <c r="K1868" s="1">
        <v>46030</v>
      </c>
      <c r="L1868" s="1" t="str">
        <f>IF(K1868&gt;O1868,"Valid","Invalid")</f>
        <v>Valid</v>
      </c>
      <c r="M1868" s="1" t="b">
        <f>ISNUMBER(K1868)</f>
        <v>1</v>
      </c>
      <c r="N1868" s="1" t="b">
        <f>ISNUMBER(O1868)</f>
        <v>1</v>
      </c>
      <c r="O1868" s="1">
        <v>46013</v>
      </c>
      <c r="P1868" t="s">
        <v>110</v>
      </c>
      <c r="Q1868" t="str">
        <f>SUBSTITUTE(SUBSTITUTE(SUBSTITUTE(P1868," ",""),"-",""),"+","")</f>
        <v>3235657345</v>
      </c>
      <c r="R1868" t="str">
        <f t="shared" si="58"/>
        <v>3235657345</v>
      </c>
      <c r="S1868" t="str">
        <f>IF(LEN(R1868),"Valid","Invalid")</f>
        <v>Valid</v>
      </c>
      <c r="T1868" t="s">
        <v>109</v>
      </c>
      <c r="V1868" t="s">
        <v>57</v>
      </c>
      <c r="X1868">
        <v>2694.18</v>
      </c>
      <c r="Y1868" t="s">
        <v>63</v>
      </c>
      <c r="Z1868">
        <v>495</v>
      </c>
      <c r="AA1868">
        <f t="shared" si="59"/>
        <v>495</v>
      </c>
      <c r="AB1868" t="s">
        <v>34</v>
      </c>
    </row>
    <row r="1869" spans="1:28" x14ac:dyDescent="0.3">
      <c r="A1869" t="s">
        <v>108</v>
      </c>
      <c r="B1869" t="s">
        <v>107</v>
      </c>
      <c r="C1869" t="s">
        <v>107</v>
      </c>
      <c r="E1869">
        <v>6</v>
      </c>
      <c r="F1869">
        <v>6</v>
      </c>
      <c r="G1869" t="s">
        <v>47</v>
      </c>
      <c r="H1869" t="s">
        <v>47</v>
      </c>
      <c r="I1869" t="s">
        <v>67</v>
      </c>
      <c r="J1869" t="s">
        <v>67</v>
      </c>
      <c r="K1869" s="1">
        <v>46122</v>
      </c>
      <c r="L1869" s="1" t="str">
        <f>IF(K1869&gt;O1869,"Valid","Invalid")</f>
        <v>Valid</v>
      </c>
      <c r="M1869" s="1" t="b">
        <f>ISNUMBER(K1869)</f>
        <v>1</v>
      </c>
      <c r="N1869" s="1" t="b">
        <f>ISNUMBER(O1869)</f>
        <v>1</v>
      </c>
      <c r="O1869" s="1">
        <v>46098</v>
      </c>
      <c r="P1869" t="s">
        <v>106</v>
      </c>
      <c r="Q1869" t="str">
        <f>SUBSTITUTE(SUBSTITUTE(SUBSTITUTE(P1869," ",""),"-",""),"+","")</f>
        <v>910950257122</v>
      </c>
      <c r="R1869" t="str">
        <f t="shared" si="58"/>
        <v>0950257122</v>
      </c>
      <c r="S1869" t="str">
        <f>IF(LEN(R1869),"Valid","Invalid")</f>
        <v>Valid</v>
      </c>
      <c r="T1869" t="s">
        <v>105</v>
      </c>
      <c r="V1869" t="s">
        <v>17</v>
      </c>
      <c r="X1869">
        <v>10861.43</v>
      </c>
      <c r="Y1869" t="s">
        <v>57</v>
      </c>
      <c r="Z1869">
        <v>250</v>
      </c>
      <c r="AA1869">
        <f t="shared" si="59"/>
        <v>250</v>
      </c>
      <c r="AB1869" t="s">
        <v>34</v>
      </c>
    </row>
    <row r="1870" spans="1:28" x14ac:dyDescent="0.3">
      <c r="A1870" t="s">
        <v>104</v>
      </c>
      <c r="B1870" t="s">
        <v>103</v>
      </c>
      <c r="C1870" t="s">
        <v>103</v>
      </c>
      <c r="D1870" t="s">
        <v>0</v>
      </c>
      <c r="E1870">
        <v>49</v>
      </c>
      <c r="F1870">
        <v>49</v>
      </c>
      <c r="G1870" t="s">
        <v>54</v>
      </c>
      <c r="H1870" t="s">
        <v>54</v>
      </c>
      <c r="I1870" t="s">
        <v>53</v>
      </c>
      <c r="J1870" t="s">
        <v>20</v>
      </c>
      <c r="K1870" s="1">
        <v>46092</v>
      </c>
      <c r="L1870" s="1" t="str">
        <f>IF(K1870&gt;O1870,"Valid","Invalid")</f>
        <v>Valid</v>
      </c>
      <c r="M1870" s="1" t="b">
        <f>ISNUMBER(K1870)</f>
        <v>1</v>
      </c>
      <c r="N1870" s="1" t="b">
        <f>ISNUMBER(O1870)</f>
        <v>1</v>
      </c>
      <c r="O1870" s="1">
        <v>46080</v>
      </c>
      <c r="P1870" t="s">
        <v>102</v>
      </c>
      <c r="Q1870" t="str">
        <f>SUBSTITUTE(SUBSTITUTE(SUBSTITUTE(P1870," ",""),"-",""),"+","")</f>
        <v>06219869796</v>
      </c>
      <c r="R1870" t="str">
        <f t="shared" si="58"/>
        <v>6219869796</v>
      </c>
      <c r="S1870" t="str">
        <f>IF(LEN(R1870),"Valid","Invalid")</f>
        <v>Valid</v>
      </c>
      <c r="T1870" t="s">
        <v>101</v>
      </c>
      <c r="V1870" t="s">
        <v>123</v>
      </c>
      <c r="X1870">
        <v>19665.810000000001</v>
      </c>
      <c r="Y1870" t="s">
        <v>57</v>
      </c>
      <c r="Z1870">
        <v>376</v>
      </c>
      <c r="AA1870">
        <f t="shared" si="59"/>
        <v>376</v>
      </c>
      <c r="AB1870" t="s">
        <v>16</v>
      </c>
    </row>
    <row r="1871" spans="1:28" x14ac:dyDescent="0.3">
      <c r="A1871" t="s">
        <v>100</v>
      </c>
      <c r="B1871" t="s">
        <v>99</v>
      </c>
      <c r="C1871" t="s">
        <v>99</v>
      </c>
      <c r="D1871" t="s">
        <v>74</v>
      </c>
      <c r="E1871">
        <v>61</v>
      </c>
      <c r="F1871">
        <v>61</v>
      </c>
      <c r="G1871" t="s">
        <v>68</v>
      </c>
      <c r="H1871" t="s">
        <v>68</v>
      </c>
      <c r="I1871" t="s">
        <v>20</v>
      </c>
      <c r="J1871" t="s">
        <v>20</v>
      </c>
      <c r="K1871" s="1">
        <v>46100</v>
      </c>
      <c r="L1871" s="1" t="str">
        <f>IF(K1871&gt;O1871,"Valid","Invalid")</f>
        <v>Valid</v>
      </c>
      <c r="M1871" s="1" t="b">
        <f>ISNUMBER(K1871)</f>
        <v>1</v>
      </c>
      <c r="N1871" s="1" t="b">
        <f>ISNUMBER(O1871)</f>
        <v>1</v>
      </c>
      <c r="O1871" s="1">
        <v>46089</v>
      </c>
      <c r="P1871" t="s">
        <v>98</v>
      </c>
      <c r="Q1871" t="str">
        <f>SUBSTITUTE(SUBSTITUTE(SUBSTITUTE(P1871," ",""),"-",""),"+","")</f>
        <v>8795720348</v>
      </c>
      <c r="R1871" t="str">
        <f t="shared" si="58"/>
        <v>8795720348</v>
      </c>
      <c r="S1871" t="str">
        <f>IF(LEN(R1871),"Valid","Invalid")</f>
        <v>Valid</v>
      </c>
      <c r="T1871" t="s">
        <v>97</v>
      </c>
      <c r="V1871" t="s">
        <v>27</v>
      </c>
      <c r="X1871">
        <v>9400.69</v>
      </c>
      <c r="Y1871" t="s">
        <v>123</v>
      </c>
      <c r="Z1871">
        <v>192</v>
      </c>
      <c r="AA1871">
        <f t="shared" si="59"/>
        <v>192</v>
      </c>
      <c r="AB1871" t="s">
        <v>43</v>
      </c>
    </row>
    <row r="1872" spans="1:28" x14ac:dyDescent="0.3">
      <c r="A1872" t="s">
        <v>87</v>
      </c>
      <c r="B1872" t="s">
        <v>86</v>
      </c>
      <c r="C1872" t="s">
        <v>86</v>
      </c>
      <c r="D1872" t="s">
        <v>60</v>
      </c>
      <c r="E1872">
        <v>18</v>
      </c>
      <c r="F1872">
        <v>18</v>
      </c>
      <c r="G1872" t="s">
        <v>80</v>
      </c>
      <c r="H1872" t="s">
        <v>80</v>
      </c>
      <c r="I1872" t="s">
        <v>85</v>
      </c>
      <c r="J1872" t="s">
        <v>85</v>
      </c>
      <c r="K1872" s="1">
        <v>46116</v>
      </c>
      <c r="L1872" s="1" t="str">
        <f>IF(K1872&gt;O1872,"Valid","Invalid")</f>
        <v>Valid</v>
      </c>
      <c r="M1872" s="1" t="b">
        <f>ISNUMBER(K1872)</f>
        <v>1</v>
      </c>
      <c r="N1872" s="1" t="b">
        <f>ISNUMBER(O1872)</f>
        <v>1</v>
      </c>
      <c r="O1872" s="1">
        <v>46105</v>
      </c>
      <c r="P1872" t="s">
        <v>84</v>
      </c>
      <c r="Q1872" t="str">
        <f>SUBSTITUTE(SUBSTITUTE(SUBSTITUTE(P1872," ",""),"-",""),"+","")</f>
        <v>08466985894</v>
      </c>
      <c r="R1872" t="str">
        <f t="shared" si="58"/>
        <v>8466985894</v>
      </c>
      <c r="S1872" t="str">
        <f>IF(LEN(R1872),"Valid","Invalid")</f>
        <v>Valid</v>
      </c>
      <c r="T1872" t="s">
        <v>83</v>
      </c>
      <c r="V1872" t="s">
        <v>57</v>
      </c>
      <c r="X1872">
        <v>12860.32</v>
      </c>
      <c r="Y1872" t="s">
        <v>64</v>
      </c>
      <c r="Z1872">
        <v>335</v>
      </c>
      <c r="AA1872">
        <f t="shared" si="59"/>
        <v>335</v>
      </c>
      <c r="AB1872" t="s">
        <v>16</v>
      </c>
    </row>
    <row r="1873" spans="1:28" x14ac:dyDescent="0.3">
      <c r="A1873" t="s">
        <v>82</v>
      </c>
      <c r="B1873" t="s">
        <v>81</v>
      </c>
      <c r="C1873" t="s">
        <v>81</v>
      </c>
      <c r="E1873">
        <v>38</v>
      </c>
      <c r="F1873">
        <v>38</v>
      </c>
      <c r="G1873" t="s">
        <v>80</v>
      </c>
      <c r="H1873" t="s">
        <v>80</v>
      </c>
      <c r="I1873" t="s">
        <v>53</v>
      </c>
      <c r="J1873" t="s">
        <v>20</v>
      </c>
      <c r="K1873" s="1">
        <v>46073</v>
      </c>
      <c r="L1873" s="1" t="str">
        <f>IF(K1873&gt;O1873,"Valid","Invalid")</f>
        <v>Valid</v>
      </c>
      <c r="M1873" s="1" t="b">
        <f>ISNUMBER(K1873)</f>
        <v>1</v>
      </c>
      <c r="N1873" s="1" t="b">
        <f>ISNUMBER(O1873)</f>
        <v>1</v>
      </c>
      <c r="O1873" s="1">
        <v>46058</v>
      </c>
      <c r="P1873" t="s">
        <v>79</v>
      </c>
      <c r="Q1873" t="str">
        <f>SUBSTITUTE(SUBSTITUTE(SUBSTITUTE(P1873," ",""),"-",""),"+","")</f>
        <v>3432018775</v>
      </c>
      <c r="R1873" t="str">
        <f t="shared" si="58"/>
        <v>3432018775</v>
      </c>
      <c r="S1873" t="str">
        <f>IF(LEN(R1873),"Valid","Invalid")</f>
        <v>Valid</v>
      </c>
      <c r="T1873" t="s">
        <v>78</v>
      </c>
      <c r="V1873" t="s">
        <v>26</v>
      </c>
      <c r="X1873">
        <v>9750.39</v>
      </c>
      <c r="Y1873" t="s">
        <v>26</v>
      </c>
      <c r="Z1873">
        <v>501</v>
      </c>
      <c r="AA1873">
        <f t="shared" si="59"/>
        <v>501</v>
      </c>
      <c r="AB1873" t="s">
        <v>77</v>
      </c>
    </row>
    <row r="1874" spans="1:28" x14ac:dyDescent="0.3">
      <c r="A1874" t="s">
        <v>76</v>
      </c>
      <c r="B1874" t="s">
        <v>75</v>
      </c>
      <c r="C1874" t="s">
        <v>75</v>
      </c>
      <c r="D1874" t="s">
        <v>74</v>
      </c>
      <c r="E1874">
        <v>70</v>
      </c>
      <c r="F1874">
        <v>70</v>
      </c>
      <c r="G1874" t="s">
        <v>39</v>
      </c>
      <c r="H1874" t="s">
        <v>39</v>
      </c>
      <c r="I1874" t="s">
        <v>30</v>
      </c>
      <c r="J1874" t="s">
        <v>30</v>
      </c>
      <c r="K1874" s="1">
        <v>46125</v>
      </c>
      <c r="L1874" s="1" t="str">
        <f>IF(K1874&gt;O1874,"Valid","Invalid")</f>
        <v>Valid</v>
      </c>
      <c r="M1874" s="1" t="b">
        <f>ISNUMBER(K1874)</f>
        <v>1</v>
      </c>
      <c r="N1874" s="1" t="b">
        <f>ISNUMBER(O1874)</f>
        <v>1</v>
      </c>
      <c r="O1874" s="1">
        <v>46123</v>
      </c>
      <c r="P1874" t="s">
        <v>73</v>
      </c>
      <c r="Q1874" t="str">
        <f>SUBSTITUTE(SUBSTITUTE(SUBSTITUTE(P1874," ",""),"-",""),"+","")</f>
        <v>914811214223</v>
      </c>
      <c r="R1874" t="str">
        <f t="shared" si="58"/>
        <v>4811214223</v>
      </c>
      <c r="S1874" t="str">
        <f>IF(LEN(R1874),"Valid","Invalid")</f>
        <v>Valid</v>
      </c>
      <c r="T1874" t="s">
        <v>72</v>
      </c>
      <c r="V1874" t="s">
        <v>123</v>
      </c>
      <c r="X1874">
        <v>23511.14</v>
      </c>
      <c r="Y1874" t="s">
        <v>123</v>
      </c>
      <c r="Z1874">
        <v>236</v>
      </c>
      <c r="AA1874">
        <f t="shared" si="59"/>
        <v>236</v>
      </c>
      <c r="AB1874" t="s">
        <v>71</v>
      </c>
    </row>
    <row r="1875" spans="1:28" x14ac:dyDescent="0.3">
      <c r="A1875" t="s">
        <v>70</v>
      </c>
      <c r="B1875" t="s">
        <v>69</v>
      </c>
      <c r="C1875" t="s">
        <v>69</v>
      </c>
      <c r="D1875" t="s">
        <v>0</v>
      </c>
      <c r="E1875">
        <v>19</v>
      </c>
      <c r="F1875">
        <v>19</v>
      </c>
      <c r="G1875" t="s">
        <v>68</v>
      </c>
      <c r="H1875" t="s">
        <v>68</v>
      </c>
      <c r="I1875" t="s">
        <v>67</v>
      </c>
      <c r="J1875" t="s">
        <v>67</v>
      </c>
      <c r="K1875" s="1">
        <v>46094</v>
      </c>
      <c r="L1875" s="1" t="str">
        <f>IF(K1875&gt;O1875,"Valid","Invalid")</f>
        <v>Valid</v>
      </c>
      <c r="M1875" s="1" t="b">
        <f>ISNUMBER(K1875)</f>
        <v>1</v>
      </c>
      <c r="N1875" s="1" t="b">
        <f>ISNUMBER(O1875)</f>
        <v>1</v>
      </c>
      <c r="O1875" s="1">
        <v>46078</v>
      </c>
      <c r="P1875" t="s">
        <v>66</v>
      </c>
      <c r="Q1875" t="str">
        <f>SUBSTITUTE(SUBSTITUTE(SUBSTITUTE(P1875," ",""),"-",""),"+","")</f>
        <v>3133717073</v>
      </c>
      <c r="R1875" t="str">
        <f t="shared" si="58"/>
        <v>3133717073</v>
      </c>
      <c r="S1875" t="str">
        <f>IF(LEN(R1875),"Valid","Invalid")</f>
        <v>Valid</v>
      </c>
      <c r="T1875" t="s">
        <v>65</v>
      </c>
      <c r="V1875" t="s">
        <v>64</v>
      </c>
      <c r="X1875">
        <v>11342.12</v>
      </c>
      <c r="Y1875" t="s">
        <v>63</v>
      </c>
      <c r="Z1875">
        <v>469</v>
      </c>
      <c r="AA1875">
        <f t="shared" si="59"/>
        <v>469</v>
      </c>
      <c r="AB1875" t="s">
        <v>25</v>
      </c>
    </row>
    <row r="1876" spans="1:28" x14ac:dyDescent="0.3">
      <c r="A1876" t="s">
        <v>62</v>
      </c>
      <c r="B1876" t="s">
        <v>61</v>
      </c>
      <c r="C1876" t="s">
        <v>61</v>
      </c>
      <c r="D1876" t="s">
        <v>60</v>
      </c>
      <c r="E1876">
        <v>35</v>
      </c>
      <c r="F1876">
        <v>35</v>
      </c>
      <c r="G1876" t="s">
        <v>39</v>
      </c>
      <c r="H1876" t="s">
        <v>39</v>
      </c>
      <c r="I1876" t="s">
        <v>20</v>
      </c>
      <c r="J1876" t="s">
        <v>20</v>
      </c>
      <c r="K1876" s="1">
        <v>46015</v>
      </c>
      <c r="L1876" s="1" t="str">
        <f>IF(K1876&gt;O1876,"Valid","Invalid")</f>
        <v>Valid</v>
      </c>
      <c r="M1876" s="1" t="b">
        <f>ISNUMBER(K1876)</f>
        <v>1</v>
      </c>
      <c r="N1876" s="1" t="b">
        <f>ISNUMBER(O1876)</f>
        <v>1</v>
      </c>
      <c r="O1876" s="1">
        <v>45989</v>
      </c>
      <c r="P1876" t="s">
        <v>59</v>
      </c>
      <c r="Q1876" t="str">
        <f>SUBSTITUTE(SUBSTITUTE(SUBSTITUTE(P1876," ",""),"-",""),"+","")</f>
        <v>919797759994</v>
      </c>
      <c r="R1876" t="str">
        <f t="shared" si="58"/>
        <v>9797759994</v>
      </c>
      <c r="S1876" t="str">
        <f>IF(LEN(R1876),"Valid","Invalid")</f>
        <v>Valid</v>
      </c>
      <c r="T1876" t="s">
        <v>58</v>
      </c>
      <c r="V1876" t="s">
        <v>57</v>
      </c>
      <c r="X1876">
        <v>17089.18</v>
      </c>
      <c r="Y1876" t="s">
        <v>17</v>
      </c>
      <c r="Z1876">
        <v>348</v>
      </c>
      <c r="AA1876">
        <f t="shared" si="59"/>
        <v>348</v>
      </c>
      <c r="AB1876" t="s">
        <v>50</v>
      </c>
    </row>
    <row r="1877" spans="1:28" x14ac:dyDescent="0.3">
      <c r="A1877" t="s">
        <v>49</v>
      </c>
      <c r="B1877" t="s">
        <v>48</v>
      </c>
      <c r="C1877" t="s">
        <v>48</v>
      </c>
      <c r="D1877" t="s">
        <v>40</v>
      </c>
      <c r="E1877">
        <v>74</v>
      </c>
      <c r="F1877">
        <v>74</v>
      </c>
      <c r="G1877" t="s">
        <v>47</v>
      </c>
      <c r="H1877" t="s">
        <v>47</v>
      </c>
      <c r="I1877" t="s">
        <v>46</v>
      </c>
      <c r="J1877" t="s">
        <v>46</v>
      </c>
      <c r="K1877" s="1">
        <v>45988</v>
      </c>
      <c r="L1877" s="1" t="str">
        <f>IF(K1877&gt;O1877,"Valid","Invalid")</f>
        <v>Valid</v>
      </c>
      <c r="M1877" s="1" t="b">
        <f>ISNUMBER(K1877)</f>
        <v>1</v>
      </c>
      <c r="N1877" s="1" t="b">
        <f>ISNUMBER(O1877)</f>
        <v>1</v>
      </c>
      <c r="O1877" s="1">
        <v>45986</v>
      </c>
      <c r="P1877" t="s">
        <v>45</v>
      </c>
      <c r="Q1877" t="str">
        <f>SUBSTITUTE(SUBSTITUTE(SUBSTITUTE(P1877," ",""),"-",""),"+","")</f>
        <v>9407646597</v>
      </c>
      <c r="R1877" t="str">
        <f t="shared" si="58"/>
        <v>9407646597</v>
      </c>
      <c r="S1877" t="str">
        <f>IF(LEN(R1877),"Valid","Invalid")</f>
        <v>Valid</v>
      </c>
      <c r="T1877" t="s">
        <v>44</v>
      </c>
      <c r="V1877" t="s">
        <v>123</v>
      </c>
      <c r="X1877">
        <v>5645.02</v>
      </c>
      <c r="Y1877" t="s">
        <v>17</v>
      </c>
      <c r="Z1877">
        <v>309</v>
      </c>
      <c r="AA1877">
        <f t="shared" si="59"/>
        <v>309</v>
      </c>
      <c r="AB1877" t="s">
        <v>43</v>
      </c>
    </row>
    <row r="1878" spans="1:28" x14ac:dyDescent="0.3">
      <c r="A1878" t="s">
        <v>42</v>
      </c>
      <c r="B1878" t="s">
        <v>41</v>
      </c>
      <c r="C1878" t="s">
        <v>41</v>
      </c>
      <c r="D1878" t="s">
        <v>40</v>
      </c>
      <c r="E1878">
        <v>59</v>
      </c>
      <c r="F1878">
        <v>59</v>
      </c>
      <c r="G1878" t="s">
        <v>39</v>
      </c>
      <c r="H1878" t="s">
        <v>39</v>
      </c>
      <c r="I1878" t="s">
        <v>38</v>
      </c>
      <c r="J1878" t="s">
        <v>8077</v>
      </c>
      <c r="K1878" s="1">
        <v>46106</v>
      </c>
      <c r="L1878" s="1" t="str">
        <f>IF(K1878&gt;O1878,"Valid","Invalid")</f>
        <v>Valid</v>
      </c>
      <c r="M1878" s="1" t="b">
        <f>ISNUMBER(K1878)</f>
        <v>1</v>
      </c>
      <c r="N1878" s="1" t="b">
        <f>ISNUMBER(O1878)</f>
        <v>1</v>
      </c>
      <c r="O1878" s="1">
        <v>46080</v>
      </c>
      <c r="P1878" t="s">
        <v>37</v>
      </c>
      <c r="Q1878" t="str">
        <f>SUBSTITUTE(SUBSTITUTE(SUBSTITUTE(P1878," ",""),"-",""),"+","")</f>
        <v>6251069348</v>
      </c>
      <c r="R1878" t="str">
        <f t="shared" si="58"/>
        <v>6251069348</v>
      </c>
      <c r="S1878" t="str">
        <f>IF(LEN(R1878),"Valid","Invalid")</f>
        <v>Valid</v>
      </c>
      <c r="T1878" t="s">
        <v>36</v>
      </c>
      <c r="V1878" t="s">
        <v>35</v>
      </c>
      <c r="X1878">
        <v>7105.46</v>
      </c>
      <c r="Y1878" t="s">
        <v>123</v>
      </c>
      <c r="Z1878">
        <v>190</v>
      </c>
      <c r="AA1878">
        <f t="shared" si="59"/>
        <v>190</v>
      </c>
      <c r="AB1878" t="s">
        <v>34</v>
      </c>
    </row>
    <row r="1879" spans="1:28" x14ac:dyDescent="0.3">
      <c r="A1879" t="s">
        <v>24</v>
      </c>
      <c r="B1879" t="s">
        <v>23</v>
      </c>
      <c r="C1879" t="s">
        <v>23</v>
      </c>
      <c r="D1879" t="s">
        <v>22</v>
      </c>
      <c r="E1879">
        <v>58</v>
      </c>
      <c r="F1879">
        <v>58</v>
      </c>
      <c r="G1879" t="s">
        <v>21</v>
      </c>
      <c r="H1879" t="s">
        <v>21</v>
      </c>
      <c r="I1879" t="s">
        <v>20</v>
      </c>
      <c r="J1879" t="s">
        <v>20</v>
      </c>
      <c r="K1879" s="1">
        <v>46069</v>
      </c>
      <c r="L1879" s="1" t="str">
        <f>IF(K1879&gt;O1879,"Valid","Invalid")</f>
        <v>Valid</v>
      </c>
      <c r="M1879" s="1" t="b">
        <f>ISNUMBER(K1879)</f>
        <v>1</v>
      </c>
      <c r="N1879" s="1" t="b">
        <f>ISNUMBER(O1879)</f>
        <v>1</v>
      </c>
      <c r="O1879" s="1">
        <v>46065</v>
      </c>
      <c r="P1879" t="s">
        <v>19</v>
      </c>
      <c r="Q1879" t="str">
        <f>SUBSTITUTE(SUBSTITUTE(SUBSTITUTE(P1879," ",""),"-",""),"+","")</f>
        <v>02529548496</v>
      </c>
      <c r="R1879" t="str">
        <f t="shared" si="58"/>
        <v>2529548496</v>
      </c>
      <c r="S1879" t="str">
        <f>IF(LEN(R1879),"Valid","Invalid")</f>
        <v>Valid</v>
      </c>
      <c r="T1879" t="s">
        <v>18</v>
      </c>
      <c r="X1879">
        <v>1997.7</v>
      </c>
      <c r="Y1879" t="s">
        <v>17</v>
      </c>
      <c r="Z1879">
        <v>103</v>
      </c>
      <c r="AA1879">
        <f t="shared" si="59"/>
        <v>103</v>
      </c>
      <c r="AB1879" t="s">
        <v>16</v>
      </c>
    </row>
  </sheetData>
  <autoFilter ref="A3:AC1879" xr:uid="{8BDF61CE-5D81-4B80-89F3-2F9CEA8FD4CE}">
    <sortState xmlns:xlrd2="http://schemas.microsoft.com/office/spreadsheetml/2017/richdata2" ref="A4:AC1879">
      <sortCondition ref="A3:A1879"/>
    </sortState>
  </autoFilter>
  <mergeCells count="1">
    <mergeCell ref="A1:AB1"/>
  </mergeCells>
  <phoneticPr fontId="3" type="noConversion"/>
  <conditionalFormatting sqref="E112">
    <cfRule type="containsBlanks" dxfId="4" priority="1">
      <formula>LEN(TRIM(E112))=0</formula>
    </cfRule>
  </conditionalFormatting>
  <conditionalFormatting sqref="AE24 A3:AC3 A4:E1171 I4:I1171 K4:K1171 O4:AB4 H4:H1879 J4:J1879 L4:N1879 G4:G1171 F4:F1879 AE32 O5:P1171 T5:Z1171 Q5:S1879 AB5:AB1171 AA5:AA1879">
    <cfRule type="containsBlanks" priority="2">
      <formula>LEN(TRIM(A3))=0</formula>
    </cfRule>
  </conditionalFormatting>
  <pageMargins left="0.75" right="0.75" top="1" bottom="1" header="0.5" footer="0.5"/>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0F0FA-D444-48B9-8085-F8A487BC0DE7}">
  <dimension ref="A1:D87"/>
  <sheetViews>
    <sheetView workbookViewId="0">
      <selection activeCell="D3" sqref="D3"/>
    </sheetView>
  </sheetViews>
  <sheetFormatPr defaultRowHeight="14.4" x14ac:dyDescent="0.3"/>
  <sheetData>
    <row r="1" spans="1:4" x14ac:dyDescent="0.3">
      <c r="A1" t="s">
        <v>7922</v>
      </c>
      <c r="C1" t="s">
        <v>7436</v>
      </c>
    </row>
    <row r="2" spans="1:4" x14ac:dyDescent="0.3">
      <c r="A2" t="s">
        <v>7672</v>
      </c>
      <c r="B2">
        <f>COUNTA(A1:A87)</f>
        <v>87</v>
      </c>
      <c r="C2" t="s">
        <v>7377</v>
      </c>
      <c r="D2">
        <f>COUNTA(C1:C24)</f>
        <v>24</v>
      </c>
    </row>
    <row r="3" spans="1:4" x14ac:dyDescent="0.3">
      <c r="A3" t="s">
        <v>7476</v>
      </c>
      <c r="C3" t="s">
        <v>6884</v>
      </c>
    </row>
    <row r="4" spans="1:4" x14ac:dyDescent="0.3">
      <c r="A4" t="s">
        <v>7334</v>
      </c>
      <c r="C4" t="s">
        <v>6765</v>
      </c>
    </row>
    <row r="5" spans="1:4" x14ac:dyDescent="0.3">
      <c r="A5" t="s">
        <v>7208</v>
      </c>
      <c r="C5" t="s">
        <v>6330</v>
      </c>
    </row>
    <row r="6" spans="1:4" x14ac:dyDescent="0.3">
      <c r="A6" t="s">
        <v>6963</v>
      </c>
      <c r="C6" t="s">
        <v>6152</v>
      </c>
    </row>
    <row r="7" spans="1:4" x14ac:dyDescent="0.3">
      <c r="A7" t="s">
        <v>6947</v>
      </c>
      <c r="C7" t="s">
        <v>5774</v>
      </c>
    </row>
    <row r="8" spans="1:4" x14ac:dyDescent="0.3">
      <c r="A8" t="s">
        <v>6876</v>
      </c>
      <c r="C8" t="s">
        <v>5536</v>
      </c>
    </row>
    <row r="9" spans="1:4" x14ac:dyDescent="0.3">
      <c r="A9" t="s">
        <v>6797</v>
      </c>
      <c r="C9" t="s">
        <v>5219</v>
      </c>
    </row>
    <row r="10" spans="1:4" x14ac:dyDescent="0.3">
      <c r="A10" t="s">
        <v>6785</v>
      </c>
      <c r="C10" t="s">
        <v>4920</v>
      </c>
    </row>
    <row r="11" spans="1:4" x14ac:dyDescent="0.3">
      <c r="A11" t="s">
        <v>6699</v>
      </c>
      <c r="C11" t="s">
        <v>4662</v>
      </c>
    </row>
    <row r="12" spans="1:4" x14ac:dyDescent="0.3">
      <c r="A12" t="s">
        <v>6655</v>
      </c>
      <c r="C12" t="s">
        <v>4305</v>
      </c>
    </row>
    <row r="13" spans="1:4" x14ac:dyDescent="0.3">
      <c r="A13" t="s">
        <v>6632</v>
      </c>
      <c r="C13" t="s">
        <v>4106</v>
      </c>
    </row>
    <row r="14" spans="1:4" x14ac:dyDescent="0.3">
      <c r="A14" t="s">
        <v>6616</v>
      </c>
      <c r="C14" t="s">
        <v>3689</v>
      </c>
    </row>
    <row r="15" spans="1:4" x14ac:dyDescent="0.3">
      <c r="A15" t="s">
        <v>6612</v>
      </c>
      <c r="C15" t="s">
        <v>3549</v>
      </c>
    </row>
    <row r="16" spans="1:4" x14ac:dyDescent="0.3">
      <c r="A16" t="s">
        <v>6516</v>
      </c>
      <c r="C16" t="s">
        <v>3073</v>
      </c>
    </row>
    <row r="17" spans="1:3" x14ac:dyDescent="0.3">
      <c r="A17" t="s">
        <v>6476</v>
      </c>
      <c r="C17" t="s">
        <v>2995</v>
      </c>
    </row>
    <row r="18" spans="1:3" x14ac:dyDescent="0.3">
      <c r="A18" t="s">
        <v>6449</v>
      </c>
      <c r="C18" t="s">
        <v>2460</v>
      </c>
    </row>
    <row r="19" spans="1:3" x14ac:dyDescent="0.3">
      <c r="A19" t="s">
        <v>6417</v>
      </c>
      <c r="C19" t="s">
        <v>2440</v>
      </c>
    </row>
    <row r="20" spans="1:3" x14ac:dyDescent="0.3">
      <c r="A20" t="s">
        <v>6282</v>
      </c>
      <c r="C20" t="s">
        <v>1885</v>
      </c>
    </row>
    <row r="21" spans="1:3" x14ac:dyDescent="0.3">
      <c r="A21" t="s">
        <v>5934</v>
      </c>
      <c r="C21" t="s">
        <v>1845</v>
      </c>
    </row>
    <row r="22" spans="1:3" x14ac:dyDescent="0.3">
      <c r="A22" t="s">
        <v>5834</v>
      </c>
      <c r="C22" t="s">
        <v>1328</v>
      </c>
    </row>
    <row r="23" spans="1:3" x14ac:dyDescent="0.3">
      <c r="A23" t="s">
        <v>5680</v>
      </c>
      <c r="C23" t="s">
        <v>612</v>
      </c>
    </row>
    <row r="24" spans="1:3" x14ac:dyDescent="0.3">
      <c r="A24" t="s">
        <v>5528</v>
      </c>
      <c r="C24" t="s">
        <v>210</v>
      </c>
    </row>
    <row r="25" spans="1:3" x14ac:dyDescent="0.3">
      <c r="A25" t="s">
        <v>5516</v>
      </c>
    </row>
    <row r="26" spans="1:3" x14ac:dyDescent="0.3">
      <c r="A26" t="s">
        <v>5421</v>
      </c>
    </row>
    <row r="27" spans="1:3" x14ac:dyDescent="0.3">
      <c r="A27" t="s">
        <v>5417</v>
      </c>
    </row>
    <row r="28" spans="1:3" x14ac:dyDescent="0.3">
      <c r="A28" t="s">
        <v>5199</v>
      </c>
    </row>
    <row r="29" spans="1:3" x14ac:dyDescent="0.3">
      <c r="A29" t="s">
        <v>4901</v>
      </c>
    </row>
    <row r="30" spans="1:3" x14ac:dyDescent="0.3">
      <c r="A30" t="s">
        <v>4877</v>
      </c>
    </row>
    <row r="31" spans="1:3" x14ac:dyDescent="0.3">
      <c r="A31" t="s">
        <v>4615</v>
      </c>
    </row>
    <row r="32" spans="1:3" x14ac:dyDescent="0.3">
      <c r="A32" t="s">
        <v>4567</v>
      </c>
    </row>
    <row r="33" spans="1:1" x14ac:dyDescent="0.3">
      <c r="A33" t="s">
        <v>4485</v>
      </c>
    </row>
    <row r="34" spans="1:1" x14ac:dyDescent="0.3">
      <c r="A34" t="s">
        <v>4385</v>
      </c>
    </row>
    <row r="35" spans="1:1" x14ac:dyDescent="0.3">
      <c r="A35" t="s">
        <v>4357</v>
      </c>
    </row>
    <row r="36" spans="1:1" x14ac:dyDescent="0.3">
      <c r="A36" t="s">
        <v>4333</v>
      </c>
    </row>
    <row r="37" spans="1:1" x14ac:dyDescent="0.3">
      <c r="A37" t="s">
        <v>4321</v>
      </c>
    </row>
    <row r="38" spans="1:1" x14ac:dyDescent="0.3">
      <c r="A38" t="s">
        <v>4221</v>
      </c>
    </row>
    <row r="39" spans="1:1" x14ac:dyDescent="0.3">
      <c r="A39" t="s">
        <v>4193</v>
      </c>
    </row>
    <row r="40" spans="1:1" x14ac:dyDescent="0.3">
      <c r="A40" t="s">
        <v>4046</v>
      </c>
    </row>
    <row r="41" spans="1:1" x14ac:dyDescent="0.3">
      <c r="A41" t="s">
        <v>3869</v>
      </c>
    </row>
    <row r="42" spans="1:1" x14ac:dyDescent="0.3">
      <c r="A42" t="s">
        <v>3782</v>
      </c>
    </row>
    <row r="43" spans="1:1" x14ac:dyDescent="0.3">
      <c r="A43" t="s">
        <v>3629</v>
      </c>
    </row>
    <row r="44" spans="1:1" x14ac:dyDescent="0.3">
      <c r="A44" t="s">
        <v>3609</v>
      </c>
    </row>
    <row r="45" spans="1:1" x14ac:dyDescent="0.3">
      <c r="A45" t="s">
        <v>3589</v>
      </c>
    </row>
    <row r="46" spans="1:1" x14ac:dyDescent="0.3">
      <c r="A46" t="s">
        <v>3557</v>
      </c>
    </row>
    <row r="47" spans="1:1" x14ac:dyDescent="0.3">
      <c r="A47" t="s">
        <v>3534</v>
      </c>
    </row>
    <row r="48" spans="1:1" x14ac:dyDescent="0.3">
      <c r="A48" t="s">
        <v>3355</v>
      </c>
    </row>
    <row r="49" spans="1:1" x14ac:dyDescent="0.3">
      <c r="A49" t="s">
        <v>3351</v>
      </c>
    </row>
    <row r="50" spans="1:1" x14ac:dyDescent="0.3">
      <c r="A50" t="s">
        <v>3038</v>
      </c>
    </row>
    <row r="51" spans="1:1" x14ac:dyDescent="0.3">
      <c r="A51" t="s">
        <v>2991</v>
      </c>
    </row>
    <row r="52" spans="1:1" x14ac:dyDescent="0.3">
      <c r="A52" t="s">
        <v>2959</v>
      </c>
    </row>
    <row r="53" spans="1:1" x14ac:dyDescent="0.3">
      <c r="A53" t="s">
        <v>2836</v>
      </c>
    </row>
    <row r="54" spans="1:1" x14ac:dyDescent="0.3">
      <c r="A54" t="s">
        <v>2809</v>
      </c>
    </row>
    <row r="55" spans="1:1" x14ac:dyDescent="0.3">
      <c r="A55" t="s">
        <v>2539</v>
      </c>
    </row>
    <row r="56" spans="1:1" x14ac:dyDescent="0.3">
      <c r="A56" t="s">
        <v>2480</v>
      </c>
    </row>
    <row r="57" spans="1:1" x14ac:dyDescent="0.3">
      <c r="A57" t="s">
        <v>2388</v>
      </c>
    </row>
    <row r="58" spans="1:1" x14ac:dyDescent="0.3">
      <c r="A58" t="s">
        <v>2320</v>
      </c>
    </row>
    <row r="59" spans="1:1" x14ac:dyDescent="0.3">
      <c r="A59" t="s">
        <v>2149</v>
      </c>
    </row>
    <row r="60" spans="1:1" x14ac:dyDescent="0.3">
      <c r="A60" t="s">
        <v>1928</v>
      </c>
    </row>
    <row r="61" spans="1:1" x14ac:dyDescent="0.3">
      <c r="A61" t="s">
        <v>1917</v>
      </c>
    </row>
    <row r="62" spans="1:1" x14ac:dyDescent="0.3">
      <c r="A62" t="s">
        <v>1909</v>
      </c>
    </row>
    <row r="63" spans="1:1" x14ac:dyDescent="0.3">
      <c r="A63" t="s">
        <v>1809</v>
      </c>
    </row>
    <row r="64" spans="1:1" x14ac:dyDescent="0.3">
      <c r="A64" t="s">
        <v>1805</v>
      </c>
    </row>
    <row r="65" spans="1:1" x14ac:dyDescent="0.3">
      <c r="A65" t="s">
        <v>1643</v>
      </c>
    </row>
    <row r="66" spans="1:1" x14ac:dyDescent="0.3">
      <c r="A66" t="s">
        <v>1520</v>
      </c>
    </row>
    <row r="67" spans="1:1" x14ac:dyDescent="0.3">
      <c r="A67" t="s">
        <v>1480</v>
      </c>
    </row>
    <row r="68" spans="1:1" x14ac:dyDescent="0.3">
      <c r="A68" t="s">
        <v>1412</v>
      </c>
    </row>
    <row r="69" spans="1:1" x14ac:dyDescent="0.3">
      <c r="A69" t="s">
        <v>1332</v>
      </c>
    </row>
    <row r="70" spans="1:1" x14ac:dyDescent="0.3">
      <c r="A70" t="s">
        <v>1288</v>
      </c>
    </row>
    <row r="71" spans="1:1" x14ac:dyDescent="0.3">
      <c r="A71" t="s">
        <v>1229</v>
      </c>
    </row>
    <row r="72" spans="1:1" x14ac:dyDescent="0.3">
      <c r="A72" t="s">
        <v>1173</v>
      </c>
    </row>
    <row r="73" spans="1:1" x14ac:dyDescent="0.3">
      <c r="A73" t="s">
        <v>1114</v>
      </c>
    </row>
    <row r="74" spans="1:1" x14ac:dyDescent="0.3">
      <c r="A74" t="s">
        <v>1023</v>
      </c>
    </row>
    <row r="75" spans="1:1" x14ac:dyDescent="0.3">
      <c r="A75" t="s">
        <v>980</v>
      </c>
    </row>
    <row r="76" spans="1:1" x14ac:dyDescent="0.3">
      <c r="A76" t="s">
        <v>843</v>
      </c>
    </row>
    <row r="77" spans="1:1" x14ac:dyDescent="0.3">
      <c r="A77" t="s">
        <v>771</v>
      </c>
    </row>
    <row r="78" spans="1:1" x14ac:dyDescent="0.3">
      <c r="A78" t="s">
        <v>680</v>
      </c>
    </row>
    <row r="79" spans="1:1" x14ac:dyDescent="0.3">
      <c r="A79" t="s">
        <v>443</v>
      </c>
    </row>
    <row r="80" spans="1:1" x14ac:dyDescent="0.3">
      <c r="A80" t="s">
        <v>310</v>
      </c>
    </row>
    <row r="81" spans="1:1" x14ac:dyDescent="0.3">
      <c r="A81" t="s">
        <v>250</v>
      </c>
    </row>
    <row r="82" spans="1:1" x14ac:dyDescent="0.3">
      <c r="A82" t="s">
        <v>242</v>
      </c>
    </row>
    <row r="83" spans="1:1" x14ac:dyDescent="0.3">
      <c r="A83" t="s">
        <v>129</v>
      </c>
    </row>
    <row r="84" spans="1:1" x14ac:dyDescent="0.3">
      <c r="A84" t="s">
        <v>96</v>
      </c>
    </row>
    <row r="85" spans="1:1" x14ac:dyDescent="0.3">
      <c r="A85" t="s">
        <v>92</v>
      </c>
    </row>
    <row r="86" spans="1:1" x14ac:dyDescent="0.3">
      <c r="A86" t="s">
        <v>56</v>
      </c>
    </row>
    <row r="87" spans="1:1" x14ac:dyDescent="0.3">
      <c r="A87"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DF024-AABC-477F-BFDE-15FA8B1753AA}">
  <dimension ref="A1:O1877"/>
  <sheetViews>
    <sheetView workbookViewId="0">
      <selection activeCell="B6" sqref="B6"/>
    </sheetView>
  </sheetViews>
  <sheetFormatPr defaultRowHeight="14.4" x14ac:dyDescent="0.3"/>
  <cols>
    <col min="1" max="1" width="11" customWidth="1"/>
    <col min="2" max="2" width="23" bestFit="1" customWidth="1"/>
    <col min="3" max="3" width="9" customWidth="1"/>
    <col min="5" max="5" width="15.33203125" bestFit="1" customWidth="1"/>
    <col min="6" max="6" width="9.33203125" customWidth="1"/>
    <col min="7" max="7" width="16.5546875" customWidth="1"/>
    <col min="8" max="8" width="18.44140625" customWidth="1"/>
    <col min="9" max="9" width="15.6640625" customWidth="1"/>
    <col min="10" max="10" width="33.77734375" bestFit="1" customWidth="1"/>
    <col min="11" max="11" width="11" customWidth="1"/>
    <col min="12" max="12" width="14.77734375" bestFit="1" customWidth="1"/>
    <col min="13" max="13" width="15.21875" customWidth="1"/>
    <col min="14" max="14" width="16.109375" customWidth="1"/>
    <col min="15" max="15" width="17.33203125" customWidth="1"/>
  </cols>
  <sheetData>
    <row r="1" spans="1:15" x14ac:dyDescent="0.3">
      <c r="A1" s="3" t="s">
        <v>8028</v>
      </c>
      <c r="B1" s="3" t="s">
        <v>8029</v>
      </c>
      <c r="C1" s="3" t="s">
        <v>8030</v>
      </c>
      <c r="D1" s="3" t="s">
        <v>8031</v>
      </c>
      <c r="E1" s="3" t="s">
        <v>8002</v>
      </c>
      <c r="F1" s="3" t="s">
        <v>8090</v>
      </c>
      <c r="G1" s="9" t="s">
        <v>7999</v>
      </c>
      <c r="H1" s="3" t="s">
        <v>8000</v>
      </c>
      <c r="I1" s="3" t="s">
        <v>7998</v>
      </c>
      <c r="J1" s="3" t="s">
        <v>7997</v>
      </c>
      <c r="K1" s="3" t="s">
        <v>7996</v>
      </c>
      <c r="L1" s="3" t="s">
        <v>8032</v>
      </c>
      <c r="M1" s="3" t="s">
        <v>7993</v>
      </c>
      <c r="N1" s="3" t="s">
        <v>7992</v>
      </c>
      <c r="O1" s="3" t="s">
        <v>7994</v>
      </c>
    </row>
    <row r="2" spans="1:15" x14ac:dyDescent="0.3">
      <c r="A2" t="s">
        <v>7990</v>
      </c>
      <c r="B2" t="s">
        <v>7989</v>
      </c>
      <c r="C2" t="s">
        <v>40</v>
      </c>
      <c r="D2">
        <v>4</v>
      </c>
      <c r="E2" t="s">
        <v>80</v>
      </c>
      <c r="F2" t="s">
        <v>8077</v>
      </c>
      <c r="G2" s="8">
        <v>46100</v>
      </c>
      <c r="H2" s="8">
        <v>46107</v>
      </c>
      <c r="I2" t="s">
        <v>8091</v>
      </c>
      <c r="J2" t="s">
        <v>7987</v>
      </c>
      <c r="K2" t="s">
        <v>123</v>
      </c>
      <c r="L2">
        <v>14118.88</v>
      </c>
      <c r="M2">
        <v>212</v>
      </c>
      <c r="N2" t="s">
        <v>16</v>
      </c>
      <c r="O2" t="s">
        <v>123</v>
      </c>
    </row>
    <row r="3" spans="1:15" x14ac:dyDescent="0.3">
      <c r="A3" t="s">
        <v>7986</v>
      </c>
      <c r="B3" t="s">
        <v>7985</v>
      </c>
      <c r="C3" t="s">
        <v>40</v>
      </c>
      <c r="D3">
        <v>1</v>
      </c>
      <c r="E3" t="s">
        <v>39</v>
      </c>
      <c r="F3" t="s">
        <v>67</v>
      </c>
      <c r="G3" s="8">
        <v>46071</v>
      </c>
      <c r="H3" s="8">
        <v>46081</v>
      </c>
      <c r="I3" t="s">
        <v>8092</v>
      </c>
      <c r="J3" t="s">
        <v>7983</v>
      </c>
      <c r="K3" t="s">
        <v>27</v>
      </c>
      <c r="L3">
        <v>4055.89</v>
      </c>
      <c r="M3">
        <v>152</v>
      </c>
      <c r="N3" t="s">
        <v>77</v>
      </c>
      <c r="O3" t="s">
        <v>17</v>
      </c>
    </row>
    <row r="4" spans="1:15" x14ac:dyDescent="0.3">
      <c r="A4" t="s">
        <v>7982</v>
      </c>
      <c r="B4" t="s">
        <v>7981</v>
      </c>
      <c r="C4" t="s">
        <v>123</v>
      </c>
      <c r="D4">
        <v>13</v>
      </c>
      <c r="E4" t="s">
        <v>31</v>
      </c>
      <c r="F4" t="s">
        <v>67</v>
      </c>
      <c r="G4" s="8">
        <v>46067</v>
      </c>
      <c r="H4" s="8">
        <v>46086</v>
      </c>
      <c r="I4" t="s">
        <v>8093</v>
      </c>
      <c r="J4" t="s">
        <v>7979</v>
      </c>
      <c r="K4" t="s">
        <v>27</v>
      </c>
      <c r="L4">
        <v>20216.78</v>
      </c>
      <c r="M4">
        <v>374</v>
      </c>
      <c r="N4" t="s">
        <v>77</v>
      </c>
      <c r="O4" t="s">
        <v>123</v>
      </c>
    </row>
    <row r="5" spans="1:15" x14ac:dyDescent="0.3">
      <c r="A5" t="s">
        <v>7978</v>
      </c>
      <c r="B5" t="s">
        <v>7977</v>
      </c>
      <c r="C5" t="s">
        <v>123</v>
      </c>
      <c r="D5">
        <v>11</v>
      </c>
      <c r="E5" t="s">
        <v>132</v>
      </c>
      <c r="F5" t="s">
        <v>67</v>
      </c>
      <c r="G5" s="8">
        <v>45988</v>
      </c>
      <c r="H5" s="8">
        <v>46006</v>
      </c>
      <c r="I5" t="s">
        <v>8094</v>
      </c>
      <c r="J5" t="s">
        <v>7975</v>
      </c>
      <c r="K5" t="s">
        <v>64</v>
      </c>
      <c r="L5">
        <v>17673.38</v>
      </c>
      <c r="M5">
        <v>438</v>
      </c>
      <c r="N5" t="s">
        <v>123</v>
      </c>
      <c r="O5" t="s">
        <v>27</v>
      </c>
    </row>
    <row r="6" spans="1:15" x14ac:dyDescent="0.3">
      <c r="A6" t="s">
        <v>7974</v>
      </c>
      <c r="B6" t="s">
        <v>7973</v>
      </c>
      <c r="C6" t="s">
        <v>40</v>
      </c>
      <c r="D6">
        <v>11</v>
      </c>
      <c r="E6" t="s">
        <v>21</v>
      </c>
      <c r="F6" t="s">
        <v>20</v>
      </c>
      <c r="G6" s="8">
        <v>46062</v>
      </c>
      <c r="H6" s="8">
        <v>46074</v>
      </c>
      <c r="I6" t="s">
        <v>8095</v>
      </c>
      <c r="J6" t="s">
        <v>7971</v>
      </c>
      <c r="K6" t="s">
        <v>27</v>
      </c>
      <c r="L6">
        <v>11444.58</v>
      </c>
      <c r="M6">
        <v>183</v>
      </c>
      <c r="N6" t="s">
        <v>43</v>
      </c>
      <c r="O6" t="s">
        <v>17</v>
      </c>
    </row>
    <row r="7" spans="1:15" x14ac:dyDescent="0.3">
      <c r="A7" t="s">
        <v>7970</v>
      </c>
      <c r="B7" t="s">
        <v>7969</v>
      </c>
      <c r="C7" t="s">
        <v>74</v>
      </c>
      <c r="D7">
        <v>27</v>
      </c>
      <c r="E7" t="s">
        <v>132</v>
      </c>
      <c r="F7" t="s">
        <v>20</v>
      </c>
      <c r="G7" s="8">
        <v>46140</v>
      </c>
      <c r="H7" s="8">
        <v>46159</v>
      </c>
      <c r="I7" t="s">
        <v>8096</v>
      </c>
      <c r="J7" t="s">
        <v>7967</v>
      </c>
      <c r="K7" t="s">
        <v>27</v>
      </c>
      <c r="L7">
        <v>13446.67</v>
      </c>
      <c r="M7">
        <v>183</v>
      </c>
      <c r="N7" t="s">
        <v>16</v>
      </c>
      <c r="O7" t="s">
        <v>57</v>
      </c>
    </row>
    <row r="8" spans="1:15" x14ac:dyDescent="0.3">
      <c r="A8" t="s">
        <v>7966</v>
      </c>
      <c r="B8" t="s">
        <v>7965</v>
      </c>
      <c r="C8" t="s">
        <v>123</v>
      </c>
      <c r="D8">
        <v>35</v>
      </c>
      <c r="E8" t="s">
        <v>21</v>
      </c>
      <c r="F8" t="s">
        <v>67</v>
      </c>
      <c r="G8" s="8">
        <v>46018</v>
      </c>
      <c r="H8" s="8">
        <v>46044</v>
      </c>
      <c r="I8" t="s">
        <v>8097</v>
      </c>
      <c r="J8" t="s">
        <v>7963</v>
      </c>
      <c r="K8" t="s">
        <v>27</v>
      </c>
      <c r="L8">
        <v>5880.39</v>
      </c>
      <c r="M8">
        <v>512</v>
      </c>
      <c r="N8" t="s">
        <v>43</v>
      </c>
      <c r="O8" t="s">
        <v>27</v>
      </c>
    </row>
    <row r="9" spans="1:15" x14ac:dyDescent="0.3">
      <c r="A9" t="s">
        <v>7962</v>
      </c>
      <c r="B9" t="s">
        <v>7961</v>
      </c>
      <c r="C9" t="s">
        <v>123</v>
      </c>
      <c r="D9">
        <v>35</v>
      </c>
      <c r="E9" t="s">
        <v>80</v>
      </c>
      <c r="F9" t="s">
        <v>8077</v>
      </c>
      <c r="G9" s="8">
        <v>46028</v>
      </c>
      <c r="H9" s="8">
        <v>46057</v>
      </c>
      <c r="I9" t="s">
        <v>8098</v>
      </c>
      <c r="J9" t="s">
        <v>7959</v>
      </c>
      <c r="K9" t="s">
        <v>64</v>
      </c>
      <c r="L9">
        <v>5473.14</v>
      </c>
      <c r="M9">
        <v>302</v>
      </c>
      <c r="N9" t="s">
        <v>25</v>
      </c>
      <c r="O9" t="s">
        <v>123</v>
      </c>
    </row>
    <row r="10" spans="1:15" x14ac:dyDescent="0.3">
      <c r="A10" t="s">
        <v>7958</v>
      </c>
      <c r="B10" t="s">
        <v>7957</v>
      </c>
      <c r="C10" t="s">
        <v>123</v>
      </c>
      <c r="D10">
        <v>19</v>
      </c>
      <c r="E10" t="s">
        <v>132</v>
      </c>
      <c r="F10" t="s">
        <v>20</v>
      </c>
      <c r="G10" s="8">
        <v>46100</v>
      </c>
      <c r="H10" s="8">
        <v>46107</v>
      </c>
      <c r="I10" t="s">
        <v>8099</v>
      </c>
      <c r="J10" t="s">
        <v>7955</v>
      </c>
      <c r="K10" t="s">
        <v>27</v>
      </c>
      <c r="L10">
        <v>18725.939999999999</v>
      </c>
      <c r="M10">
        <v>398</v>
      </c>
      <c r="N10" t="s">
        <v>16</v>
      </c>
      <c r="O10" t="s">
        <v>123</v>
      </c>
    </row>
    <row r="11" spans="1:15" x14ac:dyDescent="0.3">
      <c r="A11" t="s">
        <v>7954</v>
      </c>
      <c r="B11" t="s">
        <v>7953</v>
      </c>
      <c r="C11" t="s">
        <v>74</v>
      </c>
      <c r="D11">
        <v>29</v>
      </c>
      <c r="E11" t="s">
        <v>39</v>
      </c>
      <c r="F11" t="s">
        <v>85</v>
      </c>
      <c r="G11" s="8">
        <v>46006</v>
      </c>
      <c r="H11" s="8">
        <v>46008</v>
      </c>
      <c r="I11" t="s">
        <v>8100</v>
      </c>
      <c r="J11" t="s">
        <v>7951</v>
      </c>
      <c r="K11" t="s">
        <v>27</v>
      </c>
      <c r="L11">
        <v>21555.35</v>
      </c>
      <c r="M11">
        <v>421</v>
      </c>
      <c r="N11" t="s">
        <v>71</v>
      </c>
      <c r="O11" t="s">
        <v>26</v>
      </c>
    </row>
    <row r="12" spans="1:15" x14ac:dyDescent="0.3">
      <c r="A12" t="s">
        <v>7950</v>
      </c>
      <c r="B12" t="s">
        <v>7949</v>
      </c>
      <c r="C12" t="s">
        <v>123</v>
      </c>
      <c r="D12">
        <v>77</v>
      </c>
      <c r="E12" t="s">
        <v>80</v>
      </c>
      <c r="F12" t="s">
        <v>67</v>
      </c>
      <c r="G12" s="8">
        <v>46142</v>
      </c>
      <c r="H12" s="8">
        <v>46154</v>
      </c>
      <c r="I12" t="s">
        <v>8101</v>
      </c>
      <c r="J12" t="s">
        <v>7947</v>
      </c>
      <c r="K12" t="s">
        <v>123</v>
      </c>
      <c r="L12">
        <v>13322.04</v>
      </c>
      <c r="M12">
        <v>448</v>
      </c>
      <c r="N12" t="s">
        <v>25</v>
      </c>
      <c r="O12" t="s">
        <v>27</v>
      </c>
    </row>
    <row r="13" spans="1:15" x14ac:dyDescent="0.3">
      <c r="A13" t="s">
        <v>7946</v>
      </c>
      <c r="B13" t="s">
        <v>7945</v>
      </c>
      <c r="C13" t="s">
        <v>74</v>
      </c>
      <c r="D13">
        <v>88</v>
      </c>
      <c r="E13" t="s">
        <v>132</v>
      </c>
      <c r="F13" t="s">
        <v>67</v>
      </c>
      <c r="G13" s="8">
        <v>46115</v>
      </c>
      <c r="H13" s="8">
        <v>46118</v>
      </c>
      <c r="I13" t="s">
        <v>8102</v>
      </c>
      <c r="J13" t="s">
        <v>7943</v>
      </c>
      <c r="K13" t="s">
        <v>27</v>
      </c>
      <c r="L13">
        <v>10982.18</v>
      </c>
      <c r="M13">
        <v>101</v>
      </c>
      <c r="N13" t="s">
        <v>25</v>
      </c>
      <c r="O13" t="s">
        <v>123</v>
      </c>
    </row>
    <row r="14" spans="1:15" x14ac:dyDescent="0.3">
      <c r="A14" t="s">
        <v>7942</v>
      </c>
      <c r="B14" t="s">
        <v>7941</v>
      </c>
      <c r="C14" t="s">
        <v>40</v>
      </c>
      <c r="D14">
        <v>65</v>
      </c>
      <c r="E14" t="s">
        <v>39</v>
      </c>
      <c r="F14" t="s">
        <v>20</v>
      </c>
      <c r="G14" s="8">
        <v>46070</v>
      </c>
      <c r="H14" s="8">
        <v>46097</v>
      </c>
      <c r="I14" t="s">
        <v>8103</v>
      </c>
      <c r="J14" t="s">
        <v>7939</v>
      </c>
      <c r="K14" t="s">
        <v>27</v>
      </c>
      <c r="L14">
        <v>21073.4</v>
      </c>
      <c r="M14">
        <v>178</v>
      </c>
      <c r="N14" t="s">
        <v>43</v>
      </c>
      <c r="O14" t="s">
        <v>57</v>
      </c>
    </row>
    <row r="15" spans="1:15" x14ac:dyDescent="0.3">
      <c r="A15" t="s">
        <v>7938</v>
      </c>
      <c r="B15" t="s">
        <v>7937</v>
      </c>
      <c r="C15" t="s">
        <v>40</v>
      </c>
      <c r="D15">
        <v>70</v>
      </c>
      <c r="E15" t="s">
        <v>47</v>
      </c>
      <c r="F15" t="s">
        <v>67</v>
      </c>
      <c r="G15" s="8">
        <v>45988</v>
      </c>
      <c r="H15" s="8">
        <v>46003</v>
      </c>
      <c r="I15" t="s">
        <v>8104</v>
      </c>
      <c r="J15" t="s">
        <v>7935</v>
      </c>
      <c r="K15" t="s">
        <v>27</v>
      </c>
      <c r="L15">
        <v>2974.32</v>
      </c>
      <c r="M15">
        <v>549</v>
      </c>
      <c r="N15" t="s">
        <v>50</v>
      </c>
      <c r="O15" t="s">
        <v>17</v>
      </c>
    </row>
    <row r="16" spans="1:15" x14ac:dyDescent="0.3">
      <c r="A16" t="s">
        <v>7934</v>
      </c>
      <c r="B16" t="s">
        <v>7933</v>
      </c>
      <c r="C16" t="s">
        <v>40</v>
      </c>
      <c r="D16">
        <v>31</v>
      </c>
      <c r="E16" t="s">
        <v>47</v>
      </c>
      <c r="F16" t="s">
        <v>8077</v>
      </c>
      <c r="G16" s="8">
        <v>46112</v>
      </c>
      <c r="H16" s="8">
        <v>46140</v>
      </c>
      <c r="I16" t="s">
        <v>8105</v>
      </c>
      <c r="J16" t="s">
        <v>7931</v>
      </c>
      <c r="K16" t="s">
        <v>64</v>
      </c>
      <c r="L16">
        <v>2324.21</v>
      </c>
      <c r="M16">
        <v>517</v>
      </c>
      <c r="N16" t="s">
        <v>77</v>
      </c>
      <c r="O16" t="s">
        <v>123</v>
      </c>
    </row>
    <row r="17" spans="1:15" x14ac:dyDescent="0.3">
      <c r="A17" t="s">
        <v>7930</v>
      </c>
      <c r="B17" t="s">
        <v>7929</v>
      </c>
      <c r="C17" t="s">
        <v>40</v>
      </c>
      <c r="D17">
        <v>17</v>
      </c>
      <c r="E17" t="s">
        <v>68</v>
      </c>
      <c r="F17" t="s">
        <v>20</v>
      </c>
      <c r="G17" s="8">
        <v>46067</v>
      </c>
      <c r="H17" s="8">
        <v>46075</v>
      </c>
      <c r="I17" t="s">
        <v>8106</v>
      </c>
      <c r="J17" t="s">
        <v>7927</v>
      </c>
      <c r="K17" t="s">
        <v>123</v>
      </c>
      <c r="L17">
        <v>24116.2</v>
      </c>
      <c r="M17">
        <v>465</v>
      </c>
      <c r="N17" t="s">
        <v>43</v>
      </c>
      <c r="O17" t="s">
        <v>57</v>
      </c>
    </row>
    <row r="18" spans="1:15" x14ac:dyDescent="0.3">
      <c r="A18" t="s">
        <v>7926</v>
      </c>
      <c r="B18" t="s">
        <v>7925</v>
      </c>
      <c r="C18" t="s">
        <v>123</v>
      </c>
      <c r="D18">
        <v>86</v>
      </c>
      <c r="E18" t="s">
        <v>31</v>
      </c>
      <c r="F18" t="s">
        <v>85</v>
      </c>
      <c r="G18" s="8">
        <v>46063</v>
      </c>
      <c r="H18" s="8">
        <v>46091</v>
      </c>
      <c r="I18" t="s">
        <v>8107</v>
      </c>
      <c r="J18" t="s">
        <v>7923</v>
      </c>
      <c r="K18" t="s">
        <v>123</v>
      </c>
      <c r="L18">
        <v>3200.9</v>
      </c>
      <c r="M18">
        <v>132</v>
      </c>
      <c r="N18" t="s">
        <v>43</v>
      </c>
      <c r="O18" t="s">
        <v>57</v>
      </c>
    </row>
    <row r="19" spans="1:15" x14ac:dyDescent="0.3">
      <c r="A19" t="s">
        <v>7918</v>
      </c>
      <c r="B19" t="s">
        <v>7917</v>
      </c>
      <c r="C19" t="s">
        <v>40</v>
      </c>
      <c r="D19">
        <v>43</v>
      </c>
      <c r="E19" t="s">
        <v>80</v>
      </c>
      <c r="F19" t="s">
        <v>8077</v>
      </c>
      <c r="G19" s="8">
        <v>45999</v>
      </c>
      <c r="H19" s="8">
        <v>46007</v>
      </c>
      <c r="I19" t="s">
        <v>8108</v>
      </c>
      <c r="J19" t="s">
        <v>7915</v>
      </c>
      <c r="K19" t="s">
        <v>123</v>
      </c>
      <c r="L19">
        <v>5513.07</v>
      </c>
      <c r="M19">
        <v>470</v>
      </c>
      <c r="N19" t="s">
        <v>34</v>
      </c>
      <c r="O19" t="s">
        <v>26</v>
      </c>
    </row>
    <row r="20" spans="1:15" x14ac:dyDescent="0.3">
      <c r="A20" t="s">
        <v>7914</v>
      </c>
      <c r="B20" t="s">
        <v>7913</v>
      </c>
      <c r="C20" t="s">
        <v>123</v>
      </c>
      <c r="D20">
        <v>32</v>
      </c>
      <c r="E20" t="s">
        <v>68</v>
      </c>
      <c r="F20" t="s">
        <v>67</v>
      </c>
      <c r="G20" s="8">
        <v>45980</v>
      </c>
      <c r="H20" s="8">
        <v>45986</v>
      </c>
      <c r="I20" t="s">
        <v>8109</v>
      </c>
      <c r="J20" t="s">
        <v>7911</v>
      </c>
      <c r="K20" t="s">
        <v>64</v>
      </c>
      <c r="L20">
        <v>2603.88</v>
      </c>
      <c r="M20">
        <v>281</v>
      </c>
      <c r="N20" t="s">
        <v>16</v>
      </c>
      <c r="O20" t="s">
        <v>123</v>
      </c>
    </row>
    <row r="21" spans="1:15" x14ac:dyDescent="0.3">
      <c r="A21" t="s">
        <v>7910</v>
      </c>
      <c r="B21" t="s">
        <v>7909</v>
      </c>
      <c r="C21" t="s">
        <v>123</v>
      </c>
      <c r="D21">
        <v>60</v>
      </c>
      <c r="E21" t="s">
        <v>47</v>
      </c>
      <c r="F21" t="s">
        <v>20</v>
      </c>
      <c r="G21" s="8">
        <v>46058</v>
      </c>
      <c r="H21" s="8">
        <v>46059</v>
      </c>
      <c r="I21" t="s">
        <v>8110</v>
      </c>
      <c r="J21" t="s">
        <v>7907</v>
      </c>
      <c r="K21" t="s">
        <v>123</v>
      </c>
      <c r="L21">
        <v>18259.7</v>
      </c>
      <c r="M21">
        <v>227</v>
      </c>
      <c r="N21" t="s">
        <v>71</v>
      </c>
      <c r="O21" t="s">
        <v>64</v>
      </c>
    </row>
    <row r="22" spans="1:15" x14ac:dyDescent="0.3">
      <c r="A22" t="s">
        <v>7906</v>
      </c>
      <c r="B22" t="s">
        <v>7905</v>
      </c>
      <c r="C22" t="s">
        <v>74</v>
      </c>
      <c r="D22">
        <v>69</v>
      </c>
      <c r="E22" t="s">
        <v>68</v>
      </c>
      <c r="F22" t="s">
        <v>20</v>
      </c>
      <c r="G22" s="8">
        <v>46077</v>
      </c>
      <c r="H22" s="8">
        <v>46090</v>
      </c>
      <c r="I22" t="s">
        <v>8111</v>
      </c>
      <c r="J22" t="s">
        <v>7903</v>
      </c>
      <c r="K22" t="s">
        <v>27</v>
      </c>
      <c r="L22">
        <v>7107.92</v>
      </c>
      <c r="M22">
        <v>547</v>
      </c>
      <c r="N22" t="s">
        <v>77</v>
      </c>
      <c r="O22" t="s">
        <v>57</v>
      </c>
    </row>
    <row r="23" spans="1:15" x14ac:dyDescent="0.3">
      <c r="A23" t="s">
        <v>7902</v>
      </c>
      <c r="B23" t="s">
        <v>7901</v>
      </c>
      <c r="C23" t="s">
        <v>123</v>
      </c>
      <c r="D23">
        <v>71</v>
      </c>
      <c r="E23" t="s">
        <v>80</v>
      </c>
      <c r="F23" t="s">
        <v>46</v>
      </c>
      <c r="G23" s="8">
        <v>46097</v>
      </c>
      <c r="H23" s="8">
        <v>46117</v>
      </c>
      <c r="I23" t="s">
        <v>8112</v>
      </c>
      <c r="J23" t="s">
        <v>7899</v>
      </c>
      <c r="K23" t="s">
        <v>27</v>
      </c>
      <c r="L23">
        <v>24231.11</v>
      </c>
      <c r="M23">
        <v>185</v>
      </c>
      <c r="N23" t="s">
        <v>16</v>
      </c>
      <c r="O23" t="s">
        <v>57</v>
      </c>
    </row>
    <row r="24" spans="1:15" x14ac:dyDescent="0.3">
      <c r="A24" t="s">
        <v>7898</v>
      </c>
      <c r="B24" t="s">
        <v>7897</v>
      </c>
      <c r="C24" t="s">
        <v>123</v>
      </c>
      <c r="D24">
        <v>62</v>
      </c>
      <c r="E24" t="s">
        <v>21</v>
      </c>
      <c r="F24" t="s">
        <v>67</v>
      </c>
      <c r="G24" s="8">
        <v>46044</v>
      </c>
      <c r="H24" s="8">
        <v>46072</v>
      </c>
      <c r="I24" t="s">
        <v>8113</v>
      </c>
      <c r="J24" t="s">
        <v>7895</v>
      </c>
      <c r="K24" t="s">
        <v>27</v>
      </c>
      <c r="L24">
        <v>4283</v>
      </c>
      <c r="M24">
        <v>299</v>
      </c>
      <c r="N24" t="s">
        <v>43</v>
      </c>
      <c r="O24" t="s">
        <v>27</v>
      </c>
    </row>
    <row r="25" spans="1:15" x14ac:dyDescent="0.3">
      <c r="A25" t="s">
        <v>7894</v>
      </c>
      <c r="B25" t="s">
        <v>7893</v>
      </c>
      <c r="C25" t="s">
        <v>123</v>
      </c>
      <c r="D25">
        <v>37</v>
      </c>
      <c r="E25" t="s">
        <v>54</v>
      </c>
      <c r="F25" t="s">
        <v>85</v>
      </c>
      <c r="G25" s="8">
        <v>46040</v>
      </c>
      <c r="H25" s="8">
        <v>46044</v>
      </c>
      <c r="I25" t="s">
        <v>8114</v>
      </c>
      <c r="J25" t="s">
        <v>7891</v>
      </c>
      <c r="K25" t="s">
        <v>64</v>
      </c>
      <c r="L25">
        <v>7558.35</v>
      </c>
      <c r="M25">
        <v>396</v>
      </c>
      <c r="N25" t="s">
        <v>25</v>
      </c>
      <c r="O25" t="s">
        <v>27</v>
      </c>
    </row>
    <row r="26" spans="1:15" x14ac:dyDescent="0.3">
      <c r="A26" t="s">
        <v>7890</v>
      </c>
      <c r="B26" t="s">
        <v>7889</v>
      </c>
      <c r="C26" t="s">
        <v>40</v>
      </c>
      <c r="D26">
        <v>41</v>
      </c>
      <c r="E26" t="s">
        <v>47</v>
      </c>
      <c r="F26" t="s">
        <v>46</v>
      </c>
      <c r="G26" s="8">
        <v>46132</v>
      </c>
      <c r="H26" s="8">
        <v>46150</v>
      </c>
      <c r="I26" t="s">
        <v>8115</v>
      </c>
      <c r="J26" t="s">
        <v>7887</v>
      </c>
      <c r="K26" t="s">
        <v>123</v>
      </c>
      <c r="L26">
        <v>12670.69</v>
      </c>
      <c r="M26">
        <v>129</v>
      </c>
      <c r="N26" t="s">
        <v>34</v>
      </c>
      <c r="O26" t="s">
        <v>26</v>
      </c>
    </row>
    <row r="27" spans="1:15" x14ac:dyDescent="0.3">
      <c r="A27" t="s">
        <v>7886</v>
      </c>
      <c r="B27" t="s">
        <v>7885</v>
      </c>
      <c r="C27" t="s">
        <v>74</v>
      </c>
      <c r="D27">
        <v>24</v>
      </c>
      <c r="E27" t="s">
        <v>80</v>
      </c>
      <c r="F27" t="s">
        <v>20</v>
      </c>
      <c r="G27" s="8">
        <v>46092</v>
      </c>
      <c r="H27" s="8">
        <v>46113</v>
      </c>
      <c r="I27" t="s">
        <v>8116</v>
      </c>
      <c r="J27" t="s">
        <v>7883</v>
      </c>
      <c r="K27" t="s">
        <v>64</v>
      </c>
      <c r="L27">
        <v>10213.629999999999</v>
      </c>
      <c r="M27">
        <v>396</v>
      </c>
      <c r="N27" t="s">
        <v>34</v>
      </c>
      <c r="O27" t="s">
        <v>57</v>
      </c>
    </row>
    <row r="28" spans="1:15" x14ac:dyDescent="0.3">
      <c r="A28" t="s">
        <v>7882</v>
      </c>
      <c r="B28" t="s">
        <v>7881</v>
      </c>
      <c r="C28" t="s">
        <v>40</v>
      </c>
      <c r="D28">
        <v>80</v>
      </c>
      <c r="E28" t="s">
        <v>80</v>
      </c>
      <c r="F28" t="s">
        <v>67</v>
      </c>
      <c r="G28" s="8">
        <v>46076</v>
      </c>
      <c r="H28" s="8">
        <v>46097</v>
      </c>
      <c r="I28" t="s">
        <v>8117</v>
      </c>
      <c r="J28" t="s">
        <v>7879</v>
      </c>
      <c r="K28" t="s">
        <v>64</v>
      </c>
      <c r="L28">
        <v>23380.720000000001</v>
      </c>
      <c r="M28">
        <v>442</v>
      </c>
      <c r="N28" t="s">
        <v>25</v>
      </c>
      <c r="O28" t="s">
        <v>57</v>
      </c>
    </row>
    <row r="29" spans="1:15" x14ac:dyDescent="0.3">
      <c r="A29" t="s">
        <v>7878</v>
      </c>
      <c r="B29" t="s">
        <v>7877</v>
      </c>
      <c r="C29" t="s">
        <v>74</v>
      </c>
      <c r="D29">
        <v>31</v>
      </c>
      <c r="E29" t="s">
        <v>132</v>
      </c>
      <c r="F29" t="s">
        <v>67</v>
      </c>
      <c r="G29" s="8">
        <v>46064</v>
      </c>
      <c r="H29" s="8">
        <v>46068</v>
      </c>
      <c r="I29" t="s">
        <v>8118</v>
      </c>
      <c r="J29" t="s">
        <v>7875</v>
      </c>
      <c r="K29" t="s">
        <v>27</v>
      </c>
      <c r="L29">
        <v>11539.17</v>
      </c>
      <c r="M29">
        <v>104</v>
      </c>
      <c r="N29" t="s">
        <v>16</v>
      </c>
      <c r="O29" t="s">
        <v>64</v>
      </c>
    </row>
    <row r="30" spans="1:15" x14ac:dyDescent="0.3">
      <c r="A30" t="s">
        <v>7874</v>
      </c>
      <c r="B30" t="s">
        <v>7873</v>
      </c>
      <c r="C30" t="s">
        <v>74</v>
      </c>
      <c r="D30">
        <v>10</v>
      </c>
      <c r="E30" t="s">
        <v>21</v>
      </c>
      <c r="F30" t="s">
        <v>30</v>
      </c>
      <c r="G30" s="8">
        <v>46070</v>
      </c>
      <c r="H30" s="8">
        <v>46074</v>
      </c>
      <c r="I30" t="s">
        <v>8119</v>
      </c>
      <c r="J30" t="s">
        <v>7871</v>
      </c>
      <c r="K30" t="s">
        <v>64</v>
      </c>
      <c r="L30">
        <v>22045.43</v>
      </c>
      <c r="M30">
        <v>289</v>
      </c>
      <c r="N30" t="s">
        <v>43</v>
      </c>
      <c r="O30" t="s">
        <v>57</v>
      </c>
    </row>
    <row r="31" spans="1:15" x14ac:dyDescent="0.3">
      <c r="A31" t="s">
        <v>7870</v>
      </c>
      <c r="B31" t="s">
        <v>7869</v>
      </c>
      <c r="C31" t="s">
        <v>40</v>
      </c>
      <c r="D31">
        <v>57</v>
      </c>
      <c r="E31" t="s">
        <v>132</v>
      </c>
      <c r="F31" t="s">
        <v>46</v>
      </c>
      <c r="G31" s="8">
        <v>46147</v>
      </c>
      <c r="H31" s="8">
        <v>46168</v>
      </c>
      <c r="I31" t="s">
        <v>8120</v>
      </c>
      <c r="J31" t="s">
        <v>7867</v>
      </c>
      <c r="K31" t="s">
        <v>27</v>
      </c>
      <c r="L31">
        <v>23307.55</v>
      </c>
      <c r="M31">
        <v>549</v>
      </c>
      <c r="N31" t="s">
        <v>71</v>
      </c>
      <c r="O31" t="s">
        <v>64</v>
      </c>
    </row>
    <row r="32" spans="1:15" x14ac:dyDescent="0.3">
      <c r="A32" t="s">
        <v>7866</v>
      </c>
      <c r="B32" t="s">
        <v>7865</v>
      </c>
      <c r="C32" t="s">
        <v>40</v>
      </c>
      <c r="D32">
        <v>15</v>
      </c>
      <c r="E32" t="s">
        <v>80</v>
      </c>
      <c r="F32" t="s">
        <v>20</v>
      </c>
      <c r="G32" s="8">
        <v>46044</v>
      </c>
      <c r="H32" s="8">
        <v>46052</v>
      </c>
      <c r="I32" t="s">
        <v>8121</v>
      </c>
      <c r="J32" t="s">
        <v>7863</v>
      </c>
      <c r="K32" t="s">
        <v>27</v>
      </c>
      <c r="L32">
        <v>15199.78</v>
      </c>
      <c r="M32">
        <v>204</v>
      </c>
      <c r="N32" t="s">
        <v>25</v>
      </c>
      <c r="O32" t="s">
        <v>17</v>
      </c>
    </row>
    <row r="33" spans="1:15" x14ac:dyDescent="0.3">
      <c r="A33" t="s">
        <v>7862</v>
      </c>
      <c r="B33" t="s">
        <v>7861</v>
      </c>
      <c r="C33" t="s">
        <v>40</v>
      </c>
      <c r="D33">
        <v>65</v>
      </c>
      <c r="E33" t="s">
        <v>68</v>
      </c>
      <c r="F33" t="s">
        <v>30</v>
      </c>
      <c r="G33" s="8">
        <v>46098</v>
      </c>
      <c r="H33" s="8">
        <v>46126</v>
      </c>
      <c r="I33" t="s">
        <v>8122</v>
      </c>
      <c r="J33" t="s">
        <v>7859</v>
      </c>
      <c r="K33" t="s">
        <v>27</v>
      </c>
      <c r="L33">
        <v>2489</v>
      </c>
      <c r="M33">
        <v>524</v>
      </c>
      <c r="N33" t="s">
        <v>43</v>
      </c>
      <c r="O33" t="s">
        <v>123</v>
      </c>
    </row>
    <row r="34" spans="1:15" x14ac:dyDescent="0.3">
      <c r="A34" t="s">
        <v>7858</v>
      </c>
      <c r="B34" t="s">
        <v>7857</v>
      </c>
      <c r="C34" t="s">
        <v>40</v>
      </c>
      <c r="D34">
        <v>1</v>
      </c>
      <c r="E34" t="s">
        <v>31</v>
      </c>
      <c r="F34" t="s">
        <v>20</v>
      </c>
      <c r="G34" s="8">
        <v>46125</v>
      </c>
      <c r="H34" s="8">
        <v>46145</v>
      </c>
      <c r="I34" t="s">
        <v>8123</v>
      </c>
      <c r="J34" t="s">
        <v>7855</v>
      </c>
      <c r="K34" t="s">
        <v>27</v>
      </c>
      <c r="L34">
        <v>4207.2299999999996</v>
      </c>
      <c r="M34">
        <v>382</v>
      </c>
      <c r="N34" t="s">
        <v>25</v>
      </c>
      <c r="O34" t="s">
        <v>123</v>
      </c>
    </row>
    <row r="35" spans="1:15" x14ac:dyDescent="0.3">
      <c r="A35" t="s">
        <v>7854</v>
      </c>
      <c r="B35" t="s">
        <v>7853</v>
      </c>
      <c r="C35" t="s">
        <v>123</v>
      </c>
      <c r="D35">
        <v>72</v>
      </c>
      <c r="E35" t="s">
        <v>47</v>
      </c>
      <c r="F35" t="s">
        <v>20</v>
      </c>
      <c r="G35" s="8">
        <v>45996</v>
      </c>
      <c r="H35" s="8">
        <v>45998</v>
      </c>
      <c r="I35" t="s">
        <v>8124</v>
      </c>
      <c r="J35" t="s">
        <v>7851</v>
      </c>
      <c r="K35" t="s">
        <v>27</v>
      </c>
      <c r="L35">
        <v>13730.64</v>
      </c>
      <c r="M35">
        <v>398</v>
      </c>
      <c r="N35" t="s">
        <v>34</v>
      </c>
      <c r="O35" t="s">
        <v>17</v>
      </c>
    </row>
    <row r="36" spans="1:15" x14ac:dyDescent="0.3">
      <c r="A36" t="s">
        <v>7850</v>
      </c>
      <c r="B36" t="s">
        <v>7849</v>
      </c>
      <c r="C36" t="s">
        <v>40</v>
      </c>
      <c r="D36">
        <v>56</v>
      </c>
      <c r="E36" t="s">
        <v>39</v>
      </c>
      <c r="F36" t="s">
        <v>46</v>
      </c>
      <c r="G36" s="8">
        <v>46130</v>
      </c>
      <c r="H36" s="8">
        <v>46139</v>
      </c>
      <c r="I36" t="s">
        <v>8125</v>
      </c>
      <c r="J36" t="s">
        <v>7847</v>
      </c>
      <c r="K36" t="s">
        <v>64</v>
      </c>
      <c r="L36">
        <v>22494.74</v>
      </c>
      <c r="M36">
        <v>283</v>
      </c>
      <c r="N36" t="s">
        <v>71</v>
      </c>
      <c r="O36" t="s">
        <v>27</v>
      </c>
    </row>
    <row r="37" spans="1:15" x14ac:dyDescent="0.3">
      <c r="A37" t="s">
        <v>7846</v>
      </c>
      <c r="B37" t="s">
        <v>7845</v>
      </c>
      <c r="C37" t="s">
        <v>74</v>
      </c>
      <c r="D37">
        <v>86</v>
      </c>
      <c r="E37" t="s">
        <v>80</v>
      </c>
      <c r="F37" t="s">
        <v>67</v>
      </c>
      <c r="G37" s="8">
        <v>45995</v>
      </c>
      <c r="H37" s="8">
        <v>46019</v>
      </c>
      <c r="I37" t="s">
        <v>8126</v>
      </c>
      <c r="J37" t="s">
        <v>7843</v>
      </c>
      <c r="K37" t="s">
        <v>123</v>
      </c>
      <c r="L37">
        <v>24351.16</v>
      </c>
      <c r="M37">
        <v>221</v>
      </c>
      <c r="N37" t="s">
        <v>50</v>
      </c>
      <c r="O37" t="s">
        <v>26</v>
      </c>
    </row>
    <row r="38" spans="1:15" x14ac:dyDescent="0.3">
      <c r="A38" t="s">
        <v>7842</v>
      </c>
      <c r="B38" t="s">
        <v>7841</v>
      </c>
      <c r="C38" t="s">
        <v>40</v>
      </c>
      <c r="D38">
        <v>23</v>
      </c>
      <c r="E38" t="s">
        <v>54</v>
      </c>
      <c r="F38" t="s">
        <v>46</v>
      </c>
      <c r="G38" s="8">
        <v>46041</v>
      </c>
      <c r="H38" s="8">
        <v>46046</v>
      </c>
      <c r="I38" t="s">
        <v>8127</v>
      </c>
      <c r="J38" t="s">
        <v>7839</v>
      </c>
      <c r="K38" t="s">
        <v>64</v>
      </c>
      <c r="L38">
        <v>19603.189999999999</v>
      </c>
      <c r="M38">
        <v>510</v>
      </c>
      <c r="N38" t="s">
        <v>25</v>
      </c>
      <c r="O38" t="s">
        <v>123</v>
      </c>
    </row>
    <row r="39" spans="1:15" x14ac:dyDescent="0.3">
      <c r="A39" t="s">
        <v>7838</v>
      </c>
      <c r="B39" t="s">
        <v>7837</v>
      </c>
      <c r="C39" t="s">
        <v>74</v>
      </c>
      <c r="D39">
        <v>35</v>
      </c>
      <c r="E39" t="s">
        <v>39</v>
      </c>
      <c r="F39" t="s">
        <v>20</v>
      </c>
      <c r="G39" s="8">
        <v>46029</v>
      </c>
      <c r="H39" s="8">
        <v>46041</v>
      </c>
      <c r="I39" t="s">
        <v>8128</v>
      </c>
      <c r="J39" t="s">
        <v>7835</v>
      </c>
      <c r="K39" t="s">
        <v>27</v>
      </c>
      <c r="L39">
        <v>21493.11</v>
      </c>
      <c r="M39">
        <v>202</v>
      </c>
      <c r="N39" t="s">
        <v>50</v>
      </c>
      <c r="O39" t="s">
        <v>57</v>
      </c>
    </row>
    <row r="40" spans="1:15" x14ac:dyDescent="0.3">
      <c r="A40" t="s">
        <v>7834</v>
      </c>
      <c r="B40" t="s">
        <v>7833</v>
      </c>
      <c r="C40" t="s">
        <v>123</v>
      </c>
      <c r="D40">
        <v>45</v>
      </c>
      <c r="E40" t="s">
        <v>132</v>
      </c>
      <c r="F40" t="s">
        <v>8077</v>
      </c>
      <c r="G40" s="8">
        <v>46020</v>
      </c>
      <c r="H40" s="8">
        <v>46027</v>
      </c>
      <c r="I40" t="s">
        <v>8129</v>
      </c>
      <c r="J40" t="s">
        <v>7831</v>
      </c>
      <c r="K40" t="s">
        <v>27</v>
      </c>
      <c r="L40">
        <v>16568.82</v>
      </c>
      <c r="M40">
        <v>268</v>
      </c>
      <c r="N40" t="s">
        <v>43</v>
      </c>
      <c r="O40" t="s">
        <v>123</v>
      </c>
    </row>
    <row r="41" spans="1:15" x14ac:dyDescent="0.3">
      <c r="A41" t="s">
        <v>7830</v>
      </c>
      <c r="B41" t="s">
        <v>7829</v>
      </c>
      <c r="C41" t="s">
        <v>74</v>
      </c>
      <c r="D41">
        <v>36</v>
      </c>
      <c r="E41" t="s">
        <v>31</v>
      </c>
      <c r="F41" t="s">
        <v>67</v>
      </c>
      <c r="G41" s="8">
        <v>45985</v>
      </c>
      <c r="H41" s="8">
        <v>46006</v>
      </c>
      <c r="I41" t="s">
        <v>8130</v>
      </c>
      <c r="J41" t="s">
        <v>7827</v>
      </c>
      <c r="K41" t="s">
        <v>64</v>
      </c>
      <c r="L41">
        <v>23493.08</v>
      </c>
      <c r="M41">
        <v>549</v>
      </c>
      <c r="N41" t="s">
        <v>43</v>
      </c>
      <c r="O41" t="s">
        <v>64</v>
      </c>
    </row>
    <row r="42" spans="1:15" x14ac:dyDescent="0.3">
      <c r="A42" t="s">
        <v>7826</v>
      </c>
      <c r="B42" t="s">
        <v>7825</v>
      </c>
      <c r="C42" t="s">
        <v>40</v>
      </c>
      <c r="D42">
        <v>75</v>
      </c>
      <c r="E42" t="s">
        <v>132</v>
      </c>
      <c r="F42" t="s">
        <v>46</v>
      </c>
      <c r="G42" s="8">
        <v>46018</v>
      </c>
      <c r="H42" s="8">
        <v>46021</v>
      </c>
      <c r="I42" t="s">
        <v>8131</v>
      </c>
      <c r="J42" t="s">
        <v>7823</v>
      </c>
      <c r="K42" t="s">
        <v>123</v>
      </c>
      <c r="L42">
        <v>8773.0400000000009</v>
      </c>
      <c r="M42">
        <v>323</v>
      </c>
      <c r="N42" t="s">
        <v>34</v>
      </c>
      <c r="O42" t="s">
        <v>17</v>
      </c>
    </row>
    <row r="43" spans="1:15" x14ac:dyDescent="0.3">
      <c r="A43" t="s">
        <v>7822</v>
      </c>
      <c r="B43" t="s">
        <v>7821</v>
      </c>
      <c r="C43" t="s">
        <v>74</v>
      </c>
      <c r="D43">
        <v>50</v>
      </c>
      <c r="E43" t="s">
        <v>21</v>
      </c>
      <c r="F43" t="s">
        <v>30</v>
      </c>
      <c r="G43" s="8">
        <v>46084</v>
      </c>
      <c r="H43" s="8">
        <v>46085</v>
      </c>
      <c r="I43" t="s">
        <v>8132</v>
      </c>
      <c r="J43" t="s">
        <v>7819</v>
      </c>
      <c r="K43" t="s">
        <v>123</v>
      </c>
      <c r="L43">
        <v>241.94</v>
      </c>
      <c r="M43">
        <v>286</v>
      </c>
      <c r="N43" t="s">
        <v>16</v>
      </c>
      <c r="O43" t="s">
        <v>57</v>
      </c>
    </row>
    <row r="44" spans="1:15" x14ac:dyDescent="0.3">
      <c r="A44" t="s">
        <v>7818</v>
      </c>
      <c r="B44" t="s">
        <v>7817</v>
      </c>
      <c r="C44" t="s">
        <v>74</v>
      </c>
      <c r="D44">
        <v>86</v>
      </c>
      <c r="E44" t="s">
        <v>31</v>
      </c>
      <c r="F44" t="s">
        <v>67</v>
      </c>
      <c r="G44" s="8">
        <v>46088</v>
      </c>
      <c r="H44" s="8">
        <v>46109</v>
      </c>
      <c r="I44" t="s">
        <v>8133</v>
      </c>
      <c r="J44" t="s">
        <v>7815</v>
      </c>
      <c r="K44" t="s">
        <v>64</v>
      </c>
      <c r="L44">
        <v>18049.91</v>
      </c>
      <c r="M44">
        <v>359</v>
      </c>
      <c r="N44" t="s">
        <v>43</v>
      </c>
      <c r="O44" t="s">
        <v>63</v>
      </c>
    </row>
    <row r="45" spans="1:15" x14ac:dyDescent="0.3">
      <c r="A45" t="s">
        <v>7814</v>
      </c>
      <c r="B45" t="s">
        <v>7813</v>
      </c>
      <c r="C45" t="s">
        <v>123</v>
      </c>
      <c r="D45">
        <v>42</v>
      </c>
      <c r="E45" t="s">
        <v>54</v>
      </c>
      <c r="F45" t="s">
        <v>30</v>
      </c>
      <c r="G45" s="8">
        <v>46013</v>
      </c>
      <c r="H45" s="8">
        <v>46030</v>
      </c>
      <c r="I45" t="s">
        <v>8134</v>
      </c>
      <c r="J45" t="s">
        <v>7811</v>
      </c>
      <c r="K45" t="s">
        <v>27</v>
      </c>
      <c r="L45">
        <v>4957.63</v>
      </c>
      <c r="M45">
        <v>446</v>
      </c>
      <c r="N45" t="s">
        <v>25</v>
      </c>
      <c r="O45" t="s">
        <v>123</v>
      </c>
    </row>
    <row r="46" spans="1:15" x14ac:dyDescent="0.3">
      <c r="A46" t="s">
        <v>7810</v>
      </c>
      <c r="B46" t="s">
        <v>7809</v>
      </c>
      <c r="C46" t="s">
        <v>40</v>
      </c>
      <c r="D46">
        <v>79</v>
      </c>
      <c r="E46" t="s">
        <v>132</v>
      </c>
      <c r="F46" t="s">
        <v>67</v>
      </c>
      <c r="G46" s="8">
        <v>45980</v>
      </c>
      <c r="H46" s="8">
        <v>45997</v>
      </c>
      <c r="I46" t="s">
        <v>8135</v>
      </c>
      <c r="J46" t="s">
        <v>7807</v>
      </c>
      <c r="K46" t="s">
        <v>27</v>
      </c>
      <c r="L46">
        <v>7736.1</v>
      </c>
      <c r="M46">
        <v>320</v>
      </c>
      <c r="N46" t="s">
        <v>50</v>
      </c>
      <c r="O46" t="s">
        <v>57</v>
      </c>
    </row>
    <row r="47" spans="1:15" x14ac:dyDescent="0.3">
      <c r="A47" t="s">
        <v>7806</v>
      </c>
      <c r="B47" t="s">
        <v>7805</v>
      </c>
      <c r="C47" t="s">
        <v>74</v>
      </c>
      <c r="D47">
        <v>60</v>
      </c>
      <c r="E47" t="s">
        <v>68</v>
      </c>
      <c r="F47" t="s">
        <v>85</v>
      </c>
      <c r="G47" s="8">
        <v>46142</v>
      </c>
      <c r="H47" s="8">
        <v>46163</v>
      </c>
      <c r="I47" t="s">
        <v>8136</v>
      </c>
      <c r="J47" t="s">
        <v>7803</v>
      </c>
      <c r="K47" t="s">
        <v>64</v>
      </c>
      <c r="L47">
        <v>12877.12</v>
      </c>
      <c r="M47">
        <v>437</v>
      </c>
      <c r="N47" t="s">
        <v>77</v>
      </c>
      <c r="O47" t="s">
        <v>26</v>
      </c>
    </row>
    <row r="48" spans="1:15" x14ac:dyDescent="0.3">
      <c r="A48" t="s">
        <v>7802</v>
      </c>
      <c r="B48" t="s">
        <v>7801</v>
      </c>
      <c r="C48" t="s">
        <v>40</v>
      </c>
      <c r="D48">
        <v>66</v>
      </c>
      <c r="E48" t="s">
        <v>31</v>
      </c>
      <c r="F48" t="s">
        <v>20</v>
      </c>
      <c r="G48" s="8">
        <v>45999</v>
      </c>
      <c r="H48" s="8">
        <v>46025</v>
      </c>
      <c r="I48" t="s">
        <v>8137</v>
      </c>
      <c r="J48" t="s">
        <v>7799</v>
      </c>
      <c r="K48" t="s">
        <v>64</v>
      </c>
      <c r="L48">
        <v>16885.330000000002</v>
      </c>
      <c r="M48">
        <v>512</v>
      </c>
      <c r="N48" t="s">
        <v>71</v>
      </c>
      <c r="O48" t="s">
        <v>57</v>
      </c>
    </row>
    <row r="49" spans="1:15" x14ac:dyDescent="0.3">
      <c r="A49" t="s">
        <v>7798</v>
      </c>
      <c r="B49" t="s">
        <v>7797</v>
      </c>
      <c r="C49" t="s">
        <v>40</v>
      </c>
      <c r="D49">
        <v>4</v>
      </c>
      <c r="E49" t="s">
        <v>47</v>
      </c>
      <c r="F49" t="s">
        <v>8077</v>
      </c>
      <c r="G49" s="8">
        <v>46019</v>
      </c>
      <c r="H49" s="8">
        <v>46034</v>
      </c>
      <c r="I49" t="s">
        <v>8138</v>
      </c>
      <c r="J49" t="s">
        <v>7795</v>
      </c>
      <c r="K49" t="s">
        <v>64</v>
      </c>
      <c r="L49">
        <v>11494.32</v>
      </c>
      <c r="M49">
        <v>467</v>
      </c>
      <c r="N49" t="s">
        <v>25</v>
      </c>
      <c r="O49" t="s">
        <v>57</v>
      </c>
    </row>
    <row r="50" spans="1:15" x14ac:dyDescent="0.3">
      <c r="A50" t="s">
        <v>7791</v>
      </c>
      <c r="B50" t="s">
        <v>7790</v>
      </c>
      <c r="C50" t="s">
        <v>74</v>
      </c>
      <c r="D50">
        <v>23</v>
      </c>
      <c r="E50" t="s">
        <v>68</v>
      </c>
      <c r="F50" t="s">
        <v>46</v>
      </c>
      <c r="G50" s="8">
        <v>46086</v>
      </c>
      <c r="H50" s="8">
        <v>46103</v>
      </c>
      <c r="I50" t="s">
        <v>8139</v>
      </c>
      <c r="J50" t="s">
        <v>7788</v>
      </c>
      <c r="K50" t="s">
        <v>64</v>
      </c>
      <c r="L50">
        <v>22953.26</v>
      </c>
      <c r="M50">
        <v>333</v>
      </c>
      <c r="N50" t="s">
        <v>71</v>
      </c>
      <c r="O50" t="s">
        <v>64</v>
      </c>
    </row>
    <row r="51" spans="1:15" x14ac:dyDescent="0.3">
      <c r="A51" t="s">
        <v>7787</v>
      </c>
      <c r="B51" t="s">
        <v>8034</v>
      </c>
      <c r="C51" t="s">
        <v>123</v>
      </c>
      <c r="D51">
        <v>86</v>
      </c>
      <c r="E51" t="s">
        <v>31</v>
      </c>
      <c r="F51" t="s">
        <v>85</v>
      </c>
      <c r="G51" s="8">
        <v>46073</v>
      </c>
      <c r="H51" s="8">
        <v>46092</v>
      </c>
      <c r="I51" t="s">
        <v>8140</v>
      </c>
      <c r="J51" t="s">
        <v>7784</v>
      </c>
      <c r="K51" t="s">
        <v>123</v>
      </c>
      <c r="L51">
        <v>20798.12</v>
      </c>
      <c r="M51">
        <v>181</v>
      </c>
      <c r="N51" t="s">
        <v>25</v>
      </c>
      <c r="O51" t="s">
        <v>123</v>
      </c>
    </row>
    <row r="52" spans="1:15" x14ac:dyDescent="0.3">
      <c r="A52" t="s">
        <v>7783</v>
      </c>
      <c r="B52" t="s">
        <v>7782</v>
      </c>
      <c r="C52" t="s">
        <v>123</v>
      </c>
      <c r="D52">
        <v>58</v>
      </c>
      <c r="E52" t="s">
        <v>132</v>
      </c>
      <c r="F52" t="s">
        <v>8077</v>
      </c>
      <c r="G52" s="8">
        <v>46041</v>
      </c>
      <c r="H52" s="8">
        <v>46067</v>
      </c>
      <c r="I52" t="s">
        <v>8141</v>
      </c>
      <c r="J52" t="s">
        <v>7780</v>
      </c>
      <c r="K52" t="s">
        <v>27</v>
      </c>
      <c r="L52">
        <v>19192.18</v>
      </c>
      <c r="M52">
        <v>420</v>
      </c>
      <c r="N52" t="s">
        <v>71</v>
      </c>
      <c r="O52" t="s">
        <v>123</v>
      </c>
    </row>
    <row r="53" spans="1:15" x14ac:dyDescent="0.3">
      <c r="A53" t="s">
        <v>7779</v>
      </c>
      <c r="B53" t="s">
        <v>7778</v>
      </c>
      <c r="C53" t="s">
        <v>40</v>
      </c>
      <c r="D53">
        <v>57</v>
      </c>
      <c r="E53" t="s">
        <v>80</v>
      </c>
      <c r="F53" t="s">
        <v>30</v>
      </c>
      <c r="G53" s="8">
        <v>46055</v>
      </c>
      <c r="H53" s="8">
        <v>46062</v>
      </c>
      <c r="I53" t="s">
        <v>8142</v>
      </c>
      <c r="J53" t="s">
        <v>7776</v>
      </c>
      <c r="K53" t="s">
        <v>27</v>
      </c>
      <c r="L53">
        <v>8529.02</v>
      </c>
      <c r="M53">
        <v>170</v>
      </c>
      <c r="N53" t="s">
        <v>71</v>
      </c>
      <c r="O53" t="s">
        <v>64</v>
      </c>
    </row>
    <row r="54" spans="1:15" x14ac:dyDescent="0.3">
      <c r="A54" t="s">
        <v>7775</v>
      </c>
      <c r="B54" t="s">
        <v>7774</v>
      </c>
      <c r="C54" t="s">
        <v>74</v>
      </c>
      <c r="D54">
        <v>50</v>
      </c>
      <c r="E54" t="s">
        <v>39</v>
      </c>
      <c r="F54" t="s">
        <v>8077</v>
      </c>
      <c r="G54" s="8">
        <v>45976</v>
      </c>
      <c r="H54" s="8">
        <v>45978</v>
      </c>
      <c r="I54" t="s">
        <v>8143</v>
      </c>
      <c r="J54" t="s">
        <v>7772</v>
      </c>
      <c r="K54" t="s">
        <v>123</v>
      </c>
      <c r="L54">
        <v>10308.459999999999</v>
      </c>
      <c r="M54">
        <v>312</v>
      </c>
      <c r="N54" t="s">
        <v>77</v>
      </c>
      <c r="O54" t="s">
        <v>123</v>
      </c>
    </row>
    <row r="55" spans="1:15" x14ac:dyDescent="0.3">
      <c r="A55" t="s">
        <v>7771</v>
      </c>
      <c r="B55" t="s">
        <v>7770</v>
      </c>
      <c r="C55" t="s">
        <v>74</v>
      </c>
      <c r="D55">
        <v>54</v>
      </c>
      <c r="E55" t="s">
        <v>54</v>
      </c>
      <c r="F55" t="s">
        <v>46</v>
      </c>
      <c r="G55" s="8">
        <v>46139</v>
      </c>
      <c r="H55" s="8">
        <v>46166</v>
      </c>
      <c r="I55" t="s">
        <v>8144</v>
      </c>
      <c r="J55" t="s">
        <v>7768</v>
      </c>
      <c r="K55" t="s">
        <v>123</v>
      </c>
      <c r="L55">
        <v>12029.1</v>
      </c>
      <c r="M55">
        <v>252</v>
      </c>
      <c r="N55" t="s">
        <v>50</v>
      </c>
      <c r="O55" t="s">
        <v>17</v>
      </c>
    </row>
    <row r="56" spans="1:15" x14ac:dyDescent="0.3">
      <c r="A56" t="s">
        <v>7767</v>
      </c>
      <c r="B56" t="s">
        <v>7766</v>
      </c>
      <c r="C56" t="s">
        <v>123</v>
      </c>
      <c r="D56">
        <v>54</v>
      </c>
      <c r="E56" t="s">
        <v>21</v>
      </c>
      <c r="F56" t="s">
        <v>85</v>
      </c>
      <c r="G56" s="8">
        <v>45980</v>
      </c>
      <c r="H56" s="8">
        <v>45987</v>
      </c>
      <c r="I56" t="s">
        <v>8145</v>
      </c>
      <c r="J56" t="s">
        <v>7764</v>
      </c>
      <c r="K56" t="s">
        <v>27</v>
      </c>
      <c r="L56">
        <v>11008.73</v>
      </c>
      <c r="M56">
        <v>299</v>
      </c>
      <c r="N56" t="s">
        <v>43</v>
      </c>
      <c r="O56" t="s">
        <v>27</v>
      </c>
    </row>
    <row r="57" spans="1:15" x14ac:dyDescent="0.3">
      <c r="A57" t="s">
        <v>7763</v>
      </c>
      <c r="B57" t="s">
        <v>7762</v>
      </c>
      <c r="C57" t="s">
        <v>123</v>
      </c>
      <c r="D57">
        <v>22</v>
      </c>
      <c r="E57" t="s">
        <v>68</v>
      </c>
      <c r="F57" t="s">
        <v>20</v>
      </c>
      <c r="G57" s="8">
        <v>46099</v>
      </c>
      <c r="H57" s="8">
        <v>46118</v>
      </c>
      <c r="I57" t="s">
        <v>8146</v>
      </c>
      <c r="J57" t="s">
        <v>7760</v>
      </c>
      <c r="K57" t="s">
        <v>27</v>
      </c>
      <c r="L57">
        <v>22691.84</v>
      </c>
      <c r="M57">
        <v>142</v>
      </c>
      <c r="N57" t="s">
        <v>25</v>
      </c>
      <c r="O57" t="s">
        <v>27</v>
      </c>
    </row>
    <row r="58" spans="1:15" x14ac:dyDescent="0.3">
      <c r="A58" t="s">
        <v>7759</v>
      </c>
      <c r="B58" t="s">
        <v>7758</v>
      </c>
      <c r="C58" t="s">
        <v>123</v>
      </c>
      <c r="D58">
        <v>18</v>
      </c>
      <c r="E58" t="s">
        <v>68</v>
      </c>
      <c r="F58" t="s">
        <v>20</v>
      </c>
      <c r="G58" s="8">
        <v>46017</v>
      </c>
      <c r="H58" s="8">
        <v>46018</v>
      </c>
      <c r="I58" t="s">
        <v>8147</v>
      </c>
      <c r="J58" t="s">
        <v>7756</v>
      </c>
      <c r="K58" t="s">
        <v>27</v>
      </c>
      <c r="L58">
        <v>9601.7800000000007</v>
      </c>
      <c r="M58">
        <v>332</v>
      </c>
      <c r="N58" t="s">
        <v>43</v>
      </c>
      <c r="O58" t="s">
        <v>57</v>
      </c>
    </row>
    <row r="59" spans="1:15" x14ac:dyDescent="0.3">
      <c r="A59" t="s">
        <v>7755</v>
      </c>
      <c r="B59" t="s">
        <v>7754</v>
      </c>
      <c r="C59" t="s">
        <v>74</v>
      </c>
      <c r="D59">
        <v>49</v>
      </c>
      <c r="E59" t="s">
        <v>132</v>
      </c>
      <c r="F59" t="s">
        <v>67</v>
      </c>
      <c r="G59" s="8">
        <v>46143</v>
      </c>
      <c r="H59" s="8">
        <v>46151</v>
      </c>
      <c r="I59" t="s">
        <v>8148</v>
      </c>
      <c r="J59" t="s">
        <v>7752</v>
      </c>
      <c r="K59" t="s">
        <v>64</v>
      </c>
      <c r="L59">
        <v>11863.61</v>
      </c>
      <c r="M59">
        <v>279</v>
      </c>
      <c r="N59" t="s">
        <v>71</v>
      </c>
      <c r="O59" t="s">
        <v>27</v>
      </c>
    </row>
    <row r="60" spans="1:15" x14ac:dyDescent="0.3">
      <c r="A60" t="s">
        <v>7751</v>
      </c>
      <c r="B60" t="s">
        <v>7750</v>
      </c>
      <c r="C60" t="s">
        <v>74</v>
      </c>
      <c r="D60">
        <v>84</v>
      </c>
      <c r="E60" t="s">
        <v>47</v>
      </c>
      <c r="F60" t="s">
        <v>46</v>
      </c>
      <c r="G60" s="8">
        <v>46025</v>
      </c>
      <c r="H60" s="8">
        <v>46055</v>
      </c>
      <c r="I60" t="s">
        <v>8149</v>
      </c>
      <c r="J60" t="s">
        <v>7748</v>
      </c>
      <c r="K60" t="s">
        <v>64</v>
      </c>
      <c r="L60">
        <v>5144.1400000000003</v>
      </c>
      <c r="M60">
        <v>418</v>
      </c>
      <c r="N60" t="s">
        <v>71</v>
      </c>
      <c r="O60" t="s">
        <v>27</v>
      </c>
    </row>
    <row r="61" spans="1:15" x14ac:dyDescent="0.3">
      <c r="A61" t="s">
        <v>7747</v>
      </c>
      <c r="B61" t="s">
        <v>7746</v>
      </c>
      <c r="C61" t="s">
        <v>74</v>
      </c>
      <c r="D61">
        <v>17</v>
      </c>
      <c r="E61" t="s">
        <v>68</v>
      </c>
      <c r="F61" t="s">
        <v>20</v>
      </c>
      <c r="G61" s="8">
        <v>46091</v>
      </c>
      <c r="H61" s="8">
        <v>46109</v>
      </c>
      <c r="I61" t="s">
        <v>8150</v>
      </c>
      <c r="J61" t="s">
        <v>7744</v>
      </c>
      <c r="K61" t="s">
        <v>64</v>
      </c>
      <c r="L61">
        <v>11732.84</v>
      </c>
      <c r="M61">
        <v>492</v>
      </c>
      <c r="N61" t="s">
        <v>43</v>
      </c>
      <c r="O61" t="s">
        <v>63</v>
      </c>
    </row>
    <row r="62" spans="1:15" x14ac:dyDescent="0.3">
      <c r="A62" t="s">
        <v>7743</v>
      </c>
      <c r="B62" t="s">
        <v>7742</v>
      </c>
      <c r="C62" t="s">
        <v>40</v>
      </c>
      <c r="D62">
        <v>78</v>
      </c>
      <c r="E62" t="s">
        <v>80</v>
      </c>
      <c r="F62" t="s">
        <v>20</v>
      </c>
      <c r="G62" s="8">
        <v>46039</v>
      </c>
      <c r="H62" s="8">
        <v>46069</v>
      </c>
      <c r="I62" t="s">
        <v>8151</v>
      </c>
      <c r="J62" t="s">
        <v>7740</v>
      </c>
      <c r="K62" t="s">
        <v>27</v>
      </c>
      <c r="L62">
        <v>2880.85</v>
      </c>
      <c r="M62">
        <v>259</v>
      </c>
      <c r="N62" t="s">
        <v>34</v>
      </c>
      <c r="O62" t="s">
        <v>27</v>
      </c>
    </row>
    <row r="63" spans="1:15" x14ac:dyDescent="0.3">
      <c r="A63" t="s">
        <v>7739</v>
      </c>
      <c r="B63" t="s">
        <v>7738</v>
      </c>
      <c r="C63" t="s">
        <v>123</v>
      </c>
      <c r="D63">
        <v>51</v>
      </c>
      <c r="E63" t="s">
        <v>21</v>
      </c>
      <c r="F63" t="s">
        <v>20</v>
      </c>
      <c r="G63" s="8">
        <v>46046</v>
      </c>
      <c r="H63" s="8">
        <v>46064</v>
      </c>
      <c r="I63" t="s">
        <v>8152</v>
      </c>
      <c r="J63" t="s">
        <v>7736</v>
      </c>
      <c r="K63" t="s">
        <v>64</v>
      </c>
      <c r="L63">
        <v>2727.15</v>
      </c>
      <c r="M63">
        <v>535</v>
      </c>
      <c r="N63" t="s">
        <v>25</v>
      </c>
      <c r="O63" t="s">
        <v>63</v>
      </c>
    </row>
    <row r="64" spans="1:15" x14ac:dyDescent="0.3">
      <c r="A64" t="s">
        <v>7735</v>
      </c>
      <c r="B64" t="s">
        <v>7734</v>
      </c>
      <c r="C64" t="s">
        <v>74</v>
      </c>
      <c r="D64">
        <v>73</v>
      </c>
      <c r="E64" t="s">
        <v>47</v>
      </c>
      <c r="F64" t="s">
        <v>67</v>
      </c>
      <c r="G64" s="8">
        <v>46074</v>
      </c>
      <c r="H64" s="8">
        <v>46091</v>
      </c>
      <c r="I64" t="s">
        <v>8153</v>
      </c>
      <c r="J64" t="s">
        <v>7732</v>
      </c>
      <c r="K64" t="s">
        <v>123</v>
      </c>
      <c r="L64">
        <v>16605.73</v>
      </c>
      <c r="M64">
        <v>359</v>
      </c>
      <c r="N64" t="s">
        <v>25</v>
      </c>
      <c r="O64" t="s">
        <v>64</v>
      </c>
    </row>
    <row r="65" spans="1:15" x14ac:dyDescent="0.3">
      <c r="A65" t="s">
        <v>7731</v>
      </c>
      <c r="B65" t="s">
        <v>7730</v>
      </c>
      <c r="C65" t="s">
        <v>74</v>
      </c>
      <c r="D65">
        <v>2</v>
      </c>
      <c r="E65" t="s">
        <v>54</v>
      </c>
      <c r="F65" t="s">
        <v>85</v>
      </c>
      <c r="G65" s="8">
        <v>46045</v>
      </c>
      <c r="H65" s="8">
        <v>46048</v>
      </c>
      <c r="I65" t="s">
        <v>8154</v>
      </c>
      <c r="J65" t="s">
        <v>7728</v>
      </c>
      <c r="K65" t="s">
        <v>123</v>
      </c>
      <c r="L65">
        <v>24027.53</v>
      </c>
      <c r="M65">
        <v>462</v>
      </c>
      <c r="N65" t="s">
        <v>71</v>
      </c>
      <c r="O65" t="s">
        <v>123</v>
      </c>
    </row>
    <row r="66" spans="1:15" x14ac:dyDescent="0.3">
      <c r="A66" t="s">
        <v>7727</v>
      </c>
      <c r="B66" t="s">
        <v>7726</v>
      </c>
      <c r="C66" t="s">
        <v>123</v>
      </c>
      <c r="D66">
        <v>23</v>
      </c>
      <c r="E66" t="s">
        <v>132</v>
      </c>
      <c r="F66" t="s">
        <v>85</v>
      </c>
      <c r="G66" s="8">
        <v>46012</v>
      </c>
      <c r="H66" s="8">
        <v>46026</v>
      </c>
      <c r="I66" t="s">
        <v>8155</v>
      </c>
      <c r="J66" t="s">
        <v>7724</v>
      </c>
      <c r="K66" t="s">
        <v>123</v>
      </c>
      <c r="L66">
        <v>20678.22</v>
      </c>
      <c r="M66">
        <v>265</v>
      </c>
      <c r="N66" t="s">
        <v>50</v>
      </c>
      <c r="O66" t="s">
        <v>63</v>
      </c>
    </row>
    <row r="67" spans="1:15" x14ac:dyDescent="0.3">
      <c r="A67" t="s">
        <v>7723</v>
      </c>
      <c r="B67" t="s">
        <v>7722</v>
      </c>
      <c r="C67" t="s">
        <v>74</v>
      </c>
      <c r="D67">
        <v>12</v>
      </c>
      <c r="E67" t="s">
        <v>132</v>
      </c>
      <c r="F67" t="s">
        <v>85</v>
      </c>
      <c r="G67" s="8">
        <v>46031</v>
      </c>
      <c r="H67" s="8">
        <v>46038</v>
      </c>
      <c r="I67" t="s">
        <v>8156</v>
      </c>
      <c r="J67" t="s">
        <v>7720</v>
      </c>
      <c r="K67" t="s">
        <v>123</v>
      </c>
      <c r="L67">
        <v>14332.27</v>
      </c>
      <c r="M67">
        <v>272</v>
      </c>
      <c r="N67" t="s">
        <v>77</v>
      </c>
      <c r="O67" t="s">
        <v>123</v>
      </c>
    </row>
    <row r="68" spans="1:15" x14ac:dyDescent="0.3">
      <c r="A68" t="s">
        <v>7719</v>
      </c>
      <c r="B68" t="s">
        <v>7718</v>
      </c>
      <c r="C68" t="s">
        <v>123</v>
      </c>
      <c r="D68">
        <v>42</v>
      </c>
      <c r="E68" t="s">
        <v>39</v>
      </c>
      <c r="F68" t="s">
        <v>85</v>
      </c>
      <c r="G68" s="8">
        <v>46092</v>
      </c>
      <c r="H68" s="8">
        <v>46098</v>
      </c>
      <c r="I68" t="s">
        <v>8157</v>
      </c>
      <c r="J68" t="s">
        <v>7716</v>
      </c>
      <c r="K68" t="s">
        <v>64</v>
      </c>
      <c r="L68">
        <v>19986.240000000002</v>
      </c>
      <c r="M68">
        <v>243</v>
      </c>
      <c r="N68" t="s">
        <v>34</v>
      </c>
      <c r="O68" t="s">
        <v>17</v>
      </c>
    </row>
    <row r="69" spans="1:15" x14ac:dyDescent="0.3">
      <c r="A69" t="s">
        <v>7715</v>
      </c>
      <c r="B69" t="s">
        <v>7714</v>
      </c>
      <c r="C69" t="s">
        <v>40</v>
      </c>
      <c r="D69">
        <v>72</v>
      </c>
      <c r="E69" t="s">
        <v>47</v>
      </c>
      <c r="F69" t="s">
        <v>8077</v>
      </c>
      <c r="G69" s="8">
        <v>46047</v>
      </c>
      <c r="H69" s="8">
        <v>46049</v>
      </c>
      <c r="I69" t="s">
        <v>8158</v>
      </c>
      <c r="J69" t="s">
        <v>7712</v>
      </c>
      <c r="K69" t="s">
        <v>64</v>
      </c>
      <c r="L69">
        <v>18057.849999999999</v>
      </c>
      <c r="M69">
        <v>384</v>
      </c>
      <c r="N69" t="s">
        <v>50</v>
      </c>
      <c r="O69" t="s">
        <v>123</v>
      </c>
    </row>
    <row r="70" spans="1:15" x14ac:dyDescent="0.3">
      <c r="A70" t="s">
        <v>7711</v>
      </c>
      <c r="B70" t="s">
        <v>7710</v>
      </c>
      <c r="C70" t="s">
        <v>74</v>
      </c>
      <c r="D70">
        <v>89</v>
      </c>
      <c r="E70" t="s">
        <v>68</v>
      </c>
      <c r="F70" t="s">
        <v>85</v>
      </c>
      <c r="G70" s="8">
        <v>46050</v>
      </c>
      <c r="H70" s="8">
        <v>46064</v>
      </c>
      <c r="I70" t="s">
        <v>8159</v>
      </c>
      <c r="J70" t="s">
        <v>7708</v>
      </c>
      <c r="K70" t="s">
        <v>27</v>
      </c>
      <c r="L70">
        <v>2507.7199999999998</v>
      </c>
      <c r="M70">
        <v>307</v>
      </c>
      <c r="N70" t="s">
        <v>25</v>
      </c>
      <c r="O70" t="s">
        <v>57</v>
      </c>
    </row>
    <row r="71" spans="1:15" x14ac:dyDescent="0.3">
      <c r="A71" t="s">
        <v>7707</v>
      </c>
      <c r="B71" t="s">
        <v>7706</v>
      </c>
      <c r="C71" t="s">
        <v>74</v>
      </c>
      <c r="D71">
        <v>40</v>
      </c>
      <c r="E71" t="s">
        <v>31</v>
      </c>
      <c r="F71" t="s">
        <v>85</v>
      </c>
      <c r="G71" s="8">
        <v>45999</v>
      </c>
      <c r="H71" s="8">
        <v>46016</v>
      </c>
      <c r="I71" t="s">
        <v>8160</v>
      </c>
      <c r="J71" t="s">
        <v>7704</v>
      </c>
      <c r="K71" t="s">
        <v>64</v>
      </c>
      <c r="L71">
        <v>10752.49</v>
      </c>
      <c r="M71">
        <v>280</v>
      </c>
      <c r="N71" t="s">
        <v>25</v>
      </c>
      <c r="O71" t="s">
        <v>17</v>
      </c>
    </row>
    <row r="72" spans="1:15" x14ac:dyDescent="0.3">
      <c r="A72" t="s">
        <v>7703</v>
      </c>
      <c r="B72" t="s">
        <v>7702</v>
      </c>
      <c r="C72" t="s">
        <v>123</v>
      </c>
      <c r="D72">
        <v>35</v>
      </c>
      <c r="E72" t="s">
        <v>132</v>
      </c>
      <c r="F72" t="s">
        <v>30</v>
      </c>
      <c r="G72" s="8">
        <v>46042</v>
      </c>
      <c r="H72" s="8">
        <v>46049</v>
      </c>
      <c r="I72" t="s">
        <v>8161</v>
      </c>
      <c r="J72" t="s">
        <v>7700</v>
      </c>
      <c r="K72" t="s">
        <v>64</v>
      </c>
      <c r="L72">
        <v>18087.849999999999</v>
      </c>
      <c r="M72">
        <v>161</v>
      </c>
      <c r="N72" t="s">
        <v>25</v>
      </c>
      <c r="O72" t="s">
        <v>17</v>
      </c>
    </row>
    <row r="73" spans="1:15" x14ac:dyDescent="0.3">
      <c r="A73" t="s">
        <v>7699</v>
      </c>
      <c r="B73" t="s">
        <v>7698</v>
      </c>
      <c r="C73" t="s">
        <v>40</v>
      </c>
      <c r="D73">
        <v>25</v>
      </c>
      <c r="E73" t="s">
        <v>21</v>
      </c>
      <c r="F73" t="s">
        <v>85</v>
      </c>
      <c r="G73" s="8">
        <v>46020</v>
      </c>
      <c r="H73" s="8">
        <v>46028</v>
      </c>
      <c r="I73" t="s">
        <v>8162</v>
      </c>
      <c r="J73" t="s">
        <v>7696</v>
      </c>
      <c r="K73" t="s">
        <v>27</v>
      </c>
      <c r="L73">
        <v>24516.66</v>
      </c>
      <c r="M73">
        <v>251</v>
      </c>
      <c r="N73" t="s">
        <v>71</v>
      </c>
      <c r="O73" t="s">
        <v>57</v>
      </c>
    </row>
    <row r="74" spans="1:15" x14ac:dyDescent="0.3">
      <c r="A74" t="s">
        <v>7695</v>
      </c>
      <c r="B74" t="s">
        <v>7694</v>
      </c>
      <c r="C74" t="s">
        <v>74</v>
      </c>
      <c r="D74">
        <v>23</v>
      </c>
      <c r="E74" t="s">
        <v>132</v>
      </c>
      <c r="F74" t="s">
        <v>46</v>
      </c>
      <c r="G74" s="8">
        <v>46035</v>
      </c>
      <c r="H74" s="8">
        <v>46057</v>
      </c>
      <c r="I74" t="s">
        <v>8163</v>
      </c>
      <c r="J74" t="s">
        <v>7692</v>
      </c>
      <c r="K74" t="s">
        <v>27</v>
      </c>
      <c r="L74">
        <v>7002.92</v>
      </c>
      <c r="M74">
        <v>383</v>
      </c>
      <c r="N74" t="s">
        <v>43</v>
      </c>
      <c r="O74" t="s">
        <v>27</v>
      </c>
    </row>
    <row r="75" spans="1:15" x14ac:dyDescent="0.3">
      <c r="A75" t="s">
        <v>7691</v>
      </c>
      <c r="B75" t="s">
        <v>7690</v>
      </c>
      <c r="C75" t="s">
        <v>40</v>
      </c>
      <c r="D75">
        <v>82</v>
      </c>
      <c r="E75" t="s">
        <v>68</v>
      </c>
      <c r="F75" t="s">
        <v>20</v>
      </c>
      <c r="G75" s="8">
        <v>46011</v>
      </c>
      <c r="H75" s="8">
        <v>46038</v>
      </c>
      <c r="I75" t="s">
        <v>8164</v>
      </c>
      <c r="J75" t="s">
        <v>7688</v>
      </c>
      <c r="K75" t="s">
        <v>27</v>
      </c>
      <c r="L75">
        <v>14436.79</v>
      </c>
      <c r="M75">
        <v>345</v>
      </c>
      <c r="N75" t="s">
        <v>16</v>
      </c>
      <c r="O75" t="s">
        <v>123</v>
      </c>
    </row>
    <row r="76" spans="1:15" x14ac:dyDescent="0.3">
      <c r="A76" t="s">
        <v>7687</v>
      </c>
      <c r="B76" t="s">
        <v>7686</v>
      </c>
      <c r="C76" t="s">
        <v>74</v>
      </c>
      <c r="D76">
        <v>24</v>
      </c>
      <c r="E76" t="s">
        <v>47</v>
      </c>
      <c r="F76" t="s">
        <v>30</v>
      </c>
      <c r="G76" s="8">
        <v>45982</v>
      </c>
      <c r="H76" s="8">
        <v>46012</v>
      </c>
      <c r="I76" t="s">
        <v>8165</v>
      </c>
      <c r="J76" t="s">
        <v>7684</v>
      </c>
      <c r="K76" t="s">
        <v>123</v>
      </c>
      <c r="L76">
        <v>3029.36</v>
      </c>
      <c r="M76">
        <v>305</v>
      </c>
      <c r="N76" t="s">
        <v>16</v>
      </c>
      <c r="O76" t="s">
        <v>64</v>
      </c>
    </row>
    <row r="77" spans="1:15" x14ac:dyDescent="0.3">
      <c r="A77" t="s">
        <v>7683</v>
      </c>
      <c r="B77" t="s">
        <v>7682</v>
      </c>
      <c r="C77" t="s">
        <v>74</v>
      </c>
      <c r="D77">
        <v>74</v>
      </c>
      <c r="E77" t="s">
        <v>47</v>
      </c>
      <c r="F77" t="s">
        <v>20</v>
      </c>
      <c r="G77" s="8">
        <v>46148</v>
      </c>
      <c r="H77" s="8">
        <v>46152</v>
      </c>
      <c r="I77" t="s">
        <v>8166</v>
      </c>
      <c r="J77" t="s">
        <v>7680</v>
      </c>
      <c r="K77" t="s">
        <v>27</v>
      </c>
      <c r="L77">
        <v>2312.4899999999998</v>
      </c>
      <c r="M77">
        <v>160</v>
      </c>
      <c r="N77" t="s">
        <v>34</v>
      </c>
      <c r="O77" t="s">
        <v>57</v>
      </c>
    </row>
    <row r="78" spans="1:15" x14ac:dyDescent="0.3">
      <c r="A78" t="s">
        <v>7679</v>
      </c>
      <c r="B78" t="s">
        <v>7678</v>
      </c>
      <c r="C78" t="s">
        <v>123</v>
      </c>
      <c r="D78">
        <v>78</v>
      </c>
      <c r="E78" t="s">
        <v>21</v>
      </c>
      <c r="F78" t="s">
        <v>67</v>
      </c>
      <c r="G78" s="8">
        <v>46106</v>
      </c>
      <c r="H78" s="8">
        <v>46120</v>
      </c>
      <c r="I78" t="s">
        <v>8167</v>
      </c>
      <c r="J78" t="s">
        <v>7676</v>
      </c>
      <c r="K78" t="s">
        <v>123</v>
      </c>
      <c r="L78">
        <v>7574.36</v>
      </c>
      <c r="M78">
        <v>256</v>
      </c>
      <c r="N78" t="s">
        <v>34</v>
      </c>
      <c r="O78" t="s">
        <v>123</v>
      </c>
    </row>
    <row r="79" spans="1:15" x14ac:dyDescent="0.3">
      <c r="A79" t="s">
        <v>7675</v>
      </c>
      <c r="B79" t="s">
        <v>7674</v>
      </c>
      <c r="C79" t="s">
        <v>40</v>
      </c>
      <c r="D79">
        <v>79</v>
      </c>
      <c r="E79" t="s">
        <v>80</v>
      </c>
      <c r="F79" t="s">
        <v>8077</v>
      </c>
      <c r="G79" s="8">
        <v>46084</v>
      </c>
      <c r="H79" s="8">
        <v>46104</v>
      </c>
      <c r="I79" t="s">
        <v>8168</v>
      </c>
      <c r="J79" t="s">
        <v>123</v>
      </c>
      <c r="K79" t="s">
        <v>64</v>
      </c>
      <c r="L79">
        <v>6763.22</v>
      </c>
      <c r="M79">
        <v>180</v>
      </c>
      <c r="N79" t="s">
        <v>71</v>
      </c>
      <c r="O79" t="s">
        <v>64</v>
      </c>
    </row>
    <row r="80" spans="1:15" x14ac:dyDescent="0.3">
      <c r="A80" t="s">
        <v>7668</v>
      </c>
      <c r="B80" t="s">
        <v>7667</v>
      </c>
      <c r="C80" t="s">
        <v>74</v>
      </c>
      <c r="D80">
        <v>37</v>
      </c>
      <c r="E80" t="s">
        <v>132</v>
      </c>
      <c r="F80" t="s">
        <v>85</v>
      </c>
      <c r="G80" s="8">
        <v>46072</v>
      </c>
      <c r="H80" s="8">
        <v>46074</v>
      </c>
      <c r="I80" t="s">
        <v>8169</v>
      </c>
      <c r="J80" t="s">
        <v>7665</v>
      </c>
      <c r="K80" t="s">
        <v>64</v>
      </c>
      <c r="L80">
        <v>23112.99</v>
      </c>
      <c r="M80">
        <v>317</v>
      </c>
      <c r="N80" t="s">
        <v>77</v>
      </c>
      <c r="O80" t="s">
        <v>57</v>
      </c>
    </row>
    <row r="81" spans="1:15" x14ac:dyDescent="0.3">
      <c r="A81" t="s">
        <v>7664</v>
      </c>
      <c r="B81" t="s">
        <v>7663</v>
      </c>
      <c r="C81" t="s">
        <v>74</v>
      </c>
      <c r="D81">
        <v>83</v>
      </c>
      <c r="E81" t="s">
        <v>39</v>
      </c>
      <c r="F81" t="s">
        <v>30</v>
      </c>
      <c r="G81" s="8">
        <v>46137</v>
      </c>
      <c r="H81" s="8">
        <v>46163</v>
      </c>
      <c r="I81" t="s">
        <v>8170</v>
      </c>
      <c r="J81" t="s">
        <v>7661</v>
      </c>
      <c r="K81" t="s">
        <v>27</v>
      </c>
      <c r="L81">
        <v>1970.96</v>
      </c>
      <c r="M81">
        <v>505</v>
      </c>
      <c r="N81" t="s">
        <v>43</v>
      </c>
      <c r="O81" t="s">
        <v>26</v>
      </c>
    </row>
    <row r="82" spans="1:15" x14ac:dyDescent="0.3">
      <c r="A82" t="s">
        <v>7660</v>
      </c>
      <c r="B82" t="s">
        <v>7659</v>
      </c>
      <c r="C82" t="s">
        <v>40</v>
      </c>
      <c r="D82">
        <v>57</v>
      </c>
      <c r="E82" t="s">
        <v>80</v>
      </c>
      <c r="F82" t="s">
        <v>85</v>
      </c>
      <c r="G82" s="8">
        <v>46046</v>
      </c>
      <c r="H82" s="8">
        <v>46068</v>
      </c>
      <c r="I82" t="s">
        <v>8171</v>
      </c>
      <c r="J82" t="s">
        <v>7657</v>
      </c>
      <c r="K82" t="s">
        <v>27</v>
      </c>
      <c r="L82">
        <v>17553.400000000001</v>
      </c>
      <c r="M82">
        <v>356</v>
      </c>
      <c r="N82" t="s">
        <v>34</v>
      </c>
      <c r="O82" t="s">
        <v>63</v>
      </c>
    </row>
    <row r="83" spans="1:15" x14ac:dyDescent="0.3">
      <c r="A83" t="s">
        <v>7656</v>
      </c>
      <c r="B83" t="s">
        <v>7655</v>
      </c>
      <c r="C83" t="s">
        <v>123</v>
      </c>
      <c r="D83">
        <v>57</v>
      </c>
      <c r="E83" t="s">
        <v>80</v>
      </c>
      <c r="F83" t="s">
        <v>46</v>
      </c>
      <c r="G83" s="8">
        <v>46097</v>
      </c>
      <c r="H83" s="8">
        <v>46125</v>
      </c>
      <c r="I83" t="s">
        <v>8172</v>
      </c>
      <c r="J83" t="s">
        <v>7653</v>
      </c>
      <c r="K83" t="s">
        <v>123</v>
      </c>
      <c r="L83">
        <v>18416.439999999999</v>
      </c>
      <c r="M83">
        <v>113</v>
      </c>
      <c r="N83" t="s">
        <v>77</v>
      </c>
      <c r="O83" t="s">
        <v>63</v>
      </c>
    </row>
    <row r="84" spans="1:15" x14ac:dyDescent="0.3">
      <c r="A84" t="s">
        <v>7652</v>
      </c>
      <c r="B84" t="s">
        <v>7651</v>
      </c>
      <c r="C84" t="s">
        <v>74</v>
      </c>
      <c r="D84">
        <v>87</v>
      </c>
      <c r="E84" t="s">
        <v>47</v>
      </c>
      <c r="F84" t="s">
        <v>30</v>
      </c>
      <c r="G84" s="8">
        <v>46073</v>
      </c>
      <c r="H84" s="8">
        <v>46091</v>
      </c>
      <c r="I84" t="s">
        <v>8173</v>
      </c>
      <c r="J84" t="s">
        <v>7649</v>
      </c>
      <c r="K84" t="s">
        <v>27</v>
      </c>
      <c r="L84">
        <v>19125.099999999999</v>
      </c>
      <c r="M84">
        <v>340</v>
      </c>
      <c r="N84" t="s">
        <v>34</v>
      </c>
      <c r="O84" t="s">
        <v>26</v>
      </c>
    </row>
    <row r="85" spans="1:15" x14ac:dyDescent="0.3">
      <c r="A85" t="s">
        <v>7648</v>
      </c>
      <c r="B85" t="s">
        <v>7647</v>
      </c>
      <c r="C85" t="s">
        <v>123</v>
      </c>
      <c r="D85">
        <v>36</v>
      </c>
      <c r="E85" t="s">
        <v>39</v>
      </c>
      <c r="F85" t="s">
        <v>67</v>
      </c>
      <c r="G85" s="8">
        <v>46130</v>
      </c>
      <c r="H85" s="8">
        <v>46150</v>
      </c>
      <c r="I85" t="s">
        <v>8174</v>
      </c>
      <c r="J85" t="s">
        <v>7645</v>
      </c>
      <c r="K85" t="s">
        <v>123</v>
      </c>
      <c r="L85">
        <v>24232.57</v>
      </c>
      <c r="M85">
        <v>278</v>
      </c>
      <c r="N85" t="s">
        <v>16</v>
      </c>
      <c r="O85" t="s">
        <v>123</v>
      </c>
    </row>
    <row r="86" spans="1:15" x14ac:dyDescent="0.3">
      <c r="A86" t="s">
        <v>7644</v>
      </c>
      <c r="B86" t="s">
        <v>7643</v>
      </c>
      <c r="C86" t="s">
        <v>74</v>
      </c>
      <c r="D86">
        <v>42</v>
      </c>
      <c r="E86" t="s">
        <v>80</v>
      </c>
      <c r="F86" t="s">
        <v>20</v>
      </c>
      <c r="G86" s="8">
        <v>46145</v>
      </c>
      <c r="H86" s="8">
        <v>46155</v>
      </c>
      <c r="I86" t="s">
        <v>8175</v>
      </c>
      <c r="J86" t="s">
        <v>7641</v>
      </c>
      <c r="K86" t="s">
        <v>123</v>
      </c>
      <c r="L86">
        <v>17403.11</v>
      </c>
      <c r="M86">
        <v>439</v>
      </c>
      <c r="N86" t="s">
        <v>16</v>
      </c>
      <c r="O86" t="s">
        <v>63</v>
      </c>
    </row>
    <row r="87" spans="1:15" x14ac:dyDescent="0.3">
      <c r="A87" t="s">
        <v>7640</v>
      </c>
      <c r="B87" t="s">
        <v>7639</v>
      </c>
      <c r="C87" t="s">
        <v>40</v>
      </c>
      <c r="D87">
        <v>59</v>
      </c>
      <c r="E87" t="s">
        <v>80</v>
      </c>
      <c r="F87" t="s">
        <v>67</v>
      </c>
      <c r="G87" s="8">
        <v>45991</v>
      </c>
      <c r="H87" s="8">
        <v>45999</v>
      </c>
      <c r="I87" t="s">
        <v>8176</v>
      </c>
      <c r="J87" t="s">
        <v>7637</v>
      </c>
      <c r="K87" t="s">
        <v>64</v>
      </c>
      <c r="L87">
        <v>3074.86</v>
      </c>
      <c r="M87">
        <v>542</v>
      </c>
      <c r="N87" t="s">
        <v>34</v>
      </c>
      <c r="O87" t="s">
        <v>123</v>
      </c>
    </row>
    <row r="88" spans="1:15" x14ac:dyDescent="0.3">
      <c r="A88" t="s">
        <v>7636</v>
      </c>
      <c r="B88" t="s">
        <v>8035</v>
      </c>
      <c r="C88" t="s">
        <v>40</v>
      </c>
      <c r="D88">
        <v>85</v>
      </c>
      <c r="E88" t="s">
        <v>68</v>
      </c>
      <c r="F88" t="s">
        <v>67</v>
      </c>
      <c r="G88" s="8">
        <v>46029</v>
      </c>
      <c r="H88" s="8">
        <v>46030</v>
      </c>
      <c r="I88" t="s">
        <v>8177</v>
      </c>
      <c r="J88" t="s">
        <v>7633</v>
      </c>
      <c r="K88" t="s">
        <v>64</v>
      </c>
      <c r="L88">
        <v>13057.3</v>
      </c>
      <c r="M88">
        <v>420</v>
      </c>
      <c r="N88" t="s">
        <v>16</v>
      </c>
      <c r="O88" t="s">
        <v>123</v>
      </c>
    </row>
    <row r="89" spans="1:15" x14ac:dyDescent="0.3">
      <c r="A89" t="s">
        <v>7632</v>
      </c>
      <c r="B89" t="s">
        <v>7631</v>
      </c>
      <c r="C89" t="s">
        <v>40</v>
      </c>
      <c r="D89">
        <v>27</v>
      </c>
      <c r="E89" t="s">
        <v>132</v>
      </c>
      <c r="F89" t="s">
        <v>20</v>
      </c>
      <c r="G89" s="8">
        <v>46141</v>
      </c>
      <c r="H89" s="8">
        <v>46170</v>
      </c>
      <c r="I89" t="s">
        <v>8178</v>
      </c>
      <c r="J89" t="s">
        <v>7629</v>
      </c>
      <c r="K89" t="s">
        <v>27</v>
      </c>
      <c r="L89">
        <v>11065.28</v>
      </c>
      <c r="M89">
        <v>162</v>
      </c>
      <c r="N89" t="s">
        <v>77</v>
      </c>
      <c r="O89" t="s">
        <v>123</v>
      </c>
    </row>
    <row r="90" spans="1:15" x14ac:dyDescent="0.3">
      <c r="A90" t="s">
        <v>7628</v>
      </c>
      <c r="B90" t="s">
        <v>7627</v>
      </c>
      <c r="C90" t="s">
        <v>74</v>
      </c>
      <c r="D90">
        <v>21</v>
      </c>
      <c r="E90" t="s">
        <v>132</v>
      </c>
      <c r="F90" t="s">
        <v>46</v>
      </c>
      <c r="G90" s="8">
        <v>46107</v>
      </c>
      <c r="H90" s="8">
        <v>46124</v>
      </c>
      <c r="I90" t="s">
        <v>8179</v>
      </c>
      <c r="J90" t="s">
        <v>7625</v>
      </c>
      <c r="K90" t="s">
        <v>123</v>
      </c>
      <c r="L90">
        <v>2511.59</v>
      </c>
      <c r="M90">
        <v>336</v>
      </c>
      <c r="N90" t="s">
        <v>77</v>
      </c>
      <c r="O90" t="s">
        <v>64</v>
      </c>
    </row>
    <row r="91" spans="1:15" x14ac:dyDescent="0.3">
      <c r="A91" t="s">
        <v>7624</v>
      </c>
      <c r="B91" t="s">
        <v>7623</v>
      </c>
      <c r="C91" t="s">
        <v>40</v>
      </c>
      <c r="D91">
        <v>64</v>
      </c>
      <c r="E91" t="s">
        <v>132</v>
      </c>
      <c r="F91" t="s">
        <v>30</v>
      </c>
      <c r="G91" s="8">
        <v>45998</v>
      </c>
      <c r="H91" s="8">
        <v>46011</v>
      </c>
      <c r="I91" t="s">
        <v>8180</v>
      </c>
      <c r="J91" t="s">
        <v>7621</v>
      </c>
      <c r="K91" t="s">
        <v>123</v>
      </c>
      <c r="L91">
        <v>24510.07</v>
      </c>
      <c r="M91">
        <v>333</v>
      </c>
      <c r="N91" t="s">
        <v>34</v>
      </c>
      <c r="O91" t="s">
        <v>57</v>
      </c>
    </row>
    <row r="92" spans="1:15" x14ac:dyDescent="0.3">
      <c r="A92" t="s">
        <v>7620</v>
      </c>
      <c r="B92" t="s">
        <v>7619</v>
      </c>
      <c r="C92" t="s">
        <v>40</v>
      </c>
      <c r="D92">
        <v>50</v>
      </c>
      <c r="E92" t="s">
        <v>21</v>
      </c>
      <c r="F92" t="s">
        <v>20</v>
      </c>
      <c r="G92" s="8">
        <v>45992</v>
      </c>
      <c r="H92" s="8">
        <v>46019</v>
      </c>
      <c r="I92" t="s">
        <v>8181</v>
      </c>
      <c r="J92" t="s">
        <v>7617</v>
      </c>
      <c r="K92" t="s">
        <v>64</v>
      </c>
      <c r="L92">
        <v>7050.94</v>
      </c>
      <c r="M92">
        <v>274</v>
      </c>
      <c r="N92" t="s">
        <v>50</v>
      </c>
      <c r="O92" t="s">
        <v>123</v>
      </c>
    </row>
    <row r="93" spans="1:15" x14ac:dyDescent="0.3">
      <c r="A93" t="s">
        <v>7616</v>
      </c>
      <c r="B93" t="s">
        <v>7615</v>
      </c>
      <c r="C93" t="s">
        <v>40</v>
      </c>
      <c r="D93">
        <v>1</v>
      </c>
      <c r="E93" t="s">
        <v>132</v>
      </c>
      <c r="F93" t="s">
        <v>30</v>
      </c>
      <c r="G93" s="8">
        <v>46004</v>
      </c>
      <c r="H93" s="8">
        <v>46030</v>
      </c>
      <c r="I93" t="s">
        <v>8182</v>
      </c>
      <c r="J93" t="s">
        <v>7613</v>
      </c>
      <c r="K93" t="s">
        <v>123</v>
      </c>
      <c r="L93">
        <v>21658.46</v>
      </c>
      <c r="M93">
        <v>375</v>
      </c>
      <c r="N93" t="s">
        <v>16</v>
      </c>
      <c r="O93" t="s">
        <v>123</v>
      </c>
    </row>
    <row r="94" spans="1:15" x14ac:dyDescent="0.3">
      <c r="A94" t="s">
        <v>7612</v>
      </c>
      <c r="B94" t="s">
        <v>7611</v>
      </c>
      <c r="C94" t="s">
        <v>74</v>
      </c>
      <c r="D94">
        <v>43</v>
      </c>
      <c r="E94" t="s">
        <v>54</v>
      </c>
      <c r="F94" t="s">
        <v>85</v>
      </c>
      <c r="G94" s="8">
        <v>46140</v>
      </c>
      <c r="H94" s="8">
        <v>46169</v>
      </c>
      <c r="I94" t="s">
        <v>8183</v>
      </c>
      <c r="J94" t="s">
        <v>7609</v>
      </c>
      <c r="K94" t="s">
        <v>64</v>
      </c>
      <c r="L94">
        <v>21766.12</v>
      </c>
      <c r="M94">
        <v>392</v>
      </c>
      <c r="N94" t="s">
        <v>16</v>
      </c>
      <c r="O94" t="s">
        <v>57</v>
      </c>
    </row>
    <row r="95" spans="1:15" x14ac:dyDescent="0.3">
      <c r="A95" t="s">
        <v>7608</v>
      </c>
      <c r="B95" t="s">
        <v>7607</v>
      </c>
      <c r="C95" t="s">
        <v>74</v>
      </c>
      <c r="D95">
        <v>53</v>
      </c>
      <c r="E95" t="s">
        <v>47</v>
      </c>
      <c r="F95" t="s">
        <v>67</v>
      </c>
      <c r="G95" s="8">
        <v>46105</v>
      </c>
      <c r="H95" s="8">
        <v>46128</v>
      </c>
      <c r="I95" t="s">
        <v>8184</v>
      </c>
      <c r="J95" t="s">
        <v>7605</v>
      </c>
      <c r="K95" t="s">
        <v>123</v>
      </c>
      <c r="L95">
        <v>17689.650000000001</v>
      </c>
      <c r="M95">
        <v>297</v>
      </c>
      <c r="N95" t="s">
        <v>25</v>
      </c>
      <c r="O95" t="s">
        <v>123</v>
      </c>
    </row>
    <row r="96" spans="1:15" x14ac:dyDescent="0.3">
      <c r="A96" t="s">
        <v>7604</v>
      </c>
      <c r="B96" t="s">
        <v>7603</v>
      </c>
      <c r="C96" t="s">
        <v>40</v>
      </c>
      <c r="D96">
        <v>64</v>
      </c>
      <c r="E96" t="s">
        <v>47</v>
      </c>
      <c r="F96" t="s">
        <v>20</v>
      </c>
      <c r="G96" s="8">
        <v>46135</v>
      </c>
      <c r="H96" s="8">
        <v>46151</v>
      </c>
      <c r="I96" t="s">
        <v>8185</v>
      </c>
      <c r="J96" t="s">
        <v>7601</v>
      </c>
      <c r="K96" t="s">
        <v>64</v>
      </c>
      <c r="L96">
        <v>21768.57</v>
      </c>
      <c r="M96">
        <v>151</v>
      </c>
      <c r="N96" t="s">
        <v>34</v>
      </c>
      <c r="O96" t="s">
        <v>123</v>
      </c>
    </row>
    <row r="97" spans="1:15" x14ac:dyDescent="0.3">
      <c r="A97" t="s">
        <v>7600</v>
      </c>
      <c r="B97" t="s">
        <v>7599</v>
      </c>
      <c r="C97" t="s">
        <v>123</v>
      </c>
      <c r="D97">
        <v>2</v>
      </c>
      <c r="E97" t="s">
        <v>39</v>
      </c>
      <c r="F97" t="s">
        <v>67</v>
      </c>
      <c r="G97" s="8">
        <v>45993</v>
      </c>
      <c r="H97" s="8">
        <v>46020</v>
      </c>
      <c r="I97" t="s">
        <v>8186</v>
      </c>
      <c r="J97" t="s">
        <v>7597</v>
      </c>
      <c r="K97" t="s">
        <v>27</v>
      </c>
      <c r="L97">
        <v>2055.7399999999998</v>
      </c>
      <c r="M97">
        <v>273</v>
      </c>
      <c r="N97" t="s">
        <v>34</v>
      </c>
      <c r="O97" t="s">
        <v>63</v>
      </c>
    </row>
    <row r="98" spans="1:15" x14ac:dyDescent="0.3">
      <c r="A98" t="s">
        <v>7596</v>
      </c>
      <c r="B98" t="s">
        <v>7595</v>
      </c>
      <c r="C98" t="s">
        <v>123</v>
      </c>
      <c r="D98">
        <v>84</v>
      </c>
      <c r="E98" t="s">
        <v>80</v>
      </c>
      <c r="F98" t="s">
        <v>67</v>
      </c>
      <c r="G98" s="8">
        <v>46112</v>
      </c>
      <c r="H98" s="8">
        <v>46139</v>
      </c>
      <c r="I98" t="s">
        <v>8187</v>
      </c>
      <c r="J98" t="s">
        <v>7593</v>
      </c>
      <c r="K98" t="s">
        <v>123</v>
      </c>
      <c r="L98">
        <v>23862.66</v>
      </c>
      <c r="M98">
        <v>546</v>
      </c>
      <c r="N98" t="s">
        <v>34</v>
      </c>
      <c r="O98" t="s">
        <v>123</v>
      </c>
    </row>
    <row r="99" spans="1:15" x14ac:dyDescent="0.3">
      <c r="A99" t="s">
        <v>7592</v>
      </c>
      <c r="B99" t="s">
        <v>7591</v>
      </c>
      <c r="C99" t="s">
        <v>40</v>
      </c>
      <c r="D99">
        <v>80</v>
      </c>
      <c r="E99" t="s">
        <v>80</v>
      </c>
      <c r="F99" t="s">
        <v>8077</v>
      </c>
      <c r="G99" s="8">
        <v>46125</v>
      </c>
      <c r="H99" s="8">
        <v>46145</v>
      </c>
      <c r="I99" t="s">
        <v>8188</v>
      </c>
      <c r="J99" t="s">
        <v>7589</v>
      </c>
      <c r="K99" t="s">
        <v>27</v>
      </c>
      <c r="L99">
        <v>24936.16</v>
      </c>
      <c r="M99">
        <v>322</v>
      </c>
      <c r="N99" t="s">
        <v>77</v>
      </c>
      <c r="O99" t="s">
        <v>64</v>
      </c>
    </row>
    <row r="100" spans="1:15" x14ac:dyDescent="0.3">
      <c r="A100" t="s">
        <v>7588</v>
      </c>
      <c r="B100" t="s">
        <v>7587</v>
      </c>
      <c r="C100" t="s">
        <v>74</v>
      </c>
      <c r="D100">
        <v>57</v>
      </c>
      <c r="E100" t="s">
        <v>39</v>
      </c>
      <c r="F100" t="s">
        <v>30</v>
      </c>
      <c r="G100" s="8">
        <v>45986</v>
      </c>
      <c r="H100" s="8">
        <v>46014</v>
      </c>
      <c r="I100" t="s">
        <v>8189</v>
      </c>
      <c r="J100" t="s">
        <v>7585</v>
      </c>
      <c r="K100" t="s">
        <v>27</v>
      </c>
      <c r="L100">
        <v>1340.58</v>
      </c>
      <c r="M100">
        <v>250</v>
      </c>
      <c r="N100" t="s">
        <v>43</v>
      </c>
      <c r="O100" t="s">
        <v>27</v>
      </c>
    </row>
    <row r="101" spans="1:15" x14ac:dyDescent="0.3">
      <c r="A101" t="s">
        <v>7584</v>
      </c>
      <c r="B101" t="s">
        <v>7583</v>
      </c>
      <c r="C101" t="s">
        <v>74</v>
      </c>
      <c r="D101">
        <v>56</v>
      </c>
      <c r="E101" t="s">
        <v>39</v>
      </c>
      <c r="F101" t="s">
        <v>8077</v>
      </c>
      <c r="G101" s="8">
        <v>46147</v>
      </c>
      <c r="H101" s="8">
        <v>46163</v>
      </c>
      <c r="I101" t="s">
        <v>8190</v>
      </c>
      <c r="J101" t="s">
        <v>7581</v>
      </c>
      <c r="K101" t="s">
        <v>123</v>
      </c>
      <c r="L101">
        <v>14235.02</v>
      </c>
      <c r="M101">
        <v>187</v>
      </c>
      <c r="N101" t="s">
        <v>71</v>
      </c>
      <c r="O101" t="s">
        <v>26</v>
      </c>
    </row>
    <row r="102" spans="1:15" x14ac:dyDescent="0.3">
      <c r="A102" t="s">
        <v>7580</v>
      </c>
      <c r="B102" t="s">
        <v>7579</v>
      </c>
      <c r="C102" t="s">
        <v>74</v>
      </c>
      <c r="D102">
        <v>79</v>
      </c>
      <c r="E102" t="s">
        <v>54</v>
      </c>
      <c r="F102" t="s">
        <v>8077</v>
      </c>
      <c r="G102" s="8">
        <v>46130</v>
      </c>
      <c r="H102" s="8">
        <v>46145</v>
      </c>
      <c r="I102" t="s">
        <v>8191</v>
      </c>
      <c r="J102" t="s">
        <v>7577</v>
      </c>
      <c r="K102" t="s">
        <v>27</v>
      </c>
      <c r="L102">
        <v>5958.27</v>
      </c>
      <c r="M102">
        <v>335</v>
      </c>
      <c r="N102" t="s">
        <v>43</v>
      </c>
      <c r="O102" t="s">
        <v>63</v>
      </c>
    </row>
    <row r="103" spans="1:15" x14ac:dyDescent="0.3">
      <c r="A103" t="s">
        <v>7576</v>
      </c>
      <c r="B103" t="s">
        <v>7575</v>
      </c>
      <c r="C103" t="s">
        <v>40</v>
      </c>
      <c r="D103">
        <v>60</v>
      </c>
      <c r="E103" t="s">
        <v>132</v>
      </c>
      <c r="F103" t="s">
        <v>20</v>
      </c>
      <c r="G103" s="8">
        <v>46067</v>
      </c>
      <c r="H103" s="8">
        <v>46069</v>
      </c>
      <c r="I103" t="s">
        <v>8192</v>
      </c>
      <c r="J103" t="s">
        <v>7573</v>
      </c>
      <c r="K103" t="s">
        <v>123</v>
      </c>
      <c r="L103">
        <v>23641.84</v>
      </c>
      <c r="M103">
        <v>427</v>
      </c>
      <c r="N103" t="s">
        <v>16</v>
      </c>
      <c r="O103" t="s">
        <v>63</v>
      </c>
    </row>
    <row r="104" spans="1:15" x14ac:dyDescent="0.3">
      <c r="A104" t="s">
        <v>7572</v>
      </c>
      <c r="B104" t="s">
        <v>7571</v>
      </c>
      <c r="C104" t="s">
        <v>40</v>
      </c>
      <c r="D104">
        <v>59</v>
      </c>
      <c r="E104" t="s">
        <v>132</v>
      </c>
      <c r="F104" t="s">
        <v>8077</v>
      </c>
      <c r="G104" s="8">
        <v>46145</v>
      </c>
      <c r="H104" s="8">
        <v>46157</v>
      </c>
      <c r="I104" t="s">
        <v>8193</v>
      </c>
      <c r="J104" t="s">
        <v>7569</v>
      </c>
      <c r="K104" t="s">
        <v>123</v>
      </c>
      <c r="L104">
        <v>2845</v>
      </c>
      <c r="M104">
        <v>392</v>
      </c>
      <c r="N104" t="s">
        <v>43</v>
      </c>
      <c r="O104" t="s">
        <v>123</v>
      </c>
    </row>
    <row r="105" spans="1:15" x14ac:dyDescent="0.3">
      <c r="A105" t="s">
        <v>7568</v>
      </c>
      <c r="B105" t="s">
        <v>7567</v>
      </c>
      <c r="C105" t="s">
        <v>40</v>
      </c>
      <c r="D105">
        <v>90</v>
      </c>
      <c r="E105" t="s">
        <v>132</v>
      </c>
      <c r="F105" t="s">
        <v>46</v>
      </c>
      <c r="G105" s="8">
        <v>46108</v>
      </c>
      <c r="H105" s="8">
        <v>46134</v>
      </c>
      <c r="I105" t="s">
        <v>8194</v>
      </c>
      <c r="J105" t="s">
        <v>7565</v>
      </c>
      <c r="K105" t="s">
        <v>123</v>
      </c>
      <c r="L105">
        <v>7007.11</v>
      </c>
      <c r="M105">
        <v>410</v>
      </c>
      <c r="N105" t="s">
        <v>25</v>
      </c>
      <c r="O105" t="s">
        <v>27</v>
      </c>
    </row>
    <row r="106" spans="1:15" x14ac:dyDescent="0.3">
      <c r="A106" t="s">
        <v>7564</v>
      </c>
      <c r="B106" t="s">
        <v>7563</v>
      </c>
      <c r="C106" t="s">
        <v>123</v>
      </c>
      <c r="D106">
        <v>37</v>
      </c>
      <c r="E106" t="s">
        <v>21</v>
      </c>
      <c r="F106" t="s">
        <v>67</v>
      </c>
      <c r="G106" s="8">
        <v>45989</v>
      </c>
      <c r="H106" s="8">
        <v>45996</v>
      </c>
      <c r="I106" t="s">
        <v>8195</v>
      </c>
      <c r="J106" t="s">
        <v>7561</v>
      </c>
      <c r="K106" t="s">
        <v>64</v>
      </c>
      <c r="L106">
        <v>15598.1</v>
      </c>
      <c r="M106">
        <v>421</v>
      </c>
      <c r="N106" t="s">
        <v>77</v>
      </c>
      <c r="O106" t="s">
        <v>26</v>
      </c>
    </row>
    <row r="107" spans="1:15" x14ac:dyDescent="0.3">
      <c r="A107" t="s">
        <v>7560</v>
      </c>
      <c r="B107" t="s">
        <v>7559</v>
      </c>
      <c r="C107" t="s">
        <v>40</v>
      </c>
      <c r="D107">
        <v>40</v>
      </c>
      <c r="E107" t="s">
        <v>68</v>
      </c>
      <c r="F107" t="s">
        <v>46</v>
      </c>
      <c r="G107" s="8">
        <v>46048</v>
      </c>
      <c r="H107" s="8">
        <v>46066</v>
      </c>
      <c r="I107" t="s">
        <v>8196</v>
      </c>
      <c r="J107" t="s">
        <v>7557</v>
      </c>
      <c r="K107" t="s">
        <v>64</v>
      </c>
      <c r="L107">
        <v>18362.52</v>
      </c>
      <c r="M107">
        <v>251</v>
      </c>
      <c r="N107" t="s">
        <v>43</v>
      </c>
      <c r="O107" t="s">
        <v>64</v>
      </c>
    </row>
    <row r="108" spans="1:15" x14ac:dyDescent="0.3">
      <c r="A108" t="s">
        <v>7556</v>
      </c>
      <c r="B108" t="s">
        <v>7555</v>
      </c>
      <c r="C108" t="s">
        <v>123</v>
      </c>
      <c r="D108">
        <v>23</v>
      </c>
      <c r="E108" t="s">
        <v>21</v>
      </c>
      <c r="F108" t="s">
        <v>20</v>
      </c>
      <c r="G108" s="8">
        <v>46000</v>
      </c>
      <c r="H108" s="8">
        <v>46025</v>
      </c>
      <c r="I108" t="s">
        <v>8197</v>
      </c>
      <c r="J108" t="s">
        <v>7553</v>
      </c>
      <c r="K108" t="s">
        <v>64</v>
      </c>
      <c r="L108">
        <v>13365.14</v>
      </c>
      <c r="M108">
        <v>525</v>
      </c>
      <c r="N108" t="s">
        <v>71</v>
      </c>
      <c r="O108" t="s">
        <v>63</v>
      </c>
    </row>
    <row r="109" spans="1:15" x14ac:dyDescent="0.3">
      <c r="A109" t="s">
        <v>7552</v>
      </c>
      <c r="B109" t="s">
        <v>7551</v>
      </c>
      <c r="C109" t="s">
        <v>40</v>
      </c>
      <c r="D109">
        <v>62</v>
      </c>
      <c r="E109" t="s">
        <v>132</v>
      </c>
      <c r="F109" t="s">
        <v>67</v>
      </c>
      <c r="G109" s="8">
        <v>46082</v>
      </c>
      <c r="H109" s="8">
        <v>46107</v>
      </c>
      <c r="I109" t="s">
        <v>8198</v>
      </c>
      <c r="J109" t="s">
        <v>7549</v>
      </c>
      <c r="K109" t="s">
        <v>64</v>
      </c>
      <c r="L109">
        <v>11814.62</v>
      </c>
      <c r="M109">
        <v>172</v>
      </c>
      <c r="N109" t="s">
        <v>50</v>
      </c>
      <c r="O109" t="s">
        <v>64</v>
      </c>
    </row>
    <row r="110" spans="1:15" x14ac:dyDescent="0.3">
      <c r="A110" t="s">
        <v>7548</v>
      </c>
      <c r="B110" t="s">
        <v>7547</v>
      </c>
      <c r="C110" t="s">
        <v>74</v>
      </c>
      <c r="D110">
        <v>87</v>
      </c>
      <c r="E110" t="s">
        <v>54</v>
      </c>
      <c r="F110" t="s">
        <v>67</v>
      </c>
      <c r="G110" s="8">
        <v>46030</v>
      </c>
      <c r="H110" s="8">
        <v>46032</v>
      </c>
      <c r="I110" t="s">
        <v>8199</v>
      </c>
      <c r="J110" t="s">
        <v>7545</v>
      </c>
      <c r="K110" t="s">
        <v>123</v>
      </c>
      <c r="L110">
        <v>545.17999999999995</v>
      </c>
      <c r="M110">
        <v>332</v>
      </c>
      <c r="N110" t="s">
        <v>43</v>
      </c>
      <c r="O110" t="s">
        <v>64</v>
      </c>
    </row>
    <row r="111" spans="1:15" x14ac:dyDescent="0.3">
      <c r="A111" t="s">
        <v>7544</v>
      </c>
      <c r="B111" t="s">
        <v>7543</v>
      </c>
      <c r="C111" t="s">
        <v>40</v>
      </c>
      <c r="D111">
        <v>75</v>
      </c>
      <c r="E111" t="s">
        <v>54</v>
      </c>
      <c r="F111" t="s">
        <v>67</v>
      </c>
      <c r="G111" s="8">
        <v>46116</v>
      </c>
      <c r="H111" s="8">
        <v>46119</v>
      </c>
      <c r="I111" t="s">
        <v>8200</v>
      </c>
      <c r="J111" t="s">
        <v>7541</v>
      </c>
      <c r="K111" t="s">
        <v>64</v>
      </c>
      <c r="L111">
        <v>11892.63</v>
      </c>
      <c r="M111">
        <v>412</v>
      </c>
      <c r="N111" t="s">
        <v>71</v>
      </c>
      <c r="O111" t="s">
        <v>17</v>
      </c>
    </row>
    <row r="112" spans="1:15" x14ac:dyDescent="0.3">
      <c r="A112" t="s">
        <v>7540</v>
      </c>
      <c r="B112" t="s">
        <v>7539</v>
      </c>
      <c r="C112" t="s">
        <v>74</v>
      </c>
      <c r="D112">
        <v>82</v>
      </c>
      <c r="E112" t="s">
        <v>68</v>
      </c>
      <c r="F112" t="s">
        <v>30</v>
      </c>
      <c r="G112" s="8">
        <v>46009</v>
      </c>
      <c r="H112" s="8">
        <v>46029</v>
      </c>
      <c r="I112" t="s">
        <v>8201</v>
      </c>
      <c r="J112" t="s">
        <v>7537</v>
      </c>
      <c r="K112" t="s">
        <v>123</v>
      </c>
      <c r="L112">
        <v>3093.56</v>
      </c>
      <c r="M112">
        <v>119</v>
      </c>
      <c r="N112" t="s">
        <v>43</v>
      </c>
      <c r="O112" t="s">
        <v>27</v>
      </c>
    </row>
    <row r="113" spans="1:15" x14ac:dyDescent="0.3">
      <c r="A113" t="s">
        <v>7536</v>
      </c>
      <c r="B113" t="s">
        <v>7535</v>
      </c>
      <c r="C113" t="s">
        <v>123</v>
      </c>
      <c r="D113">
        <v>15</v>
      </c>
      <c r="E113" t="s">
        <v>80</v>
      </c>
      <c r="F113" t="s">
        <v>8077</v>
      </c>
      <c r="G113" s="8">
        <v>46130</v>
      </c>
      <c r="H113" s="8">
        <v>46158</v>
      </c>
      <c r="I113" t="s">
        <v>8202</v>
      </c>
      <c r="J113" t="s">
        <v>7533</v>
      </c>
      <c r="K113" t="s">
        <v>27</v>
      </c>
      <c r="L113">
        <v>9838.42</v>
      </c>
      <c r="M113">
        <v>443</v>
      </c>
      <c r="N113" t="s">
        <v>25</v>
      </c>
      <c r="O113" t="s">
        <v>17</v>
      </c>
    </row>
    <row r="114" spans="1:15" x14ac:dyDescent="0.3">
      <c r="A114" t="s">
        <v>7532</v>
      </c>
      <c r="B114" t="s">
        <v>7531</v>
      </c>
      <c r="C114" t="s">
        <v>123</v>
      </c>
      <c r="D114">
        <v>76</v>
      </c>
      <c r="E114" t="s">
        <v>39</v>
      </c>
      <c r="F114" t="s">
        <v>67</v>
      </c>
      <c r="G114" s="8">
        <v>46120</v>
      </c>
      <c r="H114" s="8">
        <v>46140</v>
      </c>
      <c r="I114" t="s">
        <v>8203</v>
      </c>
      <c r="J114" t="s">
        <v>7529</v>
      </c>
      <c r="K114" t="s">
        <v>64</v>
      </c>
      <c r="L114">
        <v>20875.59</v>
      </c>
      <c r="M114">
        <v>243</v>
      </c>
      <c r="N114" t="s">
        <v>77</v>
      </c>
      <c r="O114" t="s">
        <v>123</v>
      </c>
    </row>
    <row r="115" spans="1:15" x14ac:dyDescent="0.3">
      <c r="A115" t="s">
        <v>7528</v>
      </c>
      <c r="B115" t="s">
        <v>7527</v>
      </c>
      <c r="C115" t="s">
        <v>74</v>
      </c>
      <c r="D115">
        <v>28</v>
      </c>
      <c r="E115" t="s">
        <v>68</v>
      </c>
      <c r="F115" t="s">
        <v>85</v>
      </c>
      <c r="G115" s="8">
        <v>46147</v>
      </c>
      <c r="H115" s="8">
        <v>46177</v>
      </c>
      <c r="I115" t="s">
        <v>8204</v>
      </c>
      <c r="J115" t="s">
        <v>7525</v>
      </c>
      <c r="K115" t="s">
        <v>64</v>
      </c>
      <c r="L115">
        <v>21415.16</v>
      </c>
      <c r="M115">
        <v>451</v>
      </c>
      <c r="N115" t="s">
        <v>43</v>
      </c>
      <c r="O115" t="s">
        <v>64</v>
      </c>
    </row>
    <row r="116" spans="1:15" x14ac:dyDescent="0.3">
      <c r="A116" t="s">
        <v>7524</v>
      </c>
      <c r="B116" t="s">
        <v>7523</v>
      </c>
      <c r="C116" t="s">
        <v>74</v>
      </c>
      <c r="D116">
        <v>8</v>
      </c>
      <c r="E116" t="s">
        <v>54</v>
      </c>
      <c r="F116" t="s">
        <v>30</v>
      </c>
      <c r="G116" s="8">
        <v>46054</v>
      </c>
      <c r="H116" s="8">
        <v>46060</v>
      </c>
      <c r="I116" t="s">
        <v>8205</v>
      </c>
      <c r="J116" t="s">
        <v>7521</v>
      </c>
      <c r="K116" t="s">
        <v>64</v>
      </c>
      <c r="L116">
        <v>23735.47</v>
      </c>
      <c r="M116">
        <v>146</v>
      </c>
      <c r="N116" t="s">
        <v>25</v>
      </c>
      <c r="O116" t="s">
        <v>123</v>
      </c>
    </row>
    <row r="117" spans="1:15" x14ac:dyDescent="0.3">
      <c r="A117" t="s">
        <v>7520</v>
      </c>
      <c r="B117" t="s">
        <v>7519</v>
      </c>
      <c r="C117" t="s">
        <v>74</v>
      </c>
      <c r="D117">
        <v>83</v>
      </c>
      <c r="E117" t="s">
        <v>47</v>
      </c>
      <c r="F117" t="s">
        <v>46</v>
      </c>
      <c r="G117" s="8">
        <v>46090</v>
      </c>
      <c r="H117" s="8">
        <v>46115</v>
      </c>
      <c r="I117" t="s">
        <v>8206</v>
      </c>
      <c r="J117" t="s">
        <v>7517</v>
      </c>
      <c r="K117" t="s">
        <v>64</v>
      </c>
      <c r="L117">
        <v>6240.51</v>
      </c>
      <c r="M117">
        <v>502</v>
      </c>
      <c r="N117" t="s">
        <v>34</v>
      </c>
      <c r="O117" t="s">
        <v>26</v>
      </c>
    </row>
    <row r="118" spans="1:15" x14ac:dyDescent="0.3">
      <c r="A118" t="s">
        <v>7516</v>
      </c>
      <c r="B118" t="s">
        <v>7515</v>
      </c>
      <c r="C118" t="s">
        <v>74</v>
      </c>
      <c r="D118">
        <v>9</v>
      </c>
      <c r="E118" t="s">
        <v>1326</v>
      </c>
      <c r="F118" t="s">
        <v>8077</v>
      </c>
      <c r="G118" s="8">
        <v>46131</v>
      </c>
      <c r="H118" s="8">
        <v>46157</v>
      </c>
      <c r="I118" t="s">
        <v>8207</v>
      </c>
      <c r="J118" t="s">
        <v>7513</v>
      </c>
      <c r="K118" t="s">
        <v>64</v>
      </c>
      <c r="L118">
        <v>8348.2800000000007</v>
      </c>
      <c r="M118">
        <v>503</v>
      </c>
      <c r="N118" t="s">
        <v>34</v>
      </c>
      <c r="O118" t="s">
        <v>26</v>
      </c>
    </row>
    <row r="119" spans="1:15" x14ac:dyDescent="0.3">
      <c r="A119" t="s">
        <v>7512</v>
      </c>
      <c r="B119" t="s">
        <v>7511</v>
      </c>
      <c r="C119" t="s">
        <v>40</v>
      </c>
      <c r="D119">
        <v>36</v>
      </c>
      <c r="E119" t="s">
        <v>39</v>
      </c>
      <c r="F119" t="s">
        <v>20</v>
      </c>
      <c r="G119" s="8">
        <v>45995</v>
      </c>
      <c r="H119" s="8">
        <v>46012</v>
      </c>
      <c r="I119" t="s">
        <v>8208</v>
      </c>
      <c r="J119" t="s">
        <v>7509</v>
      </c>
      <c r="K119" t="s">
        <v>27</v>
      </c>
      <c r="L119">
        <v>20003.14</v>
      </c>
      <c r="M119">
        <v>438</v>
      </c>
      <c r="N119" t="s">
        <v>50</v>
      </c>
      <c r="O119" t="s">
        <v>64</v>
      </c>
    </row>
    <row r="120" spans="1:15" x14ac:dyDescent="0.3">
      <c r="A120" t="s">
        <v>7508</v>
      </c>
      <c r="B120" t="s">
        <v>7507</v>
      </c>
      <c r="C120" t="s">
        <v>40</v>
      </c>
      <c r="D120">
        <v>17</v>
      </c>
      <c r="E120" t="s">
        <v>47</v>
      </c>
      <c r="F120" t="s">
        <v>67</v>
      </c>
      <c r="G120" s="8">
        <v>45990</v>
      </c>
      <c r="H120" s="8">
        <v>46015</v>
      </c>
      <c r="I120" t="s">
        <v>8209</v>
      </c>
      <c r="J120" t="s">
        <v>7505</v>
      </c>
      <c r="K120" t="s">
        <v>64</v>
      </c>
      <c r="L120">
        <v>14803.55</v>
      </c>
      <c r="M120">
        <v>189</v>
      </c>
      <c r="N120" t="s">
        <v>43</v>
      </c>
      <c r="O120" t="s">
        <v>27</v>
      </c>
    </row>
    <row r="121" spans="1:15" x14ac:dyDescent="0.3">
      <c r="A121" t="s">
        <v>7504</v>
      </c>
      <c r="B121" t="s">
        <v>7503</v>
      </c>
      <c r="C121" t="s">
        <v>40</v>
      </c>
      <c r="D121">
        <v>17</v>
      </c>
      <c r="E121" t="s">
        <v>54</v>
      </c>
      <c r="F121" t="s">
        <v>20</v>
      </c>
      <c r="G121" s="8">
        <v>46147</v>
      </c>
      <c r="H121" s="8">
        <v>46170</v>
      </c>
      <c r="I121" t="s">
        <v>8210</v>
      </c>
      <c r="J121" t="s">
        <v>7501</v>
      </c>
      <c r="K121" t="s">
        <v>64</v>
      </c>
      <c r="L121">
        <v>12010.9</v>
      </c>
      <c r="M121">
        <v>362</v>
      </c>
      <c r="N121" t="s">
        <v>34</v>
      </c>
      <c r="O121" t="s">
        <v>17</v>
      </c>
    </row>
    <row r="122" spans="1:15" x14ac:dyDescent="0.3">
      <c r="A122" t="s">
        <v>7500</v>
      </c>
      <c r="B122" t="s">
        <v>7499</v>
      </c>
      <c r="C122" t="s">
        <v>74</v>
      </c>
      <c r="D122">
        <v>58</v>
      </c>
      <c r="E122" t="s">
        <v>21</v>
      </c>
      <c r="F122" t="s">
        <v>46</v>
      </c>
      <c r="G122" s="8">
        <v>46137</v>
      </c>
      <c r="H122" s="8">
        <v>46160</v>
      </c>
      <c r="I122" t="s">
        <v>8211</v>
      </c>
      <c r="J122" t="s">
        <v>7497</v>
      </c>
      <c r="K122" t="s">
        <v>27</v>
      </c>
      <c r="L122">
        <v>11559.45</v>
      </c>
      <c r="M122">
        <v>131</v>
      </c>
      <c r="N122" t="s">
        <v>16</v>
      </c>
      <c r="O122" t="s">
        <v>27</v>
      </c>
    </row>
    <row r="123" spans="1:15" x14ac:dyDescent="0.3">
      <c r="A123" t="s">
        <v>7496</v>
      </c>
      <c r="B123" t="s">
        <v>7495</v>
      </c>
      <c r="C123" t="s">
        <v>123</v>
      </c>
      <c r="D123">
        <v>55</v>
      </c>
      <c r="E123" t="s">
        <v>80</v>
      </c>
      <c r="F123" t="s">
        <v>85</v>
      </c>
      <c r="G123" s="8">
        <v>46123</v>
      </c>
      <c r="H123" s="8">
        <v>46145</v>
      </c>
      <c r="I123" t="s">
        <v>8212</v>
      </c>
      <c r="J123" t="s">
        <v>7493</v>
      </c>
      <c r="K123" t="s">
        <v>123</v>
      </c>
      <c r="L123">
        <v>2022.57</v>
      </c>
      <c r="M123">
        <v>264</v>
      </c>
      <c r="N123" t="s">
        <v>34</v>
      </c>
      <c r="O123" t="s">
        <v>64</v>
      </c>
    </row>
    <row r="124" spans="1:15" x14ac:dyDescent="0.3">
      <c r="A124" t="s">
        <v>7492</v>
      </c>
      <c r="B124" t="s">
        <v>7491</v>
      </c>
      <c r="C124" t="s">
        <v>40</v>
      </c>
      <c r="D124">
        <v>9</v>
      </c>
      <c r="E124" t="s">
        <v>39</v>
      </c>
      <c r="F124" t="s">
        <v>30</v>
      </c>
      <c r="G124" s="8">
        <v>46114</v>
      </c>
      <c r="H124" s="8">
        <v>46133</v>
      </c>
      <c r="I124" t="s">
        <v>8213</v>
      </c>
      <c r="J124" t="s">
        <v>7489</v>
      </c>
      <c r="K124" t="s">
        <v>64</v>
      </c>
      <c r="L124">
        <v>9646.43</v>
      </c>
      <c r="M124">
        <v>332</v>
      </c>
      <c r="N124" t="s">
        <v>34</v>
      </c>
      <c r="O124" t="s">
        <v>63</v>
      </c>
    </row>
    <row r="125" spans="1:15" x14ac:dyDescent="0.3">
      <c r="A125" t="s">
        <v>7488</v>
      </c>
      <c r="B125" t="s">
        <v>7487</v>
      </c>
      <c r="C125" t="s">
        <v>123</v>
      </c>
      <c r="D125">
        <v>13</v>
      </c>
      <c r="E125" t="s">
        <v>80</v>
      </c>
      <c r="F125" t="s">
        <v>8077</v>
      </c>
      <c r="G125" s="8">
        <v>46027</v>
      </c>
      <c r="H125" s="8">
        <v>46040</v>
      </c>
      <c r="I125" t="s">
        <v>8214</v>
      </c>
      <c r="J125" t="s">
        <v>7485</v>
      </c>
      <c r="K125" t="s">
        <v>123</v>
      </c>
      <c r="L125">
        <v>22224.66</v>
      </c>
      <c r="M125">
        <v>273</v>
      </c>
      <c r="N125" t="s">
        <v>50</v>
      </c>
      <c r="O125" t="s">
        <v>123</v>
      </c>
    </row>
    <row r="126" spans="1:15" x14ac:dyDescent="0.3">
      <c r="A126" t="s">
        <v>7484</v>
      </c>
      <c r="B126" t="s">
        <v>7483</v>
      </c>
      <c r="C126" t="s">
        <v>123</v>
      </c>
      <c r="D126">
        <v>52</v>
      </c>
      <c r="E126" t="s">
        <v>54</v>
      </c>
      <c r="F126" t="s">
        <v>20</v>
      </c>
      <c r="G126" s="8">
        <v>46029</v>
      </c>
      <c r="H126" s="8">
        <v>46039</v>
      </c>
      <c r="I126" t="s">
        <v>8215</v>
      </c>
      <c r="J126" t="s">
        <v>7481</v>
      </c>
      <c r="K126" t="s">
        <v>123</v>
      </c>
      <c r="L126">
        <v>7950.58</v>
      </c>
      <c r="M126">
        <v>291</v>
      </c>
      <c r="N126" t="s">
        <v>71</v>
      </c>
      <c r="O126" t="s">
        <v>63</v>
      </c>
    </row>
    <row r="127" spans="1:15" x14ac:dyDescent="0.3">
      <c r="A127" t="s">
        <v>7480</v>
      </c>
      <c r="B127" t="s">
        <v>7479</v>
      </c>
      <c r="C127" t="s">
        <v>123</v>
      </c>
      <c r="D127">
        <v>9</v>
      </c>
      <c r="E127" t="s">
        <v>80</v>
      </c>
      <c r="F127" t="s">
        <v>20</v>
      </c>
      <c r="G127" s="8">
        <v>46067</v>
      </c>
      <c r="H127" s="8">
        <v>46069</v>
      </c>
      <c r="I127" t="s">
        <v>8216</v>
      </c>
      <c r="J127" t="s">
        <v>7477</v>
      </c>
      <c r="K127" t="s">
        <v>123</v>
      </c>
      <c r="L127">
        <v>2594.8000000000002</v>
      </c>
      <c r="M127">
        <v>515</v>
      </c>
      <c r="N127" t="s">
        <v>71</v>
      </c>
      <c r="O127" t="s">
        <v>17</v>
      </c>
    </row>
    <row r="128" spans="1:15" x14ac:dyDescent="0.3">
      <c r="A128" t="s">
        <v>7472</v>
      </c>
      <c r="B128" t="s">
        <v>7471</v>
      </c>
      <c r="C128" t="s">
        <v>40</v>
      </c>
      <c r="D128">
        <v>37</v>
      </c>
      <c r="E128" t="s">
        <v>132</v>
      </c>
      <c r="F128" t="s">
        <v>67</v>
      </c>
      <c r="G128" s="8">
        <v>46127</v>
      </c>
      <c r="H128" s="8">
        <v>46130</v>
      </c>
      <c r="I128" t="s">
        <v>8217</v>
      </c>
      <c r="J128" t="s">
        <v>7469</v>
      </c>
      <c r="K128" t="s">
        <v>64</v>
      </c>
      <c r="L128">
        <v>4037.31</v>
      </c>
      <c r="M128">
        <v>214</v>
      </c>
      <c r="N128" t="s">
        <v>50</v>
      </c>
      <c r="O128" t="s">
        <v>123</v>
      </c>
    </row>
    <row r="129" spans="1:15" x14ac:dyDescent="0.3">
      <c r="A129" t="s">
        <v>7468</v>
      </c>
      <c r="B129" t="s">
        <v>7467</v>
      </c>
      <c r="C129" t="s">
        <v>74</v>
      </c>
      <c r="D129">
        <v>45</v>
      </c>
      <c r="E129" t="s">
        <v>31</v>
      </c>
      <c r="F129" t="s">
        <v>20</v>
      </c>
      <c r="G129" s="8">
        <v>46133</v>
      </c>
      <c r="H129" s="8">
        <v>46157</v>
      </c>
      <c r="I129" t="s">
        <v>8218</v>
      </c>
      <c r="J129" t="s">
        <v>7465</v>
      </c>
      <c r="K129" t="s">
        <v>27</v>
      </c>
      <c r="L129">
        <v>14437.68</v>
      </c>
      <c r="M129">
        <v>532</v>
      </c>
      <c r="N129" t="s">
        <v>34</v>
      </c>
      <c r="O129" t="s">
        <v>123</v>
      </c>
    </row>
    <row r="130" spans="1:15" x14ac:dyDescent="0.3">
      <c r="A130" t="s">
        <v>7464</v>
      </c>
      <c r="B130" t="s">
        <v>7463</v>
      </c>
      <c r="C130" t="s">
        <v>40</v>
      </c>
      <c r="D130">
        <v>78</v>
      </c>
      <c r="E130" t="s">
        <v>132</v>
      </c>
      <c r="F130" t="s">
        <v>46</v>
      </c>
      <c r="G130" s="8">
        <v>46015</v>
      </c>
      <c r="H130" s="8">
        <v>46020</v>
      </c>
      <c r="I130" t="s">
        <v>8219</v>
      </c>
      <c r="J130" t="s">
        <v>7461</v>
      </c>
      <c r="K130" t="s">
        <v>27</v>
      </c>
      <c r="L130">
        <v>17626.93</v>
      </c>
      <c r="M130">
        <v>273</v>
      </c>
      <c r="N130" t="s">
        <v>43</v>
      </c>
      <c r="O130" t="s">
        <v>63</v>
      </c>
    </row>
    <row r="131" spans="1:15" x14ac:dyDescent="0.3">
      <c r="A131" t="s">
        <v>7460</v>
      </c>
      <c r="B131" t="s">
        <v>7459</v>
      </c>
      <c r="C131" t="s">
        <v>40</v>
      </c>
      <c r="D131">
        <v>24</v>
      </c>
      <c r="E131" t="s">
        <v>39</v>
      </c>
      <c r="F131" t="s">
        <v>67</v>
      </c>
      <c r="G131" s="8">
        <v>45995</v>
      </c>
      <c r="H131" s="8">
        <v>45997</v>
      </c>
      <c r="I131" t="s">
        <v>8220</v>
      </c>
      <c r="J131" t="s">
        <v>7457</v>
      </c>
      <c r="K131" t="s">
        <v>27</v>
      </c>
      <c r="L131">
        <v>18576.03</v>
      </c>
      <c r="M131">
        <v>146</v>
      </c>
      <c r="N131" t="s">
        <v>25</v>
      </c>
      <c r="O131" t="s">
        <v>27</v>
      </c>
    </row>
    <row r="132" spans="1:15" x14ac:dyDescent="0.3">
      <c r="A132" t="s">
        <v>7456</v>
      </c>
      <c r="B132" t="s">
        <v>7455</v>
      </c>
      <c r="C132" t="s">
        <v>74</v>
      </c>
      <c r="D132">
        <v>49</v>
      </c>
      <c r="E132" t="s">
        <v>54</v>
      </c>
      <c r="F132" t="s">
        <v>85</v>
      </c>
      <c r="G132" s="8">
        <v>45986</v>
      </c>
      <c r="H132" s="8">
        <v>45996</v>
      </c>
      <c r="I132" t="s">
        <v>8221</v>
      </c>
      <c r="J132" t="s">
        <v>7453</v>
      </c>
      <c r="K132" t="s">
        <v>27</v>
      </c>
      <c r="L132">
        <v>9377.32</v>
      </c>
      <c r="M132">
        <v>497</v>
      </c>
      <c r="N132" t="s">
        <v>34</v>
      </c>
      <c r="O132" t="s">
        <v>17</v>
      </c>
    </row>
    <row r="133" spans="1:15" x14ac:dyDescent="0.3">
      <c r="A133" t="s">
        <v>7452</v>
      </c>
      <c r="B133" t="s">
        <v>7451</v>
      </c>
      <c r="C133" t="s">
        <v>74</v>
      </c>
      <c r="D133">
        <v>7</v>
      </c>
      <c r="E133" t="s">
        <v>39</v>
      </c>
      <c r="F133" t="s">
        <v>20</v>
      </c>
      <c r="G133" s="8">
        <v>46070</v>
      </c>
      <c r="H133" s="8">
        <v>46094</v>
      </c>
      <c r="I133" t="s">
        <v>8222</v>
      </c>
      <c r="J133" t="s">
        <v>7449</v>
      </c>
      <c r="K133" t="s">
        <v>27</v>
      </c>
      <c r="L133">
        <v>16914.419999999998</v>
      </c>
      <c r="M133">
        <v>326</v>
      </c>
      <c r="N133" t="s">
        <v>25</v>
      </c>
      <c r="O133" t="s">
        <v>63</v>
      </c>
    </row>
    <row r="134" spans="1:15" x14ac:dyDescent="0.3">
      <c r="A134" t="s">
        <v>7448</v>
      </c>
      <c r="B134" t="s">
        <v>7447</v>
      </c>
      <c r="C134" t="s">
        <v>123</v>
      </c>
      <c r="D134">
        <v>63</v>
      </c>
      <c r="E134" t="s">
        <v>68</v>
      </c>
      <c r="F134" t="s">
        <v>67</v>
      </c>
      <c r="G134" s="8">
        <v>46073</v>
      </c>
      <c r="H134" s="8">
        <v>46081</v>
      </c>
      <c r="I134" t="s">
        <v>8223</v>
      </c>
      <c r="J134" t="s">
        <v>7445</v>
      </c>
      <c r="K134" t="s">
        <v>64</v>
      </c>
      <c r="L134">
        <v>18922.59</v>
      </c>
      <c r="M134">
        <v>276</v>
      </c>
      <c r="N134" t="s">
        <v>16</v>
      </c>
      <c r="O134" t="s">
        <v>64</v>
      </c>
    </row>
    <row r="135" spans="1:15" x14ac:dyDescent="0.3">
      <c r="A135" t="s">
        <v>7444</v>
      </c>
      <c r="B135" t="s">
        <v>7443</v>
      </c>
      <c r="C135" t="s">
        <v>74</v>
      </c>
      <c r="D135">
        <v>37</v>
      </c>
      <c r="E135" t="s">
        <v>68</v>
      </c>
      <c r="F135" t="s">
        <v>30</v>
      </c>
      <c r="G135" s="8">
        <v>46120</v>
      </c>
      <c r="H135" s="8">
        <v>46121</v>
      </c>
      <c r="I135" t="s">
        <v>8224</v>
      </c>
      <c r="J135" t="s">
        <v>7441</v>
      </c>
      <c r="K135" t="s">
        <v>64</v>
      </c>
      <c r="L135">
        <v>10002.530000000001</v>
      </c>
      <c r="M135">
        <v>103</v>
      </c>
      <c r="N135" t="s">
        <v>71</v>
      </c>
      <c r="O135" t="s">
        <v>27</v>
      </c>
    </row>
    <row r="136" spans="1:15" x14ac:dyDescent="0.3">
      <c r="A136" t="s">
        <v>7440</v>
      </c>
      <c r="B136" t="s">
        <v>7439</v>
      </c>
      <c r="C136" t="s">
        <v>40</v>
      </c>
      <c r="D136">
        <v>28</v>
      </c>
      <c r="E136" t="s">
        <v>39</v>
      </c>
      <c r="F136" t="s">
        <v>30</v>
      </c>
      <c r="G136" s="8">
        <v>46080</v>
      </c>
      <c r="H136" s="8">
        <v>46089</v>
      </c>
      <c r="I136" t="s">
        <v>8225</v>
      </c>
      <c r="J136" t="s">
        <v>7437</v>
      </c>
      <c r="K136" t="s">
        <v>64</v>
      </c>
      <c r="L136">
        <v>3175.61</v>
      </c>
      <c r="M136">
        <v>482</v>
      </c>
      <c r="N136" t="s">
        <v>16</v>
      </c>
      <c r="O136" t="s">
        <v>123</v>
      </c>
    </row>
    <row r="137" spans="1:15" x14ac:dyDescent="0.3">
      <c r="A137" t="s">
        <v>7432</v>
      </c>
      <c r="B137" t="s">
        <v>7431</v>
      </c>
      <c r="C137" t="s">
        <v>123</v>
      </c>
      <c r="D137">
        <v>10</v>
      </c>
      <c r="E137" t="s">
        <v>31</v>
      </c>
      <c r="F137" t="s">
        <v>67</v>
      </c>
      <c r="G137" s="8">
        <v>45982</v>
      </c>
      <c r="H137" s="8">
        <v>46000</v>
      </c>
      <c r="I137" t="s">
        <v>8226</v>
      </c>
      <c r="J137" t="s">
        <v>7429</v>
      </c>
      <c r="K137" t="s">
        <v>123</v>
      </c>
      <c r="L137">
        <v>17795.57</v>
      </c>
      <c r="M137">
        <v>248</v>
      </c>
      <c r="N137" t="s">
        <v>77</v>
      </c>
      <c r="O137" t="s">
        <v>123</v>
      </c>
    </row>
    <row r="138" spans="1:15" x14ac:dyDescent="0.3">
      <c r="A138" t="s">
        <v>7428</v>
      </c>
      <c r="B138" t="s">
        <v>7427</v>
      </c>
      <c r="C138" t="s">
        <v>123</v>
      </c>
      <c r="D138">
        <v>3</v>
      </c>
      <c r="E138" t="s">
        <v>31</v>
      </c>
      <c r="F138" t="s">
        <v>20</v>
      </c>
      <c r="G138" s="8">
        <v>46098</v>
      </c>
      <c r="H138" s="8">
        <v>46123</v>
      </c>
      <c r="I138" t="s">
        <v>8227</v>
      </c>
      <c r="J138" t="s">
        <v>7425</v>
      </c>
      <c r="K138" t="s">
        <v>123</v>
      </c>
      <c r="L138">
        <v>20834.240000000002</v>
      </c>
      <c r="M138">
        <v>145</v>
      </c>
      <c r="N138" t="s">
        <v>16</v>
      </c>
      <c r="O138" t="s">
        <v>17</v>
      </c>
    </row>
    <row r="139" spans="1:15" x14ac:dyDescent="0.3">
      <c r="A139" t="s">
        <v>7424</v>
      </c>
      <c r="B139" t="s">
        <v>7423</v>
      </c>
      <c r="C139" t="s">
        <v>74</v>
      </c>
      <c r="D139">
        <v>32</v>
      </c>
      <c r="E139" t="s">
        <v>54</v>
      </c>
      <c r="F139" t="s">
        <v>67</v>
      </c>
      <c r="G139" s="8">
        <v>46018</v>
      </c>
      <c r="H139" s="8">
        <v>46034</v>
      </c>
      <c r="I139" t="s">
        <v>8228</v>
      </c>
      <c r="J139" t="s">
        <v>7421</v>
      </c>
      <c r="K139" t="s">
        <v>64</v>
      </c>
      <c r="L139">
        <v>10015.01</v>
      </c>
      <c r="M139">
        <v>481</v>
      </c>
      <c r="N139" t="s">
        <v>43</v>
      </c>
      <c r="O139" t="s">
        <v>63</v>
      </c>
    </row>
    <row r="140" spans="1:15" x14ac:dyDescent="0.3">
      <c r="A140" t="s">
        <v>7420</v>
      </c>
      <c r="B140" t="s">
        <v>7419</v>
      </c>
      <c r="C140" t="s">
        <v>74</v>
      </c>
      <c r="D140">
        <v>43</v>
      </c>
      <c r="E140" t="s">
        <v>39</v>
      </c>
      <c r="F140" t="s">
        <v>20</v>
      </c>
      <c r="G140" s="8">
        <v>46082</v>
      </c>
      <c r="H140" s="8">
        <v>46098</v>
      </c>
      <c r="I140" t="s">
        <v>8229</v>
      </c>
      <c r="J140" t="s">
        <v>7417</v>
      </c>
      <c r="K140" t="s">
        <v>64</v>
      </c>
      <c r="L140">
        <v>13359</v>
      </c>
      <c r="M140">
        <v>497</v>
      </c>
      <c r="N140" t="s">
        <v>43</v>
      </c>
      <c r="O140" t="s">
        <v>57</v>
      </c>
    </row>
    <row r="141" spans="1:15" x14ac:dyDescent="0.3">
      <c r="A141" t="s">
        <v>7416</v>
      </c>
      <c r="B141" t="s">
        <v>7415</v>
      </c>
      <c r="C141" t="s">
        <v>74</v>
      </c>
      <c r="D141">
        <v>83</v>
      </c>
      <c r="E141" t="s">
        <v>39</v>
      </c>
      <c r="F141" t="s">
        <v>8077</v>
      </c>
      <c r="G141" s="8">
        <v>46129</v>
      </c>
      <c r="H141" s="8">
        <v>46132</v>
      </c>
      <c r="I141" t="s">
        <v>8230</v>
      </c>
      <c r="J141" t="s">
        <v>7414</v>
      </c>
      <c r="K141" t="s">
        <v>27</v>
      </c>
      <c r="L141">
        <v>6548.01</v>
      </c>
      <c r="M141">
        <v>408</v>
      </c>
      <c r="N141" t="s">
        <v>71</v>
      </c>
      <c r="O141" t="s">
        <v>26</v>
      </c>
    </row>
    <row r="142" spans="1:15" x14ac:dyDescent="0.3">
      <c r="A142" t="s">
        <v>7413</v>
      </c>
      <c r="B142" t="s">
        <v>7412</v>
      </c>
      <c r="C142" t="s">
        <v>74</v>
      </c>
      <c r="D142">
        <v>23</v>
      </c>
      <c r="E142" t="s">
        <v>68</v>
      </c>
      <c r="F142" t="s">
        <v>85</v>
      </c>
      <c r="G142" s="8">
        <v>46033</v>
      </c>
      <c r="H142" s="8">
        <v>46057</v>
      </c>
      <c r="I142" t="s">
        <v>8231</v>
      </c>
      <c r="J142" t="s">
        <v>7410</v>
      </c>
      <c r="K142" t="s">
        <v>123</v>
      </c>
      <c r="L142">
        <v>17092.11</v>
      </c>
      <c r="M142">
        <v>542</v>
      </c>
      <c r="N142" t="s">
        <v>25</v>
      </c>
      <c r="O142" t="s">
        <v>17</v>
      </c>
    </row>
    <row r="143" spans="1:15" x14ac:dyDescent="0.3">
      <c r="A143" t="s">
        <v>7409</v>
      </c>
      <c r="B143" t="s">
        <v>7408</v>
      </c>
      <c r="C143" t="s">
        <v>74</v>
      </c>
      <c r="D143">
        <v>20</v>
      </c>
      <c r="E143" t="s">
        <v>68</v>
      </c>
      <c r="F143" t="s">
        <v>20</v>
      </c>
      <c r="G143" s="8">
        <v>46092</v>
      </c>
      <c r="H143" s="8">
        <v>46107</v>
      </c>
      <c r="I143" t="s">
        <v>8232</v>
      </c>
      <c r="J143" t="s">
        <v>7406</v>
      </c>
      <c r="K143" t="s">
        <v>123</v>
      </c>
      <c r="L143">
        <v>15858.35</v>
      </c>
      <c r="M143">
        <v>402</v>
      </c>
      <c r="N143" t="s">
        <v>77</v>
      </c>
      <c r="O143" t="s">
        <v>63</v>
      </c>
    </row>
    <row r="144" spans="1:15" x14ac:dyDescent="0.3">
      <c r="A144" t="s">
        <v>7405</v>
      </c>
      <c r="B144" t="s">
        <v>7404</v>
      </c>
      <c r="C144" t="s">
        <v>74</v>
      </c>
      <c r="D144">
        <v>65</v>
      </c>
      <c r="E144" t="s">
        <v>80</v>
      </c>
      <c r="F144" t="s">
        <v>30</v>
      </c>
      <c r="G144" s="8">
        <v>46136</v>
      </c>
      <c r="H144" s="8">
        <v>46150</v>
      </c>
      <c r="I144" t="s">
        <v>8233</v>
      </c>
      <c r="J144" t="s">
        <v>7402</v>
      </c>
      <c r="K144" t="s">
        <v>123</v>
      </c>
      <c r="L144">
        <v>1132.6600000000001</v>
      </c>
      <c r="M144">
        <v>525</v>
      </c>
      <c r="N144" t="s">
        <v>43</v>
      </c>
      <c r="O144" t="s">
        <v>17</v>
      </c>
    </row>
    <row r="145" spans="1:15" x14ac:dyDescent="0.3">
      <c r="A145" t="s">
        <v>7401</v>
      </c>
      <c r="B145" t="s">
        <v>7400</v>
      </c>
      <c r="C145" t="s">
        <v>74</v>
      </c>
      <c r="D145">
        <v>83</v>
      </c>
      <c r="E145" t="s">
        <v>80</v>
      </c>
      <c r="F145" t="s">
        <v>67</v>
      </c>
      <c r="G145" s="8">
        <v>46139</v>
      </c>
      <c r="H145" s="8">
        <v>46153</v>
      </c>
      <c r="I145" t="s">
        <v>8234</v>
      </c>
      <c r="J145" t="s">
        <v>7398</v>
      </c>
      <c r="K145" t="s">
        <v>27</v>
      </c>
      <c r="L145">
        <v>11353.4</v>
      </c>
      <c r="M145">
        <v>264</v>
      </c>
      <c r="N145" t="s">
        <v>34</v>
      </c>
      <c r="O145" t="s">
        <v>57</v>
      </c>
    </row>
    <row r="146" spans="1:15" x14ac:dyDescent="0.3">
      <c r="A146" t="s">
        <v>7397</v>
      </c>
      <c r="B146" t="s">
        <v>7396</v>
      </c>
      <c r="C146" t="s">
        <v>123</v>
      </c>
      <c r="D146">
        <v>65</v>
      </c>
      <c r="E146" t="s">
        <v>39</v>
      </c>
      <c r="F146" t="s">
        <v>46</v>
      </c>
      <c r="G146" s="8">
        <v>46029</v>
      </c>
      <c r="H146" s="8">
        <v>46043</v>
      </c>
      <c r="I146" t="s">
        <v>8235</v>
      </c>
      <c r="J146" t="s">
        <v>7394</v>
      </c>
      <c r="K146" t="s">
        <v>64</v>
      </c>
      <c r="L146">
        <v>20311.98</v>
      </c>
      <c r="M146">
        <v>465</v>
      </c>
      <c r="N146" t="s">
        <v>77</v>
      </c>
      <c r="O146" t="s">
        <v>17</v>
      </c>
    </row>
    <row r="147" spans="1:15" x14ac:dyDescent="0.3">
      <c r="A147" t="s">
        <v>7393</v>
      </c>
      <c r="B147" t="s">
        <v>7392</v>
      </c>
      <c r="C147" t="s">
        <v>40</v>
      </c>
      <c r="D147">
        <v>6</v>
      </c>
      <c r="E147" t="s">
        <v>21</v>
      </c>
      <c r="F147" t="s">
        <v>85</v>
      </c>
      <c r="G147" s="8">
        <v>46030</v>
      </c>
      <c r="H147" s="8">
        <v>46044</v>
      </c>
      <c r="I147" t="s">
        <v>8236</v>
      </c>
      <c r="J147" t="s">
        <v>7390</v>
      </c>
      <c r="K147" t="s">
        <v>27</v>
      </c>
      <c r="L147">
        <v>9224.67</v>
      </c>
      <c r="M147">
        <v>298</v>
      </c>
      <c r="N147" t="s">
        <v>16</v>
      </c>
      <c r="O147" t="s">
        <v>63</v>
      </c>
    </row>
    <row r="148" spans="1:15" x14ac:dyDescent="0.3">
      <c r="A148" t="s">
        <v>7389</v>
      </c>
      <c r="B148" t="s">
        <v>7388</v>
      </c>
      <c r="C148" t="s">
        <v>74</v>
      </c>
      <c r="D148">
        <v>87</v>
      </c>
      <c r="E148" t="s">
        <v>47</v>
      </c>
      <c r="F148" t="s">
        <v>67</v>
      </c>
      <c r="G148" s="8">
        <v>46127</v>
      </c>
      <c r="H148" s="8">
        <v>46129</v>
      </c>
      <c r="I148" t="s">
        <v>8237</v>
      </c>
      <c r="J148" t="s">
        <v>7386</v>
      </c>
      <c r="K148" t="s">
        <v>64</v>
      </c>
      <c r="L148">
        <v>2543.75</v>
      </c>
      <c r="M148">
        <v>245</v>
      </c>
      <c r="N148" t="s">
        <v>43</v>
      </c>
      <c r="O148" t="s">
        <v>123</v>
      </c>
    </row>
    <row r="149" spans="1:15" x14ac:dyDescent="0.3">
      <c r="A149" t="s">
        <v>7385</v>
      </c>
      <c r="B149" t="s">
        <v>7384</v>
      </c>
      <c r="C149" t="s">
        <v>40</v>
      </c>
      <c r="D149">
        <v>43</v>
      </c>
      <c r="E149" t="s">
        <v>80</v>
      </c>
      <c r="F149" t="s">
        <v>20</v>
      </c>
      <c r="G149" s="8">
        <v>46047</v>
      </c>
      <c r="H149" s="8">
        <v>46076</v>
      </c>
      <c r="I149" t="s">
        <v>8238</v>
      </c>
      <c r="J149" t="s">
        <v>7382</v>
      </c>
      <c r="K149" t="s">
        <v>64</v>
      </c>
      <c r="L149">
        <v>7893.75</v>
      </c>
      <c r="M149">
        <v>166</v>
      </c>
      <c r="N149" t="s">
        <v>34</v>
      </c>
      <c r="O149" t="s">
        <v>123</v>
      </c>
    </row>
    <row r="150" spans="1:15" x14ac:dyDescent="0.3">
      <c r="A150" t="s">
        <v>7381</v>
      </c>
      <c r="B150" t="s">
        <v>7380</v>
      </c>
      <c r="C150" t="s">
        <v>74</v>
      </c>
      <c r="D150">
        <v>40</v>
      </c>
      <c r="E150" t="s">
        <v>54</v>
      </c>
      <c r="F150" t="s">
        <v>67</v>
      </c>
      <c r="G150" s="8">
        <v>46094</v>
      </c>
      <c r="H150" s="8">
        <v>46120</v>
      </c>
      <c r="I150" t="s">
        <v>8239</v>
      </c>
      <c r="J150" t="s">
        <v>7378</v>
      </c>
      <c r="K150" t="s">
        <v>27</v>
      </c>
      <c r="L150">
        <v>16818.89</v>
      </c>
      <c r="M150">
        <v>430</v>
      </c>
      <c r="N150" t="s">
        <v>25</v>
      </c>
      <c r="O150" t="s">
        <v>64</v>
      </c>
    </row>
    <row r="151" spans="1:15" x14ac:dyDescent="0.3">
      <c r="A151" t="s">
        <v>7373</v>
      </c>
      <c r="B151" t="s">
        <v>7372</v>
      </c>
      <c r="C151" t="s">
        <v>123</v>
      </c>
      <c r="D151">
        <v>25</v>
      </c>
      <c r="E151" t="s">
        <v>21</v>
      </c>
      <c r="F151" t="s">
        <v>20</v>
      </c>
      <c r="G151" s="8">
        <v>46062</v>
      </c>
      <c r="H151" s="8">
        <v>46066</v>
      </c>
      <c r="I151" t="s">
        <v>8240</v>
      </c>
      <c r="J151" t="s">
        <v>7370</v>
      </c>
      <c r="K151" t="s">
        <v>64</v>
      </c>
      <c r="L151">
        <v>7535.64</v>
      </c>
      <c r="M151">
        <v>359</v>
      </c>
      <c r="N151" t="s">
        <v>50</v>
      </c>
      <c r="O151" t="s">
        <v>64</v>
      </c>
    </row>
    <row r="152" spans="1:15" x14ac:dyDescent="0.3">
      <c r="A152" t="s">
        <v>7369</v>
      </c>
      <c r="B152" t="s">
        <v>7368</v>
      </c>
      <c r="C152" t="s">
        <v>40</v>
      </c>
      <c r="D152">
        <v>85</v>
      </c>
      <c r="E152" t="s">
        <v>31</v>
      </c>
      <c r="F152" t="s">
        <v>20</v>
      </c>
      <c r="G152" s="8">
        <v>46083</v>
      </c>
      <c r="H152" s="8">
        <v>46102</v>
      </c>
      <c r="I152" t="s">
        <v>8241</v>
      </c>
      <c r="J152" t="s">
        <v>7366</v>
      </c>
      <c r="K152" t="s">
        <v>123</v>
      </c>
      <c r="L152">
        <v>4025.47</v>
      </c>
      <c r="M152">
        <v>525</v>
      </c>
      <c r="N152" t="s">
        <v>25</v>
      </c>
      <c r="O152" t="s">
        <v>26</v>
      </c>
    </row>
    <row r="153" spans="1:15" x14ac:dyDescent="0.3">
      <c r="A153" t="s">
        <v>7365</v>
      </c>
      <c r="B153" t="s">
        <v>7364</v>
      </c>
      <c r="C153" t="s">
        <v>40</v>
      </c>
      <c r="D153">
        <v>57</v>
      </c>
      <c r="E153" t="s">
        <v>47</v>
      </c>
      <c r="F153" t="s">
        <v>67</v>
      </c>
      <c r="G153" s="8">
        <v>46018</v>
      </c>
      <c r="H153" s="8">
        <v>46029</v>
      </c>
      <c r="I153" t="s">
        <v>8242</v>
      </c>
      <c r="J153" t="s">
        <v>7362</v>
      </c>
      <c r="K153" t="s">
        <v>64</v>
      </c>
      <c r="L153">
        <v>24245.8</v>
      </c>
      <c r="M153">
        <v>485</v>
      </c>
      <c r="N153" t="s">
        <v>25</v>
      </c>
      <c r="O153" t="s">
        <v>63</v>
      </c>
    </row>
    <row r="154" spans="1:15" x14ac:dyDescent="0.3">
      <c r="A154" t="s">
        <v>7361</v>
      </c>
      <c r="B154" t="s">
        <v>7360</v>
      </c>
      <c r="C154" t="s">
        <v>123</v>
      </c>
      <c r="D154">
        <v>30</v>
      </c>
      <c r="E154" t="s">
        <v>21</v>
      </c>
      <c r="F154" t="s">
        <v>30</v>
      </c>
      <c r="G154" s="8">
        <v>46075</v>
      </c>
      <c r="H154" s="8">
        <v>46105</v>
      </c>
      <c r="I154" t="s">
        <v>8243</v>
      </c>
      <c r="J154" t="s">
        <v>7358</v>
      </c>
      <c r="K154" t="s">
        <v>123</v>
      </c>
      <c r="L154">
        <v>22618.560000000001</v>
      </c>
      <c r="M154">
        <v>288</v>
      </c>
      <c r="N154" t="s">
        <v>25</v>
      </c>
      <c r="O154" t="s">
        <v>57</v>
      </c>
    </row>
    <row r="155" spans="1:15" x14ac:dyDescent="0.3">
      <c r="A155" t="s">
        <v>7357</v>
      </c>
      <c r="B155" t="s">
        <v>7356</v>
      </c>
      <c r="C155" t="s">
        <v>123</v>
      </c>
      <c r="D155">
        <v>60</v>
      </c>
      <c r="E155" t="s">
        <v>132</v>
      </c>
      <c r="F155" t="s">
        <v>67</v>
      </c>
      <c r="G155" s="8">
        <v>46057</v>
      </c>
      <c r="H155" s="8">
        <v>46073</v>
      </c>
      <c r="I155" t="s">
        <v>8244</v>
      </c>
      <c r="J155" t="s">
        <v>123</v>
      </c>
      <c r="K155" t="s">
        <v>123</v>
      </c>
      <c r="L155">
        <v>-500</v>
      </c>
      <c r="M155">
        <v>510</v>
      </c>
      <c r="N155" t="s">
        <v>34</v>
      </c>
      <c r="O155" t="s">
        <v>57</v>
      </c>
    </row>
    <row r="156" spans="1:15" x14ac:dyDescent="0.3">
      <c r="A156" t="s">
        <v>7354</v>
      </c>
      <c r="B156" t="s">
        <v>7353</v>
      </c>
      <c r="C156" t="s">
        <v>40</v>
      </c>
      <c r="D156">
        <v>33</v>
      </c>
      <c r="E156" t="s">
        <v>47</v>
      </c>
      <c r="F156" t="s">
        <v>85</v>
      </c>
      <c r="G156" s="8">
        <v>46059</v>
      </c>
      <c r="H156" s="8">
        <v>46086</v>
      </c>
      <c r="I156" t="s">
        <v>8245</v>
      </c>
      <c r="J156" t="s">
        <v>7351</v>
      </c>
      <c r="K156" t="s">
        <v>64</v>
      </c>
      <c r="L156">
        <v>13952.61</v>
      </c>
      <c r="M156">
        <v>464</v>
      </c>
      <c r="N156" t="s">
        <v>50</v>
      </c>
      <c r="O156" t="s">
        <v>64</v>
      </c>
    </row>
    <row r="157" spans="1:15" x14ac:dyDescent="0.3">
      <c r="A157" t="s">
        <v>7350</v>
      </c>
      <c r="B157" t="s">
        <v>7349</v>
      </c>
      <c r="C157" t="s">
        <v>74</v>
      </c>
      <c r="D157">
        <v>37</v>
      </c>
      <c r="E157" t="s">
        <v>80</v>
      </c>
      <c r="F157" t="s">
        <v>20</v>
      </c>
      <c r="G157" s="8">
        <v>46047</v>
      </c>
      <c r="H157" s="8">
        <v>46055</v>
      </c>
      <c r="I157" t="s">
        <v>8246</v>
      </c>
      <c r="J157" t="s">
        <v>7347</v>
      </c>
      <c r="K157" t="s">
        <v>123</v>
      </c>
      <c r="L157">
        <v>22651.59</v>
      </c>
      <c r="M157">
        <v>525</v>
      </c>
      <c r="N157" t="s">
        <v>16</v>
      </c>
      <c r="O157" t="s">
        <v>26</v>
      </c>
    </row>
    <row r="158" spans="1:15" x14ac:dyDescent="0.3">
      <c r="A158" t="s">
        <v>7346</v>
      </c>
      <c r="B158" t="s">
        <v>7345</v>
      </c>
      <c r="C158" t="s">
        <v>74</v>
      </c>
      <c r="D158">
        <v>29</v>
      </c>
      <c r="E158" t="s">
        <v>68</v>
      </c>
      <c r="F158" t="s">
        <v>67</v>
      </c>
      <c r="G158" s="8">
        <v>46134</v>
      </c>
      <c r="H158" s="8">
        <v>46163</v>
      </c>
      <c r="I158" t="s">
        <v>8247</v>
      </c>
      <c r="J158" t="s">
        <v>7343</v>
      </c>
      <c r="K158" t="s">
        <v>27</v>
      </c>
      <c r="L158">
        <v>10489.44</v>
      </c>
      <c r="M158">
        <v>357</v>
      </c>
      <c r="N158" t="s">
        <v>43</v>
      </c>
      <c r="O158" t="s">
        <v>123</v>
      </c>
    </row>
    <row r="159" spans="1:15" x14ac:dyDescent="0.3">
      <c r="A159" t="s">
        <v>7342</v>
      </c>
      <c r="B159" t="s">
        <v>7341</v>
      </c>
      <c r="C159" t="s">
        <v>74</v>
      </c>
      <c r="D159">
        <v>50</v>
      </c>
      <c r="E159" t="s">
        <v>80</v>
      </c>
      <c r="F159" t="s">
        <v>67</v>
      </c>
      <c r="G159" s="8">
        <v>46052</v>
      </c>
      <c r="H159" s="8">
        <v>46059</v>
      </c>
      <c r="I159" t="s">
        <v>8248</v>
      </c>
      <c r="J159" t="s">
        <v>7339</v>
      </c>
      <c r="K159" t="s">
        <v>27</v>
      </c>
      <c r="L159">
        <v>8103.38</v>
      </c>
      <c r="M159">
        <v>529</v>
      </c>
      <c r="N159" t="s">
        <v>25</v>
      </c>
      <c r="O159" t="s">
        <v>64</v>
      </c>
    </row>
    <row r="160" spans="1:15" x14ac:dyDescent="0.3">
      <c r="A160" t="s">
        <v>7338</v>
      </c>
      <c r="B160" t="s">
        <v>7337</v>
      </c>
      <c r="C160" t="s">
        <v>74</v>
      </c>
      <c r="D160">
        <v>19</v>
      </c>
      <c r="E160" t="s">
        <v>39</v>
      </c>
      <c r="F160" t="s">
        <v>46</v>
      </c>
      <c r="G160" s="8">
        <v>46099</v>
      </c>
      <c r="H160" s="8">
        <v>46108</v>
      </c>
      <c r="I160" t="s">
        <v>8249</v>
      </c>
      <c r="J160" t="s">
        <v>7335</v>
      </c>
      <c r="K160" t="s">
        <v>123</v>
      </c>
      <c r="L160">
        <v>17462.59</v>
      </c>
      <c r="M160">
        <v>488</v>
      </c>
      <c r="N160" t="s">
        <v>25</v>
      </c>
      <c r="O160" t="s">
        <v>26</v>
      </c>
    </row>
    <row r="161" spans="1:15" x14ac:dyDescent="0.3">
      <c r="A161" t="s">
        <v>7330</v>
      </c>
      <c r="B161" t="s">
        <v>7329</v>
      </c>
      <c r="C161" t="s">
        <v>123</v>
      </c>
      <c r="D161">
        <v>15</v>
      </c>
      <c r="E161" t="s">
        <v>132</v>
      </c>
      <c r="F161" t="s">
        <v>8077</v>
      </c>
      <c r="G161" s="8">
        <v>46042</v>
      </c>
      <c r="H161" s="8">
        <v>46051</v>
      </c>
      <c r="I161" t="s">
        <v>8250</v>
      </c>
      <c r="J161" t="s">
        <v>7327</v>
      </c>
      <c r="K161" t="s">
        <v>64</v>
      </c>
      <c r="L161">
        <v>1384.19</v>
      </c>
      <c r="M161">
        <v>427</v>
      </c>
      <c r="N161" t="s">
        <v>50</v>
      </c>
      <c r="O161" t="s">
        <v>123</v>
      </c>
    </row>
    <row r="162" spans="1:15" x14ac:dyDescent="0.3">
      <c r="A162" t="s">
        <v>7326</v>
      </c>
      <c r="B162" t="s">
        <v>1054</v>
      </c>
      <c r="C162" t="s">
        <v>123</v>
      </c>
      <c r="D162">
        <v>9</v>
      </c>
      <c r="E162" t="s">
        <v>80</v>
      </c>
      <c r="F162" t="s">
        <v>85</v>
      </c>
      <c r="G162" s="8">
        <v>46081</v>
      </c>
      <c r="H162" s="8">
        <v>46100</v>
      </c>
      <c r="I162" t="s">
        <v>8251</v>
      </c>
      <c r="J162" t="s">
        <v>7324</v>
      </c>
      <c r="K162" t="s">
        <v>27</v>
      </c>
      <c r="L162">
        <v>15872.48</v>
      </c>
      <c r="M162">
        <v>467</v>
      </c>
      <c r="N162" t="s">
        <v>71</v>
      </c>
      <c r="O162" t="s">
        <v>57</v>
      </c>
    </row>
    <row r="163" spans="1:15" x14ac:dyDescent="0.3">
      <c r="A163" t="s">
        <v>7323</v>
      </c>
      <c r="B163" t="s">
        <v>7322</v>
      </c>
      <c r="C163" t="s">
        <v>40</v>
      </c>
      <c r="D163">
        <v>55</v>
      </c>
      <c r="E163" t="s">
        <v>47</v>
      </c>
      <c r="F163" t="s">
        <v>67</v>
      </c>
      <c r="G163" s="8">
        <v>46133</v>
      </c>
      <c r="H163" s="8">
        <v>46140</v>
      </c>
      <c r="I163" t="s">
        <v>8252</v>
      </c>
      <c r="J163" t="s">
        <v>7320</v>
      </c>
      <c r="K163" t="s">
        <v>123</v>
      </c>
      <c r="L163">
        <v>4845.3900000000003</v>
      </c>
      <c r="M163">
        <v>368</v>
      </c>
      <c r="N163" t="s">
        <v>43</v>
      </c>
      <c r="O163" t="s">
        <v>64</v>
      </c>
    </row>
    <row r="164" spans="1:15" x14ac:dyDescent="0.3">
      <c r="A164" t="s">
        <v>7316</v>
      </c>
      <c r="B164" t="s">
        <v>7315</v>
      </c>
      <c r="C164" t="s">
        <v>40</v>
      </c>
      <c r="D164">
        <v>46</v>
      </c>
      <c r="E164" t="s">
        <v>80</v>
      </c>
      <c r="F164" t="s">
        <v>67</v>
      </c>
      <c r="G164" s="8">
        <v>46129</v>
      </c>
      <c r="H164" s="8">
        <v>46136</v>
      </c>
      <c r="I164" t="s">
        <v>8253</v>
      </c>
      <c r="J164" t="s">
        <v>7313</v>
      </c>
      <c r="K164" t="s">
        <v>64</v>
      </c>
      <c r="L164">
        <v>19333.23</v>
      </c>
      <c r="M164">
        <v>168</v>
      </c>
      <c r="N164" t="s">
        <v>77</v>
      </c>
      <c r="O164" t="s">
        <v>17</v>
      </c>
    </row>
    <row r="165" spans="1:15" x14ac:dyDescent="0.3">
      <c r="A165" t="s">
        <v>7312</v>
      </c>
      <c r="B165" t="s">
        <v>7311</v>
      </c>
      <c r="C165" t="s">
        <v>74</v>
      </c>
      <c r="D165">
        <v>70</v>
      </c>
      <c r="E165" t="s">
        <v>31</v>
      </c>
      <c r="F165" t="s">
        <v>20</v>
      </c>
      <c r="G165" s="8">
        <v>46021</v>
      </c>
      <c r="H165" s="8">
        <v>46047</v>
      </c>
      <c r="I165" t="s">
        <v>8254</v>
      </c>
      <c r="J165" t="s">
        <v>7309</v>
      </c>
      <c r="K165" t="s">
        <v>123</v>
      </c>
      <c r="L165">
        <v>24524.32</v>
      </c>
      <c r="M165">
        <v>423</v>
      </c>
      <c r="N165" t="s">
        <v>71</v>
      </c>
      <c r="O165" t="s">
        <v>123</v>
      </c>
    </row>
    <row r="166" spans="1:15" x14ac:dyDescent="0.3">
      <c r="A166" t="s">
        <v>7308</v>
      </c>
      <c r="B166" t="s">
        <v>7307</v>
      </c>
      <c r="C166" t="s">
        <v>40</v>
      </c>
      <c r="D166">
        <v>9</v>
      </c>
      <c r="E166" t="s">
        <v>68</v>
      </c>
      <c r="F166" t="s">
        <v>46</v>
      </c>
      <c r="G166" s="8">
        <v>45981</v>
      </c>
      <c r="H166" s="8">
        <v>45990</v>
      </c>
      <c r="I166" t="s">
        <v>8255</v>
      </c>
      <c r="J166" t="s">
        <v>7305</v>
      </c>
      <c r="K166" t="s">
        <v>64</v>
      </c>
      <c r="L166">
        <v>1286.4000000000001</v>
      </c>
      <c r="M166">
        <v>121</v>
      </c>
      <c r="N166" t="s">
        <v>43</v>
      </c>
      <c r="O166" t="s">
        <v>57</v>
      </c>
    </row>
    <row r="167" spans="1:15" x14ac:dyDescent="0.3">
      <c r="A167" t="s">
        <v>7304</v>
      </c>
      <c r="B167" t="s">
        <v>7303</v>
      </c>
      <c r="C167" t="s">
        <v>40</v>
      </c>
      <c r="D167">
        <v>66</v>
      </c>
      <c r="E167" t="s">
        <v>54</v>
      </c>
      <c r="F167" t="s">
        <v>85</v>
      </c>
      <c r="G167" s="8">
        <v>46119</v>
      </c>
      <c r="H167" s="8">
        <v>46127</v>
      </c>
      <c r="I167" t="s">
        <v>8256</v>
      </c>
      <c r="J167" t="s">
        <v>7301</v>
      </c>
      <c r="K167" t="s">
        <v>27</v>
      </c>
      <c r="L167">
        <v>18881.61</v>
      </c>
      <c r="M167">
        <v>246</v>
      </c>
      <c r="N167" t="s">
        <v>43</v>
      </c>
      <c r="O167" t="s">
        <v>57</v>
      </c>
    </row>
    <row r="168" spans="1:15" x14ac:dyDescent="0.3">
      <c r="A168" t="s">
        <v>7300</v>
      </c>
      <c r="B168" t="s">
        <v>7299</v>
      </c>
      <c r="C168" t="s">
        <v>40</v>
      </c>
      <c r="D168">
        <v>84</v>
      </c>
      <c r="E168" t="s">
        <v>31</v>
      </c>
      <c r="F168" t="s">
        <v>30</v>
      </c>
      <c r="G168" s="8">
        <v>46038</v>
      </c>
      <c r="H168" s="8">
        <v>46041</v>
      </c>
      <c r="I168" t="s">
        <v>8257</v>
      </c>
      <c r="J168" t="s">
        <v>7297</v>
      </c>
      <c r="K168" t="s">
        <v>64</v>
      </c>
      <c r="L168">
        <v>11036.39</v>
      </c>
      <c r="M168" t="s">
        <v>123</v>
      </c>
      <c r="N168" t="s">
        <v>16</v>
      </c>
      <c r="O168" t="s">
        <v>123</v>
      </c>
    </row>
    <row r="169" spans="1:15" x14ac:dyDescent="0.3">
      <c r="A169" t="s">
        <v>7296</v>
      </c>
      <c r="B169" t="s">
        <v>7295</v>
      </c>
      <c r="C169" t="s">
        <v>123</v>
      </c>
      <c r="D169">
        <v>44</v>
      </c>
      <c r="E169" t="s">
        <v>39</v>
      </c>
      <c r="F169" t="s">
        <v>85</v>
      </c>
      <c r="G169" s="8">
        <v>46126</v>
      </c>
      <c r="H169" s="8">
        <v>46148</v>
      </c>
      <c r="I169" t="s">
        <v>8258</v>
      </c>
      <c r="J169" t="s">
        <v>7293</v>
      </c>
      <c r="K169" t="s">
        <v>123</v>
      </c>
      <c r="L169">
        <v>9310.2000000000007</v>
      </c>
      <c r="M169">
        <v>510</v>
      </c>
      <c r="N169" t="s">
        <v>77</v>
      </c>
      <c r="O169" t="s">
        <v>63</v>
      </c>
    </row>
    <row r="170" spans="1:15" x14ac:dyDescent="0.3">
      <c r="A170" t="s">
        <v>7292</v>
      </c>
      <c r="B170" t="s">
        <v>7291</v>
      </c>
      <c r="C170" t="s">
        <v>123</v>
      </c>
      <c r="D170">
        <v>11</v>
      </c>
      <c r="E170" t="s">
        <v>54</v>
      </c>
      <c r="F170" t="s">
        <v>20</v>
      </c>
      <c r="G170" s="8">
        <v>46014</v>
      </c>
      <c r="H170" s="8">
        <v>46031</v>
      </c>
      <c r="I170" t="s">
        <v>8259</v>
      </c>
      <c r="J170" t="s">
        <v>7289</v>
      </c>
      <c r="K170" t="s">
        <v>27</v>
      </c>
      <c r="L170">
        <v>8166.04</v>
      </c>
      <c r="M170">
        <v>267</v>
      </c>
      <c r="N170" t="s">
        <v>25</v>
      </c>
      <c r="O170" t="s">
        <v>64</v>
      </c>
    </row>
    <row r="171" spans="1:15" x14ac:dyDescent="0.3">
      <c r="A171" t="s">
        <v>7288</v>
      </c>
      <c r="B171" t="s">
        <v>7287</v>
      </c>
      <c r="C171" t="s">
        <v>40</v>
      </c>
      <c r="D171">
        <v>40</v>
      </c>
      <c r="E171" t="s">
        <v>68</v>
      </c>
      <c r="F171" t="s">
        <v>67</v>
      </c>
      <c r="G171" s="8">
        <v>46034</v>
      </c>
      <c r="H171" s="8">
        <v>46039</v>
      </c>
      <c r="I171" t="s">
        <v>8260</v>
      </c>
      <c r="J171" t="s">
        <v>7285</v>
      </c>
      <c r="K171" t="s">
        <v>123</v>
      </c>
      <c r="L171">
        <v>8918.3700000000008</v>
      </c>
      <c r="M171">
        <v>472</v>
      </c>
      <c r="N171" t="s">
        <v>50</v>
      </c>
      <c r="O171" t="s">
        <v>27</v>
      </c>
    </row>
    <row r="172" spans="1:15" x14ac:dyDescent="0.3">
      <c r="A172" t="s">
        <v>7284</v>
      </c>
      <c r="B172" t="s">
        <v>7283</v>
      </c>
      <c r="C172" t="s">
        <v>74</v>
      </c>
      <c r="D172">
        <v>79</v>
      </c>
      <c r="E172" t="s">
        <v>54</v>
      </c>
      <c r="F172" t="s">
        <v>30</v>
      </c>
      <c r="G172" s="8">
        <v>46087</v>
      </c>
      <c r="H172" s="8">
        <v>46107</v>
      </c>
      <c r="I172" t="s">
        <v>8261</v>
      </c>
      <c r="J172" t="s">
        <v>7281</v>
      </c>
      <c r="K172" t="s">
        <v>27</v>
      </c>
      <c r="L172">
        <v>2061.02</v>
      </c>
      <c r="M172">
        <v>286</v>
      </c>
      <c r="N172" t="s">
        <v>34</v>
      </c>
      <c r="O172" t="s">
        <v>123</v>
      </c>
    </row>
    <row r="173" spans="1:15" x14ac:dyDescent="0.3">
      <c r="A173" t="s">
        <v>7280</v>
      </c>
      <c r="B173" t="s">
        <v>8036</v>
      </c>
      <c r="C173" t="s">
        <v>40</v>
      </c>
      <c r="D173">
        <v>4</v>
      </c>
      <c r="E173" t="s">
        <v>39</v>
      </c>
      <c r="F173" t="s">
        <v>85</v>
      </c>
      <c r="G173" s="8">
        <v>46018</v>
      </c>
      <c r="H173" s="8">
        <v>46019</v>
      </c>
      <c r="I173" t="s">
        <v>8262</v>
      </c>
      <c r="J173" t="s">
        <v>7277</v>
      </c>
      <c r="K173" t="s">
        <v>27</v>
      </c>
      <c r="L173">
        <v>1867.39</v>
      </c>
      <c r="M173">
        <v>285</v>
      </c>
      <c r="N173" t="s">
        <v>16</v>
      </c>
      <c r="O173" t="s">
        <v>17</v>
      </c>
    </row>
    <row r="174" spans="1:15" x14ac:dyDescent="0.3">
      <c r="A174" t="s">
        <v>7276</v>
      </c>
      <c r="B174" t="s">
        <v>7275</v>
      </c>
      <c r="C174" t="s">
        <v>40</v>
      </c>
      <c r="D174">
        <v>78</v>
      </c>
      <c r="E174" t="s">
        <v>39</v>
      </c>
      <c r="F174" t="s">
        <v>85</v>
      </c>
      <c r="G174" s="8">
        <v>46038</v>
      </c>
      <c r="H174" s="8">
        <v>46068</v>
      </c>
      <c r="I174" t="s">
        <v>8263</v>
      </c>
      <c r="J174" t="s">
        <v>7273</v>
      </c>
      <c r="K174" t="s">
        <v>64</v>
      </c>
      <c r="L174">
        <v>9425.93</v>
      </c>
      <c r="M174">
        <v>393</v>
      </c>
      <c r="N174" t="s">
        <v>71</v>
      </c>
      <c r="O174" t="s">
        <v>64</v>
      </c>
    </row>
    <row r="175" spans="1:15" x14ac:dyDescent="0.3">
      <c r="A175" t="s">
        <v>7272</v>
      </c>
      <c r="B175" t="s">
        <v>7271</v>
      </c>
      <c r="C175" t="s">
        <v>74</v>
      </c>
      <c r="D175">
        <v>51</v>
      </c>
      <c r="E175" t="s">
        <v>31</v>
      </c>
      <c r="F175" t="s">
        <v>30</v>
      </c>
      <c r="G175" s="8">
        <v>46101</v>
      </c>
      <c r="H175" s="8">
        <v>46108</v>
      </c>
      <c r="I175" t="s">
        <v>8264</v>
      </c>
      <c r="J175" t="s">
        <v>7269</v>
      </c>
      <c r="K175" t="s">
        <v>64</v>
      </c>
      <c r="L175">
        <v>842.65</v>
      </c>
      <c r="M175">
        <v>355</v>
      </c>
      <c r="N175" t="s">
        <v>34</v>
      </c>
      <c r="O175" t="s">
        <v>26</v>
      </c>
    </row>
    <row r="176" spans="1:15" x14ac:dyDescent="0.3">
      <c r="A176" t="s">
        <v>7268</v>
      </c>
      <c r="B176" t="s">
        <v>7267</v>
      </c>
      <c r="C176" t="s">
        <v>123</v>
      </c>
      <c r="D176">
        <v>72</v>
      </c>
      <c r="E176" t="s">
        <v>80</v>
      </c>
      <c r="F176" t="s">
        <v>30</v>
      </c>
      <c r="G176" s="8">
        <v>46144</v>
      </c>
      <c r="H176" s="8">
        <v>46168</v>
      </c>
      <c r="I176" t="s">
        <v>8265</v>
      </c>
      <c r="J176" t="s">
        <v>7265</v>
      </c>
      <c r="K176" t="s">
        <v>27</v>
      </c>
      <c r="L176">
        <v>17660.14</v>
      </c>
      <c r="M176">
        <v>413</v>
      </c>
      <c r="N176" t="s">
        <v>43</v>
      </c>
      <c r="O176" t="s">
        <v>57</v>
      </c>
    </row>
    <row r="177" spans="1:15" x14ac:dyDescent="0.3">
      <c r="A177" t="s">
        <v>7264</v>
      </c>
      <c r="B177" t="s">
        <v>7263</v>
      </c>
      <c r="C177" t="s">
        <v>123</v>
      </c>
      <c r="D177">
        <v>26</v>
      </c>
      <c r="E177" t="s">
        <v>80</v>
      </c>
      <c r="F177" t="s">
        <v>20</v>
      </c>
      <c r="G177" s="8">
        <v>46080</v>
      </c>
      <c r="H177" s="8">
        <v>46107</v>
      </c>
      <c r="I177" t="s">
        <v>8266</v>
      </c>
      <c r="J177" t="s">
        <v>7261</v>
      </c>
      <c r="K177" t="s">
        <v>64</v>
      </c>
      <c r="L177">
        <v>11410.66</v>
      </c>
      <c r="M177">
        <v>144</v>
      </c>
      <c r="N177" t="s">
        <v>50</v>
      </c>
      <c r="O177" t="s">
        <v>123</v>
      </c>
    </row>
    <row r="178" spans="1:15" x14ac:dyDescent="0.3">
      <c r="A178" t="s">
        <v>7260</v>
      </c>
      <c r="B178" t="s">
        <v>7259</v>
      </c>
      <c r="C178" t="s">
        <v>74</v>
      </c>
      <c r="D178">
        <v>86</v>
      </c>
      <c r="E178" t="s">
        <v>31</v>
      </c>
      <c r="F178" t="s">
        <v>20</v>
      </c>
      <c r="G178" s="8">
        <v>45987</v>
      </c>
      <c r="H178" s="8">
        <v>46004</v>
      </c>
      <c r="I178" t="s">
        <v>8267</v>
      </c>
      <c r="J178" t="s">
        <v>7257</v>
      </c>
      <c r="K178" t="s">
        <v>27</v>
      </c>
      <c r="L178">
        <v>22305.03</v>
      </c>
      <c r="M178">
        <v>464</v>
      </c>
      <c r="N178" t="s">
        <v>25</v>
      </c>
      <c r="O178" t="s">
        <v>26</v>
      </c>
    </row>
    <row r="179" spans="1:15" x14ac:dyDescent="0.3">
      <c r="A179" t="s">
        <v>7256</v>
      </c>
      <c r="B179" t="s">
        <v>7255</v>
      </c>
      <c r="C179" t="s">
        <v>40</v>
      </c>
      <c r="D179">
        <v>47</v>
      </c>
      <c r="E179" t="s">
        <v>21</v>
      </c>
      <c r="F179" t="s">
        <v>20</v>
      </c>
      <c r="G179" s="8">
        <v>46070</v>
      </c>
      <c r="H179" s="8">
        <v>46076</v>
      </c>
      <c r="I179" t="s">
        <v>8268</v>
      </c>
      <c r="J179" t="s">
        <v>7253</v>
      </c>
      <c r="K179" t="s">
        <v>27</v>
      </c>
      <c r="L179">
        <v>6071.06</v>
      </c>
      <c r="M179">
        <v>113</v>
      </c>
      <c r="N179" t="s">
        <v>43</v>
      </c>
      <c r="O179" t="s">
        <v>123</v>
      </c>
    </row>
    <row r="180" spans="1:15" x14ac:dyDescent="0.3">
      <c r="A180" t="s">
        <v>7252</v>
      </c>
      <c r="B180" t="s">
        <v>7251</v>
      </c>
      <c r="C180" t="s">
        <v>74</v>
      </c>
      <c r="D180">
        <v>60</v>
      </c>
      <c r="E180" t="s">
        <v>39</v>
      </c>
      <c r="F180" t="s">
        <v>20</v>
      </c>
      <c r="G180" s="8">
        <v>46102</v>
      </c>
      <c r="H180" s="8">
        <v>46104</v>
      </c>
      <c r="I180" t="s">
        <v>8269</v>
      </c>
      <c r="J180" t="s">
        <v>7249</v>
      </c>
      <c r="K180" t="s">
        <v>27</v>
      </c>
      <c r="L180">
        <v>10074.370000000001</v>
      </c>
      <c r="M180">
        <v>369</v>
      </c>
      <c r="N180" t="s">
        <v>16</v>
      </c>
      <c r="O180" t="s">
        <v>123</v>
      </c>
    </row>
    <row r="181" spans="1:15" x14ac:dyDescent="0.3">
      <c r="A181" t="s">
        <v>7248</v>
      </c>
      <c r="B181" t="s">
        <v>7247</v>
      </c>
      <c r="C181" t="s">
        <v>123</v>
      </c>
      <c r="D181">
        <v>74</v>
      </c>
      <c r="E181" t="s">
        <v>80</v>
      </c>
      <c r="F181" t="s">
        <v>20</v>
      </c>
      <c r="G181" s="8">
        <v>46069</v>
      </c>
      <c r="H181" s="8">
        <v>46079</v>
      </c>
      <c r="I181" t="s">
        <v>8270</v>
      </c>
      <c r="J181" t="s">
        <v>7245</v>
      </c>
      <c r="K181" t="s">
        <v>64</v>
      </c>
      <c r="L181">
        <v>11359.37</v>
      </c>
      <c r="M181">
        <v>165</v>
      </c>
      <c r="N181" t="s">
        <v>50</v>
      </c>
      <c r="O181" t="s">
        <v>17</v>
      </c>
    </row>
    <row r="182" spans="1:15" x14ac:dyDescent="0.3">
      <c r="A182" t="s">
        <v>7244</v>
      </c>
      <c r="B182" t="s">
        <v>7243</v>
      </c>
      <c r="C182" t="s">
        <v>40</v>
      </c>
      <c r="D182">
        <v>17</v>
      </c>
      <c r="E182" t="s">
        <v>54</v>
      </c>
      <c r="F182" t="s">
        <v>46</v>
      </c>
      <c r="G182" s="8">
        <v>46112</v>
      </c>
      <c r="H182" s="8">
        <v>46138</v>
      </c>
      <c r="I182" t="s">
        <v>8271</v>
      </c>
      <c r="J182" t="s">
        <v>7241</v>
      </c>
      <c r="K182" t="s">
        <v>64</v>
      </c>
      <c r="L182">
        <v>13048.93</v>
      </c>
      <c r="M182">
        <v>184</v>
      </c>
      <c r="N182" t="s">
        <v>71</v>
      </c>
      <c r="O182" t="s">
        <v>63</v>
      </c>
    </row>
    <row r="183" spans="1:15" x14ac:dyDescent="0.3">
      <c r="A183" t="s">
        <v>7240</v>
      </c>
      <c r="B183" t="s">
        <v>7239</v>
      </c>
      <c r="C183" t="s">
        <v>74</v>
      </c>
      <c r="D183">
        <v>29</v>
      </c>
      <c r="E183" t="s">
        <v>31</v>
      </c>
      <c r="F183" t="s">
        <v>30</v>
      </c>
      <c r="G183" s="8">
        <v>46055</v>
      </c>
      <c r="H183" s="8">
        <v>46082</v>
      </c>
      <c r="I183" t="s">
        <v>8272</v>
      </c>
      <c r="J183" t="s">
        <v>7237</v>
      </c>
      <c r="K183" t="s">
        <v>64</v>
      </c>
      <c r="L183">
        <v>6415.01</v>
      </c>
      <c r="M183">
        <v>164</v>
      </c>
      <c r="N183" t="s">
        <v>25</v>
      </c>
      <c r="O183" t="s">
        <v>63</v>
      </c>
    </row>
    <row r="184" spans="1:15" x14ac:dyDescent="0.3">
      <c r="A184" t="s">
        <v>7236</v>
      </c>
      <c r="B184" t="s">
        <v>7235</v>
      </c>
      <c r="C184" t="s">
        <v>40</v>
      </c>
      <c r="D184">
        <v>79</v>
      </c>
      <c r="E184" t="s">
        <v>80</v>
      </c>
      <c r="F184" t="s">
        <v>20</v>
      </c>
      <c r="G184" s="8">
        <v>46112</v>
      </c>
      <c r="H184" s="8">
        <v>46130</v>
      </c>
      <c r="I184" t="s">
        <v>8273</v>
      </c>
      <c r="J184" t="s">
        <v>7233</v>
      </c>
      <c r="K184" t="s">
        <v>27</v>
      </c>
      <c r="L184">
        <v>4445.78</v>
      </c>
      <c r="M184">
        <v>531</v>
      </c>
      <c r="N184" t="s">
        <v>34</v>
      </c>
      <c r="O184" t="s">
        <v>17</v>
      </c>
    </row>
    <row r="185" spans="1:15" x14ac:dyDescent="0.3">
      <c r="A185" t="s">
        <v>7232</v>
      </c>
      <c r="B185" t="s">
        <v>7231</v>
      </c>
      <c r="C185" t="s">
        <v>40</v>
      </c>
      <c r="D185">
        <v>4</v>
      </c>
      <c r="E185" t="s">
        <v>80</v>
      </c>
      <c r="F185" t="s">
        <v>46</v>
      </c>
      <c r="G185" s="8">
        <v>46019</v>
      </c>
      <c r="H185" s="8">
        <v>46049</v>
      </c>
      <c r="I185" t="s">
        <v>8274</v>
      </c>
      <c r="J185" t="s">
        <v>7229</v>
      </c>
      <c r="K185" t="s">
        <v>27</v>
      </c>
      <c r="L185">
        <v>16348.02</v>
      </c>
      <c r="M185">
        <v>416</v>
      </c>
      <c r="N185" t="s">
        <v>25</v>
      </c>
      <c r="O185" t="s">
        <v>123</v>
      </c>
    </row>
    <row r="186" spans="1:15" x14ac:dyDescent="0.3">
      <c r="A186" t="s">
        <v>7228</v>
      </c>
      <c r="B186" t="s">
        <v>7227</v>
      </c>
      <c r="C186" t="s">
        <v>40</v>
      </c>
      <c r="D186">
        <v>64</v>
      </c>
      <c r="E186" t="s">
        <v>132</v>
      </c>
      <c r="F186" t="s">
        <v>30</v>
      </c>
      <c r="G186" s="8">
        <v>46065</v>
      </c>
      <c r="H186" s="8">
        <v>46080</v>
      </c>
      <c r="I186" t="s">
        <v>8275</v>
      </c>
      <c r="J186" t="s">
        <v>7225</v>
      </c>
      <c r="K186" t="s">
        <v>64</v>
      </c>
      <c r="L186">
        <v>20156.27</v>
      </c>
      <c r="M186">
        <v>252</v>
      </c>
      <c r="N186" t="s">
        <v>16</v>
      </c>
      <c r="O186" t="s">
        <v>123</v>
      </c>
    </row>
    <row r="187" spans="1:15" x14ac:dyDescent="0.3">
      <c r="A187" t="s">
        <v>7224</v>
      </c>
      <c r="B187" t="s">
        <v>7223</v>
      </c>
      <c r="C187" t="s">
        <v>74</v>
      </c>
      <c r="D187">
        <v>89</v>
      </c>
      <c r="E187" t="s">
        <v>47</v>
      </c>
      <c r="F187" t="s">
        <v>20</v>
      </c>
      <c r="G187" s="8">
        <v>46091</v>
      </c>
      <c r="H187" s="8">
        <v>46105</v>
      </c>
      <c r="I187" t="s">
        <v>8276</v>
      </c>
      <c r="J187" t="s">
        <v>7221</v>
      </c>
      <c r="K187" t="s">
        <v>123</v>
      </c>
      <c r="L187">
        <v>12209.43</v>
      </c>
      <c r="M187">
        <v>274</v>
      </c>
      <c r="N187" t="s">
        <v>34</v>
      </c>
      <c r="O187" t="s">
        <v>57</v>
      </c>
    </row>
    <row r="188" spans="1:15" x14ac:dyDescent="0.3">
      <c r="A188" t="s">
        <v>7220</v>
      </c>
      <c r="B188" t="s">
        <v>7219</v>
      </c>
      <c r="C188" t="s">
        <v>40</v>
      </c>
      <c r="D188">
        <v>41</v>
      </c>
      <c r="E188" t="s">
        <v>31</v>
      </c>
      <c r="F188" t="s">
        <v>67</v>
      </c>
      <c r="G188" s="8">
        <v>46097</v>
      </c>
      <c r="H188" s="8">
        <v>46109</v>
      </c>
      <c r="I188" t="s">
        <v>8277</v>
      </c>
      <c r="J188" t="s">
        <v>7217</v>
      </c>
      <c r="K188" t="s">
        <v>27</v>
      </c>
      <c r="L188">
        <v>19064.490000000002</v>
      </c>
      <c r="M188">
        <v>263</v>
      </c>
      <c r="N188" t="s">
        <v>71</v>
      </c>
      <c r="O188" t="s">
        <v>64</v>
      </c>
    </row>
    <row r="189" spans="1:15" x14ac:dyDescent="0.3">
      <c r="A189" t="s">
        <v>7216</v>
      </c>
      <c r="B189" t="s">
        <v>7215</v>
      </c>
      <c r="C189" t="s">
        <v>123</v>
      </c>
      <c r="D189">
        <v>16</v>
      </c>
      <c r="E189" t="s">
        <v>132</v>
      </c>
      <c r="F189" t="s">
        <v>85</v>
      </c>
      <c r="G189" s="8">
        <v>46061</v>
      </c>
      <c r="H189" s="8">
        <v>46068</v>
      </c>
      <c r="I189" t="s">
        <v>8278</v>
      </c>
      <c r="J189" t="s">
        <v>7213</v>
      </c>
      <c r="K189" t="s">
        <v>27</v>
      </c>
      <c r="L189">
        <v>2600.9299999999998</v>
      </c>
      <c r="M189">
        <v>296</v>
      </c>
      <c r="N189" t="s">
        <v>50</v>
      </c>
      <c r="O189" t="s">
        <v>63</v>
      </c>
    </row>
    <row r="190" spans="1:15" x14ac:dyDescent="0.3">
      <c r="A190" t="s">
        <v>7212</v>
      </c>
      <c r="B190" t="s">
        <v>7211</v>
      </c>
      <c r="C190" t="s">
        <v>123</v>
      </c>
      <c r="D190">
        <v>32</v>
      </c>
      <c r="E190" t="s">
        <v>39</v>
      </c>
      <c r="F190" t="s">
        <v>67</v>
      </c>
      <c r="G190" s="8">
        <v>46125</v>
      </c>
      <c r="H190" s="8">
        <v>46154</v>
      </c>
      <c r="I190" t="s">
        <v>8279</v>
      </c>
      <c r="J190" t="s">
        <v>7209</v>
      </c>
      <c r="K190" t="s">
        <v>64</v>
      </c>
      <c r="L190">
        <v>4907.8900000000003</v>
      </c>
      <c r="M190">
        <v>355</v>
      </c>
      <c r="N190" t="s">
        <v>34</v>
      </c>
      <c r="O190" t="s">
        <v>26</v>
      </c>
    </row>
    <row r="191" spans="1:15" x14ac:dyDescent="0.3">
      <c r="A191" t="s">
        <v>7204</v>
      </c>
      <c r="B191" t="s">
        <v>7203</v>
      </c>
      <c r="C191" t="s">
        <v>74</v>
      </c>
      <c r="D191">
        <v>7</v>
      </c>
      <c r="E191" t="s">
        <v>47</v>
      </c>
      <c r="F191" t="s">
        <v>30</v>
      </c>
      <c r="G191" s="8">
        <v>45995</v>
      </c>
      <c r="H191" s="8">
        <v>46010</v>
      </c>
      <c r="I191" t="s">
        <v>8280</v>
      </c>
      <c r="J191" t="s">
        <v>7201</v>
      </c>
      <c r="K191" t="s">
        <v>123</v>
      </c>
      <c r="L191">
        <v>7286.56</v>
      </c>
      <c r="M191">
        <v>533</v>
      </c>
      <c r="N191" t="s">
        <v>77</v>
      </c>
      <c r="O191" t="s">
        <v>27</v>
      </c>
    </row>
    <row r="192" spans="1:15" x14ac:dyDescent="0.3">
      <c r="A192" t="s">
        <v>7200</v>
      </c>
      <c r="B192" t="s">
        <v>7199</v>
      </c>
      <c r="C192" t="s">
        <v>123</v>
      </c>
      <c r="D192">
        <v>18</v>
      </c>
      <c r="E192" t="s">
        <v>132</v>
      </c>
      <c r="F192" t="s">
        <v>67</v>
      </c>
      <c r="G192" s="8">
        <v>46124</v>
      </c>
      <c r="H192" s="8">
        <v>46148</v>
      </c>
      <c r="I192" t="s">
        <v>8281</v>
      </c>
      <c r="J192" t="s">
        <v>7197</v>
      </c>
      <c r="K192" t="s">
        <v>123</v>
      </c>
      <c r="L192">
        <v>9275.25</v>
      </c>
      <c r="M192">
        <v>126</v>
      </c>
      <c r="N192" t="s">
        <v>34</v>
      </c>
      <c r="O192" t="s">
        <v>123</v>
      </c>
    </row>
    <row r="193" spans="1:15" x14ac:dyDescent="0.3">
      <c r="A193" t="s">
        <v>7196</v>
      </c>
      <c r="B193" t="s">
        <v>7195</v>
      </c>
      <c r="C193" t="s">
        <v>74</v>
      </c>
      <c r="D193">
        <v>47</v>
      </c>
      <c r="E193" t="s">
        <v>132</v>
      </c>
      <c r="F193" t="s">
        <v>20</v>
      </c>
      <c r="G193" s="8">
        <v>46040</v>
      </c>
      <c r="H193" s="8">
        <v>46052</v>
      </c>
      <c r="I193" t="s">
        <v>8282</v>
      </c>
      <c r="J193" t="s">
        <v>7193</v>
      </c>
      <c r="K193" t="s">
        <v>123</v>
      </c>
      <c r="L193">
        <v>19157.22</v>
      </c>
      <c r="M193">
        <v>522</v>
      </c>
      <c r="N193" t="s">
        <v>34</v>
      </c>
      <c r="O193" t="s">
        <v>63</v>
      </c>
    </row>
    <row r="194" spans="1:15" x14ac:dyDescent="0.3">
      <c r="A194" t="s">
        <v>7192</v>
      </c>
      <c r="B194" t="s">
        <v>7191</v>
      </c>
      <c r="C194" t="s">
        <v>74</v>
      </c>
      <c r="D194">
        <v>17</v>
      </c>
      <c r="E194" t="s">
        <v>80</v>
      </c>
      <c r="F194" t="s">
        <v>67</v>
      </c>
      <c r="G194" s="8">
        <v>46124</v>
      </c>
      <c r="H194" s="8">
        <v>46135</v>
      </c>
      <c r="I194" t="s">
        <v>8283</v>
      </c>
      <c r="J194" t="s">
        <v>7189</v>
      </c>
      <c r="K194" t="s">
        <v>64</v>
      </c>
      <c r="L194">
        <v>14034.23</v>
      </c>
      <c r="M194">
        <v>486</v>
      </c>
      <c r="N194" t="s">
        <v>71</v>
      </c>
      <c r="O194" t="s">
        <v>17</v>
      </c>
    </row>
    <row r="195" spans="1:15" x14ac:dyDescent="0.3">
      <c r="A195" t="s">
        <v>7188</v>
      </c>
      <c r="B195" t="s">
        <v>7187</v>
      </c>
      <c r="C195" t="s">
        <v>74</v>
      </c>
      <c r="D195">
        <v>78</v>
      </c>
      <c r="E195" t="s">
        <v>54</v>
      </c>
      <c r="F195" t="s">
        <v>46</v>
      </c>
      <c r="G195" s="8">
        <v>46033</v>
      </c>
      <c r="H195" s="8">
        <v>46034</v>
      </c>
      <c r="I195" t="s">
        <v>8284</v>
      </c>
      <c r="J195" t="s">
        <v>7185</v>
      </c>
      <c r="K195" t="s">
        <v>27</v>
      </c>
      <c r="L195">
        <v>3598.5</v>
      </c>
      <c r="M195">
        <v>511</v>
      </c>
      <c r="N195" t="s">
        <v>16</v>
      </c>
      <c r="O195" t="s">
        <v>17</v>
      </c>
    </row>
    <row r="196" spans="1:15" x14ac:dyDescent="0.3">
      <c r="A196" t="s">
        <v>7184</v>
      </c>
      <c r="B196" t="s">
        <v>7183</v>
      </c>
      <c r="C196" t="s">
        <v>123</v>
      </c>
      <c r="D196">
        <v>20</v>
      </c>
      <c r="E196" t="s">
        <v>39</v>
      </c>
      <c r="F196" t="s">
        <v>67</v>
      </c>
      <c r="G196" s="8">
        <v>46124</v>
      </c>
      <c r="H196" s="8">
        <v>46153</v>
      </c>
      <c r="I196" t="s">
        <v>8285</v>
      </c>
      <c r="J196" t="s">
        <v>7181</v>
      </c>
      <c r="K196" t="s">
        <v>64</v>
      </c>
      <c r="L196">
        <v>4230.05</v>
      </c>
      <c r="M196">
        <v>403</v>
      </c>
      <c r="N196" t="s">
        <v>43</v>
      </c>
      <c r="O196" t="s">
        <v>63</v>
      </c>
    </row>
    <row r="197" spans="1:15" x14ac:dyDescent="0.3">
      <c r="A197" t="s">
        <v>7180</v>
      </c>
      <c r="B197" t="s">
        <v>7179</v>
      </c>
      <c r="C197" t="s">
        <v>123</v>
      </c>
      <c r="D197">
        <v>73</v>
      </c>
      <c r="E197" t="s">
        <v>132</v>
      </c>
      <c r="F197" t="s">
        <v>85</v>
      </c>
      <c r="G197" s="8">
        <v>46007</v>
      </c>
      <c r="H197" s="8">
        <v>46033</v>
      </c>
      <c r="I197" t="s">
        <v>8286</v>
      </c>
      <c r="J197" t="s">
        <v>7177</v>
      </c>
      <c r="K197" t="s">
        <v>27</v>
      </c>
      <c r="L197">
        <v>9335.27</v>
      </c>
      <c r="M197">
        <v>313</v>
      </c>
      <c r="N197" t="s">
        <v>34</v>
      </c>
      <c r="O197" t="s">
        <v>64</v>
      </c>
    </row>
    <row r="198" spans="1:15" x14ac:dyDescent="0.3">
      <c r="A198" t="s">
        <v>7176</v>
      </c>
      <c r="B198" t="s">
        <v>7175</v>
      </c>
      <c r="C198" t="s">
        <v>40</v>
      </c>
      <c r="D198">
        <v>89</v>
      </c>
      <c r="E198" t="s">
        <v>47</v>
      </c>
      <c r="F198" t="s">
        <v>85</v>
      </c>
      <c r="G198" s="8">
        <v>46035</v>
      </c>
      <c r="H198" s="8">
        <v>46043</v>
      </c>
      <c r="I198" t="s">
        <v>8287</v>
      </c>
      <c r="J198" t="s">
        <v>7173</v>
      </c>
      <c r="K198" t="s">
        <v>64</v>
      </c>
      <c r="L198">
        <v>18090.72</v>
      </c>
      <c r="M198">
        <v>187</v>
      </c>
      <c r="N198" t="s">
        <v>34</v>
      </c>
      <c r="O198" t="s">
        <v>123</v>
      </c>
    </row>
    <row r="199" spans="1:15" x14ac:dyDescent="0.3">
      <c r="A199" t="s">
        <v>7172</v>
      </c>
      <c r="B199" t="s">
        <v>7171</v>
      </c>
      <c r="C199" t="s">
        <v>123</v>
      </c>
      <c r="D199">
        <v>19</v>
      </c>
      <c r="E199" t="s">
        <v>21</v>
      </c>
      <c r="F199" t="s">
        <v>46</v>
      </c>
      <c r="G199" s="8">
        <v>45991</v>
      </c>
      <c r="H199" s="8">
        <v>46009</v>
      </c>
      <c r="I199" t="s">
        <v>8288</v>
      </c>
      <c r="J199" t="s">
        <v>7169</v>
      </c>
      <c r="K199" t="s">
        <v>64</v>
      </c>
      <c r="L199">
        <v>4931.45</v>
      </c>
      <c r="M199">
        <v>260</v>
      </c>
      <c r="N199" t="s">
        <v>16</v>
      </c>
      <c r="O199" t="s">
        <v>123</v>
      </c>
    </row>
    <row r="200" spans="1:15" x14ac:dyDescent="0.3">
      <c r="A200" t="s">
        <v>7168</v>
      </c>
      <c r="B200" t="s">
        <v>7167</v>
      </c>
      <c r="C200" t="s">
        <v>40</v>
      </c>
      <c r="D200">
        <v>53</v>
      </c>
      <c r="E200" t="s">
        <v>21</v>
      </c>
      <c r="F200" t="s">
        <v>67</v>
      </c>
      <c r="G200" s="8">
        <v>46046</v>
      </c>
      <c r="H200" s="8">
        <v>46062</v>
      </c>
      <c r="I200" t="s">
        <v>8289</v>
      </c>
      <c r="J200" t="s">
        <v>7165</v>
      </c>
      <c r="K200" t="s">
        <v>123</v>
      </c>
      <c r="L200">
        <v>21845.88</v>
      </c>
      <c r="M200">
        <v>461</v>
      </c>
      <c r="N200" t="s">
        <v>71</v>
      </c>
      <c r="O200" t="s">
        <v>27</v>
      </c>
    </row>
    <row r="201" spans="1:15" x14ac:dyDescent="0.3">
      <c r="A201" t="s">
        <v>7164</v>
      </c>
      <c r="B201" t="s">
        <v>7163</v>
      </c>
      <c r="C201" t="s">
        <v>74</v>
      </c>
      <c r="D201">
        <v>72</v>
      </c>
      <c r="E201" t="s">
        <v>31</v>
      </c>
      <c r="F201" t="s">
        <v>85</v>
      </c>
      <c r="G201" s="8">
        <v>46024</v>
      </c>
      <c r="H201" s="8">
        <v>46040</v>
      </c>
      <c r="I201" t="s">
        <v>8290</v>
      </c>
      <c r="J201" t="s">
        <v>7161</v>
      </c>
      <c r="K201" t="s">
        <v>123</v>
      </c>
      <c r="L201">
        <v>7981.06</v>
      </c>
      <c r="M201">
        <v>335</v>
      </c>
      <c r="N201" t="s">
        <v>34</v>
      </c>
      <c r="O201" t="s">
        <v>26</v>
      </c>
    </row>
    <row r="202" spans="1:15" x14ac:dyDescent="0.3">
      <c r="A202" t="s">
        <v>7160</v>
      </c>
      <c r="B202" t="s">
        <v>7159</v>
      </c>
      <c r="C202" t="s">
        <v>74</v>
      </c>
      <c r="D202">
        <v>70</v>
      </c>
      <c r="E202" t="s">
        <v>31</v>
      </c>
      <c r="F202" t="s">
        <v>30</v>
      </c>
      <c r="G202" s="8">
        <v>46133</v>
      </c>
      <c r="H202" s="8">
        <v>46152</v>
      </c>
      <c r="I202" t="s">
        <v>8291</v>
      </c>
      <c r="J202" t="s">
        <v>7157</v>
      </c>
      <c r="K202" t="s">
        <v>123</v>
      </c>
      <c r="L202" t="s">
        <v>488</v>
      </c>
      <c r="M202">
        <v>242</v>
      </c>
      <c r="N202" t="s">
        <v>34</v>
      </c>
      <c r="O202" t="s">
        <v>57</v>
      </c>
    </row>
    <row r="203" spans="1:15" x14ac:dyDescent="0.3">
      <c r="A203" t="s">
        <v>7156</v>
      </c>
      <c r="B203" t="s">
        <v>7155</v>
      </c>
      <c r="C203" t="s">
        <v>40</v>
      </c>
      <c r="D203">
        <v>29</v>
      </c>
      <c r="E203" t="s">
        <v>132</v>
      </c>
      <c r="F203" t="s">
        <v>30</v>
      </c>
      <c r="G203" s="8">
        <v>46064</v>
      </c>
      <c r="H203" s="8">
        <v>46086</v>
      </c>
      <c r="I203" t="s">
        <v>8292</v>
      </c>
      <c r="J203" t="s">
        <v>7153</v>
      </c>
      <c r="K203" t="s">
        <v>64</v>
      </c>
      <c r="L203">
        <v>17317.95</v>
      </c>
      <c r="M203">
        <v>262</v>
      </c>
      <c r="N203" t="s">
        <v>16</v>
      </c>
      <c r="O203" t="s">
        <v>123</v>
      </c>
    </row>
    <row r="204" spans="1:15" x14ac:dyDescent="0.3">
      <c r="A204" t="s">
        <v>7152</v>
      </c>
      <c r="B204" t="s">
        <v>7151</v>
      </c>
      <c r="C204" t="s">
        <v>74</v>
      </c>
      <c r="D204">
        <v>72</v>
      </c>
      <c r="E204" t="s">
        <v>132</v>
      </c>
      <c r="F204" t="s">
        <v>30</v>
      </c>
      <c r="G204" s="8">
        <v>46033</v>
      </c>
      <c r="H204" s="8">
        <v>46036</v>
      </c>
      <c r="I204" t="s">
        <v>8293</v>
      </c>
      <c r="J204" t="s">
        <v>7149</v>
      </c>
      <c r="K204" t="s">
        <v>123</v>
      </c>
      <c r="L204">
        <v>22414.86</v>
      </c>
      <c r="M204">
        <v>519</v>
      </c>
      <c r="N204" t="s">
        <v>43</v>
      </c>
      <c r="O204" t="s">
        <v>123</v>
      </c>
    </row>
    <row r="205" spans="1:15" x14ac:dyDescent="0.3">
      <c r="A205" t="s">
        <v>7148</v>
      </c>
      <c r="B205" t="s">
        <v>7147</v>
      </c>
      <c r="C205" t="s">
        <v>40</v>
      </c>
      <c r="D205">
        <v>38</v>
      </c>
      <c r="E205" t="s">
        <v>47</v>
      </c>
      <c r="F205" t="s">
        <v>30</v>
      </c>
      <c r="G205" s="8">
        <v>46075</v>
      </c>
      <c r="H205" s="8">
        <v>46105</v>
      </c>
      <c r="I205" t="s">
        <v>8294</v>
      </c>
      <c r="J205" t="s">
        <v>7145</v>
      </c>
      <c r="K205" t="s">
        <v>64</v>
      </c>
      <c r="L205">
        <v>8789.82</v>
      </c>
      <c r="M205">
        <v>435</v>
      </c>
      <c r="N205" t="s">
        <v>43</v>
      </c>
      <c r="O205" t="s">
        <v>123</v>
      </c>
    </row>
    <row r="206" spans="1:15" x14ac:dyDescent="0.3">
      <c r="A206" t="s">
        <v>7144</v>
      </c>
      <c r="B206" t="s">
        <v>7143</v>
      </c>
      <c r="C206" t="s">
        <v>123</v>
      </c>
      <c r="D206">
        <v>28</v>
      </c>
      <c r="E206" t="s">
        <v>21</v>
      </c>
      <c r="F206" t="s">
        <v>30</v>
      </c>
      <c r="G206" s="8">
        <v>46148</v>
      </c>
      <c r="H206" s="8">
        <v>46177</v>
      </c>
      <c r="I206" t="s">
        <v>8295</v>
      </c>
      <c r="J206" t="s">
        <v>7141</v>
      </c>
      <c r="K206" t="s">
        <v>27</v>
      </c>
      <c r="L206">
        <v>3604.37</v>
      </c>
      <c r="M206">
        <v>224</v>
      </c>
      <c r="N206" t="s">
        <v>77</v>
      </c>
      <c r="O206" t="s">
        <v>57</v>
      </c>
    </row>
    <row r="207" spans="1:15" x14ac:dyDescent="0.3">
      <c r="A207" t="s">
        <v>7140</v>
      </c>
      <c r="B207" t="s">
        <v>6401</v>
      </c>
      <c r="C207" t="s">
        <v>74</v>
      </c>
      <c r="D207">
        <v>82</v>
      </c>
      <c r="E207" t="s">
        <v>21</v>
      </c>
      <c r="F207" t="s">
        <v>46</v>
      </c>
      <c r="G207" s="8">
        <v>46098</v>
      </c>
      <c r="H207" s="8">
        <v>46101</v>
      </c>
      <c r="I207" t="s">
        <v>8296</v>
      </c>
      <c r="J207" t="s">
        <v>7138</v>
      </c>
      <c r="K207" t="s">
        <v>123</v>
      </c>
      <c r="L207">
        <v>8391.2800000000007</v>
      </c>
      <c r="M207">
        <v>151</v>
      </c>
      <c r="N207" t="s">
        <v>25</v>
      </c>
      <c r="O207" t="s">
        <v>123</v>
      </c>
    </row>
    <row r="208" spans="1:15" x14ac:dyDescent="0.3">
      <c r="A208" t="s">
        <v>7137</v>
      </c>
      <c r="B208" t="s">
        <v>7136</v>
      </c>
      <c r="C208" t="s">
        <v>40</v>
      </c>
      <c r="D208">
        <v>1</v>
      </c>
      <c r="E208" t="s">
        <v>39</v>
      </c>
      <c r="F208" t="s">
        <v>67</v>
      </c>
      <c r="G208" s="8">
        <v>46015</v>
      </c>
      <c r="H208" s="8">
        <v>46035</v>
      </c>
      <c r="I208" t="s">
        <v>8297</v>
      </c>
      <c r="J208" t="s">
        <v>7134</v>
      </c>
      <c r="K208" t="s">
        <v>123</v>
      </c>
      <c r="L208">
        <v>12040.72</v>
      </c>
      <c r="M208">
        <v>487</v>
      </c>
      <c r="N208" t="s">
        <v>43</v>
      </c>
      <c r="O208" t="s">
        <v>57</v>
      </c>
    </row>
    <row r="209" spans="1:15" x14ac:dyDescent="0.3">
      <c r="A209" t="s">
        <v>7133</v>
      </c>
      <c r="B209" t="s">
        <v>7132</v>
      </c>
      <c r="C209" t="s">
        <v>74</v>
      </c>
      <c r="D209">
        <v>37</v>
      </c>
      <c r="E209" t="s">
        <v>47</v>
      </c>
      <c r="F209" t="s">
        <v>20</v>
      </c>
      <c r="G209" s="8">
        <v>45984</v>
      </c>
      <c r="H209" s="8">
        <v>46004</v>
      </c>
      <c r="I209" t="s">
        <v>8298</v>
      </c>
      <c r="J209" t="s">
        <v>7130</v>
      </c>
      <c r="K209" t="s">
        <v>64</v>
      </c>
      <c r="L209">
        <v>13471.78</v>
      </c>
      <c r="M209">
        <v>189</v>
      </c>
      <c r="N209" t="s">
        <v>16</v>
      </c>
      <c r="O209" t="s">
        <v>27</v>
      </c>
    </row>
    <row r="210" spans="1:15" x14ac:dyDescent="0.3">
      <c r="A210" t="s">
        <v>7129</v>
      </c>
      <c r="B210" t="s">
        <v>7128</v>
      </c>
      <c r="C210" t="s">
        <v>40</v>
      </c>
      <c r="D210">
        <v>5</v>
      </c>
      <c r="E210" t="s">
        <v>54</v>
      </c>
      <c r="F210" t="s">
        <v>85</v>
      </c>
      <c r="G210" s="8">
        <v>46037</v>
      </c>
      <c r="H210" s="8">
        <v>46042</v>
      </c>
      <c r="I210" t="s">
        <v>8299</v>
      </c>
      <c r="J210" t="s">
        <v>7126</v>
      </c>
      <c r="K210" t="s">
        <v>27</v>
      </c>
      <c r="L210">
        <v>21943.23</v>
      </c>
      <c r="M210">
        <v>252</v>
      </c>
      <c r="N210" t="s">
        <v>34</v>
      </c>
      <c r="O210" t="s">
        <v>27</v>
      </c>
    </row>
    <row r="211" spans="1:15" x14ac:dyDescent="0.3">
      <c r="A211" t="s">
        <v>7125</v>
      </c>
      <c r="B211" t="s">
        <v>7124</v>
      </c>
      <c r="C211" t="s">
        <v>74</v>
      </c>
      <c r="D211">
        <v>43</v>
      </c>
      <c r="E211" t="s">
        <v>132</v>
      </c>
      <c r="F211" t="s">
        <v>85</v>
      </c>
      <c r="G211" s="8">
        <v>46141</v>
      </c>
      <c r="H211" s="8">
        <v>46161</v>
      </c>
      <c r="I211" t="s">
        <v>8300</v>
      </c>
      <c r="J211" t="s">
        <v>7122</v>
      </c>
      <c r="K211" t="s">
        <v>123</v>
      </c>
      <c r="L211">
        <v>22253.65</v>
      </c>
      <c r="M211">
        <v>535</v>
      </c>
      <c r="N211" t="s">
        <v>34</v>
      </c>
      <c r="O211" t="s">
        <v>26</v>
      </c>
    </row>
    <row r="212" spans="1:15" x14ac:dyDescent="0.3">
      <c r="A212" t="s">
        <v>7121</v>
      </c>
      <c r="B212" t="s">
        <v>7120</v>
      </c>
      <c r="C212" t="s">
        <v>123</v>
      </c>
      <c r="D212">
        <v>35</v>
      </c>
      <c r="E212" t="s">
        <v>21</v>
      </c>
      <c r="F212" t="s">
        <v>20</v>
      </c>
      <c r="G212" s="8">
        <v>45988</v>
      </c>
      <c r="H212" s="8">
        <v>45998</v>
      </c>
      <c r="I212" t="s">
        <v>8301</v>
      </c>
      <c r="J212" t="s">
        <v>7118</v>
      </c>
      <c r="K212" t="s">
        <v>27</v>
      </c>
      <c r="L212">
        <v>18331.759999999998</v>
      </c>
      <c r="M212">
        <v>467</v>
      </c>
      <c r="N212" t="s">
        <v>71</v>
      </c>
      <c r="O212" t="s">
        <v>63</v>
      </c>
    </row>
    <row r="213" spans="1:15" x14ac:dyDescent="0.3">
      <c r="A213" t="s">
        <v>7117</v>
      </c>
      <c r="B213" t="s">
        <v>7116</v>
      </c>
      <c r="C213" t="s">
        <v>40</v>
      </c>
      <c r="D213">
        <v>44</v>
      </c>
      <c r="E213" t="s">
        <v>132</v>
      </c>
      <c r="F213" t="s">
        <v>8077</v>
      </c>
      <c r="G213" s="8">
        <v>46001</v>
      </c>
      <c r="H213" s="8">
        <v>46006</v>
      </c>
      <c r="I213" t="s">
        <v>8302</v>
      </c>
      <c r="J213" t="s">
        <v>7114</v>
      </c>
      <c r="K213" t="s">
        <v>123</v>
      </c>
      <c r="L213">
        <v>20709.349999999999</v>
      </c>
      <c r="M213">
        <v>144</v>
      </c>
      <c r="N213" t="s">
        <v>16</v>
      </c>
      <c r="O213" t="s">
        <v>17</v>
      </c>
    </row>
    <row r="214" spans="1:15" x14ac:dyDescent="0.3">
      <c r="A214" t="s">
        <v>7113</v>
      </c>
      <c r="B214" t="s">
        <v>7112</v>
      </c>
      <c r="C214" t="s">
        <v>74</v>
      </c>
      <c r="D214">
        <v>24</v>
      </c>
      <c r="E214" t="s">
        <v>39</v>
      </c>
      <c r="F214" t="s">
        <v>85</v>
      </c>
      <c r="G214" s="8">
        <v>46134</v>
      </c>
      <c r="H214" s="8">
        <v>46144</v>
      </c>
      <c r="I214" t="s">
        <v>8303</v>
      </c>
      <c r="J214" t="s">
        <v>7110</v>
      </c>
      <c r="K214" t="s">
        <v>64</v>
      </c>
      <c r="L214">
        <v>369.39</v>
      </c>
      <c r="M214">
        <v>220</v>
      </c>
      <c r="N214" t="s">
        <v>16</v>
      </c>
      <c r="O214" t="s">
        <v>123</v>
      </c>
    </row>
    <row r="215" spans="1:15" x14ac:dyDescent="0.3">
      <c r="A215" t="s">
        <v>7109</v>
      </c>
      <c r="B215" t="s">
        <v>6020</v>
      </c>
      <c r="C215" t="s">
        <v>40</v>
      </c>
      <c r="D215">
        <v>43</v>
      </c>
      <c r="E215" t="s">
        <v>132</v>
      </c>
      <c r="F215" t="s">
        <v>46</v>
      </c>
      <c r="G215" s="8">
        <v>46037</v>
      </c>
      <c r="H215" s="8">
        <v>46045</v>
      </c>
      <c r="I215" t="s">
        <v>8304</v>
      </c>
      <c r="J215" t="s">
        <v>7107</v>
      </c>
      <c r="K215" t="s">
        <v>64</v>
      </c>
      <c r="L215">
        <v>17380.66</v>
      </c>
      <c r="M215">
        <v>441</v>
      </c>
      <c r="N215" t="s">
        <v>77</v>
      </c>
      <c r="O215" t="s">
        <v>27</v>
      </c>
    </row>
    <row r="216" spans="1:15" x14ac:dyDescent="0.3">
      <c r="A216" t="s">
        <v>7106</v>
      </c>
      <c r="B216" t="s">
        <v>8037</v>
      </c>
      <c r="C216" t="s">
        <v>123</v>
      </c>
      <c r="D216">
        <v>40</v>
      </c>
      <c r="E216" t="s">
        <v>39</v>
      </c>
      <c r="F216" t="s">
        <v>67</v>
      </c>
      <c r="G216" s="8">
        <v>45983</v>
      </c>
      <c r="H216" s="8">
        <v>46004</v>
      </c>
      <c r="I216" t="s">
        <v>8305</v>
      </c>
      <c r="J216" t="s">
        <v>7103</v>
      </c>
      <c r="K216" t="s">
        <v>27</v>
      </c>
      <c r="L216">
        <v>17319.2</v>
      </c>
      <c r="M216">
        <v>288</v>
      </c>
      <c r="N216" t="s">
        <v>34</v>
      </c>
      <c r="O216" t="s">
        <v>63</v>
      </c>
    </row>
    <row r="217" spans="1:15" x14ac:dyDescent="0.3">
      <c r="A217" t="s">
        <v>7102</v>
      </c>
      <c r="B217" t="s">
        <v>7101</v>
      </c>
      <c r="C217" t="s">
        <v>74</v>
      </c>
      <c r="D217">
        <v>29</v>
      </c>
      <c r="E217" t="s">
        <v>39</v>
      </c>
      <c r="F217" t="s">
        <v>85</v>
      </c>
      <c r="G217" s="8">
        <v>46112</v>
      </c>
      <c r="H217" s="8">
        <v>46116</v>
      </c>
      <c r="I217" t="s">
        <v>8306</v>
      </c>
      <c r="J217" t="s">
        <v>7099</v>
      </c>
      <c r="K217" t="s">
        <v>123</v>
      </c>
      <c r="L217">
        <v>18743.82</v>
      </c>
      <c r="M217">
        <v>312</v>
      </c>
      <c r="N217" t="s">
        <v>25</v>
      </c>
      <c r="O217" t="s">
        <v>17</v>
      </c>
    </row>
    <row r="218" spans="1:15" x14ac:dyDescent="0.3">
      <c r="A218" t="s">
        <v>7098</v>
      </c>
      <c r="B218" t="s">
        <v>7097</v>
      </c>
      <c r="C218" t="s">
        <v>123</v>
      </c>
      <c r="D218">
        <v>69</v>
      </c>
      <c r="E218" t="s">
        <v>21</v>
      </c>
      <c r="F218" t="s">
        <v>8077</v>
      </c>
      <c r="G218" s="8">
        <v>46030</v>
      </c>
      <c r="H218" s="8">
        <v>46051</v>
      </c>
      <c r="I218" t="s">
        <v>8307</v>
      </c>
      <c r="J218" t="s">
        <v>7095</v>
      </c>
      <c r="K218" t="s">
        <v>64</v>
      </c>
      <c r="L218">
        <v>13232.57</v>
      </c>
      <c r="M218">
        <v>139</v>
      </c>
      <c r="N218" t="s">
        <v>34</v>
      </c>
      <c r="O218" t="s">
        <v>17</v>
      </c>
    </row>
    <row r="219" spans="1:15" x14ac:dyDescent="0.3">
      <c r="A219" t="s">
        <v>7094</v>
      </c>
      <c r="B219" t="s">
        <v>7093</v>
      </c>
      <c r="C219" t="s">
        <v>74</v>
      </c>
      <c r="D219">
        <v>8</v>
      </c>
      <c r="E219" t="s">
        <v>21</v>
      </c>
      <c r="F219" t="s">
        <v>20</v>
      </c>
      <c r="G219" s="8">
        <v>46102</v>
      </c>
      <c r="H219" s="8">
        <v>46107</v>
      </c>
      <c r="I219" t="s">
        <v>8308</v>
      </c>
      <c r="J219" t="s">
        <v>7091</v>
      </c>
      <c r="K219" t="s">
        <v>64</v>
      </c>
      <c r="L219">
        <v>21391.25</v>
      </c>
      <c r="M219">
        <v>159</v>
      </c>
      <c r="N219" t="s">
        <v>25</v>
      </c>
      <c r="O219" t="s">
        <v>123</v>
      </c>
    </row>
    <row r="220" spans="1:15" x14ac:dyDescent="0.3">
      <c r="A220" t="s">
        <v>7090</v>
      </c>
      <c r="B220" t="s">
        <v>7089</v>
      </c>
      <c r="C220" t="s">
        <v>74</v>
      </c>
      <c r="D220">
        <v>75</v>
      </c>
      <c r="E220" t="s">
        <v>68</v>
      </c>
      <c r="F220" t="s">
        <v>20</v>
      </c>
      <c r="G220" s="8">
        <v>46097</v>
      </c>
      <c r="H220" s="8">
        <v>46125</v>
      </c>
      <c r="I220" t="s">
        <v>8309</v>
      </c>
      <c r="J220" t="s">
        <v>7087</v>
      </c>
      <c r="K220" t="s">
        <v>123</v>
      </c>
      <c r="L220">
        <v>20255.560000000001</v>
      </c>
      <c r="M220">
        <v>167</v>
      </c>
      <c r="N220" t="s">
        <v>34</v>
      </c>
      <c r="O220" t="s">
        <v>123</v>
      </c>
    </row>
    <row r="221" spans="1:15" x14ac:dyDescent="0.3">
      <c r="A221" t="s">
        <v>7086</v>
      </c>
      <c r="B221" t="s">
        <v>7085</v>
      </c>
      <c r="C221" t="s">
        <v>123</v>
      </c>
      <c r="D221">
        <v>59</v>
      </c>
      <c r="E221" t="s">
        <v>47</v>
      </c>
      <c r="F221" t="s">
        <v>85</v>
      </c>
      <c r="G221" s="8">
        <v>46044</v>
      </c>
      <c r="H221" s="8">
        <v>46065</v>
      </c>
      <c r="I221" t="s">
        <v>8310</v>
      </c>
      <c r="J221" t="s">
        <v>7083</v>
      </c>
      <c r="K221" t="s">
        <v>27</v>
      </c>
      <c r="L221">
        <v>18137.349999999999</v>
      </c>
      <c r="M221">
        <v>230</v>
      </c>
      <c r="N221" t="s">
        <v>50</v>
      </c>
      <c r="O221" t="s">
        <v>123</v>
      </c>
    </row>
    <row r="222" spans="1:15" x14ac:dyDescent="0.3">
      <c r="A222" t="s">
        <v>7082</v>
      </c>
      <c r="B222" t="s">
        <v>7081</v>
      </c>
      <c r="C222" t="s">
        <v>40</v>
      </c>
      <c r="D222">
        <v>28</v>
      </c>
      <c r="E222" t="s">
        <v>80</v>
      </c>
      <c r="F222" t="s">
        <v>46</v>
      </c>
      <c r="G222" s="8">
        <v>46066</v>
      </c>
      <c r="H222" s="8">
        <v>46079</v>
      </c>
      <c r="I222" t="s">
        <v>8311</v>
      </c>
      <c r="J222" t="s">
        <v>7079</v>
      </c>
      <c r="K222" t="s">
        <v>64</v>
      </c>
      <c r="L222">
        <v>17569.54</v>
      </c>
      <c r="M222">
        <v>135</v>
      </c>
      <c r="N222" t="s">
        <v>16</v>
      </c>
      <c r="O222" t="s">
        <v>27</v>
      </c>
    </row>
    <row r="223" spans="1:15" x14ac:dyDescent="0.3">
      <c r="A223" t="s">
        <v>7078</v>
      </c>
      <c r="B223" t="s">
        <v>7077</v>
      </c>
      <c r="C223" t="s">
        <v>40</v>
      </c>
      <c r="D223">
        <v>37</v>
      </c>
      <c r="E223" t="s">
        <v>54</v>
      </c>
      <c r="F223" t="s">
        <v>20</v>
      </c>
      <c r="G223" s="8">
        <v>46110</v>
      </c>
      <c r="H223" s="8">
        <v>46134</v>
      </c>
      <c r="I223" t="s">
        <v>8312</v>
      </c>
      <c r="J223" t="s">
        <v>7075</v>
      </c>
      <c r="K223" t="s">
        <v>27</v>
      </c>
      <c r="L223">
        <v>19192.53</v>
      </c>
      <c r="M223">
        <v>291</v>
      </c>
      <c r="N223" t="s">
        <v>16</v>
      </c>
      <c r="O223" t="s">
        <v>123</v>
      </c>
    </row>
    <row r="224" spans="1:15" x14ac:dyDescent="0.3">
      <c r="A224" t="s">
        <v>7074</v>
      </c>
      <c r="B224" t="s">
        <v>7073</v>
      </c>
      <c r="C224" t="s">
        <v>123</v>
      </c>
      <c r="D224">
        <v>49</v>
      </c>
      <c r="E224" t="s">
        <v>54</v>
      </c>
      <c r="F224" t="s">
        <v>20</v>
      </c>
      <c r="G224" s="8">
        <v>45991</v>
      </c>
      <c r="H224" s="8">
        <v>46012</v>
      </c>
      <c r="I224" t="s">
        <v>8313</v>
      </c>
      <c r="J224" t="s">
        <v>7071</v>
      </c>
      <c r="K224" t="s">
        <v>27</v>
      </c>
      <c r="L224">
        <v>16407.650000000001</v>
      </c>
      <c r="M224">
        <v>160</v>
      </c>
      <c r="N224" t="s">
        <v>71</v>
      </c>
      <c r="O224" t="s">
        <v>17</v>
      </c>
    </row>
    <row r="225" spans="1:15" x14ac:dyDescent="0.3">
      <c r="A225" t="s">
        <v>7070</v>
      </c>
      <c r="B225" t="s">
        <v>7069</v>
      </c>
      <c r="C225" t="s">
        <v>123</v>
      </c>
      <c r="D225">
        <v>68</v>
      </c>
      <c r="E225" t="s">
        <v>39</v>
      </c>
      <c r="F225" t="s">
        <v>8077</v>
      </c>
      <c r="G225" s="8">
        <v>45986</v>
      </c>
      <c r="H225" s="8">
        <v>46012</v>
      </c>
      <c r="I225" t="s">
        <v>8314</v>
      </c>
      <c r="J225" t="s">
        <v>7067</v>
      </c>
      <c r="K225" t="s">
        <v>27</v>
      </c>
      <c r="L225">
        <v>18953.25</v>
      </c>
      <c r="M225">
        <v>337</v>
      </c>
      <c r="N225" t="s">
        <v>25</v>
      </c>
      <c r="O225" t="s">
        <v>63</v>
      </c>
    </row>
    <row r="226" spans="1:15" x14ac:dyDescent="0.3">
      <c r="A226" t="s">
        <v>7066</v>
      </c>
      <c r="B226" t="s">
        <v>7065</v>
      </c>
      <c r="C226" t="s">
        <v>123</v>
      </c>
      <c r="D226">
        <v>69</v>
      </c>
      <c r="E226" t="s">
        <v>54</v>
      </c>
      <c r="F226" t="s">
        <v>8077</v>
      </c>
      <c r="G226" s="8">
        <v>46074</v>
      </c>
      <c r="H226" s="8">
        <v>46081</v>
      </c>
      <c r="I226" t="s">
        <v>8315</v>
      </c>
      <c r="J226" t="s">
        <v>7063</v>
      </c>
      <c r="K226" t="s">
        <v>123</v>
      </c>
      <c r="L226">
        <v>8784.76</v>
      </c>
      <c r="M226">
        <v>196</v>
      </c>
      <c r="N226" t="s">
        <v>25</v>
      </c>
      <c r="O226" t="s">
        <v>63</v>
      </c>
    </row>
    <row r="227" spans="1:15" x14ac:dyDescent="0.3">
      <c r="A227" t="s">
        <v>7062</v>
      </c>
      <c r="B227" t="s">
        <v>7061</v>
      </c>
      <c r="C227" t="s">
        <v>74</v>
      </c>
      <c r="D227">
        <v>5</v>
      </c>
      <c r="E227" t="s">
        <v>54</v>
      </c>
      <c r="F227" t="s">
        <v>46</v>
      </c>
      <c r="G227" s="8">
        <v>46149</v>
      </c>
      <c r="H227" s="8">
        <v>46156</v>
      </c>
      <c r="I227" t="s">
        <v>8316</v>
      </c>
      <c r="J227" t="s">
        <v>7059</v>
      </c>
      <c r="K227" t="s">
        <v>64</v>
      </c>
      <c r="L227">
        <v>1868.81</v>
      </c>
      <c r="M227">
        <v>328</v>
      </c>
      <c r="N227" t="s">
        <v>34</v>
      </c>
      <c r="O227" t="s">
        <v>27</v>
      </c>
    </row>
    <row r="228" spans="1:15" x14ac:dyDescent="0.3">
      <c r="A228" t="s">
        <v>7058</v>
      </c>
      <c r="B228" t="s">
        <v>7057</v>
      </c>
      <c r="C228" t="s">
        <v>40</v>
      </c>
      <c r="D228">
        <v>32</v>
      </c>
      <c r="E228" t="s">
        <v>47</v>
      </c>
      <c r="F228" t="s">
        <v>67</v>
      </c>
      <c r="G228" s="8">
        <v>46112</v>
      </c>
      <c r="H228" s="8">
        <v>46126</v>
      </c>
      <c r="I228" t="s">
        <v>8317</v>
      </c>
      <c r="J228" t="s">
        <v>7055</v>
      </c>
      <c r="K228" t="s">
        <v>64</v>
      </c>
      <c r="L228">
        <v>13586.04</v>
      </c>
      <c r="M228">
        <v>171</v>
      </c>
      <c r="N228" t="s">
        <v>34</v>
      </c>
      <c r="O228" t="s">
        <v>27</v>
      </c>
    </row>
    <row r="229" spans="1:15" x14ac:dyDescent="0.3">
      <c r="A229" t="s">
        <v>7054</v>
      </c>
      <c r="B229" t="s">
        <v>7053</v>
      </c>
      <c r="C229" t="s">
        <v>40</v>
      </c>
      <c r="D229">
        <v>30</v>
      </c>
      <c r="E229" t="s">
        <v>31</v>
      </c>
      <c r="F229" t="s">
        <v>67</v>
      </c>
      <c r="G229" s="8">
        <v>46083</v>
      </c>
      <c r="H229" s="8">
        <v>46090</v>
      </c>
      <c r="I229" t="s">
        <v>8318</v>
      </c>
      <c r="J229" t="s">
        <v>7051</v>
      </c>
      <c r="K229" t="s">
        <v>27</v>
      </c>
      <c r="L229">
        <v>21931.21</v>
      </c>
      <c r="M229">
        <v>311</v>
      </c>
      <c r="N229" t="s">
        <v>43</v>
      </c>
      <c r="O229" t="s">
        <v>57</v>
      </c>
    </row>
    <row r="230" spans="1:15" x14ac:dyDescent="0.3">
      <c r="A230" t="s">
        <v>7050</v>
      </c>
      <c r="B230" t="s">
        <v>7049</v>
      </c>
      <c r="C230" t="s">
        <v>40</v>
      </c>
      <c r="D230">
        <v>8</v>
      </c>
      <c r="E230" t="s">
        <v>39</v>
      </c>
      <c r="F230" t="s">
        <v>67</v>
      </c>
      <c r="G230" s="8">
        <v>46149</v>
      </c>
      <c r="H230" s="8">
        <v>46166</v>
      </c>
      <c r="I230" t="s">
        <v>8319</v>
      </c>
      <c r="J230" t="s">
        <v>7047</v>
      </c>
      <c r="K230" t="s">
        <v>123</v>
      </c>
      <c r="L230">
        <v>1362.73</v>
      </c>
      <c r="M230">
        <v>429</v>
      </c>
      <c r="N230" t="s">
        <v>25</v>
      </c>
      <c r="O230" t="s">
        <v>17</v>
      </c>
    </row>
    <row r="231" spans="1:15" x14ac:dyDescent="0.3">
      <c r="A231" t="s">
        <v>7046</v>
      </c>
      <c r="B231" t="s">
        <v>7045</v>
      </c>
      <c r="C231" t="s">
        <v>123</v>
      </c>
      <c r="D231">
        <v>68</v>
      </c>
      <c r="E231" t="s">
        <v>31</v>
      </c>
      <c r="F231" t="s">
        <v>67</v>
      </c>
      <c r="G231" s="8">
        <v>46000</v>
      </c>
      <c r="H231" s="8">
        <v>46013</v>
      </c>
      <c r="I231" t="s">
        <v>8320</v>
      </c>
      <c r="J231" t="s">
        <v>7043</v>
      </c>
      <c r="K231" t="s">
        <v>27</v>
      </c>
      <c r="L231">
        <v>7637.23</v>
      </c>
      <c r="M231">
        <v>486</v>
      </c>
      <c r="N231" t="s">
        <v>34</v>
      </c>
      <c r="O231" t="s">
        <v>26</v>
      </c>
    </row>
    <row r="232" spans="1:15" x14ac:dyDescent="0.3">
      <c r="A232" t="s">
        <v>7042</v>
      </c>
      <c r="B232" t="s">
        <v>7041</v>
      </c>
      <c r="C232" t="s">
        <v>123</v>
      </c>
      <c r="D232">
        <v>31</v>
      </c>
      <c r="E232" t="s">
        <v>1326</v>
      </c>
      <c r="F232" t="s">
        <v>30</v>
      </c>
      <c r="G232" s="8">
        <v>45979</v>
      </c>
      <c r="H232" s="8">
        <v>46006</v>
      </c>
      <c r="I232" t="s">
        <v>8321</v>
      </c>
      <c r="J232" t="s">
        <v>123</v>
      </c>
      <c r="K232" t="s">
        <v>27</v>
      </c>
      <c r="L232">
        <v>20183.25</v>
      </c>
      <c r="M232">
        <v>387</v>
      </c>
      <c r="N232" t="s">
        <v>16</v>
      </c>
      <c r="O232" t="s">
        <v>27</v>
      </c>
    </row>
    <row r="233" spans="1:15" x14ac:dyDescent="0.3">
      <c r="A233" t="s">
        <v>7039</v>
      </c>
      <c r="B233" t="s">
        <v>7038</v>
      </c>
      <c r="C233" t="s">
        <v>123</v>
      </c>
      <c r="D233">
        <v>72</v>
      </c>
      <c r="E233" t="s">
        <v>39</v>
      </c>
      <c r="F233" t="s">
        <v>67</v>
      </c>
      <c r="G233" s="8">
        <v>46052</v>
      </c>
      <c r="H233" s="8">
        <v>46059</v>
      </c>
      <c r="I233" t="s">
        <v>8322</v>
      </c>
      <c r="J233" t="s">
        <v>7036</v>
      </c>
      <c r="K233" t="s">
        <v>27</v>
      </c>
      <c r="L233">
        <v>5242.75</v>
      </c>
      <c r="M233">
        <v>330</v>
      </c>
      <c r="N233" t="s">
        <v>50</v>
      </c>
      <c r="O233" t="s">
        <v>64</v>
      </c>
    </row>
    <row r="234" spans="1:15" x14ac:dyDescent="0.3">
      <c r="A234" t="s">
        <v>7035</v>
      </c>
      <c r="B234" t="s">
        <v>7034</v>
      </c>
      <c r="C234" t="s">
        <v>74</v>
      </c>
      <c r="D234">
        <v>12</v>
      </c>
      <c r="E234" t="s">
        <v>21</v>
      </c>
      <c r="F234" t="s">
        <v>46</v>
      </c>
      <c r="G234" s="8">
        <v>46023</v>
      </c>
      <c r="H234" s="8">
        <v>46031</v>
      </c>
      <c r="I234" t="s">
        <v>8323</v>
      </c>
      <c r="J234" t="s">
        <v>7032</v>
      </c>
      <c r="K234" t="s">
        <v>123</v>
      </c>
      <c r="L234">
        <v>16907.060000000001</v>
      </c>
      <c r="M234">
        <v>547</v>
      </c>
      <c r="N234" t="s">
        <v>77</v>
      </c>
      <c r="O234" t="s">
        <v>27</v>
      </c>
    </row>
    <row r="235" spans="1:15" x14ac:dyDescent="0.3">
      <c r="A235" t="s">
        <v>7031</v>
      </c>
      <c r="B235" t="s">
        <v>7030</v>
      </c>
      <c r="C235" t="s">
        <v>74</v>
      </c>
      <c r="D235">
        <v>76</v>
      </c>
      <c r="E235" t="s">
        <v>21</v>
      </c>
      <c r="F235" t="s">
        <v>85</v>
      </c>
      <c r="G235" s="8">
        <v>46036</v>
      </c>
      <c r="H235" s="8">
        <v>46042</v>
      </c>
      <c r="I235" t="s">
        <v>8324</v>
      </c>
      <c r="J235" t="s">
        <v>7028</v>
      </c>
      <c r="K235" t="s">
        <v>64</v>
      </c>
      <c r="L235">
        <v>7719.06</v>
      </c>
      <c r="M235">
        <v>208</v>
      </c>
      <c r="N235" t="s">
        <v>71</v>
      </c>
      <c r="O235" t="s">
        <v>27</v>
      </c>
    </row>
    <row r="236" spans="1:15" x14ac:dyDescent="0.3">
      <c r="A236" t="s">
        <v>7027</v>
      </c>
      <c r="B236" t="s">
        <v>7026</v>
      </c>
      <c r="C236" t="s">
        <v>74</v>
      </c>
      <c r="D236">
        <v>62</v>
      </c>
      <c r="E236" t="s">
        <v>21</v>
      </c>
      <c r="F236" t="s">
        <v>8077</v>
      </c>
      <c r="G236" s="8">
        <v>46029</v>
      </c>
      <c r="H236" s="8">
        <v>46041</v>
      </c>
      <c r="I236" t="s">
        <v>8325</v>
      </c>
      <c r="J236" t="s">
        <v>7024</v>
      </c>
      <c r="K236" t="s">
        <v>64</v>
      </c>
      <c r="L236">
        <v>13891.57</v>
      </c>
      <c r="M236">
        <v>294</v>
      </c>
      <c r="N236" t="s">
        <v>16</v>
      </c>
      <c r="O236" t="s">
        <v>63</v>
      </c>
    </row>
    <row r="237" spans="1:15" x14ac:dyDescent="0.3">
      <c r="A237" t="s">
        <v>7023</v>
      </c>
      <c r="B237" t="s">
        <v>7022</v>
      </c>
      <c r="C237" t="s">
        <v>74</v>
      </c>
      <c r="D237">
        <v>40</v>
      </c>
      <c r="E237" t="s">
        <v>132</v>
      </c>
      <c r="F237" t="s">
        <v>67</v>
      </c>
      <c r="G237" s="8">
        <v>46100</v>
      </c>
      <c r="H237" s="8">
        <v>46116</v>
      </c>
      <c r="I237" t="s">
        <v>8326</v>
      </c>
      <c r="J237" t="s">
        <v>7020</v>
      </c>
      <c r="K237" t="s">
        <v>123</v>
      </c>
      <c r="L237">
        <v>11756.9</v>
      </c>
      <c r="M237">
        <v>489</v>
      </c>
      <c r="N237" t="s">
        <v>50</v>
      </c>
      <c r="O237" t="s">
        <v>123</v>
      </c>
    </row>
    <row r="238" spans="1:15" x14ac:dyDescent="0.3">
      <c r="A238" t="s">
        <v>7019</v>
      </c>
      <c r="B238" t="s">
        <v>7018</v>
      </c>
      <c r="C238" t="s">
        <v>74</v>
      </c>
      <c r="D238">
        <v>27</v>
      </c>
      <c r="E238" t="s">
        <v>31</v>
      </c>
      <c r="F238" t="s">
        <v>67</v>
      </c>
      <c r="G238" s="8">
        <v>46117</v>
      </c>
      <c r="H238" s="8">
        <v>46130</v>
      </c>
      <c r="I238" t="s">
        <v>8327</v>
      </c>
      <c r="J238" t="s">
        <v>7016</v>
      </c>
      <c r="K238" t="s">
        <v>27</v>
      </c>
      <c r="L238">
        <v>14150.61</v>
      </c>
      <c r="M238">
        <v>479</v>
      </c>
      <c r="N238" t="s">
        <v>71</v>
      </c>
      <c r="O238" t="s">
        <v>57</v>
      </c>
    </row>
    <row r="239" spans="1:15" x14ac:dyDescent="0.3">
      <c r="A239" t="s">
        <v>7015</v>
      </c>
      <c r="B239" t="s">
        <v>8038</v>
      </c>
      <c r="C239" t="s">
        <v>40</v>
      </c>
      <c r="D239">
        <v>34</v>
      </c>
      <c r="E239" t="s">
        <v>54</v>
      </c>
      <c r="F239" t="s">
        <v>30</v>
      </c>
      <c r="G239" s="8">
        <v>46065</v>
      </c>
      <c r="H239" s="8">
        <v>46069</v>
      </c>
      <c r="I239" t="s">
        <v>8328</v>
      </c>
      <c r="J239" t="s">
        <v>7012</v>
      </c>
      <c r="K239" t="s">
        <v>64</v>
      </c>
      <c r="L239">
        <v>8380.66</v>
      </c>
      <c r="M239">
        <v>391</v>
      </c>
      <c r="N239" t="s">
        <v>50</v>
      </c>
      <c r="O239" t="s">
        <v>123</v>
      </c>
    </row>
    <row r="240" spans="1:15" x14ac:dyDescent="0.3">
      <c r="A240" t="s">
        <v>7011</v>
      </c>
      <c r="B240" t="s">
        <v>7010</v>
      </c>
      <c r="C240" t="s">
        <v>74</v>
      </c>
      <c r="D240">
        <v>64</v>
      </c>
      <c r="E240" t="s">
        <v>31</v>
      </c>
      <c r="F240" t="s">
        <v>30</v>
      </c>
      <c r="G240" s="8">
        <v>46108</v>
      </c>
      <c r="H240" s="8">
        <v>46132</v>
      </c>
      <c r="I240" t="s">
        <v>8329</v>
      </c>
      <c r="J240" t="s">
        <v>7008</v>
      </c>
      <c r="K240" t="s">
        <v>123</v>
      </c>
      <c r="L240">
        <v>24169.41</v>
      </c>
      <c r="M240">
        <v>335</v>
      </c>
      <c r="N240" t="s">
        <v>71</v>
      </c>
      <c r="O240" t="s">
        <v>123</v>
      </c>
    </row>
    <row r="241" spans="1:15" x14ac:dyDescent="0.3">
      <c r="A241" t="s">
        <v>7007</v>
      </c>
      <c r="B241" t="s">
        <v>7006</v>
      </c>
      <c r="C241" t="s">
        <v>74</v>
      </c>
      <c r="D241">
        <v>22</v>
      </c>
      <c r="E241" t="s">
        <v>39</v>
      </c>
      <c r="F241" t="s">
        <v>85</v>
      </c>
      <c r="G241" s="8">
        <v>46072</v>
      </c>
      <c r="H241" s="8">
        <v>46077</v>
      </c>
      <c r="I241" t="s">
        <v>8330</v>
      </c>
      <c r="J241" t="s">
        <v>7004</v>
      </c>
      <c r="K241" t="s">
        <v>27</v>
      </c>
      <c r="L241">
        <v>13193.82</v>
      </c>
      <c r="M241">
        <v>518</v>
      </c>
      <c r="N241" t="s">
        <v>25</v>
      </c>
      <c r="O241" t="s">
        <v>64</v>
      </c>
    </row>
    <row r="242" spans="1:15" x14ac:dyDescent="0.3">
      <c r="A242" t="s">
        <v>7003</v>
      </c>
      <c r="B242" t="s">
        <v>7002</v>
      </c>
      <c r="C242" t="s">
        <v>40</v>
      </c>
      <c r="D242">
        <v>1</v>
      </c>
      <c r="E242" t="s">
        <v>54</v>
      </c>
      <c r="F242" t="s">
        <v>20</v>
      </c>
      <c r="G242" s="8">
        <v>46076</v>
      </c>
      <c r="H242" s="8">
        <v>46102</v>
      </c>
      <c r="I242" t="s">
        <v>8331</v>
      </c>
      <c r="J242" t="s">
        <v>7000</v>
      </c>
      <c r="K242" t="s">
        <v>64</v>
      </c>
      <c r="L242">
        <v>1885.6</v>
      </c>
      <c r="M242">
        <v>104</v>
      </c>
      <c r="N242" t="s">
        <v>71</v>
      </c>
      <c r="O242" t="s">
        <v>26</v>
      </c>
    </row>
    <row r="243" spans="1:15" x14ac:dyDescent="0.3">
      <c r="A243" t="s">
        <v>6999</v>
      </c>
      <c r="B243" t="s">
        <v>6998</v>
      </c>
      <c r="C243" t="s">
        <v>123</v>
      </c>
      <c r="D243">
        <v>48</v>
      </c>
      <c r="E243" t="s">
        <v>47</v>
      </c>
      <c r="F243" t="s">
        <v>85</v>
      </c>
      <c r="G243" s="8">
        <v>46054</v>
      </c>
      <c r="H243" s="8">
        <v>46075</v>
      </c>
      <c r="I243" t="s">
        <v>8332</v>
      </c>
      <c r="J243" t="s">
        <v>6996</v>
      </c>
      <c r="K243" t="s">
        <v>123</v>
      </c>
      <c r="L243">
        <v>590.15</v>
      </c>
      <c r="M243">
        <v>106</v>
      </c>
      <c r="N243" t="s">
        <v>77</v>
      </c>
      <c r="O243" t="s">
        <v>123</v>
      </c>
    </row>
    <row r="244" spans="1:15" x14ac:dyDescent="0.3">
      <c r="A244" t="s">
        <v>6995</v>
      </c>
      <c r="B244" t="s">
        <v>6994</v>
      </c>
      <c r="C244" t="s">
        <v>40</v>
      </c>
      <c r="D244">
        <v>69</v>
      </c>
      <c r="E244" t="s">
        <v>132</v>
      </c>
      <c r="F244" t="s">
        <v>46</v>
      </c>
      <c r="G244" s="8">
        <v>46077</v>
      </c>
      <c r="H244" s="8">
        <v>46093</v>
      </c>
      <c r="I244" t="s">
        <v>8333</v>
      </c>
      <c r="J244" t="s">
        <v>6992</v>
      </c>
      <c r="K244" t="s">
        <v>123</v>
      </c>
      <c r="L244">
        <v>20192.96</v>
      </c>
      <c r="M244">
        <v>154</v>
      </c>
      <c r="N244" t="s">
        <v>77</v>
      </c>
      <c r="O244" t="s">
        <v>26</v>
      </c>
    </row>
    <row r="245" spans="1:15" x14ac:dyDescent="0.3">
      <c r="A245" t="s">
        <v>6991</v>
      </c>
      <c r="B245" t="s">
        <v>6990</v>
      </c>
      <c r="C245" t="s">
        <v>40</v>
      </c>
      <c r="D245">
        <v>31</v>
      </c>
      <c r="E245" t="s">
        <v>21</v>
      </c>
      <c r="F245" t="s">
        <v>30</v>
      </c>
      <c r="G245" s="8">
        <v>45995</v>
      </c>
      <c r="H245" s="8">
        <v>46021</v>
      </c>
      <c r="I245" t="s">
        <v>8334</v>
      </c>
      <c r="J245" t="s">
        <v>6988</v>
      </c>
      <c r="K245" t="s">
        <v>64</v>
      </c>
      <c r="L245">
        <v>6829.65</v>
      </c>
      <c r="M245">
        <v>140</v>
      </c>
      <c r="N245" t="s">
        <v>43</v>
      </c>
      <c r="O245" t="s">
        <v>123</v>
      </c>
    </row>
    <row r="246" spans="1:15" x14ac:dyDescent="0.3">
      <c r="A246" t="s">
        <v>6987</v>
      </c>
      <c r="B246" t="s">
        <v>6986</v>
      </c>
      <c r="C246" t="s">
        <v>123</v>
      </c>
      <c r="D246">
        <v>59</v>
      </c>
      <c r="E246" t="s">
        <v>21</v>
      </c>
      <c r="F246" t="s">
        <v>8077</v>
      </c>
      <c r="G246" s="8">
        <v>46049</v>
      </c>
      <c r="H246" s="8">
        <v>46058</v>
      </c>
      <c r="I246" t="s">
        <v>8335</v>
      </c>
      <c r="J246" t="s">
        <v>6984</v>
      </c>
      <c r="K246" t="s">
        <v>64</v>
      </c>
      <c r="L246">
        <v>16412.650000000001</v>
      </c>
      <c r="M246">
        <v>147</v>
      </c>
      <c r="N246" t="s">
        <v>16</v>
      </c>
      <c r="O246" t="s">
        <v>27</v>
      </c>
    </row>
    <row r="247" spans="1:15" x14ac:dyDescent="0.3">
      <c r="A247" t="s">
        <v>6983</v>
      </c>
      <c r="B247" t="s">
        <v>6982</v>
      </c>
      <c r="C247" t="s">
        <v>123</v>
      </c>
      <c r="D247">
        <v>49</v>
      </c>
      <c r="E247" t="s">
        <v>68</v>
      </c>
      <c r="F247" t="s">
        <v>46</v>
      </c>
      <c r="G247" s="8">
        <v>46056</v>
      </c>
      <c r="H247" s="8">
        <v>46076</v>
      </c>
      <c r="I247" t="s">
        <v>8336</v>
      </c>
      <c r="J247" t="s">
        <v>6980</v>
      </c>
      <c r="K247" t="s">
        <v>27</v>
      </c>
      <c r="L247">
        <v>17630.560000000001</v>
      </c>
      <c r="M247">
        <v>355</v>
      </c>
      <c r="N247" t="s">
        <v>50</v>
      </c>
      <c r="O247" t="s">
        <v>64</v>
      </c>
    </row>
    <row r="248" spans="1:15" x14ac:dyDescent="0.3">
      <c r="A248" t="s">
        <v>6979</v>
      </c>
      <c r="B248" t="s">
        <v>6978</v>
      </c>
      <c r="C248" t="s">
        <v>123</v>
      </c>
      <c r="D248">
        <v>83</v>
      </c>
      <c r="E248" t="s">
        <v>31</v>
      </c>
      <c r="F248" t="s">
        <v>20</v>
      </c>
      <c r="G248" s="8">
        <v>46062</v>
      </c>
      <c r="H248" s="8">
        <v>46090</v>
      </c>
      <c r="I248" t="s">
        <v>8337</v>
      </c>
      <c r="J248" t="s">
        <v>6976</v>
      </c>
      <c r="K248" t="s">
        <v>27</v>
      </c>
      <c r="L248">
        <v>5898.21</v>
      </c>
      <c r="M248">
        <v>238</v>
      </c>
      <c r="N248" t="s">
        <v>77</v>
      </c>
      <c r="O248" t="s">
        <v>123</v>
      </c>
    </row>
    <row r="249" spans="1:15" x14ac:dyDescent="0.3">
      <c r="A249" t="s">
        <v>6975</v>
      </c>
      <c r="B249" t="s">
        <v>6974</v>
      </c>
      <c r="C249" t="s">
        <v>74</v>
      </c>
      <c r="D249">
        <v>88</v>
      </c>
      <c r="E249" t="s">
        <v>132</v>
      </c>
      <c r="F249" t="s">
        <v>46</v>
      </c>
      <c r="G249" s="8">
        <v>46070</v>
      </c>
      <c r="H249" s="8">
        <v>46075</v>
      </c>
      <c r="I249" t="s">
        <v>8338</v>
      </c>
      <c r="J249" t="s">
        <v>6972</v>
      </c>
      <c r="K249" t="s">
        <v>64</v>
      </c>
      <c r="L249">
        <v>588.32000000000005</v>
      </c>
      <c r="M249">
        <v>400</v>
      </c>
      <c r="N249" t="s">
        <v>71</v>
      </c>
      <c r="O249" t="s">
        <v>57</v>
      </c>
    </row>
    <row r="250" spans="1:15" x14ac:dyDescent="0.3">
      <c r="A250" t="s">
        <v>6971</v>
      </c>
      <c r="B250" t="s">
        <v>6970</v>
      </c>
      <c r="C250" t="s">
        <v>123</v>
      </c>
      <c r="D250">
        <v>10</v>
      </c>
      <c r="E250" t="s">
        <v>132</v>
      </c>
      <c r="F250" t="s">
        <v>20</v>
      </c>
      <c r="G250" s="8">
        <v>46042</v>
      </c>
      <c r="H250" s="8">
        <v>46060</v>
      </c>
      <c r="I250" t="s">
        <v>8339</v>
      </c>
      <c r="J250" t="s">
        <v>6968</v>
      </c>
      <c r="K250" t="s">
        <v>64</v>
      </c>
      <c r="L250">
        <v>14254.06</v>
      </c>
      <c r="M250">
        <v>446</v>
      </c>
      <c r="N250" t="s">
        <v>34</v>
      </c>
      <c r="O250" t="s">
        <v>123</v>
      </c>
    </row>
    <row r="251" spans="1:15" x14ac:dyDescent="0.3">
      <c r="A251" t="s">
        <v>6967</v>
      </c>
      <c r="B251" t="s">
        <v>6966</v>
      </c>
      <c r="C251" t="s">
        <v>74</v>
      </c>
      <c r="D251">
        <v>50</v>
      </c>
      <c r="E251" t="s">
        <v>39</v>
      </c>
      <c r="F251" t="s">
        <v>20</v>
      </c>
      <c r="G251" s="8">
        <v>46026</v>
      </c>
      <c r="H251" s="8">
        <v>46042</v>
      </c>
      <c r="I251" t="s">
        <v>8340</v>
      </c>
      <c r="J251" t="s">
        <v>6964</v>
      </c>
      <c r="K251" t="s">
        <v>64</v>
      </c>
      <c r="L251">
        <v>1531.67</v>
      </c>
      <c r="M251">
        <v>218</v>
      </c>
      <c r="N251" t="s">
        <v>50</v>
      </c>
      <c r="O251" t="s">
        <v>123</v>
      </c>
    </row>
    <row r="252" spans="1:15" x14ac:dyDescent="0.3">
      <c r="A252" t="s">
        <v>6959</v>
      </c>
      <c r="B252" t="s">
        <v>6958</v>
      </c>
      <c r="C252" t="s">
        <v>74</v>
      </c>
      <c r="D252">
        <v>71</v>
      </c>
      <c r="E252" t="s">
        <v>54</v>
      </c>
      <c r="F252" t="s">
        <v>67</v>
      </c>
      <c r="G252" s="8">
        <v>46029</v>
      </c>
      <c r="H252" s="8">
        <v>46034</v>
      </c>
      <c r="I252" t="s">
        <v>8341</v>
      </c>
      <c r="J252" t="s">
        <v>6956</v>
      </c>
      <c r="K252" t="s">
        <v>123</v>
      </c>
      <c r="L252">
        <v>2325.21</v>
      </c>
      <c r="M252">
        <v>508</v>
      </c>
      <c r="N252" t="s">
        <v>71</v>
      </c>
      <c r="O252" t="s">
        <v>63</v>
      </c>
    </row>
    <row r="253" spans="1:15" x14ac:dyDescent="0.3">
      <c r="A253" t="s">
        <v>6955</v>
      </c>
      <c r="B253" t="s">
        <v>6954</v>
      </c>
      <c r="C253" t="s">
        <v>74</v>
      </c>
      <c r="D253">
        <v>11</v>
      </c>
      <c r="E253" t="s">
        <v>132</v>
      </c>
      <c r="F253" t="s">
        <v>20</v>
      </c>
      <c r="G253" s="8">
        <v>46108</v>
      </c>
      <c r="H253" s="8">
        <v>46120</v>
      </c>
      <c r="I253" t="s">
        <v>8342</v>
      </c>
      <c r="J253" t="s">
        <v>6952</v>
      </c>
      <c r="K253" t="s">
        <v>27</v>
      </c>
      <c r="L253">
        <v>18543.45</v>
      </c>
      <c r="M253">
        <v>284</v>
      </c>
      <c r="N253" t="s">
        <v>77</v>
      </c>
      <c r="O253" t="s">
        <v>17</v>
      </c>
    </row>
    <row r="254" spans="1:15" x14ac:dyDescent="0.3">
      <c r="A254" t="s">
        <v>6951</v>
      </c>
      <c r="B254" t="s">
        <v>6950</v>
      </c>
      <c r="C254" t="s">
        <v>74</v>
      </c>
      <c r="D254">
        <v>1</v>
      </c>
      <c r="E254" t="s">
        <v>132</v>
      </c>
      <c r="F254" t="s">
        <v>85</v>
      </c>
      <c r="G254" s="8">
        <v>46064</v>
      </c>
      <c r="H254" s="8">
        <v>46075</v>
      </c>
      <c r="I254" t="s">
        <v>8343</v>
      </c>
      <c r="J254" t="s">
        <v>6948</v>
      </c>
      <c r="K254" t="s">
        <v>27</v>
      </c>
      <c r="L254">
        <v>2735.34</v>
      </c>
      <c r="M254">
        <v>195</v>
      </c>
      <c r="N254" t="s">
        <v>16</v>
      </c>
      <c r="O254" t="s">
        <v>64</v>
      </c>
    </row>
    <row r="255" spans="1:15" x14ac:dyDescent="0.3">
      <c r="A255" t="s">
        <v>6943</v>
      </c>
      <c r="B255" t="s">
        <v>6942</v>
      </c>
      <c r="C255" t="s">
        <v>74</v>
      </c>
      <c r="D255">
        <v>50</v>
      </c>
      <c r="E255" t="s">
        <v>47</v>
      </c>
      <c r="F255" t="s">
        <v>30</v>
      </c>
      <c r="G255" s="8">
        <v>46058</v>
      </c>
      <c r="H255" s="8">
        <v>46071</v>
      </c>
      <c r="I255" t="s">
        <v>8344</v>
      </c>
      <c r="J255" t="s">
        <v>6940</v>
      </c>
      <c r="K255" t="s">
        <v>123</v>
      </c>
      <c r="L255">
        <v>19523.39</v>
      </c>
      <c r="M255">
        <v>392</v>
      </c>
      <c r="N255" t="s">
        <v>34</v>
      </c>
      <c r="O255" t="s">
        <v>57</v>
      </c>
    </row>
    <row r="256" spans="1:15" x14ac:dyDescent="0.3">
      <c r="A256" t="s">
        <v>6939</v>
      </c>
      <c r="B256" t="s">
        <v>6938</v>
      </c>
      <c r="C256" t="s">
        <v>40</v>
      </c>
      <c r="D256">
        <v>88</v>
      </c>
      <c r="E256" t="s">
        <v>54</v>
      </c>
      <c r="F256" t="s">
        <v>20</v>
      </c>
      <c r="G256" s="8">
        <v>46003</v>
      </c>
      <c r="H256" s="8">
        <v>46007</v>
      </c>
      <c r="I256" t="s">
        <v>8345</v>
      </c>
      <c r="J256" t="s">
        <v>6936</v>
      </c>
      <c r="K256" t="s">
        <v>27</v>
      </c>
      <c r="L256">
        <v>7668.06</v>
      </c>
      <c r="M256">
        <v>174</v>
      </c>
      <c r="N256" t="s">
        <v>77</v>
      </c>
      <c r="O256" t="s">
        <v>123</v>
      </c>
    </row>
    <row r="257" spans="1:15" x14ac:dyDescent="0.3">
      <c r="A257" t="s">
        <v>6935</v>
      </c>
      <c r="B257" t="s">
        <v>6934</v>
      </c>
      <c r="C257" t="s">
        <v>40</v>
      </c>
      <c r="D257">
        <v>56</v>
      </c>
      <c r="E257" t="s">
        <v>132</v>
      </c>
      <c r="F257" t="s">
        <v>67</v>
      </c>
      <c r="G257" s="8">
        <v>46020</v>
      </c>
      <c r="H257" s="8">
        <v>46029</v>
      </c>
      <c r="I257" t="s">
        <v>8346</v>
      </c>
      <c r="J257" t="s">
        <v>6932</v>
      </c>
      <c r="K257" t="s">
        <v>123</v>
      </c>
      <c r="L257">
        <v>19610.13</v>
      </c>
      <c r="M257">
        <v>228</v>
      </c>
      <c r="N257" t="s">
        <v>71</v>
      </c>
      <c r="O257" t="s">
        <v>17</v>
      </c>
    </row>
    <row r="258" spans="1:15" x14ac:dyDescent="0.3">
      <c r="A258" t="s">
        <v>6931</v>
      </c>
      <c r="B258" t="s">
        <v>2918</v>
      </c>
      <c r="C258" t="s">
        <v>123</v>
      </c>
      <c r="D258">
        <v>77</v>
      </c>
      <c r="E258" t="s">
        <v>21</v>
      </c>
      <c r="F258" t="s">
        <v>85</v>
      </c>
      <c r="G258" s="8">
        <v>46031</v>
      </c>
      <c r="H258" s="8">
        <v>46034</v>
      </c>
      <c r="I258" t="s">
        <v>8347</v>
      </c>
      <c r="J258" t="s">
        <v>6929</v>
      </c>
      <c r="K258" t="s">
        <v>27</v>
      </c>
      <c r="L258">
        <v>7755.52</v>
      </c>
      <c r="M258">
        <v>270</v>
      </c>
      <c r="N258" t="s">
        <v>50</v>
      </c>
      <c r="O258" t="s">
        <v>123</v>
      </c>
    </row>
    <row r="259" spans="1:15" x14ac:dyDescent="0.3">
      <c r="A259" t="s">
        <v>6928</v>
      </c>
      <c r="B259" t="s">
        <v>8039</v>
      </c>
      <c r="C259" t="s">
        <v>123</v>
      </c>
      <c r="D259">
        <v>43</v>
      </c>
      <c r="E259" t="s">
        <v>68</v>
      </c>
      <c r="F259" t="s">
        <v>67</v>
      </c>
      <c r="G259" s="8">
        <v>46109</v>
      </c>
      <c r="H259" s="8">
        <v>46122</v>
      </c>
      <c r="I259" t="s">
        <v>8348</v>
      </c>
      <c r="J259" t="s">
        <v>6925</v>
      </c>
      <c r="K259" t="s">
        <v>27</v>
      </c>
      <c r="L259">
        <v>7650.8</v>
      </c>
      <c r="M259">
        <v>345</v>
      </c>
      <c r="N259" t="s">
        <v>43</v>
      </c>
      <c r="O259" t="s">
        <v>57</v>
      </c>
    </row>
    <row r="260" spans="1:15" x14ac:dyDescent="0.3">
      <c r="A260" t="s">
        <v>6924</v>
      </c>
      <c r="B260" t="s">
        <v>8040</v>
      </c>
      <c r="C260" t="s">
        <v>40</v>
      </c>
      <c r="D260">
        <v>51</v>
      </c>
      <c r="E260" t="s">
        <v>31</v>
      </c>
      <c r="F260" t="s">
        <v>30</v>
      </c>
      <c r="G260" s="8">
        <v>45995</v>
      </c>
      <c r="H260" s="8">
        <v>46018</v>
      </c>
      <c r="I260" t="s">
        <v>8349</v>
      </c>
      <c r="J260" t="s">
        <v>6921</v>
      </c>
      <c r="K260" t="s">
        <v>123</v>
      </c>
      <c r="L260">
        <v>24200.52</v>
      </c>
      <c r="M260">
        <v>266</v>
      </c>
      <c r="N260" t="s">
        <v>16</v>
      </c>
      <c r="O260" t="s">
        <v>57</v>
      </c>
    </row>
    <row r="261" spans="1:15" x14ac:dyDescent="0.3">
      <c r="A261" t="s">
        <v>6920</v>
      </c>
      <c r="B261" t="s">
        <v>6919</v>
      </c>
      <c r="C261" t="s">
        <v>40</v>
      </c>
      <c r="D261">
        <v>51</v>
      </c>
      <c r="E261" t="s">
        <v>31</v>
      </c>
      <c r="F261" t="s">
        <v>20</v>
      </c>
      <c r="G261" s="8">
        <v>46084</v>
      </c>
      <c r="H261" s="8">
        <v>46113</v>
      </c>
      <c r="I261" t="s">
        <v>8350</v>
      </c>
      <c r="J261" t="s">
        <v>6917</v>
      </c>
      <c r="K261" t="s">
        <v>64</v>
      </c>
      <c r="L261">
        <v>14887.23</v>
      </c>
      <c r="M261">
        <v>449</v>
      </c>
      <c r="N261" t="s">
        <v>50</v>
      </c>
      <c r="O261" t="s">
        <v>26</v>
      </c>
    </row>
    <row r="262" spans="1:15" x14ac:dyDescent="0.3">
      <c r="A262" t="s">
        <v>6916</v>
      </c>
      <c r="B262" t="s">
        <v>6915</v>
      </c>
      <c r="C262" t="s">
        <v>40</v>
      </c>
      <c r="D262">
        <v>60</v>
      </c>
      <c r="E262" t="s">
        <v>21</v>
      </c>
      <c r="F262" t="s">
        <v>85</v>
      </c>
      <c r="G262" s="8">
        <v>45981</v>
      </c>
      <c r="H262" s="8">
        <v>46006</v>
      </c>
      <c r="I262" t="s">
        <v>8351</v>
      </c>
      <c r="J262" t="s">
        <v>6913</v>
      </c>
      <c r="K262" t="s">
        <v>27</v>
      </c>
      <c r="L262">
        <v>20815.79</v>
      </c>
      <c r="M262">
        <v>519</v>
      </c>
      <c r="N262" t="s">
        <v>50</v>
      </c>
      <c r="O262" t="s">
        <v>64</v>
      </c>
    </row>
    <row r="263" spans="1:15" x14ac:dyDescent="0.3">
      <c r="A263" t="s">
        <v>6912</v>
      </c>
      <c r="B263" t="s">
        <v>6911</v>
      </c>
      <c r="C263" t="s">
        <v>123</v>
      </c>
      <c r="D263">
        <v>87</v>
      </c>
      <c r="E263" t="s">
        <v>68</v>
      </c>
      <c r="F263" t="s">
        <v>20</v>
      </c>
      <c r="G263" s="8">
        <v>46080</v>
      </c>
      <c r="H263" s="8">
        <v>46100</v>
      </c>
      <c r="I263" t="s">
        <v>8352</v>
      </c>
      <c r="J263" t="s">
        <v>6909</v>
      </c>
      <c r="K263" t="s">
        <v>27</v>
      </c>
      <c r="L263">
        <v>6202.12</v>
      </c>
      <c r="M263">
        <v>466</v>
      </c>
      <c r="N263" t="s">
        <v>16</v>
      </c>
      <c r="O263" t="s">
        <v>26</v>
      </c>
    </row>
    <row r="264" spans="1:15" x14ac:dyDescent="0.3">
      <c r="A264" t="s">
        <v>6908</v>
      </c>
      <c r="B264" t="s">
        <v>8041</v>
      </c>
      <c r="C264" t="s">
        <v>123</v>
      </c>
      <c r="D264">
        <v>10</v>
      </c>
      <c r="E264" t="s">
        <v>68</v>
      </c>
      <c r="F264" t="s">
        <v>85</v>
      </c>
      <c r="G264" s="8">
        <v>45993</v>
      </c>
      <c r="H264" s="8">
        <v>46011</v>
      </c>
      <c r="I264" t="s">
        <v>8353</v>
      </c>
      <c r="J264" t="s">
        <v>6905</v>
      </c>
      <c r="K264" t="s">
        <v>123</v>
      </c>
      <c r="L264">
        <v>13452.31</v>
      </c>
      <c r="M264">
        <v>378</v>
      </c>
      <c r="N264" t="s">
        <v>77</v>
      </c>
      <c r="O264" t="s">
        <v>123</v>
      </c>
    </row>
    <row r="265" spans="1:15" x14ac:dyDescent="0.3">
      <c r="A265" t="s">
        <v>6904</v>
      </c>
      <c r="B265" t="s">
        <v>6903</v>
      </c>
      <c r="C265" t="s">
        <v>74</v>
      </c>
      <c r="D265">
        <v>90</v>
      </c>
      <c r="E265" t="s">
        <v>80</v>
      </c>
      <c r="F265" t="s">
        <v>20</v>
      </c>
      <c r="G265" s="8">
        <v>46135</v>
      </c>
      <c r="H265" s="8">
        <v>46159</v>
      </c>
      <c r="I265" t="s">
        <v>8354</v>
      </c>
      <c r="J265" t="s">
        <v>6901</v>
      </c>
      <c r="K265" t="s">
        <v>64</v>
      </c>
      <c r="L265">
        <v>16508.52</v>
      </c>
      <c r="M265">
        <v>185</v>
      </c>
      <c r="N265" t="s">
        <v>25</v>
      </c>
      <c r="O265" t="s">
        <v>17</v>
      </c>
    </row>
    <row r="266" spans="1:15" x14ac:dyDescent="0.3">
      <c r="A266" t="s">
        <v>6900</v>
      </c>
      <c r="B266" t="s">
        <v>6899</v>
      </c>
      <c r="C266" t="s">
        <v>40</v>
      </c>
      <c r="D266">
        <v>73</v>
      </c>
      <c r="E266" t="s">
        <v>54</v>
      </c>
      <c r="F266" t="s">
        <v>67</v>
      </c>
      <c r="G266" s="8">
        <v>46008</v>
      </c>
      <c r="H266" s="8">
        <v>46038</v>
      </c>
      <c r="I266" t="s">
        <v>8355</v>
      </c>
      <c r="J266" t="s">
        <v>6897</v>
      </c>
      <c r="K266" t="s">
        <v>123</v>
      </c>
      <c r="L266">
        <v>2827.42</v>
      </c>
      <c r="M266">
        <v>232</v>
      </c>
      <c r="N266" t="s">
        <v>71</v>
      </c>
      <c r="O266" t="s">
        <v>64</v>
      </c>
    </row>
    <row r="267" spans="1:15" x14ac:dyDescent="0.3">
      <c r="A267" t="s">
        <v>6896</v>
      </c>
      <c r="B267" t="s">
        <v>6895</v>
      </c>
      <c r="C267" t="s">
        <v>74</v>
      </c>
      <c r="D267">
        <v>58</v>
      </c>
      <c r="E267" t="s">
        <v>31</v>
      </c>
      <c r="F267" t="s">
        <v>67</v>
      </c>
      <c r="G267" s="8">
        <v>46124</v>
      </c>
      <c r="H267" s="8">
        <v>46138</v>
      </c>
      <c r="I267" t="s">
        <v>8356</v>
      </c>
      <c r="J267" t="s">
        <v>6893</v>
      </c>
      <c r="K267" t="s">
        <v>27</v>
      </c>
      <c r="L267">
        <v>8755.19</v>
      </c>
      <c r="M267">
        <v>347</v>
      </c>
      <c r="N267" t="s">
        <v>77</v>
      </c>
      <c r="O267" t="s">
        <v>27</v>
      </c>
    </row>
    <row r="268" spans="1:15" x14ac:dyDescent="0.3">
      <c r="A268" t="s">
        <v>6892</v>
      </c>
      <c r="B268" t="s">
        <v>6891</v>
      </c>
      <c r="C268" t="s">
        <v>40</v>
      </c>
      <c r="D268">
        <v>54</v>
      </c>
      <c r="E268" t="s">
        <v>80</v>
      </c>
      <c r="F268" t="s">
        <v>20</v>
      </c>
      <c r="G268" s="8">
        <v>46054</v>
      </c>
      <c r="H268" s="8">
        <v>46080</v>
      </c>
      <c r="I268" t="s">
        <v>8357</v>
      </c>
      <c r="J268" t="s">
        <v>6889</v>
      </c>
      <c r="K268" t="s">
        <v>27</v>
      </c>
      <c r="L268">
        <v>8838.5499999999993</v>
      </c>
      <c r="M268">
        <v>333</v>
      </c>
      <c r="N268" t="s">
        <v>50</v>
      </c>
      <c r="O268" t="s">
        <v>17</v>
      </c>
    </row>
    <row r="269" spans="1:15" x14ac:dyDescent="0.3">
      <c r="A269" t="s">
        <v>6888</v>
      </c>
      <c r="B269" t="s">
        <v>6887</v>
      </c>
      <c r="C269" t="s">
        <v>74</v>
      </c>
      <c r="D269">
        <v>67</v>
      </c>
      <c r="E269" t="s">
        <v>68</v>
      </c>
      <c r="F269" t="s">
        <v>67</v>
      </c>
      <c r="G269" s="8">
        <v>46020</v>
      </c>
      <c r="H269" s="8">
        <v>46035</v>
      </c>
      <c r="I269" t="s">
        <v>8358</v>
      </c>
      <c r="J269" t="s">
        <v>6885</v>
      </c>
      <c r="K269" t="s">
        <v>64</v>
      </c>
      <c r="L269">
        <v>11066.52</v>
      </c>
      <c r="M269">
        <v>263</v>
      </c>
      <c r="N269" t="s">
        <v>77</v>
      </c>
      <c r="O269" t="s">
        <v>123</v>
      </c>
    </row>
    <row r="270" spans="1:15" x14ac:dyDescent="0.3">
      <c r="A270" t="s">
        <v>6880</v>
      </c>
      <c r="B270" t="s">
        <v>6879</v>
      </c>
      <c r="C270" t="s">
        <v>40</v>
      </c>
      <c r="D270">
        <v>71</v>
      </c>
      <c r="E270" t="s">
        <v>39</v>
      </c>
      <c r="F270" t="s">
        <v>67</v>
      </c>
      <c r="G270" s="8">
        <v>46085</v>
      </c>
      <c r="H270" s="8">
        <v>46102</v>
      </c>
      <c r="I270" t="s">
        <v>8359</v>
      </c>
      <c r="J270" t="s">
        <v>6877</v>
      </c>
      <c r="K270" t="s">
        <v>123</v>
      </c>
      <c r="L270">
        <v>23969.87</v>
      </c>
      <c r="M270">
        <v>508</v>
      </c>
      <c r="N270" t="s">
        <v>16</v>
      </c>
      <c r="O270" t="s">
        <v>57</v>
      </c>
    </row>
    <row r="271" spans="1:15" x14ac:dyDescent="0.3">
      <c r="A271" t="s">
        <v>6872</v>
      </c>
      <c r="B271" t="s">
        <v>6871</v>
      </c>
      <c r="C271" t="s">
        <v>74</v>
      </c>
      <c r="D271">
        <v>27</v>
      </c>
      <c r="E271" t="s">
        <v>132</v>
      </c>
      <c r="F271" t="s">
        <v>20</v>
      </c>
      <c r="G271" s="8">
        <v>46064</v>
      </c>
      <c r="H271" s="8">
        <v>46082</v>
      </c>
      <c r="I271" t="s">
        <v>8360</v>
      </c>
      <c r="J271" t="s">
        <v>6869</v>
      </c>
      <c r="K271" t="s">
        <v>64</v>
      </c>
      <c r="L271">
        <v>20027.66</v>
      </c>
      <c r="M271">
        <v>287</v>
      </c>
      <c r="N271" t="s">
        <v>43</v>
      </c>
      <c r="O271" t="s">
        <v>26</v>
      </c>
    </row>
    <row r="272" spans="1:15" x14ac:dyDescent="0.3">
      <c r="A272" t="s">
        <v>6868</v>
      </c>
      <c r="B272" t="s">
        <v>6867</v>
      </c>
      <c r="C272" t="s">
        <v>74</v>
      </c>
      <c r="D272">
        <v>59</v>
      </c>
      <c r="E272" t="s">
        <v>80</v>
      </c>
      <c r="F272" t="s">
        <v>30</v>
      </c>
      <c r="G272" s="8">
        <v>46049</v>
      </c>
      <c r="H272" s="8">
        <v>46070</v>
      </c>
      <c r="I272" t="s">
        <v>8361</v>
      </c>
      <c r="J272" t="s">
        <v>6865</v>
      </c>
      <c r="K272" t="s">
        <v>123</v>
      </c>
      <c r="L272">
        <v>13287.33</v>
      </c>
      <c r="M272">
        <v>405</v>
      </c>
      <c r="N272" t="s">
        <v>16</v>
      </c>
      <c r="O272" t="s">
        <v>17</v>
      </c>
    </row>
    <row r="273" spans="1:15" x14ac:dyDescent="0.3">
      <c r="A273" t="s">
        <v>6864</v>
      </c>
      <c r="B273" t="s">
        <v>6863</v>
      </c>
      <c r="C273" t="s">
        <v>123</v>
      </c>
      <c r="D273">
        <v>76</v>
      </c>
      <c r="E273" t="s">
        <v>80</v>
      </c>
      <c r="F273" t="s">
        <v>67</v>
      </c>
      <c r="G273" s="8">
        <v>46030</v>
      </c>
      <c r="H273" s="8">
        <v>46041</v>
      </c>
      <c r="I273" t="s">
        <v>8362</v>
      </c>
      <c r="J273" t="s">
        <v>6861</v>
      </c>
      <c r="K273" t="s">
        <v>123</v>
      </c>
      <c r="L273">
        <v>15510.59</v>
      </c>
      <c r="M273">
        <v>414</v>
      </c>
      <c r="N273" t="s">
        <v>34</v>
      </c>
      <c r="O273" t="s">
        <v>63</v>
      </c>
    </row>
    <row r="274" spans="1:15" x14ac:dyDescent="0.3">
      <c r="A274" t="s">
        <v>6860</v>
      </c>
      <c r="B274" t="s">
        <v>8042</v>
      </c>
      <c r="C274" t="s">
        <v>74</v>
      </c>
      <c r="D274">
        <v>87</v>
      </c>
      <c r="E274" t="s">
        <v>39</v>
      </c>
      <c r="F274" t="s">
        <v>67</v>
      </c>
      <c r="G274" s="8">
        <v>46084</v>
      </c>
      <c r="H274" s="8">
        <v>46087</v>
      </c>
      <c r="I274" t="s">
        <v>8363</v>
      </c>
      <c r="J274" t="s">
        <v>6857</v>
      </c>
      <c r="K274" t="s">
        <v>64</v>
      </c>
      <c r="L274">
        <v>7773.42</v>
      </c>
      <c r="M274">
        <v>291</v>
      </c>
      <c r="N274" t="s">
        <v>25</v>
      </c>
      <c r="O274" t="s">
        <v>26</v>
      </c>
    </row>
    <row r="275" spans="1:15" x14ac:dyDescent="0.3">
      <c r="A275" t="s">
        <v>6856</v>
      </c>
      <c r="B275" t="s">
        <v>6855</v>
      </c>
      <c r="C275" t="s">
        <v>40</v>
      </c>
      <c r="D275">
        <v>66</v>
      </c>
      <c r="E275" t="s">
        <v>54</v>
      </c>
      <c r="F275" t="s">
        <v>67</v>
      </c>
      <c r="G275" s="8">
        <v>46061</v>
      </c>
      <c r="H275" s="8">
        <v>46080</v>
      </c>
      <c r="I275" t="s">
        <v>8364</v>
      </c>
      <c r="J275" t="s">
        <v>6853</v>
      </c>
      <c r="K275" t="s">
        <v>27</v>
      </c>
      <c r="L275">
        <v>14455.19</v>
      </c>
      <c r="M275">
        <v>195</v>
      </c>
      <c r="N275" t="s">
        <v>16</v>
      </c>
      <c r="O275" t="s">
        <v>123</v>
      </c>
    </row>
    <row r="276" spans="1:15" x14ac:dyDescent="0.3">
      <c r="A276" t="s">
        <v>6852</v>
      </c>
      <c r="B276" t="s">
        <v>6851</v>
      </c>
      <c r="C276" t="s">
        <v>40</v>
      </c>
      <c r="D276">
        <v>72</v>
      </c>
      <c r="E276" t="s">
        <v>39</v>
      </c>
      <c r="F276" t="s">
        <v>85</v>
      </c>
      <c r="G276" s="8">
        <v>46111</v>
      </c>
      <c r="H276" s="8">
        <v>46120</v>
      </c>
      <c r="I276" t="s">
        <v>8365</v>
      </c>
      <c r="J276" t="s">
        <v>6849</v>
      </c>
      <c r="K276" t="s">
        <v>27</v>
      </c>
      <c r="L276">
        <v>4840.04</v>
      </c>
      <c r="M276">
        <v>417</v>
      </c>
      <c r="N276" t="s">
        <v>77</v>
      </c>
      <c r="O276" t="s">
        <v>123</v>
      </c>
    </row>
    <row r="277" spans="1:15" x14ac:dyDescent="0.3">
      <c r="A277" t="s">
        <v>6848</v>
      </c>
      <c r="B277" t="s">
        <v>6847</v>
      </c>
      <c r="C277" t="s">
        <v>74</v>
      </c>
      <c r="D277">
        <v>2</v>
      </c>
      <c r="E277" t="s">
        <v>68</v>
      </c>
      <c r="F277" t="s">
        <v>20</v>
      </c>
      <c r="G277" s="8">
        <v>46097</v>
      </c>
      <c r="H277" s="8">
        <v>46103</v>
      </c>
      <c r="I277" t="s">
        <v>8366</v>
      </c>
      <c r="J277" t="s">
        <v>6845</v>
      </c>
      <c r="K277" t="s">
        <v>123</v>
      </c>
      <c r="L277">
        <v>24102.959999999999</v>
      </c>
      <c r="M277">
        <v>309</v>
      </c>
      <c r="N277" t="s">
        <v>25</v>
      </c>
      <c r="O277" t="s">
        <v>123</v>
      </c>
    </row>
    <row r="278" spans="1:15" x14ac:dyDescent="0.3">
      <c r="A278" t="s">
        <v>6844</v>
      </c>
      <c r="B278" t="s">
        <v>8043</v>
      </c>
      <c r="C278" t="s">
        <v>123</v>
      </c>
      <c r="D278">
        <v>54</v>
      </c>
      <c r="E278" t="s">
        <v>68</v>
      </c>
      <c r="F278" t="s">
        <v>85</v>
      </c>
      <c r="G278" s="8">
        <v>46112</v>
      </c>
      <c r="H278" s="8">
        <v>46117</v>
      </c>
      <c r="I278" t="s">
        <v>8230</v>
      </c>
      <c r="J278" t="s">
        <v>6842</v>
      </c>
      <c r="K278" t="s">
        <v>64</v>
      </c>
      <c r="L278">
        <v>14221.87</v>
      </c>
      <c r="M278">
        <v>249</v>
      </c>
      <c r="N278" t="s">
        <v>77</v>
      </c>
      <c r="O278" t="s">
        <v>57</v>
      </c>
    </row>
    <row r="279" spans="1:15" x14ac:dyDescent="0.3">
      <c r="A279" t="s">
        <v>6841</v>
      </c>
      <c r="B279" t="s">
        <v>6840</v>
      </c>
      <c r="C279" t="s">
        <v>40</v>
      </c>
      <c r="D279">
        <v>29</v>
      </c>
      <c r="E279" t="s">
        <v>132</v>
      </c>
      <c r="F279" t="s">
        <v>20</v>
      </c>
      <c r="G279" s="8">
        <v>46054</v>
      </c>
      <c r="H279" s="8">
        <v>46078</v>
      </c>
      <c r="I279" t="s">
        <v>8367</v>
      </c>
      <c r="J279" t="s">
        <v>6838</v>
      </c>
      <c r="K279" t="s">
        <v>123</v>
      </c>
      <c r="L279">
        <v>14228.13</v>
      </c>
      <c r="M279">
        <v>381</v>
      </c>
      <c r="N279" t="s">
        <v>34</v>
      </c>
      <c r="O279" t="s">
        <v>123</v>
      </c>
    </row>
    <row r="280" spans="1:15" x14ac:dyDescent="0.3">
      <c r="A280" t="s">
        <v>6837</v>
      </c>
      <c r="B280" t="s">
        <v>6836</v>
      </c>
      <c r="C280" t="s">
        <v>74</v>
      </c>
      <c r="D280">
        <v>74</v>
      </c>
      <c r="E280" t="s">
        <v>80</v>
      </c>
      <c r="F280" t="s">
        <v>30</v>
      </c>
      <c r="G280" s="8">
        <v>46062</v>
      </c>
      <c r="H280" s="8">
        <v>46086</v>
      </c>
      <c r="I280" t="s">
        <v>8368</v>
      </c>
      <c r="J280" t="s">
        <v>6834</v>
      </c>
      <c r="K280" t="s">
        <v>64</v>
      </c>
      <c r="L280">
        <v>13642.68</v>
      </c>
      <c r="M280">
        <v>489</v>
      </c>
      <c r="N280" t="s">
        <v>25</v>
      </c>
      <c r="O280" t="s">
        <v>27</v>
      </c>
    </row>
    <row r="281" spans="1:15" x14ac:dyDescent="0.3">
      <c r="A281" t="s">
        <v>6833</v>
      </c>
      <c r="B281" t="s">
        <v>6832</v>
      </c>
      <c r="C281" t="s">
        <v>123</v>
      </c>
      <c r="D281">
        <v>70</v>
      </c>
      <c r="E281" t="s">
        <v>21</v>
      </c>
      <c r="F281" t="s">
        <v>67</v>
      </c>
      <c r="G281" s="8">
        <v>46106</v>
      </c>
      <c r="H281" s="8">
        <v>46109</v>
      </c>
      <c r="I281" t="s">
        <v>8369</v>
      </c>
      <c r="J281" t="s">
        <v>6830</v>
      </c>
      <c r="K281" t="s">
        <v>64</v>
      </c>
      <c r="L281">
        <v>7583.18</v>
      </c>
      <c r="M281">
        <v>330</v>
      </c>
      <c r="N281" t="s">
        <v>43</v>
      </c>
      <c r="O281" t="s">
        <v>27</v>
      </c>
    </row>
    <row r="282" spans="1:15" x14ac:dyDescent="0.3">
      <c r="A282" t="s">
        <v>6829</v>
      </c>
      <c r="B282" t="s">
        <v>6828</v>
      </c>
      <c r="C282" t="s">
        <v>74</v>
      </c>
      <c r="D282">
        <v>12</v>
      </c>
      <c r="E282" t="s">
        <v>68</v>
      </c>
      <c r="F282" t="s">
        <v>20</v>
      </c>
      <c r="G282" s="8">
        <v>46050</v>
      </c>
      <c r="H282" s="8">
        <v>46074</v>
      </c>
      <c r="I282" t="s">
        <v>8370</v>
      </c>
      <c r="J282" t="s">
        <v>6826</v>
      </c>
      <c r="K282" t="s">
        <v>64</v>
      </c>
      <c r="L282">
        <v>5404.98</v>
      </c>
      <c r="M282">
        <v>540</v>
      </c>
      <c r="N282" t="s">
        <v>25</v>
      </c>
      <c r="O282" t="s">
        <v>17</v>
      </c>
    </row>
    <row r="283" spans="1:15" x14ac:dyDescent="0.3">
      <c r="A283" t="s">
        <v>6825</v>
      </c>
      <c r="B283" t="s">
        <v>6824</v>
      </c>
      <c r="C283" t="s">
        <v>123</v>
      </c>
      <c r="D283">
        <v>22</v>
      </c>
      <c r="E283" t="s">
        <v>39</v>
      </c>
      <c r="F283" t="s">
        <v>8077</v>
      </c>
      <c r="G283" s="8">
        <v>46080</v>
      </c>
      <c r="H283" s="8">
        <v>46106</v>
      </c>
      <c r="I283" t="s">
        <v>8371</v>
      </c>
      <c r="J283" t="s">
        <v>6822</v>
      </c>
      <c r="K283" t="s">
        <v>64</v>
      </c>
      <c r="L283">
        <v>20174.919999999998</v>
      </c>
      <c r="M283">
        <v>372</v>
      </c>
      <c r="N283" t="s">
        <v>43</v>
      </c>
      <c r="O283" t="s">
        <v>17</v>
      </c>
    </row>
    <row r="284" spans="1:15" x14ac:dyDescent="0.3">
      <c r="A284" t="s">
        <v>6821</v>
      </c>
      <c r="B284" t="s">
        <v>6820</v>
      </c>
      <c r="C284" t="s">
        <v>40</v>
      </c>
      <c r="D284">
        <v>42</v>
      </c>
      <c r="E284" t="s">
        <v>132</v>
      </c>
      <c r="F284" t="s">
        <v>30</v>
      </c>
      <c r="G284" s="8">
        <v>46130</v>
      </c>
      <c r="H284" s="8">
        <v>46148</v>
      </c>
      <c r="I284" t="s">
        <v>8372</v>
      </c>
      <c r="J284" t="s">
        <v>6818</v>
      </c>
      <c r="K284" t="s">
        <v>27</v>
      </c>
      <c r="L284">
        <v>23819.45</v>
      </c>
      <c r="M284">
        <v>169</v>
      </c>
      <c r="N284" t="s">
        <v>50</v>
      </c>
      <c r="O284" t="s">
        <v>64</v>
      </c>
    </row>
    <row r="285" spans="1:15" x14ac:dyDescent="0.3">
      <c r="A285" t="s">
        <v>6817</v>
      </c>
      <c r="B285" t="s">
        <v>6816</v>
      </c>
      <c r="C285" t="s">
        <v>123</v>
      </c>
      <c r="D285">
        <v>8</v>
      </c>
      <c r="E285" t="s">
        <v>132</v>
      </c>
      <c r="F285" t="s">
        <v>20</v>
      </c>
      <c r="G285" s="8">
        <v>46132</v>
      </c>
      <c r="H285" s="8">
        <v>46154</v>
      </c>
      <c r="I285" t="s">
        <v>8373</v>
      </c>
      <c r="J285" t="s">
        <v>6814</v>
      </c>
      <c r="K285" t="s">
        <v>27</v>
      </c>
      <c r="L285">
        <v>6392</v>
      </c>
      <c r="M285">
        <v>524</v>
      </c>
      <c r="N285" t="s">
        <v>71</v>
      </c>
      <c r="O285" t="s">
        <v>17</v>
      </c>
    </row>
    <row r="286" spans="1:15" x14ac:dyDescent="0.3">
      <c r="A286" t="s">
        <v>6813</v>
      </c>
      <c r="B286" t="s">
        <v>6812</v>
      </c>
      <c r="C286" t="s">
        <v>123</v>
      </c>
      <c r="D286">
        <v>63</v>
      </c>
      <c r="E286" t="s">
        <v>39</v>
      </c>
      <c r="F286" t="s">
        <v>30</v>
      </c>
      <c r="G286" s="8">
        <v>46096</v>
      </c>
      <c r="H286" s="8">
        <v>46116</v>
      </c>
      <c r="I286" t="s">
        <v>8374</v>
      </c>
      <c r="J286" t="s">
        <v>6810</v>
      </c>
      <c r="K286" t="s">
        <v>123</v>
      </c>
      <c r="L286">
        <v>9504.27</v>
      </c>
      <c r="M286">
        <v>424</v>
      </c>
      <c r="N286" t="s">
        <v>50</v>
      </c>
      <c r="O286" t="s">
        <v>64</v>
      </c>
    </row>
    <row r="287" spans="1:15" x14ac:dyDescent="0.3">
      <c r="A287" t="s">
        <v>6809</v>
      </c>
      <c r="B287" t="s">
        <v>6808</v>
      </c>
      <c r="C287" t="s">
        <v>74</v>
      </c>
      <c r="D287">
        <v>52</v>
      </c>
      <c r="E287" t="s">
        <v>132</v>
      </c>
      <c r="F287" t="s">
        <v>67</v>
      </c>
      <c r="G287" s="8">
        <v>46082</v>
      </c>
      <c r="H287" s="8">
        <v>46096</v>
      </c>
      <c r="I287" t="s">
        <v>8375</v>
      </c>
      <c r="J287" t="s">
        <v>6806</v>
      </c>
      <c r="K287" t="s">
        <v>123</v>
      </c>
      <c r="L287">
        <v>8316.77</v>
      </c>
      <c r="M287">
        <v>544</v>
      </c>
      <c r="N287" t="s">
        <v>50</v>
      </c>
      <c r="O287" t="s">
        <v>27</v>
      </c>
    </row>
    <row r="288" spans="1:15" x14ac:dyDescent="0.3">
      <c r="A288" t="s">
        <v>6805</v>
      </c>
      <c r="B288" t="s">
        <v>6804</v>
      </c>
      <c r="C288" t="s">
        <v>74</v>
      </c>
      <c r="D288">
        <v>59</v>
      </c>
      <c r="E288" t="s">
        <v>31</v>
      </c>
      <c r="F288" t="s">
        <v>20</v>
      </c>
      <c r="G288" s="8">
        <v>46015</v>
      </c>
      <c r="H288" s="8">
        <v>46040</v>
      </c>
      <c r="I288" t="s">
        <v>8376</v>
      </c>
      <c r="J288" t="s">
        <v>6802</v>
      </c>
      <c r="K288" t="s">
        <v>123</v>
      </c>
      <c r="L288">
        <v>5602.18</v>
      </c>
      <c r="M288">
        <v>522</v>
      </c>
      <c r="N288" t="s">
        <v>71</v>
      </c>
      <c r="O288" t="s">
        <v>123</v>
      </c>
    </row>
    <row r="289" spans="1:15" x14ac:dyDescent="0.3">
      <c r="A289" t="s">
        <v>6801</v>
      </c>
      <c r="B289" t="s">
        <v>6800</v>
      </c>
      <c r="C289" t="s">
        <v>123</v>
      </c>
      <c r="D289">
        <v>35</v>
      </c>
      <c r="E289" t="s">
        <v>31</v>
      </c>
      <c r="F289" t="s">
        <v>30</v>
      </c>
      <c r="G289" s="8">
        <v>46004</v>
      </c>
      <c r="H289" s="8">
        <v>46014</v>
      </c>
      <c r="I289" t="s">
        <v>8377</v>
      </c>
      <c r="J289" t="s">
        <v>6798</v>
      </c>
      <c r="K289" t="s">
        <v>27</v>
      </c>
      <c r="L289">
        <v>14240.32</v>
      </c>
      <c r="M289">
        <v>503</v>
      </c>
      <c r="N289" t="s">
        <v>43</v>
      </c>
      <c r="O289" t="s">
        <v>123</v>
      </c>
    </row>
    <row r="290" spans="1:15" x14ac:dyDescent="0.3">
      <c r="A290" t="s">
        <v>6793</v>
      </c>
      <c r="B290" t="s">
        <v>6792</v>
      </c>
      <c r="C290" t="s">
        <v>40</v>
      </c>
      <c r="D290">
        <v>55</v>
      </c>
      <c r="E290" t="s">
        <v>21</v>
      </c>
      <c r="F290" t="s">
        <v>20</v>
      </c>
      <c r="G290" s="8">
        <v>45997</v>
      </c>
      <c r="H290" s="8">
        <v>46025</v>
      </c>
      <c r="I290" t="s">
        <v>8378</v>
      </c>
      <c r="J290" t="s">
        <v>6790</v>
      </c>
      <c r="K290" t="s">
        <v>27</v>
      </c>
      <c r="L290">
        <v>4142.6400000000003</v>
      </c>
      <c r="M290">
        <v>147</v>
      </c>
      <c r="N290" t="s">
        <v>25</v>
      </c>
      <c r="O290" t="s">
        <v>63</v>
      </c>
    </row>
    <row r="291" spans="1:15" x14ac:dyDescent="0.3">
      <c r="A291" t="s">
        <v>6789</v>
      </c>
      <c r="B291" t="s">
        <v>6788</v>
      </c>
      <c r="C291" t="s">
        <v>74</v>
      </c>
      <c r="D291">
        <v>33</v>
      </c>
      <c r="E291" t="s">
        <v>80</v>
      </c>
      <c r="F291" t="s">
        <v>67</v>
      </c>
      <c r="G291" s="8">
        <v>46043</v>
      </c>
      <c r="H291" s="8">
        <v>46064</v>
      </c>
      <c r="I291" t="s">
        <v>8379</v>
      </c>
      <c r="J291" t="s">
        <v>6786</v>
      </c>
      <c r="K291" t="s">
        <v>27</v>
      </c>
      <c r="L291">
        <v>1484.32</v>
      </c>
      <c r="M291">
        <v>471</v>
      </c>
      <c r="N291" t="s">
        <v>25</v>
      </c>
      <c r="O291" t="s">
        <v>63</v>
      </c>
    </row>
    <row r="292" spans="1:15" x14ac:dyDescent="0.3">
      <c r="A292" t="s">
        <v>6781</v>
      </c>
      <c r="B292" t="s">
        <v>6780</v>
      </c>
      <c r="C292" t="s">
        <v>123</v>
      </c>
      <c r="D292">
        <v>2</v>
      </c>
      <c r="E292" t="s">
        <v>47</v>
      </c>
      <c r="F292" t="s">
        <v>67</v>
      </c>
      <c r="G292" s="8">
        <v>46057</v>
      </c>
      <c r="H292" s="8">
        <v>46083</v>
      </c>
      <c r="I292" t="s">
        <v>8380</v>
      </c>
      <c r="J292" t="s">
        <v>6778</v>
      </c>
      <c r="K292" t="s">
        <v>64</v>
      </c>
      <c r="L292">
        <v>24706.240000000002</v>
      </c>
      <c r="M292">
        <v>455</v>
      </c>
      <c r="N292" t="s">
        <v>71</v>
      </c>
      <c r="O292" t="s">
        <v>123</v>
      </c>
    </row>
    <row r="293" spans="1:15" x14ac:dyDescent="0.3">
      <c r="A293" t="s">
        <v>6777</v>
      </c>
      <c r="B293" t="s">
        <v>6776</v>
      </c>
      <c r="C293" t="s">
        <v>123</v>
      </c>
      <c r="D293">
        <v>10</v>
      </c>
      <c r="E293" t="s">
        <v>21</v>
      </c>
      <c r="F293" t="s">
        <v>67</v>
      </c>
      <c r="G293" s="8">
        <v>46044</v>
      </c>
      <c r="H293" s="8">
        <v>46046</v>
      </c>
      <c r="I293" t="s">
        <v>8381</v>
      </c>
      <c r="J293" t="s">
        <v>6774</v>
      </c>
      <c r="K293" t="s">
        <v>64</v>
      </c>
      <c r="L293">
        <v>2759.4</v>
      </c>
      <c r="M293">
        <v>253</v>
      </c>
      <c r="N293" t="s">
        <v>71</v>
      </c>
      <c r="O293" t="s">
        <v>17</v>
      </c>
    </row>
    <row r="294" spans="1:15" x14ac:dyDescent="0.3">
      <c r="A294" t="s">
        <v>6773</v>
      </c>
      <c r="B294" t="s">
        <v>6772</v>
      </c>
      <c r="C294" t="s">
        <v>123</v>
      </c>
      <c r="D294">
        <v>18</v>
      </c>
      <c r="E294" t="s">
        <v>39</v>
      </c>
      <c r="F294" t="s">
        <v>20</v>
      </c>
      <c r="G294" s="8">
        <v>46020</v>
      </c>
      <c r="H294" s="8">
        <v>46036</v>
      </c>
      <c r="I294" t="s">
        <v>8382</v>
      </c>
      <c r="J294" t="s">
        <v>6770</v>
      </c>
      <c r="K294" t="s">
        <v>27</v>
      </c>
      <c r="L294">
        <v>15335.92</v>
      </c>
      <c r="M294">
        <v>325</v>
      </c>
      <c r="N294" t="s">
        <v>43</v>
      </c>
      <c r="O294" t="s">
        <v>26</v>
      </c>
    </row>
    <row r="295" spans="1:15" x14ac:dyDescent="0.3">
      <c r="A295" t="s">
        <v>6769</v>
      </c>
      <c r="B295" t="s">
        <v>6768</v>
      </c>
      <c r="C295" t="s">
        <v>74</v>
      </c>
      <c r="D295">
        <v>81</v>
      </c>
      <c r="E295" t="s">
        <v>39</v>
      </c>
      <c r="F295" t="s">
        <v>67</v>
      </c>
      <c r="G295" s="8">
        <v>46133</v>
      </c>
      <c r="H295" s="8">
        <v>46152</v>
      </c>
      <c r="I295" t="s">
        <v>8383</v>
      </c>
      <c r="J295" t="s">
        <v>6766</v>
      </c>
      <c r="K295" t="s">
        <v>123</v>
      </c>
      <c r="L295">
        <v>21527.07</v>
      </c>
      <c r="M295">
        <v>151</v>
      </c>
      <c r="N295" t="s">
        <v>71</v>
      </c>
      <c r="O295" t="s">
        <v>64</v>
      </c>
    </row>
    <row r="296" spans="1:15" x14ac:dyDescent="0.3">
      <c r="A296" t="s">
        <v>6761</v>
      </c>
      <c r="B296" t="s">
        <v>6760</v>
      </c>
      <c r="C296" t="s">
        <v>74</v>
      </c>
      <c r="D296">
        <v>32</v>
      </c>
      <c r="E296" t="s">
        <v>132</v>
      </c>
      <c r="F296" t="s">
        <v>46</v>
      </c>
      <c r="G296" s="8">
        <v>46147</v>
      </c>
      <c r="H296" s="8">
        <v>46174</v>
      </c>
      <c r="I296" t="s">
        <v>8384</v>
      </c>
      <c r="J296" t="s">
        <v>6758</v>
      </c>
      <c r="K296" t="s">
        <v>27</v>
      </c>
      <c r="L296">
        <v>5295.05</v>
      </c>
      <c r="M296">
        <v>482</v>
      </c>
      <c r="N296" t="s">
        <v>16</v>
      </c>
      <c r="O296" t="s">
        <v>57</v>
      </c>
    </row>
    <row r="297" spans="1:15" x14ac:dyDescent="0.3">
      <c r="A297" t="s">
        <v>6757</v>
      </c>
      <c r="B297" t="s">
        <v>6756</v>
      </c>
      <c r="C297" t="s">
        <v>40</v>
      </c>
      <c r="D297">
        <v>83</v>
      </c>
      <c r="E297" t="s">
        <v>47</v>
      </c>
      <c r="F297" t="s">
        <v>8077</v>
      </c>
      <c r="G297" s="8">
        <v>46074</v>
      </c>
      <c r="H297" s="8">
        <v>46089</v>
      </c>
      <c r="I297" t="s">
        <v>8385</v>
      </c>
      <c r="J297" t="s">
        <v>6754</v>
      </c>
      <c r="K297" t="s">
        <v>123</v>
      </c>
      <c r="L297">
        <v>2996.04</v>
      </c>
      <c r="M297">
        <v>426</v>
      </c>
      <c r="N297" t="s">
        <v>34</v>
      </c>
      <c r="O297" t="s">
        <v>123</v>
      </c>
    </row>
    <row r="298" spans="1:15" x14ac:dyDescent="0.3">
      <c r="A298" t="s">
        <v>6753</v>
      </c>
      <c r="B298" t="s">
        <v>6752</v>
      </c>
      <c r="C298" t="s">
        <v>74</v>
      </c>
      <c r="D298">
        <v>68</v>
      </c>
      <c r="E298" t="s">
        <v>47</v>
      </c>
      <c r="F298" t="s">
        <v>67</v>
      </c>
      <c r="G298" s="8">
        <v>46038</v>
      </c>
      <c r="H298" s="8">
        <v>46067</v>
      </c>
      <c r="I298" t="s">
        <v>8386</v>
      </c>
      <c r="J298" t="s">
        <v>6750</v>
      </c>
      <c r="K298" t="s">
        <v>64</v>
      </c>
      <c r="L298">
        <v>3473.18</v>
      </c>
      <c r="M298">
        <v>287</v>
      </c>
      <c r="N298" t="s">
        <v>34</v>
      </c>
      <c r="O298" t="s">
        <v>123</v>
      </c>
    </row>
    <row r="299" spans="1:15" x14ac:dyDescent="0.3">
      <c r="A299" t="s">
        <v>6749</v>
      </c>
      <c r="B299" t="s">
        <v>6748</v>
      </c>
      <c r="C299" t="s">
        <v>40</v>
      </c>
      <c r="D299">
        <v>61</v>
      </c>
      <c r="E299" t="s">
        <v>80</v>
      </c>
      <c r="F299" t="s">
        <v>46</v>
      </c>
      <c r="G299" s="8">
        <v>46049</v>
      </c>
      <c r="H299" s="8">
        <v>46067</v>
      </c>
      <c r="I299" t="s">
        <v>8387</v>
      </c>
      <c r="J299" t="s">
        <v>6746</v>
      </c>
      <c r="K299" t="s">
        <v>64</v>
      </c>
      <c r="L299">
        <v>542.08000000000004</v>
      </c>
      <c r="M299">
        <v>120</v>
      </c>
      <c r="N299" t="s">
        <v>77</v>
      </c>
      <c r="O299" t="s">
        <v>57</v>
      </c>
    </row>
    <row r="300" spans="1:15" x14ac:dyDescent="0.3">
      <c r="A300" t="s">
        <v>6745</v>
      </c>
      <c r="B300" t="s">
        <v>6744</v>
      </c>
      <c r="C300" t="s">
        <v>123</v>
      </c>
      <c r="D300">
        <v>65</v>
      </c>
      <c r="E300" t="s">
        <v>132</v>
      </c>
      <c r="F300" t="s">
        <v>67</v>
      </c>
      <c r="G300" s="8">
        <v>45988</v>
      </c>
      <c r="H300" s="8">
        <v>46001</v>
      </c>
      <c r="I300" t="s">
        <v>8388</v>
      </c>
      <c r="J300" t="s">
        <v>6742</v>
      </c>
      <c r="K300" t="s">
        <v>123</v>
      </c>
      <c r="L300">
        <v>2244.21</v>
      </c>
      <c r="M300">
        <v>242</v>
      </c>
      <c r="N300" t="s">
        <v>77</v>
      </c>
      <c r="O300" t="s">
        <v>26</v>
      </c>
    </row>
    <row r="301" spans="1:15" x14ac:dyDescent="0.3">
      <c r="A301" t="s">
        <v>6741</v>
      </c>
      <c r="B301" t="s">
        <v>6740</v>
      </c>
      <c r="C301" t="s">
        <v>40</v>
      </c>
      <c r="D301">
        <v>11</v>
      </c>
      <c r="E301" t="s">
        <v>21</v>
      </c>
      <c r="F301" t="s">
        <v>20</v>
      </c>
      <c r="G301" s="8">
        <v>45998</v>
      </c>
      <c r="H301" s="8">
        <v>46015</v>
      </c>
      <c r="I301" t="s">
        <v>8389</v>
      </c>
      <c r="J301" t="s">
        <v>6738</v>
      </c>
      <c r="K301" t="s">
        <v>64</v>
      </c>
      <c r="L301">
        <v>9890.14</v>
      </c>
      <c r="M301">
        <v>258</v>
      </c>
      <c r="N301" t="s">
        <v>25</v>
      </c>
      <c r="O301" t="s">
        <v>64</v>
      </c>
    </row>
    <row r="302" spans="1:15" x14ac:dyDescent="0.3">
      <c r="A302" t="s">
        <v>6737</v>
      </c>
      <c r="B302" t="s">
        <v>6736</v>
      </c>
      <c r="C302" t="s">
        <v>123</v>
      </c>
      <c r="D302">
        <v>31</v>
      </c>
      <c r="E302" t="s">
        <v>47</v>
      </c>
      <c r="F302" t="s">
        <v>8077</v>
      </c>
      <c r="G302" s="8">
        <v>46041</v>
      </c>
      <c r="H302" s="8">
        <v>46043</v>
      </c>
      <c r="I302" t="s">
        <v>8390</v>
      </c>
      <c r="J302" t="s">
        <v>5239</v>
      </c>
      <c r="K302" t="s">
        <v>123</v>
      </c>
      <c r="L302">
        <v>3076.47</v>
      </c>
      <c r="M302">
        <v>258</v>
      </c>
      <c r="N302" t="s">
        <v>25</v>
      </c>
      <c r="O302" t="s">
        <v>27</v>
      </c>
    </row>
    <row r="303" spans="1:15" x14ac:dyDescent="0.3">
      <c r="A303" t="s">
        <v>6734</v>
      </c>
      <c r="B303" t="s">
        <v>6733</v>
      </c>
      <c r="C303" t="s">
        <v>40</v>
      </c>
      <c r="D303">
        <v>16</v>
      </c>
      <c r="E303" t="s">
        <v>47</v>
      </c>
      <c r="F303" t="s">
        <v>20</v>
      </c>
      <c r="G303" s="8">
        <v>46149</v>
      </c>
      <c r="H303" s="8">
        <v>46171</v>
      </c>
      <c r="I303" t="s">
        <v>8391</v>
      </c>
      <c r="J303" t="s">
        <v>6731</v>
      </c>
      <c r="K303" t="s">
        <v>27</v>
      </c>
      <c r="L303">
        <v>4263.05</v>
      </c>
      <c r="M303">
        <v>367</v>
      </c>
      <c r="N303" t="s">
        <v>34</v>
      </c>
      <c r="O303" t="s">
        <v>17</v>
      </c>
    </row>
    <row r="304" spans="1:15" x14ac:dyDescent="0.3">
      <c r="A304" t="s">
        <v>6730</v>
      </c>
      <c r="B304" t="s">
        <v>6729</v>
      </c>
      <c r="C304" t="s">
        <v>40</v>
      </c>
      <c r="D304">
        <v>22</v>
      </c>
      <c r="E304" t="s">
        <v>31</v>
      </c>
      <c r="F304" t="s">
        <v>20</v>
      </c>
      <c r="G304" s="8">
        <v>46136</v>
      </c>
      <c r="H304" s="8">
        <v>46159</v>
      </c>
      <c r="I304" t="s">
        <v>8392</v>
      </c>
      <c r="J304" t="s">
        <v>6727</v>
      </c>
      <c r="K304" t="s">
        <v>27</v>
      </c>
      <c r="L304">
        <v>18376.810000000001</v>
      </c>
      <c r="M304">
        <v>494</v>
      </c>
      <c r="N304" t="s">
        <v>77</v>
      </c>
      <c r="O304" t="s">
        <v>64</v>
      </c>
    </row>
    <row r="305" spans="1:15" x14ac:dyDescent="0.3">
      <c r="A305" t="s">
        <v>6726</v>
      </c>
      <c r="B305" t="s">
        <v>6725</v>
      </c>
      <c r="C305" t="s">
        <v>74</v>
      </c>
      <c r="D305">
        <v>55</v>
      </c>
      <c r="E305" t="s">
        <v>132</v>
      </c>
      <c r="F305" t="s">
        <v>20</v>
      </c>
      <c r="G305" s="8">
        <v>45982</v>
      </c>
      <c r="H305" s="8">
        <v>45990</v>
      </c>
      <c r="I305" t="s">
        <v>8393</v>
      </c>
      <c r="J305" t="s">
        <v>123</v>
      </c>
      <c r="K305" t="s">
        <v>64</v>
      </c>
      <c r="L305">
        <v>-500</v>
      </c>
      <c r="M305">
        <v>128</v>
      </c>
      <c r="N305" t="s">
        <v>16</v>
      </c>
      <c r="O305" t="s">
        <v>17</v>
      </c>
    </row>
    <row r="306" spans="1:15" x14ac:dyDescent="0.3">
      <c r="A306" t="s">
        <v>6723</v>
      </c>
      <c r="B306" t="s">
        <v>6722</v>
      </c>
      <c r="C306" t="s">
        <v>40</v>
      </c>
      <c r="D306">
        <v>48</v>
      </c>
      <c r="E306" t="s">
        <v>39</v>
      </c>
      <c r="F306" t="s">
        <v>30</v>
      </c>
      <c r="G306" s="8">
        <v>45985</v>
      </c>
      <c r="H306" s="8">
        <v>46009</v>
      </c>
      <c r="I306" t="s">
        <v>8394</v>
      </c>
      <c r="J306" t="s">
        <v>6720</v>
      </c>
      <c r="K306" t="s">
        <v>64</v>
      </c>
      <c r="L306">
        <v>22377.86</v>
      </c>
      <c r="M306">
        <v>216</v>
      </c>
      <c r="N306" t="s">
        <v>25</v>
      </c>
      <c r="O306" t="s">
        <v>64</v>
      </c>
    </row>
    <row r="307" spans="1:15" x14ac:dyDescent="0.3">
      <c r="A307" t="s">
        <v>6719</v>
      </c>
      <c r="B307" t="s">
        <v>6718</v>
      </c>
      <c r="C307" t="s">
        <v>40</v>
      </c>
      <c r="D307">
        <v>6</v>
      </c>
      <c r="E307" t="s">
        <v>47</v>
      </c>
      <c r="F307" t="s">
        <v>8077</v>
      </c>
      <c r="G307" s="8">
        <v>46084</v>
      </c>
      <c r="H307" s="8">
        <v>46085</v>
      </c>
      <c r="I307" t="s">
        <v>8395</v>
      </c>
      <c r="J307" t="s">
        <v>6716</v>
      </c>
      <c r="K307" t="s">
        <v>123</v>
      </c>
      <c r="L307">
        <v>9226.6200000000008</v>
      </c>
      <c r="M307">
        <v>191</v>
      </c>
      <c r="N307" t="s">
        <v>50</v>
      </c>
      <c r="O307" t="s">
        <v>26</v>
      </c>
    </row>
    <row r="308" spans="1:15" x14ac:dyDescent="0.3">
      <c r="A308" t="s">
        <v>6715</v>
      </c>
      <c r="B308" t="s">
        <v>6714</v>
      </c>
      <c r="C308" t="s">
        <v>40</v>
      </c>
      <c r="D308">
        <v>71</v>
      </c>
      <c r="E308" t="s">
        <v>54</v>
      </c>
      <c r="F308" t="s">
        <v>8077</v>
      </c>
      <c r="G308" s="8">
        <v>46114</v>
      </c>
      <c r="H308" s="8">
        <v>46124</v>
      </c>
      <c r="I308" t="s">
        <v>8396</v>
      </c>
      <c r="J308" t="s">
        <v>6712</v>
      </c>
      <c r="K308" t="s">
        <v>64</v>
      </c>
      <c r="L308">
        <v>10523.16</v>
      </c>
      <c r="M308">
        <v>238</v>
      </c>
      <c r="N308" t="s">
        <v>50</v>
      </c>
      <c r="O308" t="s">
        <v>17</v>
      </c>
    </row>
    <row r="309" spans="1:15" x14ac:dyDescent="0.3">
      <c r="A309" t="s">
        <v>6711</v>
      </c>
      <c r="B309" t="s">
        <v>6710</v>
      </c>
      <c r="C309" t="s">
        <v>74</v>
      </c>
      <c r="D309">
        <v>74</v>
      </c>
      <c r="E309" t="s">
        <v>31</v>
      </c>
      <c r="F309" t="s">
        <v>20</v>
      </c>
      <c r="G309" s="8">
        <v>46134</v>
      </c>
      <c r="H309" s="8">
        <v>46150</v>
      </c>
      <c r="I309" t="s">
        <v>8397</v>
      </c>
      <c r="J309" t="s">
        <v>6708</v>
      </c>
      <c r="K309" t="s">
        <v>27</v>
      </c>
      <c r="L309">
        <v>4647.74</v>
      </c>
      <c r="M309">
        <v>305</v>
      </c>
      <c r="N309" t="s">
        <v>77</v>
      </c>
      <c r="O309" t="s">
        <v>27</v>
      </c>
    </row>
    <row r="310" spans="1:15" x14ac:dyDescent="0.3">
      <c r="A310" t="s">
        <v>6707</v>
      </c>
      <c r="B310" t="s">
        <v>6706</v>
      </c>
      <c r="C310" t="s">
        <v>123</v>
      </c>
      <c r="D310">
        <v>37</v>
      </c>
      <c r="E310" t="s">
        <v>132</v>
      </c>
      <c r="F310" t="s">
        <v>67</v>
      </c>
      <c r="G310" s="8">
        <v>46113</v>
      </c>
      <c r="H310" s="8">
        <v>46115</v>
      </c>
      <c r="I310" t="s">
        <v>8398</v>
      </c>
      <c r="J310" t="s">
        <v>6704</v>
      </c>
      <c r="K310" t="s">
        <v>123</v>
      </c>
      <c r="L310">
        <v>397.64</v>
      </c>
      <c r="M310">
        <v>249</v>
      </c>
      <c r="N310" t="s">
        <v>34</v>
      </c>
      <c r="O310" t="s">
        <v>57</v>
      </c>
    </row>
    <row r="311" spans="1:15" x14ac:dyDescent="0.3">
      <c r="A311" t="s">
        <v>6703</v>
      </c>
      <c r="B311" t="s">
        <v>6702</v>
      </c>
      <c r="C311" t="s">
        <v>40</v>
      </c>
      <c r="D311">
        <v>80</v>
      </c>
      <c r="E311" t="s">
        <v>21</v>
      </c>
      <c r="F311" t="s">
        <v>85</v>
      </c>
      <c r="G311" s="8">
        <v>46056</v>
      </c>
      <c r="H311" s="8">
        <v>46067</v>
      </c>
      <c r="I311" t="s">
        <v>8399</v>
      </c>
      <c r="J311" t="s">
        <v>6700</v>
      </c>
      <c r="K311" t="s">
        <v>123</v>
      </c>
      <c r="L311">
        <v>24945.119999999999</v>
      </c>
      <c r="M311">
        <v>475</v>
      </c>
      <c r="N311" t="s">
        <v>34</v>
      </c>
      <c r="O311" t="s">
        <v>57</v>
      </c>
    </row>
    <row r="312" spans="1:15" x14ac:dyDescent="0.3">
      <c r="A312" t="s">
        <v>6695</v>
      </c>
      <c r="B312" t="s">
        <v>6694</v>
      </c>
      <c r="C312" t="s">
        <v>123</v>
      </c>
      <c r="D312">
        <v>40</v>
      </c>
      <c r="E312" t="s">
        <v>80</v>
      </c>
      <c r="F312" t="s">
        <v>8077</v>
      </c>
      <c r="G312" s="8">
        <v>46125</v>
      </c>
      <c r="H312" s="8">
        <v>46141</v>
      </c>
      <c r="I312" t="s">
        <v>8400</v>
      </c>
      <c r="J312" t="s">
        <v>6692</v>
      </c>
      <c r="K312" t="s">
        <v>64</v>
      </c>
      <c r="L312">
        <v>10611.43</v>
      </c>
      <c r="M312">
        <v>172</v>
      </c>
      <c r="N312" t="s">
        <v>25</v>
      </c>
      <c r="O312" t="s">
        <v>27</v>
      </c>
    </row>
    <row r="313" spans="1:15" x14ac:dyDescent="0.3">
      <c r="A313" t="s">
        <v>6691</v>
      </c>
      <c r="B313" t="s">
        <v>6690</v>
      </c>
      <c r="C313" t="s">
        <v>40</v>
      </c>
      <c r="D313">
        <v>12</v>
      </c>
      <c r="E313" t="s">
        <v>47</v>
      </c>
      <c r="F313" t="s">
        <v>8077</v>
      </c>
      <c r="G313" s="8">
        <v>46032</v>
      </c>
      <c r="H313" s="8">
        <v>46060</v>
      </c>
      <c r="I313" t="s">
        <v>8401</v>
      </c>
      <c r="J313" t="s">
        <v>6688</v>
      </c>
      <c r="K313" t="s">
        <v>123</v>
      </c>
      <c r="L313">
        <v>17581</v>
      </c>
      <c r="M313">
        <v>334</v>
      </c>
      <c r="N313" t="s">
        <v>25</v>
      </c>
      <c r="O313" t="s">
        <v>17</v>
      </c>
    </row>
    <row r="314" spans="1:15" x14ac:dyDescent="0.3">
      <c r="A314" t="s">
        <v>6687</v>
      </c>
      <c r="B314" t="s">
        <v>6686</v>
      </c>
      <c r="C314" t="s">
        <v>74</v>
      </c>
      <c r="D314">
        <v>75</v>
      </c>
      <c r="E314" t="s">
        <v>80</v>
      </c>
      <c r="F314" t="s">
        <v>20</v>
      </c>
      <c r="G314" s="8">
        <v>46147</v>
      </c>
      <c r="H314" s="8">
        <v>46167</v>
      </c>
      <c r="I314" t="s">
        <v>8402</v>
      </c>
      <c r="J314" t="s">
        <v>6684</v>
      </c>
      <c r="K314" t="s">
        <v>123</v>
      </c>
      <c r="L314">
        <v>2055.8000000000002</v>
      </c>
      <c r="M314">
        <v>322</v>
      </c>
      <c r="N314" t="s">
        <v>25</v>
      </c>
      <c r="O314" t="s">
        <v>27</v>
      </c>
    </row>
    <row r="315" spans="1:15" x14ac:dyDescent="0.3">
      <c r="A315" t="s">
        <v>6683</v>
      </c>
      <c r="B315" t="s">
        <v>6682</v>
      </c>
      <c r="C315" t="s">
        <v>40</v>
      </c>
      <c r="D315">
        <v>31</v>
      </c>
      <c r="E315" t="s">
        <v>132</v>
      </c>
      <c r="F315" t="s">
        <v>30</v>
      </c>
      <c r="G315" s="8">
        <v>46102</v>
      </c>
      <c r="H315" s="8">
        <v>46129</v>
      </c>
      <c r="I315" t="s">
        <v>8403</v>
      </c>
      <c r="J315" t="s">
        <v>6680</v>
      </c>
      <c r="K315" t="s">
        <v>64</v>
      </c>
      <c r="L315">
        <v>23165.84</v>
      </c>
      <c r="M315">
        <v>458</v>
      </c>
      <c r="N315" t="s">
        <v>50</v>
      </c>
      <c r="O315" t="s">
        <v>123</v>
      </c>
    </row>
    <row r="316" spans="1:15" x14ac:dyDescent="0.3">
      <c r="A316" t="s">
        <v>6679</v>
      </c>
      <c r="B316" t="s">
        <v>6678</v>
      </c>
      <c r="C316" t="s">
        <v>74</v>
      </c>
      <c r="D316">
        <v>41</v>
      </c>
      <c r="E316" t="s">
        <v>68</v>
      </c>
      <c r="F316" t="s">
        <v>30</v>
      </c>
      <c r="G316" s="8">
        <v>46098</v>
      </c>
      <c r="H316" s="8">
        <v>46105</v>
      </c>
      <c r="I316" t="s">
        <v>8404</v>
      </c>
      <c r="J316" t="s">
        <v>6676</v>
      </c>
      <c r="K316" t="s">
        <v>64</v>
      </c>
      <c r="L316">
        <v>23600.16</v>
      </c>
      <c r="M316">
        <v>499</v>
      </c>
      <c r="N316" t="s">
        <v>50</v>
      </c>
      <c r="O316" t="s">
        <v>26</v>
      </c>
    </row>
    <row r="317" spans="1:15" x14ac:dyDescent="0.3">
      <c r="A317" t="s">
        <v>6675</v>
      </c>
      <c r="B317" t="s">
        <v>6674</v>
      </c>
      <c r="C317" t="s">
        <v>74</v>
      </c>
      <c r="D317">
        <v>20</v>
      </c>
      <c r="E317" t="s">
        <v>80</v>
      </c>
      <c r="F317" t="s">
        <v>20</v>
      </c>
      <c r="G317" s="8">
        <v>46006</v>
      </c>
      <c r="H317" s="8">
        <v>46020</v>
      </c>
      <c r="I317" t="s">
        <v>8405</v>
      </c>
      <c r="J317" t="s">
        <v>6672</v>
      </c>
      <c r="K317" t="s">
        <v>123</v>
      </c>
      <c r="L317">
        <v>7988.03</v>
      </c>
      <c r="M317">
        <v>374</v>
      </c>
      <c r="N317" t="s">
        <v>43</v>
      </c>
      <c r="O317" t="s">
        <v>64</v>
      </c>
    </row>
    <row r="318" spans="1:15" x14ac:dyDescent="0.3">
      <c r="A318" t="s">
        <v>6671</v>
      </c>
      <c r="B318" t="s">
        <v>6670</v>
      </c>
      <c r="C318" t="s">
        <v>74</v>
      </c>
      <c r="D318">
        <v>58</v>
      </c>
      <c r="E318" t="s">
        <v>132</v>
      </c>
      <c r="F318" t="s">
        <v>85</v>
      </c>
      <c r="G318" s="8">
        <v>46112</v>
      </c>
      <c r="H318" s="8">
        <v>46120</v>
      </c>
      <c r="I318" t="s">
        <v>8406</v>
      </c>
      <c r="J318" t="s">
        <v>6668</v>
      </c>
      <c r="K318" t="s">
        <v>64</v>
      </c>
      <c r="L318">
        <v>2442.44</v>
      </c>
      <c r="M318">
        <v>523</v>
      </c>
      <c r="N318" t="s">
        <v>25</v>
      </c>
      <c r="O318" t="s">
        <v>63</v>
      </c>
    </row>
    <row r="319" spans="1:15" x14ac:dyDescent="0.3">
      <c r="A319" t="s">
        <v>6667</v>
      </c>
      <c r="B319" t="s">
        <v>6666</v>
      </c>
      <c r="C319" t="s">
        <v>40</v>
      </c>
      <c r="D319">
        <v>28</v>
      </c>
      <c r="E319" t="s">
        <v>31</v>
      </c>
      <c r="F319" t="s">
        <v>20</v>
      </c>
      <c r="G319" s="8">
        <v>46012</v>
      </c>
      <c r="H319" s="8">
        <v>46014</v>
      </c>
      <c r="I319" t="s">
        <v>8407</v>
      </c>
      <c r="J319" t="s">
        <v>6664</v>
      </c>
      <c r="K319" t="s">
        <v>64</v>
      </c>
      <c r="L319">
        <v>24216.32</v>
      </c>
      <c r="M319">
        <v>362</v>
      </c>
      <c r="N319" t="s">
        <v>77</v>
      </c>
      <c r="O319" t="s">
        <v>123</v>
      </c>
    </row>
    <row r="320" spans="1:15" x14ac:dyDescent="0.3">
      <c r="A320" t="s">
        <v>6663</v>
      </c>
      <c r="B320" t="s">
        <v>6662</v>
      </c>
      <c r="C320" t="s">
        <v>40</v>
      </c>
      <c r="D320">
        <v>34</v>
      </c>
      <c r="E320" t="s">
        <v>39</v>
      </c>
      <c r="F320" t="s">
        <v>46</v>
      </c>
      <c r="G320" s="8">
        <v>46132</v>
      </c>
      <c r="H320" s="8">
        <v>46162</v>
      </c>
      <c r="I320" t="s">
        <v>8408</v>
      </c>
      <c r="J320" t="s">
        <v>6660</v>
      </c>
      <c r="K320" t="s">
        <v>123</v>
      </c>
      <c r="L320">
        <v>21394.11</v>
      </c>
      <c r="M320">
        <v>148</v>
      </c>
      <c r="N320" t="s">
        <v>16</v>
      </c>
      <c r="O320" t="s">
        <v>57</v>
      </c>
    </row>
    <row r="321" spans="1:15" x14ac:dyDescent="0.3">
      <c r="A321" t="s">
        <v>6659</v>
      </c>
      <c r="B321" t="s">
        <v>6658</v>
      </c>
      <c r="C321" t="s">
        <v>74</v>
      </c>
      <c r="D321">
        <v>18</v>
      </c>
      <c r="E321" t="s">
        <v>80</v>
      </c>
      <c r="F321" t="s">
        <v>46</v>
      </c>
      <c r="G321" s="8">
        <v>46106</v>
      </c>
      <c r="H321" s="8">
        <v>46107</v>
      </c>
      <c r="I321" t="s">
        <v>8409</v>
      </c>
      <c r="J321" t="s">
        <v>6656</v>
      </c>
      <c r="K321" t="s">
        <v>64</v>
      </c>
      <c r="L321">
        <v>3441.74</v>
      </c>
      <c r="M321">
        <v>290</v>
      </c>
      <c r="N321" t="s">
        <v>25</v>
      </c>
      <c r="O321" t="s">
        <v>123</v>
      </c>
    </row>
    <row r="322" spans="1:15" x14ac:dyDescent="0.3">
      <c r="A322" t="s">
        <v>6651</v>
      </c>
      <c r="B322" t="s">
        <v>6650</v>
      </c>
      <c r="C322" t="s">
        <v>74</v>
      </c>
      <c r="D322">
        <v>43</v>
      </c>
      <c r="E322" t="s">
        <v>80</v>
      </c>
      <c r="F322" t="s">
        <v>46</v>
      </c>
      <c r="G322" s="8">
        <v>45990</v>
      </c>
      <c r="H322" s="8">
        <v>46020</v>
      </c>
      <c r="I322" t="s">
        <v>8410</v>
      </c>
      <c r="J322" t="s">
        <v>6648</v>
      </c>
      <c r="K322" t="s">
        <v>123</v>
      </c>
      <c r="L322">
        <v>1455.81</v>
      </c>
      <c r="M322">
        <v>520</v>
      </c>
      <c r="N322" t="s">
        <v>25</v>
      </c>
      <c r="O322" t="s">
        <v>123</v>
      </c>
    </row>
    <row r="323" spans="1:15" x14ac:dyDescent="0.3">
      <c r="A323" t="s">
        <v>6644</v>
      </c>
      <c r="B323" t="s">
        <v>6643</v>
      </c>
      <c r="C323" t="s">
        <v>40</v>
      </c>
      <c r="D323">
        <v>58</v>
      </c>
      <c r="E323" t="s">
        <v>39</v>
      </c>
      <c r="F323" t="s">
        <v>46</v>
      </c>
      <c r="G323" s="8">
        <v>46079</v>
      </c>
      <c r="H323" s="8">
        <v>46098</v>
      </c>
      <c r="I323" t="s">
        <v>8411</v>
      </c>
      <c r="J323" t="s">
        <v>6641</v>
      </c>
      <c r="K323" t="s">
        <v>64</v>
      </c>
      <c r="L323">
        <v>16252.5</v>
      </c>
      <c r="M323">
        <v>310</v>
      </c>
      <c r="N323" t="s">
        <v>34</v>
      </c>
      <c r="O323" t="s">
        <v>123</v>
      </c>
    </row>
    <row r="324" spans="1:15" x14ac:dyDescent="0.3">
      <c r="A324" t="s">
        <v>6640</v>
      </c>
      <c r="B324" t="s">
        <v>6639</v>
      </c>
      <c r="C324" t="s">
        <v>123</v>
      </c>
      <c r="D324">
        <v>8</v>
      </c>
      <c r="E324" t="s">
        <v>80</v>
      </c>
      <c r="F324" t="s">
        <v>30</v>
      </c>
      <c r="G324" s="8">
        <v>46091</v>
      </c>
      <c r="H324" s="8">
        <v>46103</v>
      </c>
      <c r="I324" t="s">
        <v>8412</v>
      </c>
      <c r="J324" t="s">
        <v>6637</v>
      </c>
      <c r="K324" t="s">
        <v>27</v>
      </c>
      <c r="L324">
        <v>10597.02</v>
      </c>
      <c r="M324">
        <v>422</v>
      </c>
      <c r="N324" t="s">
        <v>50</v>
      </c>
      <c r="O324" t="s">
        <v>57</v>
      </c>
    </row>
    <row r="325" spans="1:15" x14ac:dyDescent="0.3">
      <c r="A325" t="s">
        <v>6636</v>
      </c>
      <c r="B325" t="s">
        <v>6635</v>
      </c>
      <c r="C325" t="s">
        <v>40</v>
      </c>
      <c r="D325">
        <v>49</v>
      </c>
      <c r="E325" t="s">
        <v>31</v>
      </c>
      <c r="F325" t="s">
        <v>85</v>
      </c>
      <c r="G325" s="8">
        <v>46044</v>
      </c>
      <c r="H325" s="8">
        <v>46061</v>
      </c>
      <c r="I325" t="s">
        <v>8413</v>
      </c>
      <c r="J325" t="s">
        <v>6633</v>
      </c>
      <c r="K325" t="s">
        <v>123</v>
      </c>
      <c r="L325">
        <v>8732.0499999999993</v>
      </c>
      <c r="M325">
        <v>298</v>
      </c>
      <c r="N325" t="s">
        <v>43</v>
      </c>
      <c r="O325" t="s">
        <v>17</v>
      </c>
    </row>
    <row r="326" spans="1:15" x14ac:dyDescent="0.3">
      <c r="A326" t="s">
        <v>6628</v>
      </c>
      <c r="B326" t="s">
        <v>6627</v>
      </c>
      <c r="C326" t="s">
        <v>74</v>
      </c>
      <c r="D326">
        <v>21</v>
      </c>
      <c r="E326" t="s">
        <v>80</v>
      </c>
      <c r="F326" t="s">
        <v>8077</v>
      </c>
      <c r="G326" s="8">
        <v>46073</v>
      </c>
      <c r="H326" s="8">
        <v>46094</v>
      </c>
      <c r="I326" t="s">
        <v>8414</v>
      </c>
      <c r="J326" t="s">
        <v>6625</v>
      </c>
      <c r="K326" t="s">
        <v>64</v>
      </c>
      <c r="L326">
        <v>6809.87</v>
      </c>
      <c r="M326">
        <v>491</v>
      </c>
      <c r="N326" t="s">
        <v>71</v>
      </c>
      <c r="O326" t="s">
        <v>27</v>
      </c>
    </row>
    <row r="327" spans="1:15" x14ac:dyDescent="0.3">
      <c r="A327" t="s">
        <v>6624</v>
      </c>
      <c r="B327" t="s">
        <v>6623</v>
      </c>
      <c r="C327" t="s">
        <v>123</v>
      </c>
      <c r="D327">
        <v>46</v>
      </c>
      <c r="E327" t="s">
        <v>39</v>
      </c>
      <c r="F327" t="s">
        <v>20</v>
      </c>
      <c r="G327" s="8">
        <v>46009</v>
      </c>
      <c r="H327" s="8">
        <v>46016</v>
      </c>
      <c r="I327" t="s">
        <v>8415</v>
      </c>
      <c r="J327" t="s">
        <v>6621</v>
      </c>
      <c r="K327" t="s">
        <v>64</v>
      </c>
      <c r="L327">
        <v>20194.009999999998</v>
      </c>
      <c r="M327">
        <v>402</v>
      </c>
      <c r="N327" t="s">
        <v>77</v>
      </c>
      <c r="O327" t="s">
        <v>17</v>
      </c>
    </row>
    <row r="328" spans="1:15" x14ac:dyDescent="0.3">
      <c r="A328" t="s">
        <v>6620</v>
      </c>
      <c r="B328" t="s">
        <v>6619</v>
      </c>
      <c r="C328" t="s">
        <v>74</v>
      </c>
      <c r="D328">
        <v>73</v>
      </c>
      <c r="E328" t="s">
        <v>39</v>
      </c>
      <c r="F328" t="s">
        <v>8077</v>
      </c>
      <c r="G328" s="8">
        <v>46033</v>
      </c>
      <c r="H328" s="8">
        <v>46059</v>
      </c>
      <c r="I328" t="s">
        <v>8416</v>
      </c>
      <c r="J328" t="s">
        <v>6617</v>
      </c>
      <c r="K328" t="s">
        <v>123</v>
      </c>
      <c r="L328">
        <v>13644.69</v>
      </c>
      <c r="M328">
        <v>351</v>
      </c>
      <c r="N328" t="s">
        <v>77</v>
      </c>
      <c r="O328" t="s">
        <v>26</v>
      </c>
    </row>
    <row r="329" spans="1:15" x14ac:dyDescent="0.3">
      <c r="A329" t="s">
        <v>6608</v>
      </c>
      <c r="B329" t="s">
        <v>6607</v>
      </c>
      <c r="C329" t="s">
        <v>74</v>
      </c>
      <c r="D329">
        <v>10</v>
      </c>
      <c r="E329" t="s">
        <v>31</v>
      </c>
      <c r="F329" t="s">
        <v>67</v>
      </c>
      <c r="G329" s="8">
        <v>45975</v>
      </c>
      <c r="H329" s="8">
        <v>45993</v>
      </c>
      <c r="I329" t="s">
        <v>8417</v>
      </c>
      <c r="J329" t="s">
        <v>6605</v>
      </c>
      <c r="K329" t="s">
        <v>64</v>
      </c>
      <c r="L329">
        <v>8546.7099999999991</v>
      </c>
      <c r="M329" t="s">
        <v>123</v>
      </c>
      <c r="N329" t="s">
        <v>71</v>
      </c>
      <c r="O329" t="s">
        <v>17</v>
      </c>
    </row>
    <row r="330" spans="1:15" x14ac:dyDescent="0.3">
      <c r="A330" t="s">
        <v>6604</v>
      </c>
      <c r="B330" t="s">
        <v>6603</v>
      </c>
      <c r="C330" t="s">
        <v>123</v>
      </c>
      <c r="D330">
        <v>82</v>
      </c>
      <c r="E330" t="s">
        <v>68</v>
      </c>
      <c r="F330" t="s">
        <v>67</v>
      </c>
      <c r="G330" s="8">
        <v>46051</v>
      </c>
      <c r="H330" s="8">
        <v>46056</v>
      </c>
      <c r="I330" t="s">
        <v>8418</v>
      </c>
      <c r="J330" t="s">
        <v>6601</v>
      </c>
      <c r="K330" t="s">
        <v>64</v>
      </c>
      <c r="L330">
        <v>5736.28</v>
      </c>
      <c r="M330">
        <v>293</v>
      </c>
      <c r="N330" t="s">
        <v>43</v>
      </c>
      <c r="O330" t="s">
        <v>26</v>
      </c>
    </row>
    <row r="331" spans="1:15" x14ac:dyDescent="0.3">
      <c r="A331" t="s">
        <v>6600</v>
      </c>
      <c r="B331" t="s">
        <v>6599</v>
      </c>
      <c r="C331" t="s">
        <v>40</v>
      </c>
      <c r="D331">
        <v>17</v>
      </c>
      <c r="E331" t="s">
        <v>39</v>
      </c>
      <c r="F331" t="s">
        <v>46</v>
      </c>
      <c r="G331" s="8">
        <v>46057</v>
      </c>
      <c r="H331" s="8">
        <v>46087</v>
      </c>
      <c r="I331" t="s">
        <v>8419</v>
      </c>
      <c r="J331" t="s">
        <v>6597</v>
      </c>
      <c r="K331" t="s">
        <v>123</v>
      </c>
      <c r="L331">
        <v>21298.77</v>
      </c>
      <c r="M331">
        <v>193</v>
      </c>
      <c r="N331" t="s">
        <v>34</v>
      </c>
      <c r="O331" t="s">
        <v>27</v>
      </c>
    </row>
    <row r="332" spans="1:15" x14ac:dyDescent="0.3">
      <c r="A332" t="s">
        <v>6596</v>
      </c>
      <c r="B332" t="s">
        <v>6595</v>
      </c>
      <c r="C332" t="s">
        <v>74</v>
      </c>
      <c r="D332">
        <v>79</v>
      </c>
      <c r="E332" t="s">
        <v>21</v>
      </c>
      <c r="F332" t="s">
        <v>20</v>
      </c>
      <c r="G332" s="8">
        <v>46066</v>
      </c>
      <c r="H332" s="8">
        <v>46095</v>
      </c>
      <c r="I332" t="s">
        <v>8420</v>
      </c>
      <c r="J332" t="s">
        <v>6593</v>
      </c>
      <c r="K332" t="s">
        <v>123</v>
      </c>
      <c r="L332">
        <v>3687.96</v>
      </c>
      <c r="M332">
        <v>221</v>
      </c>
      <c r="N332" t="s">
        <v>43</v>
      </c>
      <c r="O332" t="s">
        <v>64</v>
      </c>
    </row>
    <row r="333" spans="1:15" x14ac:dyDescent="0.3">
      <c r="A333" t="s">
        <v>6592</v>
      </c>
      <c r="B333" t="s">
        <v>6591</v>
      </c>
      <c r="C333" t="s">
        <v>74</v>
      </c>
      <c r="D333">
        <v>22</v>
      </c>
      <c r="E333" t="s">
        <v>80</v>
      </c>
      <c r="F333" t="s">
        <v>67</v>
      </c>
      <c r="G333" s="8">
        <v>46060</v>
      </c>
      <c r="H333" s="8">
        <v>46074</v>
      </c>
      <c r="I333" t="s">
        <v>8421</v>
      </c>
      <c r="J333" t="s">
        <v>6589</v>
      </c>
      <c r="K333" t="s">
        <v>27</v>
      </c>
      <c r="L333">
        <v>6777.27</v>
      </c>
      <c r="M333">
        <v>454</v>
      </c>
      <c r="N333" t="s">
        <v>77</v>
      </c>
      <c r="O333" t="s">
        <v>57</v>
      </c>
    </row>
    <row r="334" spans="1:15" x14ac:dyDescent="0.3">
      <c r="A334" t="s">
        <v>6588</v>
      </c>
      <c r="B334" t="s">
        <v>6587</v>
      </c>
      <c r="C334" t="s">
        <v>74</v>
      </c>
      <c r="D334">
        <v>33</v>
      </c>
      <c r="E334" t="s">
        <v>80</v>
      </c>
      <c r="F334" t="s">
        <v>46</v>
      </c>
      <c r="G334" s="8">
        <v>45985</v>
      </c>
      <c r="H334" s="8">
        <v>45986</v>
      </c>
      <c r="I334" t="s">
        <v>8422</v>
      </c>
      <c r="J334" t="s">
        <v>6585</v>
      </c>
      <c r="K334" t="s">
        <v>123</v>
      </c>
      <c r="L334">
        <v>11067.86</v>
      </c>
      <c r="M334">
        <v>185</v>
      </c>
      <c r="N334" t="s">
        <v>16</v>
      </c>
      <c r="O334" t="s">
        <v>123</v>
      </c>
    </row>
    <row r="335" spans="1:15" x14ac:dyDescent="0.3">
      <c r="A335" t="s">
        <v>6584</v>
      </c>
      <c r="B335" t="s">
        <v>6583</v>
      </c>
      <c r="C335" t="s">
        <v>123</v>
      </c>
      <c r="D335">
        <v>49</v>
      </c>
      <c r="E335" t="s">
        <v>31</v>
      </c>
      <c r="F335" t="s">
        <v>67</v>
      </c>
      <c r="G335" s="8">
        <v>46123</v>
      </c>
      <c r="H335" s="8">
        <v>46126</v>
      </c>
      <c r="I335" t="s">
        <v>8423</v>
      </c>
      <c r="J335" t="s">
        <v>6581</v>
      </c>
      <c r="K335" t="s">
        <v>123</v>
      </c>
      <c r="L335">
        <v>19760.5</v>
      </c>
      <c r="M335">
        <v>183</v>
      </c>
      <c r="N335" t="s">
        <v>16</v>
      </c>
      <c r="O335" t="s">
        <v>57</v>
      </c>
    </row>
    <row r="336" spans="1:15" x14ac:dyDescent="0.3">
      <c r="A336" t="s">
        <v>6580</v>
      </c>
      <c r="B336" t="s">
        <v>6579</v>
      </c>
      <c r="C336" t="s">
        <v>74</v>
      </c>
      <c r="D336">
        <v>5</v>
      </c>
      <c r="E336" t="s">
        <v>132</v>
      </c>
      <c r="F336" t="s">
        <v>46</v>
      </c>
      <c r="G336" s="8">
        <v>46058</v>
      </c>
      <c r="H336" s="8">
        <v>46068</v>
      </c>
      <c r="I336" t="s">
        <v>8424</v>
      </c>
      <c r="J336" t="s">
        <v>6577</v>
      </c>
      <c r="K336" t="s">
        <v>27</v>
      </c>
      <c r="L336">
        <v>23801.22</v>
      </c>
      <c r="M336">
        <v>275</v>
      </c>
      <c r="N336" t="s">
        <v>71</v>
      </c>
      <c r="O336" t="s">
        <v>64</v>
      </c>
    </row>
    <row r="337" spans="1:15" x14ac:dyDescent="0.3">
      <c r="A337" t="s">
        <v>6576</v>
      </c>
      <c r="B337" t="s">
        <v>6575</v>
      </c>
      <c r="C337" t="s">
        <v>123</v>
      </c>
      <c r="D337">
        <v>21</v>
      </c>
      <c r="E337" t="s">
        <v>80</v>
      </c>
      <c r="F337" t="s">
        <v>20</v>
      </c>
      <c r="G337" s="8">
        <v>46141</v>
      </c>
      <c r="H337" s="8">
        <v>46151</v>
      </c>
      <c r="I337" t="s">
        <v>8425</v>
      </c>
      <c r="J337" t="s">
        <v>6573</v>
      </c>
      <c r="K337" t="s">
        <v>123</v>
      </c>
      <c r="L337">
        <v>17671.72</v>
      </c>
      <c r="M337">
        <v>434</v>
      </c>
      <c r="N337" t="s">
        <v>71</v>
      </c>
      <c r="O337" t="s">
        <v>123</v>
      </c>
    </row>
    <row r="338" spans="1:15" x14ac:dyDescent="0.3">
      <c r="A338" t="s">
        <v>6572</v>
      </c>
      <c r="B338" t="s">
        <v>6571</v>
      </c>
      <c r="C338" t="s">
        <v>123</v>
      </c>
      <c r="D338">
        <v>21</v>
      </c>
      <c r="E338" t="s">
        <v>47</v>
      </c>
      <c r="F338" t="s">
        <v>20</v>
      </c>
      <c r="G338" s="8">
        <v>46128</v>
      </c>
      <c r="H338" s="8">
        <v>46138</v>
      </c>
      <c r="I338" t="s">
        <v>8426</v>
      </c>
      <c r="J338" t="s">
        <v>6569</v>
      </c>
      <c r="K338" t="s">
        <v>64</v>
      </c>
      <c r="L338">
        <v>24365.08</v>
      </c>
      <c r="M338">
        <v>456</v>
      </c>
      <c r="N338" t="s">
        <v>34</v>
      </c>
      <c r="O338" t="s">
        <v>123</v>
      </c>
    </row>
    <row r="339" spans="1:15" x14ac:dyDescent="0.3">
      <c r="A339" t="s">
        <v>6568</v>
      </c>
      <c r="B339" t="s">
        <v>8044</v>
      </c>
      <c r="C339" t="s">
        <v>40</v>
      </c>
      <c r="D339">
        <v>85</v>
      </c>
      <c r="E339" t="s">
        <v>850</v>
      </c>
      <c r="F339" t="s">
        <v>30</v>
      </c>
      <c r="G339" s="8">
        <v>46139</v>
      </c>
      <c r="H339" s="8">
        <v>46146</v>
      </c>
      <c r="I339" t="s">
        <v>8427</v>
      </c>
      <c r="J339" t="s">
        <v>6565</v>
      </c>
      <c r="K339" t="s">
        <v>64</v>
      </c>
      <c r="L339">
        <v>1430.96</v>
      </c>
      <c r="M339">
        <v>178</v>
      </c>
      <c r="N339" t="s">
        <v>77</v>
      </c>
      <c r="O339" t="s">
        <v>123</v>
      </c>
    </row>
    <row r="340" spans="1:15" x14ac:dyDescent="0.3">
      <c r="A340" t="s">
        <v>6564</v>
      </c>
      <c r="B340" t="s">
        <v>6563</v>
      </c>
      <c r="C340" t="s">
        <v>74</v>
      </c>
      <c r="D340">
        <v>1</v>
      </c>
      <c r="E340" t="s">
        <v>54</v>
      </c>
      <c r="F340" t="s">
        <v>20</v>
      </c>
      <c r="G340" s="8">
        <v>46117</v>
      </c>
      <c r="H340" s="8">
        <v>46126</v>
      </c>
      <c r="I340" t="s">
        <v>8428</v>
      </c>
      <c r="J340" t="s">
        <v>6561</v>
      </c>
      <c r="K340" t="s">
        <v>123</v>
      </c>
      <c r="L340">
        <v>5151.9399999999996</v>
      </c>
      <c r="M340">
        <v>205</v>
      </c>
      <c r="N340" t="s">
        <v>71</v>
      </c>
      <c r="O340" t="s">
        <v>27</v>
      </c>
    </row>
    <row r="341" spans="1:15" x14ac:dyDescent="0.3">
      <c r="A341" t="s">
        <v>6560</v>
      </c>
      <c r="B341" t="s">
        <v>6559</v>
      </c>
      <c r="C341" t="s">
        <v>40</v>
      </c>
      <c r="D341">
        <v>11</v>
      </c>
      <c r="E341" t="s">
        <v>68</v>
      </c>
      <c r="F341" t="s">
        <v>20</v>
      </c>
      <c r="G341" s="8">
        <v>46125</v>
      </c>
      <c r="H341" s="8">
        <v>46134</v>
      </c>
      <c r="I341" t="s">
        <v>8429</v>
      </c>
      <c r="J341" t="s">
        <v>6557</v>
      </c>
      <c r="K341" t="s">
        <v>123</v>
      </c>
      <c r="L341">
        <v>11879.42</v>
      </c>
      <c r="M341">
        <v>146</v>
      </c>
      <c r="N341" t="s">
        <v>25</v>
      </c>
      <c r="O341" t="s">
        <v>63</v>
      </c>
    </row>
    <row r="342" spans="1:15" x14ac:dyDescent="0.3">
      <c r="A342" t="s">
        <v>6556</v>
      </c>
      <c r="B342" t="s">
        <v>6555</v>
      </c>
      <c r="C342" t="s">
        <v>123</v>
      </c>
      <c r="D342">
        <v>24</v>
      </c>
      <c r="E342" t="s">
        <v>31</v>
      </c>
      <c r="F342" t="s">
        <v>67</v>
      </c>
      <c r="G342" s="8">
        <v>46049</v>
      </c>
      <c r="H342" s="8">
        <v>46060</v>
      </c>
      <c r="I342" t="s">
        <v>8430</v>
      </c>
      <c r="J342" t="s">
        <v>6553</v>
      </c>
      <c r="K342" t="s">
        <v>27</v>
      </c>
      <c r="L342">
        <v>11255.23</v>
      </c>
      <c r="M342">
        <v>325</v>
      </c>
      <c r="N342" t="s">
        <v>16</v>
      </c>
      <c r="O342" t="s">
        <v>63</v>
      </c>
    </row>
    <row r="343" spans="1:15" x14ac:dyDescent="0.3">
      <c r="A343" t="s">
        <v>6552</v>
      </c>
      <c r="B343" t="s">
        <v>6551</v>
      </c>
      <c r="C343" t="s">
        <v>40</v>
      </c>
      <c r="D343">
        <v>29</v>
      </c>
      <c r="E343" t="s">
        <v>132</v>
      </c>
      <c r="F343" t="s">
        <v>46</v>
      </c>
      <c r="G343" s="8">
        <v>46120</v>
      </c>
      <c r="H343" s="8">
        <v>46124</v>
      </c>
      <c r="I343" t="s">
        <v>8431</v>
      </c>
      <c r="J343" t="s">
        <v>6549</v>
      </c>
      <c r="K343" t="s">
        <v>64</v>
      </c>
      <c r="L343">
        <v>2325.54</v>
      </c>
      <c r="M343">
        <v>513</v>
      </c>
      <c r="N343" t="s">
        <v>34</v>
      </c>
      <c r="O343" t="s">
        <v>17</v>
      </c>
    </row>
    <row r="344" spans="1:15" x14ac:dyDescent="0.3">
      <c r="A344" t="s">
        <v>6548</v>
      </c>
      <c r="B344" t="s">
        <v>6547</v>
      </c>
      <c r="C344" t="s">
        <v>123</v>
      </c>
      <c r="D344">
        <v>76</v>
      </c>
      <c r="E344" t="s">
        <v>21</v>
      </c>
      <c r="F344" t="s">
        <v>46</v>
      </c>
      <c r="G344" s="8">
        <v>46109</v>
      </c>
      <c r="H344" s="8">
        <v>46135</v>
      </c>
      <c r="I344" t="s">
        <v>8432</v>
      </c>
      <c r="J344" t="s">
        <v>6545</v>
      </c>
      <c r="K344" t="s">
        <v>123</v>
      </c>
      <c r="L344">
        <v>20496.45</v>
      </c>
      <c r="M344">
        <v>374</v>
      </c>
      <c r="N344" t="s">
        <v>25</v>
      </c>
      <c r="O344" t="s">
        <v>123</v>
      </c>
    </row>
    <row r="345" spans="1:15" x14ac:dyDescent="0.3">
      <c r="A345" t="s">
        <v>6544</v>
      </c>
      <c r="B345" t="s">
        <v>6543</v>
      </c>
      <c r="C345" t="s">
        <v>123</v>
      </c>
      <c r="D345">
        <v>74</v>
      </c>
      <c r="E345" t="s">
        <v>21</v>
      </c>
      <c r="F345" t="s">
        <v>85</v>
      </c>
      <c r="G345" s="8">
        <v>46094</v>
      </c>
      <c r="H345" s="8">
        <v>46103</v>
      </c>
      <c r="I345" t="s">
        <v>8433</v>
      </c>
      <c r="J345" t="s">
        <v>6541</v>
      </c>
      <c r="K345" t="s">
        <v>64</v>
      </c>
      <c r="L345">
        <v>9991.15</v>
      </c>
      <c r="M345">
        <v>357</v>
      </c>
      <c r="N345" t="s">
        <v>34</v>
      </c>
      <c r="O345" t="s">
        <v>27</v>
      </c>
    </row>
    <row r="346" spans="1:15" x14ac:dyDescent="0.3">
      <c r="A346" t="s">
        <v>6540</v>
      </c>
      <c r="B346" t="s">
        <v>6539</v>
      </c>
      <c r="C346" t="s">
        <v>40</v>
      </c>
      <c r="D346">
        <v>16</v>
      </c>
      <c r="E346" t="s">
        <v>68</v>
      </c>
      <c r="F346" t="s">
        <v>20</v>
      </c>
      <c r="G346" s="8">
        <v>45989</v>
      </c>
      <c r="H346" s="8">
        <v>46019</v>
      </c>
      <c r="I346" t="s">
        <v>8434</v>
      </c>
      <c r="J346" t="s">
        <v>6537</v>
      </c>
      <c r="K346" t="s">
        <v>27</v>
      </c>
      <c r="L346">
        <v>24309.69</v>
      </c>
      <c r="M346">
        <v>164</v>
      </c>
      <c r="N346" t="s">
        <v>77</v>
      </c>
      <c r="O346" t="s">
        <v>57</v>
      </c>
    </row>
    <row r="347" spans="1:15" x14ac:dyDescent="0.3">
      <c r="A347" t="s">
        <v>6536</v>
      </c>
      <c r="B347" t="s">
        <v>6535</v>
      </c>
      <c r="C347" t="s">
        <v>123</v>
      </c>
      <c r="D347">
        <v>11</v>
      </c>
      <c r="E347" t="s">
        <v>54</v>
      </c>
      <c r="F347" t="s">
        <v>8077</v>
      </c>
      <c r="G347" s="8">
        <v>46127</v>
      </c>
      <c r="H347" s="8">
        <v>46153</v>
      </c>
      <c r="I347" t="s">
        <v>8435</v>
      </c>
      <c r="J347" t="s">
        <v>6533</v>
      </c>
      <c r="K347" t="s">
        <v>27</v>
      </c>
      <c r="L347">
        <v>20885.88</v>
      </c>
      <c r="M347">
        <v>263</v>
      </c>
      <c r="N347" t="s">
        <v>25</v>
      </c>
      <c r="O347" t="s">
        <v>63</v>
      </c>
    </row>
    <row r="348" spans="1:15" x14ac:dyDescent="0.3">
      <c r="A348" t="s">
        <v>6532</v>
      </c>
      <c r="B348" t="s">
        <v>6531</v>
      </c>
      <c r="C348" t="s">
        <v>74</v>
      </c>
      <c r="D348">
        <v>12</v>
      </c>
      <c r="E348" t="s">
        <v>54</v>
      </c>
      <c r="F348" t="s">
        <v>67</v>
      </c>
      <c r="G348" s="8">
        <v>46148</v>
      </c>
      <c r="H348" s="8">
        <v>46165</v>
      </c>
      <c r="I348" t="s">
        <v>8436</v>
      </c>
      <c r="J348" t="s">
        <v>6529</v>
      </c>
      <c r="K348" t="s">
        <v>64</v>
      </c>
      <c r="L348">
        <v>21444.28</v>
      </c>
      <c r="M348">
        <v>547</v>
      </c>
      <c r="N348" t="s">
        <v>77</v>
      </c>
      <c r="O348" t="s">
        <v>123</v>
      </c>
    </row>
    <row r="349" spans="1:15" x14ac:dyDescent="0.3">
      <c r="A349" t="s">
        <v>6528</v>
      </c>
      <c r="B349" t="s">
        <v>6527</v>
      </c>
      <c r="C349" t="s">
        <v>123</v>
      </c>
      <c r="D349">
        <v>15</v>
      </c>
      <c r="E349" t="s">
        <v>54</v>
      </c>
      <c r="F349" t="s">
        <v>20</v>
      </c>
      <c r="G349" s="8">
        <v>46074</v>
      </c>
      <c r="H349" s="8">
        <v>46078</v>
      </c>
      <c r="I349" t="s">
        <v>8437</v>
      </c>
      <c r="J349" t="s">
        <v>6525</v>
      </c>
      <c r="K349" t="s">
        <v>64</v>
      </c>
      <c r="L349">
        <v>23138.22</v>
      </c>
      <c r="M349">
        <v>502</v>
      </c>
      <c r="N349" t="s">
        <v>43</v>
      </c>
      <c r="O349" t="s">
        <v>64</v>
      </c>
    </row>
    <row r="350" spans="1:15" x14ac:dyDescent="0.3">
      <c r="A350" t="s">
        <v>6524</v>
      </c>
      <c r="B350" t="s">
        <v>6523</v>
      </c>
      <c r="C350" t="s">
        <v>74</v>
      </c>
      <c r="D350">
        <v>53</v>
      </c>
      <c r="E350" t="s">
        <v>132</v>
      </c>
      <c r="F350" t="s">
        <v>67</v>
      </c>
      <c r="G350" s="8">
        <v>46122</v>
      </c>
      <c r="H350" s="8">
        <v>46142</v>
      </c>
      <c r="I350" t="s">
        <v>8438</v>
      </c>
      <c r="J350" t="s">
        <v>6521</v>
      </c>
      <c r="K350" t="s">
        <v>123</v>
      </c>
      <c r="L350">
        <v>14386.18</v>
      </c>
      <c r="M350">
        <v>119</v>
      </c>
      <c r="N350" t="s">
        <v>71</v>
      </c>
      <c r="O350" t="s">
        <v>123</v>
      </c>
    </row>
    <row r="351" spans="1:15" x14ac:dyDescent="0.3">
      <c r="A351" t="s">
        <v>6520</v>
      </c>
      <c r="B351" t="s">
        <v>6519</v>
      </c>
      <c r="C351" t="s">
        <v>40</v>
      </c>
      <c r="D351">
        <v>52</v>
      </c>
      <c r="E351" t="s">
        <v>39</v>
      </c>
      <c r="F351" t="s">
        <v>67</v>
      </c>
      <c r="G351" s="8">
        <v>46062</v>
      </c>
      <c r="H351" s="8">
        <v>46063</v>
      </c>
      <c r="I351" t="s">
        <v>8439</v>
      </c>
      <c r="J351" t="s">
        <v>6517</v>
      </c>
      <c r="K351" t="s">
        <v>123</v>
      </c>
      <c r="L351">
        <v>22261.439999999999</v>
      </c>
      <c r="M351">
        <v>453</v>
      </c>
      <c r="N351" t="s">
        <v>71</v>
      </c>
      <c r="O351" t="s">
        <v>17</v>
      </c>
    </row>
    <row r="352" spans="1:15" x14ac:dyDescent="0.3">
      <c r="A352" t="s">
        <v>6512</v>
      </c>
      <c r="B352" t="s">
        <v>6511</v>
      </c>
      <c r="C352" t="s">
        <v>123</v>
      </c>
      <c r="D352">
        <v>90</v>
      </c>
      <c r="E352" t="s">
        <v>80</v>
      </c>
      <c r="F352" t="s">
        <v>8077</v>
      </c>
      <c r="G352" s="8">
        <v>46129</v>
      </c>
      <c r="H352" s="8">
        <v>46133</v>
      </c>
      <c r="I352" t="s">
        <v>8440</v>
      </c>
      <c r="J352" t="s">
        <v>6509</v>
      </c>
      <c r="K352" t="s">
        <v>27</v>
      </c>
      <c r="L352">
        <v>24360.639999999999</v>
      </c>
      <c r="M352">
        <v>496</v>
      </c>
      <c r="N352" t="s">
        <v>50</v>
      </c>
      <c r="O352" t="s">
        <v>123</v>
      </c>
    </row>
    <row r="353" spans="1:15" x14ac:dyDescent="0.3">
      <c r="A353" t="s">
        <v>6508</v>
      </c>
      <c r="B353" t="s">
        <v>6507</v>
      </c>
      <c r="C353" t="s">
        <v>74</v>
      </c>
      <c r="D353">
        <v>35</v>
      </c>
      <c r="E353" t="s">
        <v>54</v>
      </c>
      <c r="F353" t="s">
        <v>20</v>
      </c>
      <c r="G353" s="8">
        <v>46060</v>
      </c>
      <c r="H353" s="8">
        <v>46066</v>
      </c>
      <c r="I353" t="s">
        <v>8441</v>
      </c>
      <c r="J353" t="s">
        <v>6505</v>
      </c>
      <c r="K353" t="s">
        <v>123</v>
      </c>
      <c r="L353">
        <v>5442.48</v>
      </c>
      <c r="M353">
        <v>479</v>
      </c>
      <c r="N353" t="s">
        <v>16</v>
      </c>
      <c r="O353" t="s">
        <v>123</v>
      </c>
    </row>
    <row r="354" spans="1:15" x14ac:dyDescent="0.3">
      <c r="A354" t="s">
        <v>6504</v>
      </c>
      <c r="B354" t="s">
        <v>6503</v>
      </c>
      <c r="C354" t="s">
        <v>74</v>
      </c>
      <c r="D354">
        <v>8</v>
      </c>
      <c r="E354" t="s">
        <v>39</v>
      </c>
      <c r="F354" t="s">
        <v>20</v>
      </c>
      <c r="G354" s="8">
        <v>46132</v>
      </c>
      <c r="H354" s="8">
        <v>46141</v>
      </c>
      <c r="I354" t="s">
        <v>8442</v>
      </c>
      <c r="J354" t="s">
        <v>6501</v>
      </c>
      <c r="K354" t="s">
        <v>123</v>
      </c>
      <c r="L354">
        <v>3564.12</v>
      </c>
      <c r="M354">
        <v>188</v>
      </c>
      <c r="N354" t="s">
        <v>71</v>
      </c>
      <c r="O354" t="s">
        <v>27</v>
      </c>
    </row>
    <row r="355" spans="1:15" x14ac:dyDescent="0.3">
      <c r="A355" t="s">
        <v>6500</v>
      </c>
      <c r="B355" t="s">
        <v>6499</v>
      </c>
      <c r="C355" t="s">
        <v>74</v>
      </c>
      <c r="D355">
        <v>8</v>
      </c>
      <c r="E355" t="s">
        <v>21</v>
      </c>
      <c r="F355" t="s">
        <v>46</v>
      </c>
      <c r="G355" s="8">
        <v>46067</v>
      </c>
      <c r="H355" s="8">
        <v>46081</v>
      </c>
      <c r="I355" t="s">
        <v>8443</v>
      </c>
      <c r="J355" t="s">
        <v>6497</v>
      </c>
      <c r="K355" t="s">
        <v>27</v>
      </c>
      <c r="L355">
        <v>22967.17</v>
      </c>
      <c r="M355">
        <v>240</v>
      </c>
      <c r="N355" t="s">
        <v>43</v>
      </c>
      <c r="O355" t="s">
        <v>57</v>
      </c>
    </row>
    <row r="356" spans="1:15" x14ac:dyDescent="0.3">
      <c r="A356" t="s">
        <v>6496</v>
      </c>
      <c r="B356" t="s">
        <v>6495</v>
      </c>
      <c r="C356" t="s">
        <v>123</v>
      </c>
      <c r="D356">
        <v>65</v>
      </c>
      <c r="E356" t="s">
        <v>54</v>
      </c>
      <c r="F356" t="s">
        <v>20</v>
      </c>
      <c r="G356" s="8">
        <v>46026</v>
      </c>
      <c r="H356" s="8">
        <v>46047</v>
      </c>
      <c r="I356" t="s">
        <v>8444</v>
      </c>
      <c r="J356" t="s">
        <v>6493</v>
      </c>
      <c r="K356" t="s">
        <v>27</v>
      </c>
      <c r="L356">
        <v>6200.06</v>
      </c>
      <c r="M356">
        <v>404</v>
      </c>
      <c r="N356" t="s">
        <v>16</v>
      </c>
      <c r="O356" t="s">
        <v>123</v>
      </c>
    </row>
    <row r="357" spans="1:15" x14ac:dyDescent="0.3">
      <c r="A357" t="s">
        <v>6492</v>
      </c>
      <c r="B357" t="s">
        <v>6491</v>
      </c>
      <c r="C357" t="s">
        <v>40</v>
      </c>
      <c r="D357">
        <v>61</v>
      </c>
      <c r="E357" t="s">
        <v>31</v>
      </c>
      <c r="F357" t="s">
        <v>67</v>
      </c>
      <c r="G357" s="8">
        <v>46049</v>
      </c>
      <c r="H357" s="8">
        <v>46054</v>
      </c>
      <c r="I357" t="s">
        <v>8445</v>
      </c>
      <c r="J357" t="s">
        <v>6489</v>
      </c>
      <c r="K357" t="s">
        <v>27</v>
      </c>
      <c r="L357">
        <v>18774.240000000002</v>
      </c>
      <c r="M357">
        <v>245</v>
      </c>
      <c r="N357" t="s">
        <v>77</v>
      </c>
      <c r="O357" t="s">
        <v>64</v>
      </c>
    </row>
    <row r="358" spans="1:15" x14ac:dyDescent="0.3">
      <c r="A358" t="s">
        <v>6488</v>
      </c>
      <c r="B358" t="s">
        <v>6487</v>
      </c>
      <c r="C358" t="s">
        <v>123</v>
      </c>
      <c r="D358">
        <v>7</v>
      </c>
      <c r="E358" t="s">
        <v>39</v>
      </c>
      <c r="F358" t="s">
        <v>8077</v>
      </c>
      <c r="G358" s="8">
        <v>46012</v>
      </c>
      <c r="H358" s="8">
        <v>46039</v>
      </c>
      <c r="I358" t="s">
        <v>8446</v>
      </c>
      <c r="J358" t="s">
        <v>6485</v>
      </c>
      <c r="K358" t="s">
        <v>64</v>
      </c>
      <c r="L358">
        <v>16255.02</v>
      </c>
      <c r="M358">
        <v>237</v>
      </c>
      <c r="N358" t="s">
        <v>25</v>
      </c>
      <c r="O358" t="s">
        <v>57</v>
      </c>
    </row>
    <row r="359" spans="1:15" x14ac:dyDescent="0.3">
      <c r="A359" t="s">
        <v>6484</v>
      </c>
      <c r="B359" t="s">
        <v>6483</v>
      </c>
      <c r="C359" t="s">
        <v>123</v>
      </c>
      <c r="D359">
        <v>66</v>
      </c>
      <c r="E359" t="s">
        <v>47</v>
      </c>
      <c r="F359" t="s">
        <v>46</v>
      </c>
      <c r="G359" s="8">
        <v>46088</v>
      </c>
      <c r="H359" s="8">
        <v>46103</v>
      </c>
      <c r="I359" t="s">
        <v>8447</v>
      </c>
      <c r="J359" t="s">
        <v>6481</v>
      </c>
      <c r="K359" t="s">
        <v>27</v>
      </c>
      <c r="L359">
        <v>16254.81</v>
      </c>
      <c r="M359">
        <v>214</v>
      </c>
      <c r="N359" t="s">
        <v>43</v>
      </c>
      <c r="O359" t="s">
        <v>27</v>
      </c>
    </row>
    <row r="360" spans="1:15" x14ac:dyDescent="0.3">
      <c r="A360" t="s">
        <v>6480</v>
      </c>
      <c r="B360" t="s">
        <v>6479</v>
      </c>
      <c r="C360" t="s">
        <v>40</v>
      </c>
      <c r="D360">
        <v>83</v>
      </c>
      <c r="E360" t="s">
        <v>132</v>
      </c>
      <c r="F360" t="s">
        <v>67</v>
      </c>
      <c r="G360" s="8">
        <v>46073</v>
      </c>
      <c r="H360" s="8">
        <v>46101</v>
      </c>
      <c r="I360" t="s">
        <v>8448</v>
      </c>
      <c r="J360" t="s">
        <v>6477</v>
      </c>
      <c r="K360" t="s">
        <v>123</v>
      </c>
      <c r="L360">
        <v>21319.34</v>
      </c>
      <c r="M360">
        <v>229</v>
      </c>
      <c r="N360" t="s">
        <v>71</v>
      </c>
      <c r="O360" t="s">
        <v>123</v>
      </c>
    </row>
    <row r="361" spans="1:15" x14ac:dyDescent="0.3">
      <c r="A361" t="s">
        <v>6472</v>
      </c>
      <c r="B361" t="s">
        <v>6471</v>
      </c>
      <c r="C361" t="s">
        <v>74</v>
      </c>
      <c r="D361">
        <v>62</v>
      </c>
      <c r="E361" t="s">
        <v>80</v>
      </c>
      <c r="F361" t="s">
        <v>67</v>
      </c>
      <c r="G361" s="8">
        <v>46061</v>
      </c>
      <c r="H361" s="8">
        <v>46069</v>
      </c>
      <c r="I361" t="s">
        <v>8449</v>
      </c>
      <c r="J361" t="s">
        <v>6469</v>
      </c>
      <c r="K361" t="s">
        <v>64</v>
      </c>
      <c r="L361">
        <v>21564.99</v>
      </c>
      <c r="M361">
        <v>435</v>
      </c>
      <c r="N361" t="s">
        <v>25</v>
      </c>
      <c r="O361" t="s">
        <v>63</v>
      </c>
    </row>
    <row r="362" spans="1:15" x14ac:dyDescent="0.3">
      <c r="A362" t="s">
        <v>6468</v>
      </c>
      <c r="B362" t="s">
        <v>6467</v>
      </c>
      <c r="C362" t="s">
        <v>40</v>
      </c>
      <c r="D362">
        <v>25</v>
      </c>
      <c r="E362" t="s">
        <v>39</v>
      </c>
      <c r="F362" t="s">
        <v>8077</v>
      </c>
      <c r="G362" s="8">
        <v>46088</v>
      </c>
      <c r="H362" s="8">
        <v>46116</v>
      </c>
      <c r="I362" t="s">
        <v>8450</v>
      </c>
      <c r="J362" t="s">
        <v>6465</v>
      </c>
      <c r="K362" t="s">
        <v>27</v>
      </c>
      <c r="L362">
        <v>20174.66</v>
      </c>
      <c r="M362">
        <v>438</v>
      </c>
      <c r="N362" t="s">
        <v>43</v>
      </c>
      <c r="O362" t="s">
        <v>123</v>
      </c>
    </row>
    <row r="363" spans="1:15" x14ac:dyDescent="0.3">
      <c r="A363" t="s">
        <v>6464</v>
      </c>
      <c r="B363" t="s">
        <v>6463</v>
      </c>
      <c r="C363" t="s">
        <v>40</v>
      </c>
      <c r="D363">
        <v>4</v>
      </c>
      <c r="E363" t="s">
        <v>68</v>
      </c>
      <c r="F363" t="s">
        <v>30</v>
      </c>
      <c r="G363" s="8">
        <v>46045</v>
      </c>
      <c r="H363" s="8">
        <v>46053</v>
      </c>
      <c r="I363" t="s">
        <v>8451</v>
      </c>
      <c r="J363" t="s">
        <v>6461</v>
      </c>
      <c r="K363" t="s">
        <v>123</v>
      </c>
      <c r="L363">
        <v>10234.049999999999</v>
      </c>
      <c r="M363">
        <v>398</v>
      </c>
      <c r="N363" t="s">
        <v>25</v>
      </c>
      <c r="O363" t="s">
        <v>27</v>
      </c>
    </row>
    <row r="364" spans="1:15" x14ac:dyDescent="0.3">
      <c r="A364" t="s">
        <v>6460</v>
      </c>
      <c r="B364" t="s">
        <v>4987</v>
      </c>
      <c r="C364" t="s">
        <v>74</v>
      </c>
      <c r="D364">
        <v>44</v>
      </c>
      <c r="E364" t="s">
        <v>21</v>
      </c>
      <c r="F364" t="s">
        <v>85</v>
      </c>
      <c r="G364" s="8">
        <v>46114</v>
      </c>
      <c r="H364" s="8">
        <v>46143</v>
      </c>
      <c r="I364" t="s">
        <v>8452</v>
      </c>
      <c r="J364" t="s">
        <v>6458</v>
      </c>
      <c r="K364" t="s">
        <v>64</v>
      </c>
      <c r="L364">
        <v>12781.41</v>
      </c>
      <c r="M364">
        <v>530</v>
      </c>
      <c r="N364" t="s">
        <v>25</v>
      </c>
      <c r="O364" t="s">
        <v>26</v>
      </c>
    </row>
    <row r="365" spans="1:15" x14ac:dyDescent="0.3">
      <c r="A365" t="s">
        <v>6457</v>
      </c>
      <c r="B365" t="s">
        <v>6456</v>
      </c>
      <c r="C365" t="s">
        <v>40</v>
      </c>
      <c r="D365">
        <v>38</v>
      </c>
      <c r="E365" t="s">
        <v>80</v>
      </c>
      <c r="F365" t="s">
        <v>85</v>
      </c>
      <c r="G365" s="8">
        <v>46007</v>
      </c>
      <c r="H365" s="8">
        <v>46011</v>
      </c>
      <c r="I365" t="s">
        <v>8453</v>
      </c>
      <c r="J365" t="s">
        <v>6454</v>
      </c>
      <c r="K365" t="s">
        <v>27</v>
      </c>
      <c r="L365">
        <v>18184.63</v>
      </c>
      <c r="M365">
        <v>448</v>
      </c>
      <c r="N365" t="s">
        <v>43</v>
      </c>
      <c r="O365" t="s">
        <v>26</v>
      </c>
    </row>
    <row r="366" spans="1:15" x14ac:dyDescent="0.3">
      <c r="A366" t="s">
        <v>6453</v>
      </c>
      <c r="B366" t="s">
        <v>6452</v>
      </c>
      <c r="C366" t="s">
        <v>74</v>
      </c>
      <c r="D366">
        <v>29</v>
      </c>
      <c r="E366" t="s">
        <v>31</v>
      </c>
      <c r="F366" t="s">
        <v>8077</v>
      </c>
      <c r="G366" s="8">
        <v>46049</v>
      </c>
      <c r="H366" s="8">
        <v>46072</v>
      </c>
      <c r="I366" t="s">
        <v>8454</v>
      </c>
      <c r="J366" t="s">
        <v>6450</v>
      </c>
      <c r="K366" t="s">
        <v>27</v>
      </c>
      <c r="L366">
        <v>10627.72</v>
      </c>
      <c r="M366">
        <v>290</v>
      </c>
      <c r="N366" t="s">
        <v>43</v>
      </c>
      <c r="O366" t="s">
        <v>17</v>
      </c>
    </row>
    <row r="367" spans="1:15" x14ac:dyDescent="0.3">
      <c r="A367" t="s">
        <v>6445</v>
      </c>
      <c r="B367" t="s">
        <v>6444</v>
      </c>
      <c r="C367" t="s">
        <v>123</v>
      </c>
      <c r="D367">
        <v>68</v>
      </c>
      <c r="E367" t="s">
        <v>132</v>
      </c>
      <c r="F367" t="s">
        <v>67</v>
      </c>
      <c r="G367" s="8">
        <v>46045</v>
      </c>
      <c r="H367" s="8">
        <v>46046</v>
      </c>
      <c r="I367" t="s">
        <v>8455</v>
      </c>
      <c r="J367" t="s">
        <v>6442</v>
      </c>
      <c r="K367" t="s">
        <v>27</v>
      </c>
      <c r="L367">
        <v>3606.66</v>
      </c>
      <c r="M367">
        <v>275</v>
      </c>
      <c r="N367" t="s">
        <v>16</v>
      </c>
      <c r="O367" t="s">
        <v>57</v>
      </c>
    </row>
    <row r="368" spans="1:15" x14ac:dyDescent="0.3">
      <c r="A368" t="s">
        <v>6441</v>
      </c>
      <c r="B368" t="s">
        <v>6440</v>
      </c>
      <c r="C368" t="s">
        <v>123</v>
      </c>
      <c r="D368">
        <v>19</v>
      </c>
      <c r="E368" t="s">
        <v>31</v>
      </c>
      <c r="F368" t="s">
        <v>20</v>
      </c>
      <c r="G368" s="8">
        <v>46039</v>
      </c>
      <c r="H368" s="8">
        <v>46063</v>
      </c>
      <c r="I368" t="s">
        <v>8456</v>
      </c>
      <c r="J368" t="s">
        <v>6438</v>
      </c>
      <c r="K368" t="s">
        <v>64</v>
      </c>
      <c r="L368">
        <v>12292</v>
      </c>
      <c r="M368">
        <v>260</v>
      </c>
      <c r="N368" t="s">
        <v>25</v>
      </c>
      <c r="O368" t="s">
        <v>26</v>
      </c>
    </row>
    <row r="369" spans="1:15" x14ac:dyDescent="0.3">
      <c r="A369" t="s">
        <v>6437</v>
      </c>
      <c r="B369" t="s">
        <v>6436</v>
      </c>
      <c r="C369" t="s">
        <v>40</v>
      </c>
      <c r="D369">
        <v>1</v>
      </c>
      <c r="E369" t="s">
        <v>68</v>
      </c>
      <c r="F369" t="s">
        <v>30</v>
      </c>
      <c r="G369" s="8">
        <v>45978</v>
      </c>
      <c r="H369" s="8">
        <v>45984</v>
      </c>
      <c r="I369" t="s">
        <v>8457</v>
      </c>
      <c r="J369" t="s">
        <v>6434</v>
      </c>
      <c r="K369" t="s">
        <v>27</v>
      </c>
      <c r="L369">
        <v>14491.72</v>
      </c>
      <c r="M369">
        <v>350</v>
      </c>
      <c r="N369" t="s">
        <v>50</v>
      </c>
      <c r="O369" t="s">
        <v>26</v>
      </c>
    </row>
    <row r="370" spans="1:15" x14ac:dyDescent="0.3">
      <c r="A370" t="s">
        <v>6433</v>
      </c>
      <c r="B370" t="s">
        <v>6432</v>
      </c>
      <c r="C370" t="s">
        <v>74</v>
      </c>
      <c r="D370">
        <v>17</v>
      </c>
      <c r="E370" t="s">
        <v>54</v>
      </c>
      <c r="F370" t="s">
        <v>67</v>
      </c>
      <c r="G370" s="8">
        <v>46020</v>
      </c>
      <c r="H370" s="8">
        <v>46032</v>
      </c>
      <c r="I370" t="s">
        <v>8458</v>
      </c>
      <c r="J370" t="s">
        <v>6430</v>
      </c>
      <c r="K370" t="s">
        <v>123</v>
      </c>
      <c r="L370">
        <v>24140.13</v>
      </c>
      <c r="M370">
        <v>102</v>
      </c>
      <c r="N370" t="s">
        <v>77</v>
      </c>
      <c r="O370" t="s">
        <v>123</v>
      </c>
    </row>
    <row r="371" spans="1:15" x14ac:dyDescent="0.3">
      <c r="A371" t="s">
        <v>6429</v>
      </c>
      <c r="B371" t="s">
        <v>6428</v>
      </c>
      <c r="C371" t="s">
        <v>74</v>
      </c>
      <c r="D371">
        <v>48</v>
      </c>
      <c r="E371" t="s">
        <v>47</v>
      </c>
      <c r="F371" t="s">
        <v>67</v>
      </c>
      <c r="G371" s="8">
        <v>46056</v>
      </c>
      <c r="H371" s="8">
        <v>46080</v>
      </c>
      <c r="I371" t="s">
        <v>8459</v>
      </c>
      <c r="J371" t="s">
        <v>6426</v>
      </c>
      <c r="K371" t="s">
        <v>64</v>
      </c>
      <c r="L371">
        <v>644.32000000000005</v>
      </c>
      <c r="M371">
        <v>420</v>
      </c>
      <c r="N371" t="s">
        <v>25</v>
      </c>
      <c r="O371" t="s">
        <v>27</v>
      </c>
    </row>
    <row r="372" spans="1:15" x14ac:dyDescent="0.3">
      <c r="A372" t="s">
        <v>6425</v>
      </c>
      <c r="B372" t="s">
        <v>6424</v>
      </c>
      <c r="C372" t="s">
        <v>74</v>
      </c>
      <c r="D372">
        <v>29</v>
      </c>
      <c r="E372" t="s">
        <v>31</v>
      </c>
      <c r="F372" t="s">
        <v>30</v>
      </c>
      <c r="G372" s="8">
        <v>46073</v>
      </c>
      <c r="H372" s="8">
        <v>46077</v>
      </c>
      <c r="I372" t="s">
        <v>8460</v>
      </c>
      <c r="J372" t="s">
        <v>6422</v>
      </c>
      <c r="K372" t="s">
        <v>64</v>
      </c>
      <c r="L372">
        <v>9712.0499999999993</v>
      </c>
      <c r="M372">
        <v>185</v>
      </c>
      <c r="N372" t="s">
        <v>77</v>
      </c>
      <c r="O372" t="s">
        <v>63</v>
      </c>
    </row>
    <row r="373" spans="1:15" x14ac:dyDescent="0.3">
      <c r="A373" t="s">
        <v>6421</v>
      </c>
      <c r="B373" t="s">
        <v>6420</v>
      </c>
      <c r="C373" t="s">
        <v>40</v>
      </c>
      <c r="D373">
        <v>39</v>
      </c>
      <c r="E373" t="s">
        <v>132</v>
      </c>
      <c r="F373" t="s">
        <v>85</v>
      </c>
      <c r="G373" s="8">
        <v>46076</v>
      </c>
      <c r="H373" s="8">
        <v>46099</v>
      </c>
      <c r="I373" t="s">
        <v>8461</v>
      </c>
      <c r="J373" t="s">
        <v>6418</v>
      </c>
      <c r="K373" t="s">
        <v>64</v>
      </c>
      <c r="L373">
        <v>10954.9</v>
      </c>
      <c r="M373">
        <v>275</v>
      </c>
      <c r="N373" t="s">
        <v>16</v>
      </c>
      <c r="O373" t="s">
        <v>26</v>
      </c>
    </row>
    <row r="374" spans="1:15" x14ac:dyDescent="0.3">
      <c r="A374" t="s">
        <v>6413</v>
      </c>
      <c r="B374" t="s">
        <v>6412</v>
      </c>
      <c r="C374" t="s">
        <v>40</v>
      </c>
      <c r="D374">
        <v>76</v>
      </c>
      <c r="E374" t="s">
        <v>39</v>
      </c>
      <c r="F374" t="s">
        <v>20</v>
      </c>
      <c r="G374" s="8">
        <v>46096</v>
      </c>
      <c r="H374" s="8">
        <v>46107</v>
      </c>
      <c r="I374" t="s">
        <v>8462</v>
      </c>
      <c r="J374" t="s">
        <v>6410</v>
      </c>
      <c r="K374" t="s">
        <v>27</v>
      </c>
      <c r="L374">
        <v>9504.77</v>
      </c>
      <c r="M374">
        <v>494</v>
      </c>
      <c r="N374" t="s">
        <v>34</v>
      </c>
      <c r="O374" t="s">
        <v>63</v>
      </c>
    </row>
    <row r="375" spans="1:15" x14ac:dyDescent="0.3">
      <c r="A375" t="s">
        <v>6409</v>
      </c>
      <c r="B375" t="s">
        <v>6408</v>
      </c>
      <c r="C375" t="s">
        <v>40</v>
      </c>
      <c r="D375">
        <v>77</v>
      </c>
      <c r="E375" t="s">
        <v>47</v>
      </c>
      <c r="F375" t="s">
        <v>20</v>
      </c>
      <c r="G375" s="8">
        <v>46119</v>
      </c>
      <c r="H375" s="8">
        <v>46139</v>
      </c>
      <c r="I375" t="s">
        <v>8463</v>
      </c>
      <c r="J375" t="s">
        <v>123</v>
      </c>
      <c r="K375" t="s">
        <v>27</v>
      </c>
      <c r="L375">
        <v>1396.23</v>
      </c>
      <c r="M375">
        <v>313</v>
      </c>
      <c r="N375" t="s">
        <v>16</v>
      </c>
      <c r="O375" t="s">
        <v>64</v>
      </c>
    </row>
    <row r="376" spans="1:15" x14ac:dyDescent="0.3">
      <c r="A376" t="s">
        <v>6406</v>
      </c>
      <c r="B376" t="s">
        <v>6405</v>
      </c>
      <c r="C376" t="s">
        <v>123</v>
      </c>
      <c r="D376">
        <v>16</v>
      </c>
      <c r="E376" t="s">
        <v>132</v>
      </c>
      <c r="F376" t="s">
        <v>85</v>
      </c>
      <c r="G376" s="8">
        <v>46129</v>
      </c>
      <c r="H376" s="8">
        <v>46151</v>
      </c>
      <c r="I376" t="s">
        <v>8464</v>
      </c>
      <c r="J376" t="s">
        <v>6403</v>
      </c>
      <c r="K376" t="s">
        <v>27</v>
      </c>
      <c r="L376">
        <v>5296.27</v>
      </c>
      <c r="M376">
        <v>254</v>
      </c>
      <c r="N376" t="s">
        <v>16</v>
      </c>
      <c r="O376" t="s">
        <v>27</v>
      </c>
    </row>
    <row r="377" spans="1:15" x14ac:dyDescent="0.3">
      <c r="A377" t="s">
        <v>6402</v>
      </c>
      <c r="B377" t="s">
        <v>6401</v>
      </c>
      <c r="C377" t="s">
        <v>74</v>
      </c>
      <c r="D377">
        <v>85</v>
      </c>
      <c r="E377" t="s">
        <v>132</v>
      </c>
      <c r="F377" t="s">
        <v>20</v>
      </c>
      <c r="G377" s="8">
        <v>46127</v>
      </c>
      <c r="H377" s="8">
        <v>46140</v>
      </c>
      <c r="I377" t="s">
        <v>8465</v>
      </c>
      <c r="J377" t="s">
        <v>6399</v>
      </c>
      <c r="K377" t="s">
        <v>64</v>
      </c>
      <c r="L377">
        <v>12887.3</v>
      </c>
      <c r="M377">
        <v>244</v>
      </c>
      <c r="N377" t="s">
        <v>77</v>
      </c>
      <c r="O377" t="s">
        <v>64</v>
      </c>
    </row>
    <row r="378" spans="1:15" x14ac:dyDescent="0.3">
      <c r="A378" t="s">
        <v>6398</v>
      </c>
      <c r="B378" t="s">
        <v>6397</v>
      </c>
      <c r="C378" t="s">
        <v>74</v>
      </c>
      <c r="D378">
        <v>64</v>
      </c>
      <c r="E378" t="s">
        <v>21</v>
      </c>
      <c r="F378" t="s">
        <v>8077</v>
      </c>
      <c r="G378" s="8">
        <v>46048</v>
      </c>
      <c r="H378" s="8">
        <v>46072</v>
      </c>
      <c r="I378" t="s">
        <v>8466</v>
      </c>
      <c r="J378" t="s">
        <v>6395</v>
      </c>
      <c r="K378" t="s">
        <v>27</v>
      </c>
      <c r="L378">
        <v>20821.169999999998</v>
      </c>
      <c r="M378">
        <v>283</v>
      </c>
      <c r="N378" t="s">
        <v>25</v>
      </c>
      <c r="O378" t="s">
        <v>57</v>
      </c>
    </row>
    <row r="379" spans="1:15" x14ac:dyDescent="0.3">
      <c r="A379" t="s">
        <v>6394</v>
      </c>
      <c r="B379" t="s">
        <v>6393</v>
      </c>
      <c r="C379" t="s">
        <v>123</v>
      </c>
      <c r="D379">
        <v>38</v>
      </c>
      <c r="E379" t="s">
        <v>39</v>
      </c>
      <c r="F379" t="s">
        <v>46</v>
      </c>
      <c r="G379" s="8">
        <v>46122</v>
      </c>
      <c r="H379" s="8">
        <v>46139</v>
      </c>
      <c r="I379" t="s">
        <v>8467</v>
      </c>
      <c r="J379" t="s">
        <v>6391</v>
      </c>
      <c r="K379" t="s">
        <v>123</v>
      </c>
      <c r="L379">
        <v>22776.84</v>
      </c>
      <c r="M379">
        <v>269</v>
      </c>
      <c r="N379" t="s">
        <v>71</v>
      </c>
      <c r="O379" t="s">
        <v>123</v>
      </c>
    </row>
    <row r="380" spans="1:15" x14ac:dyDescent="0.3">
      <c r="A380" t="s">
        <v>6390</v>
      </c>
      <c r="B380" t="s">
        <v>6389</v>
      </c>
      <c r="C380" t="s">
        <v>40</v>
      </c>
      <c r="D380">
        <v>2</v>
      </c>
      <c r="E380" t="s">
        <v>80</v>
      </c>
      <c r="F380" t="s">
        <v>20</v>
      </c>
      <c r="G380" s="8">
        <v>46035</v>
      </c>
      <c r="H380" s="8">
        <v>46061</v>
      </c>
      <c r="I380" t="s">
        <v>8468</v>
      </c>
      <c r="J380" t="s">
        <v>6387</v>
      </c>
      <c r="K380" t="s">
        <v>123</v>
      </c>
      <c r="L380">
        <v>3898.78</v>
      </c>
      <c r="M380">
        <v>499</v>
      </c>
      <c r="N380" t="s">
        <v>34</v>
      </c>
      <c r="O380" t="s">
        <v>64</v>
      </c>
    </row>
    <row r="381" spans="1:15" x14ac:dyDescent="0.3">
      <c r="A381" t="s">
        <v>6386</v>
      </c>
      <c r="B381" t="s">
        <v>6385</v>
      </c>
      <c r="C381" t="s">
        <v>74</v>
      </c>
      <c r="D381">
        <v>13</v>
      </c>
      <c r="E381" t="s">
        <v>132</v>
      </c>
      <c r="F381" t="s">
        <v>8077</v>
      </c>
      <c r="G381" s="8">
        <v>46099</v>
      </c>
      <c r="H381" s="8">
        <v>46113</v>
      </c>
      <c r="I381" t="s">
        <v>8469</v>
      </c>
      <c r="J381" t="s">
        <v>6383</v>
      </c>
      <c r="K381" t="s">
        <v>27</v>
      </c>
      <c r="L381">
        <v>6750.3</v>
      </c>
      <c r="M381">
        <v>151</v>
      </c>
      <c r="N381" t="s">
        <v>50</v>
      </c>
      <c r="O381" t="s">
        <v>27</v>
      </c>
    </row>
    <row r="382" spans="1:15" x14ac:dyDescent="0.3">
      <c r="A382" t="s">
        <v>6382</v>
      </c>
      <c r="B382" t="s">
        <v>6381</v>
      </c>
      <c r="C382" t="s">
        <v>40</v>
      </c>
      <c r="D382">
        <v>6</v>
      </c>
      <c r="E382" t="s">
        <v>132</v>
      </c>
      <c r="F382" t="s">
        <v>67</v>
      </c>
      <c r="G382" s="8">
        <v>46011</v>
      </c>
      <c r="H382" s="8">
        <v>46036</v>
      </c>
      <c r="I382" t="s">
        <v>8470</v>
      </c>
      <c r="J382" t="s">
        <v>6379</v>
      </c>
      <c r="K382" t="s">
        <v>64</v>
      </c>
      <c r="L382">
        <v>10764.68</v>
      </c>
      <c r="M382">
        <v>148</v>
      </c>
      <c r="N382" t="s">
        <v>50</v>
      </c>
      <c r="O382" t="s">
        <v>64</v>
      </c>
    </row>
    <row r="383" spans="1:15" x14ac:dyDescent="0.3">
      <c r="A383" t="s">
        <v>6378</v>
      </c>
      <c r="B383" t="s">
        <v>6377</v>
      </c>
      <c r="C383" t="s">
        <v>40</v>
      </c>
      <c r="D383">
        <v>2</v>
      </c>
      <c r="E383" t="s">
        <v>39</v>
      </c>
      <c r="F383" t="s">
        <v>20</v>
      </c>
      <c r="G383" s="8">
        <v>45981</v>
      </c>
      <c r="H383" s="8">
        <v>45991</v>
      </c>
      <c r="I383" t="s">
        <v>8471</v>
      </c>
      <c r="J383" t="s">
        <v>6375</v>
      </c>
      <c r="K383" t="s">
        <v>64</v>
      </c>
      <c r="L383">
        <v>22384.28</v>
      </c>
      <c r="M383">
        <v>549</v>
      </c>
      <c r="N383" t="s">
        <v>25</v>
      </c>
      <c r="O383" t="s">
        <v>63</v>
      </c>
    </row>
    <row r="384" spans="1:15" x14ac:dyDescent="0.3">
      <c r="A384" t="s">
        <v>6374</v>
      </c>
      <c r="B384" t="s">
        <v>6373</v>
      </c>
      <c r="C384" t="s">
        <v>74</v>
      </c>
      <c r="D384">
        <v>48</v>
      </c>
      <c r="E384" t="s">
        <v>31</v>
      </c>
      <c r="F384" t="s">
        <v>20</v>
      </c>
      <c r="G384" s="8">
        <v>46056</v>
      </c>
      <c r="H384" s="8">
        <v>46059</v>
      </c>
      <c r="I384" t="s">
        <v>8472</v>
      </c>
      <c r="J384" t="s">
        <v>6371</v>
      </c>
      <c r="K384" t="s">
        <v>123</v>
      </c>
      <c r="L384">
        <v>10126.209999999999</v>
      </c>
      <c r="M384">
        <v>239</v>
      </c>
      <c r="N384" t="s">
        <v>50</v>
      </c>
      <c r="O384" t="s">
        <v>123</v>
      </c>
    </row>
    <row r="385" spans="1:15" x14ac:dyDescent="0.3">
      <c r="A385" t="s">
        <v>6370</v>
      </c>
      <c r="B385" t="s">
        <v>6369</v>
      </c>
      <c r="C385" t="s">
        <v>123</v>
      </c>
      <c r="D385">
        <v>89</v>
      </c>
      <c r="E385" t="s">
        <v>68</v>
      </c>
      <c r="F385" t="s">
        <v>67</v>
      </c>
      <c r="G385" s="8">
        <v>46083</v>
      </c>
      <c r="H385" s="8">
        <v>46103</v>
      </c>
      <c r="I385" t="s">
        <v>8473</v>
      </c>
      <c r="J385" t="s">
        <v>6367</v>
      </c>
      <c r="K385" t="s">
        <v>27</v>
      </c>
      <c r="L385">
        <v>3003.8</v>
      </c>
      <c r="M385">
        <v>532</v>
      </c>
      <c r="N385" t="s">
        <v>71</v>
      </c>
      <c r="O385" t="s">
        <v>27</v>
      </c>
    </row>
    <row r="386" spans="1:15" x14ac:dyDescent="0.3">
      <c r="A386" t="s">
        <v>6366</v>
      </c>
      <c r="B386" t="s">
        <v>6365</v>
      </c>
      <c r="C386" t="s">
        <v>74</v>
      </c>
      <c r="D386">
        <v>54</v>
      </c>
      <c r="E386" t="s">
        <v>68</v>
      </c>
      <c r="F386" t="s">
        <v>85</v>
      </c>
      <c r="G386" s="8">
        <v>46016</v>
      </c>
      <c r="H386" s="8">
        <v>46021</v>
      </c>
      <c r="I386" t="s">
        <v>8474</v>
      </c>
      <c r="J386" t="s">
        <v>6363</v>
      </c>
      <c r="K386" t="s">
        <v>123</v>
      </c>
      <c r="L386">
        <v>19523.27</v>
      </c>
      <c r="M386">
        <v>541</v>
      </c>
      <c r="N386" t="s">
        <v>25</v>
      </c>
      <c r="O386" t="s">
        <v>27</v>
      </c>
    </row>
    <row r="387" spans="1:15" x14ac:dyDescent="0.3">
      <c r="A387" t="s">
        <v>6362</v>
      </c>
      <c r="B387" t="s">
        <v>6361</v>
      </c>
      <c r="C387" t="s">
        <v>40</v>
      </c>
      <c r="D387">
        <v>62</v>
      </c>
      <c r="E387" t="s">
        <v>68</v>
      </c>
      <c r="F387" t="s">
        <v>20</v>
      </c>
      <c r="G387" s="8">
        <v>45988</v>
      </c>
      <c r="H387" s="8">
        <v>46016</v>
      </c>
      <c r="I387" t="s">
        <v>8475</v>
      </c>
      <c r="J387" t="s">
        <v>6359</v>
      </c>
      <c r="K387" t="s">
        <v>123</v>
      </c>
      <c r="L387">
        <v>11129.06</v>
      </c>
      <c r="M387">
        <v>233</v>
      </c>
      <c r="N387" t="s">
        <v>25</v>
      </c>
      <c r="O387" t="s">
        <v>64</v>
      </c>
    </row>
    <row r="388" spans="1:15" x14ac:dyDescent="0.3">
      <c r="A388" t="s">
        <v>6358</v>
      </c>
      <c r="B388" t="s">
        <v>6357</v>
      </c>
      <c r="C388" t="s">
        <v>74</v>
      </c>
      <c r="D388">
        <v>2</v>
      </c>
      <c r="E388" t="s">
        <v>21</v>
      </c>
      <c r="F388" t="s">
        <v>67</v>
      </c>
      <c r="G388" s="8">
        <v>46093</v>
      </c>
      <c r="H388" s="8">
        <v>46109</v>
      </c>
      <c r="I388" t="s">
        <v>8476</v>
      </c>
      <c r="J388" t="s">
        <v>6355</v>
      </c>
      <c r="K388" t="s">
        <v>64</v>
      </c>
      <c r="L388">
        <v>10934.63</v>
      </c>
      <c r="M388">
        <v>346</v>
      </c>
      <c r="N388" t="s">
        <v>43</v>
      </c>
      <c r="O388" t="s">
        <v>57</v>
      </c>
    </row>
    <row r="389" spans="1:15" x14ac:dyDescent="0.3">
      <c r="A389" t="s">
        <v>6354</v>
      </c>
      <c r="B389" t="s">
        <v>6353</v>
      </c>
      <c r="C389" t="s">
        <v>123</v>
      </c>
      <c r="D389">
        <v>20</v>
      </c>
      <c r="E389" t="s">
        <v>47</v>
      </c>
      <c r="F389" t="s">
        <v>46</v>
      </c>
      <c r="G389" s="8">
        <v>46069</v>
      </c>
      <c r="H389" s="8">
        <v>46089</v>
      </c>
      <c r="I389" t="s">
        <v>8477</v>
      </c>
      <c r="J389" t="s">
        <v>6351</v>
      </c>
      <c r="K389" t="s">
        <v>27</v>
      </c>
      <c r="L389">
        <v>12738.08</v>
      </c>
      <c r="M389">
        <v>536</v>
      </c>
      <c r="N389" t="s">
        <v>16</v>
      </c>
      <c r="O389" t="s">
        <v>123</v>
      </c>
    </row>
    <row r="390" spans="1:15" x14ac:dyDescent="0.3">
      <c r="A390" t="s">
        <v>6350</v>
      </c>
      <c r="B390" t="s">
        <v>6349</v>
      </c>
      <c r="C390" t="s">
        <v>40</v>
      </c>
      <c r="D390">
        <v>10</v>
      </c>
      <c r="E390" t="s">
        <v>68</v>
      </c>
      <c r="F390" t="s">
        <v>67</v>
      </c>
      <c r="G390" s="8">
        <v>46027</v>
      </c>
      <c r="H390" s="8">
        <v>46034</v>
      </c>
      <c r="I390" t="s">
        <v>8478</v>
      </c>
      <c r="J390" t="s">
        <v>6347</v>
      </c>
      <c r="K390" t="s">
        <v>64</v>
      </c>
      <c r="L390">
        <v>24259.599999999999</v>
      </c>
      <c r="M390">
        <v>359</v>
      </c>
      <c r="N390" t="s">
        <v>71</v>
      </c>
      <c r="O390" t="s">
        <v>27</v>
      </c>
    </row>
    <row r="391" spans="1:15" x14ac:dyDescent="0.3">
      <c r="A391" t="s">
        <v>6346</v>
      </c>
      <c r="B391" t="s">
        <v>6345</v>
      </c>
      <c r="C391" t="s">
        <v>123</v>
      </c>
      <c r="D391">
        <v>52</v>
      </c>
      <c r="E391" t="s">
        <v>21</v>
      </c>
      <c r="F391" t="s">
        <v>20</v>
      </c>
      <c r="G391" s="8">
        <v>46094</v>
      </c>
      <c r="H391" s="8">
        <v>46108</v>
      </c>
      <c r="I391" t="s">
        <v>8479</v>
      </c>
      <c r="J391" t="s">
        <v>6343</v>
      </c>
      <c r="K391" t="s">
        <v>123</v>
      </c>
      <c r="L391">
        <v>20071.28</v>
      </c>
      <c r="M391">
        <v>145</v>
      </c>
      <c r="N391" t="s">
        <v>50</v>
      </c>
      <c r="O391" t="s">
        <v>123</v>
      </c>
    </row>
    <row r="392" spans="1:15" x14ac:dyDescent="0.3">
      <c r="A392" t="s">
        <v>6342</v>
      </c>
      <c r="B392" t="s">
        <v>6341</v>
      </c>
      <c r="C392" t="s">
        <v>123</v>
      </c>
      <c r="D392">
        <v>58</v>
      </c>
      <c r="E392" t="s">
        <v>31</v>
      </c>
      <c r="F392" t="s">
        <v>20</v>
      </c>
      <c r="G392" s="8">
        <v>46067</v>
      </c>
      <c r="H392" s="8">
        <v>46082</v>
      </c>
      <c r="I392" t="s">
        <v>8480</v>
      </c>
      <c r="J392" t="s">
        <v>6339</v>
      </c>
      <c r="K392" t="s">
        <v>27</v>
      </c>
      <c r="L392">
        <v>2745.55</v>
      </c>
      <c r="M392">
        <v>118</v>
      </c>
      <c r="N392" t="s">
        <v>34</v>
      </c>
      <c r="O392" t="s">
        <v>123</v>
      </c>
    </row>
    <row r="393" spans="1:15" x14ac:dyDescent="0.3">
      <c r="A393" t="s">
        <v>6338</v>
      </c>
      <c r="B393" t="s">
        <v>6337</v>
      </c>
      <c r="C393" t="s">
        <v>40</v>
      </c>
      <c r="D393">
        <v>12</v>
      </c>
      <c r="E393" t="s">
        <v>132</v>
      </c>
      <c r="F393" t="s">
        <v>8077</v>
      </c>
      <c r="G393" s="8">
        <v>46136</v>
      </c>
      <c r="H393" s="8">
        <v>46156</v>
      </c>
      <c r="I393" t="s">
        <v>8481</v>
      </c>
      <c r="J393" t="s">
        <v>6335</v>
      </c>
      <c r="K393" t="s">
        <v>123</v>
      </c>
      <c r="L393">
        <v>23768.81</v>
      </c>
      <c r="M393">
        <v>522</v>
      </c>
      <c r="N393" t="s">
        <v>77</v>
      </c>
      <c r="O393" t="s">
        <v>17</v>
      </c>
    </row>
    <row r="394" spans="1:15" x14ac:dyDescent="0.3">
      <c r="A394" t="s">
        <v>6334</v>
      </c>
      <c r="B394" t="s">
        <v>6333</v>
      </c>
      <c r="C394" t="s">
        <v>74</v>
      </c>
      <c r="D394">
        <v>59</v>
      </c>
      <c r="E394" t="s">
        <v>31</v>
      </c>
      <c r="F394" t="s">
        <v>85</v>
      </c>
      <c r="G394" s="8">
        <v>45975</v>
      </c>
      <c r="H394" s="8">
        <v>45997</v>
      </c>
      <c r="I394" t="s">
        <v>8482</v>
      </c>
      <c r="J394" t="s">
        <v>6331</v>
      </c>
      <c r="K394" t="s">
        <v>64</v>
      </c>
      <c r="L394">
        <v>17954.650000000001</v>
      </c>
      <c r="M394">
        <v>149</v>
      </c>
      <c r="N394" t="s">
        <v>50</v>
      </c>
      <c r="O394" t="s">
        <v>64</v>
      </c>
    </row>
    <row r="395" spans="1:15" x14ac:dyDescent="0.3">
      <c r="A395" t="s">
        <v>6326</v>
      </c>
      <c r="B395" t="s">
        <v>6325</v>
      </c>
      <c r="C395" t="s">
        <v>40</v>
      </c>
      <c r="D395">
        <v>22</v>
      </c>
      <c r="E395" t="s">
        <v>68</v>
      </c>
      <c r="F395" t="s">
        <v>20</v>
      </c>
      <c r="G395" s="8">
        <v>46006</v>
      </c>
      <c r="H395" s="8">
        <v>46032</v>
      </c>
      <c r="I395" t="s">
        <v>8483</v>
      </c>
      <c r="J395" t="s">
        <v>6323</v>
      </c>
      <c r="K395" t="s">
        <v>123</v>
      </c>
      <c r="L395">
        <v>2852.65</v>
      </c>
      <c r="M395">
        <v>196</v>
      </c>
      <c r="N395" t="s">
        <v>77</v>
      </c>
      <c r="O395" t="s">
        <v>57</v>
      </c>
    </row>
    <row r="396" spans="1:15" x14ac:dyDescent="0.3">
      <c r="A396" t="s">
        <v>6322</v>
      </c>
      <c r="B396" t="s">
        <v>6321</v>
      </c>
      <c r="C396" t="s">
        <v>123</v>
      </c>
      <c r="D396">
        <v>28</v>
      </c>
      <c r="E396" t="s">
        <v>68</v>
      </c>
      <c r="F396" t="s">
        <v>8077</v>
      </c>
      <c r="G396" s="8">
        <v>46015</v>
      </c>
      <c r="H396" s="8">
        <v>46037</v>
      </c>
      <c r="I396" t="s">
        <v>8484</v>
      </c>
      <c r="J396" t="s">
        <v>6319</v>
      </c>
      <c r="K396" t="s">
        <v>64</v>
      </c>
      <c r="L396">
        <v>2872.59</v>
      </c>
      <c r="M396">
        <v>123</v>
      </c>
      <c r="N396" t="s">
        <v>25</v>
      </c>
      <c r="O396" t="s">
        <v>123</v>
      </c>
    </row>
    <row r="397" spans="1:15" x14ac:dyDescent="0.3">
      <c r="A397" t="s">
        <v>6318</v>
      </c>
      <c r="B397" t="s">
        <v>6317</v>
      </c>
      <c r="C397" t="s">
        <v>74</v>
      </c>
      <c r="D397">
        <v>58</v>
      </c>
      <c r="E397" t="s">
        <v>68</v>
      </c>
      <c r="F397" t="s">
        <v>20</v>
      </c>
      <c r="G397" s="8">
        <v>46081</v>
      </c>
      <c r="H397" s="8">
        <v>46111</v>
      </c>
      <c r="I397" t="s">
        <v>8485</v>
      </c>
      <c r="J397" t="s">
        <v>6315</v>
      </c>
      <c r="K397" t="s">
        <v>123</v>
      </c>
      <c r="L397">
        <v>307.57</v>
      </c>
      <c r="M397">
        <v>383</v>
      </c>
      <c r="N397" t="s">
        <v>16</v>
      </c>
      <c r="O397" t="s">
        <v>27</v>
      </c>
    </row>
    <row r="398" spans="1:15" x14ac:dyDescent="0.3">
      <c r="A398" t="s">
        <v>6314</v>
      </c>
      <c r="B398" t="s">
        <v>6313</v>
      </c>
      <c r="C398" t="s">
        <v>123</v>
      </c>
      <c r="D398">
        <v>66</v>
      </c>
      <c r="E398" t="s">
        <v>39</v>
      </c>
      <c r="F398" t="s">
        <v>20</v>
      </c>
      <c r="G398" s="8">
        <v>46137</v>
      </c>
      <c r="H398" s="8">
        <v>46160</v>
      </c>
      <c r="I398" t="s">
        <v>8486</v>
      </c>
      <c r="J398" t="s">
        <v>6311</v>
      </c>
      <c r="K398" t="s">
        <v>27</v>
      </c>
      <c r="L398">
        <v>2768.14</v>
      </c>
      <c r="M398">
        <v>358</v>
      </c>
      <c r="N398" t="s">
        <v>16</v>
      </c>
      <c r="O398" t="s">
        <v>17</v>
      </c>
    </row>
    <row r="399" spans="1:15" x14ac:dyDescent="0.3">
      <c r="A399" t="s">
        <v>6310</v>
      </c>
      <c r="B399" t="s">
        <v>6309</v>
      </c>
      <c r="C399" t="s">
        <v>123</v>
      </c>
      <c r="D399">
        <v>78</v>
      </c>
      <c r="E399" t="s">
        <v>21</v>
      </c>
      <c r="F399" t="s">
        <v>30</v>
      </c>
      <c r="G399" s="8">
        <v>46045</v>
      </c>
      <c r="H399" s="8">
        <v>46057</v>
      </c>
      <c r="I399" t="s">
        <v>8487</v>
      </c>
      <c r="J399" t="s">
        <v>6307</v>
      </c>
      <c r="K399" t="s">
        <v>64</v>
      </c>
      <c r="L399">
        <v>24268.19</v>
      </c>
      <c r="M399">
        <v>512</v>
      </c>
      <c r="N399" t="s">
        <v>71</v>
      </c>
      <c r="O399" t="s">
        <v>123</v>
      </c>
    </row>
    <row r="400" spans="1:15" x14ac:dyDescent="0.3">
      <c r="A400" t="s">
        <v>6306</v>
      </c>
      <c r="B400" t="s">
        <v>6305</v>
      </c>
      <c r="C400" t="s">
        <v>40</v>
      </c>
      <c r="D400">
        <v>53</v>
      </c>
      <c r="E400" t="s">
        <v>132</v>
      </c>
      <c r="F400" t="s">
        <v>67</v>
      </c>
      <c r="G400" s="8">
        <v>46144</v>
      </c>
      <c r="H400" s="8">
        <v>46166</v>
      </c>
      <c r="I400" t="s">
        <v>8488</v>
      </c>
      <c r="J400" t="s">
        <v>6303</v>
      </c>
      <c r="K400" t="s">
        <v>64</v>
      </c>
      <c r="L400">
        <v>5182.05</v>
      </c>
      <c r="M400">
        <v>451</v>
      </c>
      <c r="N400" t="s">
        <v>43</v>
      </c>
      <c r="O400" t="s">
        <v>63</v>
      </c>
    </row>
    <row r="401" spans="1:15" x14ac:dyDescent="0.3">
      <c r="A401" t="s">
        <v>6302</v>
      </c>
      <c r="B401" t="s">
        <v>6301</v>
      </c>
      <c r="C401" t="s">
        <v>40</v>
      </c>
      <c r="D401">
        <v>84</v>
      </c>
      <c r="E401" t="s">
        <v>39</v>
      </c>
      <c r="F401" t="s">
        <v>67</v>
      </c>
      <c r="G401" s="8">
        <v>46089</v>
      </c>
      <c r="H401" s="8">
        <v>46111</v>
      </c>
      <c r="I401" t="s">
        <v>8489</v>
      </c>
      <c r="J401" t="s">
        <v>6299</v>
      </c>
      <c r="K401" t="s">
        <v>64</v>
      </c>
      <c r="L401">
        <v>19067.22</v>
      </c>
      <c r="M401">
        <v>398</v>
      </c>
      <c r="N401" t="s">
        <v>34</v>
      </c>
      <c r="O401" t="s">
        <v>123</v>
      </c>
    </row>
    <row r="402" spans="1:15" x14ac:dyDescent="0.3">
      <c r="A402" t="s">
        <v>6298</v>
      </c>
      <c r="B402" t="s">
        <v>6297</v>
      </c>
      <c r="C402" t="s">
        <v>123</v>
      </c>
      <c r="D402">
        <v>87</v>
      </c>
      <c r="E402" t="s">
        <v>132</v>
      </c>
      <c r="F402" t="s">
        <v>67</v>
      </c>
      <c r="G402" s="8">
        <v>46089</v>
      </c>
      <c r="H402" s="8">
        <v>46114</v>
      </c>
      <c r="I402" t="s">
        <v>8490</v>
      </c>
      <c r="J402" t="s">
        <v>6295</v>
      </c>
      <c r="K402" t="s">
        <v>27</v>
      </c>
      <c r="L402">
        <v>13163.7</v>
      </c>
      <c r="M402">
        <v>295</v>
      </c>
      <c r="N402" t="s">
        <v>71</v>
      </c>
      <c r="O402" t="s">
        <v>27</v>
      </c>
    </row>
    <row r="403" spans="1:15" x14ac:dyDescent="0.3">
      <c r="A403" t="s">
        <v>6294</v>
      </c>
      <c r="B403" t="s">
        <v>6293</v>
      </c>
      <c r="C403" t="s">
        <v>40</v>
      </c>
      <c r="D403">
        <v>86</v>
      </c>
      <c r="E403" t="s">
        <v>47</v>
      </c>
      <c r="F403" t="s">
        <v>8077</v>
      </c>
      <c r="G403" s="8">
        <v>46125</v>
      </c>
      <c r="H403" s="8">
        <v>46133</v>
      </c>
      <c r="I403" t="s">
        <v>8491</v>
      </c>
      <c r="J403" t="s">
        <v>6291</v>
      </c>
      <c r="K403" t="s">
        <v>27</v>
      </c>
      <c r="L403">
        <v>24591.599999999999</v>
      </c>
      <c r="M403">
        <v>174</v>
      </c>
      <c r="N403" t="s">
        <v>50</v>
      </c>
      <c r="O403" t="s">
        <v>63</v>
      </c>
    </row>
    <row r="404" spans="1:15" x14ac:dyDescent="0.3">
      <c r="A404" t="s">
        <v>6290</v>
      </c>
      <c r="B404" t="s">
        <v>6289</v>
      </c>
      <c r="C404" t="s">
        <v>40</v>
      </c>
      <c r="D404">
        <v>89</v>
      </c>
      <c r="E404" t="s">
        <v>132</v>
      </c>
      <c r="F404" t="s">
        <v>8077</v>
      </c>
      <c r="G404" s="8">
        <v>45994</v>
      </c>
      <c r="H404" s="8">
        <v>46018</v>
      </c>
      <c r="I404" t="s">
        <v>8492</v>
      </c>
      <c r="J404" t="s">
        <v>6287</v>
      </c>
      <c r="K404" t="s">
        <v>27</v>
      </c>
      <c r="L404">
        <v>9095.32</v>
      </c>
      <c r="M404">
        <v>152</v>
      </c>
      <c r="N404" t="s">
        <v>34</v>
      </c>
      <c r="O404" t="s">
        <v>123</v>
      </c>
    </row>
    <row r="405" spans="1:15" x14ac:dyDescent="0.3">
      <c r="A405" t="s">
        <v>6286</v>
      </c>
      <c r="B405" t="s">
        <v>6285</v>
      </c>
      <c r="C405" t="s">
        <v>74</v>
      </c>
      <c r="D405">
        <v>83</v>
      </c>
      <c r="E405" t="s">
        <v>54</v>
      </c>
      <c r="F405" t="s">
        <v>8077</v>
      </c>
      <c r="G405" s="8">
        <v>46142</v>
      </c>
      <c r="H405" s="8">
        <v>46158</v>
      </c>
      <c r="I405" t="s">
        <v>8493</v>
      </c>
      <c r="J405" t="s">
        <v>6283</v>
      </c>
      <c r="K405" t="s">
        <v>27</v>
      </c>
      <c r="L405">
        <v>17384.810000000001</v>
      </c>
      <c r="M405">
        <v>295</v>
      </c>
      <c r="N405" t="s">
        <v>16</v>
      </c>
      <c r="O405" t="s">
        <v>27</v>
      </c>
    </row>
    <row r="406" spans="1:15" x14ac:dyDescent="0.3">
      <c r="A406" t="s">
        <v>6278</v>
      </c>
      <c r="B406" t="s">
        <v>6277</v>
      </c>
      <c r="C406" t="s">
        <v>74</v>
      </c>
      <c r="D406">
        <v>76</v>
      </c>
      <c r="E406" t="s">
        <v>21</v>
      </c>
      <c r="F406" t="s">
        <v>8077</v>
      </c>
      <c r="G406" s="8">
        <v>46106</v>
      </c>
      <c r="H406" s="8">
        <v>46115</v>
      </c>
      <c r="I406" t="s">
        <v>8494</v>
      </c>
      <c r="J406" t="s">
        <v>6275</v>
      </c>
      <c r="K406" t="s">
        <v>123</v>
      </c>
      <c r="L406">
        <v>4600.16</v>
      </c>
      <c r="M406">
        <v>195</v>
      </c>
      <c r="N406" t="s">
        <v>71</v>
      </c>
      <c r="O406" t="s">
        <v>64</v>
      </c>
    </row>
    <row r="407" spans="1:15" x14ac:dyDescent="0.3">
      <c r="A407" t="s">
        <v>6274</v>
      </c>
      <c r="B407" t="s">
        <v>6273</v>
      </c>
      <c r="C407" t="s">
        <v>74</v>
      </c>
      <c r="D407">
        <v>49</v>
      </c>
      <c r="E407" t="s">
        <v>47</v>
      </c>
      <c r="F407" t="s">
        <v>67</v>
      </c>
      <c r="G407" s="8">
        <v>46081</v>
      </c>
      <c r="H407" s="8">
        <v>46089</v>
      </c>
      <c r="I407" t="s">
        <v>8495</v>
      </c>
      <c r="J407" t="s">
        <v>6271</v>
      </c>
      <c r="K407" t="s">
        <v>27</v>
      </c>
      <c r="L407">
        <v>3425.65</v>
      </c>
      <c r="M407">
        <v>102</v>
      </c>
      <c r="N407" t="s">
        <v>43</v>
      </c>
      <c r="O407" t="s">
        <v>63</v>
      </c>
    </row>
    <row r="408" spans="1:15" x14ac:dyDescent="0.3">
      <c r="A408" t="s">
        <v>6270</v>
      </c>
      <c r="B408" t="s">
        <v>6269</v>
      </c>
      <c r="C408" t="s">
        <v>123</v>
      </c>
      <c r="D408">
        <v>20</v>
      </c>
      <c r="E408" t="s">
        <v>47</v>
      </c>
      <c r="F408" t="s">
        <v>20</v>
      </c>
      <c r="G408" s="8">
        <v>46041</v>
      </c>
      <c r="H408" s="8">
        <v>46070</v>
      </c>
      <c r="I408" t="s">
        <v>8230</v>
      </c>
      <c r="J408" t="s">
        <v>6268</v>
      </c>
      <c r="K408" t="s">
        <v>64</v>
      </c>
      <c r="L408">
        <v>15002.63</v>
      </c>
      <c r="M408">
        <v>351</v>
      </c>
      <c r="N408" t="s">
        <v>50</v>
      </c>
      <c r="O408" t="s">
        <v>63</v>
      </c>
    </row>
    <row r="409" spans="1:15" x14ac:dyDescent="0.3">
      <c r="A409" t="s">
        <v>6267</v>
      </c>
      <c r="B409" t="s">
        <v>6266</v>
      </c>
      <c r="C409" t="s">
        <v>74</v>
      </c>
      <c r="D409">
        <v>10</v>
      </c>
      <c r="E409" t="s">
        <v>31</v>
      </c>
      <c r="F409" t="s">
        <v>8077</v>
      </c>
      <c r="G409" s="8">
        <v>46016</v>
      </c>
      <c r="H409" s="8">
        <v>46046</v>
      </c>
      <c r="I409" t="s">
        <v>8496</v>
      </c>
      <c r="J409" t="s">
        <v>6264</v>
      </c>
      <c r="K409" t="s">
        <v>27</v>
      </c>
      <c r="L409">
        <v>13111.04</v>
      </c>
      <c r="M409">
        <v>312</v>
      </c>
      <c r="N409" t="s">
        <v>34</v>
      </c>
      <c r="O409" t="s">
        <v>26</v>
      </c>
    </row>
    <row r="410" spans="1:15" x14ac:dyDescent="0.3">
      <c r="A410" t="s">
        <v>6263</v>
      </c>
      <c r="B410" t="s">
        <v>6262</v>
      </c>
      <c r="C410" t="s">
        <v>123</v>
      </c>
      <c r="D410">
        <v>12</v>
      </c>
      <c r="E410" t="s">
        <v>31</v>
      </c>
      <c r="F410" t="s">
        <v>8077</v>
      </c>
      <c r="G410" s="8">
        <v>46135</v>
      </c>
      <c r="H410" s="8">
        <v>46163</v>
      </c>
      <c r="I410" t="s">
        <v>8497</v>
      </c>
      <c r="J410" t="s">
        <v>6260</v>
      </c>
      <c r="K410" t="s">
        <v>64</v>
      </c>
      <c r="L410">
        <v>16650.7</v>
      </c>
      <c r="M410">
        <v>284</v>
      </c>
      <c r="N410" t="s">
        <v>43</v>
      </c>
      <c r="O410" t="s">
        <v>17</v>
      </c>
    </row>
    <row r="411" spans="1:15" x14ac:dyDescent="0.3">
      <c r="A411" t="s">
        <v>6259</v>
      </c>
      <c r="B411" t="s">
        <v>6258</v>
      </c>
      <c r="C411" t="s">
        <v>74</v>
      </c>
      <c r="D411">
        <v>80</v>
      </c>
      <c r="E411" t="s">
        <v>68</v>
      </c>
      <c r="F411" t="s">
        <v>46</v>
      </c>
      <c r="G411" s="8">
        <v>46118</v>
      </c>
      <c r="H411" s="8">
        <v>46121</v>
      </c>
      <c r="I411" t="s">
        <v>8498</v>
      </c>
      <c r="J411" t="s">
        <v>6256</v>
      </c>
      <c r="K411" t="s">
        <v>64</v>
      </c>
      <c r="L411">
        <v>11252.55</v>
      </c>
      <c r="M411">
        <v>120</v>
      </c>
      <c r="N411" t="s">
        <v>25</v>
      </c>
      <c r="O411" t="s">
        <v>57</v>
      </c>
    </row>
    <row r="412" spans="1:15" x14ac:dyDescent="0.3">
      <c r="A412" t="s">
        <v>6255</v>
      </c>
      <c r="B412" t="s">
        <v>6254</v>
      </c>
      <c r="C412" t="s">
        <v>74</v>
      </c>
      <c r="D412">
        <v>49</v>
      </c>
      <c r="E412" t="s">
        <v>80</v>
      </c>
      <c r="F412" t="s">
        <v>67</v>
      </c>
      <c r="G412" s="8">
        <v>46093</v>
      </c>
      <c r="H412" s="8">
        <v>46101</v>
      </c>
      <c r="I412" t="s">
        <v>8499</v>
      </c>
      <c r="J412" t="s">
        <v>6252</v>
      </c>
      <c r="K412" t="s">
        <v>27</v>
      </c>
      <c r="L412">
        <v>812.7</v>
      </c>
      <c r="M412">
        <v>363</v>
      </c>
      <c r="N412" t="s">
        <v>50</v>
      </c>
      <c r="O412" t="s">
        <v>17</v>
      </c>
    </row>
    <row r="413" spans="1:15" x14ac:dyDescent="0.3">
      <c r="A413" t="s">
        <v>6251</v>
      </c>
      <c r="B413" t="s">
        <v>6250</v>
      </c>
      <c r="C413" t="s">
        <v>123</v>
      </c>
      <c r="D413">
        <v>63</v>
      </c>
      <c r="E413" t="s">
        <v>47</v>
      </c>
      <c r="F413" t="s">
        <v>30</v>
      </c>
      <c r="G413" s="8">
        <v>46106</v>
      </c>
      <c r="H413" s="8">
        <v>46134</v>
      </c>
      <c r="I413" t="s">
        <v>8500</v>
      </c>
      <c r="J413" t="s">
        <v>6248</v>
      </c>
      <c r="K413" t="s">
        <v>64</v>
      </c>
      <c r="L413">
        <v>8143.76</v>
      </c>
      <c r="M413">
        <v>149</v>
      </c>
      <c r="N413" t="s">
        <v>71</v>
      </c>
      <c r="O413" t="s">
        <v>64</v>
      </c>
    </row>
    <row r="414" spans="1:15" x14ac:dyDescent="0.3">
      <c r="A414" t="s">
        <v>6247</v>
      </c>
      <c r="B414" t="s">
        <v>6246</v>
      </c>
      <c r="C414" t="s">
        <v>40</v>
      </c>
      <c r="D414">
        <v>81</v>
      </c>
      <c r="E414" t="s">
        <v>80</v>
      </c>
      <c r="F414" t="s">
        <v>8077</v>
      </c>
      <c r="G414" s="8">
        <v>46008</v>
      </c>
      <c r="H414" s="8">
        <v>46029</v>
      </c>
      <c r="I414" t="s">
        <v>8501</v>
      </c>
      <c r="J414" t="s">
        <v>6244</v>
      </c>
      <c r="K414" t="s">
        <v>64</v>
      </c>
      <c r="L414">
        <v>21650.78</v>
      </c>
      <c r="M414">
        <v>527</v>
      </c>
      <c r="N414" t="s">
        <v>77</v>
      </c>
      <c r="O414" t="s">
        <v>123</v>
      </c>
    </row>
    <row r="415" spans="1:15" x14ac:dyDescent="0.3">
      <c r="A415" t="s">
        <v>6243</v>
      </c>
      <c r="B415" t="s">
        <v>6242</v>
      </c>
      <c r="C415" t="s">
        <v>74</v>
      </c>
      <c r="D415">
        <v>69</v>
      </c>
      <c r="E415" t="s">
        <v>54</v>
      </c>
      <c r="F415" t="s">
        <v>20</v>
      </c>
      <c r="G415" s="8">
        <v>45983</v>
      </c>
      <c r="H415" s="8">
        <v>46006</v>
      </c>
      <c r="I415" t="s">
        <v>8502</v>
      </c>
      <c r="J415" t="s">
        <v>6240</v>
      </c>
      <c r="K415" t="s">
        <v>27</v>
      </c>
      <c r="L415">
        <v>789.07</v>
      </c>
      <c r="M415">
        <v>119</v>
      </c>
      <c r="N415" t="s">
        <v>77</v>
      </c>
      <c r="O415" t="s">
        <v>17</v>
      </c>
    </row>
    <row r="416" spans="1:15" x14ac:dyDescent="0.3">
      <c r="A416" t="s">
        <v>6239</v>
      </c>
      <c r="B416" t="s">
        <v>6238</v>
      </c>
      <c r="C416" t="s">
        <v>74</v>
      </c>
      <c r="D416">
        <v>7</v>
      </c>
      <c r="E416" t="s">
        <v>39</v>
      </c>
      <c r="F416" t="s">
        <v>30</v>
      </c>
      <c r="G416" s="8">
        <v>46060</v>
      </c>
      <c r="H416" s="8">
        <v>46077</v>
      </c>
      <c r="I416" t="s">
        <v>8503</v>
      </c>
      <c r="J416" t="s">
        <v>6236</v>
      </c>
      <c r="K416" t="s">
        <v>64</v>
      </c>
      <c r="L416">
        <v>14459.06</v>
      </c>
      <c r="M416">
        <v>232</v>
      </c>
      <c r="N416" t="s">
        <v>16</v>
      </c>
      <c r="O416" t="s">
        <v>57</v>
      </c>
    </row>
    <row r="417" spans="1:15" x14ac:dyDescent="0.3">
      <c r="A417" t="s">
        <v>6235</v>
      </c>
      <c r="B417" t="s">
        <v>6234</v>
      </c>
      <c r="C417" t="s">
        <v>123</v>
      </c>
      <c r="D417">
        <v>58</v>
      </c>
      <c r="E417" t="s">
        <v>54</v>
      </c>
      <c r="F417" t="s">
        <v>67</v>
      </c>
      <c r="G417" s="8">
        <v>46020</v>
      </c>
      <c r="H417" s="8">
        <v>46030</v>
      </c>
      <c r="I417" t="s">
        <v>8504</v>
      </c>
      <c r="J417" t="s">
        <v>6232</v>
      </c>
      <c r="K417" t="s">
        <v>27</v>
      </c>
      <c r="L417">
        <v>9859.65</v>
      </c>
      <c r="M417">
        <v>373</v>
      </c>
      <c r="N417" t="s">
        <v>77</v>
      </c>
      <c r="O417" t="s">
        <v>64</v>
      </c>
    </row>
    <row r="418" spans="1:15" x14ac:dyDescent="0.3">
      <c r="A418" t="s">
        <v>6231</v>
      </c>
      <c r="B418" t="s">
        <v>6230</v>
      </c>
      <c r="C418" t="s">
        <v>74</v>
      </c>
      <c r="D418">
        <v>75</v>
      </c>
      <c r="E418" t="s">
        <v>47</v>
      </c>
      <c r="F418" t="s">
        <v>20</v>
      </c>
      <c r="G418" s="8">
        <v>46080</v>
      </c>
      <c r="H418" s="8">
        <v>46091</v>
      </c>
      <c r="I418" t="s">
        <v>8505</v>
      </c>
      <c r="J418" t="s">
        <v>6228</v>
      </c>
      <c r="K418" t="s">
        <v>64</v>
      </c>
      <c r="L418">
        <v>7387.95</v>
      </c>
      <c r="M418">
        <v>410</v>
      </c>
      <c r="N418" t="s">
        <v>77</v>
      </c>
      <c r="O418" t="s">
        <v>63</v>
      </c>
    </row>
    <row r="419" spans="1:15" x14ac:dyDescent="0.3">
      <c r="A419" t="s">
        <v>6227</v>
      </c>
      <c r="B419" t="s">
        <v>6226</v>
      </c>
      <c r="C419" t="s">
        <v>40</v>
      </c>
      <c r="D419">
        <v>57</v>
      </c>
      <c r="E419" t="s">
        <v>54</v>
      </c>
      <c r="F419" t="s">
        <v>67</v>
      </c>
      <c r="G419" s="8">
        <v>46125</v>
      </c>
      <c r="H419" s="8">
        <v>46151</v>
      </c>
      <c r="I419" t="s">
        <v>8506</v>
      </c>
      <c r="J419" t="s">
        <v>6224</v>
      </c>
      <c r="K419" t="s">
        <v>27</v>
      </c>
      <c r="L419">
        <v>11954.89</v>
      </c>
      <c r="M419">
        <v>169</v>
      </c>
      <c r="N419" t="s">
        <v>25</v>
      </c>
      <c r="O419" t="s">
        <v>57</v>
      </c>
    </row>
    <row r="420" spans="1:15" x14ac:dyDescent="0.3">
      <c r="A420" t="s">
        <v>6223</v>
      </c>
      <c r="B420" t="s">
        <v>4868</v>
      </c>
      <c r="C420" t="s">
        <v>123</v>
      </c>
      <c r="D420">
        <v>70</v>
      </c>
      <c r="E420" t="s">
        <v>132</v>
      </c>
      <c r="F420" t="s">
        <v>20</v>
      </c>
      <c r="G420" s="8">
        <v>46131</v>
      </c>
      <c r="H420" s="8">
        <v>46140</v>
      </c>
      <c r="I420" t="s">
        <v>8507</v>
      </c>
      <c r="J420" t="s">
        <v>6221</v>
      </c>
      <c r="K420" t="s">
        <v>64</v>
      </c>
      <c r="L420">
        <v>23943.31</v>
      </c>
      <c r="M420">
        <v>383</v>
      </c>
      <c r="N420" t="s">
        <v>50</v>
      </c>
      <c r="O420" t="s">
        <v>27</v>
      </c>
    </row>
    <row r="421" spans="1:15" x14ac:dyDescent="0.3">
      <c r="A421" t="s">
        <v>6220</v>
      </c>
      <c r="B421" t="s">
        <v>6219</v>
      </c>
      <c r="C421" t="s">
        <v>40</v>
      </c>
      <c r="D421">
        <v>16</v>
      </c>
      <c r="E421" t="s">
        <v>47</v>
      </c>
      <c r="F421" t="s">
        <v>46</v>
      </c>
      <c r="G421" s="8">
        <v>46121</v>
      </c>
      <c r="H421" s="8">
        <v>46139</v>
      </c>
      <c r="I421" t="s">
        <v>8508</v>
      </c>
      <c r="J421" t="s">
        <v>6217</v>
      </c>
      <c r="K421" t="s">
        <v>123</v>
      </c>
      <c r="L421">
        <v>13521.37</v>
      </c>
      <c r="M421">
        <v>256</v>
      </c>
      <c r="N421" t="s">
        <v>71</v>
      </c>
      <c r="O421" t="s">
        <v>64</v>
      </c>
    </row>
    <row r="422" spans="1:15" x14ac:dyDescent="0.3">
      <c r="A422" t="s">
        <v>6216</v>
      </c>
      <c r="B422" t="s">
        <v>6215</v>
      </c>
      <c r="C422" t="s">
        <v>74</v>
      </c>
      <c r="D422">
        <v>28</v>
      </c>
      <c r="E422" t="s">
        <v>54</v>
      </c>
      <c r="F422" t="s">
        <v>20</v>
      </c>
      <c r="G422" s="8">
        <v>46045</v>
      </c>
      <c r="H422" s="8">
        <v>46050</v>
      </c>
      <c r="I422" t="s">
        <v>8509</v>
      </c>
      <c r="J422" t="s">
        <v>6213</v>
      </c>
      <c r="K422" t="s">
        <v>27</v>
      </c>
      <c r="L422">
        <v>5675.54</v>
      </c>
      <c r="M422">
        <v>199</v>
      </c>
      <c r="N422" t="s">
        <v>77</v>
      </c>
      <c r="O422" t="s">
        <v>63</v>
      </c>
    </row>
    <row r="423" spans="1:15" x14ac:dyDescent="0.3">
      <c r="A423" t="s">
        <v>6212</v>
      </c>
      <c r="B423" t="s">
        <v>8045</v>
      </c>
      <c r="C423" t="s">
        <v>40</v>
      </c>
      <c r="D423">
        <v>86</v>
      </c>
      <c r="E423" t="s">
        <v>47</v>
      </c>
      <c r="F423" t="s">
        <v>85</v>
      </c>
      <c r="G423" s="8">
        <v>46114</v>
      </c>
      <c r="H423" s="8">
        <v>46134</v>
      </c>
      <c r="I423" t="s">
        <v>8510</v>
      </c>
      <c r="J423" t="s">
        <v>6209</v>
      </c>
      <c r="K423" t="s">
        <v>64</v>
      </c>
      <c r="L423">
        <v>7408.19</v>
      </c>
      <c r="M423">
        <v>228</v>
      </c>
      <c r="N423" t="s">
        <v>77</v>
      </c>
      <c r="O423" t="s">
        <v>64</v>
      </c>
    </row>
    <row r="424" spans="1:15" x14ac:dyDescent="0.3">
      <c r="A424" t="s">
        <v>6208</v>
      </c>
      <c r="B424" t="s">
        <v>6207</v>
      </c>
      <c r="C424" t="s">
        <v>74</v>
      </c>
      <c r="D424">
        <v>75</v>
      </c>
      <c r="E424" t="s">
        <v>68</v>
      </c>
      <c r="F424" t="s">
        <v>67</v>
      </c>
      <c r="G424" s="8">
        <v>46132</v>
      </c>
      <c r="H424" s="8">
        <v>46143</v>
      </c>
      <c r="I424" t="s">
        <v>8511</v>
      </c>
      <c r="J424" t="s">
        <v>6205</v>
      </c>
      <c r="K424" t="s">
        <v>27</v>
      </c>
      <c r="L424">
        <v>16848.13</v>
      </c>
      <c r="M424">
        <v>151</v>
      </c>
      <c r="N424" t="s">
        <v>43</v>
      </c>
      <c r="O424" t="s">
        <v>57</v>
      </c>
    </row>
    <row r="425" spans="1:15" x14ac:dyDescent="0.3">
      <c r="A425" t="s">
        <v>6204</v>
      </c>
      <c r="B425" t="s">
        <v>6203</v>
      </c>
      <c r="C425" t="s">
        <v>74</v>
      </c>
      <c r="D425">
        <v>25</v>
      </c>
      <c r="E425" t="s">
        <v>31</v>
      </c>
      <c r="F425" t="s">
        <v>85</v>
      </c>
      <c r="G425" s="8">
        <v>46105</v>
      </c>
      <c r="H425" s="8">
        <v>46119</v>
      </c>
      <c r="I425" t="s">
        <v>8512</v>
      </c>
      <c r="J425" t="s">
        <v>6201</v>
      </c>
      <c r="K425" t="s">
        <v>64</v>
      </c>
      <c r="L425">
        <v>15485.29</v>
      </c>
      <c r="M425">
        <v>455</v>
      </c>
      <c r="N425" t="s">
        <v>34</v>
      </c>
      <c r="O425" t="s">
        <v>63</v>
      </c>
    </row>
    <row r="426" spans="1:15" x14ac:dyDescent="0.3">
      <c r="A426" t="s">
        <v>6200</v>
      </c>
      <c r="B426" t="s">
        <v>6199</v>
      </c>
      <c r="C426" t="s">
        <v>40</v>
      </c>
      <c r="D426">
        <v>73</v>
      </c>
      <c r="E426" t="s">
        <v>31</v>
      </c>
      <c r="F426" t="s">
        <v>67</v>
      </c>
      <c r="G426" s="8">
        <v>46141</v>
      </c>
      <c r="H426" s="8">
        <v>46171</v>
      </c>
      <c r="I426" t="s">
        <v>8513</v>
      </c>
      <c r="J426" t="s">
        <v>6197</v>
      </c>
      <c r="K426" t="s">
        <v>123</v>
      </c>
      <c r="L426">
        <v>4382.26</v>
      </c>
      <c r="M426">
        <v>226</v>
      </c>
      <c r="N426" t="s">
        <v>50</v>
      </c>
      <c r="O426" t="s">
        <v>17</v>
      </c>
    </row>
    <row r="427" spans="1:15" x14ac:dyDescent="0.3">
      <c r="A427" t="s">
        <v>6196</v>
      </c>
      <c r="B427" t="s">
        <v>6195</v>
      </c>
      <c r="C427" t="s">
        <v>74</v>
      </c>
      <c r="D427">
        <v>83</v>
      </c>
      <c r="E427" t="s">
        <v>54</v>
      </c>
      <c r="F427" t="s">
        <v>30</v>
      </c>
      <c r="G427" s="8">
        <v>46039</v>
      </c>
      <c r="H427" s="8">
        <v>46065</v>
      </c>
      <c r="I427" t="s">
        <v>8514</v>
      </c>
      <c r="J427" t="s">
        <v>6193</v>
      </c>
      <c r="K427" t="s">
        <v>64</v>
      </c>
      <c r="L427">
        <v>3530.78</v>
      </c>
      <c r="M427">
        <v>549</v>
      </c>
      <c r="N427" t="s">
        <v>16</v>
      </c>
      <c r="O427" t="s">
        <v>17</v>
      </c>
    </row>
    <row r="428" spans="1:15" x14ac:dyDescent="0.3">
      <c r="A428" t="s">
        <v>6192</v>
      </c>
      <c r="B428" t="s">
        <v>6191</v>
      </c>
      <c r="C428" t="s">
        <v>123</v>
      </c>
      <c r="D428">
        <v>58</v>
      </c>
      <c r="E428" t="s">
        <v>31</v>
      </c>
      <c r="F428" t="s">
        <v>30</v>
      </c>
      <c r="G428" s="8">
        <v>46076</v>
      </c>
      <c r="H428" s="8">
        <v>46091</v>
      </c>
      <c r="I428" t="s">
        <v>8515</v>
      </c>
      <c r="J428" t="s">
        <v>6189</v>
      </c>
      <c r="K428" t="s">
        <v>64</v>
      </c>
      <c r="L428">
        <v>4559.1000000000004</v>
      </c>
      <c r="M428">
        <v>530</v>
      </c>
      <c r="N428" t="s">
        <v>43</v>
      </c>
      <c r="O428" t="s">
        <v>64</v>
      </c>
    </row>
    <row r="429" spans="1:15" x14ac:dyDescent="0.3">
      <c r="A429" t="s">
        <v>6188</v>
      </c>
      <c r="B429" t="s">
        <v>6187</v>
      </c>
      <c r="C429" t="s">
        <v>40</v>
      </c>
      <c r="D429">
        <v>69</v>
      </c>
      <c r="E429" t="s">
        <v>21</v>
      </c>
      <c r="F429" t="s">
        <v>30</v>
      </c>
      <c r="G429" s="8">
        <v>46047</v>
      </c>
      <c r="H429" s="8">
        <v>46070</v>
      </c>
      <c r="I429" t="s">
        <v>8516</v>
      </c>
      <c r="J429" t="s">
        <v>6185</v>
      </c>
      <c r="K429" t="s">
        <v>64</v>
      </c>
      <c r="L429">
        <v>18240.150000000001</v>
      </c>
      <c r="M429">
        <v>534</v>
      </c>
      <c r="N429" t="s">
        <v>34</v>
      </c>
      <c r="O429" t="s">
        <v>27</v>
      </c>
    </row>
    <row r="430" spans="1:15" x14ac:dyDescent="0.3">
      <c r="A430" t="s">
        <v>6184</v>
      </c>
      <c r="B430" t="s">
        <v>6183</v>
      </c>
      <c r="C430" t="s">
        <v>40</v>
      </c>
      <c r="D430">
        <v>75</v>
      </c>
      <c r="E430" t="s">
        <v>54</v>
      </c>
      <c r="F430" t="s">
        <v>8077</v>
      </c>
      <c r="G430" s="8">
        <v>46121</v>
      </c>
      <c r="H430" s="8">
        <v>46150</v>
      </c>
      <c r="I430" t="s">
        <v>8517</v>
      </c>
      <c r="J430" t="s">
        <v>6181</v>
      </c>
      <c r="K430" t="s">
        <v>27</v>
      </c>
      <c r="L430">
        <v>13879.53</v>
      </c>
      <c r="M430">
        <v>434</v>
      </c>
      <c r="N430" t="s">
        <v>50</v>
      </c>
      <c r="O430" t="s">
        <v>123</v>
      </c>
    </row>
    <row r="431" spans="1:15" x14ac:dyDescent="0.3">
      <c r="A431" t="s">
        <v>6180</v>
      </c>
      <c r="B431" t="s">
        <v>6179</v>
      </c>
      <c r="C431" t="s">
        <v>40</v>
      </c>
      <c r="D431">
        <v>47</v>
      </c>
      <c r="E431" t="s">
        <v>54</v>
      </c>
      <c r="F431" t="s">
        <v>8077</v>
      </c>
      <c r="G431" s="8">
        <v>46101</v>
      </c>
      <c r="H431" s="8">
        <v>46129</v>
      </c>
      <c r="I431" t="s">
        <v>8518</v>
      </c>
      <c r="J431" t="s">
        <v>6177</v>
      </c>
      <c r="K431" t="s">
        <v>27</v>
      </c>
      <c r="L431">
        <v>3520.26</v>
      </c>
      <c r="M431">
        <v>303</v>
      </c>
      <c r="N431" t="s">
        <v>43</v>
      </c>
      <c r="O431" t="s">
        <v>64</v>
      </c>
    </row>
    <row r="432" spans="1:15" x14ac:dyDescent="0.3">
      <c r="A432" t="s">
        <v>6176</v>
      </c>
      <c r="B432" t="s">
        <v>6175</v>
      </c>
      <c r="C432" t="s">
        <v>40</v>
      </c>
      <c r="D432">
        <v>85</v>
      </c>
      <c r="E432" t="s">
        <v>21</v>
      </c>
      <c r="F432" t="s">
        <v>20</v>
      </c>
      <c r="G432" s="8">
        <v>46128</v>
      </c>
      <c r="H432" s="8">
        <v>46152</v>
      </c>
      <c r="I432" t="s">
        <v>8519</v>
      </c>
      <c r="J432" t="s">
        <v>6173</v>
      </c>
      <c r="K432" t="s">
        <v>27</v>
      </c>
      <c r="L432">
        <v>11266.27</v>
      </c>
      <c r="M432">
        <v>389</v>
      </c>
      <c r="N432" t="s">
        <v>34</v>
      </c>
      <c r="O432" t="s">
        <v>26</v>
      </c>
    </row>
    <row r="433" spans="1:15" x14ac:dyDescent="0.3">
      <c r="A433" t="s">
        <v>6172</v>
      </c>
      <c r="B433" t="s">
        <v>6171</v>
      </c>
      <c r="C433" t="s">
        <v>40</v>
      </c>
      <c r="D433">
        <v>62</v>
      </c>
      <c r="E433" t="s">
        <v>31</v>
      </c>
      <c r="F433" t="s">
        <v>46</v>
      </c>
      <c r="G433" s="8">
        <v>46129</v>
      </c>
      <c r="H433" s="8">
        <v>46136</v>
      </c>
      <c r="I433" t="s">
        <v>8520</v>
      </c>
      <c r="J433" t="s">
        <v>6169</v>
      </c>
      <c r="K433" t="s">
        <v>123</v>
      </c>
      <c r="L433">
        <v>5947.4</v>
      </c>
      <c r="M433">
        <v>289</v>
      </c>
      <c r="N433" t="s">
        <v>71</v>
      </c>
      <c r="O433" t="s">
        <v>63</v>
      </c>
    </row>
    <row r="434" spans="1:15" x14ac:dyDescent="0.3">
      <c r="A434" t="s">
        <v>6168</v>
      </c>
      <c r="B434" t="s">
        <v>6167</v>
      </c>
      <c r="C434" t="s">
        <v>40</v>
      </c>
      <c r="D434">
        <v>86</v>
      </c>
      <c r="E434" t="s">
        <v>21</v>
      </c>
      <c r="F434" t="s">
        <v>67</v>
      </c>
      <c r="G434" s="8">
        <v>45985</v>
      </c>
      <c r="H434" s="8">
        <v>45997</v>
      </c>
      <c r="I434" t="s">
        <v>8521</v>
      </c>
      <c r="J434" t="s">
        <v>6165</v>
      </c>
      <c r="K434" t="s">
        <v>123</v>
      </c>
      <c r="L434">
        <v>22963.97</v>
      </c>
      <c r="M434">
        <v>120</v>
      </c>
      <c r="N434" t="s">
        <v>25</v>
      </c>
      <c r="O434" t="s">
        <v>27</v>
      </c>
    </row>
    <row r="435" spans="1:15" x14ac:dyDescent="0.3">
      <c r="A435" t="s">
        <v>6164</v>
      </c>
      <c r="B435" t="s">
        <v>6163</v>
      </c>
      <c r="C435" t="s">
        <v>74</v>
      </c>
      <c r="D435">
        <v>14</v>
      </c>
      <c r="E435" t="s">
        <v>132</v>
      </c>
      <c r="F435" t="s">
        <v>30</v>
      </c>
      <c r="G435" s="8">
        <v>45977</v>
      </c>
      <c r="H435" s="8">
        <v>45995</v>
      </c>
      <c r="I435" t="s">
        <v>8522</v>
      </c>
      <c r="J435" t="s">
        <v>6161</v>
      </c>
      <c r="K435" t="s">
        <v>27</v>
      </c>
      <c r="L435">
        <v>9541.16</v>
      </c>
      <c r="M435">
        <v>287</v>
      </c>
      <c r="N435" t="s">
        <v>34</v>
      </c>
      <c r="O435" t="s">
        <v>123</v>
      </c>
    </row>
    <row r="436" spans="1:15" x14ac:dyDescent="0.3">
      <c r="A436" t="s">
        <v>6160</v>
      </c>
      <c r="B436" t="s">
        <v>6159</v>
      </c>
      <c r="C436" t="s">
        <v>74</v>
      </c>
      <c r="D436">
        <v>67</v>
      </c>
      <c r="E436" t="s">
        <v>132</v>
      </c>
      <c r="F436" t="s">
        <v>67</v>
      </c>
      <c r="G436" s="8">
        <v>46076</v>
      </c>
      <c r="H436" s="8">
        <v>46105</v>
      </c>
      <c r="I436" t="s">
        <v>8523</v>
      </c>
      <c r="J436" t="s">
        <v>6157</v>
      </c>
      <c r="K436" t="s">
        <v>64</v>
      </c>
      <c r="L436">
        <v>13006.02</v>
      </c>
      <c r="M436">
        <v>518</v>
      </c>
      <c r="N436" t="s">
        <v>50</v>
      </c>
      <c r="O436" t="s">
        <v>17</v>
      </c>
    </row>
    <row r="437" spans="1:15" x14ac:dyDescent="0.3">
      <c r="A437" t="s">
        <v>6156</v>
      </c>
      <c r="B437" t="s">
        <v>6155</v>
      </c>
      <c r="C437" t="s">
        <v>74</v>
      </c>
      <c r="D437">
        <v>63</v>
      </c>
      <c r="E437" t="s">
        <v>68</v>
      </c>
      <c r="F437" t="s">
        <v>46</v>
      </c>
      <c r="G437" s="8">
        <v>46004</v>
      </c>
      <c r="H437" s="8">
        <v>46020</v>
      </c>
      <c r="I437" t="s">
        <v>8524</v>
      </c>
      <c r="J437" t="s">
        <v>6153</v>
      </c>
      <c r="K437" t="s">
        <v>27</v>
      </c>
      <c r="L437">
        <v>11109.49</v>
      </c>
      <c r="M437">
        <v>139</v>
      </c>
      <c r="N437" t="s">
        <v>34</v>
      </c>
      <c r="O437" t="s">
        <v>57</v>
      </c>
    </row>
    <row r="438" spans="1:15" x14ac:dyDescent="0.3">
      <c r="A438" t="s">
        <v>6148</v>
      </c>
      <c r="B438" t="s">
        <v>6147</v>
      </c>
      <c r="C438" t="s">
        <v>123</v>
      </c>
      <c r="D438">
        <v>43</v>
      </c>
      <c r="E438" t="s">
        <v>80</v>
      </c>
      <c r="F438" t="s">
        <v>85</v>
      </c>
      <c r="G438" s="8">
        <v>46013</v>
      </c>
      <c r="H438" s="8">
        <v>46034</v>
      </c>
      <c r="I438" t="s">
        <v>8525</v>
      </c>
      <c r="J438" t="s">
        <v>6145</v>
      </c>
      <c r="K438" t="s">
        <v>123</v>
      </c>
      <c r="L438">
        <v>12079.72</v>
      </c>
      <c r="M438">
        <v>431</v>
      </c>
      <c r="N438" t="s">
        <v>50</v>
      </c>
      <c r="O438" t="s">
        <v>26</v>
      </c>
    </row>
    <row r="439" spans="1:15" x14ac:dyDescent="0.3">
      <c r="A439" t="s">
        <v>6144</v>
      </c>
      <c r="B439" t="s">
        <v>6143</v>
      </c>
      <c r="C439" t="s">
        <v>123</v>
      </c>
      <c r="D439">
        <v>3</v>
      </c>
      <c r="E439" t="s">
        <v>21</v>
      </c>
      <c r="F439" t="s">
        <v>46</v>
      </c>
      <c r="G439" s="8">
        <v>46090</v>
      </c>
      <c r="H439" s="8">
        <v>46094</v>
      </c>
      <c r="I439" t="s">
        <v>8526</v>
      </c>
      <c r="J439" t="s">
        <v>6141</v>
      </c>
      <c r="K439" t="s">
        <v>27</v>
      </c>
      <c r="L439">
        <v>3541.16</v>
      </c>
      <c r="M439">
        <v>393</v>
      </c>
      <c r="N439" t="s">
        <v>71</v>
      </c>
      <c r="O439" t="s">
        <v>27</v>
      </c>
    </row>
    <row r="440" spans="1:15" x14ac:dyDescent="0.3">
      <c r="A440" t="s">
        <v>6140</v>
      </c>
      <c r="B440" t="s">
        <v>6139</v>
      </c>
      <c r="C440" t="s">
        <v>40</v>
      </c>
      <c r="D440">
        <v>22</v>
      </c>
      <c r="E440" t="s">
        <v>132</v>
      </c>
      <c r="F440" t="s">
        <v>20</v>
      </c>
      <c r="G440" s="8">
        <v>46013</v>
      </c>
      <c r="H440" s="8">
        <v>46029</v>
      </c>
      <c r="I440" t="s">
        <v>8527</v>
      </c>
      <c r="J440" t="s">
        <v>6137</v>
      </c>
      <c r="K440" t="s">
        <v>123</v>
      </c>
      <c r="L440">
        <v>15064.07</v>
      </c>
      <c r="M440">
        <v>549</v>
      </c>
      <c r="N440" t="s">
        <v>25</v>
      </c>
      <c r="O440" t="s">
        <v>27</v>
      </c>
    </row>
    <row r="441" spans="1:15" x14ac:dyDescent="0.3">
      <c r="A441" t="s">
        <v>6136</v>
      </c>
      <c r="B441" t="s">
        <v>6135</v>
      </c>
      <c r="C441" t="s">
        <v>40</v>
      </c>
      <c r="D441">
        <v>11</v>
      </c>
      <c r="E441" t="s">
        <v>21</v>
      </c>
      <c r="F441" t="s">
        <v>85</v>
      </c>
      <c r="G441" s="8">
        <v>46027</v>
      </c>
      <c r="H441" s="8">
        <v>46046</v>
      </c>
      <c r="I441" t="s">
        <v>8528</v>
      </c>
      <c r="J441" t="s">
        <v>6133</v>
      </c>
      <c r="K441" t="s">
        <v>123</v>
      </c>
      <c r="L441">
        <v>21709.1</v>
      </c>
      <c r="M441">
        <v>212</v>
      </c>
      <c r="N441" t="s">
        <v>50</v>
      </c>
      <c r="O441" t="s">
        <v>26</v>
      </c>
    </row>
    <row r="442" spans="1:15" x14ac:dyDescent="0.3">
      <c r="A442" t="s">
        <v>6132</v>
      </c>
      <c r="B442" t="s">
        <v>6131</v>
      </c>
      <c r="C442" t="s">
        <v>123</v>
      </c>
      <c r="D442">
        <v>77</v>
      </c>
      <c r="E442" t="s">
        <v>39</v>
      </c>
      <c r="F442" t="s">
        <v>20</v>
      </c>
      <c r="G442" s="8">
        <v>46018</v>
      </c>
      <c r="H442" s="8">
        <v>46037</v>
      </c>
      <c r="I442" t="s">
        <v>8529</v>
      </c>
      <c r="J442" t="s">
        <v>6129</v>
      </c>
      <c r="K442" t="s">
        <v>27</v>
      </c>
      <c r="L442">
        <v>4359.5</v>
      </c>
      <c r="M442">
        <v>332</v>
      </c>
      <c r="N442" t="s">
        <v>34</v>
      </c>
      <c r="O442" t="s">
        <v>17</v>
      </c>
    </row>
    <row r="443" spans="1:15" x14ac:dyDescent="0.3">
      <c r="A443" t="s">
        <v>6128</v>
      </c>
      <c r="B443" t="s">
        <v>6127</v>
      </c>
      <c r="C443" t="s">
        <v>74</v>
      </c>
      <c r="D443">
        <v>30</v>
      </c>
      <c r="E443" t="s">
        <v>54</v>
      </c>
      <c r="F443" t="s">
        <v>67</v>
      </c>
      <c r="G443" s="8">
        <v>45984</v>
      </c>
      <c r="H443" s="8">
        <v>45988</v>
      </c>
      <c r="I443" t="s">
        <v>8530</v>
      </c>
      <c r="J443" t="s">
        <v>6125</v>
      </c>
      <c r="K443" t="s">
        <v>64</v>
      </c>
      <c r="L443">
        <v>610.75</v>
      </c>
      <c r="M443">
        <v>523</v>
      </c>
      <c r="N443" t="s">
        <v>71</v>
      </c>
      <c r="O443" t="s">
        <v>123</v>
      </c>
    </row>
    <row r="444" spans="1:15" x14ac:dyDescent="0.3">
      <c r="A444" t="s">
        <v>6124</v>
      </c>
      <c r="B444" t="s">
        <v>6123</v>
      </c>
      <c r="C444" t="s">
        <v>74</v>
      </c>
      <c r="D444">
        <v>23</v>
      </c>
      <c r="E444" t="s">
        <v>68</v>
      </c>
      <c r="F444" t="s">
        <v>46</v>
      </c>
      <c r="G444" s="8">
        <v>45983</v>
      </c>
      <c r="H444" s="8">
        <v>46011</v>
      </c>
      <c r="I444" t="s">
        <v>8531</v>
      </c>
      <c r="J444" t="s">
        <v>6121</v>
      </c>
      <c r="K444" t="s">
        <v>64</v>
      </c>
      <c r="L444">
        <v>2511.11</v>
      </c>
      <c r="M444">
        <v>408</v>
      </c>
      <c r="N444" t="s">
        <v>34</v>
      </c>
      <c r="O444" t="s">
        <v>26</v>
      </c>
    </row>
    <row r="445" spans="1:15" x14ac:dyDescent="0.3">
      <c r="A445" t="s">
        <v>6120</v>
      </c>
      <c r="B445" t="s">
        <v>6119</v>
      </c>
      <c r="C445" t="s">
        <v>40</v>
      </c>
      <c r="D445">
        <v>87</v>
      </c>
      <c r="E445" t="s">
        <v>54</v>
      </c>
      <c r="F445" t="s">
        <v>67</v>
      </c>
      <c r="G445" s="8">
        <v>46025</v>
      </c>
      <c r="H445" s="8">
        <v>46036</v>
      </c>
      <c r="I445" t="s">
        <v>8532</v>
      </c>
      <c r="J445" t="s">
        <v>6117</v>
      </c>
      <c r="K445" t="s">
        <v>27</v>
      </c>
      <c r="L445">
        <v>17501.54</v>
      </c>
      <c r="M445">
        <v>217</v>
      </c>
      <c r="N445" t="s">
        <v>50</v>
      </c>
      <c r="O445" t="s">
        <v>123</v>
      </c>
    </row>
    <row r="446" spans="1:15" x14ac:dyDescent="0.3">
      <c r="A446" t="s">
        <v>6116</v>
      </c>
      <c r="B446" t="s">
        <v>6115</v>
      </c>
      <c r="C446" t="s">
        <v>123</v>
      </c>
      <c r="D446">
        <v>49</v>
      </c>
      <c r="E446" t="s">
        <v>31</v>
      </c>
      <c r="F446" t="s">
        <v>20</v>
      </c>
      <c r="G446" s="8">
        <v>45976</v>
      </c>
      <c r="H446" s="8">
        <v>45989</v>
      </c>
      <c r="I446" t="s">
        <v>8533</v>
      </c>
      <c r="J446" t="s">
        <v>6113</v>
      </c>
      <c r="K446" t="s">
        <v>27</v>
      </c>
      <c r="L446">
        <v>6512.05</v>
      </c>
      <c r="M446">
        <v>539</v>
      </c>
      <c r="N446" t="s">
        <v>77</v>
      </c>
      <c r="O446" t="s">
        <v>57</v>
      </c>
    </row>
    <row r="447" spans="1:15" x14ac:dyDescent="0.3">
      <c r="A447" t="s">
        <v>6112</v>
      </c>
      <c r="B447" t="s">
        <v>6111</v>
      </c>
      <c r="C447" t="s">
        <v>40</v>
      </c>
      <c r="D447">
        <v>77</v>
      </c>
      <c r="E447" t="s">
        <v>54</v>
      </c>
      <c r="F447" t="s">
        <v>30</v>
      </c>
      <c r="G447" s="8">
        <v>46119</v>
      </c>
      <c r="H447" s="8">
        <v>46125</v>
      </c>
      <c r="I447" t="s">
        <v>8534</v>
      </c>
      <c r="J447" t="s">
        <v>6109</v>
      </c>
      <c r="K447" t="s">
        <v>27</v>
      </c>
      <c r="L447">
        <v>17786.89</v>
      </c>
      <c r="M447">
        <v>395</v>
      </c>
      <c r="N447" t="s">
        <v>34</v>
      </c>
      <c r="O447" t="s">
        <v>27</v>
      </c>
    </row>
    <row r="448" spans="1:15" x14ac:dyDescent="0.3">
      <c r="A448" t="s">
        <v>6108</v>
      </c>
      <c r="B448" t="s">
        <v>6107</v>
      </c>
      <c r="C448" t="s">
        <v>74</v>
      </c>
      <c r="D448">
        <v>67</v>
      </c>
      <c r="E448" t="s">
        <v>47</v>
      </c>
      <c r="F448" t="s">
        <v>67</v>
      </c>
      <c r="G448" s="8">
        <v>46042</v>
      </c>
      <c r="H448" s="8">
        <v>46062</v>
      </c>
      <c r="I448" t="s">
        <v>8535</v>
      </c>
      <c r="J448" t="s">
        <v>6105</v>
      </c>
      <c r="K448" t="s">
        <v>64</v>
      </c>
      <c r="L448">
        <v>17256.62</v>
      </c>
      <c r="M448">
        <v>309</v>
      </c>
      <c r="N448" t="s">
        <v>43</v>
      </c>
      <c r="O448" t="s">
        <v>17</v>
      </c>
    </row>
    <row r="449" spans="1:15" x14ac:dyDescent="0.3">
      <c r="A449" t="s">
        <v>6104</v>
      </c>
      <c r="B449" t="s">
        <v>6103</v>
      </c>
      <c r="C449" t="s">
        <v>74</v>
      </c>
      <c r="D449">
        <v>20</v>
      </c>
      <c r="E449" t="s">
        <v>54</v>
      </c>
      <c r="F449" t="s">
        <v>30</v>
      </c>
      <c r="G449" s="8">
        <v>46027</v>
      </c>
      <c r="H449" s="8">
        <v>46035</v>
      </c>
      <c r="I449" t="s">
        <v>8536</v>
      </c>
      <c r="J449" t="s">
        <v>6101</v>
      </c>
      <c r="K449" t="s">
        <v>123</v>
      </c>
      <c r="L449">
        <v>14203.82</v>
      </c>
      <c r="M449">
        <v>448</v>
      </c>
      <c r="N449" t="s">
        <v>16</v>
      </c>
      <c r="O449" t="s">
        <v>63</v>
      </c>
    </row>
    <row r="450" spans="1:15" x14ac:dyDescent="0.3">
      <c r="A450" t="s">
        <v>6100</v>
      </c>
      <c r="B450" t="s">
        <v>6099</v>
      </c>
      <c r="C450" t="s">
        <v>74</v>
      </c>
      <c r="D450">
        <v>53</v>
      </c>
      <c r="E450" t="s">
        <v>68</v>
      </c>
      <c r="F450" t="s">
        <v>20</v>
      </c>
      <c r="G450" s="8">
        <v>45996</v>
      </c>
      <c r="H450" s="8">
        <v>46007</v>
      </c>
      <c r="I450" t="s">
        <v>8537</v>
      </c>
      <c r="J450" t="s">
        <v>6097</v>
      </c>
      <c r="K450" t="s">
        <v>123</v>
      </c>
      <c r="L450">
        <v>6493.69</v>
      </c>
      <c r="M450">
        <v>395</v>
      </c>
      <c r="N450" t="s">
        <v>43</v>
      </c>
      <c r="O450" t="s">
        <v>63</v>
      </c>
    </row>
    <row r="451" spans="1:15" x14ac:dyDescent="0.3">
      <c r="A451" t="s">
        <v>6096</v>
      </c>
      <c r="B451" t="s">
        <v>6095</v>
      </c>
      <c r="C451" t="s">
        <v>123</v>
      </c>
      <c r="D451">
        <v>18</v>
      </c>
      <c r="E451" t="s">
        <v>80</v>
      </c>
      <c r="F451" t="s">
        <v>8077</v>
      </c>
      <c r="G451" s="8">
        <v>46098</v>
      </c>
      <c r="H451" s="8">
        <v>46112</v>
      </c>
      <c r="I451" t="s">
        <v>8538</v>
      </c>
      <c r="J451" t="s">
        <v>6093</v>
      </c>
      <c r="K451" t="s">
        <v>27</v>
      </c>
      <c r="L451">
        <v>2686.91</v>
      </c>
      <c r="M451">
        <v>502</v>
      </c>
      <c r="N451" t="s">
        <v>43</v>
      </c>
      <c r="O451" t="s">
        <v>123</v>
      </c>
    </row>
    <row r="452" spans="1:15" x14ac:dyDescent="0.3">
      <c r="A452" t="s">
        <v>6092</v>
      </c>
      <c r="B452" t="s">
        <v>6091</v>
      </c>
      <c r="C452" t="s">
        <v>40</v>
      </c>
      <c r="D452">
        <v>21</v>
      </c>
      <c r="E452" t="s">
        <v>369</v>
      </c>
      <c r="F452" t="s">
        <v>46</v>
      </c>
      <c r="G452" s="8">
        <v>45985</v>
      </c>
      <c r="H452" s="8">
        <v>46010</v>
      </c>
      <c r="I452" t="s">
        <v>8539</v>
      </c>
      <c r="J452" t="s">
        <v>123</v>
      </c>
      <c r="K452" t="s">
        <v>64</v>
      </c>
      <c r="L452">
        <v>-500</v>
      </c>
      <c r="M452">
        <v>407</v>
      </c>
      <c r="N452" t="s">
        <v>16</v>
      </c>
      <c r="O452" t="s">
        <v>123</v>
      </c>
    </row>
    <row r="453" spans="1:15" x14ac:dyDescent="0.3">
      <c r="A453" t="s">
        <v>6089</v>
      </c>
      <c r="B453" t="s">
        <v>6088</v>
      </c>
      <c r="C453" t="s">
        <v>74</v>
      </c>
      <c r="D453">
        <v>9</v>
      </c>
      <c r="E453" t="s">
        <v>132</v>
      </c>
      <c r="F453" t="s">
        <v>8077</v>
      </c>
      <c r="G453" s="8">
        <v>46101</v>
      </c>
      <c r="H453" s="8">
        <v>46112</v>
      </c>
      <c r="I453" t="s">
        <v>8540</v>
      </c>
      <c r="J453" t="s">
        <v>6086</v>
      </c>
      <c r="K453" t="s">
        <v>64</v>
      </c>
      <c r="L453">
        <v>15303.92</v>
      </c>
      <c r="M453">
        <v>305</v>
      </c>
      <c r="N453" t="s">
        <v>34</v>
      </c>
      <c r="O453" t="s">
        <v>123</v>
      </c>
    </row>
    <row r="454" spans="1:15" x14ac:dyDescent="0.3">
      <c r="A454" t="s">
        <v>6085</v>
      </c>
      <c r="B454" t="s">
        <v>6084</v>
      </c>
      <c r="C454" t="s">
        <v>40</v>
      </c>
      <c r="D454">
        <v>77</v>
      </c>
      <c r="E454" t="s">
        <v>47</v>
      </c>
      <c r="F454" t="s">
        <v>20</v>
      </c>
      <c r="G454" s="8">
        <v>46106</v>
      </c>
      <c r="H454" s="8">
        <v>46126</v>
      </c>
      <c r="I454" t="s">
        <v>8541</v>
      </c>
      <c r="J454" t="s">
        <v>6082</v>
      </c>
      <c r="K454" t="s">
        <v>123</v>
      </c>
      <c r="L454">
        <v>11086.51</v>
      </c>
      <c r="M454">
        <v>535</v>
      </c>
      <c r="N454" t="s">
        <v>25</v>
      </c>
      <c r="O454" t="s">
        <v>57</v>
      </c>
    </row>
    <row r="455" spans="1:15" x14ac:dyDescent="0.3">
      <c r="A455" t="s">
        <v>6081</v>
      </c>
      <c r="B455" t="s">
        <v>6080</v>
      </c>
      <c r="C455" t="s">
        <v>40</v>
      </c>
      <c r="D455">
        <v>25</v>
      </c>
      <c r="E455" t="s">
        <v>47</v>
      </c>
      <c r="F455" t="s">
        <v>8077</v>
      </c>
      <c r="G455" s="8">
        <v>46001</v>
      </c>
      <c r="H455" s="8">
        <v>46020</v>
      </c>
      <c r="I455" t="s">
        <v>8542</v>
      </c>
      <c r="J455" t="s">
        <v>6078</v>
      </c>
      <c r="K455" t="s">
        <v>27</v>
      </c>
      <c r="L455">
        <v>16915.8</v>
      </c>
      <c r="M455">
        <v>222</v>
      </c>
      <c r="N455" t="s">
        <v>25</v>
      </c>
      <c r="O455" t="s">
        <v>17</v>
      </c>
    </row>
    <row r="456" spans="1:15" x14ac:dyDescent="0.3">
      <c r="A456" t="s">
        <v>6077</v>
      </c>
      <c r="B456" t="s">
        <v>6076</v>
      </c>
      <c r="C456" t="s">
        <v>40</v>
      </c>
      <c r="D456">
        <v>21</v>
      </c>
      <c r="E456" t="s">
        <v>80</v>
      </c>
      <c r="F456" t="s">
        <v>30</v>
      </c>
      <c r="G456" s="8">
        <v>46124</v>
      </c>
      <c r="H456" s="8">
        <v>46148</v>
      </c>
      <c r="I456" t="s">
        <v>8543</v>
      </c>
      <c r="J456" t="s">
        <v>6074</v>
      </c>
      <c r="K456" t="s">
        <v>123</v>
      </c>
      <c r="L456">
        <v>8957.57</v>
      </c>
      <c r="M456">
        <v>307</v>
      </c>
      <c r="N456" t="s">
        <v>34</v>
      </c>
      <c r="O456" t="s">
        <v>123</v>
      </c>
    </row>
    <row r="457" spans="1:15" x14ac:dyDescent="0.3">
      <c r="A457" t="s">
        <v>6073</v>
      </c>
      <c r="B457" t="s">
        <v>6072</v>
      </c>
      <c r="C457" t="s">
        <v>74</v>
      </c>
      <c r="D457">
        <v>67</v>
      </c>
      <c r="E457" t="s">
        <v>47</v>
      </c>
      <c r="F457" t="s">
        <v>20</v>
      </c>
      <c r="G457" s="8">
        <v>46015</v>
      </c>
      <c r="H457" s="8">
        <v>46044</v>
      </c>
      <c r="I457" t="s">
        <v>8544</v>
      </c>
      <c r="J457" t="s">
        <v>6070</v>
      </c>
      <c r="K457" t="s">
        <v>64</v>
      </c>
      <c r="L457">
        <v>13829.9</v>
      </c>
      <c r="M457">
        <v>277</v>
      </c>
      <c r="N457" t="s">
        <v>50</v>
      </c>
      <c r="O457" t="s">
        <v>17</v>
      </c>
    </row>
    <row r="458" spans="1:15" x14ac:dyDescent="0.3">
      <c r="A458" t="s">
        <v>6069</v>
      </c>
      <c r="B458" t="s">
        <v>6068</v>
      </c>
      <c r="C458" t="s">
        <v>40</v>
      </c>
      <c r="D458">
        <v>29</v>
      </c>
      <c r="E458" t="s">
        <v>21</v>
      </c>
      <c r="F458" t="s">
        <v>85</v>
      </c>
      <c r="G458" s="8">
        <v>46095</v>
      </c>
      <c r="H458" s="8">
        <v>46124</v>
      </c>
      <c r="I458" t="s">
        <v>8545</v>
      </c>
      <c r="J458" t="s">
        <v>6066</v>
      </c>
      <c r="K458" t="s">
        <v>123</v>
      </c>
      <c r="L458">
        <v>14457.69</v>
      </c>
      <c r="M458">
        <v>189</v>
      </c>
      <c r="N458" t="s">
        <v>16</v>
      </c>
      <c r="O458" t="s">
        <v>63</v>
      </c>
    </row>
    <row r="459" spans="1:15" x14ac:dyDescent="0.3">
      <c r="A459" t="s">
        <v>6065</v>
      </c>
      <c r="B459" t="s">
        <v>8046</v>
      </c>
      <c r="C459" t="s">
        <v>74</v>
      </c>
      <c r="D459">
        <v>72</v>
      </c>
      <c r="E459" t="s">
        <v>80</v>
      </c>
      <c r="F459" t="s">
        <v>30</v>
      </c>
      <c r="G459" s="8">
        <v>46006</v>
      </c>
      <c r="H459" s="8">
        <v>46016</v>
      </c>
      <c r="I459" t="s">
        <v>8546</v>
      </c>
      <c r="J459" t="s">
        <v>6062</v>
      </c>
      <c r="K459" t="s">
        <v>64</v>
      </c>
      <c r="L459">
        <v>20112.97</v>
      </c>
      <c r="M459">
        <v>548</v>
      </c>
      <c r="N459" t="s">
        <v>34</v>
      </c>
      <c r="O459" t="s">
        <v>63</v>
      </c>
    </row>
    <row r="460" spans="1:15" x14ac:dyDescent="0.3">
      <c r="A460" t="s">
        <v>6061</v>
      </c>
      <c r="B460" t="s">
        <v>6060</v>
      </c>
      <c r="C460" t="s">
        <v>40</v>
      </c>
      <c r="D460">
        <v>89</v>
      </c>
      <c r="E460" t="s">
        <v>68</v>
      </c>
      <c r="F460" t="s">
        <v>67</v>
      </c>
      <c r="G460" s="8">
        <v>46056</v>
      </c>
      <c r="H460" s="8">
        <v>46074</v>
      </c>
      <c r="I460" t="s">
        <v>8547</v>
      </c>
      <c r="J460" t="s">
        <v>6058</v>
      </c>
      <c r="K460" t="s">
        <v>123</v>
      </c>
      <c r="L460">
        <v>19295.189999999999</v>
      </c>
      <c r="M460">
        <v>497</v>
      </c>
      <c r="N460" t="s">
        <v>16</v>
      </c>
      <c r="O460" t="s">
        <v>17</v>
      </c>
    </row>
    <row r="461" spans="1:15" x14ac:dyDescent="0.3">
      <c r="A461" t="s">
        <v>6057</v>
      </c>
      <c r="B461" t="s">
        <v>6056</v>
      </c>
      <c r="C461" t="s">
        <v>123</v>
      </c>
      <c r="D461">
        <v>76</v>
      </c>
      <c r="E461" t="s">
        <v>47</v>
      </c>
      <c r="F461" t="s">
        <v>85</v>
      </c>
      <c r="G461" s="8">
        <v>46062</v>
      </c>
      <c r="H461" s="8">
        <v>46065</v>
      </c>
      <c r="I461" t="s">
        <v>8548</v>
      </c>
      <c r="J461" t="s">
        <v>6054</v>
      </c>
      <c r="K461" t="s">
        <v>27</v>
      </c>
      <c r="L461">
        <v>1875.35</v>
      </c>
      <c r="M461">
        <v>446</v>
      </c>
      <c r="N461" t="s">
        <v>25</v>
      </c>
      <c r="O461" t="s">
        <v>57</v>
      </c>
    </row>
    <row r="462" spans="1:15" x14ac:dyDescent="0.3">
      <c r="A462" t="s">
        <v>6053</v>
      </c>
      <c r="B462" t="s">
        <v>6052</v>
      </c>
      <c r="C462" t="s">
        <v>74</v>
      </c>
      <c r="D462">
        <v>41</v>
      </c>
      <c r="E462" t="s">
        <v>54</v>
      </c>
      <c r="F462" t="s">
        <v>67</v>
      </c>
      <c r="G462" s="8">
        <v>46090</v>
      </c>
      <c r="H462" s="8">
        <v>46106</v>
      </c>
      <c r="I462" t="s">
        <v>8549</v>
      </c>
      <c r="J462" t="s">
        <v>6050</v>
      </c>
      <c r="K462" t="s">
        <v>27</v>
      </c>
      <c r="L462">
        <v>17580.3</v>
      </c>
      <c r="M462">
        <v>227</v>
      </c>
      <c r="N462" t="s">
        <v>43</v>
      </c>
      <c r="O462" t="s">
        <v>63</v>
      </c>
    </row>
    <row r="463" spans="1:15" x14ac:dyDescent="0.3">
      <c r="A463" t="s">
        <v>6049</v>
      </c>
      <c r="B463" t="s">
        <v>6048</v>
      </c>
      <c r="C463" t="s">
        <v>74</v>
      </c>
      <c r="D463">
        <v>52</v>
      </c>
      <c r="E463" t="s">
        <v>31</v>
      </c>
      <c r="F463" t="s">
        <v>20</v>
      </c>
      <c r="G463" s="8">
        <v>46065</v>
      </c>
      <c r="H463" s="8">
        <v>46082</v>
      </c>
      <c r="I463" t="s">
        <v>8550</v>
      </c>
      <c r="J463" t="s">
        <v>6046</v>
      </c>
      <c r="K463" t="s">
        <v>27</v>
      </c>
      <c r="L463">
        <v>12018.58</v>
      </c>
      <c r="M463">
        <v>211</v>
      </c>
      <c r="N463" t="s">
        <v>34</v>
      </c>
      <c r="O463" t="s">
        <v>17</v>
      </c>
    </row>
    <row r="464" spans="1:15" x14ac:dyDescent="0.3">
      <c r="A464" t="s">
        <v>6045</v>
      </c>
      <c r="B464" t="s">
        <v>6044</v>
      </c>
      <c r="C464" t="s">
        <v>40</v>
      </c>
      <c r="D464">
        <v>24</v>
      </c>
      <c r="E464" t="s">
        <v>21</v>
      </c>
      <c r="F464" t="s">
        <v>85</v>
      </c>
      <c r="G464" s="8">
        <v>46097</v>
      </c>
      <c r="H464" s="8">
        <v>46120</v>
      </c>
      <c r="I464" t="s">
        <v>8551</v>
      </c>
      <c r="J464" t="s">
        <v>6042</v>
      </c>
      <c r="K464" t="s">
        <v>64</v>
      </c>
      <c r="L464">
        <v>6024.56</v>
      </c>
      <c r="M464">
        <v>546</v>
      </c>
      <c r="N464" t="s">
        <v>43</v>
      </c>
      <c r="O464" t="s">
        <v>57</v>
      </c>
    </row>
    <row r="465" spans="1:15" x14ac:dyDescent="0.3">
      <c r="A465" t="s">
        <v>6041</v>
      </c>
      <c r="B465" t="s">
        <v>6040</v>
      </c>
      <c r="C465" t="s">
        <v>74</v>
      </c>
      <c r="D465">
        <v>30</v>
      </c>
      <c r="E465" t="s">
        <v>21</v>
      </c>
      <c r="F465" t="s">
        <v>8077</v>
      </c>
      <c r="G465" s="8">
        <v>46101</v>
      </c>
      <c r="H465" s="8">
        <v>46127</v>
      </c>
      <c r="I465" t="s">
        <v>8552</v>
      </c>
      <c r="J465" t="s">
        <v>6038</v>
      </c>
      <c r="K465" t="s">
        <v>64</v>
      </c>
      <c r="L465">
        <v>4068.69</v>
      </c>
      <c r="M465">
        <v>161</v>
      </c>
      <c r="N465" t="s">
        <v>77</v>
      </c>
      <c r="O465" t="s">
        <v>64</v>
      </c>
    </row>
    <row r="466" spans="1:15" x14ac:dyDescent="0.3">
      <c r="A466" t="s">
        <v>6037</v>
      </c>
      <c r="B466" t="s">
        <v>6036</v>
      </c>
      <c r="C466" t="s">
        <v>123</v>
      </c>
      <c r="D466">
        <v>79</v>
      </c>
      <c r="E466" t="s">
        <v>47</v>
      </c>
      <c r="F466" t="s">
        <v>46</v>
      </c>
      <c r="G466" s="8">
        <v>46106</v>
      </c>
      <c r="H466" s="8">
        <v>46133</v>
      </c>
      <c r="I466" t="s">
        <v>8553</v>
      </c>
      <c r="J466" t="s">
        <v>6034</v>
      </c>
      <c r="K466" t="s">
        <v>123</v>
      </c>
      <c r="L466">
        <v>9405.67</v>
      </c>
      <c r="M466">
        <v>352</v>
      </c>
      <c r="N466" t="s">
        <v>34</v>
      </c>
      <c r="O466" t="s">
        <v>17</v>
      </c>
    </row>
    <row r="467" spans="1:15" x14ac:dyDescent="0.3">
      <c r="A467" t="s">
        <v>6033</v>
      </c>
      <c r="B467" t="s">
        <v>6032</v>
      </c>
      <c r="C467" t="s">
        <v>40</v>
      </c>
      <c r="D467">
        <v>63</v>
      </c>
      <c r="E467" t="s">
        <v>39</v>
      </c>
      <c r="F467" t="s">
        <v>30</v>
      </c>
      <c r="G467" s="8">
        <v>46066</v>
      </c>
      <c r="H467" s="8">
        <v>46078</v>
      </c>
      <c r="I467" t="s">
        <v>8554</v>
      </c>
      <c r="J467" t="s">
        <v>6030</v>
      </c>
      <c r="K467" t="s">
        <v>64</v>
      </c>
      <c r="L467">
        <v>18804.2</v>
      </c>
      <c r="M467">
        <v>127</v>
      </c>
      <c r="N467" t="s">
        <v>34</v>
      </c>
      <c r="O467" t="s">
        <v>26</v>
      </c>
    </row>
    <row r="468" spans="1:15" x14ac:dyDescent="0.3">
      <c r="A468" t="s">
        <v>6029</v>
      </c>
      <c r="B468" t="s">
        <v>6028</v>
      </c>
      <c r="C468" t="s">
        <v>123</v>
      </c>
      <c r="D468">
        <v>62</v>
      </c>
      <c r="E468" t="s">
        <v>47</v>
      </c>
      <c r="F468" t="s">
        <v>67</v>
      </c>
      <c r="G468" s="8">
        <v>46044</v>
      </c>
      <c r="H468" s="8">
        <v>46056</v>
      </c>
      <c r="I468" t="s">
        <v>8555</v>
      </c>
      <c r="J468" t="s">
        <v>6026</v>
      </c>
      <c r="K468" t="s">
        <v>27</v>
      </c>
      <c r="L468">
        <v>11538.46</v>
      </c>
      <c r="M468">
        <v>457</v>
      </c>
      <c r="N468" t="s">
        <v>34</v>
      </c>
      <c r="O468" t="s">
        <v>64</v>
      </c>
    </row>
    <row r="469" spans="1:15" x14ac:dyDescent="0.3">
      <c r="A469" t="s">
        <v>6025</v>
      </c>
      <c r="B469" t="s">
        <v>6024</v>
      </c>
      <c r="C469" t="s">
        <v>123</v>
      </c>
      <c r="D469">
        <v>41</v>
      </c>
      <c r="E469" t="s">
        <v>47</v>
      </c>
      <c r="F469" t="s">
        <v>46</v>
      </c>
      <c r="G469" s="8">
        <v>46049</v>
      </c>
      <c r="H469" s="8">
        <v>46070</v>
      </c>
      <c r="I469" t="s">
        <v>8556</v>
      </c>
      <c r="J469" t="s">
        <v>6022</v>
      </c>
      <c r="K469" t="s">
        <v>64</v>
      </c>
      <c r="L469">
        <v>9609.81</v>
      </c>
      <c r="M469">
        <v>266</v>
      </c>
      <c r="N469" t="s">
        <v>43</v>
      </c>
      <c r="O469" t="s">
        <v>64</v>
      </c>
    </row>
    <row r="470" spans="1:15" x14ac:dyDescent="0.3">
      <c r="A470" t="s">
        <v>6021</v>
      </c>
      <c r="B470" t="s">
        <v>6020</v>
      </c>
      <c r="C470" t="s">
        <v>40</v>
      </c>
      <c r="D470">
        <v>24</v>
      </c>
      <c r="E470" t="s">
        <v>132</v>
      </c>
      <c r="F470" t="s">
        <v>8077</v>
      </c>
      <c r="G470" s="8">
        <v>45976</v>
      </c>
      <c r="H470" s="8">
        <v>45984</v>
      </c>
      <c r="I470" t="s">
        <v>8557</v>
      </c>
      <c r="J470" t="s">
        <v>6018</v>
      </c>
      <c r="K470" t="s">
        <v>123</v>
      </c>
      <c r="L470">
        <v>23971.47</v>
      </c>
      <c r="M470">
        <v>287</v>
      </c>
      <c r="N470" t="s">
        <v>71</v>
      </c>
      <c r="O470" t="s">
        <v>17</v>
      </c>
    </row>
    <row r="471" spans="1:15" x14ac:dyDescent="0.3">
      <c r="A471" t="s">
        <v>6017</v>
      </c>
      <c r="B471" t="s">
        <v>6016</v>
      </c>
      <c r="C471" t="s">
        <v>123</v>
      </c>
      <c r="D471">
        <v>55</v>
      </c>
      <c r="E471" t="s">
        <v>21</v>
      </c>
      <c r="F471" t="s">
        <v>67</v>
      </c>
      <c r="G471" s="8">
        <v>46100</v>
      </c>
      <c r="H471" s="8">
        <v>46122</v>
      </c>
      <c r="I471" t="s">
        <v>8558</v>
      </c>
      <c r="J471" t="s">
        <v>6014</v>
      </c>
      <c r="K471" t="s">
        <v>64</v>
      </c>
      <c r="L471">
        <v>9253.93</v>
      </c>
      <c r="M471">
        <v>243</v>
      </c>
      <c r="N471" t="s">
        <v>16</v>
      </c>
      <c r="O471" t="s">
        <v>123</v>
      </c>
    </row>
    <row r="472" spans="1:15" x14ac:dyDescent="0.3">
      <c r="A472" t="s">
        <v>6013</v>
      </c>
      <c r="B472" t="s">
        <v>6012</v>
      </c>
      <c r="C472" t="s">
        <v>40</v>
      </c>
      <c r="D472">
        <v>74</v>
      </c>
      <c r="E472" t="s">
        <v>39</v>
      </c>
      <c r="F472" t="s">
        <v>8077</v>
      </c>
      <c r="G472" s="8">
        <v>45986</v>
      </c>
      <c r="H472" s="8">
        <v>46012</v>
      </c>
      <c r="I472" t="s">
        <v>8559</v>
      </c>
      <c r="J472" t="s">
        <v>6010</v>
      </c>
      <c r="K472" t="s">
        <v>64</v>
      </c>
      <c r="L472">
        <v>18076.22</v>
      </c>
      <c r="M472">
        <v>384</v>
      </c>
      <c r="N472" t="s">
        <v>16</v>
      </c>
      <c r="O472" t="s">
        <v>57</v>
      </c>
    </row>
    <row r="473" spans="1:15" x14ac:dyDescent="0.3">
      <c r="A473" t="s">
        <v>6009</v>
      </c>
      <c r="B473" t="s">
        <v>6008</v>
      </c>
      <c r="C473" t="s">
        <v>123</v>
      </c>
      <c r="D473">
        <v>26</v>
      </c>
      <c r="E473" t="s">
        <v>39</v>
      </c>
      <c r="F473" t="s">
        <v>20</v>
      </c>
      <c r="G473" s="8">
        <v>46108</v>
      </c>
      <c r="H473" s="8">
        <v>46123</v>
      </c>
      <c r="I473" t="s">
        <v>8560</v>
      </c>
      <c r="J473" t="s">
        <v>6006</v>
      </c>
      <c r="K473" t="s">
        <v>27</v>
      </c>
      <c r="L473">
        <v>4579.8599999999997</v>
      </c>
      <c r="M473">
        <v>168</v>
      </c>
      <c r="N473" t="s">
        <v>50</v>
      </c>
      <c r="O473" t="s">
        <v>123</v>
      </c>
    </row>
    <row r="474" spans="1:15" x14ac:dyDescent="0.3">
      <c r="A474" t="s">
        <v>6005</v>
      </c>
      <c r="B474" t="s">
        <v>6004</v>
      </c>
      <c r="C474" t="s">
        <v>74</v>
      </c>
      <c r="D474">
        <v>63</v>
      </c>
      <c r="E474" t="s">
        <v>132</v>
      </c>
      <c r="F474" t="s">
        <v>30</v>
      </c>
      <c r="G474" s="8">
        <v>46126</v>
      </c>
      <c r="H474" s="8">
        <v>46143</v>
      </c>
      <c r="I474" t="s">
        <v>8561</v>
      </c>
      <c r="J474" t="s">
        <v>6002</v>
      </c>
      <c r="K474" t="s">
        <v>27</v>
      </c>
      <c r="L474">
        <v>10080.370000000001</v>
      </c>
      <c r="M474">
        <v>130</v>
      </c>
      <c r="N474" t="s">
        <v>71</v>
      </c>
      <c r="O474" t="s">
        <v>26</v>
      </c>
    </row>
    <row r="475" spans="1:15" x14ac:dyDescent="0.3">
      <c r="A475" t="s">
        <v>6001</v>
      </c>
      <c r="B475" t="s">
        <v>6000</v>
      </c>
      <c r="C475" t="s">
        <v>40</v>
      </c>
      <c r="D475">
        <v>61</v>
      </c>
      <c r="E475" t="s">
        <v>80</v>
      </c>
      <c r="F475" t="s">
        <v>85</v>
      </c>
      <c r="G475" s="8">
        <v>46008</v>
      </c>
      <c r="H475" s="8">
        <v>46031</v>
      </c>
      <c r="I475" t="s">
        <v>8562</v>
      </c>
      <c r="J475" t="s">
        <v>5998</v>
      </c>
      <c r="K475" t="s">
        <v>64</v>
      </c>
      <c r="L475">
        <v>6642.27</v>
      </c>
      <c r="M475">
        <v>386</v>
      </c>
      <c r="N475" t="s">
        <v>34</v>
      </c>
      <c r="O475" t="s">
        <v>17</v>
      </c>
    </row>
    <row r="476" spans="1:15" x14ac:dyDescent="0.3">
      <c r="A476" t="s">
        <v>5997</v>
      </c>
      <c r="B476" t="s">
        <v>5996</v>
      </c>
      <c r="C476" t="s">
        <v>40</v>
      </c>
      <c r="D476">
        <v>45</v>
      </c>
      <c r="E476" t="s">
        <v>47</v>
      </c>
      <c r="F476" t="s">
        <v>67</v>
      </c>
      <c r="G476" s="8">
        <v>46073</v>
      </c>
      <c r="H476" s="8">
        <v>46076</v>
      </c>
      <c r="I476" t="s">
        <v>8563</v>
      </c>
      <c r="J476" t="s">
        <v>5994</v>
      </c>
      <c r="K476" t="s">
        <v>64</v>
      </c>
      <c r="L476">
        <v>21710.74</v>
      </c>
      <c r="M476">
        <v>395</v>
      </c>
      <c r="N476" t="s">
        <v>34</v>
      </c>
      <c r="O476" t="s">
        <v>57</v>
      </c>
    </row>
    <row r="477" spans="1:15" x14ac:dyDescent="0.3">
      <c r="A477" t="s">
        <v>5993</v>
      </c>
      <c r="B477" t="s">
        <v>5992</v>
      </c>
      <c r="C477" t="s">
        <v>40</v>
      </c>
      <c r="D477">
        <v>37</v>
      </c>
      <c r="E477" t="s">
        <v>31</v>
      </c>
      <c r="F477" t="s">
        <v>67</v>
      </c>
      <c r="G477" s="8">
        <v>46134</v>
      </c>
      <c r="H477" s="8">
        <v>46155</v>
      </c>
      <c r="I477" t="s">
        <v>8564</v>
      </c>
      <c r="J477" t="s">
        <v>5990</v>
      </c>
      <c r="K477" t="s">
        <v>123</v>
      </c>
      <c r="L477">
        <v>19413.66</v>
      </c>
      <c r="M477">
        <v>140</v>
      </c>
      <c r="N477" t="s">
        <v>16</v>
      </c>
      <c r="O477" t="s">
        <v>123</v>
      </c>
    </row>
    <row r="478" spans="1:15" x14ac:dyDescent="0.3">
      <c r="A478" t="s">
        <v>5989</v>
      </c>
      <c r="B478" t="s">
        <v>5988</v>
      </c>
      <c r="C478" t="s">
        <v>40</v>
      </c>
      <c r="D478">
        <v>60</v>
      </c>
      <c r="E478" t="s">
        <v>39</v>
      </c>
      <c r="F478" t="s">
        <v>20</v>
      </c>
      <c r="G478" s="8">
        <v>45984</v>
      </c>
      <c r="H478" s="8">
        <v>46004</v>
      </c>
      <c r="I478" t="s">
        <v>8565</v>
      </c>
      <c r="J478" t="s">
        <v>5986</v>
      </c>
      <c r="K478" t="s">
        <v>64</v>
      </c>
      <c r="L478">
        <v>10661.05</v>
      </c>
      <c r="M478">
        <v>534</v>
      </c>
      <c r="N478" t="s">
        <v>77</v>
      </c>
      <c r="O478" t="s">
        <v>123</v>
      </c>
    </row>
    <row r="479" spans="1:15" x14ac:dyDescent="0.3">
      <c r="A479" t="s">
        <v>5985</v>
      </c>
      <c r="B479" t="s">
        <v>5984</v>
      </c>
      <c r="C479" t="s">
        <v>74</v>
      </c>
      <c r="D479">
        <v>21</v>
      </c>
      <c r="E479" t="s">
        <v>31</v>
      </c>
      <c r="F479" t="s">
        <v>8077</v>
      </c>
      <c r="G479" s="8">
        <v>46062</v>
      </c>
      <c r="H479" s="8">
        <v>46072</v>
      </c>
      <c r="I479" t="s">
        <v>8566</v>
      </c>
      <c r="J479" t="s">
        <v>5982</v>
      </c>
      <c r="K479" t="s">
        <v>64</v>
      </c>
      <c r="L479">
        <v>16394.72</v>
      </c>
      <c r="M479">
        <v>409</v>
      </c>
      <c r="N479" t="s">
        <v>25</v>
      </c>
      <c r="O479" t="s">
        <v>63</v>
      </c>
    </row>
    <row r="480" spans="1:15" x14ac:dyDescent="0.3">
      <c r="A480" t="s">
        <v>5981</v>
      </c>
      <c r="B480" t="s">
        <v>5980</v>
      </c>
      <c r="C480" t="s">
        <v>123</v>
      </c>
      <c r="D480">
        <v>35</v>
      </c>
      <c r="E480" t="s">
        <v>68</v>
      </c>
      <c r="F480" t="s">
        <v>67</v>
      </c>
      <c r="G480" s="8">
        <v>46053</v>
      </c>
      <c r="H480" s="8">
        <v>46076</v>
      </c>
      <c r="I480" t="s">
        <v>8567</v>
      </c>
      <c r="J480" t="s">
        <v>5978</v>
      </c>
      <c r="K480" t="s">
        <v>123</v>
      </c>
      <c r="L480">
        <v>10466.93</v>
      </c>
      <c r="M480">
        <v>537</v>
      </c>
      <c r="N480" t="s">
        <v>77</v>
      </c>
      <c r="O480" t="s">
        <v>26</v>
      </c>
    </row>
    <row r="481" spans="1:15" x14ac:dyDescent="0.3">
      <c r="A481" t="s">
        <v>5977</v>
      </c>
      <c r="B481" t="s">
        <v>5976</v>
      </c>
      <c r="C481" t="s">
        <v>40</v>
      </c>
      <c r="D481">
        <v>31</v>
      </c>
      <c r="E481" t="s">
        <v>132</v>
      </c>
      <c r="F481" t="s">
        <v>20</v>
      </c>
      <c r="G481" s="8">
        <v>46005</v>
      </c>
      <c r="H481" s="8">
        <v>46011</v>
      </c>
      <c r="I481" t="s">
        <v>8568</v>
      </c>
      <c r="J481" t="s">
        <v>5974</v>
      </c>
      <c r="K481" t="s">
        <v>27</v>
      </c>
      <c r="L481">
        <v>10046.73</v>
      </c>
      <c r="M481">
        <v>132</v>
      </c>
      <c r="N481" t="s">
        <v>16</v>
      </c>
      <c r="O481" t="s">
        <v>64</v>
      </c>
    </row>
    <row r="482" spans="1:15" x14ac:dyDescent="0.3">
      <c r="A482" t="s">
        <v>5970</v>
      </c>
      <c r="B482" t="s">
        <v>5969</v>
      </c>
      <c r="C482" t="s">
        <v>40</v>
      </c>
      <c r="D482">
        <v>30</v>
      </c>
      <c r="E482" t="s">
        <v>21</v>
      </c>
      <c r="F482" t="s">
        <v>30</v>
      </c>
      <c r="G482" s="8">
        <v>46089</v>
      </c>
      <c r="H482" s="8">
        <v>46103</v>
      </c>
      <c r="I482" t="s">
        <v>8569</v>
      </c>
      <c r="J482" t="s">
        <v>5967</v>
      </c>
      <c r="K482" t="s">
        <v>27</v>
      </c>
      <c r="L482">
        <v>3455.67</v>
      </c>
      <c r="M482">
        <v>114</v>
      </c>
      <c r="N482" t="s">
        <v>77</v>
      </c>
      <c r="O482" t="s">
        <v>26</v>
      </c>
    </row>
    <row r="483" spans="1:15" x14ac:dyDescent="0.3">
      <c r="A483" t="s">
        <v>5966</v>
      </c>
      <c r="B483" t="s">
        <v>5965</v>
      </c>
      <c r="C483" t="s">
        <v>74</v>
      </c>
      <c r="D483">
        <v>42</v>
      </c>
      <c r="E483" t="s">
        <v>68</v>
      </c>
      <c r="F483" t="s">
        <v>85</v>
      </c>
      <c r="G483" s="8">
        <v>46040</v>
      </c>
      <c r="H483" s="8">
        <v>46067</v>
      </c>
      <c r="I483" t="s">
        <v>8570</v>
      </c>
      <c r="J483" t="s">
        <v>5963</v>
      </c>
      <c r="K483" t="s">
        <v>27</v>
      </c>
      <c r="L483">
        <v>13803.92</v>
      </c>
      <c r="M483">
        <v>457</v>
      </c>
      <c r="N483" t="s">
        <v>34</v>
      </c>
      <c r="O483" t="s">
        <v>26</v>
      </c>
    </row>
    <row r="484" spans="1:15" x14ac:dyDescent="0.3">
      <c r="A484" t="s">
        <v>5962</v>
      </c>
      <c r="B484" t="s">
        <v>5961</v>
      </c>
      <c r="C484" t="s">
        <v>40</v>
      </c>
      <c r="D484">
        <v>76</v>
      </c>
      <c r="E484" t="s">
        <v>68</v>
      </c>
      <c r="F484" t="s">
        <v>67</v>
      </c>
      <c r="G484" s="8">
        <v>46115</v>
      </c>
      <c r="H484" s="8">
        <v>46131</v>
      </c>
      <c r="I484" t="s">
        <v>8571</v>
      </c>
      <c r="J484" t="s">
        <v>5959</v>
      </c>
      <c r="K484" t="s">
        <v>27</v>
      </c>
      <c r="L484">
        <v>22741.29</v>
      </c>
      <c r="M484">
        <v>376</v>
      </c>
      <c r="N484" t="s">
        <v>71</v>
      </c>
      <c r="O484" t="s">
        <v>123</v>
      </c>
    </row>
    <row r="485" spans="1:15" x14ac:dyDescent="0.3">
      <c r="A485" t="s">
        <v>5958</v>
      </c>
      <c r="B485" t="s">
        <v>5957</v>
      </c>
      <c r="C485" t="s">
        <v>74</v>
      </c>
      <c r="D485">
        <v>57</v>
      </c>
      <c r="E485" t="s">
        <v>132</v>
      </c>
      <c r="F485" t="s">
        <v>67</v>
      </c>
      <c r="G485" s="8">
        <v>46044</v>
      </c>
      <c r="H485" s="8">
        <v>46057</v>
      </c>
      <c r="I485" t="s">
        <v>8572</v>
      </c>
      <c r="J485" t="s">
        <v>5955</v>
      </c>
      <c r="K485" t="s">
        <v>27</v>
      </c>
      <c r="L485">
        <v>4061.79</v>
      </c>
      <c r="M485">
        <v>100</v>
      </c>
      <c r="N485" t="s">
        <v>34</v>
      </c>
      <c r="O485" t="s">
        <v>27</v>
      </c>
    </row>
    <row r="486" spans="1:15" x14ac:dyDescent="0.3">
      <c r="A486" t="s">
        <v>5954</v>
      </c>
      <c r="B486" t="s">
        <v>5953</v>
      </c>
      <c r="C486" t="s">
        <v>40</v>
      </c>
      <c r="D486">
        <v>45</v>
      </c>
      <c r="E486" t="s">
        <v>132</v>
      </c>
      <c r="F486" t="s">
        <v>85</v>
      </c>
      <c r="G486" s="8">
        <v>46108</v>
      </c>
      <c r="H486" s="8">
        <v>46125</v>
      </c>
      <c r="I486" t="s">
        <v>8573</v>
      </c>
      <c r="J486" t="s">
        <v>5951</v>
      </c>
      <c r="K486" t="s">
        <v>27</v>
      </c>
      <c r="L486">
        <v>17256.7</v>
      </c>
      <c r="M486">
        <v>486</v>
      </c>
      <c r="N486" t="s">
        <v>16</v>
      </c>
      <c r="O486" t="s">
        <v>123</v>
      </c>
    </row>
    <row r="487" spans="1:15" x14ac:dyDescent="0.3">
      <c r="A487" t="s">
        <v>5950</v>
      </c>
      <c r="B487" t="s">
        <v>5949</v>
      </c>
      <c r="C487" t="s">
        <v>40</v>
      </c>
      <c r="D487">
        <v>2</v>
      </c>
      <c r="E487" t="s">
        <v>54</v>
      </c>
      <c r="F487" t="s">
        <v>30</v>
      </c>
      <c r="G487" s="8">
        <v>46067</v>
      </c>
      <c r="H487" s="8">
        <v>46086</v>
      </c>
      <c r="I487" t="s">
        <v>8574</v>
      </c>
      <c r="J487" t="s">
        <v>5947</v>
      </c>
      <c r="K487" t="s">
        <v>64</v>
      </c>
      <c r="L487">
        <v>19959.830000000002</v>
      </c>
      <c r="M487">
        <v>196</v>
      </c>
      <c r="N487" t="s">
        <v>16</v>
      </c>
      <c r="O487" t="s">
        <v>17</v>
      </c>
    </row>
    <row r="488" spans="1:15" x14ac:dyDescent="0.3">
      <c r="A488" t="s">
        <v>5946</v>
      </c>
      <c r="B488" t="s">
        <v>5945</v>
      </c>
      <c r="C488" t="s">
        <v>123</v>
      </c>
      <c r="D488">
        <v>51</v>
      </c>
      <c r="E488" t="s">
        <v>21</v>
      </c>
      <c r="F488" t="s">
        <v>20</v>
      </c>
      <c r="G488" s="8">
        <v>45981</v>
      </c>
      <c r="H488" s="8">
        <v>46003</v>
      </c>
      <c r="I488" t="s">
        <v>8575</v>
      </c>
      <c r="J488" t="s">
        <v>5943</v>
      </c>
      <c r="K488" t="s">
        <v>123</v>
      </c>
      <c r="L488">
        <v>20744.990000000002</v>
      </c>
      <c r="M488">
        <v>234</v>
      </c>
      <c r="N488" t="s">
        <v>77</v>
      </c>
      <c r="O488" t="s">
        <v>57</v>
      </c>
    </row>
    <row r="489" spans="1:15" x14ac:dyDescent="0.3">
      <c r="A489" t="s">
        <v>5942</v>
      </c>
      <c r="B489" t="s">
        <v>5941</v>
      </c>
      <c r="C489" t="s">
        <v>123</v>
      </c>
      <c r="D489">
        <v>81</v>
      </c>
      <c r="E489" t="s">
        <v>21</v>
      </c>
      <c r="F489" t="s">
        <v>30</v>
      </c>
      <c r="G489" s="8">
        <v>46065</v>
      </c>
      <c r="H489" s="8">
        <v>46074</v>
      </c>
      <c r="I489" t="s">
        <v>8576</v>
      </c>
      <c r="J489" t="s">
        <v>5939</v>
      </c>
      <c r="K489" t="s">
        <v>27</v>
      </c>
      <c r="L489">
        <v>10440.02</v>
      </c>
      <c r="M489">
        <v>193</v>
      </c>
      <c r="N489" t="s">
        <v>71</v>
      </c>
      <c r="O489" t="s">
        <v>64</v>
      </c>
    </row>
    <row r="490" spans="1:15" x14ac:dyDescent="0.3">
      <c r="A490" t="s">
        <v>5938</v>
      </c>
      <c r="B490" t="s">
        <v>5937</v>
      </c>
      <c r="C490" t="s">
        <v>40</v>
      </c>
      <c r="D490">
        <v>15</v>
      </c>
      <c r="E490" t="s">
        <v>68</v>
      </c>
      <c r="F490" t="s">
        <v>85</v>
      </c>
      <c r="G490" s="8">
        <v>46038</v>
      </c>
      <c r="H490" s="8">
        <v>46046</v>
      </c>
      <c r="I490" t="s">
        <v>8577</v>
      </c>
      <c r="J490" t="s">
        <v>5935</v>
      </c>
      <c r="K490" t="s">
        <v>123</v>
      </c>
      <c r="L490">
        <v>4857.18</v>
      </c>
      <c r="M490">
        <v>177</v>
      </c>
      <c r="N490" t="s">
        <v>77</v>
      </c>
      <c r="O490" t="s">
        <v>27</v>
      </c>
    </row>
    <row r="491" spans="1:15" x14ac:dyDescent="0.3">
      <c r="A491" t="s">
        <v>5930</v>
      </c>
      <c r="B491" t="s">
        <v>5929</v>
      </c>
      <c r="C491" t="s">
        <v>40</v>
      </c>
      <c r="D491">
        <v>2</v>
      </c>
      <c r="E491" t="s">
        <v>68</v>
      </c>
      <c r="F491" t="s">
        <v>8077</v>
      </c>
      <c r="G491" s="8">
        <v>46002</v>
      </c>
      <c r="H491" s="8">
        <v>46012</v>
      </c>
      <c r="I491" t="s">
        <v>8578</v>
      </c>
      <c r="J491" t="s">
        <v>5927</v>
      </c>
      <c r="K491" t="s">
        <v>123</v>
      </c>
      <c r="L491">
        <v>7927.1</v>
      </c>
      <c r="M491">
        <v>290</v>
      </c>
      <c r="N491" t="s">
        <v>16</v>
      </c>
      <c r="O491" t="s">
        <v>123</v>
      </c>
    </row>
    <row r="492" spans="1:15" x14ac:dyDescent="0.3">
      <c r="A492" t="s">
        <v>5926</v>
      </c>
      <c r="B492" t="s">
        <v>5925</v>
      </c>
      <c r="C492" t="s">
        <v>40</v>
      </c>
      <c r="D492">
        <v>43</v>
      </c>
      <c r="E492" t="s">
        <v>80</v>
      </c>
      <c r="F492" t="s">
        <v>20</v>
      </c>
      <c r="G492" s="8">
        <v>46012</v>
      </c>
      <c r="H492" s="8">
        <v>46013</v>
      </c>
      <c r="I492" t="s">
        <v>8579</v>
      </c>
      <c r="J492" t="s">
        <v>5923</v>
      </c>
      <c r="K492" t="s">
        <v>27</v>
      </c>
      <c r="L492">
        <v>19436.189999999999</v>
      </c>
      <c r="M492">
        <v>378</v>
      </c>
      <c r="N492" t="s">
        <v>16</v>
      </c>
      <c r="O492" t="s">
        <v>64</v>
      </c>
    </row>
    <row r="493" spans="1:15" x14ac:dyDescent="0.3">
      <c r="A493" t="s">
        <v>5922</v>
      </c>
      <c r="B493" t="s">
        <v>5921</v>
      </c>
      <c r="C493" t="s">
        <v>40</v>
      </c>
      <c r="D493">
        <v>25</v>
      </c>
      <c r="E493" t="s">
        <v>132</v>
      </c>
      <c r="F493" t="s">
        <v>67</v>
      </c>
      <c r="G493" s="8">
        <v>45999</v>
      </c>
      <c r="H493" s="8">
        <v>46025</v>
      </c>
      <c r="I493" t="s">
        <v>8580</v>
      </c>
      <c r="J493" t="s">
        <v>5919</v>
      </c>
      <c r="K493" t="s">
        <v>27</v>
      </c>
      <c r="L493">
        <v>3224.65</v>
      </c>
      <c r="M493">
        <v>297</v>
      </c>
      <c r="N493" t="s">
        <v>50</v>
      </c>
      <c r="O493" t="s">
        <v>57</v>
      </c>
    </row>
    <row r="494" spans="1:15" x14ac:dyDescent="0.3">
      <c r="A494" t="s">
        <v>5918</v>
      </c>
      <c r="B494" t="s">
        <v>5917</v>
      </c>
      <c r="C494" t="s">
        <v>123</v>
      </c>
      <c r="D494">
        <v>32</v>
      </c>
      <c r="E494" t="s">
        <v>47</v>
      </c>
      <c r="F494" t="s">
        <v>8077</v>
      </c>
      <c r="G494" s="8">
        <v>45977</v>
      </c>
      <c r="H494" s="8">
        <v>45991</v>
      </c>
      <c r="I494" t="s">
        <v>8581</v>
      </c>
      <c r="J494" t="s">
        <v>5915</v>
      </c>
      <c r="K494" t="s">
        <v>64</v>
      </c>
      <c r="L494">
        <v>13124.25</v>
      </c>
      <c r="M494">
        <v>342</v>
      </c>
      <c r="N494" t="s">
        <v>16</v>
      </c>
      <c r="O494" t="s">
        <v>57</v>
      </c>
    </row>
    <row r="495" spans="1:15" x14ac:dyDescent="0.3">
      <c r="A495" t="s">
        <v>5914</v>
      </c>
      <c r="B495" t="s">
        <v>5913</v>
      </c>
      <c r="C495" t="s">
        <v>40</v>
      </c>
      <c r="D495">
        <v>42</v>
      </c>
      <c r="E495" t="s">
        <v>39</v>
      </c>
      <c r="F495" t="s">
        <v>46</v>
      </c>
      <c r="G495" s="8">
        <v>46013</v>
      </c>
      <c r="H495" s="8">
        <v>46036</v>
      </c>
      <c r="I495" t="s">
        <v>8582</v>
      </c>
      <c r="J495" t="s">
        <v>5911</v>
      </c>
      <c r="K495" t="s">
        <v>64</v>
      </c>
      <c r="L495">
        <v>6482.16</v>
      </c>
      <c r="M495" t="s">
        <v>123</v>
      </c>
      <c r="N495" t="s">
        <v>43</v>
      </c>
      <c r="O495" t="s">
        <v>63</v>
      </c>
    </row>
    <row r="496" spans="1:15" x14ac:dyDescent="0.3">
      <c r="A496" t="s">
        <v>5910</v>
      </c>
      <c r="B496" t="s">
        <v>5909</v>
      </c>
      <c r="C496" t="s">
        <v>40</v>
      </c>
      <c r="D496">
        <v>86</v>
      </c>
      <c r="E496" t="s">
        <v>21</v>
      </c>
      <c r="F496" t="s">
        <v>20</v>
      </c>
      <c r="G496" s="8">
        <v>46016</v>
      </c>
      <c r="H496" s="8">
        <v>46023</v>
      </c>
      <c r="I496" t="s">
        <v>8583</v>
      </c>
      <c r="J496" t="s">
        <v>5907</v>
      </c>
      <c r="K496" t="s">
        <v>123</v>
      </c>
      <c r="L496">
        <v>8247.93</v>
      </c>
      <c r="M496">
        <v>506</v>
      </c>
      <c r="N496" t="s">
        <v>43</v>
      </c>
      <c r="O496" t="s">
        <v>26</v>
      </c>
    </row>
    <row r="497" spans="1:15" x14ac:dyDescent="0.3">
      <c r="A497" t="s">
        <v>5906</v>
      </c>
      <c r="B497" t="s">
        <v>5905</v>
      </c>
      <c r="C497" t="s">
        <v>74</v>
      </c>
      <c r="D497">
        <v>51</v>
      </c>
      <c r="E497" t="s">
        <v>21</v>
      </c>
      <c r="F497" t="s">
        <v>46</v>
      </c>
      <c r="G497" s="8">
        <v>45980</v>
      </c>
      <c r="H497" s="8">
        <v>45981</v>
      </c>
      <c r="I497" t="s">
        <v>8584</v>
      </c>
      <c r="J497" t="s">
        <v>5903</v>
      </c>
      <c r="K497" t="s">
        <v>123</v>
      </c>
      <c r="L497">
        <v>17272.48</v>
      </c>
      <c r="M497">
        <v>290</v>
      </c>
      <c r="N497" t="s">
        <v>50</v>
      </c>
      <c r="O497" t="s">
        <v>26</v>
      </c>
    </row>
    <row r="498" spans="1:15" x14ac:dyDescent="0.3">
      <c r="A498" t="s">
        <v>5902</v>
      </c>
      <c r="B498" t="s">
        <v>5901</v>
      </c>
      <c r="C498" t="s">
        <v>74</v>
      </c>
      <c r="D498">
        <v>32</v>
      </c>
      <c r="E498" t="s">
        <v>39</v>
      </c>
      <c r="F498" t="s">
        <v>85</v>
      </c>
      <c r="G498" s="8">
        <v>45986</v>
      </c>
      <c r="H498" s="8">
        <v>45988</v>
      </c>
      <c r="I498" t="s">
        <v>8585</v>
      </c>
      <c r="J498" t="s">
        <v>5899</v>
      </c>
      <c r="K498" t="s">
        <v>64</v>
      </c>
      <c r="L498">
        <v>23285.05</v>
      </c>
      <c r="M498">
        <v>130</v>
      </c>
      <c r="N498" t="s">
        <v>43</v>
      </c>
      <c r="O498" t="s">
        <v>27</v>
      </c>
    </row>
    <row r="499" spans="1:15" x14ac:dyDescent="0.3">
      <c r="A499" t="s">
        <v>5898</v>
      </c>
      <c r="B499" t="s">
        <v>5897</v>
      </c>
      <c r="C499" t="s">
        <v>40</v>
      </c>
      <c r="D499">
        <v>90</v>
      </c>
      <c r="E499" t="s">
        <v>80</v>
      </c>
      <c r="F499" t="s">
        <v>20</v>
      </c>
      <c r="G499" s="8">
        <v>46036</v>
      </c>
      <c r="H499" s="8">
        <v>46051</v>
      </c>
      <c r="I499" t="s">
        <v>8586</v>
      </c>
      <c r="J499" t="s">
        <v>5895</v>
      </c>
      <c r="K499" t="s">
        <v>64</v>
      </c>
      <c r="L499">
        <v>8055.14</v>
      </c>
      <c r="M499">
        <v>512</v>
      </c>
      <c r="N499" t="s">
        <v>16</v>
      </c>
      <c r="O499" t="s">
        <v>17</v>
      </c>
    </row>
    <row r="500" spans="1:15" x14ac:dyDescent="0.3">
      <c r="A500" t="s">
        <v>5894</v>
      </c>
      <c r="B500" t="s">
        <v>5893</v>
      </c>
      <c r="C500" t="s">
        <v>74</v>
      </c>
      <c r="D500">
        <v>3</v>
      </c>
      <c r="E500" t="s">
        <v>54</v>
      </c>
      <c r="F500" t="s">
        <v>67</v>
      </c>
      <c r="G500" s="8">
        <v>46084</v>
      </c>
      <c r="H500" s="8">
        <v>46107</v>
      </c>
      <c r="I500" t="s">
        <v>8587</v>
      </c>
      <c r="J500" t="s">
        <v>5891</v>
      </c>
      <c r="K500" t="s">
        <v>27</v>
      </c>
      <c r="L500">
        <v>6417.27</v>
      </c>
      <c r="M500">
        <v>348</v>
      </c>
      <c r="N500" t="s">
        <v>25</v>
      </c>
      <c r="O500" t="s">
        <v>27</v>
      </c>
    </row>
    <row r="501" spans="1:15" x14ac:dyDescent="0.3">
      <c r="A501" t="s">
        <v>5890</v>
      </c>
      <c r="B501" t="s">
        <v>5889</v>
      </c>
      <c r="C501" t="s">
        <v>123</v>
      </c>
      <c r="D501">
        <v>72</v>
      </c>
      <c r="E501" t="s">
        <v>132</v>
      </c>
      <c r="F501" t="s">
        <v>85</v>
      </c>
      <c r="G501" s="8">
        <v>46028</v>
      </c>
      <c r="H501" s="8">
        <v>46034</v>
      </c>
      <c r="I501" t="s">
        <v>8588</v>
      </c>
      <c r="J501" t="s">
        <v>5887</v>
      </c>
      <c r="K501" t="s">
        <v>27</v>
      </c>
      <c r="L501">
        <v>13681.79</v>
      </c>
      <c r="M501">
        <v>474</v>
      </c>
      <c r="N501" t="s">
        <v>16</v>
      </c>
      <c r="O501" t="s">
        <v>17</v>
      </c>
    </row>
    <row r="502" spans="1:15" x14ac:dyDescent="0.3">
      <c r="A502" t="s">
        <v>5886</v>
      </c>
      <c r="B502" t="s">
        <v>5885</v>
      </c>
      <c r="C502" t="s">
        <v>40</v>
      </c>
      <c r="D502">
        <v>77</v>
      </c>
      <c r="E502" t="s">
        <v>39</v>
      </c>
      <c r="F502" t="s">
        <v>20</v>
      </c>
      <c r="G502" s="8">
        <v>45981</v>
      </c>
      <c r="H502" s="8">
        <v>45997</v>
      </c>
      <c r="I502" t="s">
        <v>8589</v>
      </c>
      <c r="J502" t="s">
        <v>5883</v>
      </c>
      <c r="K502" t="s">
        <v>27</v>
      </c>
      <c r="L502">
        <v>11344.73</v>
      </c>
      <c r="M502">
        <v>377</v>
      </c>
      <c r="N502" t="s">
        <v>43</v>
      </c>
      <c r="O502" t="s">
        <v>63</v>
      </c>
    </row>
    <row r="503" spans="1:15" x14ac:dyDescent="0.3">
      <c r="A503" t="s">
        <v>5882</v>
      </c>
      <c r="B503" t="s">
        <v>5881</v>
      </c>
      <c r="C503" t="s">
        <v>123</v>
      </c>
      <c r="D503">
        <v>1</v>
      </c>
      <c r="E503" t="s">
        <v>54</v>
      </c>
      <c r="F503" t="s">
        <v>20</v>
      </c>
      <c r="G503" s="8">
        <v>45997</v>
      </c>
      <c r="H503" s="8">
        <v>46025</v>
      </c>
      <c r="I503" t="s">
        <v>8590</v>
      </c>
      <c r="J503" t="s">
        <v>5879</v>
      </c>
      <c r="K503" t="s">
        <v>27</v>
      </c>
      <c r="L503">
        <v>15569.42</v>
      </c>
      <c r="M503">
        <v>497</v>
      </c>
      <c r="N503" t="s">
        <v>34</v>
      </c>
      <c r="O503" t="s">
        <v>17</v>
      </c>
    </row>
    <row r="504" spans="1:15" x14ac:dyDescent="0.3">
      <c r="A504" t="s">
        <v>5878</v>
      </c>
      <c r="B504" t="s">
        <v>5877</v>
      </c>
      <c r="C504" t="s">
        <v>74</v>
      </c>
      <c r="D504">
        <v>42</v>
      </c>
      <c r="E504" t="s">
        <v>80</v>
      </c>
      <c r="F504" t="s">
        <v>67</v>
      </c>
      <c r="G504" s="8">
        <v>46101</v>
      </c>
      <c r="H504" s="8">
        <v>46107</v>
      </c>
      <c r="I504" t="s">
        <v>8591</v>
      </c>
      <c r="J504" t="s">
        <v>5875</v>
      </c>
      <c r="K504" t="s">
        <v>123</v>
      </c>
      <c r="L504">
        <v>19190.21</v>
      </c>
      <c r="M504">
        <v>413</v>
      </c>
      <c r="N504" t="s">
        <v>43</v>
      </c>
      <c r="O504" t="s">
        <v>26</v>
      </c>
    </row>
    <row r="505" spans="1:15" x14ac:dyDescent="0.3">
      <c r="A505" t="s">
        <v>5874</v>
      </c>
      <c r="B505" t="s">
        <v>5873</v>
      </c>
      <c r="C505" t="s">
        <v>74</v>
      </c>
      <c r="D505">
        <v>53</v>
      </c>
      <c r="E505" t="s">
        <v>31</v>
      </c>
      <c r="F505" t="s">
        <v>20</v>
      </c>
      <c r="G505" s="8">
        <v>46094</v>
      </c>
      <c r="H505" s="8">
        <v>46097</v>
      </c>
      <c r="I505" t="s">
        <v>8592</v>
      </c>
      <c r="J505" t="s">
        <v>5871</v>
      </c>
      <c r="K505" t="s">
        <v>64</v>
      </c>
      <c r="L505">
        <v>1285.68</v>
      </c>
      <c r="M505">
        <v>191</v>
      </c>
      <c r="N505" t="s">
        <v>50</v>
      </c>
      <c r="O505" t="s">
        <v>26</v>
      </c>
    </row>
    <row r="506" spans="1:15" x14ac:dyDescent="0.3">
      <c r="A506" t="s">
        <v>5870</v>
      </c>
      <c r="B506" t="s">
        <v>5869</v>
      </c>
      <c r="C506" t="s">
        <v>40</v>
      </c>
      <c r="D506">
        <v>26</v>
      </c>
      <c r="E506" t="s">
        <v>80</v>
      </c>
      <c r="F506" t="s">
        <v>85</v>
      </c>
      <c r="G506" s="8">
        <v>46069</v>
      </c>
      <c r="H506" s="8">
        <v>46075</v>
      </c>
      <c r="I506" t="s">
        <v>8593</v>
      </c>
      <c r="J506" t="s">
        <v>5867</v>
      </c>
      <c r="K506" t="s">
        <v>64</v>
      </c>
      <c r="L506">
        <v>989.07</v>
      </c>
      <c r="M506">
        <v>436</v>
      </c>
      <c r="N506" t="s">
        <v>16</v>
      </c>
      <c r="O506" t="s">
        <v>123</v>
      </c>
    </row>
    <row r="507" spans="1:15" x14ac:dyDescent="0.3">
      <c r="A507" t="s">
        <v>5866</v>
      </c>
      <c r="B507" t="s">
        <v>5865</v>
      </c>
      <c r="C507" t="s">
        <v>40</v>
      </c>
      <c r="D507">
        <v>7</v>
      </c>
      <c r="E507" t="s">
        <v>31</v>
      </c>
      <c r="F507" t="s">
        <v>8077</v>
      </c>
      <c r="G507" s="8">
        <v>46142</v>
      </c>
      <c r="H507" s="8">
        <v>46161</v>
      </c>
      <c r="I507" t="s">
        <v>8594</v>
      </c>
      <c r="J507" t="s">
        <v>5863</v>
      </c>
      <c r="K507" t="s">
        <v>64</v>
      </c>
      <c r="L507">
        <v>524.54</v>
      </c>
      <c r="M507">
        <v>435</v>
      </c>
      <c r="N507" t="s">
        <v>16</v>
      </c>
      <c r="O507" t="s">
        <v>57</v>
      </c>
    </row>
    <row r="508" spans="1:15" x14ac:dyDescent="0.3">
      <c r="A508" t="s">
        <v>5862</v>
      </c>
      <c r="B508" t="s">
        <v>5861</v>
      </c>
      <c r="C508" t="s">
        <v>74</v>
      </c>
      <c r="D508">
        <v>60</v>
      </c>
      <c r="E508" t="s">
        <v>47</v>
      </c>
      <c r="F508" t="s">
        <v>67</v>
      </c>
      <c r="G508" s="8">
        <v>46044</v>
      </c>
      <c r="H508" s="8">
        <v>46061</v>
      </c>
      <c r="I508" t="s">
        <v>8595</v>
      </c>
      <c r="J508" t="s">
        <v>5859</v>
      </c>
      <c r="K508" t="s">
        <v>123</v>
      </c>
      <c r="L508">
        <v>20586.259999999998</v>
      </c>
      <c r="M508">
        <v>521</v>
      </c>
      <c r="N508" t="s">
        <v>34</v>
      </c>
      <c r="O508" t="s">
        <v>27</v>
      </c>
    </row>
    <row r="509" spans="1:15" x14ac:dyDescent="0.3">
      <c r="A509" t="s">
        <v>5858</v>
      </c>
      <c r="B509" t="s">
        <v>5857</v>
      </c>
      <c r="C509" t="s">
        <v>40</v>
      </c>
      <c r="D509">
        <v>68</v>
      </c>
      <c r="E509" t="s">
        <v>47</v>
      </c>
      <c r="F509" t="s">
        <v>20</v>
      </c>
      <c r="G509" s="8">
        <v>46053</v>
      </c>
      <c r="H509" s="8">
        <v>46079</v>
      </c>
      <c r="I509" t="s">
        <v>8596</v>
      </c>
      <c r="J509" t="s">
        <v>5855</v>
      </c>
      <c r="K509" t="s">
        <v>27</v>
      </c>
      <c r="L509">
        <v>2132.8000000000002</v>
      </c>
      <c r="M509">
        <v>365</v>
      </c>
      <c r="N509" t="s">
        <v>77</v>
      </c>
      <c r="O509" t="s">
        <v>57</v>
      </c>
    </row>
    <row r="510" spans="1:15" x14ac:dyDescent="0.3">
      <c r="A510" t="s">
        <v>5854</v>
      </c>
      <c r="B510" t="s">
        <v>8047</v>
      </c>
      <c r="C510" t="s">
        <v>74</v>
      </c>
      <c r="D510">
        <v>30</v>
      </c>
      <c r="E510" t="s">
        <v>54</v>
      </c>
      <c r="F510" t="s">
        <v>8077</v>
      </c>
      <c r="G510" s="8">
        <v>45993</v>
      </c>
      <c r="H510" s="8">
        <v>45999</v>
      </c>
      <c r="I510" t="s">
        <v>8597</v>
      </c>
      <c r="J510" t="s">
        <v>5851</v>
      </c>
      <c r="K510" t="s">
        <v>64</v>
      </c>
      <c r="L510">
        <v>14336.69</v>
      </c>
      <c r="M510">
        <v>385</v>
      </c>
      <c r="N510" t="s">
        <v>25</v>
      </c>
      <c r="O510" t="s">
        <v>26</v>
      </c>
    </row>
    <row r="511" spans="1:15" x14ac:dyDescent="0.3">
      <c r="A511" t="s">
        <v>5850</v>
      </c>
      <c r="B511" t="s">
        <v>5849</v>
      </c>
      <c r="C511" t="s">
        <v>123</v>
      </c>
      <c r="D511">
        <v>14</v>
      </c>
      <c r="E511" t="s">
        <v>31</v>
      </c>
      <c r="F511" t="s">
        <v>85</v>
      </c>
      <c r="G511" s="8">
        <v>46124</v>
      </c>
      <c r="H511" s="8">
        <v>46146</v>
      </c>
      <c r="I511" t="s">
        <v>8598</v>
      </c>
      <c r="J511" t="s">
        <v>5847</v>
      </c>
      <c r="K511" t="s">
        <v>123</v>
      </c>
      <c r="L511">
        <v>22094.04</v>
      </c>
      <c r="M511">
        <v>505</v>
      </c>
      <c r="N511" t="s">
        <v>71</v>
      </c>
      <c r="O511" t="s">
        <v>26</v>
      </c>
    </row>
    <row r="512" spans="1:15" x14ac:dyDescent="0.3">
      <c r="A512" t="s">
        <v>5846</v>
      </c>
      <c r="B512" t="s">
        <v>5845</v>
      </c>
      <c r="C512" t="s">
        <v>123</v>
      </c>
      <c r="D512">
        <v>65</v>
      </c>
      <c r="E512" t="s">
        <v>31</v>
      </c>
      <c r="F512" t="s">
        <v>20</v>
      </c>
      <c r="G512" s="8">
        <v>46012</v>
      </c>
      <c r="H512" s="8">
        <v>46029</v>
      </c>
      <c r="I512" t="s">
        <v>8599</v>
      </c>
      <c r="J512" t="s">
        <v>5843</v>
      </c>
      <c r="K512" t="s">
        <v>123</v>
      </c>
      <c r="L512">
        <v>23351.3</v>
      </c>
      <c r="M512">
        <v>381</v>
      </c>
      <c r="N512" t="s">
        <v>43</v>
      </c>
      <c r="O512" t="s">
        <v>17</v>
      </c>
    </row>
    <row r="513" spans="1:15" x14ac:dyDescent="0.3">
      <c r="A513" t="s">
        <v>5842</v>
      </c>
      <c r="B513" t="s">
        <v>5841</v>
      </c>
      <c r="C513" t="s">
        <v>74</v>
      </c>
      <c r="D513">
        <v>53</v>
      </c>
      <c r="E513" t="s">
        <v>54</v>
      </c>
      <c r="F513" t="s">
        <v>67</v>
      </c>
      <c r="G513" s="8">
        <v>46135</v>
      </c>
      <c r="H513" s="8">
        <v>46154</v>
      </c>
      <c r="I513" t="s">
        <v>8600</v>
      </c>
      <c r="J513" t="s">
        <v>5839</v>
      </c>
      <c r="K513" t="s">
        <v>64</v>
      </c>
      <c r="L513">
        <v>14165.99</v>
      </c>
      <c r="M513">
        <v>292</v>
      </c>
      <c r="N513" t="s">
        <v>50</v>
      </c>
      <c r="O513" t="s">
        <v>57</v>
      </c>
    </row>
    <row r="514" spans="1:15" x14ac:dyDescent="0.3">
      <c r="A514" t="s">
        <v>5838</v>
      </c>
      <c r="B514" t="s">
        <v>5837</v>
      </c>
      <c r="C514" t="s">
        <v>40</v>
      </c>
      <c r="D514">
        <v>47</v>
      </c>
      <c r="E514" t="s">
        <v>68</v>
      </c>
      <c r="F514" t="s">
        <v>85</v>
      </c>
      <c r="G514" s="8">
        <v>46134</v>
      </c>
      <c r="H514" s="8">
        <v>46164</v>
      </c>
      <c r="I514" t="s">
        <v>8601</v>
      </c>
      <c r="J514" t="s">
        <v>5835</v>
      </c>
      <c r="K514" t="s">
        <v>123</v>
      </c>
      <c r="L514">
        <v>204.85</v>
      </c>
      <c r="M514">
        <v>245</v>
      </c>
      <c r="N514" t="s">
        <v>34</v>
      </c>
      <c r="O514" t="s">
        <v>27</v>
      </c>
    </row>
    <row r="515" spans="1:15" x14ac:dyDescent="0.3">
      <c r="A515" t="s">
        <v>5830</v>
      </c>
      <c r="B515" t="s">
        <v>5829</v>
      </c>
      <c r="C515" t="s">
        <v>40</v>
      </c>
      <c r="D515">
        <v>89</v>
      </c>
      <c r="E515" t="s">
        <v>132</v>
      </c>
      <c r="F515" t="s">
        <v>20</v>
      </c>
      <c r="G515" s="8">
        <v>46077</v>
      </c>
      <c r="H515" s="8">
        <v>46080</v>
      </c>
      <c r="I515" t="s">
        <v>8602</v>
      </c>
      <c r="J515" t="s">
        <v>5827</v>
      </c>
      <c r="K515" t="s">
        <v>27</v>
      </c>
      <c r="L515">
        <v>11617.17</v>
      </c>
      <c r="M515">
        <v>170</v>
      </c>
      <c r="N515" t="s">
        <v>43</v>
      </c>
      <c r="O515" t="s">
        <v>26</v>
      </c>
    </row>
    <row r="516" spans="1:15" x14ac:dyDescent="0.3">
      <c r="A516" t="s">
        <v>5826</v>
      </c>
      <c r="B516" t="s">
        <v>5825</v>
      </c>
      <c r="C516" t="s">
        <v>74</v>
      </c>
      <c r="D516">
        <v>75</v>
      </c>
      <c r="E516" t="s">
        <v>21</v>
      </c>
      <c r="F516" t="s">
        <v>8077</v>
      </c>
      <c r="G516" s="8">
        <v>46070</v>
      </c>
      <c r="H516" s="8">
        <v>46078</v>
      </c>
      <c r="I516" t="s">
        <v>8603</v>
      </c>
      <c r="J516" t="s">
        <v>5823</v>
      </c>
      <c r="K516" t="s">
        <v>27</v>
      </c>
      <c r="L516">
        <v>2479.25</v>
      </c>
      <c r="M516">
        <v>391</v>
      </c>
      <c r="N516" t="s">
        <v>71</v>
      </c>
      <c r="O516" t="s">
        <v>123</v>
      </c>
    </row>
    <row r="517" spans="1:15" x14ac:dyDescent="0.3">
      <c r="A517" t="s">
        <v>5822</v>
      </c>
      <c r="B517" t="s">
        <v>5821</v>
      </c>
      <c r="C517" t="s">
        <v>74</v>
      </c>
      <c r="D517">
        <v>42</v>
      </c>
      <c r="E517" t="s">
        <v>68</v>
      </c>
      <c r="F517" t="s">
        <v>20</v>
      </c>
      <c r="G517" s="8">
        <v>46133</v>
      </c>
      <c r="H517" s="8">
        <v>46148</v>
      </c>
      <c r="I517" t="s">
        <v>8604</v>
      </c>
      <c r="J517" t="s">
        <v>5819</v>
      </c>
      <c r="K517" t="s">
        <v>64</v>
      </c>
      <c r="L517">
        <v>14961.73</v>
      </c>
      <c r="M517">
        <v>119</v>
      </c>
      <c r="N517" t="s">
        <v>25</v>
      </c>
      <c r="O517" t="s">
        <v>63</v>
      </c>
    </row>
    <row r="518" spans="1:15" x14ac:dyDescent="0.3">
      <c r="A518" t="s">
        <v>5818</v>
      </c>
      <c r="B518" t="s">
        <v>8048</v>
      </c>
      <c r="C518" t="s">
        <v>123</v>
      </c>
      <c r="D518">
        <v>11</v>
      </c>
      <c r="E518" t="s">
        <v>47</v>
      </c>
      <c r="F518" t="s">
        <v>67</v>
      </c>
      <c r="G518" s="8">
        <v>46118</v>
      </c>
      <c r="H518" s="8">
        <v>46129</v>
      </c>
      <c r="I518" t="s">
        <v>8605</v>
      </c>
      <c r="J518" t="s">
        <v>5815</v>
      </c>
      <c r="K518" t="s">
        <v>123</v>
      </c>
      <c r="L518">
        <v>10529.74</v>
      </c>
      <c r="M518">
        <v>545</v>
      </c>
      <c r="N518" t="s">
        <v>50</v>
      </c>
      <c r="O518" t="s">
        <v>64</v>
      </c>
    </row>
    <row r="519" spans="1:15" x14ac:dyDescent="0.3">
      <c r="A519" t="s">
        <v>5814</v>
      </c>
      <c r="B519" t="s">
        <v>5813</v>
      </c>
      <c r="C519" t="s">
        <v>74</v>
      </c>
      <c r="D519">
        <v>84</v>
      </c>
      <c r="E519" t="s">
        <v>47</v>
      </c>
      <c r="F519" t="s">
        <v>67</v>
      </c>
      <c r="G519" s="8">
        <v>46061</v>
      </c>
      <c r="H519" s="8">
        <v>46062</v>
      </c>
      <c r="I519" t="s">
        <v>8606</v>
      </c>
      <c r="J519" t="s">
        <v>5811</v>
      </c>
      <c r="K519" t="s">
        <v>27</v>
      </c>
      <c r="L519">
        <v>13204.71</v>
      </c>
      <c r="M519">
        <v>376</v>
      </c>
      <c r="N519" t="s">
        <v>34</v>
      </c>
      <c r="O519" t="s">
        <v>17</v>
      </c>
    </row>
    <row r="520" spans="1:15" x14ac:dyDescent="0.3">
      <c r="A520" t="s">
        <v>5810</v>
      </c>
      <c r="B520" t="s">
        <v>5809</v>
      </c>
      <c r="C520" t="s">
        <v>40</v>
      </c>
      <c r="D520">
        <v>42</v>
      </c>
      <c r="E520" t="s">
        <v>21</v>
      </c>
      <c r="F520" t="s">
        <v>20</v>
      </c>
      <c r="G520" s="8">
        <v>46075</v>
      </c>
      <c r="H520" s="8">
        <v>46076</v>
      </c>
      <c r="I520" t="s">
        <v>8607</v>
      </c>
      <c r="J520" t="s">
        <v>5807</v>
      </c>
      <c r="K520" t="s">
        <v>123</v>
      </c>
      <c r="L520">
        <v>24281.8</v>
      </c>
      <c r="M520">
        <v>213</v>
      </c>
      <c r="N520" t="s">
        <v>16</v>
      </c>
      <c r="O520" t="s">
        <v>64</v>
      </c>
    </row>
    <row r="521" spans="1:15" x14ac:dyDescent="0.3">
      <c r="A521" t="s">
        <v>5806</v>
      </c>
      <c r="B521" t="s">
        <v>5805</v>
      </c>
      <c r="C521" t="s">
        <v>40</v>
      </c>
      <c r="D521">
        <v>51</v>
      </c>
      <c r="E521" t="s">
        <v>39</v>
      </c>
      <c r="F521" t="s">
        <v>20</v>
      </c>
      <c r="G521" s="8">
        <v>46098</v>
      </c>
      <c r="H521" s="8">
        <v>46108</v>
      </c>
      <c r="I521" t="s">
        <v>8608</v>
      </c>
      <c r="J521" t="s">
        <v>5803</v>
      </c>
      <c r="K521" t="s">
        <v>64</v>
      </c>
      <c r="L521">
        <v>12001.2</v>
      </c>
      <c r="M521">
        <v>380</v>
      </c>
      <c r="N521" t="s">
        <v>16</v>
      </c>
      <c r="O521" t="s">
        <v>27</v>
      </c>
    </row>
    <row r="522" spans="1:15" x14ac:dyDescent="0.3">
      <c r="A522" t="s">
        <v>5802</v>
      </c>
      <c r="B522" t="s">
        <v>5801</v>
      </c>
      <c r="C522" t="s">
        <v>40</v>
      </c>
      <c r="D522">
        <v>11</v>
      </c>
      <c r="E522" t="s">
        <v>54</v>
      </c>
      <c r="F522" t="s">
        <v>67</v>
      </c>
      <c r="G522" s="8">
        <v>46082</v>
      </c>
      <c r="H522" s="8">
        <v>46106</v>
      </c>
      <c r="I522" t="s">
        <v>8609</v>
      </c>
      <c r="J522" t="s">
        <v>5799</v>
      </c>
      <c r="K522" t="s">
        <v>27</v>
      </c>
      <c r="L522">
        <v>19098.419999999998</v>
      </c>
      <c r="M522">
        <v>386</v>
      </c>
      <c r="N522" t="s">
        <v>71</v>
      </c>
      <c r="O522" t="s">
        <v>123</v>
      </c>
    </row>
    <row r="523" spans="1:15" x14ac:dyDescent="0.3">
      <c r="A523" t="s">
        <v>5798</v>
      </c>
      <c r="B523" t="s">
        <v>5797</v>
      </c>
      <c r="C523" t="s">
        <v>123</v>
      </c>
      <c r="D523">
        <v>51</v>
      </c>
      <c r="E523" t="s">
        <v>21</v>
      </c>
      <c r="F523" t="s">
        <v>8077</v>
      </c>
      <c r="G523" s="8">
        <v>46021</v>
      </c>
      <c r="H523" s="8">
        <v>46028</v>
      </c>
      <c r="I523" t="s">
        <v>8610</v>
      </c>
      <c r="J523" t="s">
        <v>5795</v>
      </c>
      <c r="K523" t="s">
        <v>64</v>
      </c>
      <c r="L523">
        <v>6803.18</v>
      </c>
      <c r="M523">
        <v>265</v>
      </c>
      <c r="N523" t="s">
        <v>25</v>
      </c>
      <c r="O523" t="s">
        <v>123</v>
      </c>
    </row>
    <row r="524" spans="1:15" x14ac:dyDescent="0.3">
      <c r="A524" t="s">
        <v>5794</v>
      </c>
      <c r="B524" t="s">
        <v>5793</v>
      </c>
      <c r="C524" t="s">
        <v>74</v>
      </c>
      <c r="D524">
        <v>15</v>
      </c>
      <c r="E524" t="s">
        <v>54</v>
      </c>
      <c r="F524" t="s">
        <v>67</v>
      </c>
      <c r="G524" s="8">
        <v>46091</v>
      </c>
      <c r="H524" s="8">
        <v>46102</v>
      </c>
      <c r="I524" t="s">
        <v>8611</v>
      </c>
      <c r="J524" t="s">
        <v>5791</v>
      </c>
      <c r="K524" t="s">
        <v>64</v>
      </c>
      <c r="L524">
        <v>4924.1499999999996</v>
      </c>
      <c r="M524">
        <v>404</v>
      </c>
      <c r="N524" t="s">
        <v>25</v>
      </c>
      <c r="O524" t="s">
        <v>17</v>
      </c>
    </row>
    <row r="525" spans="1:15" x14ac:dyDescent="0.3">
      <c r="A525" t="s">
        <v>5790</v>
      </c>
      <c r="B525" t="s">
        <v>5789</v>
      </c>
      <c r="C525" t="s">
        <v>40</v>
      </c>
      <c r="D525">
        <v>40</v>
      </c>
      <c r="E525" t="s">
        <v>39</v>
      </c>
      <c r="F525" t="s">
        <v>67</v>
      </c>
      <c r="G525" s="8">
        <v>46146</v>
      </c>
      <c r="H525" s="8">
        <v>46165</v>
      </c>
      <c r="I525" t="s">
        <v>8612</v>
      </c>
      <c r="J525" t="s">
        <v>5787</v>
      </c>
      <c r="K525" t="s">
        <v>123</v>
      </c>
      <c r="L525">
        <v>15654.92</v>
      </c>
      <c r="M525">
        <v>122</v>
      </c>
      <c r="N525" t="s">
        <v>50</v>
      </c>
      <c r="O525" t="s">
        <v>123</v>
      </c>
    </row>
    <row r="526" spans="1:15" x14ac:dyDescent="0.3">
      <c r="A526" t="s">
        <v>5786</v>
      </c>
      <c r="B526" t="s">
        <v>5785</v>
      </c>
      <c r="C526" t="s">
        <v>74</v>
      </c>
      <c r="D526">
        <v>26</v>
      </c>
      <c r="E526" t="s">
        <v>31</v>
      </c>
      <c r="F526" t="s">
        <v>20</v>
      </c>
      <c r="G526" s="8">
        <v>46096</v>
      </c>
      <c r="H526" s="8">
        <v>46120</v>
      </c>
      <c r="I526" t="s">
        <v>8613</v>
      </c>
      <c r="J526" t="s">
        <v>5783</v>
      </c>
      <c r="K526" t="s">
        <v>64</v>
      </c>
      <c r="L526">
        <v>2986.82</v>
      </c>
      <c r="M526">
        <v>224</v>
      </c>
      <c r="N526" t="s">
        <v>34</v>
      </c>
      <c r="O526" t="s">
        <v>27</v>
      </c>
    </row>
    <row r="527" spans="1:15" x14ac:dyDescent="0.3">
      <c r="A527" t="s">
        <v>5782</v>
      </c>
      <c r="B527" t="s">
        <v>5781</v>
      </c>
      <c r="C527" t="s">
        <v>40</v>
      </c>
      <c r="D527">
        <v>37</v>
      </c>
      <c r="E527" t="s">
        <v>47</v>
      </c>
      <c r="F527" t="s">
        <v>67</v>
      </c>
      <c r="G527" s="8">
        <v>46077</v>
      </c>
      <c r="H527" s="8">
        <v>46099</v>
      </c>
      <c r="I527" t="s">
        <v>8614</v>
      </c>
      <c r="J527" t="s">
        <v>5779</v>
      </c>
      <c r="K527" t="s">
        <v>64</v>
      </c>
      <c r="L527">
        <v>7766.93</v>
      </c>
      <c r="M527">
        <v>111</v>
      </c>
      <c r="N527" t="s">
        <v>43</v>
      </c>
      <c r="O527" t="s">
        <v>123</v>
      </c>
    </row>
    <row r="528" spans="1:15" x14ac:dyDescent="0.3">
      <c r="A528" t="s">
        <v>5778</v>
      </c>
      <c r="B528" t="s">
        <v>5777</v>
      </c>
      <c r="C528" t="s">
        <v>74</v>
      </c>
      <c r="D528">
        <v>69</v>
      </c>
      <c r="E528" t="s">
        <v>21</v>
      </c>
      <c r="F528" t="s">
        <v>8077</v>
      </c>
      <c r="G528" s="8">
        <v>46012</v>
      </c>
      <c r="H528" s="8">
        <v>46029</v>
      </c>
      <c r="I528" t="s">
        <v>8615</v>
      </c>
      <c r="J528" t="s">
        <v>5775</v>
      </c>
      <c r="K528" t="s">
        <v>27</v>
      </c>
      <c r="L528">
        <v>13810.24</v>
      </c>
      <c r="M528">
        <v>455</v>
      </c>
      <c r="N528" t="s">
        <v>25</v>
      </c>
      <c r="O528" t="s">
        <v>26</v>
      </c>
    </row>
    <row r="529" spans="1:15" x14ac:dyDescent="0.3">
      <c r="A529" t="s">
        <v>5771</v>
      </c>
      <c r="B529" t="s">
        <v>5770</v>
      </c>
      <c r="C529" t="s">
        <v>40</v>
      </c>
      <c r="D529">
        <v>9</v>
      </c>
      <c r="E529" t="s">
        <v>54</v>
      </c>
      <c r="F529" t="s">
        <v>30</v>
      </c>
      <c r="G529" s="8">
        <v>46097</v>
      </c>
      <c r="H529" s="8">
        <v>46118</v>
      </c>
      <c r="I529" t="s">
        <v>8616</v>
      </c>
      <c r="J529" t="s">
        <v>5768</v>
      </c>
      <c r="K529" t="s">
        <v>64</v>
      </c>
      <c r="L529">
        <v>21634.2</v>
      </c>
      <c r="M529">
        <v>249</v>
      </c>
      <c r="N529" t="s">
        <v>50</v>
      </c>
      <c r="O529" t="s">
        <v>27</v>
      </c>
    </row>
    <row r="530" spans="1:15" x14ac:dyDescent="0.3">
      <c r="A530" t="s">
        <v>5767</v>
      </c>
      <c r="B530" t="s">
        <v>5766</v>
      </c>
      <c r="C530" t="s">
        <v>123</v>
      </c>
      <c r="D530">
        <v>30</v>
      </c>
      <c r="E530" t="s">
        <v>54</v>
      </c>
      <c r="F530" t="s">
        <v>20</v>
      </c>
      <c r="G530" s="8">
        <v>46033</v>
      </c>
      <c r="H530" s="8">
        <v>46061</v>
      </c>
      <c r="I530" t="s">
        <v>8617</v>
      </c>
      <c r="J530" t="s">
        <v>5764</v>
      </c>
      <c r="K530" t="s">
        <v>64</v>
      </c>
      <c r="L530">
        <v>12219.62</v>
      </c>
      <c r="M530">
        <v>195</v>
      </c>
      <c r="N530" t="s">
        <v>71</v>
      </c>
      <c r="O530" t="s">
        <v>64</v>
      </c>
    </row>
    <row r="531" spans="1:15" x14ac:dyDescent="0.3">
      <c r="A531" t="s">
        <v>5763</v>
      </c>
      <c r="B531" t="s">
        <v>5762</v>
      </c>
      <c r="C531" t="s">
        <v>123</v>
      </c>
      <c r="D531">
        <v>72</v>
      </c>
      <c r="E531" t="s">
        <v>47</v>
      </c>
      <c r="F531" t="s">
        <v>46</v>
      </c>
      <c r="G531" s="8">
        <v>46106</v>
      </c>
      <c r="H531" s="8">
        <v>46113</v>
      </c>
      <c r="I531" t="s">
        <v>8618</v>
      </c>
      <c r="J531" t="s">
        <v>5760</v>
      </c>
      <c r="K531" t="s">
        <v>27</v>
      </c>
      <c r="L531">
        <v>8472.5300000000007</v>
      </c>
      <c r="M531">
        <v>481</v>
      </c>
      <c r="N531" t="s">
        <v>71</v>
      </c>
      <c r="O531" t="s">
        <v>123</v>
      </c>
    </row>
    <row r="532" spans="1:15" x14ac:dyDescent="0.3">
      <c r="A532" t="s">
        <v>5759</v>
      </c>
      <c r="B532" t="s">
        <v>5758</v>
      </c>
      <c r="C532" t="s">
        <v>40</v>
      </c>
      <c r="D532">
        <v>45</v>
      </c>
      <c r="E532" t="s">
        <v>31</v>
      </c>
      <c r="F532" t="s">
        <v>67</v>
      </c>
      <c r="G532" s="8">
        <v>46149</v>
      </c>
      <c r="H532" s="8">
        <v>46169</v>
      </c>
      <c r="I532" t="s">
        <v>8619</v>
      </c>
      <c r="J532" t="s">
        <v>5756</v>
      </c>
      <c r="K532" t="s">
        <v>27</v>
      </c>
      <c r="L532">
        <v>6057.88</v>
      </c>
      <c r="M532">
        <v>515</v>
      </c>
      <c r="N532" t="s">
        <v>77</v>
      </c>
      <c r="O532" t="s">
        <v>63</v>
      </c>
    </row>
    <row r="533" spans="1:15" x14ac:dyDescent="0.3">
      <c r="A533" t="s">
        <v>5755</v>
      </c>
      <c r="B533" t="s">
        <v>5754</v>
      </c>
      <c r="C533" t="s">
        <v>40</v>
      </c>
      <c r="D533">
        <v>50</v>
      </c>
      <c r="E533" t="s">
        <v>47</v>
      </c>
      <c r="F533" t="s">
        <v>30</v>
      </c>
      <c r="G533" s="8">
        <v>46023</v>
      </c>
      <c r="H533" s="8">
        <v>46030</v>
      </c>
      <c r="I533" t="s">
        <v>8620</v>
      </c>
      <c r="J533" t="s">
        <v>5752</v>
      </c>
      <c r="K533" t="s">
        <v>27</v>
      </c>
      <c r="L533">
        <v>8676.2999999999993</v>
      </c>
      <c r="M533">
        <v>436</v>
      </c>
      <c r="N533" t="s">
        <v>71</v>
      </c>
      <c r="O533" t="s">
        <v>123</v>
      </c>
    </row>
    <row r="534" spans="1:15" x14ac:dyDescent="0.3">
      <c r="A534" t="s">
        <v>5751</v>
      </c>
      <c r="B534" t="s">
        <v>5750</v>
      </c>
      <c r="C534" t="s">
        <v>74</v>
      </c>
      <c r="D534">
        <v>49</v>
      </c>
      <c r="E534" t="s">
        <v>21</v>
      </c>
      <c r="F534" t="s">
        <v>67</v>
      </c>
      <c r="G534" s="8">
        <v>46031</v>
      </c>
      <c r="H534" s="8">
        <v>46038</v>
      </c>
      <c r="I534" t="s">
        <v>8621</v>
      </c>
      <c r="J534" t="s">
        <v>5748</v>
      </c>
      <c r="K534" t="s">
        <v>27</v>
      </c>
      <c r="L534">
        <v>10776.33</v>
      </c>
      <c r="M534">
        <v>409</v>
      </c>
      <c r="N534" t="s">
        <v>43</v>
      </c>
      <c r="O534" t="s">
        <v>63</v>
      </c>
    </row>
    <row r="535" spans="1:15" x14ac:dyDescent="0.3">
      <c r="A535" t="s">
        <v>5747</v>
      </c>
      <c r="B535" t="s">
        <v>5746</v>
      </c>
      <c r="C535" t="s">
        <v>123</v>
      </c>
      <c r="D535">
        <v>70</v>
      </c>
      <c r="E535" t="s">
        <v>39</v>
      </c>
      <c r="F535" t="s">
        <v>8077</v>
      </c>
      <c r="G535" s="8">
        <v>46119</v>
      </c>
      <c r="H535" s="8">
        <v>46139</v>
      </c>
      <c r="I535" t="s">
        <v>8622</v>
      </c>
      <c r="J535" t="s">
        <v>5744</v>
      </c>
      <c r="K535" t="s">
        <v>27</v>
      </c>
      <c r="L535">
        <v>14609.56</v>
      </c>
      <c r="M535">
        <v>541</v>
      </c>
      <c r="N535" t="s">
        <v>71</v>
      </c>
      <c r="O535" t="s">
        <v>57</v>
      </c>
    </row>
    <row r="536" spans="1:15" x14ac:dyDescent="0.3">
      <c r="A536" t="s">
        <v>5743</v>
      </c>
      <c r="B536" t="s">
        <v>5742</v>
      </c>
      <c r="C536" t="s">
        <v>40</v>
      </c>
      <c r="D536">
        <v>89</v>
      </c>
      <c r="E536" t="s">
        <v>39</v>
      </c>
      <c r="F536" t="s">
        <v>67</v>
      </c>
      <c r="G536" s="8">
        <v>46112</v>
      </c>
      <c r="H536" s="8">
        <v>46141</v>
      </c>
      <c r="I536" t="s">
        <v>8623</v>
      </c>
      <c r="J536" t="s">
        <v>5740</v>
      </c>
      <c r="K536" t="s">
        <v>27</v>
      </c>
      <c r="L536">
        <v>16474.55</v>
      </c>
      <c r="M536">
        <v>262</v>
      </c>
      <c r="N536" t="s">
        <v>77</v>
      </c>
      <c r="O536" t="s">
        <v>26</v>
      </c>
    </row>
    <row r="537" spans="1:15" x14ac:dyDescent="0.3">
      <c r="A537" t="s">
        <v>5739</v>
      </c>
      <c r="B537" t="s">
        <v>8049</v>
      </c>
      <c r="C537" t="s">
        <v>74</v>
      </c>
      <c r="D537">
        <v>24</v>
      </c>
      <c r="E537" t="s">
        <v>31</v>
      </c>
      <c r="F537" t="s">
        <v>20</v>
      </c>
      <c r="G537" s="8">
        <v>46042</v>
      </c>
      <c r="H537" s="8">
        <v>46065</v>
      </c>
      <c r="I537" t="s">
        <v>8624</v>
      </c>
      <c r="J537" t="s">
        <v>5736</v>
      </c>
      <c r="K537" t="s">
        <v>27</v>
      </c>
      <c r="L537">
        <v>19182.79</v>
      </c>
      <c r="M537">
        <v>310</v>
      </c>
      <c r="N537" t="s">
        <v>43</v>
      </c>
      <c r="O537" t="s">
        <v>123</v>
      </c>
    </row>
    <row r="538" spans="1:15" x14ac:dyDescent="0.3">
      <c r="A538" t="s">
        <v>5735</v>
      </c>
      <c r="B538" t="s">
        <v>5734</v>
      </c>
      <c r="C538" t="s">
        <v>123</v>
      </c>
      <c r="D538">
        <v>82</v>
      </c>
      <c r="E538" t="s">
        <v>132</v>
      </c>
      <c r="F538" t="s">
        <v>20</v>
      </c>
      <c r="G538" s="8">
        <v>46029</v>
      </c>
      <c r="H538" s="8">
        <v>46053</v>
      </c>
      <c r="I538" t="s">
        <v>8625</v>
      </c>
      <c r="J538" t="s">
        <v>5732</v>
      </c>
      <c r="K538" t="s">
        <v>64</v>
      </c>
      <c r="L538">
        <v>2847.93</v>
      </c>
      <c r="M538">
        <v>113</v>
      </c>
      <c r="N538" t="s">
        <v>50</v>
      </c>
      <c r="O538" t="s">
        <v>26</v>
      </c>
    </row>
    <row r="539" spans="1:15" x14ac:dyDescent="0.3">
      <c r="A539" t="s">
        <v>5731</v>
      </c>
      <c r="B539" t="s">
        <v>5730</v>
      </c>
      <c r="C539" t="s">
        <v>40</v>
      </c>
      <c r="D539">
        <v>78</v>
      </c>
      <c r="E539" t="s">
        <v>21</v>
      </c>
      <c r="F539" t="s">
        <v>8077</v>
      </c>
      <c r="G539" s="8">
        <v>46065</v>
      </c>
      <c r="H539" s="8">
        <v>46072</v>
      </c>
      <c r="I539" t="s">
        <v>8626</v>
      </c>
      <c r="J539" t="s">
        <v>5728</v>
      </c>
      <c r="K539" t="s">
        <v>27</v>
      </c>
      <c r="L539">
        <v>9109.68</v>
      </c>
      <c r="M539">
        <v>168</v>
      </c>
      <c r="N539" t="s">
        <v>34</v>
      </c>
      <c r="O539" t="s">
        <v>123</v>
      </c>
    </row>
    <row r="540" spans="1:15" x14ac:dyDescent="0.3">
      <c r="A540" t="s">
        <v>5727</v>
      </c>
      <c r="B540" t="s">
        <v>5726</v>
      </c>
      <c r="C540" t="s">
        <v>123</v>
      </c>
      <c r="D540">
        <v>84</v>
      </c>
      <c r="E540" t="s">
        <v>31</v>
      </c>
      <c r="F540" t="s">
        <v>20</v>
      </c>
      <c r="G540" s="8">
        <v>46075</v>
      </c>
      <c r="H540" s="8">
        <v>46102</v>
      </c>
      <c r="I540" t="s">
        <v>8627</v>
      </c>
      <c r="J540" t="s">
        <v>5724</v>
      </c>
      <c r="K540" t="s">
        <v>123</v>
      </c>
      <c r="L540">
        <v>12387.85</v>
      </c>
      <c r="M540">
        <v>183</v>
      </c>
      <c r="N540" t="s">
        <v>71</v>
      </c>
      <c r="O540" t="s">
        <v>26</v>
      </c>
    </row>
    <row r="541" spans="1:15" x14ac:dyDescent="0.3">
      <c r="A541" t="s">
        <v>5723</v>
      </c>
      <c r="B541" t="s">
        <v>5722</v>
      </c>
      <c r="C541" t="s">
        <v>74</v>
      </c>
      <c r="D541">
        <v>5</v>
      </c>
      <c r="E541" t="s">
        <v>54</v>
      </c>
      <c r="F541" t="s">
        <v>46</v>
      </c>
      <c r="G541" s="8">
        <v>45992</v>
      </c>
      <c r="H541" s="8">
        <v>46021</v>
      </c>
      <c r="I541" t="s">
        <v>8628</v>
      </c>
      <c r="J541" t="s">
        <v>5720</v>
      </c>
      <c r="K541" t="s">
        <v>27</v>
      </c>
      <c r="L541">
        <v>23764.91</v>
      </c>
      <c r="M541">
        <v>480</v>
      </c>
      <c r="N541" t="s">
        <v>25</v>
      </c>
      <c r="O541" t="s">
        <v>57</v>
      </c>
    </row>
    <row r="542" spans="1:15" x14ac:dyDescent="0.3">
      <c r="A542" t="s">
        <v>5719</v>
      </c>
      <c r="B542" t="s">
        <v>5718</v>
      </c>
      <c r="C542" t="s">
        <v>74</v>
      </c>
      <c r="D542">
        <v>27</v>
      </c>
      <c r="E542" t="s">
        <v>80</v>
      </c>
      <c r="F542" t="s">
        <v>20</v>
      </c>
      <c r="G542" s="8">
        <v>46135</v>
      </c>
      <c r="H542" s="8">
        <v>46164</v>
      </c>
      <c r="I542" t="s">
        <v>8629</v>
      </c>
      <c r="J542" t="s">
        <v>5716</v>
      </c>
      <c r="K542" t="s">
        <v>123</v>
      </c>
      <c r="L542">
        <v>21704.799999999999</v>
      </c>
      <c r="M542">
        <v>452</v>
      </c>
      <c r="N542" t="s">
        <v>43</v>
      </c>
      <c r="O542" t="s">
        <v>123</v>
      </c>
    </row>
    <row r="543" spans="1:15" x14ac:dyDescent="0.3">
      <c r="A543" t="s">
        <v>5715</v>
      </c>
      <c r="B543" t="s">
        <v>5714</v>
      </c>
      <c r="C543" t="s">
        <v>123</v>
      </c>
      <c r="D543">
        <v>32</v>
      </c>
      <c r="E543" t="s">
        <v>54</v>
      </c>
      <c r="F543" t="s">
        <v>67</v>
      </c>
      <c r="G543" s="8">
        <v>46013</v>
      </c>
      <c r="H543" s="8">
        <v>46037</v>
      </c>
      <c r="I543" t="s">
        <v>8630</v>
      </c>
      <c r="J543" t="s">
        <v>5712</v>
      </c>
      <c r="K543" t="s">
        <v>27</v>
      </c>
      <c r="L543">
        <v>15276.66</v>
      </c>
      <c r="M543">
        <v>468</v>
      </c>
      <c r="N543" t="s">
        <v>43</v>
      </c>
      <c r="O543" t="s">
        <v>123</v>
      </c>
    </row>
    <row r="544" spans="1:15" x14ac:dyDescent="0.3">
      <c r="A544" t="s">
        <v>5711</v>
      </c>
      <c r="B544" t="s">
        <v>5710</v>
      </c>
      <c r="C544" t="s">
        <v>123</v>
      </c>
      <c r="D544">
        <v>79</v>
      </c>
      <c r="E544" t="s">
        <v>47</v>
      </c>
      <c r="F544" t="s">
        <v>20</v>
      </c>
      <c r="G544" s="8">
        <v>45986</v>
      </c>
      <c r="H544" s="8">
        <v>46000</v>
      </c>
      <c r="I544" t="s">
        <v>8631</v>
      </c>
      <c r="J544" t="s">
        <v>5708</v>
      </c>
      <c r="K544" t="s">
        <v>123</v>
      </c>
      <c r="L544">
        <v>20709.849999999999</v>
      </c>
      <c r="M544">
        <v>549</v>
      </c>
      <c r="N544" t="s">
        <v>71</v>
      </c>
      <c r="O544" t="s">
        <v>27</v>
      </c>
    </row>
    <row r="545" spans="1:15" x14ac:dyDescent="0.3">
      <c r="A545" t="s">
        <v>5707</v>
      </c>
      <c r="B545" t="s">
        <v>5706</v>
      </c>
      <c r="C545" t="s">
        <v>123</v>
      </c>
      <c r="D545">
        <v>6</v>
      </c>
      <c r="E545" t="s">
        <v>54</v>
      </c>
      <c r="F545" t="s">
        <v>46</v>
      </c>
      <c r="G545" s="8">
        <v>46031</v>
      </c>
      <c r="H545" s="8">
        <v>46037</v>
      </c>
      <c r="I545" t="s">
        <v>8632</v>
      </c>
      <c r="J545" t="s">
        <v>5704</v>
      </c>
      <c r="K545" t="s">
        <v>27</v>
      </c>
      <c r="L545">
        <v>11100.94</v>
      </c>
      <c r="M545">
        <v>496</v>
      </c>
      <c r="N545" t="s">
        <v>50</v>
      </c>
      <c r="O545" t="s">
        <v>63</v>
      </c>
    </row>
    <row r="546" spans="1:15" x14ac:dyDescent="0.3">
      <c r="A546" t="s">
        <v>5703</v>
      </c>
      <c r="B546" t="s">
        <v>5702</v>
      </c>
      <c r="C546" t="s">
        <v>40</v>
      </c>
      <c r="D546">
        <v>60</v>
      </c>
      <c r="E546" t="s">
        <v>39</v>
      </c>
      <c r="F546" t="s">
        <v>67</v>
      </c>
      <c r="G546" s="8">
        <v>46026</v>
      </c>
      <c r="H546" s="8">
        <v>46035</v>
      </c>
      <c r="I546" t="s">
        <v>8633</v>
      </c>
      <c r="J546" t="s">
        <v>5700</v>
      </c>
      <c r="K546" t="s">
        <v>27</v>
      </c>
      <c r="L546">
        <v>17310.830000000002</v>
      </c>
      <c r="M546">
        <v>337</v>
      </c>
      <c r="N546" t="s">
        <v>50</v>
      </c>
      <c r="O546" t="s">
        <v>26</v>
      </c>
    </row>
    <row r="547" spans="1:15" x14ac:dyDescent="0.3">
      <c r="A547" t="s">
        <v>5699</v>
      </c>
      <c r="B547" t="s">
        <v>5698</v>
      </c>
      <c r="C547" t="s">
        <v>123</v>
      </c>
      <c r="D547">
        <v>12</v>
      </c>
      <c r="E547" t="s">
        <v>80</v>
      </c>
      <c r="F547" t="s">
        <v>20</v>
      </c>
      <c r="G547" s="8">
        <v>46121</v>
      </c>
      <c r="H547" s="8">
        <v>46145</v>
      </c>
      <c r="I547" t="s">
        <v>8634</v>
      </c>
      <c r="J547" t="s">
        <v>5696</v>
      </c>
      <c r="K547" t="s">
        <v>27</v>
      </c>
      <c r="L547">
        <v>9948.0499999999993</v>
      </c>
      <c r="M547">
        <v>330</v>
      </c>
      <c r="N547" t="s">
        <v>77</v>
      </c>
      <c r="O547" t="s">
        <v>17</v>
      </c>
    </row>
    <row r="548" spans="1:15" x14ac:dyDescent="0.3">
      <c r="A548" t="s">
        <v>5695</v>
      </c>
      <c r="B548" t="s">
        <v>5694</v>
      </c>
      <c r="C548" t="s">
        <v>40</v>
      </c>
      <c r="D548">
        <v>59</v>
      </c>
      <c r="E548" t="s">
        <v>21</v>
      </c>
      <c r="F548" t="s">
        <v>85</v>
      </c>
      <c r="G548" s="8">
        <v>45983</v>
      </c>
      <c r="H548" s="8">
        <v>45985</v>
      </c>
      <c r="I548" t="s">
        <v>8230</v>
      </c>
      <c r="J548" t="s">
        <v>5693</v>
      </c>
      <c r="K548" t="s">
        <v>27</v>
      </c>
      <c r="L548">
        <v>8237.0499999999993</v>
      </c>
      <c r="M548">
        <v>467</v>
      </c>
      <c r="N548" t="s">
        <v>25</v>
      </c>
      <c r="O548" t="s">
        <v>26</v>
      </c>
    </row>
    <row r="549" spans="1:15" x14ac:dyDescent="0.3">
      <c r="A549" t="s">
        <v>5692</v>
      </c>
      <c r="B549" t="s">
        <v>5691</v>
      </c>
      <c r="C549" t="s">
        <v>74</v>
      </c>
      <c r="D549">
        <v>12</v>
      </c>
      <c r="E549" t="s">
        <v>80</v>
      </c>
      <c r="F549" t="s">
        <v>85</v>
      </c>
      <c r="G549" s="8">
        <v>46062</v>
      </c>
      <c r="H549" s="8">
        <v>46082</v>
      </c>
      <c r="I549" t="s">
        <v>8635</v>
      </c>
      <c r="J549" t="s">
        <v>5689</v>
      </c>
      <c r="K549" t="s">
        <v>64</v>
      </c>
      <c r="L549">
        <v>2315.6</v>
      </c>
      <c r="M549">
        <v>472</v>
      </c>
      <c r="N549" t="s">
        <v>50</v>
      </c>
      <c r="O549" t="s">
        <v>123</v>
      </c>
    </row>
    <row r="550" spans="1:15" x14ac:dyDescent="0.3">
      <c r="A550" t="s">
        <v>5688</v>
      </c>
      <c r="B550" t="s">
        <v>5687</v>
      </c>
      <c r="C550" t="s">
        <v>40</v>
      </c>
      <c r="D550">
        <v>49</v>
      </c>
      <c r="E550" t="s">
        <v>54</v>
      </c>
      <c r="F550" t="s">
        <v>46</v>
      </c>
      <c r="G550" s="8">
        <v>46066</v>
      </c>
      <c r="H550" s="8">
        <v>46090</v>
      </c>
      <c r="I550" t="s">
        <v>8636</v>
      </c>
      <c r="J550" t="s">
        <v>5685</v>
      </c>
      <c r="K550" t="s">
        <v>27</v>
      </c>
      <c r="L550">
        <v>22823.87</v>
      </c>
      <c r="M550">
        <v>183</v>
      </c>
      <c r="N550" t="s">
        <v>50</v>
      </c>
      <c r="O550" t="s">
        <v>26</v>
      </c>
    </row>
    <row r="551" spans="1:15" x14ac:dyDescent="0.3">
      <c r="A551" t="s">
        <v>5684</v>
      </c>
      <c r="B551" t="s">
        <v>5683</v>
      </c>
      <c r="C551" t="s">
        <v>40</v>
      </c>
      <c r="D551">
        <v>23</v>
      </c>
      <c r="E551" t="s">
        <v>47</v>
      </c>
      <c r="F551" t="s">
        <v>67</v>
      </c>
      <c r="G551" s="8">
        <v>46081</v>
      </c>
      <c r="H551" s="8">
        <v>46090</v>
      </c>
      <c r="I551" t="s">
        <v>8637</v>
      </c>
      <c r="J551" t="s">
        <v>5681</v>
      </c>
      <c r="K551" t="s">
        <v>27</v>
      </c>
      <c r="L551">
        <v>18308.009999999998</v>
      </c>
      <c r="M551">
        <v>247</v>
      </c>
      <c r="N551" t="s">
        <v>25</v>
      </c>
      <c r="O551" t="s">
        <v>123</v>
      </c>
    </row>
    <row r="552" spans="1:15" x14ac:dyDescent="0.3">
      <c r="A552" t="s">
        <v>5676</v>
      </c>
      <c r="B552" t="s">
        <v>5675</v>
      </c>
      <c r="C552" t="s">
        <v>40</v>
      </c>
      <c r="D552">
        <v>78</v>
      </c>
      <c r="E552" t="s">
        <v>68</v>
      </c>
      <c r="F552" t="s">
        <v>8077</v>
      </c>
      <c r="G552" s="8">
        <v>46106</v>
      </c>
      <c r="H552" s="8">
        <v>46112</v>
      </c>
      <c r="I552" t="s">
        <v>8638</v>
      </c>
      <c r="J552" t="s">
        <v>5673</v>
      </c>
      <c r="K552" t="s">
        <v>123</v>
      </c>
      <c r="L552">
        <v>11452.71</v>
      </c>
      <c r="M552">
        <v>140</v>
      </c>
      <c r="N552" t="s">
        <v>34</v>
      </c>
      <c r="O552" t="s">
        <v>123</v>
      </c>
    </row>
    <row r="553" spans="1:15" x14ac:dyDescent="0.3">
      <c r="A553" t="s">
        <v>5672</v>
      </c>
      <c r="B553" t="s">
        <v>5671</v>
      </c>
      <c r="C553" t="s">
        <v>40</v>
      </c>
      <c r="D553">
        <v>32</v>
      </c>
      <c r="E553" t="s">
        <v>132</v>
      </c>
      <c r="F553" t="s">
        <v>8077</v>
      </c>
      <c r="G553" s="8">
        <v>45981</v>
      </c>
      <c r="H553" s="8">
        <v>45982</v>
      </c>
      <c r="I553" t="s">
        <v>8639</v>
      </c>
      <c r="J553" t="s">
        <v>5669</v>
      </c>
      <c r="K553" t="s">
        <v>27</v>
      </c>
      <c r="L553">
        <v>3876.75</v>
      </c>
      <c r="M553">
        <v>118</v>
      </c>
      <c r="N553" t="s">
        <v>71</v>
      </c>
      <c r="O553" t="s">
        <v>17</v>
      </c>
    </row>
    <row r="554" spans="1:15" x14ac:dyDescent="0.3">
      <c r="A554" t="s">
        <v>5668</v>
      </c>
      <c r="B554" t="s">
        <v>5667</v>
      </c>
      <c r="C554" t="s">
        <v>40</v>
      </c>
      <c r="D554">
        <v>86</v>
      </c>
      <c r="E554" t="s">
        <v>132</v>
      </c>
      <c r="F554" t="s">
        <v>67</v>
      </c>
      <c r="G554" s="8">
        <v>46014</v>
      </c>
      <c r="H554" s="8">
        <v>46043</v>
      </c>
      <c r="I554" t="s">
        <v>8640</v>
      </c>
      <c r="J554" t="s">
        <v>5665</v>
      </c>
      <c r="K554" t="s">
        <v>64</v>
      </c>
      <c r="L554">
        <v>1415.98</v>
      </c>
      <c r="M554">
        <v>191</v>
      </c>
      <c r="N554" t="s">
        <v>71</v>
      </c>
      <c r="O554" t="s">
        <v>123</v>
      </c>
    </row>
    <row r="555" spans="1:15" x14ac:dyDescent="0.3">
      <c r="A555" t="s">
        <v>5664</v>
      </c>
      <c r="B555" t="s">
        <v>5663</v>
      </c>
      <c r="C555" t="s">
        <v>40</v>
      </c>
      <c r="D555">
        <v>79</v>
      </c>
      <c r="E555" t="s">
        <v>39</v>
      </c>
      <c r="F555" t="s">
        <v>85</v>
      </c>
      <c r="G555" s="8">
        <v>46102</v>
      </c>
      <c r="H555" s="8">
        <v>46125</v>
      </c>
      <c r="I555" t="s">
        <v>8641</v>
      </c>
      <c r="J555" t="s">
        <v>5661</v>
      </c>
      <c r="K555" t="s">
        <v>64</v>
      </c>
      <c r="L555">
        <v>23300.7</v>
      </c>
      <c r="M555">
        <v>493</v>
      </c>
      <c r="N555" t="s">
        <v>43</v>
      </c>
      <c r="O555" t="s">
        <v>64</v>
      </c>
    </row>
    <row r="556" spans="1:15" x14ac:dyDescent="0.3">
      <c r="A556" t="s">
        <v>5660</v>
      </c>
      <c r="B556" t="s">
        <v>5659</v>
      </c>
      <c r="C556" t="s">
        <v>74</v>
      </c>
      <c r="D556">
        <v>48</v>
      </c>
      <c r="E556" t="s">
        <v>54</v>
      </c>
      <c r="F556" t="s">
        <v>20</v>
      </c>
      <c r="G556" s="8">
        <v>46009</v>
      </c>
      <c r="H556" s="8">
        <v>46033</v>
      </c>
      <c r="I556" t="s">
        <v>8642</v>
      </c>
      <c r="J556" t="s">
        <v>5657</v>
      </c>
      <c r="K556" t="s">
        <v>123</v>
      </c>
      <c r="L556">
        <v>21114.080000000002</v>
      </c>
      <c r="M556">
        <v>249</v>
      </c>
      <c r="N556" t="s">
        <v>16</v>
      </c>
      <c r="O556" t="s">
        <v>64</v>
      </c>
    </row>
    <row r="557" spans="1:15" x14ac:dyDescent="0.3">
      <c r="A557" t="s">
        <v>5656</v>
      </c>
      <c r="B557" t="s">
        <v>5655</v>
      </c>
      <c r="C557" t="s">
        <v>40</v>
      </c>
      <c r="D557">
        <v>16</v>
      </c>
      <c r="E557" t="s">
        <v>132</v>
      </c>
      <c r="F557" t="s">
        <v>67</v>
      </c>
      <c r="G557" s="8">
        <v>45975</v>
      </c>
      <c r="H557" s="8">
        <v>45991</v>
      </c>
      <c r="I557" t="s">
        <v>8643</v>
      </c>
      <c r="J557" t="s">
        <v>5653</v>
      </c>
      <c r="K557" t="s">
        <v>123</v>
      </c>
      <c r="L557">
        <v>13211.23</v>
      </c>
      <c r="M557">
        <v>413</v>
      </c>
      <c r="N557" t="s">
        <v>77</v>
      </c>
      <c r="O557" t="s">
        <v>57</v>
      </c>
    </row>
    <row r="558" spans="1:15" x14ac:dyDescent="0.3">
      <c r="A558" t="s">
        <v>5652</v>
      </c>
      <c r="B558" t="s">
        <v>8050</v>
      </c>
      <c r="C558" t="s">
        <v>74</v>
      </c>
      <c r="D558">
        <v>74</v>
      </c>
      <c r="E558" t="s">
        <v>80</v>
      </c>
      <c r="F558" t="s">
        <v>85</v>
      </c>
      <c r="G558" s="8">
        <v>46024</v>
      </c>
      <c r="H558" s="8">
        <v>46047</v>
      </c>
      <c r="I558" t="s">
        <v>8644</v>
      </c>
      <c r="J558" t="s">
        <v>5649</v>
      </c>
      <c r="K558" t="s">
        <v>27</v>
      </c>
      <c r="L558">
        <v>10790.93</v>
      </c>
      <c r="M558">
        <v>232</v>
      </c>
      <c r="N558" t="s">
        <v>34</v>
      </c>
      <c r="O558" t="s">
        <v>17</v>
      </c>
    </row>
    <row r="559" spans="1:15" x14ac:dyDescent="0.3">
      <c r="A559" t="s">
        <v>5648</v>
      </c>
      <c r="B559" t="s">
        <v>5647</v>
      </c>
      <c r="C559" t="s">
        <v>74</v>
      </c>
      <c r="D559">
        <v>17</v>
      </c>
      <c r="E559" t="s">
        <v>68</v>
      </c>
      <c r="F559" t="s">
        <v>85</v>
      </c>
      <c r="G559" s="8">
        <v>46146</v>
      </c>
      <c r="H559" s="8">
        <v>46161</v>
      </c>
      <c r="I559" t="s">
        <v>8645</v>
      </c>
      <c r="J559" t="s">
        <v>5645</v>
      </c>
      <c r="K559" t="s">
        <v>27</v>
      </c>
      <c r="L559">
        <v>22114.86</v>
      </c>
      <c r="M559">
        <v>462</v>
      </c>
      <c r="N559" t="s">
        <v>43</v>
      </c>
      <c r="O559" t="s">
        <v>57</v>
      </c>
    </row>
    <row r="560" spans="1:15" x14ac:dyDescent="0.3">
      <c r="A560" t="s">
        <v>5644</v>
      </c>
      <c r="B560" t="s">
        <v>5643</v>
      </c>
      <c r="C560" t="s">
        <v>74</v>
      </c>
      <c r="D560">
        <v>1</v>
      </c>
      <c r="E560" t="s">
        <v>80</v>
      </c>
      <c r="F560" t="s">
        <v>46</v>
      </c>
      <c r="G560" s="8">
        <v>46102</v>
      </c>
      <c r="H560" s="8">
        <v>46116</v>
      </c>
      <c r="I560" t="s">
        <v>8646</v>
      </c>
      <c r="J560" t="s">
        <v>5641</v>
      </c>
      <c r="K560" t="s">
        <v>64</v>
      </c>
      <c r="L560">
        <v>18489.22</v>
      </c>
      <c r="M560">
        <v>509</v>
      </c>
      <c r="N560" t="s">
        <v>34</v>
      </c>
      <c r="O560" t="s">
        <v>57</v>
      </c>
    </row>
    <row r="561" spans="1:15" x14ac:dyDescent="0.3">
      <c r="A561" t="s">
        <v>5640</v>
      </c>
      <c r="B561" t="s">
        <v>5639</v>
      </c>
      <c r="C561" t="s">
        <v>123</v>
      </c>
      <c r="D561">
        <v>53</v>
      </c>
      <c r="E561" t="s">
        <v>47</v>
      </c>
      <c r="F561" t="s">
        <v>67</v>
      </c>
      <c r="G561" s="8">
        <v>46096</v>
      </c>
      <c r="H561" s="8">
        <v>46107</v>
      </c>
      <c r="I561" t="s">
        <v>8647</v>
      </c>
      <c r="J561" t="s">
        <v>5637</v>
      </c>
      <c r="K561" t="s">
        <v>64</v>
      </c>
      <c r="L561">
        <v>480.17</v>
      </c>
      <c r="M561">
        <v>453</v>
      </c>
      <c r="N561" t="s">
        <v>43</v>
      </c>
      <c r="O561" t="s">
        <v>57</v>
      </c>
    </row>
    <row r="562" spans="1:15" x14ac:dyDescent="0.3">
      <c r="A562" t="s">
        <v>5636</v>
      </c>
      <c r="B562" t="s">
        <v>5635</v>
      </c>
      <c r="C562" t="s">
        <v>40</v>
      </c>
      <c r="D562">
        <v>9</v>
      </c>
      <c r="E562" t="s">
        <v>132</v>
      </c>
      <c r="F562" t="s">
        <v>30</v>
      </c>
      <c r="G562" s="8">
        <v>46071</v>
      </c>
      <c r="H562" s="8">
        <v>46087</v>
      </c>
      <c r="I562" t="s">
        <v>8648</v>
      </c>
      <c r="J562" t="s">
        <v>5633</v>
      </c>
      <c r="K562" t="s">
        <v>64</v>
      </c>
      <c r="L562">
        <v>19222.41</v>
      </c>
      <c r="M562">
        <v>451</v>
      </c>
      <c r="N562" t="s">
        <v>43</v>
      </c>
      <c r="O562" t="s">
        <v>64</v>
      </c>
    </row>
    <row r="563" spans="1:15" x14ac:dyDescent="0.3">
      <c r="A563" t="s">
        <v>5632</v>
      </c>
      <c r="B563" t="s">
        <v>5631</v>
      </c>
      <c r="C563" t="s">
        <v>74</v>
      </c>
      <c r="D563">
        <v>51</v>
      </c>
      <c r="E563" t="s">
        <v>47</v>
      </c>
      <c r="F563" t="s">
        <v>20</v>
      </c>
      <c r="G563" s="8">
        <v>46081</v>
      </c>
      <c r="H563" s="8">
        <v>46087</v>
      </c>
      <c r="I563" t="s">
        <v>8649</v>
      </c>
      <c r="J563" t="s">
        <v>5629</v>
      </c>
      <c r="K563" t="s">
        <v>64</v>
      </c>
      <c r="L563">
        <v>20878.87</v>
      </c>
      <c r="M563">
        <v>342</v>
      </c>
      <c r="N563" t="s">
        <v>50</v>
      </c>
      <c r="O563" t="s">
        <v>123</v>
      </c>
    </row>
    <row r="564" spans="1:15" x14ac:dyDescent="0.3">
      <c r="A564" t="s">
        <v>5628</v>
      </c>
      <c r="B564" t="s">
        <v>5627</v>
      </c>
      <c r="C564" t="s">
        <v>40</v>
      </c>
      <c r="D564">
        <v>83</v>
      </c>
      <c r="E564" t="s">
        <v>39</v>
      </c>
      <c r="F564" t="s">
        <v>85</v>
      </c>
      <c r="G564" s="8">
        <v>46090</v>
      </c>
      <c r="H564" s="8">
        <v>46094</v>
      </c>
      <c r="I564" t="s">
        <v>8650</v>
      </c>
      <c r="J564" t="s">
        <v>5625</v>
      </c>
      <c r="K564" t="s">
        <v>123</v>
      </c>
      <c r="L564">
        <v>22323.05</v>
      </c>
      <c r="M564">
        <v>336</v>
      </c>
      <c r="N564" t="s">
        <v>50</v>
      </c>
      <c r="O564" t="s">
        <v>17</v>
      </c>
    </row>
    <row r="565" spans="1:15" x14ac:dyDescent="0.3">
      <c r="A565" t="s">
        <v>5624</v>
      </c>
      <c r="B565" t="s">
        <v>5623</v>
      </c>
      <c r="C565" t="s">
        <v>123</v>
      </c>
      <c r="D565">
        <v>8</v>
      </c>
      <c r="E565" t="s">
        <v>132</v>
      </c>
      <c r="F565" t="s">
        <v>67</v>
      </c>
      <c r="G565" s="8">
        <v>46087</v>
      </c>
      <c r="H565" s="8">
        <v>46104</v>
      </c>
      <c r="I565" t="s">
        <v>8651</v>
      </c>
      <c r="J565" t="s">
        <v>5621</v>
      </c>
      <c r="K565" t="s">
        <v>27</v>
      </c>
      <c r="L565">
        <v>5364.91</v>
      </c>
      <c r="M565">
        <v>509</v>
      </c>
      <c r="N565" t="s">
        <v>50</v>
      </c>
      <c r="O565" t="s">
        <v>17</v>
      </c>
    </row>
    <row r="566" spans="1:15" x14ac:dyDescent="0.3">
      <c r="A566" t="s">
        <v>5620</v>
      </c>
      <c r="B566" t="s">
        <v>5619</v>
      </c>
      <c r="C566" t="s">
        <v>74</v>
      </c>
      <c r="D566">
        <v>9</v>
      </c>
      <c r="E566" t="s">
        <v>39</v>
      </c>
      <c r="F566" t="s">
        <v>30</v>
      </c>
      <c r="G566" s="8">
        <v>46033</v>
      </c>
      <c r="H566" s="8">
        <v>46059</v>
      </c>
      <c r="I566" t="s">
        <v>8652</v>
      </c>
      <c r="J566" t="s">
        <v>5617</v>
      </c>
      <c r="K566" t="s">
        <v>27</v>
      </c>
      <c r="L566">
        <v>8610.98</v>
      </c>
      <c r="M566">
        <v>420</v>
      </c>
      <c r="N566" t="s">
        <v>34</v>
      </c>
      <c r="O566" t="s">
        <v>123</v>
      </c>
    </row>
    <row r="567" spans="1:15" x14ac:dyDescent="0.3">
      <c r="A567" t="s">
        <v>5616</v>
      </c>
      <c r="B567" t="s">
        <v>5615</v>
      </c>
      <c r="C567" t="s">
        <v>40</v>
      </c>
      <c r="D567">
        <v>74</v>
      </c>
      <c r="E567" t="s">
        <v>369</v>
      </c>
      <c r="F567" t="s">
        <v>20</v>
      </c>
      <c r="G567" s="8">
        <v>46026</v>
      </c>
      <c r="H567" s="8">
        <v>46045</v>
      </c>
      <c r="I567" t="s">
        <v>8653</v>
      </c>
      <c r="J567" t="s">
        <v>5613</v>
      </c>
      <c r="K567" t="s">
        <v>64</v>
      </c>
      <c r="L567">
        <v>21641.919999999998</v>
      </c>
      <c r="M567">
        <v>461</v>
      </c>
      <c r="N567" t="s">
        <v>50</v>
      </c>
      <c r="O567" t="s">
        <v>63</v>
      </c>
    </row>
    <row r="568" spans="1:15" x14ac:dyDescent="0.3">
      <c r="A568" t="s">
        <v>5612</v>
      </c>
      <c r="B568" t="s">
        <v>5611</v>
      </c>
      <c r="C568" t="s">
        <v>74</v>
      </c>
      <c r="D568">
        <v>5</v>
      </c>
      <c r="E568" t="s">
        <v>132</v>
      </c>
      <c r="F568" t="s">
        <v>67</v>
      </c>
      <c r="G568" s="8">
        <v>46149</v>
      </c>
      <c r="H568" s="8">
        <v>46151</v>
      </c>
      <c r="I568" t="s">
        <v>8654</v>
      </c>
      <c r="J568" t="s">
        <v>5609</v>
      </c>
      <c r="K568" t="s">
        <v>123</v>
      </c>
      <c r="L568">
        <v>21950.81</v>
      </c>
      <c r="M568">
        <v>331</v>
      </c>
      <c r="N568" t="s">
        <v>50</v>
      </c>
      <c r="O568" t="s">
        <v>17</v>
      </c>
    </row>
    <row r="569" spans="1:15" x14ac:dyDescent="0.3">
      <c r="A569" t="s">
        <v>5608</v>
      </c>
      <c r="B569" t="s">
        <v>5607</v>
      </c>
      <c r="C569" t="s">
        <v>40</v>
      </c>
      <c r="D569">
        <v>28</v>
      </c>
      <c r="E569" t="s">
        <v>132</v>
      </c>
      <c r="F569" t="s">
        <v>20</v>
      </c>
      <c r="G569" s="8">
        <v>46048</v>
      </c>
      <c r="H569" s="8">
        <v>46051</v>
      </c>
      <c r="I569" t="s">
        <v>8655</v>
      </c>
      <c r="J569" t="s">
        <v>5605</v>
      </c>
      <c r="K569" t="s">
        <v>64</v>
      </c>
      <c r="L569">
        <v>19666.61</v>
      </c>
      <c r="M569">
        <v>147</v>
      </c>
      <c r="N569" t="s">
        <v>16</v>
      </c>
      <c r="O569" t="s">
        <v>57</v>
      </c>
    </row>
    <row r="570" spans="1:15" x14ac:dyDescent="0.3">
      <c r="A570" t="s">
        <v>5604</v>
      </c>
      <c r="B570" t="s">
        <v>5603</v>
      </c>
      <c r="C570" t="s">
        <v>40</v>
      </c>
      <c r="D570">
        <v>62</v>
      </c>
      <c r="E570" t="s">
        <v>39</v>
      </c>
      <c r="F570" t="s">
        <v>8077</v>
      </c>
      <c r="G570" s="8">
        <v>46020</v>
      </c>
      <c r="H570" s="8">
        <v>46030</v>
      </c>
      <c r="I570" t="s">
        <v>8656</v>
      </c>
      <c r="J570" t="s">
        <v>5601</v>
      </c>
      <c r="K570" t="s">
        <v>123</v>
      </c>
      <c r="L570">
        <v>18364.54</v>
      </c>
      <c r="M570">
        <v>497</v>
      </c>
      <c r="N570" t="s">
        <v>43</v>
      </c>
      <c r="O570" t="s">
        <v>63</v>
      </c>
    </row>
    <row r="571" spans="1:15" x14ac:dyDescent="0.3">
      <c r="A571" t="s">
        <v>5600</v>
      </c>
      <c r="B571" t="s">
        <v>5599</v>
      </c>
      <c r="C571" t="s">
        <v>40</v>
      </c>
      <c r="D571">
        <v>13</v>
      </c>
      <c r="E571" t="s">
        <v>39</v>
      </c>
      <c r="F571" t="s">
        <v>8077</v>
      </c>
      <c r="G571" s="8">
        <v>46019</v>
      </c>
      <c r="H571" s="8">
        <v>46042</v>
      </c>
      <c r="I571" t="s">
        <v>8657</v>
      </c>
      <c r="J571" t="s">
        <v>5597</v>
      </c>
      <c r="K571" t="s">
        <v>27</v>
      </c>
      <c r="L571">
        <v>11592.34</v>
      </c>
      <c r="M571">
        <v>102</v>
      </c>
      <c r="N571" t="s">
        <v>43</v>
      </c>
      <c r="O571" t="s">
        <v>64</v>
      </c>
    </row>
    <row r="572" spans="1:15" x14ac:dyDescent="0.3">
      <c r="A572" t="s">
        <v>5596</v>
      </c>
      <c r="B572" t="s">
        <v>5595</v>
      </c>
      <c r="C572" t="s">
        <v>40</v>
      </c>
      <c r="D572">
        <v>88</v>
      </c>
      <c r="E572" t="s">
        <v>80</v>
      </c>
      <c r="F572" t="s">
        <v>67</v>
      </c>
      <c r="G572" s="8">
        <v>45988</v>
      </c>
      <c r="H572" s="8">
        <v>46002</v>
      </c>
      <c r="I572" t="s">
        <v>8658</v>
      </c>
      <c r="J572" t="s">
        <v>5593</v>
      </c>
      <c r="K572" t="s">
        <v>27</v>
      </c>
      <c r="L572">
        <v>2756.95</v>
      </c>
      <c r="M572">
        <v>111</v>
      </c>
      <c r="N572" t="s">
        <v>34</v>
      </c>
      <c r="O572" t="s">
        <v>63</v>
      </c>
    </row>
    <row r="573" spans="1:15" x14ac:dyDescent="0.3">
      <c r="A573" t="s">
        <v>5592</v>
      </c>
      <c r="B573" t="s">
        <v>5591</v>
      </c>
      <c r="C573" t="s">
        <v>40</v>
      </c>
      <c r="D573">
        <v>82</v>
      </c>
      <c r="E573" t="s">
        <v>21</v>
      </c>
      <c r="F573" t="s">
        <v>67</v>
      </c>
      <c r="G573" s="8">
        <v>45997</v>
      </c>
      <c r="H573" s="8">
        <v>46003</v>
      </c>
      <c r="I573" t="s">
        <v>8659</v>
      </c>
      <c r="J573" t="s">
        <v>5589</v>
      </c>
      <c r="K573" t="s">
        <v>64</v>
      </c>
      <c r="L573">
        <v>7306.87</v>
      </c>
      <c r="M573">
        <v>495</v>
      </c>
      <c r="N573" t="s">
        <v>16</v>
      </c>
      <c r="O573" t="s">
        <v>17</v>
      </c>
    </row>
    <row r="574" spans="1:15" x14ac:dyDescent="0.3">
      <c r="A574" t="s">
        <v>5588</v>
      </c>
      <c r="B574" t="s">
        <v>5587</v>
      </c>
      <c r="C574" t="s">
        <v>74</v>
      </c>
      <c r="D574">
        <v>35</v>
      </c>
      <c r="E574" t="s">
        <v>39</v>
      </c>
      <c r="F574" t="s">
        <v>20</v>
      </c>
      <c r="G574" s="8">
        <v>45986</v>
      </c>
      <c r="H574" s="8">
        <v>45994</v>
      </c>
      <c r="I574" t="s">
        <v>8660</v>
      </c>
      <c r="J574" t="s">
        <v>5585</v>
      </c>
      <c r="K574" t="s">
        <v>64</v>
      </c>
      <c r="L574">
        <v>578.37</v>
      </c>
      <c r="M574">
        <v>205</v>
      </c>
      <c r="N574" t="s">
        <v>34</v>
      </c>
      <c r="O574" t="s">
        <v>64</v>
      </c>
    </row>
    <row r="575" spans="1:15" x14ac:dyDescent="0.3">
      <c r="A575" t="s">
        <v>5584</v>
      </c>
      <c r="B575" t="s">
        <v>5583</v>
      </c>
      <c r="C575" t="s">
        <v>74</v>
      </c>
      <c r="D575">
        <v>71</v>
      </c>
      <c r="E575" t="s">
        <v>31</v>
      </c>
      <c r="F575" t="s">
        <v>30</v>
      </c>
      <c r="G575" s="8">
        <v>46064</v>
      </c>
      <c r="H575" s="8">
        <v>46068</v>
      </c>
      <c r="I575" t="s">
        <v>8661</v>
      </c>
      <c r="J575" t="s">
        <v>5581</v>
      </c>
      <c r="K575" t="s">
        <v>27</v>
      </c>
      <c r="L575">
        <v>14437.26</v>
      </c>
      <c r="M575">
        <v>136</v>
      </c>
      <c r="N575" t="s">
        <v>43</v>
      </c>
      <c r="O575" t="s">
        <v>26</v>
      </c>
    </row>
    <row r="576" spans="1:15" x14ac:dyDescent="0.3">
      <c r="A576" t="s">
        <v>5580</v>
      </c>
      <c r="B576" t="s">
        <v>5579</v>
      </c>
      <c r="C576" t="s">
        <v>74</v>
      </c>
      <c r="D576">
        <v>70</v>
      </c>
      <c r="E576" t="s">
        <v>68</v>
      </c>
      <c r="F576" t="s">
        <v>46</v>
      </c>
      <c r="G576" s="8">
        <v>45980</v>
      </c>
      <c r="H576" s="8">
        <v>45984</v>
      </c>
      <c r="I576" t="s">
        <v>8662</v>
      </c>
      <c r="J576" t="s">
        <v>5577</v>
      </c>
      <c r="K576" t="s">
        <v>27</v>
      </c>
      <c r="L576">
        <v>11874.24</v>
      </c>
      <c r="M576">
        <v>154</v>
      </c>
      <c r="N576" t="s">
        <v>16</v>
      </c>
      <c r="O576" t="s">
        <v>27</v>
      </c>
    </row>
    <row r="577" spans="1:15" x14ac:dyDescent="0.3">
      <c r="A577" t="s">
        <v>5576</v>
      </c>
      <c r="B577" t="s">
        <v>5575</v>
      </c>
      <c r="C577" t="s">
        <v>40</v>
      </c>
      <c r="D577">
        <v>12</v>
      </c>
      <c r="E577" t="s">
        <v>54</v>
      </c>
      <c r="F577" t="s">
        <v>67</v>
      </c>
      <c r="G577" s="8">
        <v>46116</v>
      </c>
      <c r="H577" s="8">
        <v>46121</v>
      </c>
      <c r="I577" t="s">
        <v>8663</v>
      </c>
      <c r="J577" t="s">
        <v>5573</v>
      </c>
      <c r="K577" t="s">
        <v>123</v>
      </c>
      <c r="L577">
        <v>15484.62</v>
      </c>
      <c r="M577">
        <v>270</v>
      </c>
      <c r="N577" t="s">
        <v>50</v>
      </c>
      <c r="O577" t="s">
        <v>63</v>
      </c>
    </row>
    <row r="578" spans="1:15" x14ac:dyDescent="0.3">
      <c r="A578" t="s">
        <v>5572</v>
      </c>
      <c r="B578" t="s">
        <v>5571</v>
      </c>
      <c r="C578" t="s">
        <v>74</v>
      </c>
      <c r="D578">
        <v>86</v>
      </c>
      <c r="E578" t="s">
        <v>80</v>
      </c>
      <c r="F578" t="s">
        <v>85</v>
      </c>
      <c r="G578" s="8">
        <v>46007</v>
      </c>
      <c r="H578" s="8">
        <v>46025</v>
      </c>
      <c r="I578" t="s">
        <v>8664</v>
      </c>
      <c r="J578" t="s">
        <v>5569</v>
      </c>
      <c r="K578" t="s">
        <v>27</v>
      </c>
      <c r="L578">
        <v>2504.3200000000002</v>
      </c>
      <c r="M578">
        <v>149</v>
      </c>
      <c r="N578" t="s">
        <v>16</v>
      </c>
      <c r="O578" t="s">
        <v>123</v>
      </c>
    </row>
    <row r="579" spans="1:15" x14ac:dyDescent="0.3">
      <c r="A579" t="s">
        <v>5568</v>
      </c>
      <c r="B579" t="s">
        <v>5567</v>
      </c>
      <c r="C579" t="s">
        <v>40</v>
      </c>
      <c r="D579">
        <v>88</v>
      </c>
      <c r="E579" t="s">
        <v>68</v>
      </c>
      <c r="F579" t="s">
        <v>85</v>
      </c>
      <c r="G579" s="8">
        <v>46095</v>
      </c>
      <c r="H579" s="8">
        <v>46102</v>
      </c>
      <c r="I579" t="s">
        <v>8665</v>
      </c>
      <c r="J579" t="s">
        <v>5565</v>
      </c>
      <c r="K579" t="s">
        <v>64</v>
      </c>
      <c r="L579">
        <v>3764.3</v>
      </c>
      <c r="M579">
        <v>286</v>
      </c>
      <c r="N579" t="s">
        <v>16</v>
      </c>
      <c r="O579" t="s">
        <v>63</v>
      </c>
    </row>
    <row r="580" spans="1:15" x14ac:dyDescent="0.3">
      <c r="A580" t="s">
        <v>5564</v>
      </c>
      <c r="B580" t="s">
        <v>5563</v>
      </c>
      <c r="C580" t="s">
        <v>40</v>
      </c>
      <c r="D580">
        <v>90</v>
      </c>
      <c r="E580" t="s">
        <v>31</v>
      </c>
      <c r="F580" t="s">
        <v>67</v>
      </c>
      <c r="G580" s="8">
        <v>46044</v>
      </c>
      <c r="H580" s="8">
        <v>46058</v>
      </c>
      <c r="I580" t="s">
        <v>8666</v>
      </c>
      <c r="J580" t="s">
        <v>5561</v>
      </c>
      <c r="K580" t="s">
        <v>123</v>
      </c>
      <c r="L580">
        <v>950.55</v>
      </c>
      <c r="M580">
        <v>157</v>
      </c>
      <c r="N580" t="s">
        <v>43</v>
      </c>
      <c r="O580" t="s">
        <v>123</v>
      </c>
    </row>
    <row r="581" spans="1:15" x14ac:dyDescent="0.3">
      <c r="A581" t="s">
        <v>5560</v>
      </c>
      <c r="B581" t="s">
        <v>5559</v>
      </c>
      <c r="C581" t="s">
        <v>123</v>
      </c>
      <c r="D581">
        <v>60</v>
      </c>
      <c r="E581" t="s">
        <v>39</v>
      </c>
      <c r="F581" t="s">
        <v>30</v>
      </c>
      <c r="G581" s="8">
        <v>46089</v>
      </c>
      <c r="H581" s="8">
        <v>46113</v>
      </c>
      <c r="I581" t="s">
        <v>8667</v>
      </c>
      <c r="J581" t="s">
        <v>5557</v>
      </c>
      <c r="K581" t="s">
        <v>64</v>
      </c>
      <c r="L581">
        <v>15190.12</v>
      </c>
      <c r="M581">
        <v>360</v>
      </c>
      <c r="N581" t="s">
        <v>77</v>
      </c>
      <c r="O581" t="s">
        <v>26</v>
      </c>
    </row>
    <row r="582" spans="1:15" x14ac:dyDescent="0.3">
      <c r="A582" t="s">
        <v>5556</v>
      </c>
      <c r="B582" t="s">
        <v>5555</v>
      </c>
      <c r="C582" t="s">
        <v>123</v>
      </c>
      <c r="D582">
        <v>14</v>
      </c>
      <c r="E582" t="s">
        <v>31</v>
      </c>
      <c r="F582" t="s">
        <v>20</v>
      </c>
      <c r="G582" s="8">
        <v>46110</v>
      </c>
      <c r="H582" s="8">
        <v>46135</v>
      </c>
      <c r="I582" t="s">
        <v>8668</v>
      </c>
      <c r="J582" t="s">
        <v>5553</v>
      </c>
      <c r="K582" t="s">
        <v>27</v>
      </c>
      <c r="L582">
        <v>13412.09</v>
      </c>
      <c r="M582">
        <v>402</v>
      </c>
      <c r="N582" t="s">
        <v>16</v>
      </c>
      <c r="O582" t="s">
        <v>123</v>
      </c>
    </row>
    <row r="583" spans="1:15" x14ac:dyDescent="0.3">
      <c r="A583" t="s">
        <v>5552</v>
      </c>
      <c r="B583" t="s">
        <v>5551</v>
      </c>
      <c r="C583" t="s">
        <v>74</v>
      </c>
      <c r="D583">
        <v>80</v>
      </c>
      <c r="E583" t="s">
        <v>21</v>
      </c>
      <c r="F583" t="s">
        <v>20</v>
      </c>
      <c r="G583" s="8">
        <v>46000</v>
      </c>
      <c r="H583" s="8">
        <v>46015</v>
      </c>
      <c r="I583" t="s">
        <v>8669</v>
      </c>
      <c r="J583" t="s">
        <v>5549</v>
      </c>
      <c r="K583" t="s">
        <v>123</v>
      </c>
      <c r="L583">
        <v>1838.29</v>
      </c>
      <c r="M583">
        <v>516</v>
      </c>
      <c r="N583" t="s">
        <v>25</v>
      </c>
      <c r="O583" t="s">
        <v>57</v>
      </c>
    </row>
    <row r="584" spans="1:15" x14ac:dyDescent="0.3">
      <c r="A584" t="s">
        <v>5548</v>
      </c>
      <c r="B584" t="s">
        <v>5547</v>
      </c>
      <c r="C584" t="s">
        <v>123</v>
      </c>
      <c r="D584">
        <v>56</v>
      </c>
      <c r="E584" t="s">
        <v>31</v>
      </c>
      <c r="F584" t="s">
        <v>8077</v>
      </c>
      <c r="G584" s="8">
        <v>46133</v>
      </c>
      <c r="H584" s="8">
        <v>46138</v>
      </c>
      <c r="I584" t="s">
        <v>8670</v>
      </c>
      <c r="J584" t="s">
        <v>5545</v>
      </c>
      <c r="K584" t="s">
        <v>64</v>
      </c>
      <c r="L584">
        <v>18536.3</v>
      </c>
      <c r="M584">
        <v>158</v>
      </c>
      <c r="N584" t="s">
        <v>34</v>
      </c>
      <c r="O584" t="s">
        <v>123</v>
      </c>
    </row>
    <row r="585" spans="1:15" x14ac:dyDescent="0.3">
      <c r="A585" t="s">
        <v>5544</v>
      </c>
      <c r="B585" t="s">
        <v>5543</v>
      </c>
      <c r="C585" t="s">
        <v>123</v>
      </c>
      <c r="D585">
        <v>42</v>
      </c>
      <c r="E585" t="s">
        <v>80</v>
      </c>
      <c r="F585" t="s">
        <v>85</v>
      </c>
      <c r="G585" s="8">
        <v>46067</v>
      </c>
      <c r="H585" s="8">
        <v>46072</v>
      </c>
      <c r="I585" t="s">
        <v>8671</v>
      </c>
      <c r="J585" t="s">
        <v>5541</v>
      </c>
      <c r="K585" t="s">
        <v>27</v>
      </c>
      <c r="L585">
        <v>23905.91</v>
      </c>
      <c r="M585">
        <v>406</v>
      </c>
      <c r="N585" t="s">
        <v>77</v>
      </c>
      <c r="O585" t="s">
        <v>64</v>
      </c>
    </row>
    <row r="586" spans="1:15" x14ac:dyDescent="0.3">
      <c r="A586" t="s">
        <v>5540</v>
      </c>
      <c r="B586" t="s">
        <v>5539</v>
      </c>
      <c r="C586" t="s">
        <v>123</v>
      </c>
      <c r="D586">
        <v>42</v>
      </c>
      <c r="E586" t="s">
        <v>68</v>
      </c>
      <c r="F586" t="s">
        <v>46</v>
      </c>
      <c r="G586" s="8">
        <v>46089</v>
      </c>
      <c r="H586" s="8">
        <v>46091</v>
      </c>
      <c r="I586" t="s">
        <v>8672</v>
      </c>
      <c r="J586" t="s">
        <v>5537</v>
      </c>
      <c r="K586" t="s">
        <v>64</v>
      </c>
      <c r="L586">
        <v>20462.43</v>
      </c>
      <c r="M586">
        <v>487</v>
      </c>
      <c r="N586" t="s">
        <v>71</v>
      </c>
      <c r="O586" t="s">
        <v>27</v>
      </c>
    </row>
    <row r="587" spans="1:15" x14ac:dyDescent="0.3">
      <c r="A587" t="s">
        <v>5532</v>
      </c>
      <c r="B587" t="s">
        <v>5531</v>
      </c>
      <c r="C587" t="s">
        <v>40</v>
      </c>
      <c r="D587">
        <v>56</v>
      </c>
      <c r="E587" t="s">
        <v>31</v>
      </c>
      <c r="F587" t="s">
        <v>20</v>
      </c>
      <c r="G587" s="8">
        <v>46050</v>
      </c>
      <c r="H587" s="8">
        <v>46068</v>
      </c>
      <c r="I587" t="s">
        <v>8673</v>
      </c>
      <c r="J587" t="s">
        <v>5529</v>
      </c>
      <c r="K587" t="s">
        <v>27</v>
      </c>
      <c r="L587">
        <v>15364.97</v>
      </c>
      <c r="M587">
        <v>533</v>
      </c>
      <c r="N587" t="s">
        <v>71</v>
      </c>
      <c r="O587" t="s">
        <v>123</v>
      </c>
    </row>
    <row r="588" spans="1:15" x14ac:dyDescent="0.3">
      <c r="A588" t="s">
        <v>5524</v>
      </c>
      <c r="B588" t="s">
        <v>5523</v>
      </c>
      <c r="C588" t="s">
        <v>74</v>
      </c>
      <c r="D588">
        <v>56</v>
      </c>
      <c r="E588" t="s">
        <v>54</v>
      </c>
      <c r="F588" t="s">
        <v>67</v>
      </c>
      <c r="G588" s="8">
        <v>46016</v>
      </c>
      <c r="H588" s="8">
        <v>46038</v>
      </c>
      <c r="I588" t="s">
        <v>8674</v>
      </c>
      <c r="J588" t="s">
        <v>5521</v>
      </c>
      <c r="K588" t="s">
        <v>123</v>
      </c>
      <c r="L588">
        <v>10269.61</v>
      </c>
      <c r="M588">
        <v>379</v>
      </c>
      <c r="N588" t="s">
        <v>71</v>
      </c>
      <c r="O588" t="s">
        <v>123</v>
      </c>
    </row>
    <row r="589" spans="1:15" x14ac:dyDescent="0.3">
      <c r="A589" t="s">
        <v>5520</v>
      </c>
      <c r="B589" t="s">
        <v>5519</v>
      </c>
      <c r="C589" t="s">
        <v>40</v>
      </c>
      <c r="D589">
        <v>61</v>
      </c>
      <c r="E589" t="s">
        <v>39</v>
      </c>
      <c r="F589" t="s">
        <v>8077</v>
      </c>
      <c r="G589" s="8">
        <v>46032</v>
      </c>
      <c r="H589" s="8">
        <v>46049</v>
      </c>
      <c r="I589" t="s">
        <v>8675</v>
      </c>
      <c r="J589" t="s">
        <v>5517</v>
      </c>
      <c r="K589" t="s">
        <v>123</v>
      </c>
      <c r="L589">
        <v>21114.53</v>
      </c>
      <c r="M589">
        <v>530</v>
      </c>
      <c r="N589" t="s">
        <v>16</v>
      </c>
      <c r="O589" t="s">
        <v>17</v>
      </c>
    </row>
    <row r="590" spans="1:15" x14ac:dyDescent="0.3">
      <c r="A590" t="s">
        <v>5512</v>
      </c>
      <c r="B590" t="s">
        <v>5511</v>
      </c>
      <c r="C590" t="s">
        <v>123</v>
      </c>
      <c r="D590">
        <v>18</v>
      </c>
      <c r="E590" t="s">
        <v>80</v>
      </c>
      <c r="F590" t="s">
        <v>20</v>
      </c>
      <c r="G590" s="8">
        <v>46130</v>
      </c>
      <c r="H590" s="8">
        <v>46150</v>
      </c>
      <c r="I590" t="s">
        <v>8676</v>
      </c>
      <c r="J590" t="s">
        <v>5509</v>
      </c>
      <c r="K590" t="s">
        <v>123</v>
      </c>
      <c r="L590">
        <v>21531.79</v>
      </c>
      <c r="M590">
        <v>419</v>
      </c>
      <c r="N590" t="s">
        <v>71</v>
      </c>
      <c r="O590" t="s">
        <v>123</v>
      </c>
    </row>
    <row r="591" spans="1:15" x14ac:dyDescent="0.3">
      <c r="A591" t="s">
        <v>5508</v>
      </c>
      <c r="B591" t="s">
        <v>5507</v>
      </c>
      <c r="C591" t="s">
        <v>123</v>
      </c>
      <c r="D591">
        <v>66</v>
      </c>
      <c r="E591" t="s">
        <v>54</v>
      </c>
      <c r="F591" t="s">
        <v>85</v>
      </c>
      <c r="G591" s="8">
        <v>46049</v>
      </c>
      <c r="H591" s="8">
        <v>46061</v>
      </c>
      <c r="I591" t="s">
        <v>8677</v>
      </c>
      <c r="J591" t="s">
        <v>5505</v>
      </c>
      <c r="K591" t="s">
        <v>64</v>
      </c>
      <c r="L591">
        <v>5798.37</v>
      </c>
      <c r="M591">
        <v>409</v>
      </c>
      <c r="N591" t="s">
        <v>77</v>
      </c>
      <c r="O591" t="s">
        <v>123</v>
      </c>
    </row>
    <row r="592" spans="1:15" x14ac:dyDescent="0.3">
      <c r="A592" t="s">
        <v>5504</v>
      </c>
      <c r="B592" t="s">
        <v>5503</v>
      </c>
      <c r="C592" t="s">
        <v>123</v>
      </c>
      <c r="D592">
        <v>31</v>
      </c>
      <c r="E592" t="s">
        <v>132</v>
      </c>
      <c r="F592" t="s">
        <v>67</v>
      </c>
      <c r="G592" s="8">
        <v>46133</v>
      </c>
      <c r="H592" s="8">
        <v>46162</v>
      </c>
      <c r="I592" t="s">
        <v>8678</v>
      </c>
      <c r="J592" t="s">
        <v>5501</v>
      </c>
      <c r="K592" t="s">
        <v>64</v>
      </c>
      <c r="L592">
        <v>1029.8499999999999</v>
      </c>
      <c r="M592">
        <v>390</v>
      </c>
      <c r="N592" t="s">
        <v>16</v>
      </c>
      <c r="O592" t="s">
        <v>27</v>
      </c>
    </row>
    <row r="593" spans="1:15" x14ac:dyDescent="0.3">
      <c r="A593" t="s">
        <v>5500</v>
      </c>
      <c r="B593" t="s">
        <v>5499</v>
      </c>
      <c r="C593" t="s">
        <v>74</v>
      </c>
      <c r="D593">
        <v>15</v>
      </c>
      <c r="E593" t="s">
        <v>68</v>
      </c>
      <c r="F593" t="s">
        <v>20</v>
      </c>
      <c r="G593" s="8">
        <v>46025</v>
      </c>
      <c r="H593" s="8">
        <v>46029</v>
      </c>
      <c r="I593" t="s">
        <v>8679</v>
      </c>
      <c r="J593" t="s">
        <v>5497</v>
      </c>
      <c r="K593" t="s">
        <v>27</v>
      </c>
      <c r="L593">
        <v>11730.42</v>
      </c>
      <c r="M593">
        <v>367</v>
      </c>
      <c r="N593" t="s">
        <v>34</v>
      </c>
      <c r="O593" t="s">
        <v>64</v>
      </c>
    </row>
    <row r="594" spans="1:15" x14ac:dyDescent="0.3">
      <c r="A594" t="s">
        <v>5496</v>
      </c>
      <c r="B594" t="s">
        <v>8051</v>
      </c>
      <c r="C594" t="s">
        <v>74</v>
      </c>
      <c r="D594">
        <v>32</v>
      </c>
      <c r="E594" t="s">
        <v>68</v>
      </c>
      <c r="F594" t="s">
        <v>20</v>
      </c>
      <c r="G594" s="8">
        <v>45995</v>
      </c>
      <c r="H594" s="8">
        <v>46016</v>
      </c>
      <c r="I594" t="s">
        <v>8680</v>
      </c>
      <c r="J594" t="s">
        <v>5493</v>
      </c>
      <c r="K594" t="s">
        <v>27</v>
      </c>
      <c r="L594" t="s">
        <v>488</v>
      </c>
      <c r="M594">
        <v>373</v>
      </c>
      <c r="N594" t="s">
        <v>50</v>
      </c>
      <c r="O594" t="s">
        <v>17</v>
      </c>
    </row>
    <row r="595" spans="1:15" x14ac:dyDescent="0.3">
      <c r="A595" t="s">
        <v>5492</v>
      </c>
      <c r="B595" t="s">
        <v>5491</v>
      </c>
      <c r="C595" t="s">
        <v>40</v>
      </c>
      <c r="D595">
        <v>61</v>
      </c>
      <c r="E595" t="s">
        <v>68</v>
      </c>
      <c r="F595" t="s">
        <v>85</v>
      </c>
      <c r="G595" s="8">
        <v>46052</v>
      </c>
      <c r="H595" s="8">
        <v>46070</v>
      </c>
      <c r="I595" t="s">
        <v>8681</v>
      </c>
      <c r="J595" t="s">
        <v>5489</v>
      </c>
      <c r="K595" t="s">
        <v>64</v>
      </c>
      <c r="L595">
        <v>10641.2</v>
      </c>
      <c r="M595">
        <v>248</v>
      </c>
      <c r="N595" t="s">
        <v>71</v>
      </c>
      <c r="O595" t="s">
        <v>63</v>
      </c>
    </row>
    <row r="596" spans="1:15" x14ac:dyDescent="0.3">
      <c r="A596" t="s">
        <v>5488</v>
      </c>
      <c r="B596" t="s">
        <v>5487</v>
      </c>
      <c r="C596" t="s">
        <v>40</v>
      </c>
      <c r="D596">
        <v>89</v>
      </c>
      <c r="E596" t="s">
        <v>132</v>
      </c>
      <c r="F596" t="s">
        <v>30</v>
      </c>
      <c r="G596" s="8">
        <v>46015</v>
      </c>
      <c r="H596" s="8">
        <v>46016</v>
      </c>
      <c r="I596" t="s">
        <v>8682</v>
      </c>
      <c r="J596" t="s">
        <v>5485</v>
      </c>
      <c r="K596" t="s">
        <v>123</v>
      </c>
      <c r="L596">
        <v>14537.9</v>
      </c>
      <c r="M596">
        <v>436</v>
      </c>
      <c r="N596" t="s">
        <v>43</v>
      </c>
      <c r="O596" t="s">
        <v>27</v>
      </c>
    </row>
    <row r="597" spans="1:15" x14ac:dyDescent="0.3">
      <c r="A597" t="s">
        <v>5484</v>
      </c>
      <c r="B597" t="s">
        <v>5483</v>
      </c>
      <c r="C597" t="s">
        <v>40</v>
      </c>
      <c r="D597">
        <v>37</v>
      </c>
      <c r="E597" t="s">
        <v>68</v>
      </c>
      <c r="F597" t="s">
        <v>20</v>
      </c>
      <c r="G597" s="8">
        <v>46088</v>
      </c>
      <c r="H597" s="8">
        <v>46092</v>
      </c>
      <c r="I597" t="s">
        <v>8683</v>
      </c>
      <c r="J597" t="s">
        <v>5481</v>
      </c>
      <c r="K597" t="s">
        <v>64</v>
      </c>
      <c r="L597">
        <v>21315.84</v>
      </c>
      <c r="M597">
        <v>229</v>
      </c>
      <c r="N597" t="s">
        <v>71</v>
      </c>
      <c r="O597" t="s">
        <v>63</v>
      </c>
    </row>
    <row r="598" spans="1:15" x14ac:dyDescent="0.3">
      <c r="A598" t="s">
        <v>5480</v>
      </c>
      <c r="B598" t="s">
        <v>5479</v>
      </c>
      <c r="C598" t="s">
        <v>40</v>
      </c>
      <c r="D598">
        <v>36</v>
      </c>
      <c r="E598" t="s">
        <v>132</v>
      </c>
      <c r="F598" t="s">
        <v>46</v>
      </c>
      <c r="G598" s="8">
        <v>46096</v>
      </c>
      <c r="H598" s="8">
        <v>46119</v>
      </c>
      <c r="I598" t="s">
        <v>8684</v>
      </c>
      <c r="J598" t="s">
        <v>5477</v>
      </c>
      <c r="K598" t="s">
        <v>64</v>
      </c>
      <c r="L598">
        <v>15174.77</v>
      </c>
      <c r="M598">
        <v>437</v>
      </c>
      <c r="N598" t="s">
        <v>16</v>
      </c>
      <c r="O598" t="s">
        <v>26</v>
      </c>
    </row>
    <row r="599" spans="1:15" x14ac:dyDescent="0.3">
      <c r="A599" t="s">
        <v>5476</v>
      </c>
      <c r="B599" t="s">
        <v>5475</v>
      </c>
      <c r="C599" t="s">
        <v>74</v>
      </c>
      <c r="D599">
        <v>23</v>
      </c>
      <c r="E599" t="s">
        <v>132</v>
      </c>
      <c r="F599" t="s">
        <v>8077</v>
      </c>
      <c r="G599" s="8">
        <v>46067</v>
      </c>
      <c r="H599" s="8">
        <v>46082</v>
      </c>
      <c r="I599" t="s">
        <v>8685</v>
      </c>
      <c r="J599" t="s">
        <v>5473</v>
      </c>
      <c r="K599" t="s">
        <v>27</v>
      </c>
      <c r="L599">
        <v>20024.43</v>
      </c>
      <c r="M599">
        <v>275</v>
      </c>
      <c r="N599" t="s">
        <v>77</v>
      </c>
      <c r="O599" t="s">
        <v>27</v>
      </c>
    </row>
    <row r="600" spans="1:15" x14ac:dyDescent="0.3">
      <c r="A600" t="s">
        <v>5472</v>
      </c>
      <c r="B600" t="s">
        <v>5471</v>
      </c>
      <c r="C600" t="s">
        <v>40</v>
      </c>
      <c r="D600">
        <v>77</v>
      </c>
      <c r="E600" t="s">
        <v>39</v>
      </c>
      <c r="F600" t="s">
        <v>85</v>
      </c>
      <c r="G600" s="8">
        <v>46036</v>
      </c>
      <c r="H600" s="8">
        <v>46060</v>
      </c>
      <c r="I600" t="s">
        <v>8686</v>
      </c>
      <c r="J600" t="s">
        <v>5469</v>
      </c>
      <c r="K600" t="s">
        <v>123</v>
      </c>
      <c r="L600">
        <v>19305.12</v>
      </c>
      <c r="M600">
        <v>438</v>
      </c>
      <c r="N600" t="s">
        <v>16</v>
      </c>
      <c r="O600" t="s">
        <v>57</v>
      </c>
    </row>
    <row r="601" spans="1:15" x14ac:dyDescent="0.3">
      <c r="A601" t="s">
        <v>5468</v>
      </c>
      <c r="B601" t="s">
        <v>5467</v>
      </c>
      <c r="C601" t="s">
        <v>40</v>
      </c>
      <c r="D601">
        <v>27</v>
      </c>
      <c r="E601" t="s">
        <v>31</v>
      </c>
      <c r="F601" t="s">
        <v>46</v>
      </c>
      <c r="G601" s="8">
        <v>46119</v>
      </c>
      <c r="H601" s="8">
        <v>46139</v>
      </c>
      <c r="I601" t="s">
        <v>8687</v>
      </c>
      <c r="J601" t="s">
        <v>5465</v>
      </c>
      <c r="K601" t="s">
        <v>27</v>
      </c>
      <c r="L601">
        <v>18936</v>
      </c>
      <c r="M601">
        <v>126</v>
      </c>
      <c r="N601" t="s">
        <v>71</v>
      </c>
      <c r="O601" t="s">
        <v>64</v>
      </c>
    </row>
    <row r="602" spans="1:15" x14ac:dyDescent="0.3">
      <c r="A602" t="s">
        <v>5464</v>
      </c>
      <c r="B602" t="s">
        <v>5463</v>
      </c>
      <c r="C602" t="s">
        <v>123</v>
      </c>
      <c r="D602">
        <v>52</v>
      </c>
      <c r="E602" t="s">
        <v>68</v>
      </c>
      <c r="F602" t="s">
        <v>30</v>
      </c>
      <c r="G602" s="8">
        <v>46098</v>
      </c>
      <c r="H602" s="8">
        <v>46113</v>
      </c>
      <c r="I602" t="s">
        <v>8688</v>
      </c>
      <c r="J602" t="s">
        <v>5461</v>
      </c>
      <c r="K602" t="s">
        <v>64</v>
      </c>
      <c r="L602">
        <v>9619.06</v>
      </c>
      <c r="M602">
        <v>342</v>
      </c>
      <c r="N602" t="s">
        <v>43</v>
      </c>
      <c r="O602" t="s">
        <v>123</v>
      </c>
    </row>
    <row r="603" spans="1:15" x14ac:dyDescent="0.3">
      <c r="A603" t="s">
        <v>5460</v>
      </c>
      <c r="B603" t="s">
        <v>5459</v>
      </c>
      <c r="C603" t="s">
        <v>40</v>
      </c>
      <c r="D603">
        <v>68</v>
      </c>
      <c r="E603" t="s">
        <v>54</v>
      </c>
      <c r="F603" t="s">
        <v>46</v>
      </c>
      <c r="G603" s="8">
        <v>46071</v>
      </c>
      <c r="H603" s="8">
        <v>46080</v>
      </c>
      <c r="I603" t="s">
        <v>8689</v>
      </c>
      <c r="J603" t="s">
        <v>5457</v>
      </c>
      <c r="K603" t="s">
        <v>123</v>
      </c>
      <c r="L603">
        <v>9673.7000000000007</v>
      </c>
      <c r="M603">
        <v>371</v>
      </c>
      <c r="N603" t="s">
        <v>25</v>
      </c>
      <c r="O603" t="s">
        <v>17</v>
      </c>
    </row>
    <row r="604" spans="1:15" x14ac:dyDescent="0.3">
      <c r="A604" t="s">
        <v>5456</v>
      </c>
      <c r="B604" t="s">
        <v>5455</v>
      </c>
      <c r="C604" t="s">
        <v>40</v>
      </c>
      <c r="D604">
        <v>13</v>
      </c>
      <c r="E604" t="s">
        <v>31</v>
      </c>
      <c r="F604" t="s">
        <v>67</v>
      </c>
      <c r="G604" s="8">
        <v>46145</v>
      </c>
      <c r="H604" s="8">
        <v>46164</v>
      </c>
      <c r="I604" t="s">
        <v>8690</v>
      </c>
      <c r="J604" t="s">
        <v>123</v>
      </c>
      <c r="K604" t="s">
        <v>27</v>
      </c>
      <c r="L604">
        <v>-500</v>
      </c>
      <c r="M604">
        <v>510</v>
      </c>
      <c r="N604" t="s">
        <v>77</v>
      </c>
      <c r="O604" t="s">
        <v>63</v>
      </c>
    </row>
    <row r="605" spans="1:15" x14ac:dyDescent="0.3">
      <c r="A605" t="s">
        <v>5453</v>
      </c>
      <c r="B605" t="s">
        <v>5452</v>
      </c>
      <c r="C605" t="s">
        <v>40</v>
      </c>
      <c r="D605">
        <v>84</v>
      </c>
      <c r="E605" t="s">
        <v>54</v>
      </c>
      <c r="F605" t="s">
        <v>85</v>
      </c>
      <c r="G605" s="8">
        <v>46082</v>
      </c>
      <c r="H605" s="8">
        <v>46106</v>
      </c>
      <c r="I605" t="s">
        <v>8691</v>
      </c>
      <c r="J605" t="s">
        <v>5450</v>
      </c>
      <c r="K605" t="s">
        <v>64</v>
      </c>
      <c r="L605">
        <v>18410.97</v>
      </c>
      <c r="M605">
        <v>366</v>
      </c>
      <c r="N605" t="s">
        <v>43</v>
      </c>
      <c r="O605" t="s">
        <v>57</v>
      </c>
    </row>
    <row r="606" spans="1:15" x14ac:dyDescent="0.3">
      <c r="A606" t="s">
        <v>5449</v>
      </c>
      <c r="B606" t="s">
        <v>5448</v>
      </c>
      <c r="C606" t="s">
        <v>40</v>
      </c>
      <c r="D606">
        <v>41</v>
      </c>
      <c r="E606" t="s">
        <v>47</v>
      </c>
      <c r="F606" t="s">
        <v>46</v>
      </c>
      <c r="G606" s="8">
        <v>46050</v>
      </c>
      <c r="H606" s="8">
        <v>46076</v>
      </c>
      <c r="I606" t="s">
        <v>8692</v>
      </c>
      <c r="J606" t="s">
        <v>5446</v>
      </c>
      <c r="K606" t="s">
        <v>64</v>
      </c>
      <c r="L606">
        <v>496.64</v>
      </c>
      <c r="M606">
        <v>368</v>
      </c>
      <c r="N606" t="s">
        <v>77</v>
      </c>
      <c r="O606" t="s">
        <v>64</v>
      </c>
    </row>
    <row r="607" spans="1:15" x14ac:dyDescent="0.3">
      <c r="A607" t="s">
        <v>5445</v>
      </c>
      <c r="B607" t="s">
        <v>5444</v>
      </c>
      <c r="C607" t="s">
        <v>123</v>
      </c>
      <c r="D607">
        <v>45</v>
      </c>
      <c r="E607" t="s">
        <v>21</v>
      </c>
      <c r="F607" t="s">
        <v>30</v>
      </c>
      <c r="G607" s="8">
        <v>45997</v>
      </c>
      <c r="H607" s="8">
        <v>46005</v>
      </c>
      <c r="I607" t="s">
        <v>8693</v>
      </c>
      <c r="J607" t="s">
        <v>5442</v>
      </c>
      <c r="K607" t="s">
        <v>64</v>
      </c>
      <c r="L607">
        <v>1044.24</v>
      </c>
      <c r="M607">
        <v>129</v>
      </c>
      <c r="N607" t="s">
        <v>34</v>
      </c>
      <c r="O607" t="s">
        <v>64</v>
      </c>
    </row>
    <row r="608" spans="1:15" x14ac:dyDescent="0.3">
      <c r="A608" t="s">
        <v>5441</v>
      </c>
      <c r="B608" t="s">
        <v>5440</v>
      </c>
      <c r="C608" t="s">
        <v>74</v>
      </c>
      <c r="D608">
        <v>77</v>
      </c>
      <c r="E608" t="s">
        <v>80</v>
      </c>
      <c r="F608" t="s">
        <v>20</v>
      </c>
      <c r="G608" s="8">
        <v>46113</v>
      </c>
      <c r="H608" s="8">
        <v>46115</v>
      </c>
      <c r="I608" t="s">
        <v>8694</v>
      </c>
      <c r="J608" t="s">
        <v>5438</v>
      </c>
      <c r="K608" t="s">
        <v>27</v>
      </c>
      <c r="L608">
        <v>9523.77</v>
      </c>
      <c r="M608">
        <v>156</v>
      </c>
      <c r="N608" t="s">
        <v>25</v>
      </c>
      <c r="O608" t="s">
        <v>26</v>
      </c>
    </row>
    <row r="609" spans="1:15" x14ac:dyDescent="0.3">
      <c r="A609" t="s">
        <v>5437</v>
      </c>
      <c r="B609" t="s">
        <v>5436</v>
      </c>
      <c r="C609" t="s">
        <v>40</v>
      </c>
      <c r="D609">
        <v>33</v>
      </c>
      <c r="E609" t="s">
        <v>132</v>
      </c>
      <c r="F609" t="s">
        <v>85</v>
      </c>
      <c r="G609" s="8">
        <v>46072</v>
      </c>
      <c r="H609" s="8">
        <v>46093</v>
      </c>
      <c r="I609" t="s">
        <v>8695</v>
      </c>
      <c r="J609" t="s">
        <v>5434</v>
      </c>
      <c r="K609" t="s">
        <v>64</v>
      </c>
      <c r="L609">
        <v>16041.76</v>
      </c>
      <c r="M609">
        <v>493</v>
      </c>
      <c r="N609" t="s">
        <v>16</v>
      </c>
      <c r="O609" t="s">
        <v>63</v>
      </c>
    </row>
    <row r="610" spans="1:15" x14ac:dyDescent="0.3">
      <c r="A610" t="s">
        <v>5433</v>
      </c>
      <c r="B610" t="s">
        <v>5432</v>
      </c>
      <c r="C610" t="s">
        <v>74</v>
      </c>
      <c r="D610">
        <v>33</v>
      </c>
      <c r="E610" t="s">
        <v>39</v>
      </c>
      <c r="F610" t="s">
        <v>20</v>
      </c>
      <c r="G610" s="8">
        <v>45986</v>
      </c>
      <c r="H610" s="8">
        <v>45994</v>
      </c>
      <c r="I610" t="s">
        <v>8696</v>
      </c>
      <c r="J610" t="s">
        <v>5430</v>
      </c>
      <c r="K610" t="s">
        <v>27</v>
      </c>
      <c r="L610">
        <v>9693.42</v>
      </c>
      <c r="M610">
        <v>130</v>
      </c>
      <c r="N610" t="s">
        <v>43</v>
      </c>
      <c r="O610" t="s">
        <v>17</v>
      </c>
    </row>
    <row r="611" spans="1:15" x14ac:dyDescent="0.3">
      <c r="A611" t="s">
        <v>5429</v>
      </c>
      <c r="B611" t="s">
        <v>5428</v>
      </c>
      <c r="C611" t="s">
        <v>40</v>
      </c>
      <c r="D611">
        <v>23</v>
      </c>
      <c r="E611" t="s">
        <v>68</v>
      </c>
      <c r="F611" t="s">
        <v>20</v>
      </c>
      <c r="G611" s="8">
        <v>45977</v>
      </c>
      <c r="H611" s="8">
        <v>45992</v>
      </c>
      <c r="I611" t="s">
        <v>8697</v>
      </c>
      <c r="J611" t="s">
        <v>5426</v>
      </c>
      <c r="K611" t="s">
        <v>64</v>
      </c>
      <c r="L611">
        <v>15335.49</v>
      </c>
      <c r="M611">
        <v>430</v>
      </c>
      <c r="N611" t="s">
        <v>16</v>
      </c>
      <c r="O611" t="s">
        <v>26</v>
      </c>
    </row>
    <row r="612" spans="1:15" x14ac:dyDescent="0.3">
      <c r="A612" t="s">
        <v>5425</v>
      </c>
      <c r="B612" t="s">
        <v>5424</v>
      </c>
      <c r="C612" t="s">
        <v>74</v>
      </c>
      <c r="D612">
        <v>19</v>
      </c>
      <c r="E612" t="s">
        <v>54</v>
      </c>
      <c r="F612" t="s">
        <v>8077</v>
      </c>
      <c r="G612" s="8">
        <v>46131</v>
      </c>
      <c r="H612" s="8">
        <v>46150</v>
      </c>
      <c r="I612" t="s">
        <v>8698</v>
      </c>
      <c r="J612" t="s">
        <v>5422</v>
      </c>
      <c r="K612" t="s">
        <v>64</v>
      </c>
      <c r="L612">
        <v>22832.71</v>
      </c>
      <c r="M612">
        <v>152</v>
      </c>
      <c r="N612" t="s">
        <v>77</v>
      </c>
      <c r="O612" t="s">
        <v>63</v>
      </c>
    </row>
    <row r="613" spans="1:15" x14ac:dyDescent="0.3">
      <c r="A613" t="s">
        <v>5413</v>
      </c>
      <c r="B613" t="s">
        <v>5412</v>
      </c>
      <c r="C613" t="s">
        <v>123</v>
      </c>
      <c r="D613">
        <v>9</v>
      </c>
      <c r="E613" t="s">
        <v>21</v>
      </c>
      <c r="F613" t="s">
        <v>46</v>
      </c>
      <c r="G613" s="8">
        <v>46067</v>
      </c>
      <c r="H613" s="8">
        <v>46079</v>
      </c>
      <c r="I613" t="s">
        <v>8699</v>
      </c>
      <c r="J613" t="s">
        <v>5410</v>
      </c>
      <c r="K613" t="s">
        <v>123</v>
      </c>
      <c r="L613">
        <v>3205.85</v>
      </c>
      <c r="M613">
        <v>270</v>
      </c>
      <c r="N613" t="s">
        <v>25</v>
      </c>
      <c r="O613" t="s">
        <v>17</v>
      </c>
    </row>
    <row r="614" spans="1:15" x14ac:dyDescent="0.3">
      <c r="A614" t="s">
        <v>5409</v>
      </c>
      <c r="B614" t="s">
        <v>5408</v>
      </c>
      <c r="C614" t="s">
        <v>40</v>
      </c>
      <c r="D614">
        <v>52</v>
      </c>
      <c r="E614" t="s">
        <v>47</v>
      </c>
      <c r="F614" t="s">
        <v>20</v>
      </c>
      <c r="G614" s="8">
        <v>46036</v>
      </c>
      <c r="H614" s="8">
        <v>46047</v>
      </c>
      <c r="I614" t="s">
        <v>8700</v>
      </c>
      <c r="J614" t="s">
        <v>5406</v>
      </c>
      <c r="K614" t="s">
        <v>64</v>
      </c>
      <c r="L614">
        <v>2195.33</v>
      </c>
      <c r="M614">
        <v>489</v>
      </c>
      <c r="N614" t="s">
        <v>50</v>
      </c>
      <c r="O614" t="s">
        <v>123</v>
      </c>
    </row>
    <row r="615" spans="1:15" x14ac:dyDescent="0.3">
      <c r="A615" t="s">
        <v>5405</v>
      </c>
      <c r="B615" t="s">
        <v>5404</v>
      </c>
      <c r="C615" t="s">
        <v>40</v>
      </c>
      <c r="D615">
        <v>83</v>
      </c>
      <c r="E615" t="s">
        <v>21</v>
      </c>
      <c r="F615" t="s">
        <v>20</v>
      </c>
      <c r="G615" s="8">
        <v>46035</v>
      </c>
      <c r="H615" s="8">
        <v>46052</v>
      </c>
      <c r="I615" t="s">
        <v>8701</v>
      </c>
      <c r="J615" t="s">
        <v>5402</v>
      </c>
      <c r="K615" t="s">
        <v>27</v>
      </c>
      <c r="L615">
        <v>24194.32</v>
      </c>
      <c r="M615">
        <v>253</v>
      </c>
      <c r="N615" t="s">
        <v>25</v>
      </c>
      <c r="O615" t="s">
        <v>57</v>
      </c>
    </row>
    <row r="616" spans="1:15" x14ac:dyDescent="0.3">
      <c r="A616" t="s">
        <v>5401</v>
      </c>
      <c r="B616" t="s">
        <v>5400</v>
      </c>
      <c r="C616" t="s">
        <v>123</v>
      </c>
      <c r="D616">
        <v>14</v>
      </c>
      <c r="E616" t="s">
        <v>31</v>
      </c>
      <c r="F616" t="s">
        <v>85</v>
      </c>
      <c r="G616" s="8">
        <v>46074</v>
      </c>
      <c r="H616" s="8">
        <v>46076</v>
      </c>
      <c r="I616" t="s">
        <v>8702</v>
      </c>
      <c r="J616" t="s">
        <v>5398</v>
      </c>
      <c r="K616" t="s">
        <v>123</v>
      </c>
      <c r="L616">
        <v>18436.04</v>
      </c>
      <c r="M616">
        <v>118</v>
      </c>
      <c r="N616" t="s">
        <v>71</v>
      </c>
      <c r="O616" t="s">
        <v>26</v>
      </c>
    </row>
    <row r="617" spans="1:15" x14ac:dyDescent="0.3">
      <c r="A617" t="s">
        <v>5397</v>
      </c>
      <c r="B617" t="s">
        <v>5396</v>
      </c>
      <c r="C617" t="s">
        <v>40</v>
      </c>
      <c r="D617">
        <v>76</v>
      </c>
      <c r="E617" t="s">
        <v>21</v>
      </c>
      <c r="F617" t="s">
        <v>85</v>
      </c>
      <c r="G617" s="8">
        <v>46129</v>
      </c>
      <c r="H617" s="8">
        <v>46141</v>
      </c>
      <c r="I617" t="s">
        <v>8703</v>
      </c>
      <c r="J617" t="s">
        <v>5394</v>
      </c>
      <c r="K617" t="s">
        <v>64</v>
      </c>
      <c r="L617">
        <v>19859.93</v>
      </c>
      <c r="M617">
        <v>355</v>
      </c>
      <c r="N617" t="s">
        <v>34</v>
      </c>
      <c r="O617" t="s">
        <v>63</v>
      </c>
    </row>
    <row r="618" spans="1:15" x14ac:dyDescent="0.3">
      <c r="A618" t="s">
        <v>5393</v>
      </c>
      <c r="B618" t="s">
        <v>5392</v>
      </c>
      <c r="C618" t="s">
        <v>123</v>
      </c>
      <c r="D618">
        <v>3</v>
      </c>
      <c r="E618" t="s">
        <v>47</v>
      </c>
      <c r="F618" t="s">
        <v>67</v>
      </c>
      <c r="G618" s="8">
        <v>46072</v>
      </c>
      <c r="H618" s="8">
        <v>46073</v>
      </c>
      <c r="I618" t="s">
        <v>8704</v>
      </c>
      <c r="J618" t="s">
        <v>5390</v>
      </c>
      <c r="K618" t="s">
        <v>64</v>
      </c>
      <c r="L618">
        <v>19736.91</v>
      </c>
      <c r="M618">
        <v>307</v>
      </c>
      <c r="N618" t="s">
        <v>77</v>
      </c>
      <c r="O618" t="s">
        <v>27</v>
      </c>
    </row>
    <row r="619" spans="1:15" x14ac:dyDescent="0.3">
      <c r="A619" t="s">
        <v>5389</v>
      </c>
      <c r="B619" t="s">
        <v>5388</v>
      </c>
      <c r="C619" t="s">
        <v>74</v>
      </c>
      <c r="D619">
        <v>84</v>
      </c>
      <c r="E619" t="s">
        <v>68</v>
      </c>
      <c r="F619" t="s">
        <v>20</v>
      </c>
      <c r="G619" s="8">
        <v>45994</v>
      </c>
      <c r="H619" s="8">
        <v>46017</v>
      </c>
      <c r="I619" t="s">
        <v>8705</v>
      </c>
      <c r="J619" t="s">
        <v>5386</v>
      </c>
      <c r="K619" t="s">
        <v>64</v>
      </c>
      <c r="L619">
        <v>23135.43</v>
      </c>
      <c r="M619">
        <v>476</v>
      </c>
      <c r="N619" t="s">
        <v>71</v>
      </c>
      <c r="O619" t="s">
        <v>27</v>
      </c>
    </row>
    <row r="620" spans="1:15" x14ac:dyDescent="0.3">
      <c r="A620" t="s">
        <v>5385</v>
      </c>
      <c r="B620" t="s">
        <v>5384</v>
      </c>
      <c r="C620" t="s">
        <v>123</v>
      </c>
      <c r="D620">
        <v>84</v>
      </c>
      <c r="E620" t="s">
        <v>47</v>
      </c>
      <c r="F620" t="s">
        <v>85</v>
      </c>
      <c r="G620" s="8">
        <v>46118</v>
      </c>
      <c r="H620" s="8">
        <v>46147</v>
      </c>
      <c r="I620" t="s">
        <v>8706</v>
      </c>
      <c r="J620" t="s">
        <v>5382</v>
      </c>
      <c r="K620" t="s">
        <v>27</v>
      </c>
      <c r="L620">
        <v>6218.53</v>
      </c>
      <c r="M620">
        <v>107</v>
      </c>
      <c r="N620" t="s">
        <v>71</v>
      </c>
      <c r="O620" t="s">
        <v>26</v>
      </c>
    </row>
    <row r="621" spans="1:15" x14ac:dyDescent="0.3">
      <c r="A621" t="s">
        <v>5381</v>
      </c>
      <c r="B621" t="s">
        <v>5380</v>
      </c>
      <c r="C621" t="s">
        <v>40</v>
      </c>
      <c r="D621">
        <v>40</v>
      </c>
      <c r="E621" t="s">
        <v>80</v>
      </c>
      <c r="F621" t="s">
        <v>85</v>
      </c>
      <c r="G621" s="8">
        <v>46072</v>
      </c>
      <c r="H621" s="8">
        <v>46091</v>
      </c>
      <c r="I621" t="s">
        <v>8707</v>
      </c>
      <c r="J621" t="s">
        <v>5378</v>
      </c>
      <c r="K621" t="s">
        <v>27</v>
      </c>
      <c r="L621">
        <v>20916.73</v>
      </c>
      <c r="M621">
        <v>518</v>
      </c>
      <c r="N621" t="s">
        <v>50</v>
      </c>
      <c r="O621" t="s">
        <v>64</v>
      </c>
    </row>
    <row r="622" spans="1:15" x14ac:dyDescent="0.3">
      <c r="A622" t="s">
        <v>5377</v>
      </c>
      <c r="B622" t="s">
        <v>5376</v>
      </c>
      <c r="C622" t="s">
        <v>74</v>
      </c>
      <c r="D622">
        <v>15</v>
      </c>
      <c r="E622" t="s">
        <v>68</v>
      </c>
      <c r="F622" t="s">
        <v>8077</v>
      </c>
      <c r="G622" s="8">
        <v>46048</v>
      </c>
      <c r="H622" s="8">
        <v>46050</v>
      </c>
      <c r="I622" t="s">
        <v>8708</v>
      </c>
      <c r="J622" t="s">
        <v>5374</v>
      </c>
      <c r="K622" t="s">
        <v>64</v>
      </c>
      <c r="L622">
        <v>10770.04</v>
      </c>
      <c r="M622">
        <v>266</v>
      </c>
      <c r="N622" t="s">
        <v>77</v>
      </c>
      <c r="O622" t="s">
        <v>123</v>
      </c>
    </row>
    <row r="623" spans="1:15" x14ac:dyDescent="0.3">
      <c r="A623" t="s">
        <v>5373</v>
      </c>
      <c r="B623" t="s">
        <v>5372</v>
      </c>
      <c r="C623" t="s">
        <v>40</v>
      </c>
      <c r="D623">
        <v>42</v>
      </c>
      <c r="E623" t="s">
        <v>21</v>
      </c>
      <c r="F623" t="s">
        <v>46</v>
      </c>
      <c r="G623" s="8">
        <v>46085</v>
      </c>
      <c r="H623" s="8">
        <v>46103</v>
      </c>
      <c r="I623" t="s">
        <v>8709</v>
      </c>
      <c r="J623" t="s">
        <v>5370</v>
      </c>
      <c r="K623" t="s">
        <v>27</v>
      </c>
      <c r="L623">
        <v>8520.49</v>
      </c>
      <c r="M623">
        <v>240</v>
      </c>
      <c r="N623" t="s">
        <v>71</v>
      </c>
      <c r="O623" t="s">
        <v>64</v>
      </c>
    </row>
    <row r="624" spans="1:15" x14ac:dyDescent="0.3">
      <c r="A624" t="s">
        <v>5369</v>
      </c>
      <c r="B624" t="s">
        <v>5368</v>
      </c>
      <c r="C624" t="s">
        <v>123</v>
      </c>
      <c r="D624">
        <v>22</v>
      </c>
      <c r="E624" t="s">
        <v>31</v>
      </c>
      <c r="F624" t="s">
        <v>20</v>
      </c>
      <c r="G624" s="8">
        <v>46139</v>
      </c>
      <c r="H624" s="8">
        <v>46153</v>
      </c>
      <c r="I624" t="s">
        <v>8710</v>
      </c>
      <c r="J624" t="s">
        <v>5366</v>
      </c>
      <c r="K624" t="s">
        <v>64</v>
      </c>
      <c r="L624">
        <v>23156.75</v>
      </c>
      <c r="M624">
        <v>168</v>
      </c>
      <c r="N624" t="s">
        <v>77</v>
      </c>
      <c r="O624" t="s">
        <v>27</v>
      </c>
    </row>
    <row r="625" spans="1:15" x14ac:dyDescent="0.3">
      <c r="A625" t="s">
        <v>5365</v>
      </c>
      <c r="B625" t="s">
        <v>5364</v>
      </c>
      <c r="C625" t="s">
        <v>123</v>
      </c>
      <c r="D625">
        <v>21</v>
      </c>
      <c r="E625" t="s">
        <v>47</v>
      </c>
      <c r="F625" t="s">
        <v>85</v>
      </c>
      <c r="G625" s="8">
        <v>45992</v>
      </c>
      <c r="H625" s="8">
        <v>45994</v>
      </c>
      <c r="I625" t="s">
        <v>8711</v>
      </c>
      <c r="J625" t="s">
        <v>5362</v>
      </c>
      <c r="K625" t="s">
        <v>27</v>
      </c>
      <c r="L625">
        <v>379.16</v>
      </c>
      <c r="M625">
        <v>461</v>
      </c>
      <c r="N625" t="s">
        <v>25</v>
      </c>
      <c r="O625" t="s">
        <v>64</v>
      </c>
    </row>
    <row r="626" spans="1:15" x14ac:dyDescent="0.3">
      <c r="A626" t="s">
        <v>5361</v>
      </c>
      <c r="B626" t="s">
        <v>5360</v>
      </c>
      <c r="C626" t="s">
        <v>40</v>
      </c>
      <c r="D626">
        <v>54</v>
      </c>
      <c r="E626" t="s">
        <v>68</v>
      </c>
      <c r="F626" t="s">
        <v>20</v>
      </c>
      <c r="G626" s="8">
        <v>46080</v>
      </c>
      <c r="H626" s="8">
        <v>46086</v>
      </c>
      <c r="I626" t="s">
        <v>8712</v>
      </c>
      <c r="J626" t="s">
        <v>5358</v>
      </c>
      <c r="K626" t="s">
        <v>27</v>
      </c>
      <c r="L626">
        <v>16067.68</v>
      </c>
      <c r="M626">
        <v>310</v>
      </c>
      <c r="N626" t="s">
        <v>71</v>
      </c>
      <c r="O626" t="s">
        <v>123</v>
      </c>
    </row>
    <row r="627" spans="1:15" x14ac:dyDescent="0.3">
      <c r="A627" t="s">
        <v>5357</v>
      </c>
      <c r="B627" t="s">
        <v>5356</v>
      </c>
      <c r="C627" t="s">
        <v>40</v>
      </c>
      <c r="D627">
        <v>79</v>
      </c>
      <c r="E627" t="s">
        <v>47</v>
      </c>
      <c r="F627" t="s">
        <v>20</v>
      </c>
      <c r="G627" s="8">
        <v>46064</v>
      </c>
      <c r="H627" s="8">
        <v>46086</v>
      </c>
      <c r="I627" t="s">
        <v>8713</v>
      </c>
      <c r="J627" t="s">
        <v>5354</v>
      </c>
      <c r="K627" t="s">
        <v>123</v>
      </c>
      <c r="L627">
        <v>15378.84</v>
      </c>
      <c r="M627">
        <v>421</v>
      </c>
      <c r="N627" t="s">
        <v>50</v>
      </c>
      <c r="O627" t="s">
        <v>64</v>
      </c>
    </row>
    <row r="628" spans="1:15" x14ac:dyDescent="0.3">
      <c r="A628" t="s">
        <v>5353</v>
      </c>
      <c r="B628" t="s">
        <v>5352</v>
      </c>
      <c r="C628" t="s">
        <v>40</v>
      </c>
      <c r="D628">
        <v>45</v>
      </c>
      <c r="E628" t="s">
        <v>54</v>
      </c>
      <c r="F628" t="s">
        <v>46</v>
      </c>
      <c r="G628" s="8">
        <v>46141</v>
      </c>
      <c r="H628" s="8">
        <v>46158</v>
      </c>
      <c r="I628" t="s">
        <v>8714</v>
      </c>
      <c r="J628" t="s">
        <v>5350</v>
      </c>
      <c r="K628" t="s">
        <v>64</v>
      </c>
      <c r="L628">
        <v>4959.1899999999996</v>
      </c>
      <c r="M628">
        <v>416</v>
      </c>
      <c r="N628" t="s">
        <v>43</v>
      </c>
      <c r="O628" t="s">
        <v>64</v>
      </c>
    </row>
    <row r="629" spans="1:15" x14ac:dyDescent="0.3">
      <c r="A629" t="s">
        <v>5349</v>
      </c>
      <c r="B629" t="s">
        <v>5348</v>
      </c>
      <c r="C629" t="s">
        <v>74</v>
      </c>
      <c r="D629">
        <v>60</v>
      </c>
      <c r="E629" t="s">
        <v>21</v>
      </c>
      <c r="F629" t="s">
        <v>30</v>
      </c>
      <c r="G629" s="8">
        <v>46021</v>
      </c>
      <c r="H629" s="8">
        <v>46022</v>
      </c>
      <c r="I629" t="s">
        <v>8715</v>
      </c>
      <c r="J629" t="s">
        <v>5346</v>
      </c>
      <c r="K629" t="s">
        <v>64</v>
      </c>
      <c r="L629">
        <v>2994.44</v>
      </c>
      <c r="M629">
        <v>450</v>
      </c>
      <c r="N629" t="s">
        <v>50</v>
      </c>
      <c r="O629" t="s">
        <v>26</v>
      </c>
    </row>
    <row r="630" spans="1:15" x14ac:dyDescent="0.3">
      <c r="A630" t="s">
        <v>5345</v>
      </c>
      <c r="B630" t="s">
        <v>5344</v>
      </c>
      <c r="C630" t="s">
        <v>123</v>
      </c>
      <c r="D630">
        <v>64</v>
      </c>
      <c r="E630" t="s">
        <v>39</v>
      </c>
      <c r="F630" t="s">
        <v>20</v>
      </c>
      <c r="G630" s="8">
        <v>46039</v>
      </c>
      <c r="H630" s="8">
        <v>46060</v>
      </c>
      <c r="I630" t="s">
        <v>8716</v>
      </c>
      <c r="J630" t="s">
        <v>5342</v>
      </c>
      <c r="K630" t="s">
        <v>27</v>
      </c>
      <c r="L630">
        <v>1539.88</v>
      </c>
      <c r="M630">
        <v>245</v>
      </c>
      <c r="N630" t="s">
        <v>71</v>
      </c>
      <c r="O630" t="s">
        <v>17</v>
      </c>
    </row>
    <row r="631" spans="1:15" x14ac:dyDescent="0.3">
      <c r="A631" t="s">
        <v>5341</v>
      </c>
      <c r="B631" t="s">
        <v>5340</v>
      </c>
      <c r="C631" t="s">
        <v>123</v>
      </c>
      <c r="D631">
        <v>33</v>
      </c>
      <c r="E631" t="s">
        <v>31</v>
      </c>
      <c r="F631" t="s">
        <v>85</v>
      </c>
      <c r="G631" s="8">
        <v>46118</v>
      </c>
      <c r="H631" s="8">
        <v>46119</v>
      </c>
      <c r="I631" t="s">
        <v>8717</v>
      </c>
      <c r="J631" t="s">
        <v>5338</v>
      </c>
      <c r="K631" t="s">
        <v>64</v>
      </c>
      <c r="L631">
        <v>18562.34</v>
      </c>
      <c r="M631">
        <v>180</v>
      </c>
      <c r="N631" t="s">
        <v>50</v>
      </c>
      <c r="O631" t="s">
        <v>26</v>
      </c>
    </row>
    <row r="632" spans="1:15" x14ac:dyDescent="0.3">
      <c r="A632" t="s">
        <v>5337</v>
      </c>
      <c r="B632" t="s">
        <v>5336</v>
      </c>
      <c r="C632" t="s">
        <v>40</v>
      </c>
      <c r="D632">
        <v>63</v>
      </c>
      <c r="E632" t="s">
        <v>80</v>
      </c>
      <c r="F632" t="s">
        <v>20</v>
      </c>
      <c r="G632" s="8">
        <v>46013</v>
      </c>
      <c r="H632" s="8">
        <v>46041</v>
      </c>
      <c r="I632" t="s">
        <v>8718</v>
      </c>
      <c r="J632" t="s">
        <v>5334</v>
      </c>
      <c r="K632" t="s">
        <v>64</v>
      </c>
      <c r="L632">
        <v>18090.8</v>
      </c>
      <c r="M632">
        <v>314</v>
      </c>
      <c r="N632" t="s">
        <v>71</v>
      </c>
      <c r="O632" t="s">
        <v>17</v>
      </c>
    </row>
    <row r="633" spans="1:15" x14ac:dyDescent="0.3">
      <c r="A633" t="s">
        <v>5333</v>
      </c>
      <c r="B633" t="s">
        <v>5332</v>
      </c>
      <c r="C633" t="s">
        <v>74</v>
      </c>
      <c r="D633">
        <v>30</v>
      </c>
      <c r="E633" t="s">
        <v>80</v>
      </c>
      <c r="F633" t="s">
        <v>67</v>
      </c>
      <c r="G633" s="8">
        <v>46069</v>
      </c>
      <c r="H633" s="8">
        <v>46076</v>
      </c>
      <c r="I633" t="s">
        <v>8719</v>
      </c>
      <c r="J633" t="s">
        <v>5330</v>
      </c>
      <c r="K633" t="s">
        <v>64</v>
      </c>
      <c r="L633">
        <v>6080.54</v>
      </c>
      <c r="M633">
        <v>545</v>
      </c>
      <c r="N633" t="s">
        <v>71</v>
      </c>
      <c r="O633" t="s">
        <v>123</v>
      </c>
    </row>
    <row r="634" spans="1:15" x14ac:dyDescent="0.3">
      <c r="A634" t="s">
        <v>5329</v>
      </c>
      <c r="B634" t="s">
        <v>5328</v>
      </c>
      <c r="C634" t="s">
        <v>123</v>
      </c>
      <c r="D634">
        <v>29</v>
      </c>
      <c r="E634" t="s">
        <v>80</v>
      </c>
      <c r="F634" t="s">
        <v>85</v>
      </c>
      <c r="G634" s="8">
        <v>46021</v>
      </c>
      <c r="H634" s="8">
        <v>46039</v>
      </c>
      <c r="I634" t="s">
        <v>8720</v>
      </c>
      <c r="J634" t="s">
        <v>5326</v>
      </c>
      <c r="K634" t="s">
        <v>123</v>
      </c>
      <c r="L634">
        <v>1547.62</v>
      </c>
      <c r="M634">
        <v>174</v>
      </c>
      <c r="N634" t="s">
        <v>71</v>
      </c>
      <c r="O634" t="s">
        <v>123</v>
      </c>
    </row>
    <row r="635" spans="1:15" x14ac:dyDescent="0.3">
      <c r="A635" t="s">
        <v>5325</v>
      </c>
      <c r="B635" t="s">
        <v>5324</v>
      </c>
      <c r="C635" t="s">
        <v>123</v>
      </c>
      <c r="D635">
        <v>23</v>
      </c>
      <c r="E635" t="s">
        <v>54</v>
      </c>
      <c r="F635" t="s">
        <v>67</v>
      </c>
      <c r="G635" s="8">
        <v>45976</v>
      </c>
      <c r="H635" s="8">
        <v>45980</v>
      </c>
      <c r="I635" t="s">
        <v>8721</v>
      </c>
      <c r="J635" t="s">
        <v>5322</v>
      </c>
      <c r="K635" t="s">
        <v>123</v>
      </c>
      <c r="L635">
        <v>18051.57</v>
      </c>
      <c r="M635">
        <v>238</v>
      </c>
      <c r="N635" t="s">
        <v>71</v>
      </c>
      <c r="O635" t="s">
        <v>17</v>
      </c>
    </row>
    <row r="636" spans="1:15" x14ac:dyDescent="0.3">
      <c r="A636" t="s">
        <v>5321</v>
      </c>
      <c r="B636" t="s">
        <v>5320</v>
      </c>
      <c r="C636" t="s">
        <v>74</v>
      </c>
      <c r="D636">
        <v>17</v>
      </c>
      <c r="E636" t="s">
        <v>47</v>
      </c>
      <c r="F636" t="s">
        <v>46</v>
      </c>
      <c r="G636" s="8">
        <v>46120</v>
      </c>
      <c r="H636" s="8">
        <v>46128</v>
      </c>
      <c r="I636" t="s">
        <v>8722</v>
      </c>
      <c r="J636" t="s">
        <v>5318</v>
      </c>
      <c r="K636" t="s">
        <v>27</v>
      </c>
      <c r="L636">
        <v>2955.51</v>
      </c>
      <c r="M636">
        <v>334</v>
      </c>
      <c r="N636" t="s">
        <v>16</v>
      </c>
      <c r="O636" t="s">
        <v>123</v>
      </c>
    </row>
    <row r="637" spans="1:15" x14ac:dyDescent="0.3">
      <c r="A637" t="s">
        <v>5317</v>
      </c>
      <c r="B637" t="s">
        <v>5316</v>
      </c>
      <c r="C637" t="s">
        <v>40</v>
      </c>
      <c r="D637">
        <v>44</v>
      </c>
      <c r="E637" t="s">
        <v>21</v>
      </c>
      <c r="F637" t="s">
        <v>30</v>
      </c>
      <c r="G637" s="8">
        <v>45976</v>
      </c>
      <c r="H637" s="8">
        <v>45995</v>
      </c>
      <c r="I637" t="s">
        <v>8723</v>
      </c>
      <c r="J637" t="s">
        <v>5314</v>
      </c>
      <c r="K637" t="s">
        <v>27</v>
      </c>
      <c r="L637">
        <v>19780.759999999998</v>
      </c>
      <c r="M637">
        <v>395</v>
      </c>
      <c r="N637" t="s">
        <v>34</v>
      </c>
      <c r="O637" t="s">
        <v>26</v>
      </c>
    </row>
    <row r="638" spans="1:15" x14ac:dyDescent="0.3">
      <c r="A638" t="s">
        <v>5313</v>
      </c>
      <c r="B638" t="s">
        <v>5312</v>
      </c>
      <c r="C638" t="s">
        <v>74</v>
      </c>
      <c r="D638">
        <v>12</v>
      </c>
      <c r="E638" t="s">
        <v>54</v>
      </c>
      <c r="F638" t="s">
        <v>85</v>
      </c>
      <c r="G638" s="8">
        <v>46126</v>
      </c>
      <c r="H638" s="8">
        <v>46153</v>
      </c>
      <c r="I638" t="s">
        <v>8724</v>
      </c>
      <c r="J638" t="s">
        <v>5310</v>
      </c>
      <c r="K638" t="s">
        <v>64</v>
      </c>
      <c r="L638">
        <v>14871.21</v>
      </c>
      <c r="M638">
        <v>242</v>
      </c>
      <c r="N638" t="s">
        <v>77</v>
      </c>
      <c r="O638" t="s">
        <v>123</v>
      </c>
    </row>
    <row r="639" spans="1:15" x14ac:dyDescent="0.3">
      <c r="A639" t="s">
        <v>5309</v>
      </c>
      <c r="B639" t="s">
        <v>5308</v>
      </c>
      <c r="C639" t="s">
        <v>123</v>
      </c>
      <c r="D639">
        <v>32</v>
      </c>
      <c r="E639" t="s">
        <v>21</v>
      </c>
      <c r="F639" t="s">
        <v>67</v>
      </c>
      <c r="G639" s="8">
        <v>46075</v>
      </c>
      <c r="H639" s="8">
        <v>46088</v>
      </c>
      <c r="I639" t="s">
        <v>8725</v>
      </c>
      <c r="J639" t="s">
        <v>5306</v>
      </c>
      <c r="K639" t="s">
        <v>64</v>
      </c>
      <c r="L639">
        <v>22317.200000000001</v>
      </c>
      <c r="M639">
        <v>393</v>
      </c>
      <c r="N639" t="s">
        <v>77</v>
      </c>
      <c r="O639" t="s">
        <v>26</v>
      </c>
    </row>
    <row r="640" spans="1:15" x14ac:dyDescent="0.3">
      <c r="A640" t="s">
        <v>5305</v>
      </c>
      <c r="B640" t="s">
        <v>5304</v>
      </c>
      <c r="C640" t="s">
        <v>123</v>
      </c>
      <c r="D640">
        <v>6</v>
      </c>
      <c r="E640" t="s">
        <v>47</v>
      </c>
      <c r="F640" t="s">
        <v>85</v>
      </c>
      <c r="G640" s="8">
        <v>46095</v>
      </c>
      <c r="H640" s="8">
        <v>46118</v>
      </c>
      <c r="I640" t="s">
        <v>8726</v>
      </c>
      <c r="J640" t="s">
        <v>5302</v>
      </c>
      <c r="K640" t="s">
        <v>27</v>
      </c>
      <c r="L640">
        <v>10757.3</v>
      </c>
      <c r="M640">
        <v>345</v>
      </c>
      <c r="N640" t="s">
        <v>50</v>
      </c>
      <c r="O640" t="s">
        <v>123</v>
      </c>
    </row>
    <row r="641" spans="1:15" x14ac:dyDescent="0.3">
      <c r="A641" t="s">
        <v>5301</v>
      </c>
      <c r="B641" t="s">
        <v>5300</v>
      </c>
      <c r="C641" t="s">
        <v>74</v>
      </c>
      <c r="D641">
        <v>58</v>
      </c>
      <c r="E641" t="s">
        <v>68</v>
      </c>
      <c r="F641" t="s">
        <v>8077</v>
      </c>
      <c r="G641" s="8">
        <v>46057</v>
      </c>
      <c r="H641" s="8">
        <v>46059</v>
      </c>
      <c r="I641" t="s">
        <v>8727</v>
      </c>
      <c r="J641" t="s">
        <v>5298</v>
      </c>
      <c r="K641" t="s">
        <v>27</v>
      </c>
      <c r="L641">
        <v>17390.36</v>
      </c>
      <c r="M641">
        <v>211</v>
      </c>
      <c r="N641" t="s">
        <v>71</v>
      </c>
      <c r="O641" t="s">
        <v>123</v>
      </c>
    </row>
    <row r="642" spans="1:15" x14ac:dyDescent="0.3">
      <c r="A642" t="s">
        <v>5294</v>
      </c>
      <c r="B642" t="s">
        <v>5293</v>
      </c>
      <c r="C642" t="s">
        <v>40</v>
      </c>
      <c r="D642">
        <v>59</v>
      </c>
      <c r="E642" t="s">
        <v>68</v>
      </c>
      <c r="F642" t="s">
        <v>20</v>
      </c>
      <c r="G642" s="8">
        <v>46050</v>
      </c>
      <c r="H642" s="8">
        <v>46077</v>
      </c>
      <c r="I642" t="s">
        <v>8728</v>
      </c>
      <c r="J642" t="s">
        <v>5291</v>
      </c>
      <c r="K642" t="s">
        <v>123</v>
      </c>
      <c r="L642">
        <v>4786.6499999999996</v>
      </c>
      <c r="M642">
        <v>420</v>
      </c>
      <c r="N642" t="s">
        <v>16</v>
      </c>
      <c r="O642" t="s">
        <v>17</v>
      </c>
    </row>
    <row r="643" spans="1:15" x14ac:dyDescent="0.3">
      <c r="A643" t="s">
        <v>5290</v>
      </c>
      <c r="B643" t="s">
        <v>5289</v>
      </c>
      <c r="C643" t="s">
        <v>40</v>
      </c>
      <c r="D643">
        <v>81</v>
      </c>
      <c r="E643" t="s">
        <v>80</v>
      </c>
      <c r="F643" t="s">
        <v>67</v>
      </c>
      <c r="G643" s="8">
        <v>46047</v>
      </c>
      <c r="H643" s="8">
        <v>46075</v>
      </c>
      <c r="I643" t="s">
        <v>8729</v>
      </c>
      <c r="J643" t="s">
        <v>5287</v>
      </c>
      <c r="K643" t="s">
        <v>64</v>
      </c>
      <c r="L643">
        <v>13366.82</v>
      </c>
      <c r="M643">
        <v>318</v>
      </c>
      <c r="N643" t="s">
        <v>50</v>
      </c>
      <c r="O643" t="s">
        <v>63</v>
      </c>
    </row>
    <row r="644" spans="1:15" x14ac:dyDescent="0.3">
      <c r="A644" t="s">
        <v>5286</v>
      </c>
      <c r="B644" t="s">
        <v>5285</v>
      </c>
      <c r="C644" t="s">
        <v>40</v>
      </c>
      <c r="D644">
        <v>90</v>
      </c>
      <c r="E644" t="s">
        <v>21</v>
      </c>
      <c r="F644" t="s">
        <v>20</v>
      </c>
      <c r="G644" s="8">
        <v>45989</v>
      </c>
      <c r="H644" s="8">
        <v>46008</v>
      </c>
      <c r="I644" t="s">
        <v>8730</v>
      </c>
      <c r="J644" t="s">
        <v>5283</v>
      </c>
      <c r="K644" t="s">
        <v>64</v>
      </c>
      <c r="L644">
        <v>18446.87</v>
      </c>
      <c r="M644">
        <v>363</v>
      </c>
      <c r="N644" t="s">
        <v>25</v>
      </c>
      <c r="O644" t="s">
        <v>27</v>
      </c>
    </row>
    <row r="645" spans="1:15" x14ac:dyDescent="0.3">
      <c r="A645" t="s">
        <v>5282</v>
      </c>
      <c r="B645" t="s">
        <v>5281</v>
      </c>
      <c r="C645" t="s">
        <v>74</v>
      </c>
      <c r="D645">
        <v>7</v>
      </c>
      <c r="E645" t="s">
        <v>80</v>
      </c>
      <c r="F645" t="s">
        <v>67</v>
      </c>
      <c r="G645" s="8">
        <v>46086</v>
      </c>
      <c r="H645" s="8">
        <v>46097</v>
      </c>
      <c r="I645" t="s">
        <v>8731</v>
      </c>
      <c r="J645" t="s">
        <v>5279</v>
      </c>
      <c r="K645" t="s">
        <v>123</v>
      </c>
      <c r="L645">
        <v>15554.51</v>
      </c>
      <c r="M645">
        <v>287</v>
      </c>
      <c r="N645" t="s">
        <v>71</v>
      </c>
      <c r="O645" t="s">
        <v>17</v>
      </c>
    </row>
    <row r="646" spans="1:15" x14ac:dyDescent="0.3">
      <c r="A646" t="s">
        <v>5278</v>
      </c>
      <c r="B646" t="s">
        <v>5277</v>
      </c>
      <c r="C646" t="s">
        <v>74</v>
      </c>
      <c r="D646">
        <v>72</v>
      </c>
      <c r="E646" t="s">
        <v>21</v>
      </c>
      <c r="F646" t="s">
        <v>20</v>
      </c>
      <c r="G646" s="8">
        <v>46140</v>
      </c>
      <c r="H646" s="8">
        <v>46150</v>
      </c>
      <c r="I646" t="s">
        <v>8732</v>
      </c>
      <c r="J646" t="s">
        <v>5275</v>
      </c>
      <c r="K646" t="s">
        <v>64</v>
      </c>
      <c r="L646">
        <v>13582.92</v>
      </c>
      <c r="M646">
        <v>477</v>
      </c>
      <c r="N646" t="s">
        <v>50</v>
      </c>
      <c r="O646" t="s">
        <v>123</v>
      </c>
    </row>
    <row r="647" spans="1:15" x14ac:dyDescent="0.3">
      <c r="A647" t="s">
        <v>5274</v>
      </c>
      <c r="B647" t="s">
        <v>5273</v>
      </c>
      <c r="C647" t="s">
        <v>74</v>
      </c>
      <c r="D647">
        <v>29</v>
      </c>
      <c r="E647" t="s">
        <v>31</v>
      </c>
      <c r="F647" t="s">
        <v>67</v>
      </c>
      <c r="G647" s="8">
        <v>46071</v>
      </c>
      <c r="H647" s="8">
        <v>46099</v>
      </c>
      <c r="I647" t="s">
        <v>8733</v>
      </c>
      <c r="J647" t="s">
        <v>5271</v>
      </c>
      <c r="K647" t="s">
        <v>27</v>
      </c>
      <c r="L647">
        <v>12688.44</v>
      </c>
      <c r="M647">
        <v>241</v>
      </c>
      <c r="N647" t="s">
        <v>77</v>
      </c>
      <c r="O647" t="s">
        <v>123</v>
      </c>
    </row>
    <row r="648" spans="1:15" x14ac:dyDescent="0.3">
      <c r="A648" t="s">
        <v>5270</v>
      </c>
      <c r="B648" t="s">
        <v>5269</v>
      </c>
      <c r="C648" t="s">
        <v>74</v>
      </c>
      <c r="D648">
        <v>48</v>
      </c>
      <c r="E648" t="s">
        <v>31</v>
      </c>
      <c r="F648" t="s">
        <v>85</v>
      </c>
      <c r="G648" s="8">
        <v>45977</v>
      </c>
      <c r="H648" s="8">
        <v>45992</v>
      </c>
      <c r="I648" t="s">
        <v>8734</v>
      </c>
      <c r="J648" t="s">
        <v>5267</v>
      </c>
      <c r="K648" t="s">
        <v>64</v>
      </c>
      <c r="L648">
        <v>11860.06</v>
      </c>
      <c r="M648">
        <v>331</v>
      </c>
      <c r="N648" t="s">
        <v>34</v>
      </c>
      <c r="O648" t="s">
        <v>63</v>
      </c>
    </row>
    <row r="649" spans="1:15" x14ac:dyDescent="0.3">
      <c r="A649" t="s">
        <v>5266</v>
      </c>
      <c r="B649" t="s">
        <v>5265</v>
      </c>
      <c r="C649" t="s">
        <v>74</v>
      </c>
      <c r="D649">
        <v>87</v>
      </c>
      <c r="E649" t="s">
        <v>80</v>
      </c>
      <c r="F649" t="s">
        <v>8077</v>
      </c>
      <c r="G649" s="8">
        <v>46020</v>
      </c>
      <c r="H649" s="8">
        <v>46048</v>
      </c>
      <c r="I649" t="s">
        <v>8735</v>
      </c>
      <c r="J649" t="s">
        <v>5263</v>
      </c>
      <c r="K649" t="s">
        <v>123</v>
      </c>
      <c r="L649">
        <v>2365.2600000000002</v>
      </c>
      <c r="M649">
        <v>191</v>
      </c>
      <c r="N649" t="s">
        <v>43</v>
      </c>
      <c r="O649" t="s">
        <v>123</v>
      </c>
    </row>
    <row r="650" spans="1:15" x14ac:dyDescent="0.3">
      <c r="A650" t="s">
        <v>5262</v>
      </c>
      <c r="B650" t="s">
        <v>5261</v>
      </c>
      <c r="C650" t="s">
        <v>74</v>
      </c>
      <c r="D650">
        <v>14</v>
      </c>
      <c r="E650" t="s">
        <v>39</v>
      </c>
      <c r="F650" t="s">
        <v>30</v>
      </c>
      <c r="G650" s="8">
        <v>46148</v>
      </c>
      <c r="H650" s="8">
        <v>46151</v>
      </c>
      <c r="I650" t="s">
        <v>8736</v>
      </c>
      <c r="J650" t="s">
        <v>5259</v>
      </c>
      <c r="K650" t="s">
        <v>27</v>
      </c>
      <c r="L650">
        <v>12508.95</v>
      </c>
      <c r="M650">
        <v>366</v>
      </c>
      <c r="N650" t="s">
        <v>25</v>
      </c>
      <c r="O650" t="s">
        <v>57</v>
      </c>
    </row>
    <row r="651" spans="1:15" x14ac:dyDescent="0.3">
      <c r="A651" t="s">
        <v>5258</v>
      </c>
      <c r="B651" t="s">
        <v>5257</v>
      </c>
      <c r="C651" t="s">
        <v>40</v>
      </c>
      <c r="D651">
        <v>38</v>
      </c>
      <c r="E651" t="s">
        <v>54</v>
      </c>
      <c r="F651" t="s">
        <v>20</v>
      </c>
      <c r="G651" s="8">
        <v>45994</v>
      </c>
      <c r="H651" s="8">
        <v>46009</v>
      </c>
      <c r="I651" t="s">
        <v>8737</v>
      </c>
      <c r="J651" t="s">
        <v>5255</v>
      </c>
      <c r="K651" t="s">
        <v>64</v>
      </c>
      <c r="L651">
        <v>10619.22</v>
      </c>
      <c r="M651">
        <v>249</v>
      </c>
      <c r="N651" t="s">
        <v>71</v>
      </c>
      <c r="O651" t="s">
        <v>27</v>
      </c>
    </row>
    <row r="652" spans="1:15" x14ac:dyDescent="0.3">
      <c r="A652" t="s">
        <v>5254</v>
      </c>
      <c r="B652" t="s">
        <v>5253</v>
      </c>
      <c r="C652" t="s">
        <v>74</v>
      </c>
      <c r="D652">
        <v>3</v>
      </c>
      <c r="E652" t="s">
        <v>21</v>
      </c>
      <c r="F652" t="s">
        <v>67</v>
      </c>
      <c r="G652" s="8">
        <v>46119</v>
      </c>
      <c r="H652" s="8">
        <v>46132</v>
      </c>
      <c r="I652" t="s">
        <v>8738</v>
      </c>
      <c r="J652" t="s">
        <v>5251</v>
      </c>
      <c r="K652" t="s">
        <v>64</v>
      </c>
      <c r="L652">
        <v>16462.86</v>
      </c>
      <c r="M652">
        <v>348</v>
      </c>
      <c r="N652" t="s">
        <v>34</v>
      </c>
      <c r="O652" t="s">
        <v>17</v>
      </c>
    </row>
    <row r="653" spans="1:15" x14ac:dyDescent="0.3">
      <c r="A653" t="s">
        <v>5250</v>
      </c>
      <c r="B653" t="s">
        <v>5249</v>
      </c>
      <c r="C653" t="s">
        <v>123</v>
      </c>
      <c r="D653">
        <v>59</v>
      </c>
      <c r="E653" t="s">
        <v>132</v>
      </c>
      <c r="F653" t="s">
        <v>20</v>
      </c>
      <c r="G653" s="8">
        <v>46138</v>
      </c>
      <c r="H653" s="8">
        <v>46166</v>
      </c>
      <c r="I653" t="s">
        <v>8739</v>
      </c>
      <c r="J653" t="s">
        <v>5247</v>
      </c>
      <c r="K653" t="s">
        <v>27</v>
      </c>
      <c r="L653">
        <v>4459.08</v>
      </c>
      <c r="M653">
        <v>216</v>
      </c>
      <c r="N653" t="s">
        <v>16</v>
      </c>
      <c r="O653" t="s">
        <v>63</v>
      </c>
    </row>
    <row r="654" spans="1:15" x14ac:dyDescent="0.3">
      <c r="A654" t="s">
        <v>5246</v>
      </c>
      <c r="B654" t="s">
        <v>5245</v>
      </c>
      <c r="C654" t="s">
        <v>74</v>
      </c>
      <c r="D654">
        <v>37</v>
      </c>
      <c r="E654" t="s">
        <v>47</v>
      </c>
      <c r="F654" t="s">
        <v>20</v>
      </c>
      <c r="G654" s="8">
        <v>46065</v>
      </c>
      <c r="H654" s="8">
        <v>46076</v>
      </c>
      <c r="I654" t="s">
        <v>8740</v>
      </c>
      <c r="J654" t="s">
        <v>5243</v>
      </c>
      <c r="K654" t="s">
        <v>27</v>
      </c>
      <c r="L654">
        <v>11506.98</v>
      </c>
      <c r="M654">
        <v>416</v>
      </c>
      <c r="N654" t="s">
        <v>71</v>
      </c>
      <c r="O654" t="s">
        <v>26</v>
      </c>
    </row>
    <row r="655" spans="1:15" x14ac:dyDescent="0.3">
      <c r="A655" t="s">
        <v>5242</v>
      </c>
      <c r="B655" t="s">
        <v>5241</v>
      </c>
      <c r="C655" t="s">
        <v>40</v>
      </c>
      <c r="D655">
        <v>24</v>
      </c>
      <c r="E655" t="s">
        <v>39</v>
      </c>
      <c r="F655" t="s">
        <v>20</v>
      </c>
      <c r="G655" s="8">
        <v>46132</v>
      </c>
      <c r="H655" s="8">
        <v>46137</v>
      </c>
      <c r="I655" t="s">
        <v>8741</v>
      </c>
      <c r="J655" t="s">
        <v>5239</v>
      </c>
      <c r="K655" t="s">
        <v>64</v>
      </c>
      <c r="L655">
        <v>3099.55</v>
      </c>
      <c r="M655">
        <v>394</v>
      </c>
      <c r="N655" t="s">
        <v>71</v>
      </c>
      <c r="O655" t="s">
        <v>17</v>
      </c>
    </row>
    <row r="656" spans="1:15" x14ac:dyDescent="0.3">
      <c r="A656" t="s">
        <v>5238</v>
      </c>
      <c r="B656" t="s">
        <v>5237</v>
      </c>
      <c r="C656" t="s">
        <v>123</v>
      </c>
      <c r="D656">
        <v>34</v>
      </c>
      <c r="E656" t="s">
        <v>31</v>
      </c>
      <c r="F656" t="s">
        <v>20</v>
      </c>
      <c r="G656" s="8">
        <v>46136</v>
      </c>
      <c r="H656" s="8">
        <v>46142</v>
      </c>
      <c r="I656" t="s">
        <v>8742</v>
      </c>
      <c r="J656" t="s">
        <v>5235</v>
      </c>
      <c r="K656" t="s">
        <v>27</v>
      </c>
      <c r="L656">
        <v>16705.72</v>
      </c>
      <c r="M656">
        <v>175</v>
      </c>
      <c r="N656" t="s">
        <v>43</v>
      </c>
      <c r="O656" t="s">
        <v>17</v>
      </c>
    </row>
    <row r="657" spans="1:15" x14ac:dyDescent="0.3">
      <c r="A657" t="s">
        <v>5234</v>
      </c>
      <c r="B657" t="s">
        <v>4344</v>
      </c>
      <c r="C657" t="s">
        <v>123</v>
      </c>
      <c r="D657">
        <v>70</v>
      </c>
      <c r="E657" t="s">
        <v>39</v>
      </c>
      <c r="F657" t="s">
        <v>30</v>
      </c>
      <c r="G657" s="8">
        <v>46099</v>
      </c>
      <c r="H657" s="8">
        <v>46102</v>
      </c>
      <c r="I657" t="s">
        <v>8743</v>
      </c>
      <c r="J657" t="s">
        <v>5232</v>
      </c>
      <c r="K657" t="s">
        <v>27</v>
      </c>
      <c r="L657">
        <v>10233.15</v>
      </c>
      <c r="M657">
        <v>493</v>
      </c>
      <c r="N657" t="s">
        <v>71</v>
      </c>
      <c r="O657" t="s">
        <v>123</v>
      </c>
    </row>
    <row r="658" spans="1:15" x14ac:dyDescent="0.3">
      <c r="A658" t="s">
        <v>5231</v>
      </c>
      <c r="B658" t="s">
        <v>5230</v>
      </c>
      <c r="C658" t="s">
        <v>123</v>
      </c>
      <c r="D658">
        <v>41</v>
      </c>
      <c r="E658" t="s">
        <v>39</v>
      </c>
      <c r="F658" t="s">
        <v>46</v>
      </c>
      <c r="G658" s="8">
        <v>46045</v>
      </c>
      <c r="H658" s="8">
        <v>46068</v>
      </c>
      <c r="I658" t="s">
        <v>8744</v>
      </c>
      <c r="J658" t="s">
        <v>5228</v>
      </c>
      <c r="K658" t="s">
        <v>64</v>
      </c>
      <c r="L658">
        <v>16251.65</v>
      </c>
      <c r="M658">
        <v>342</v>
      </c>
      <c r="N658" t="s">
        <v>43</v>
      </c>
      <c r="O658" t="s">
        <v>63</v>
      </c>
    </row>
    <row r="659" spans="1:15" x14ac:dyDescent="0.3">
      <c r="A659" t="s">
        <v>5227</v>
      </c>
      <c r="B659" t="s">
        <v>5226</v>
      </c>
      <c r="C659" t="s">
        <v>40</v>
      </c>
      <c r="D659">
        <v>73</v>
      </c>
      <c r="E659" t="s">
        <v>68</v>
      </c>
      <c r="F659" t="s">
        <v>67</v>
      </c>
      <c r="G659" s="8">
        <v>46139</v>
      </c>
      <c r="H659" s="8">
        <v>46161</v>
      </c>
      <c r="I659" t="s">
        <v>8745</v>
      </c>
      <c r="J659" t="s">
        <v>5224</v>
      </c>
      <c r="K659" t="s">
        <v>64</v>
      </c>
      <c r="L659">
        <v>18344.68</v>
      </c>
      <c r="M659">
        <v>171</v>
      </c>
      <c r="N659" t="s">
        <v>25</v>
      </c>
      <c r="O659" t="s">
        <v>27</v>
      </c>
    </row>
    <row r="660" spans="1:15" x14ac:dyDescent="0.3">
      <c r="A660" t="s">
        <v>5223</v>
      </c>
      <c r="B660" t="s">
        <v>5222</v>
      </c>
      <c r="C660" t="s">
        <v>74</v>
      </c>
      <c r="D660">
        <v>40</v>
      </c>
      <c r="E660" t="s">
        <v>47</v>
      </c>
      <c r="F660" t="s">
        <v>67</v>
      </c>
      <c r="G660" s="8">
        <v>46021</v>
      </c>
      <c r="H660" s="8">
        <v>46040</v>
      </c>
      <c r="I660" t="s">
        <v>8746</v>
      </c>
      <c r="J660" t="s">
        <v>5220</v>
      </c>
      <c r="K660" t="s">
        <v>64</v>
      </c>
      <c r="L660">
        <v>11260.12</v>
      </c>
      <c r="M660">
        <v>267</v>
      </c>
      <c r="N660" t="s">
        <v>77</v>
      </c>
      <c r="O660" t="s">
        <v>64</v>
      </c>
    </row>
    <row r="661" spans="1:15" x14ac:dyDescent="0.3">
      <c r="A661" t="s">
        <v>5215</v>
      </c>
      <c r="B661" t="s">
        <v>5214</v>
      </c>
      <c r="C661" t="s">
        <v>74</v>
      </c>
      <c r="D661">
        <v>66</v>
      </c>
      <c r="E661" t="s">
        <v>54</v>
      </c>
      <c r="F661" t="s">
        <v>8077</v>
      </c>
      <c r="G661" s="8">
        <v>46081</v>
      </c>
      <c r="H661" s="8">
        <v>46096</v>
      </c>
      <c r="I661" t="s">
        <v>8747</v>
      </c>
      <c r="J661" t="s">
        <v>5212</v>
      </c>
      <c r="K661" t="s">
        <v>64</v>
      </c>
      <c r="L661">
        <v>15158.66</v>
      </c>
      <c r="M661">
        <v>441</v>
      </c>
      <c r="N661" t="s">
        <v>43</v>
      </c>
      <c r="O661" t="s">
        <v>27</v>
      </c>
    </row>
    <row r="662" spans="1:15" x14ac:dyDescent="0.3">
      <c r="A662" t="s">
        <v>5211</v>
      </c>
      <c r="B662" t="s">
        <v>5210</v>
      </c>
      <c r="C662" t="s">
        <v>123</v>
      </c>
      <c r="D662">
        <v>19</v>
      </c>
      <c r="E662" t="s">
        <v>54</v>
      </c>
      <c r="F662" t="s">
        <v>67</v>
      </c>
      <c r="G662" s="8">
        <v>46109</v>
      </c>
      <c r="H662" s="8">
        <v>46121</v>
      </c>
      <c r="I662" t="s">
        <v>8748</v>
      </c>
      <c r="J662" t="s">
        <v>5208</v>
      </c>
      <c r="K662" t="s">
        <v>64</v>
      </c>
      <c r="L662">
        <v>502.33</v>
      </c>
      <c r="M662">
        <v>279</v>
      </c>
      <c r="N662" t="s">
        <v>43</v>
      </c>
      <c r="O662" t="s">
        <v>17</v>
      </c>
    </row>
    <row r="663" spans="1:15" x14ac:dyDescent="0.3">
      <c r="A663" t="s">
        <v>5207</v>
      </c>
      <c r="B663" t="s">
        <v>5206</v>
      </c>
      <c r="C663" t="s">
        <v>123</v>
      </c>
      <c r="D663">
        <v>72</v>
      </c>
      <c r="E663" t="s">
        <v>80</v>
      </c>
      <c r="F663" t="s">
        <v>8077</v>
      </c>
      <c r="G663" s="8">
        <v>46126</v>
      </c>
      <c r="H663" s="8">
        <v>46149</v>
      </c>
      <c r="I663" t="s">
        <v>8749</v>
      </c>
      <c r="J663" t="s">
        <v>5204</v>
      </c>
      <c r="K663" t="s">
        <v>123</v>
      </c>
      <c r="L663">
        <v>18589.89</v>
      </c>
      <c r="M663">
        <v>511</v>
      </c>
      <c r="N663" t="s">
        <v>16</v>
      </c>
      <c r="O663" t="s">
        <v>123</v>
      </c>
    </row>
    <row r="664" spans="1:15" x14ac:dyDescent="0.3">
      <c r="A664" t="s">
        <v>5203</v>
      </c>
      <c r="B664" t="s">
        <v>5202</v>
      </c>
      <c r="C664" t="s">
        <v>40</v>
      </c>
      <c r="D664">
        <v>21</v>
      </c>
      <c r="E664" t="s">
        <v>54</v>
      </c>
      <c r="F664" t="s">
        <v>67</v>
      </c>
      <c r="G664" s="8">
        <v>46076</v>
      </c>
      <c r="H664" s="8">
        <v>46080</v>
      </c>
      <c r="I664" t="s">
        <v>8750</v>
      </c>
      <c r="J664" t="s">
        <v>5200</v>
      </c>
      <c r="K664" t="s">
        <v>64</v>
      </c>
      <c r="L664">
        <v>3762.25</v>
      </c>
      <c r="M664">
        <v>343</v>
      </c>
      <c r="N664" t="s">
        <v>50</v>
      </c>
      <c r="O664" t="s">
        <v>63</v>
      </c>
    </row>
    <row r="665" spans="1:15" x14ac:dyDescent="0.3">
      <c r="A665" t="s">
        <v>5195</v>
      </c>
      <c r="B665" t="s">
        <v>5194</v>
      </c>
      <c r="C665" t="s">
        <v>123</v>
      </c>
      <c r="D665">
        <v>73</v>
      </c>
      <c r="E665" t="s">
        <v>39</v>
      </c>
      <c r="F665" t="s">
        <v>8077</v>
      </c>
      <c r="G665" s="8">
        <v>46073</v>
      </c>
      <c r="H665" s="8">
        <v>46078</v>
      </c>
      <c r="I665" t="s">
        <v>8751</v>
      </c>
      <c r="J665" t="s">
        <v>5192</v>
      </c>
      <c r="K665" t="s">
        <v>123</v>
      </c>
      <c r="L665">
        <v>7378.69</v>
      </c>
      <c r="M665">
        <v>121</v>
      </c>
      <c r="N665" t="s">
        <v>50</v>
      </c>
      <c r="O665" t="s">
        <v>123</v>
      </c>
    </row>
    <row r="666" spans="1:15" x14ac:dyDescent="0.3">
      <c r="A666" t="s">
        <v>5191</v>
      </c>
      <c r="B666" t="s">
        <v>5190</v>
      </c>
      <c r="C666" t="s">
        <v>40</v>
      </c>
      <c r="D666">
        <v>75</v>
      </c>
      <c r="E666" t="s">
        <v>132</v>
      </c>
      <c r="F666" t="s">
        <v>85</v>
      </c>
      <c r="G666" s="8">
        <v>46069</v>
      </c>
      <c r="H666" s="8">
        <v>46086</v>
      </c>
      <c r="I666" t="s">
        <v>8752</v>
      </c>
      <c r="J666" t="s">
        <v>5188</v>
      </c>
      <c r="K666" t="s">
        <v>123</v>
      </c>
      <c r="L666">
        <v>5768.1</v>
      </c>
      <c r="M666">
        <v>178</v>
      </c>
      <c r="N666" t="s">
        <v>43</v>
      </c>
      <c r="O666" t="s">
        <v>27</v>
      </c>
    </row>
    <row r="667" spans="1:15" x14ac:dyDescent="0.3">
      <c r="A667" t="s">
        <v>5187</v>
      </c>
      <c r="B667" t="s">
        <v>5186</v>
      </c>
      <c r="C667" t="s">
        <v>40</v>
      </c>
      <c r="D667">
        <v>82</v>
      </c>
      <c r="E667" t="s">
        <v>68</v>
      </c>
      <c r="F667" t="s">
        <v>20</v>
      </c>
      <c r="G667" s="8">
        <v>46010</v>
      </c>
      <c r="H667" s="8">
        <v>46030</v>
      </c>
      <c r="I667" t="s">
        <v>8753</v>
      </c>
      <c r="J667" t="s">
        <v>5184</v>
      </c>
      <c r="K667" t="s">
        <v>27</v>
      </c>
      <c r="L667">
        <v>10545.49</v>
      </c>
      <c r="M667">
        <v>452</v>
      </c>
      <c r="N667" t="s">
        <v>25</v>
      </c>
      <c r="O667" t="s">
        <v>123</v>
      </c>
    </row>
    <row r="668" spans="1:15" x14ac:dyDescent="0.3">
      <c r="A668" t="s">
        <v>5183</v>
      </c>
      <c r="B668" t="s">
        <v>5182</v>
      </c>
      <c r="C668" t="s">
        <v>74</v>
      </c>
      <c r="D668">
        <v>4</v>
      </c>
      <c r="E668" t="s">
        <v>80</v>
      </c>
      <c r="F668" t="s">
        <v>30</v>
      </c>
      <c r="G668" s="8">
        <v>46014</v>
      </c>
      <c r="H668" s="8">
        <v>46029</v>
      </c>
      <c r="I668" t="s">
        <v>8754</v>
      </c>
      <c r="J668" t="s">
        <v>5180</v>
      </c>
      <c r="K668" t="s">
        <v>64</v>
      </c>
      <c r="L668">
        <v>15052.5</v>
      </c>
      <c r="M668">
        <v>397</v>
      </c>
      <c r="N668" t="s">
        <v>16</v>
      </c>
      <c r="O668" t="s">
        <v>17</v>
      </c>
    </row>
    <row r="669" spans="1:15" x14ac:dyDescent="0.3">
      <c r="A669" t="s">
        <v>5179</v>
      </c>
      <c r="B669" t="s">
        <v>5178</v>
      </c>
      <c r="C669" t="s">
        <v>123</v>
      </c>
      <c r="D669">
        <v>34</v>
      </c>
      <c r="E669" t="s">
        <v>68</v>
      </c>
      <c r="F669" t="s">
        <v>20</v>
      </c>
      <c r="G669" s="8">
        <v>46078</v>
      </c>
      <c r="H669" s="8">
        <v>46089</v>
      </c>
      <c r="I669" t="s">
        <v>8755</v>
      </c>
      <c r="J669" t="s">
        <v>5176</v>
      </c>
      <c r="K669" t="s">
        <v>27</v>
      </c>
      <c r="L669">
        <v>21162.95</v>
      </c>
      <c r="M669">
        <v>397</v>
      </c>
      <c r="N669" t="s">
        <v>77</v>
      </c>
      <c r="O669" t="s">
        <v>26</v>
      </c>
    </row>
    <row r="670" spans="1:15" x14ac:dyDescent="0.3">
      <c r="A670" t="s">
        <v>5175</v>
      </c>
      <c r="B670" t="s">
        <v>5174</v>
      </c>
      <c r="C670" t="s">
        <v>40</v>
      </c>
      <c r="D670">
        <v>41</v>
      </c>
      <c r="E670" t="s">
        <v>68</v>
      </c>
      <c r="F670" t="s">
        <v>20</v>
      </c>
      <c r="G670" s="8">
        <v>46042</v>
      </c>
      <c r="H670" s="8">
        <v>46053</v>
      </c>
      <c r="I670" t="s">
        <v>8756</v>
      </c>
      <c r="J670" t="s">
        <v>5172</v>
      </c>
      <c r="K670" t="s">
        <v>27</v>
      </c>
      <c r="L670">
        <v>1511.63</v>
      </c>
      <c r="M670">
        <v>314</v>
      </c>
      <c r="N670" t="s">
        <v>25</v>
      </c>
      <c r="O670" t="s">
        <v>17</v>
      </c>
    </row>
    <row r="671" spans="1:15" x14ac:dyDescent="0.3">
      <c r="A671" t="s">
        <v>5171</v>
      </c>
      <c r="B671" t="s">
        <v>5170</v>
      </c>
      <c r="C671" t="s">
        <v>74</v>
      </c>
      <c r="D671">
        <v>7</v>
      </c>
      <c r="E671" t="s">
        <v>132</v>
      </c>
      <c r="F671" t="s">
        <v>30</v>
      </c>
      <c r="G671" s="8">
        <v>46011</v>
      </c>
      <c r="H671" s="8">
        <v>46027</v>
      </c>
      <c r="I671" t="s">
        <v>8757</v>
      </c>
      <c r="J671" t="s">
        <v>5168</v>
      </c>
      <c r="K671" t="s">
        <v>64</v>
      </c>
      <c r="L671">
        <v>12943.89</v>
      </c>
      <c r="M671">
        <v>491</v>
      </c>
      <c r="N671" t="s">
        <v>77</v>
      </c>
      <c r="O671" t="s">
        <v>26</v>
      </c>
    </row>
    <row r="672" spans="1:15" x14ac:dyDescent="0.3">
      <c r="A672" t="s">
        <v>5167</v>
      </c>
      <c r="B672" t="s">
        <v>5166</v>
      </c>
      <c r="C672" t="s">
        <v>40</v>
      </c>
      <c r="D672">
        <v>70</v>
      </c>
      <c r="E672" t="s">
        <v>31</v>
      </c>
      <c r="F672" t="s">
        <v>67</v>
      </c>
      <c r="G672" s="8">
        <v>46090</v>
      </c>
      <c r="H672" s="8">
        <v>46116</v>
      </c>
      <c r="I672" t="s">
        <v>8758</v>
      </c>
      <c r="J672" t="s">
        <v>5164</v>
      </c>
      <c r="K672" t="s">
        <v>27</v>
      </c>
      <c r="L672">
        <v>6932.18</v>
      </c>
      <c r="M672">
        <v>149</v>
      </c>
      <c r="N672" t="s">
        <v>34</v>
      </c>
      <c r="O672" t="s">
        <v>17</v>
      </c>
    </row>
    <row r="673" spans="1:15" x14ac:dyDescent="0.3">
      <c r="A673" t="s">
        <v>5163</v>
      </c>
      <c r="B673" t="s">
        <v>5162</v>
      </c>
      <c r="C673" t="s">
        <v>74</v>
      </c>
      <c r="D673">
        <v>19</v>
      </c>
      <c r="E673" t="s">
        <v>47</v>
      </c>
      <c r="F673" t="s">
        <v>20</v>
      </c>
      <c r="G673" s="8">
        <v>46114</v>
      </c>
      <c r="H673" s="8">
        <v>46130</v>
      </c>
      <c r="I673" t="s">
        <v>8759</v>
      </c>
      <c r="J673" t="s">
        <v>5160</v>
      </c>
      <c r="K673" t="s">
        <v>27</v>
      </c>
      <c r="L673">
        <v>9450.75</v>
      </c>
      <c r="M673">
        <v>310</v>
      </c>
      <c r="N673" t="s">
        <v>43</v>
      </c>
      <c r="O673" t="s">
        <v>123</v>
      </c>
    </row>
    <row r="674" spans="1:15" x14ac:dyDescent="0.3">
      <c r="A674" t="s">
        <v>5159</v>
      </c>
      <c r="B674" t="s">
        <v>5158</v>
      </c>
      <c r="C674" t="s">
        <v>40</v>
      </c>
      <c r="D674">
        <v>14</v>
      </c>
      <c r="E674" t="s">
        <v>21</v>
      </c>
      <c r="F674" t="s">
        <v>20</v>
      </c>
      <c r="G674" s="8">
        <v>46000</v>
      </c>
      <c r="H674" s="8">
        <v>46016</v>
      </c>
      <c r="I674" t="s">
        <v>8760</v>
      </c>
      <c r="J674" t="s">
        <v>5156</v>
      </c>
      <c r="K674" t="s">
        <v>64</v>
      </c>
      <c r="L674">
        <v>20823.02</v>
      </c>
      <c r="M674">
        <v>313</v>
      </c>
      <c r="N674" t="s">
        <v>16</v>
      </c>
      <c r="O674" t="s">
        <v>64</v>
      </c>
    </row>
    <row r="675" spans="1:15" x14ac:dyDescent="0.3">
      <c r="A675" t="s">
        <v>5155</v>
      </c>
      <c r="B675" t="s">
        <v>5154</v>
      </c>
      <c r="C675" t="s">
        <v>74</v>
      </c>
      <c r="D675">
        <v>15</v>
      </c>
      <c r="E675" t="s">
        <v>39</v>
      </c>
      <c r="F675" t="s">
        <v>46</v>
      </c>
      <c r="G675" s="8">
        <v>45999</v>
      </c>
      <c r="H675" s="8">
        <v>46014</v>
      </c>
      <c r="I675" t="s">
        <v>8761</v>
      </c>
      <c r="J675" t="s">
        <v>5152</v>
      </c>
      <c r="K675" t="s">
        <v>64</v>
      </c>
      <c r="L675">
        <v>7927.02</v>
      </c>
      <c r="M675">
        <v>171</v>
      </c>
      <c r="N675" t="s">
        <v>50</v>
      </c>
      <c r="O675" t="s">
        <v>17</v>
      </c>
    </row>
    <row r="676" spans="1:15" x14ac:dyDescent="0.3">
      <c r="A676" t="s">
        <v>5151</v>
      </c>
      <c r="B676" t="s">
        <v>5150</v>
      </c>
      <c r="C676" t="s">
        <v>123</v>
      </c>
      <c r="D676">
        <v>77</v>
      </c>
      <c r="E676" t="s">
        <v>31</v>
      </c>
      <c r="F676" t="s">
        <v>20</v>
      </c>
      <c r="G676" s="8">
        <v>46085</v>
      </c>
      <c r="H676" s="8">
        <v>46107</v>
      </c>
      <c r="I676" t="s">
        <v>8762</v>
      </c>
      <c r="J676" t="s">
        <v>5148</v>
      </c>
      <c r="K676" t="s">
        <v>27</v>
      </c>
      <c r="L676">
        <v>913.24</v>
      </c>
      <c r="M676">
        <v>213</v>
      </c>
      <c r="N676" t="s">
        <v>71</v>
      </c>
      <c r="O676" t="s">
        <v>64</v>
      </c>
    </row>
    <row r="677" spans="1:15" x14ac:dyDescent="0.3">
      <c r="A677" t="s">
        <v>5147</v>
      </c>
      <c r="B677" t="s">
        <v>5146</v>
      </c>
      <c r="C677" t="s">
        <v>40</v>
      </c>
      <c r="D677">
        <v>89</v>
      </c>
      <c r="E677" t="s">
        <v>21</v>
      </c>
      <c r="F677" t="s">
        <v>30</v>
      </c>
      <c r="G677" s="8">
        <v>46065</v>
      </c>
      <c r="H677" s="8">
        <v>46069</v>
      </c>
      <c r="I677" t="s">
        <v>8763</v>
      </c>
      <c r="J677" t="s">
        <v>5144</v>
      </c>
      <c r="K677" t="s">
        <v>64</v>
      </c>
      <c r="L677">
        <v>3429.41</v>
      </c>
      <c r="M677">
        <v>317</v>
      </c>
      <c r="N677" t="s">
        <v>25</v>
      </c>
      <c r="O677" t="s">
        <v>64</v>
      </c>
    </row>
    <row r="678" spans="1:15" x14ac:dyDescent="0.3">
      <c r="A678" t="s">
        <v>5143</v>
      </c>
      <c r="B678" t="s">
        <v>5142</v>
      </c>
      <c r="C678" t="s">
        <v>74</v>
      </c>
      <c r="D678">
        <v>10</v>
      </c>
      <c r="E678" t="s">
        <v>47</v>
      </c>
      <c r="F678" t="s">
        <v>85</v>
      </c>
      <c r="G678" s="8">
        <v>46060</v>
      </c>
      <c r="H678" s="8">
        <v>46084</v>
      </c>
      <c r="I678" t="s">
        <v>8764</v>
      </c>
      <c r="J678" t="s">
        <v>5140</v>
      </c>
      <c r="K678" t="s">
        <v>123</v>
      </c>
      <c r="L678">
        <v>1254.42</v>
      </c>
      <c r="M678">
        <v>116</v>
      </c>
      <c r="N678" t="s">
        <v>50</v>
      </c>
      <c r="O678" t="s">
        <v>64</v>
      </c>
    </row>
    <row r="679" spans="1:15" x14ac:dyDescent="0.3">
      <c r="A679" t="s">
        <v>5139</v>
      </c>
      <c r="B679" t="s">
        <v>8052</v>
      </c>
      <c r="C679" t="s">
        <v>40</v>
      </c>
      <c r="D679">
        <v>61</v>
      </c>
      <c r="E679" t="s">
        <v>5137</v>
      </c>
      <c r="F679" t="s">
        <v>30</v>
      </c>
      <c r="G679" s="8">
        <v>46075</v>
      </c>
      <c r="H679" s="8">
        <v>46076</v>
      </c>
      <c r="I679" t="s">
        <v>8765</v>
      </c>
      <c r="J679" t="s">
        <v>123</v>
      </c>
      <c r="K679" t="s">
        <v>64</v>
      </c>
      <c r="L679">
        <v>7680.82</v>
      </c>
      <c r="M679">
        <v>486</v>
      </c>
      <c r="N679" t="s">
        <v>77</v>
      </c>
      <c r="O679" t="s">
        <v>27</v>
      </c>
    </row>
    <row r="680" spans="1:15" x14ac:dyDescent="0.3">
      <c r="A680" t="s">
        <v>5135</v>
      </c>
      <c r="B680" t="s">
        <v>5134</v>
      </c>
      <c r="C680" t="s">
        <v>74</v>
      </c>
      <c r="D680">
        <v>78</v>
      </c>
      <c r="E680" t="s">
        <v>21</v>
      </c>
      <c r="F680" t="s">
        <v>8077</v>
      </c>
      <c r="G680" s="8">
        <v>46033</v>
      </c>
      <c r="H680" s="8">
        <v>46038</v>
      </c>
      <c r="I680" t="s">
        <v>8766</v>
      </c>
      <c r="J680" t="s">
        <v>5132</v>
      </c>
      <c r="K680" t="s">
        <v>64</v>
      </c>
      <c r="L680">
        <v>925.63</v>
      </c>
      <c r="M680">
        <v>533</v>
      </c>
      <c r="N680" t="s">
        <v>25</v>
      </c>
      <c r="O680" t="s">
        <v>26</v>
      </c>
    </row>
    <row r="681" spans="1:15" x14ac:dyDescent="0.3">
      <c r="A681" t="s">
        <v>5131</v>
      </c>
      <c r="B681" t="s">
        <v>5130</v>
      </c>
      <c r="C681" t="s">
        <v>40</v>
      </c>
      <c r="D681">
        <v>75</v>
      </c>
      <c r="E681" t="s">
        <v>31</v>
      </c>
      <c r="F681" t="s">
        <v>67</v>
      </c>
      <c r="G681" s="8">
        <v>46113</v>
      </c>
      <c r="H681" s="8">
        <v>46118</v>
      </c>
      <c r="I681" t="s">
        <v>8767</v>
      </c>
      <c r="J681" t="s">
        <v>5128</v>
      </c>
      <c r="K681" t="s">
        <v>64</v>
      </c>
      <c r="L681">
        <v>12721.75</v>
      </c>
      <c r="M681">
        <v>150</v>
      </c>
      <c r="N681" t="s">
        <v>50</v>
      </c>
      <c r="O681" t="s">
        <v>64</v>
      </c>
    </row>
    <row r="682" spans="1:15" x14ac:dyDescent="0.3">
      <c r="A682" t="s">
        <v>5127</v>
      </c>
      <c r="B682" t="s">
        <v>5126</v>
      </c>
      <c r="C682" t="s">
        <v>40</v>
      </c>
      <c r="D682">
        <v>68</v>
      </c>
      <c r="E682" t="s">
        <v>21</v>
      </c>
      <c r="F682" t="s">
        <v>8077</v>
      </c>
      <c r="G682" s="8">
        <v>45992</v>
      </c>
      <c r="H682" s="8">
        <v>46022</v>
      </c>
      <c r="I682" t="s">
        <v>8768</v>
      </c>
      <c r="J682" t="s">
        <v>5124</v>
      </c>
      <c r="K682" t="s">
        <v>27</v>
      </c>
      <c r="L682">
        <v>4459.9799999999996</v>
      </c>
      <c r="M682">
        <v>471</v>
      </c>
      <c r="N682" t="s">
        <v>77</v>
      </c>
      <c r="O682" t="s">
        <v>27</v>
      </c>
    </row>
    <row r="683" spans="1:15" x14ac:dyDescent="0.3">
      <c r="A683" t="s">
        <v>5123</v>
      </c>
      <c r="B683" t="s">
        <v>5122</v>
      </c>
      <c r="C683" t="s">
        <v>74</v>
      </c>
      <c r="D683">
        <v>65</v>
      </c>
      <c r="E683" t="s">
        <v>68</v>
      </c>
      <c r="F683" t="s">
        <v>67</v>
      </c>
      <c r="G683" s="8">
        <v>46004</v>
      </c>
      <c r="H683" s="8">
        <v>46026</v>
      </c>
      <c r="I683" t="s">
        <v>8769</v>
      </c>
      <c r="J683" t="s">
        <v>5120</v>
      </c>
      <c r="K683" t="s">
        <v>27</v>
      </c>
      <c r="L683">
        <v>11103.71</v>
      </c>
      <c r="M683">
        <v>192</v>
      </c>
      <c r="N683" t="s">
        <v>50</v>
      </c>
      <c r="O683" t="s">
        <v>64</v>
      </c>
    </row>
    <row r="684" spans="1:15" x14ac:dyDescent="0.3">
      <c r="A684" t="s">
        <v>5119</v>
      </c>
      <c r="B684" t="s">
        <v>5118</v>
      </c>
      <c r="C684" t="s">
        <v>74</v>
      </c>
      <c r="D684">
        <v>49</v>
      </c>
      <c r="E684" t="s">
        <v>54</v>
      </c>
      <c r="F684" t="s">
        <v>8077</v>
      </c>
      <c r="G684" s="8">
        <v>45982</v>
      </c>
      <c r="H684" s="8">
        <v>45998</v>
      </c>
      <c r="I684" t="s">
        <v>8230</v>
      </c>
      <c r="J684" t="s">
        <v>5117</v>
      </c>
      <c r="K684" t="s">
        <v>64</v>
      </c>
      <c r="L684">
        <v>10307.93</v>
      </c>
      <c r="M684">
        <v>163</v>
      </c>
      <c r="N684" t="s">
        <v>16</v>
      </c>
      <c r="O684" t="s">
        <v>17</v>
      </c>
    </row>
    <row r="685" spans="1:15" x14ac:dyDescent="0.3">
      <c r="A685" t="s">
        <v>5116</v>
      </c>
      <c r="B685" t="s">
        <v>5115</v>
      </c>
      <c r="C685" t="s">
        <v>74</v>
      </c>
      <c r="D685">
        <v>67</v>
      </c>
      <c r="E685" t="s">
        <v>39</v>
      </c>
      <c r="F685" t="s">
        <v>85</v>
      </c>
      <c r="G685" s="8">
        <v>46075</v>
      </c>
      <c r="H685" s="8">
        <v>46099</v>
      </c>
      <c r="I685" t="s">
        <v>8770</v>
      </c>
      <c r="J685" t="s">
        <v>5113</v>
      </c>
      <c r="K685" t="s">
        <v>64</v>
      </c>
      <c r="L685">
        <v>17677.330000000002</v>
      </c>
      <c r="M685">
        <v>142</v>
      </c>
      <c r="N685" t="s">
        <v>43</v>
      </c>
      <c r="O685" t="s">
        <v>27</v>
      </c>
    </row>
    <row r="686" spans="1:15" x14ac:dyDescent="0.3">
      <c r="A686" t="s">
        <v>5112</v>
      </c>
      <c r="B686" t="s">
        <v>5111</v>
      </c>
      <c r="C686" t="s">
        <v>123</v>
      </c>
      <c r="D686">
        <v>15</v>
      </c>
      <c r="E686" t="s">
        <v>54</v>
      </c>
      <c r="F686" t="s">
        <v>30</v>
      </c>
      <c r="G686" s="8">
        <v>46120</v>
      </c>
      <c r="H686" s="8">
        <v>46134</v>
      </c>
      <c r="I686" t="s">
        <v>8771</v>
      </c>
      <c r="J686" t="s">
        <v>5109</v>
      </c>
      <c r="K686" t="s">
        <v>27</v>
      </c>
      <c r="L686">
        <v>17238.75</v>
      </c>
      <c r="M686">
        <v>215</v>
      </c>
      <c r="N686" t="s">
        <v>34</v>
      </c>
      <c r="O686" t="s">
        <v>123</v>
      </c>
    </row>
    <row r="687" spans="1:15" x14ac:dyDescent="0.3">
      <c r="A687" t="s">
        <v>5108</v>
      </c>
      <c r="B687" t="s">
        <v>5107</v>
      </c>
      <c r="C687" t="s">
        <v>123</v>
      </c>
      <c r="D687">
        <v>38</v>
      </c>
      <c r="E687" t="s">
        <v>54</v>
      </c>
      <c r="F687" t="s">
        <v>8077</v>
      </c>
      <c r="G687" s="8">
        <v>45989</v>
      </c>
      <c r="H687" s="8">
        <v>46016</v>
      </c>
      <c r="I687" t="s">
        <v>8772</v>
      </c>
      <c r="J687" t="s">
        <v>5105</v>
      </c>
      <c r="K687" t="s">
        <v>64</v>
      </c>
      <c r="L687">
        <v>22389.919999999998</v>
      </c>
      <c r="M687">
        <v>447</v>
      </c>
      <c r="N687" t="s">
        <v>43</v>
      </c>
      <c r="O687" t="s">
        <v>123</v>
      </c>
    </row>
    <row r="688" spans="1:15" x14ac:dyDescent="0.3">
      <c r="A688" t="s">
        <v>5104</v>
      </c>
      <c r="B688" t="s">
        <v>5103</v>
      </c>
      <c r="C688" t="s">
        <v>40</v>
      </c>
      <c r="D688">
        <v>2</v>
      </c>
      <c r="E688" t="s">
        <v>68</v>
      </c>
      <c r="F688" t="s">
        <v>20</v>
      </c>
      <c r="G688" s="8">
        <v>46140</v>
      </c>
      <c r="H688" s="8">
        <v>46152</v>
      </c>
      <c r="I688" t="s">
        <v>8773</v>
      </c>
      <c r="J688" t="s">
        <v>5101</v>
      </c>
      <c r="K688" t="s">
        <v>123</v>
      </c>
      <c r="L688">
        <v>13162.03</v>
      </c>
      <c r="M688">
        <v>161</v>
      </c>
      <c r="N688" t="s">
        <v>71</v>
      </c>
      <c r="O688" t="s">
        <v>64</v>
      </c>
    </row>
    <row r="689" spans="1:15" x14ac:dyDescent="0.3">
      <c r="A689" t="s">
        <v>5100</v>
      </c>
      <c r="B689" t="s">
        <v>5099</v>
      </c>
      <c r="C689" t="s">
        <v>123</v>
      </c>
      <c r="D689">
        <v>52</v>
      </c>
      <c r="E689" t="s">
        <v>80</v>
      </c>
      <c r="F689" t="s">
        <v>20</v>
      </c>
      <c r="G689" s="8">
        <v>46014</v>
      </c>
      <c r="H689" s="8">
        <v>46016</v>
      </c>
      <c r="I689" t="s">
        <v>8774</v>
      </c>
      <c r="J689" t="s">
        <v>5097</v>
      </c>
      <c r="K689" t="s">
        <v>64</v>
      </c>
      <c r="L689">
        <v>24385.15</v>
      </c>
      <c r="M689">
        <v>202</v>
      </c>
      <c r="N689" t="s">
        <v>34</v>
      </c>
      <c r="O689" t="s">
        <v>17</v>
      </c>
    </row>
    <row r="690" spans="1:15" x14ac:dyDescent="0.3">
      <c r="A690" t="s">
        <v>5096</v>
      </c>
      <c r="B690" t="s">
        <v>5095</v>
      </c>
      <c r="C690" t="s">
        <v>123</v>
      </c>
      <c r="D690">
        <v>16</v>
      </c>
      <c r="E690" t="s">
        <v>21</v>
      </c>
      <c r="F690" t="s">
        <v>67</v>
      </c>
      <c r="G690" s="8">
        <v>46095</v>
      </c>
      <c r="H690" s="8">
        <v>46118</v>
      </c>
      <c r="I690" t="s">
        <v>8775</v>
      </c>
      <c r="J690" t="s">
        <v>5093</v>
      </c>
      <c r="K690" t="s">
        <v>123</v>
      </c>
      <c r="L690">
        <v>7107.25</v>
      </c>
      <c r="M690">
        <v>487</v>
      </c>
      <c r="N690" t="s">
        <v>50</v>
      </c>
      <c r="O690" t="s">
        <v>63</v>
      </c>
    </row>
    <row r="691" spans="1:15" x14ac:dyDescent="0.3">
      <c r="A691" t="s">
        <v>5092</v>
      </c>
      <c r="B691" t="s">
        <v>5091</v>
      </c>
      <c r="C691" t="s">
        <v>123</v>
      </c>
      <c r="D691">
        <v>46</v>
      </c>
      <c r="E691" t="s">
        <v>68</v>
      </c>
      <c r="F691" t="s">
        <v>67</v>
      </c>
      <c r="G691" s="8">
        <v>46069</v>
      </c>
      <c r="H691" s="8">
        <v>46084</v>
      </c>
      <c r="I691" t="s">
        <v>8776</v>
      </c>
      <c r="J691" t="s">
        <v>5089</v>
      </c>
      <c r="K691" t="s">
        <v>27</v>
      </c>
      <c r="L691">
        <v>3854.88</v>
      </c>
      <c r="M691">
        <v>155</v>
      </c>
      <c r="N691" t="s">
        <v>77</v>
      </c>
      <c r="O691" t="s">
        <v>123</v>
      </c>
    </row>
    <row r="692" spans="1:15" x14ac:dyDescent="0.3">
      <c r="A692" t="s">
        <v>5088</v>
      </c>
      <c r="B692" t="s">
        <v>5087</v>
      </c>
      <c r="C692" t="s">
        <v>40</v>
      </c>
      <c r="D692">
        <v>63</v>
      </c>
      <c r="E692" t="s">
        <v>68</v>
      </c>
      <c r="F692" t="s">
        <v>8077</v>
      </c>
      <c r="G692" s="8">
        <v>46141</v>
      </c>
      <c r="H692" s="8">
        <v>46161</v>
      </c>
      <c r="I692" t="s">
        <v>8777</v>
      </c>
      <c r="J692" t="s">
        <v>5085</v>
      </c>
      <c r="K692" t="s">
        <v>27</v>
      </c>
      <c r="L692">
        <v>937.14</v>
      </c>
      <c r="M692">
        <v>525</v>
      </c>
      <c r="N692" t="s">
        <v>77</v>
      </c>
      <c r="O692" t="s">
        <v>27</v>
      </c>
    </row>
    <row r="693" spans="1:15" x14ac:dyDescent="0.3">
      <c r="A693" t="s">
        <v>5084</v>
      </c>
      <c r="B693" t="s">
        <v>5083</v>
      </c>
      <c r="C693" t="s">
        <v>123</v>
      </c>
      <c r="D693">
        <v>87</v>
      </c>
      <c r="E693" t="s">
        <v>47</v>
      </c>
      <c r="F693" t="s">
        <v>20</v>
      </c>
      <c r="G693" s="8">
        <v>46092</v>
      </c>
      <c r="H693" s="8">
        <v>46104</v>
      </c>
      <c r="I693" t="s">
        <v>8778</v>
      </c>
      <c r="J693" t="s">
        <v>5081</v>
      </c>
      <c r="K693" t="s">
        <v>64</v>
      </c>
      <c r="L693">
        <v>3987.87</v>
      </c>
      <c r="M693">
        <v>489</v>
      </c>
      <c r="N693" t="s">
        <v>77</v>
      </c>
      <c r="O693" t="s">
        <v>64</v>
      </c>
    </row>
    <row r="694" spans="1:15" x14ac:dyDescent="0.3">
      <c r="A694" t="s">
        <v>5080</v>
      </c>
      <c r="B694" t="s">
        <v>5079</v>
      </c>
      <c r="C694" t="s">
        <v>123</v>
      </c>
      <c r="D694">
        <v>60</v>
      </c>
      <c r="E694" t="s">
        <v>21</v>
      </c>
      <c r="F694" t="s">
        <v>30</v>
      </c>
      <c r="G694" s="8">
        <v>46095</v>
      </c>
      <c r="H694" s="8">
        <v>46116</v>
      </c>
      <c r="I694" t="s">
        <v>8779</v>
      </c>
      <c r="J694" t="s">
        <v>5077</v>
      </c>
      <c r="K694" t="s">
        <v>123</v>
      </c>
      <c r="L694">
        <v>12358.21</v>
      </c>
      <c r="M694">
        <v>377</v>
      </c>
      <c r="N694" t="s">
        <v>43</v>
      </c>
      <c r="O694" t="s">
        <v>63</v>
      </c>
    </row>
    <row r="695" spans="1:15" x14ac:dyDescent="0.3">
      <c r="A695" t="s">
        <v>5076</v>
      </c>
      <c r="B695" t="s">
        <v>5075</v>
      </c>
      <c r="C695" t="s">
        <v>40</v>
      </c>
      <c r="D695">
        <v>5</v>
      </c>
      <c r="E695" t="s">
        <v>54</v>
      </c>
      <c r="F695" t="s">
        <v>20</v>
      </c>
      <c r="G695" s="8">
        <v>46140</v>
      </c>
      <c r="H695" s="8">
        <v>46152</v>
      </c>
      <c r="I695" t="s">
        <v>8780</v>
      </c>
      <c r="J695" t="s">
        <v>5073</v>
      </c>
      <c r="K695" t="s">
        <v>123</v>
      </c>
      <c r="L695">
        <v>8001.07</v>
      </c>
      <c r="M695">
        <v>326</v>
      </c>
      <c r="N695" t="s">
        <v>16</v>
      </c>
      <c r="O695" t="s">
        <v>123</v>
      </c>
    </row>
    <row r="696" spans="1:15" x14ac:dyDescent="0.3">
      <c r="A696" t="s">
        <v>5072</v>
      </c>
      <c r="B696" t="s">
        <v>5071</v>
      </c>
      <c r="C696" t="s">
        <v>40</v>
      </c>
      <c r="D696">
        <v>5</v>
      </c>
      <c r="E696" t="s">
        <v>39</v>
      </c>
      <c r="F696" t="s">
        <v>30</v>
      </c>
      <c r="G696" s="8">
        <v>45991</v>
      </c>
      <c r="H696" s="8">
        <v>46019</v>
      </c>
      <c r="I696" t="s">
        <v>8781</v>
      </c>
      <c r="J696" t="s">
        <v>5069</v>
      </c>
      <c r="K696" t="s">
        <v>27</v>
      </c>
      <c r="L696">
        <v>12388.69</v>
      </c>
      <c r="M696">
        <v>259</v>
      </c>
      <c r="N696" t="s">
        <v>25</v>
      </c>
      <c r="O696" t="s">
        <v>26</v>
      </c>
    </row>
    <row r="697" spans="1:15" x14ac:dyDescent="0.3">
      <c r="A697" t="s">
        <v>5068</v>
      </c>
      <c r="B697" t="s">
        <v>5067</v>
      </c>
      <c r="C697" t="s">
        <v>123</v>
      </c>
      <c r="D697">
        <v>63</v>
      </c>
      <c r="E697" t="s">
        <v>80</v>
      </c>
      <c r="F697" t="s">
        <v>85</v>
      </c>
      <c r="G697" s="8">
        <v>45976</v>
      </c>
      <c r="H697" s="8">
        <v>45997</v>
      </c>
      <c r="I697" t="s">
        <v>8782</v>
      </c>
      <c r="J697" t="s">
        <v>5065</v>
      </c>
      <c r="K697" t="s">
        <v>123</v>
      </c>
      <c r="L697">
        <v>12002.59</v>
      </c>
      <c r="M697">
        <v>359</v>
      </c>
      <c r="N697" t="s">
        <v>77</v>
      </c>
      <c r="O697" t="s">
        <v>26</v>
      </c>
    </row>
    <row r="698" spans="1:15" x14ac:dyDescent="0.3">
      <c r="A698" t="s">
        <v>5064</v>
      </c>
      <c r="B698" t="s">
        <v>5063</v>
      </c>
      <c r="C698" t="s">
        <v>123</v>
      </c>
      <c r="D698">
        <v>34</v>
      </c>
      <c r="E698" t="s">
        <v>68</v>
      </c>
      <c r="F698" t="s">
        <v>67</v>
      </c>
      <c r="G698" s="8">
        <v>46023</v>
      </c>
      <c r="H698" s="8">
        <v>46042</v>
      </c>
      <c r="I698" t="s">
        <v>8783</v>
      </c>
      <c r="J698" t="s">
        <v>5061</v>
      </c>
      <c r="K698" t="s">
        <v>64</v>
      </c>
      <c r="L698">
        <v>19208.48</v>
      </c>
      <c r="M698">
        <v>264</v>
      </c>
      <c r="N698" t="s">
        <v>77</v>
      </c>
      <c r="O698" t="s">
        <v>63</v>
      </c>
    </row>
    <row r="699" spans="1:15" x14ac:dyDescent="0.3">
      <c r="A699" t="s">
        <v>5060</v>
      </c>
      <c r="B699" t="s">
        <v>5059</v>
      </c>
      <c r="C699" t="s">
        <v>40</v>
      </c>
      <c r="D699">
        <v>76</v>
      </c>
      <c r="E699" t="s">
        <v>47</v>
      </c>
      <c r="F699" t="s">
        <v>20</v>
      </c>
      <c r="G699" s="8">
        <v>46079</v>
      </c>
      <c r="H699" s="8">
        <v>46105</v>
      </c>
      <c r="I699" t="s">
        <v>8784</v>
      </c>
      <c r="J699" t="s">
        <v>5057</v>
      </c>
      <c r="K699" t="s">
        <v>64</v>
      </c>
      <c r="L699">
        <v>8852.14</v>
      </c>
      <c r="M699">
        <v>491</v>
      </c>
      <c r="N699" t="s">
        <v>25</v>
      </c>
      <c r="O699" t="s">
        <v>27</v>
      </c>
    </row>
    <row r="700" spans="1:15" x14ac:dyDescent="0.3">
      <c r="A700" t="s">
        <v>5056</v>
      </c>
      <c r="B700" t="s">
        <v>5055</v>
      </c>
      <c r="C700" t="s">
        <v>74</v>
      </c>
      <c r="D700">
        <v>49</v>
      </c>
      <c r="E700" t="s">
        <v>80</v>
      </c>
      <c r="F700" t="s">
        <v>67</v>
      </c>
      <c r="G700" s="8">
        <v>46005</v>
      </c>
      <c r="H700" s="8">
        <v>46016</v>
      </c>
      <c r="I700" t="s">
        <v>8785</v>
      </c>
      <c r="J700" t="s">
        <v>5053</v>
      </c>
      <c r="K700" t="s">
        <v>64</v>
      </c>
      <c r="L700">
        <v>10415.85</v>
      </c>
      <c r="M700">
        <v>438</v>
      </c>
      <c r="N700" t="s">
        <v>71</v>
      </c>
      <c r="O700" t="s">
        <v>27</v>
      </c>
    </row>
    <row r="701" spans="1:15" x14ac:dyDescent="0.3">
      <c r="A701" t="s">
        <v>5052</v>
      </c>
      <c r="B701" t="s">
        <v>5051</v>
      </c>
      <c r="C701" t="s">
        <v>74</v>
      </c>
      <c r="D701">
        <v>31</v>
      </c>
      <c r="E701" t="s">
        <v>132</v>
      </c>
      <c r="F701" t="s">
        <v>20</v>
      </c>
      <c r="G701" s="8">
        <v>45998</v>
      </c>
      <c r="H701" s="8">
        <v>46027</v>
      </c>
      <c r="I701" t="s">
        <v>8786</v>
      </c>
      <c r="J701" t="s">
        <v>5049</v>
      </c>
      <c r="K701" t="s">
        <v>64</v>
      </c>
      <c r="L701">
        <v>21749.71</v>
      </c>
      <c r="M701">
        <v>272</v>
      </c>
      <c r="N701" t="s">
        <v>71</v>
      </c>
      <c r="O701" t="s">
        <v>64</v>
      </c>
    </row>
    <row r="702" spans="1:15" x14ac:dyDescent="0.3">
      <c r="A702" t="s">
        <v>5048</v>
      </c>
      <c r="B702" t="s">
        <v>5047</v>
      </c>
      <c r="C702" t="s">
        <v>40</v>
      </c>
      <c r="D702">
        <v>69</v>
      </c>
      <c r="E702" t="s">
        <v>31</v>
      </c>
      <c r="F702" t="s">
        <v>46</v>
      </c>
      <c r="G702" s="8">
        <v>46119</v>
      </c>
      <c r="H702" s="8">
        <v>46133</v>
      </c>
      <c r="I702" t="s">
        <v>8787</v>
      </c>
      <c r="J702" t="s">
        <v>5045</v>
      </c>
      <c r="K702" t="s">
        <v>123</v>
      </c>
      <c r="L702">
        <v>14287.63</v>
      </c>
      <c r="M702">
        <v>236</v>
      </c>
      <c r="N702" t="s">
        <v>77</v>
      </c>
      <c r="O702" t="s">
        <v>123</v>
      </c>
    </row>
    <row r="703" spans="1:15" x14ac:dyDescent="0.3">
      <c r="A703" t="s">
        <v>5044</v>
      </c>
      <c r="B703" t="s">
        <v>5043</v>
      </c>
      <c r="C703" t="s">
        <v>123</v>
      </c>
      <c r="D703">
        <v>76</v>
      </c>
      <c r="E703" t="s">
        <v>47</v>
      </c>
      <c r="F703" t="s">
        <v>67</v>
      </c>
      <c r="G703" s="8">
        <v>45978</v>
      </c>
      <c r="H703" s="8">
        <v>45990</v>
      </c>
      <c r="I703" t="s">
        <v>8788</v>
      </c>
      <c r="J703" t="s">
        <v>5041</v>
      </c>
      <c r="K703" t="s">
        <v>123</v>
      </c>
      <c r="L703">
        <v>8196.0499999999993</v>
      </c>
      <c r="M703">
        <v>513</v>
      </c>
      <c r="N703" t="s">
        <v>16</v>
      </c>
      <c r="O703" t="s">
        <v>64</v>
      </c>
    </row>
    <row r="704" spans="1:15" x14ac:dyDescent="0.3">
      <c r="A704" t="s">
        <v>5040</v>
      </c>
      <c r="B704" t="s">
        <v>5039</v>
      </c>
      <c r="C704" t="s">
        <v>74</v>
      </c>
      <c r="D704">
        <v>89</v>
      </c>
      <c r="E704" t="s">
        <v>21</v>
      </c>
      <c r="F704" t="s">
        <v>67</v>
      </c>
      <c r="G704" s="8">
        <v>46058</v>
      </c>
      <c r="H704" s="8">
        <v>46073</v>
      </c>
      <c r="I704" t="s">
        <v>8789</v>
      </c>
      <c r="J704" t="s">
        <v>5037</v>
      </c>
      <c r="K704" t="s">
        <v>64</v>
      </c>
      <c r="L704">
        <v>4332.3599999999997</v>
      </c>
      <c r="M704">
        <v>286</v>
      </c>
      <c r="N704" t="s">
        <v>16</v>
      </c>
      <c r="O704" t="s">
        <v>63</v>
      </c>
    </row>
    <row r="705" spans="1:15" x14ac:dyDescent="0.3">
      <c r="A705" t="s">
        <v>5036</v>
      </c>
      <c r="B705" t="s">
        <v>5035</v>
      </c>
      <c r="C705" t="s">
        <v>74</v>
      </c>
      <c r="D705">
        <v>64</v>
      </c>
      <c r="E705" t="s">
        <v>80</v>
      </c>
      <c r="F705" t="s">
        <v>8077</v>
      </c>
      <c r="G705" s="8">
        <v>45994</v>
      </c>
      <c r="H705" s="8">
        <v>46003</v>
      </c>
      <c r="I705" t="s">
        <v>8790</v>
      </c>
      <c r="J705" t="s">
        <v>5033</v>
      </c>
      <c r="K705" t="s">
        <v>27</v>
      </c>
      <c r="L705">
        <v>1378.78</v>
      </c>
      <c r="M705">
        <v>511</v>
      </c>
      <c r="N705" t="s">
        <v>71</v>
      </c>
      <c r="O705" t="s">
        <v>123</v>
      </c>
    </row>
    <row r="706" spans="1:15" x14ac:dyDescent="0.3">
      <c r="A706" t="s">
        <v>5032</v>
      </c>
      <c r="B706" t="s">
        <v>5031</v>
      </c>
      <c r="C706" t="s">
        <v>74</v>
      </c>
      <c r="D706">
        <v>75</v>
      </c>
      <c r="E706" t="s">
        <v>80</v>
      </c>
      <c r="F706" t="s">
        <v>67</v>
      </c>
      <c r="G706" s="8">
        <v>46016</v>
      </c>
      <c r="H706" s="8">
        <v>46024</v>
      </c>
      <c r="I706" t="s">
        <v>8791</v>
      </c>
      <c r="J706" t="s">
        <v>5029</v>
      </c>
      <c r="K706" t="s">
        <v>64</v>
      </c>
      <c r="L706">
        <v>14247.42</v>
      </c>
      <c r="M706">
        <v>318</v>
      </c>
      <c r="N706" t="s">
        <v>71</v>
      </c>
      <c r="O706" t="s">
        <v>123</v>
      </c>
    </row>
    <row r="707" spans="1:15" x14ac:dyDescent="0.3">
      <c r="A707" t="s">
        <v>5028</v>
      </c>
      <c r="B707" t="s">
        <v>5027</v>
      </c>
      <c r="C707" t="s">
        <v>74</v>
      </c>
      <c r="D707">
        <v>10</v>
      </c>
      <c r="E707" t="s">
        <v>132</v>
      </c>
      <c r="F707" t="s">
        <v>30</v>
      </c>
      <c r="G707" s="8">
        <v>45994</v>
      </c>
      <c r="H707" s="8">
        <v>46007</v>
      </c>
      <c r="I707" t="s">
        <v>8792</v>
      </c>
      <c r="J707" t="s">
        <v>5025</v>
      </c>
      <c r="K707" t="s">
        <v>64</v>
      </c>
      <c r="L707">
        <v>5161.91</v>
      </c>
      <c r="M707">
        <v>228</v>
      </c>
      <c r="N707" t="s">
        <v>34</v>
      </c>
      <c r="O707" t="s">
        <v>123</v>
      </c>
    </row>
    <row r="708" spans="1:15" x14ac:dyDescent="0.3">
      <c r="A708" t="s">
        <v>5024</v>
      </c>
      <c r="B708" t="s">
        <v>5023</v>
      </c>
      <c r="C708" t="s">
        <v>123</v>
      </c>
      <c r="D708">
        <v>86</v>
      </c>
      <c r="E708" t="s">
        <v>39</v>
      </c>
      <c r="F708" t="s">
        <v>46</v>
      </c>
      <c r="G708" s="8">
        <v>46015</v>
      </c>
      <c r="H708" s="8">
        <v>46035</v>
      </c>
      <c r="I708" t="s">
        <v>8793</v>
      </c>
      <c r="J708" t="s">
        <v>5021</v>
      </c>
      <c r="K708" t="s">
        <v>27</v>
      </c>
      <c r="L708">
        <v>14505.71</v>
      </c>
      <c r="M708">
        <v>438</v>
      </c>
      <c r="N708" t="s">
        <v>50</v>
      </c>
      <c r="O708" t="s">
        <v>57</v>
      </c>
    </row>
    <row r="709" spans="1:15" x14ac:dyDescent="0.3">
      <c r="A709" t="s">
        <v>5020</v>
      </c>
      <c r="B709" t="s">
        <v>5019</v>
      </c>
      <c r="C709" t="s">
        <v>123</v>
      </c>
      <c r="D709">
        <v>35</v>
      </c>
      <c r="E709" t="s">
        <v>54</v>
      </c>
      <c r="F709" t="s">
        <v>46</v>
      </c>
      <c r="G709" s="8">
        <v>46118</v>
      </c>
      <c r="H709" s="8">
        <v>46134</v>
      </c>
      <c r="I709" t="s">
        <v>8794</v>
      </c>
      <c r="J709" t="s">
        <v>5017</v>
      </c>
      <c r="K709" t="s">
        <v>64</v>
      </c>
      <c r="L709">
        <v>9234.01</v>
      </c>
      <c r="M709">
        <v>223</v>
      </c>
      <c r="N709" t="s">
        <v>71</v>
      </c>
      <c r="O709" t="s">
        <v>26</v>
      </c>
    </row>
    <row r="710" spans="1:15" x14ac:dyDescent="0.3">
      <c r="A710" t="s">
        <v>5016</v>
      </c>
      <c r="B710" t="s">
        <v>5015</v>
      </c>
      <c r="C710" t="s">
        <v>40</v>
      </c>
      <c r="D710">
        <v>56</v>
      </c>
      <c r="E710" t="s">
        <v>54</v>
      </c>
      <c r="F710" t="s">
        <v>67</v>
      </c>
      <c r="G710" s="8">
        <v>46053</v>
      </c>
      <c r="H710" s="8">
        <v>46080</v>
      </c>
      <c r="I710" t="s">
        <v>8795</v>
      </c>
      <c r="J710" t="s">
        <v>5013</v>
      </c>
      <c r="K710" t="s">
        <v>64</v>
      </c>
      <c r="L710">
        <v>15921.4</v>
      </c>
      <c r="M710">
        <v>236</v>
      </c>
      <c r="N710" t="s">
        <v>50</v>
      </c>
      <c r="O710" t="s">
        <v>123</v>
      </c>
    </row>
    <row r="711" spans="1:15" x14ac:dyDescent="0.3">
      <c r="A711" t="s">
        <v>5012</v>
      </c>
      <c r="B711" t="s">
        <v>5011</v>
      </c>
      <c r="C711" t="s">
        <v>40</v>
      </c>
      <c r="D711">
        <v>83</v>
      </c>
      <c r="E711" t="s">
        <v>39</v>
      </c>
      <c r="F711" t="s">
        <v>30</v>
      </c>
      <c r="G711" s="8">
        <v>45977</v>
      </c>
      <c r="H711" s="8">
        <v>45998</v>
      </c>
      <c r="I711" t="s">
        <v>8796</v>
      </c>
      <c r="J711" t="s">
        <v>5009</v>
      </c>
      <c r="K711" t="s">
        <v>64</v>
      </c>
      <c r="L711">
        <v>10265.48</v>
      </c>
      <c r="M711">
        <v>176</v>
      </c>
      <c r="N711" t="s">
        <v>71</v>
      </c>
      <c r="O711" t="s">
        <v>64</v>
      </c>
    </row>
    <row r="712" spans="1:15" x14ac:dyDescent="0.3">
      <c r="A712" t="s">
        <v>5008</v>
      </c>
      <c r="B712" t="s">
        <v>5007</v>
      </c>
      <c r="C712" t="s">
        <v>40</v>
      </c>
      <c r="D712">
        <v>32</v>
      </c>
      <c r="E712" t="s">
        <v>132</v>
      </c>
      <c r="F712" t="s">
        <v>85</v>
      </c>
      <c r="G712" s="8">
        <v>46114</v>
      </c>
      <c r="H712" s="8">
        <v>46129</v>
      </c>
      <c r="I712" t="s">
        <v>8797</v>
      </c>
      <c r="J712" t="s">
        <v>5005</v>
      </c>
      <c r="K712" t="s">
        <v>123</v>
      </c>
      <c r="L712">
        <v>10666.07</v>
      </c>
      <c r="M712">
        <v>203</v>
      </c>
      <c r="N712" t="s">
        <v>71</v>
      </c>
      <c r="O712" t="s">
        <v>27</v>
      </c>
    </row>
    <row r="713" spans="1:15" x14ac:dyDescent="0.3">
      <c r="A713" t="s">
        <v>5004</v>
      </c>
      <c r="B713" t="s">
        <v>5003</v>
      </c>
      <c r="C713" t="s">
        <v>40</v>
      </c>
      <c r="D713">
        <v>18</v>
      </c>
      <c r="E713" t="s">
        <v>47</v>
      </c>
      <c r="F713" t="s">
        <v>30</v>
      </c>
      <c r="G713" s="8">
        <v>45984</v>
      </c>
      <c r="H713" s="8">
        <v>46009</v>
      </c>
      <c r="I713" t="s">
        <v>8798</v>
      </c>
      <c r="J713" t="s">
        <v>5001</v>
      </c>
      <c r="K713" t="s">
        <v>27</v>
      </c>
      <c r="L713">
        <v>16535.03</v>
      </c>
      <c r="M713">
        <v>429</v>
      </c>
      <c r="N713" t="s">
        <v>50</v>
      </c>
      <c r="O713" t="s">
        <v>26</v>
      </c>
    </row>
    <row r="714" spans="1:15" x14ac:dyDescent="0.3">
      <c r="A714" t="s">
        <v>5000</v>
      </c>
      <c r="B714" t="s">
        <v>4999</v>
      </c>
      <c r="C714" t="s">
        <v>40</v>
      </c>
      <c r="D714">
        <v>63</v>
      </c>
      <c r="E714" t="s">
        <v>47</v>
      </c>
      <c r="F714" t="s">
        <v>46</v>
      </c>
      <c r="G714" s="8">
        <v>46146</v>
      </c>
      <c r="H714" s="8">
        <v>46173</v>
      </c>
      <c r="I714" t="s">
        <v>8799</v>
      </c>
      <c r="J714" t="s">
        <v>4997</v>
      </c>
      <c r="K714" t="s">
        <v>64</v>
      </c>
      <c r="L714">
        <v>7984.84</v>
      </c>
      <c r="M714">
        <v>543</v>
      </c>
      <c r="N714" t="s">
        <v>77</v>
      </c>
      <c r="O714" t="s">
        <v>63</v>
      </c>
    </row>
    <row r="715" spans="1:15" x14ac:dyDescent="0.3">
      <c r="A715" t="s">
        <v>4996</v>
      </c>
      <c r="B715" t="s">
        <v>4995</v>
      </c>
      <c r="C715" t="s">
        <v>123</v>
      </c>
      <c r="D715">
        <v>47</v>
      </c>
      <c r="E715" t="s">
        <v>80</v>
      </c>
      <c r="F715" t="s">
        <v>67</v>
      </c>
      <c r="G715" s="8">
        <v>45982</v>
      </c>
      <c r="H715" s="8">
        <v>46012</v>
      </c>
      <c r="I715" t="s">
        <v>8800</v>
      </c>
      <c r="J715" t="s">
        <v>4993</v>
      </c>
      <c r="K715" t="s">
        <v>27</v>
      </c>
      <c r="L715">
        <v>6053.82</v>
      </c>
      <c r="M715">
        <v>367</v>
      </c>
      <c r="N715" t="s">
        <v>25</v>
      </c>
      <c r="O715" t="s">
        <v>64</v>
      </c>
    </row>
    <row r="716" spans="1:15" x14ac:dyDescent="0.3">
      <c r="A716" t="s">
        <v>4992</v>
      </c>
      <c r="B716" t="s">
        <v>4991</v>
      </c>
      <c r="C716" t="s">
        <v>40</v>
      </c>
      <c r="D716">
        <v>64</v>
      </c>
      <c r="E716" t="s">
        <v>80</v>
      </c>
      <c r="F716" t="s">
        <v>8077</v>
      </c>
      <c r="G716" s="8">
        <v>46014</v>
      </c>
      <c r="H716" s="8">
        <v>46033</v>
      </c>
      <c r="I716" t="s">
        <v>8801</v>
      </c>
      <c r="J716" t="s">
        <v>4989</v>
      </c>
      <c r="K716" t="s">
        <v>64</v>
      </c>
      <c r="L716">
        <v>19375.13</v>
      </c>
      <c r="M716">
        <v>268</v>
      </c>
      <c r="N716" t="s">
        <v>50</v>
      </c>
      <c r="O716" t="s">
        <v>17</v>
      </c>
    </row>
    <row r="717" spans="1:15" x14ac:dyDescent="0.3">
      <c r="A717" t="s">
        <v>4988</v>
      </c>
      <c r="B717" t="s">
        <v>4987</v>
      </c>
      <c r="C717" t="s">
        <v>123</v>
      </c>
      <c r="D717">
        <v>31</v>
      </c>
      <c r="E717" t="s">
        <v>54</v>
      </c>
      <c r="F717" t="s">
        <v>8077</v>
      </c>
      <c r="G717" s="8">
        <v>46012</v>
      </c>
      <c r="H717" s="8">
        <v>46016</v>
      </c>
      <c r="I717" t="s">
        <v>8802</v>
      </c>
      <c r="J717" t="s">
        <v>4985</v>
      </c>
      <c r="K717" t="s">
        <v>64</v>
      </c>
      <c r="L717">
        <v>4543.83</v>
      </c>
      <c r="M717">
        <v>325</v>
      </c>
      <c r="N717" t="s">
        <v>16</v>
      </c>
      <c r="O717" t="s">
        <v>63</v>
      </c>
    </row>
    <row r="718" spans="1:15" x14ac:dyDescent="0.3">
      <c r="A718" t="s">
        <v>4984</v>
      </c>
      <c r="B718" t="s">
        <v>4983</v>
      </c>
      <c r="C718" t="s">
        <v>40</v>
      </c>
      <c r="D718">
        <v>76</v>
      </c>
      <c r="E718" t="s">
        <v>47</v>
      </c>
      <c r="F718" t="s">
        <v>85</v>
      </c>
      <c r="G718" s="8">
        <v>46053</v>
      </c>
      <c r="H718" s="8">
        <v>46070</v>
      </c>
      <c r="I718" t="s">
        <v>8803</v>
      </c>
      <c r="J718" t="s">
        <v>4981</v>
      </c>
      <c r="K718" t="s">
        <v>64</v>
      </c>
      <c r="L718">
        <v>17550.52</v>
      </c>
      <c r="M718">
        <v>262</v>
      </c>
      <c r="N718" t="s">
        <v>34</v>
      </c>
      <c r="O718" t="s">
        <v>64</v>
      </c>
    </row>
    <row r="719" spans="1:15" x14ac:dyDescent="0.3">
      <c r="A719" t="s">
        <v>4980</v>
      </c>
      <c r="B719" t="s">
        <v>4979</v>
      </c>
      <c r="C719" t="s">
        <v>123</v>
      </c>
      <c r="D719">
        <v>61</v>
      </c>
      <c r="E719" t="s">
        <v>21</v>
      </c>
      <c r="F719" t="s">
        <v>30</v>
      </c>
      <c r="G719" s="8">
        <v>46059</v>
      </c>
      <c r="H719" s="8">
        <v>46087</v>
      </c>
      <c r="I719" t="s">
        <v>8804</v>
      </c>
      <c r="J719" t="s">
        <v>4977</v>
      </c>
      <c r="K719" t="s">
        <v>27</v>
      </c>
      <c r="L719">
        <v>9202.35</v>
      </c>
      <c r="M719">
        <v>520</v>
      </c>
      <c r="N719" t="s">
        <v>43</v>
      </c>
      <c r="O719" t="s">
        <v>17</v>
      </c>
    </row>
    <row r="720" spans="1:15" x14ac:dyDescent="0.3">
      <c r="A720" t="s">
        <v>4976</v>
      </c>
      <c r="B720" t="s">
        <v>4975</v>
      </c>
      <c r="C720" t="s">
        <v>40</v>
      </c>
      <c r="D720">
        <v>83</v>
      </c>
      <c r="E720" t="s">
        <v>47</v>
      </c>
      <c r="F720" t="s">
        <v>46</v>
      </c>
      <c r="G720" s="8">
        <v>46057</v>
      </c>
      <c r="H720" s="8">
        <v>46079</v>
      </c>
      <c r="I720" t="s">
        <v>8805</v>
      </c>
      <c r="J720" t="s">
        <v>4973</v>
      </c>
      <c r="K720" t="s">
        <v>64</v>
      </c>
      <c r="L720">
        <v>6473.98</v>
      </c>
      <c r="M720">
        <v>258</v>
      </c>
      <c r="N720" t="s">
        <v>25</v>
      </c>
      <c r="O720" t="s">
        <v>123</v>
      </c>
    </row>
    <row r="721" spans="1:15" x14ac:dyDescent="0.3">
      <c r="A721" t="s">
        <v>4972</v>
      </c>
      <c r="B721" t="s">
        <v>4971</v>
      </c>
      <c r="C721" t="s">
        <v>74</v>
      </c>
      <c r="D721">
        <v>88</v>
      </c>
      <c r="E721" t="s">
        <v>80</v>
      </c>
      <c r="F721" t="s">
        <v>8077</v>
      </c>
      <c r="G721" s="8">
        <v>45982</v>
      </c>
      <c r="H721" s="8">
        <v>46009</v>
      </c>
      <c r="I721" t="s">
        <v>8806</v>
      </c>
      <c r="J721" t="s">
        <v>4969</v>
      </c>
      <c r="K721" t="s">
        <v>123</v>
      </c>
      <c r="L721">
        <v>9834.08</v>
      </c>
      <c r="M721">
        <v>230</v>
      </c>
      <c r="N721" t="s">
        <v>43</v>
      </c>
      <c r="O721" t="s">
        <v>123</v>
      </c>
    </row>
    <row r="722" spans="1:15" x14ac:dyDescent="0.3">
      <c r="A722" t="s">
        <v>4968</v>
      </c>
      <c r="B722" t="s">
        <v>4967</v>
      </c>
      <c r="C722" t="s">
        <v>74</v>
      </c>
      <c r="D722">
        <v>31</v>
      </c>
      <c r="E722" t="s">
        <v>132</v>
      </c>
      <c r="F722" t="s">
        <v>8077</v>
      </c>
      <c r="G722" s="8">
        <v>45994</v>
      </c>
      <c r="H722" s="8">
        <v>46021</v>
      </c>
      <c r="I722" t="s">
        <v>8807</v>
      </c>
      <c r="J722" t="s">
        <v>4965</v>
      </c>
      <c r="K722" t="s">
        <v>27</v>
      </c>
      <c r="L722">
        <v>22914.09</v>
      </c>
      <c r="M722">
        <v>550</v>
      </c>
      <c r="N722" t="s">
        <v>50</v>
      </c>
      <c r="O722" t="s">
        <v>17</v>
      </c>
    </row>
    <row r="723" spans="1:15" x14ac:dyDescent="0.3">
      <c r="A723" t="s">
        <v>4964</v>
      </c>
      <c r="B723" t="s">
        <v>4963</v>
      </c>
      <c r="C723" t="s">
        <v>123</v>
      </c>
      <c r="D723">
        <v>5</v>
      </c>
      <c r="E723" t="s">
        <v>132</v>
      </c>
      <c r="F723" t="s">
        <v>20</v>
      </c>
      <c r="G723" s="8">
        <v>46011</v>
      </c>
      <c r="H723" s="8">
        <v>46037</v>
      </c>
      <c r="I723" t="s">
        <v>8808</v>
      </c>
      <c r="J723" t="s">
        <v>4961</v>
      </c>
      <c r="K723" t="s">
        <v>123</v>
      </c>
      <c r="L723">
        <v>11883.06</v>
      </c>
      <c r="M723">
        <v>530</v>
      </c>
      <c r="N723" t="s">
        <v>43</v>
      </c>
      <c r="O723" t="s">
        <v>123</v>
      </c>
    </row>
    <row r="724" spans="1:15" x14ac:dyDescent="0.3">
      <c r="A724" t="s">
        <v>4960</v>
      </c>
      <c r="B724" t="s">
        <v>4959</v>
      </c>
      <c r="C724" t="s">
        <v>123</v>
      </c>
      <c r="D724">
        <v>13</v>
      </c>
      <c r="E724" t="s">
        <v>39</v>
      </c>
      <c r="F724" t="s">
        <v>30</v>
      </c>
      <c r="G724" s="8">
        <v>46061</v>
      </c>
      <c r="H724" s="8">
        <v>46077</v>
      </c>
      <c r="I724" t="s">
        <v>8809</v>
      </c>
      <c r="J724" t="s">
        <v>4957</v>
      </c>
      <c r="K724" t="s">
        <v>64</v>
      </c>
      <c r="L724">
        <v>8926.0400000000009</v>
      </c>
      <c r="M724">
        <v>332</v>
      </c>
      <c r="N724" t="s">
        <v>25</v>
      </c>
      <c r="O724" t="s">
        <v>17</v>
      </c>
    </row>
    <row r="725" spans="1:15" x14ac:dyDescent="0.3">
      <c r="A725" t="s">
        <v>4956</v>
      </c>
      <c r="B725" t="s">
        <v>4955</v>
      </c>
      <c r="C725" t="s">
        <v>40</v>
      </c>
      <c r="D725">
        <v>7</v>
      </c>
      <c r="E725" t="s">
        <v>39</v>
      </c>
      <c r="F725" t="s">
        <v>85</v>
      </c>
      <c r="G725" s="8">
        <v>46059</v>
      </c>
      <c r="H725" s="8">
        <v>46084</v>
      </c>
      <c r="I725" t="s">
        <v>8810</v>
      </c>
      <c r="J725" t="s">
        <v>4953</v>
      </c>
      <c r="K725" t="s">
        <v>27</v>
      </c>
      <c r="L725">
        <v>276.27999999999997</v>
      </c>
      <c r="M725">
        <v>421</v>
      </c>
      <c r="N725" t="s">
        <v>43</v>
      </c>
      <c r="O725" t="s">
        <v>57</v>
      </c>
    </row>
    <row r="726" spans="1:15" x14ac:dyDescent="0.3">
      <c r="A726" t="s">
        <v>4952</v>
      </c>
      <c r="B726" t="s">
        <v>4951</v>
      </c>
      <c r="C726" t="s">
        <v>74</v>
      </c>
      <c r="D726">
        <v>74</v>
      </c>
      <c r="E726" t="s">
        <v>80</v>
      </c>
      <c r="F726" t="s">
        <v>20</v>
      </c>
      <c r="G726" s="8">
        <v>46125</v>
      </c>
      <c r="H726" s="8">
        <v>46130</v>
      </c>
      <c r="I726" t="s">
        <v>8811</v>
      </c>
      <c r="J726" t="s">
        <v>4949</v>
      </c>
      <c r="K726" t="s">
        <v>64</v>
      </c>
      <c r="L726">
        <v>13005.87</v>
      </c>
      <c r="M726">
        <v>533</v>
      </c>
      <c r="N726" t="s">
        <v>34</v>
      </c>
      <c r="O726" t="s">
        <v>26</v>
      </c>
    </row>
    <row r="727" spans="1:15" x14ac:dyDescent="0.3">
      <c r="A727" t="s">
        <v>4948</v>
      </c>
      <c r="B727" t="s">
        <v>4947</v>
      </c>
      <c r="C727" t="s">
        <v>123</v>
      </c>
      <c r="D727">
        <v>41</v>
      </c>
      <c r="E727" t="s">
        <v>68</v>
      </c>
      <c r="F727" t="s">
        <v>85</v>
      </c>
      <c r="G727" s="8">
        <v>46051</v>
      </c>
      <c r="H727" s="8">
        <v>46078</v>
      </c>
      <c r="I727" t="s">
        <v>8812</v>
      </c>
      <c r="J727" t="s">
        <v>4945</v>
      </c>
      <c r="K727" t="s">
        <v>27</v>
      </c>
      <c r="L727">
        <v>6664.86</v>
      </c>
      <c r="M727">
        <v>509</v>
      </c>
      <c r="N727" t="s">
        <v>43</v>
      </c>
      <c r="O727" t="s">
        <v>17</v>
      </c>
    </row>
    <row r="728" spans="1:15" x14ac:dyDescent="0.3">
      <c r="A728" t="s">
        <v>4944</v>
      </c>
      <c r="B728" t="s">
        <v>4943</v>
      </c>
      <c r="C728" t="s">
        <v>74</v>
      </c>
      <c r="D728">
        <v>11</v>
      </c>
      <c r="E728" t="s">
        <v>54</v>
      </c>
      <c r="F728" t="s">
        <v>67</v>
      </c>
      <c r="G728" s="8">
        <v>46120</v>
      </c>
      <c r="H728" s="8">
        <v>46125</v>
      </c>
      <c r="I728" t="s">
        <v>8813</v>
      </c>
      <c r="J728" t="s">
        <v>4941</v>
      </c>
      <c r="K728" t="s">
        <v>123</v>
      </c>
      <c r="L728">
        <v>21934.47</v>
      </c>
      <c r="M728">
        <v>110</v>
      </c>
      <c r="N728" t="s">
        <v>77</v>
      </c>
      <c r="O728" t="s">
        <v>57</v>
      </c>
    </row>
    <row r="729" spans="1:15" x14ac:dyDescent="0.3">
      <c r="A729" t="s">
        <v>4940</v>
      </c>
      <c r="B729" t="s">
        <v>4939</v>
      </c>
      <c r="C729" t="s">
        <v>74</v>
      </c>
      <c r="D729">
        <v>12</v>
      </c>
      <c r="E729" t="s">
        <v>68</v>
      </c>
      <c r="F729" t="s">
        <v>8077</v>
      </c>
      <c r="G729" s="8">
        <v>46109</v>
      </c>
      <c r="H729" s="8">
        <v>46117</v>
      </c>
      <c r="I729" t="s">
        <v>8814</v>
      </c>
      <c r="J729" t="s">
        <v>4937</v>
      </c>
      <c r="K729" t="s">
        <v>27</v>
      </c>
      <c r="L729">
        <v>1434.62</v>
      </c>
      <c r="M729">
        <v>407</v>
      </c>
      <c r="N729" t="s">
        <v>43</v>
      </c>
      <c r="O729" t="s">
        <v>123</v>
      </c>
    </row>
    <row r="730" spans="1:15" x14ac:dyDescent="0.3">
      <c r="A730" t="s">
        <v>4936</v>
      </c>
      <c r="B730" t="s">
        <v>4935</v>
      </c>
      <c r="C730" t="s">
        <v>40</v>
      </c>
      <c r="D730">
        <v>12</v>
      </c>
      <c r="E730" t="s">
        <v>31</v>
      </c>
      <c r="F730" t="s">
        <v>20</v>
      </c>
      <c r="G730" s="8">
        <v>46082</v>
      </c>
      <c r="H730" s="8">
        <v>46112</v>
      </c>
      <c r="I730" t="s">
        <v>8815</v>
      </c>
      <c r="J730" t="s">
        <v>4933</v>
      </c>
      <c r="K730" t="s">
        <v>64</v>
      </c>
      <c r="L730">
        <v>550.04999999999995</v>
      </c>
      <c r="M730">
        <v>495</v>
      </c>
      <c r="N730" t="s">
        <v>16</v>
      </c>
      <c r="O730" t="s">
        <v>123</v>
      </c>
    </row>
    <row r="731" spans="1:15" x14ac:dyDescent="0.3">
      <c r="A731" t="s">
        <v>4932</v>
      </c>
      <c r="B731" t="s">
        <v>4931</v>
      </c>
      <c r="C731" t="s">
        <v>123</v>
      </c>
      <c r="D731">
        <v>16</v>
      </c>
      <c r="E731" t="s">
        <v>21</v>
      </c>
      <c r="F731" t="s">
        <v>8077</v>
      </c>
      <c r="G731" s="8">
        <v>45977</v>
      </c>
      <c r="H731" s="8">
        <v>45983</v>
      </c>
      <c r="I731" t="s">
        <v>8816</v>
      </c>
      <c r="J731" t="s">
        <v>4929</v>
      </c>
      <c r="K731" t="s">
        <v>27</v>
      </c>
      <c r="L731">
        <v>7341.46</v>
      </c>
      <c r="M731">
        <v>295</v>
      </c>
      <c r="N731" t="s">
        <v>71</v>
      </c>
      <c r="O731" t="s">
        <v>123</v>
      </c>
    </row>
    <row r="732" spans="1:15" x14ac:dyDescent="0.3">
      <c r="A732" t="s">
        <v>4928</v>
      </c>
      <c r="B732" t="s">
        <v>4927</v>
      </c>
      <c r="C732" t="s">
        <v>123</v>
      </c>
      <c r="D732">
        <v>27</v>
      </c>
      <c r="E732" t="s">
        <v>21</v>
      </c>
      <c r="F732" t="s">
        <v>30</v>
      </c>
      <c r="G732" s="8">
        <v>46057</v>
      </c>
      <c r="H732" s="8">
        <v>46080</v>
      </c>
      <c r="I732" t="s">
        <v>8817</v>
      </c>
      <c r="J732" t="s">
        <v>4925</v>
      </c>
      <c r="K732" t="s">
        <v>64</v>
      </c>
      <c r="L732">
        <v>10574.61</v>
      </c>
      <c r="M732">
        <v>505</v>
      </c>
      <c r="N732" t="s">
        <v>71</v>
      </c>
      <c r="O732" t="s">
        <v>123</v>
      </c>
    </row>
    <row r="733" spans="1:15" x14ac:dyDescent="0.3">
      <c r="A733" t="s">
        <v>4924</v>
      </c>
      <c r="B733" t="s">
        <v>4923</v>
      </c>
      <c r="C733" t="s">
        <v>40</v>
      </c>
      <c r="D733">
        <v>38</v>
      </c>
      <c r="E733" t="s">
        <v>132</v>
      </c>
      <c r="F733" t="s">
        <v>8077</v>
      </c>
      <c r="G733" s="8">
        <v>45981</v>
      </c>
      <c r="H733" s="8">
        <v>46000</v>
      </c>
      <c r="I733" t="s">
        <v>8818</v>
      </c>
      <c r="J733" t="s">
        <v>4921</v>
      </c>
      <c r="K733" t="s">
        <v>123</v>
      </c>
      <c r="L733">
        <v>22701.74</v>
      </c>
      <c r="M733">
        <v>398</v>
      </c>
      <c r="N733" t="s">
        <v>25</v>
      </c>
      <c r="O733" t="s">
        <v>17</v>
      </c>
    </row>
    <row r="734" spans="1:15" x14ac:dyDescent="0.3">
      <c r="A734" t="s">
        <v>4916</v>
      </c>
      <c r="B734" t="s">
        <v>4915</v>
      </c>
      <c r="C734" t="s">
        <v>123</v>
      </c>
      <c r="D734">
        <v>55</v>
      </c>
      <c r="E734" t="s">
        <v>132</v>
      </c>
      <c r="F734" t="s">
        <v>20</v>
      </c>
      <c r="G734" s="8">
        <v>46027</v>
      </c>
      <c r="H734" s="8">
        <v>46030</v>
      </c>
      <c r="I734" t="s">
        <v>8819</v>
      </c>
      <c r="J734" t="s">
        <v>4913</v>
      </c>
      <c r="K734" t="s">
        <v>27</v>
      </c>
      <c r="L734">
        <v>1492.39</v>
      </c>
      <c r="M734">
        <v>341</v>
      </c>
      <c r="N734" t="s">
        <v>43</v>
      </c>
      <c r="O734" t="s">
        <v>57</v>
      </c>
    </row>
    <row r="735" spans="1:15" x14ac:dyDescent="0.3">
      <c r="A735" t="s">
        <v>4912</v>
      </c>
      <c r="B735" t="s">
        <v>4911</v>
      </c>
      <c r="C735" t="s">
        <v>40</v>
      </c>
      <c r="D735">
        <v>1</v>
      </c>
      <c r="E735" t="s">
        <v>132</v>
      </c>
      <c r="F735" t="s">
        <v>67</v>
      </c>
      <c r="G735" s="8">
        <v>46071</v>
      </c>
      <c r="H735" s="8">
        <v>46080</v>
      </c>
      <c r="I735" t="s">
        <v>8820</v>
      </c>
      <c r="J735" t="s">
        <v>4909</v>
      </c>
      <c r="K735" t="s">
        <v>123</v>
      </c>
      <c r="L735">
        <v>16847.3</v>
      </c>
      <c r="M735">
        <v>386</v>
      </c>
      <c r="N735" t="s">
        <v>77</v>
      </c>
      <c r="O735" t="s">
        <v>26</v>
      </c>
    </row>
    <row r="736" spans="1:15" x14ac:dyDescent="0.3">
      <c r="A736" t="s">
        <v>4908</v>
      </c>
      <c r="B736" t="s">
        <v>1836</v>
      </c>
      <c r="C736" t="s">
        <v>40</v>
      </c>
      <c r="D736">
        <v>34</v>
      </c>
      <c r="E736" t="s">
        <v>39</v>
      </c>
      <c r="F736" t="s">
        <v>85</v>
      </c>
      <c r="G736" s="8">
        <v>46087</v>
      </c>
      <c r="H736" s="8">
        <v>46116</v>
      </c>
      <c r="I736" t="s">
        <v>8821</v>
      </c>
      <c r="J736" t="s">
        <v>4906</v>
      </c>
      <c r="K736" t="s">
        <v>64</v>
      </c>
      <c r="L736">
        <v>21971.84</v>
      </c>
      <c r="M736">
        <v>145</v>
      </c>
      <c r="N736" t="s">
        <v>43</v>
      </c>
      <c r="O736" t="s">
        <v>26</v>
      </c>
    </row>
    <row r="737" spans="1:15" x14ac:dyDescent="0.3">
      <c r="A737" t="s">
        <v>4905</v>
      </c>
      <c r="B737" t="s">
        <v>4904</v>
      </c>
      <c r="C737" t="s">
        <v>123</v>
      </c>
      <c r="D737">
        <v>19</v>
      </c>
      <c r="E737" t="s">
        <v>132</v>
      </c>
      <c r="F737" t="s">
        <v>20</v>
      </c>
      <c r="G737" s="8">
        <v>45998</v>
      </c>
      <c r="H737" s="8">
        <v>46008</v>
      </c>
      <c r="I737" t="s">
        <v>8822</v>
      </c>
      <c r="J737" t="s">
        <v>4902</v>
      </c>
      <c r="K737" t="s">
        <v>27</v>
      </c>
      <c r="L737">
        <v>24467.21</v>
      </c>
      <c r="M737">
        <v>546</v>
      </c>
      <c r="N737" t="s">
        <v>50</v>
      </c>
      <c r="O737" t="s">
        <v>123</v>
      </c>
    </row>
    <row r="738" spans="1:15" x14ac:dyDescent="0.3">
      <c r="A738" t="s">
        <v>4897</v>
      </c>
      <c r="B738" t="s">
        <v>4896</v>
      </c>
      <c r="C738" t="s">
        <v>123</v>
      </c>
      <c r="D738">
        <v>22</v>
      </c>
      <c r="E738" t="s">
        <v>31</v>
      </c>
      <c r="F738" t="s">
        <v>85</v>
      </c>
      <c r="G738" s="8">
        <v>46096</v>
      </c>
      <c r="H738" s="8">
        <v>46120</v>
      </c>
      <c r="I738" t="s">
        <v>8823</v>
      </c>
      <c r="J738" t="s">
        <v>4894</v>
      </c>
      <c r="K738" t="s">
        <v>27</v>
      </c>
      <c r="L738">
        <v>13980.73</v>
      </c>
      <c r="M738">
        <v>127</v>
      </c>
      <c r="N738" t="s">
        <v>71</v>
      </c>
      <c r="O738" t="s">
        <v>123</v>
      </c>
    </row>
    <row r="739" spans="1:15" x14ac:dyDescent="0.3">
      <c r="A739" t="s">
        <v>4893</v>
      </c>
      <c r="B739" t="s">
        <v>4892</v>
      </c>
      <c r="C739" t="s">
        <v>40</v>
      </c>
      <c r="D739">
        <v>7</v>
      </c>
      <c r="E739" t="s">
        <v>21</v>
      </c>
      <c r="F739" t="s">
        <v>20</v>
      </c>
      <c r="G739" s="8">
        <v>46105</v>
      </c>
      <c r="H739" s="8">
        <v>46106</v>
      </c>
      <c r="I739" t="s">
        <v>8824</v>
      </c>
      <c r="J739" t="s">
        <v>4890</v>
      </c>
      <c r="K739" t="s">
        <v>123</v>
      </c>
      <c r="L739">
        <v>6653.55</v>
      </c>
      <c r="M739">
        <v>323</v>
      </c>
      <c r="N739" t="s">
        <v>77</v>
      </c>
      <c r="O739" t="s">
        <v>123</v>
      </c>
    </row>
    <row r="740" spans="1:15" x14ac:dyDescent="0.3">
      <c r="A740" t="s">
        <v>4889</v>
      </c>
      <c r="B740" t="s">
        <v>4888</v>
      </c>
      <c r="C740" t="s">
        <v>123</v>
      </c>
      <c r="D740">
        <v>6</v>
      </c>
      <c r="E740" t="s">
        <v>68</v>
      </c>
      <c r="F740" t="s">
        <v>67</v>
      </c>
      <c r="G740" s="8">
        <v>46006</v>
      </c>
      <c r="H740" s="8">
        <v>46028</v>
      </c>
      <c r="I740" t="s">
        <v>8825</v>
      </c>
      <c r="J740" t="s">
        <v>4886</v>
      </c>
      <c r="K740" t="s">
        <v>123</v>
      </c>
      <c r="L740">
        <v>11552.44</v>
      </c>
      <c r="M740">
        <v>533</v>
      </c>
      <c r="N740" t="s">
        <v>25</v>
      </c>
      <c r="O740" t="s">
        <v>64</v>
      </c>
    </row>
    <row r="741" spans="1:15" x14ac:dyDescent="0.3">
      <c r="A741" t="s">
        <v>4885</v>
      </c>
      <c r="B741" t="s">
        <v>4884</v>
      </c>
      <c r="C741" t="s">
        <v>40</v>
      </c>
      <c r="D741">
        <v>16</v>
      </c>
      <c r="E741" t="s">
        <v>31</v>
      </c>
      <c r="F741" t="s">
        <v>20</v>
      </c>
      <c r="G741" s="8">
        <v>46100</v>
      </c>
      <c r="H741" s="8">
        <v>46106</v>
      </c>
      <c r="I741" t="s">
        <v>8826</v>
      </c>
      <c r="J741" t="s">
        <v>4882</v>
      </c>
      <c r="K741" t="s">
        <v>27</v>
      </c>
      <c r="L741">
        <v>4680.24</v>
      </c>
      <c r="M741">
        <v>483</v>
      </c>
      <c r="N741" t="s">
        <v>34</v>
      </c>
      <c r="O741" t="s">
        <v>26</v>
      </c>
    </row>
    <row r="742" spans="1:15" x14ac:dyDescent="0.3">
      <c r="A742" t="s">
        <v>4881</v>
      </c>
      <c r="B742" t="s">
        <v>4880</v>
      </c>
      <c r="C742" t="s">
        <v>40</v>
      </c>
      <c r="D742">
        <v>73</v>
      </c>
      <c r="E742" t="s">
        <v>21</v>
      </c>
      <c r="F742" t="s">
        <v>46</v>
      </c>
      <c r="G742" s="8">
        <v>46074</v>
      </c>
      <c r="H742" s="8">
        <v>46090</v>
      </c>
      <c r="I742" t="s">
        <v>8827</v>
      </c>
      <c r="J742" t="s">
        <v>4878</v>
      </c>
      <c r="K742" t="s">
        <v>27</v>
      </c>
      <c r="L742">
        <v>10527.19</v>
      </c>
      <c r="M742">
        <v>226</v>
      </c>
      <c r="N742" t="s">
        <v>50</v>
      </c>
      <c r="O742" t="s">
        <v>64</v>
      </c>
    </row>
    <row r="743" spans="1:15" x14ac:dyDescent="0.3">
      <c r="A743" t="s">
        <v>4873</v>
      </c>
      <c r="B743" t="s">
        <v>4872</v>
      </c>
      <c r="C743" t="s">
        <v>74</v>
      </c>
      <c r="D743">
        <v>42</v>
      </c>
      <c r="E743" t="s">
        <v>39</v>
      </c>
      <c r="F743" t="s">
        <v>46</v>
      </c>
      <c r="G743" s="8">
        <v>45976</v>
      </c>
      <c r="H743" s="8">
        <v>45978</v>
      </c>
      <c r="I743" t="s">
        <v>8828</v>
      </c>
      <c r="J743" t="s">
        <v>4870</v>
      </c>
      <c r="K743" t="s">
        <v>123</v>
      </c>
      <c r="L743">
        <v>20801.34</v>
      </c>
      <c r="M743">
        <v>332</v>
      </c>
      <c r="N743" t="s">
        <v>25</v>
      </c>
      <c r="O743" t="s">
        <v>123</v>
      </c>
    </row>
    <row r="744" spans="1:15" x14ac:dyDescent="0.3">
      <c r="A744" t="s">
        <v>4869</v>
      </c>
      <c r="B744" t="s">
        <v>4868</v>
      </c>
      <c r="C744" t="s">
        <v>40</v>
      </c>
      <c r="D744">
        <v>77</v>
      </c>
      <c r="E744" t="s">
        <v>47</v>
      </c>
      <c r="F744" t="s">
        <v>67</v>
      </c>
      <c r="G744" s="8">
        <v>46084</v>
      </c>
      <c r="H744" s="8">
        <v>46085</v>
      </c>
      <c r="I744" t="s">
        <v>8829</v>
      </c>
      <c r="J744" t="s">
        <v>4866</v>
      </c>
      <c r="K744" t="s">
        <v>123</v>
      </c>
      <c r="L744">
        <v>8257.9</v>
      </c>
      <c r="M744">
        <v>208</v>
      </c>
      <c r="N744" t="s">
        <v>50</v>
      </c>
      <c r="O744" t="s">
        <v>26</v>
      </c>
    </row>
    <row r="745" spans="1:15" x14ac:dyDescent="0.3">
      <c r="A745" t="s">
        <v>4865</v>
      </c>
      <c r="B745" t="s">
        <v>4864</v>
      </c>
      <c r="C745" t="s">
        <v>40</v>
      </c>
      <c r="D745">
        <v>83</v>
      </c>
      <c r="E745" t="s">
        <v>132</v>
      </c>
      <c r="F745" t="s">
        <v>67</v>
      </c>
      <c r="G745" s="8">
        <v>45984</v>
      </c>
      <c r="H745" s="8">
        <v>46009</v>
      </c>
      <c r="I745" t="s">
        <v>8830</v>
      </c>
      <c r="J745" t="s">
        <v>4862</v>
      </c>
      <c r="K745" t="s">
        <v>27</v>
      </c>
      <c r="L745">
        <v>18646.240000000002</v>
      </c>
      <c r="M745">
        <v>147</v>
      </c>
      <c r="N745" t="s">
        <v>16</v>
      </c>
      <c r="O745" t="s">
        <v>123</v>
      </c>
    </row>
    <row r="746" spans="1:15" x14ac:dyDescent="0.3">
      <c r="A746" t="s">
        <v>4861</v>
      </c>
      <c r="B746" t="s">
        <v>4860</v>
      </c>
      <c r="C746" t="s">
        <v>40</v>
      </c>
      <c r="D746">
        <v>23</v>
      </c>
      <c r="E746" t="s">
        <v>21</v>
      </c>
      <c r="F746" t="s">
        <v>67</v>
      </c>
      <c r="G746" s="8">
        <v>46142</v>
      </c>
      <c r="H746" s="8">
        <v>46144</v>
      </c>
      <c r="I746" t="s">
        <v>8831</v>
      </c>
      <c r="J746" t="s">
        <v>4858</v>
      </c>
      <c r="K746" t="s">
        <v>27</v>
      </c>
      <c r="L746">
        <v>21338.18</v>
      </c>
      <c r="M746">
        <v>298</v>
      </c>
      <c r="N746" t="s">
        <v>50</v>
      </c>
      <c r="O746" t="s">
        <v>26</v>
      </c>
    </row>
    <row r="747" spans="1:15" x14ac:dyDescent="0.3">
      <c r="A747" t="s">
        <v>4857</v>
      </c>
      <c r="B747" t="s">
        <v>4856</v>
      </c>
      <c r="C747" t="s">
        <v>123</v>
      </c>
      <c r="D747">
        <v>37</v>
      </c>
      <c r="E747" t="s">
        <v>39</v>
      </c>
      <c r="F747" t="s">
        <v>20</v>
      </c>
      <c r="G747" s="8">
        <v>46125</v>
      </c>
      <c r="H747" s="8">
        <v>46134</v>
      </c>
      <c r="I747" t="s">
        <v>8832</v>
      </c>
      <c r="J747" t="s">
        <v>4854</v>
      </c>
      <c r="K747" t="s">
        <v>123</v>
      </c>
      <c r="L747">
        <v>20067.29</v>
      </c>
      <c r="M747">
        <v>450</v>
      </c>
      <c r="N747" t="s">
        <v>34</v>
      </c>
      <c r="O747" t="s">
        <v>63</v>
      </c>
    </row>
    <row r="748" spans="1:15" x14ac:dyDescent="0.3">
      <c r="A748" t="s">
        <v>4853</v>
      </c>
      <c r="B748" t="s">
        <v>4852</v>
      </c>
      <c r="C748" t="s">
        <v>40</v>
      </c>
      <c r="D748">
        <v>46</v>
      </c>
      <c r="E748" t="s">
        <v>80</v>
      </c>
      <c r="F748" t="s">
        <v>67</v>
      </c>
      <c r="G748" s="8">
        <v>46006</v>
      </c>
      <c r="H748" s="8">
        <v>46022</v>
      </c>
      <c r="I748" t="s">
        <v>8833</v>
      </c>
      <c r="J748" t="s">
        <v>4850</v>
      </c>
      <c r="K748" t="s">
        <v>64</v>
      </c>
      <c r="L748">
        <v>12342.65</v>
      </c>
      <c r="M748">
        <v>343</v>
      </c>
      <c r="N748" t="s">
        <v>43</v>
      </c>
      <c r="O748" t="s">
        <v>123</v>
      </c>
    </row>
    <row r="749" spans="1:15" x14ac:dyDescent="0.3">
      <c r="A749" t="s">
        <v>4849</v>
      </c>
      <c r="B749" t="s">
        <v>4848</v>
      </c>
      <c r="C749" t="s">
        <v>123</v>
      </c>
      <c r="D749">
        <v>12</v>
      </c>
      <c r="E749" t="s">
        <v>54</v>
      </c>
      <c r="F749" t="s">
        <v>67</v>
      </c>
      <c r="G749" s="8">
        <v>45998</v>
      </c>
      <c r="H749" s="8">
        <v>46017</v>
      </c>
      <c r="I749" t="s">
        <v>8834</v>
      </c>
      <c r="J749" t="s">
        <v>4846</v>
      </c>
      <c r="K749" t="s">
        <v>27</v>
      </c>
      <c r="L749">
        <v>10965.83</v>
      </c>
      <c r="M749">
        <v>147</v>
      </c>
      <c r="N749" t="s">
        <v>77</v>
      </c>
      <c r="O749" t="s">
        <v>123</v>
      </c>
    </row>
    <row r="750" spans="1:15" x14ac:dyDescent="0.3">
      <c r="A750" t="s">
        <v>4845</v>
      </c>
      <c r="B750" t="s">
        <v>4844</v>
      </c>
      <c r="C750" t="s">
        <v>74</v>
      </c>
      <c r="D750">
        <v>60</v>
      </c>
      <c r="E750" t="s">
        <v>21</v>
      </c>
      <c r="F750" t="s">
        <v>20</v>
      </c>
      <c r="G750" s="8">
        <v>46124</v>
      </c>
      <c r="H750" s="8">
        <v>46153</v>
      </c>
      <c r="I750" t="s">
        <v>8835</v>
      </c>
      <c r="J750" t="s">
        <v>4842</v>
      </c>
      <c r="K750" t="s">
        <v>123</v>
      </c>
      <c r="L750">
        <v>13276.51</v>
      </c>
      <c r="M750">
        <v>248</v>
      </c>
      <c r="N750" t="s">
        <v>16</v>
      </c>
      <c r="O750" t="s">
        <v>64</v>
      </c>
    </row>
    <row r="751" spans="1:15" x14ac:dyDescent="0.3">
      <c r="A751" t="s">
        <v>4841</v>
      </c>
      <c r="B751" t="s">
        <v>4840</v>
      </c>
      <c r="C751" t="s">
        <v>123</v>
      </c>
      <c r="D751">
        <v>11</v>
      </c>
      <c r="E751" t="s">
        <v>68</v>
      </c>
      <c r="F751" t="s">
        <v>30</v>
      </c>
      <c r="G751" s="8">
        <v>46121</v>
      </c>
      <c r="H751" s="8">
        <v>46125</v>
      </c>
      <c r="I751" t="s">
        <v>8836</v>
      </c>
      <c r="J751" t="s">
        <v>4838</v>
      </c>
      <c r="K751" t="s">
        <v>27</v>
      </c>
      <c r="L751">
        <v>17170.990000000002</v>
      </c>
      <c r="M751">
        <v>530</v>
      </c>
      <c r="N751" t="s">
        <v>71</v>
      </c>
      <c r="O751" t="s">
        <v>63</v>
      </c>
    </row>
    <row r="752" spans="1:15" x14ac:dyDescent="0.3">
      <c r="A752" t="s">
        <v>4837</v>
      </c>
      <c r="B752" t="s">
        <v>4836</v>
      </c>
      <c r="C752" t="s">
        <v>123</v>
      </c>
      <c r="D752">
        <v>38</v>
      </c>
      <c r="E752" t="s">
        <v>47</v>
      </c>
      <c r="F752" t="s">
        <v>20</v>
      </c>
      <c r="G752" s="8">
        <v>46032</v>
      </c>
      <c r="H752" s="8">
        <v>46061</v>
      </c>
      <c r="I752" t="s">
        <v>8837</v>
      </c>
      <c r="J752" t="s">
        <v>4834</v>
      </c>
      <c r="K752" t="s">
        <v>27</v>
      </c>
      <c r="L752">
        <v>12932.68</v>
      </c>
      <c r="M752">
        <v>311</v>
      </c>
      <c r="N752" t="s">
        <v>77</v>
      </c>
      <c r="O752" t="s">
        <v>123</v>
      </c>
    </row>
    <row r="753" spans="1:15" x14ac:dyDescent="0.3">
      <c r="A753" t="s">
        <v>4833</v>
      </c>
      <c r="B753" t="s">
        <v>4832</v>
      </c>
      <c r="C753" t="s">
        <v>123</v>
      </c>
      <c r="D753">
        <v>85</v>
      </c>
      <c r="E753" t="s">
        <v>132</v>
      </c>
      <c r="F753" t="s">
        <v>67</v>
      </c>
      <c r="G753" s="8">
        <v>46032</v>
      </c>
      <c r="H753" s="8">
        <v>46040</v>
      </c>
      <c r="I753" t="s">
        <v>8838</v>
      </c>
      <c r="J753" t="s">
        <v>4830</v>
      </c>
      <c r="K753" t="s">
        <v>64</v>
      </c>
      <c r="L753">
        <v>19262.439999999999</v>
      </c>
      <c r="M753">
        <v>158</v>
      </c>
      <c r="N753" t="s">
        <v>25</v>
      </c>
      <c r="O753" t="s">
        <v>27</v>
      </c>
    </row>
    <row r="754" spans="1:15" x14ac:dyDescent="0.3">
      <c r="A754" t="s">
        <v>4829</v>
      </c>
      <c r="B754" t="s">
        <v>4828</v>
      </c>
      <c r="C754" t="s">
        <v>123</v>
      </c>
      <c r="D754">
        <v>23</v>
      </c>
      <c r="E754" t="s">
        <v>39</v>
      </c>
      <c r="F754" t="s">
        <v>67</v>
      </c>
      <c r="G754" s="8">
        <v>46043</v>
      </c>
      <c r="H754" s="8">
        <v>46044</v>
      </c>
      <c r="I754" t="s">
        <v>8839</v>
      </c>
      <c r="J754" t="s">
        <v>4826</v>
      </c>
      <c r="K754" t="s">
        <v>64</v>
      </c>
      <c r="L754">
        <v>10523.04</v>
      </c>
      <c r="M754">
        <v>260</v>
      </c>
      <c r="N754" t="s">
        <v>34</v>
      </c>
      <c r="O754" t="s">
        <v>63</v>
      </c>
    </row>
    <row r="755" spans="1:15" x14ac:dyDescent="0.3">
      <c r="A755" t="s">
        <v>4825</v>
      </c>
      <c r="B755" t="s">
        <v>4824</v>
      </c>
      <c r="C755" t="s">
        <v>123</v>
      </c>
      <c r="D755">
        <v>86</v>
      </c>
      <c r="E755" t="s">
        <v>68</v>
      </c>
      <c r="F755" t="s">
        <v>30</v>
      </c>
      <c r="G755" s="8">
        <v>46093</v>
      </c>
      <c r="H755" s="8">
        <v>46103</v>
      </c>
      <c r="I755" t="s">
        <v>8840</v>
      </c>
      <c r="J755" t="s">
        <v>4822</v>
      </c>
      <c r="K755" t="s">
        <v>27</v>
      </c>
      <c r="L755">
        <v>5434.5</v>
      </c>
      <c r="M755">
        <v>482</v>
      </c>
      <c r="N755" t="s">
        <v>34</v>
      </c>
      <c r="O755" t="s">
        <v>64</v>
      </c>
    </row>
    <row r="756" spans="1:15" x14ac:dyDescent="0.3">
      <c r="A756" t="s">
        <v>4821</v>
      </c>
      <c r="B756" t="s">
        <v>4820</v>
      </c>
      <c r="C756" t="s">
        <v>40</v>
      </c>
      <c r="D756">
        <v>87</v>
      </c>
      <c r="E756" t="s">
        <v>80</v>
      </c>
      <c r="F756" t="s">
        <v>67</v>
      </c>
      <c r="G756" s="8">
        <v>46059</v>
      </c>
      <c r="H756" s="8">
        <v>46076</v>
      </c>
      <c r="I756" t="s">
        <v>8841</v>
      </c>
      <c r="J756" t="s">
        <v>123</v>
      </c>
      <c r="K756" t="s">
        <v>27</v>
      </c>
      <c r="L756">
        <v>-500</v>
      </c>
      <c r="M756">
        <v>106</v>
      </c>
      <c r="N756" t="s">
        <v>71</v>
      </c>
      <c r="O756" t="s">
        <v>64</v>
      </c>
    </row>
    <row r="757" spans="1:15" x14ac:dyDescent="0.3">
      <c r="A757" t="s">
        <v>4818</v>
      </c>
      <c r="B757" t="s">
        <v>4817</v>
      </c>
      <c r="C757" t="s">
        <v>123</v>
      </c>
      <c r="D757">
        <v>59</v>
      </c>
      <c r="E757" t="s">
        <v>54</v>
      </c>
      <c r="F757" t="s">
        <v>85</v>
      </c>
      <c r="G757" s="8">
        <v>45989</v>
      </c>
      <c r="H757" s="8">
        <v>45998</v>
      </c>
      <c r="I757" t="s">
        <v>8842</v>
      </c>
      <c r="J757" t="s">
        <v>4815</v>
      </c>
      <c r="K757" t="s">
        <v>64</v>
      </c>
      <c r="L757">
        <v>17328.419999999998</v>
      </c>
      <c r="M757">
        <v>511</v>
      </c>
      <c r="N757" t="s">
        <v>43</v>
      </c>
      <c r="O757" t="s">
        <v>123</v>
      </c>
    </row>
    <row r="758" spans="1:15" x14ac:dyDescent="0.3">
      <c r="A758" t="s">
        <v>4814</v>
      </c>
      <c r="B758" t="s">
        <v>4813</v>
      </c>
      <c r="C758" t="s">
        <v>74</v>
      </c>
      <c r="D758">
        <v>17</v>
      </c>
      <c r="E758" t="s">
        <v>39</v>
      </c>
      <c r="F758" t="s">
        <v>46</v>
      </c>
      <c r="G758" s="8">
        <v>46066</v>
      </c>
      <c r="H758" s="8">
        <v>46072</v>
      </c>
      <c r="I758" t="s">
        <v>8843</v>
      </c>
      <c r="J758" t="s">
        <v>4811</v>
      </c>
      <c r="K758" t="s">
        <v>64</v>
      </c>
      <c r="L758">
        <v>20436.009999999998</v>
      </c>
      <c r="M758">
        <v>539</v>
      </c>
      <c r="N758" t="s">
        <v>77</v>
      </c>
      <c r="O758" t="s">
        <v>57</v>
      </c>
    </row>
    <row r="759" spans="1:15" x14ac:dyDescent="0.3">
      <c r="A759" t="s">
        <v>4810</v>
      </c>
      <c r="B759" t="s">
        <v>4809</v>
      </c>
      <c r="C759" t="s">
        <v>74</v>
      </c>
      <c r="D759">
        <v>62</v>
      </c>
      <c r="E759" t="s">
        <v>39</v>
      </c>
      <c r="F759" t="s">
        <v>8077</v>
      </c>
      <c r="G759" s="8">
        <v>45981</v>
      </c>
      <c r="H759" s="8">
        <v>45994</v>
      </c>
      <c r="I759" t="s">
        <v>8844</v>
      </c>
      <c r="J759" t="s">
        <v>4807</v>
      </c>
      <c r="K759" t="s">
        <v>64</v>
      </c>
      <c r="L759">
        <v>2335.12</v>
      </c>
      <c r="M759">
        <v>175</v>
      </c>
      <c r="N759" t="s">
        <v>16</v>
      </c>
      <c r="O759" t="s">
        <v>123</v>
      </c>
    </row>
    <row r="760" spans="1:15" x14ac:dyDescent="0.3">
      <c r="A760" t="s">
        <v>4806</v>
      </c>
      <c r="B760" t="s">
        <v>4805</v>
      </c>
      <c r="C760" t="s">
        <v>123</v>
      </c>
      <c r="D760">
        <v>3</v>
      </c>
      <c r="E760" t="s">
        <v>80</v>
      </c>
      <c r="F760" t="s">
        <v>20</v>
      </c>
      <c r="G760" s="8">
        <v>46131</v>
      </c>
      <c r="H760" s="8">
        <v>46159</v>
      </c>
      <c r="I760" t="s">
        <v>8845</v>
      </c>
      <c r="J760" t="s">
        <v>4803</v>
      </c>
      <c r="K760" t="s">
        <v>27</v>
      </c>
      <c r="L760">
        <v>18521.77</v>
      </c>
      <c r="M760">
        <v>348</v>
      </c>
      <c r="N760" t="s">
        <v>16</v>
      </c>
      <c r="O760" t="s">
        <v>123</v>
      </c>
    </row>
    <row r="761" spans="1:15" x14ac:dyDescent="0.3">
      <c r="A761" t="s">
        <v>4802</v>
      </c>
      <c r="B761" t="s">
        <v>4801</v>
      </c>
      <c r="C761" t="s">
        <v>40</v>
      </c>
      <c r="D761">
        <v>58</v>
      </c>
      <c r="E761" t="s">
        <v>21</v>
      </c>
      <c r="F761" t="s">
        <v>8077</v>
      </c>
      <c r="G761" s="8">
        <v>46021</v>
      </c>
      <c r="H761" s="8">
        <v>46030</v>
      </c>
      <c r="I761" t="s">
        <v>8846</v>
      </c>
      <c r="J761" t="s">
        <v>4799</v>
      </c>
      <c r="K761" t="s">
        <v>123</v>
      </c>
      <c r="L761">
        <v>1462.87</v>
      </c>
      <c r="M761">
        <v>152</v>
      </c>
      <c r="N761" t="s">
        <v>25</v>
      </c>
      <c r="O761" t="s">
        <v>27</v>
      </c>
    </row>
    <row r="762" spans="1:15" x14ac:dyDescent="0.3">
      <c r="A762" t="s">
        <v>4798</v>
      </c>
      <c r="B762" t="s">
        <v>4797</v>
      </c>
      <c r="C762" t="s">
        <v>123</v>
      </c>
      <c r="D762">
        <v>54</v>
      </c>
      <c r="E762" t="s">
        <v>68</v>
      </c>
      <c r="F762" t="s">
        <v>30</v>
      </c>
      <c r="G762" s="8">
        <v>46035</v>
      </c>
      <c r="H762" s="8">
        <v>46036</v>
      </c>
      <c r="I762" t="s">
        <v>8847</v>
      </c>
      <c r="J762" t="s">
        <v>4795</v>
      </c>
      <c r="K762" t="s">
        <v>123</v>
      </c>
      <c r="L762">
        <v>10112.07</v>
      </c>
      <c r="M762">
        <v>218</v>
      </c>
      <c r="N762" t="s">
        <v>25</v>
      </c>
      <c r="O762" t="s">
        <v>123</v>
      </c>
    </row>
    <row r="763" spans="1:15" x14ac:dyDescent="0.3">
      <c r="A763" t="s">
        <v>4794</v>
      </c>
      <c r="B763" t="s">
        <v>4793</v>
      </c>
      <c r="C763" t="s">
        <v>40</v>
      </c>
      <c r="D763">
        <v>68</v>
      </c>
      <c r="E763" t="s">
        <v>47</v>
      </c>
      <c r="F763" t="s">
        <v>67</v>
      </c>
      <c r="G763" s="8">
        <v>46142</v>
      </c>
      <c r="H763" s="8">
        <v>46160</v>
      </c>
      <c r="I763" t="s">
        <v>8848</v>
      </c>
      <c r="J763" t="s">
        <v>4791</v>
      </c>
      <c r="K763" t="s">
        <v>64</v>
      </c>
      <c r="L763">
        <v>13920.74</v>
      </c>
      <c r="M763">
        <v>431</v>
      </c>
      <c r="N763" t="s">
        <v>16</v>
      </c>
      <c r="O763" t="s">
        <v>63</v>
      </c>
    </row>
    <row r="764" spans="1:15" x14ac:dyDescent="0.3">
      <c r="A764" t="s">
        <v>4790</v>
      </c>
      <c r="B764" t="s">
        <v>4789</v>
      </c>
      <c r="C764" t="s">
        <v>123</v>
      </c>
      <c r="D764">
        <v>15</v>
      </c>
      <c r="E764" t="s">
        <v>68</v>
      </c>
      <c r="F764" t="s">
        <v>67</v>
      </c>
      <c r="G764" s="8">
        <v>45976</v>
      </c>
      <c r="H764" s="8">
        <v>45990</v>
      </c>
      <c r="I764" t="s">
        <v>8849</v>
      </c>
      <c r="J764" t="s">
        <v>4787</v>
      </c>
      <c r="K764" t="s">
        <v>123</v>
      </c>
      <c r="L764">
        <v>716.01</v>
      </c>
      <c r="M764">
        <v>471</v>
      </c>
      <c r="N764" t="s">
        <v>71</v>
      </c>
      <c r="O764" t="s">
        <v>63</v>
      </c>
    </row>
    <row r="765" spans="1:15" x14ac:dyDescent="0.3">
      <c r="A765" t="s">
        <v>4786</v>
      </c>
      <c r="B765" t="s">
        <v>4785</v>
      </c>
      <c r="C765" t="s">
        <v>123</v>
      </c>
      <c r="D765">
        <v>45</v>
      </c>
      <c r="E765" t="s">
        <v>68</v>
      </c>
      <c r="F765" t="s">
        <v>8077</v>
      </c>
      <c r="G765" s="8">
        <v>46036</v>
      </c>
      <c r="H765" s="8">
        <v>46052</v>
      </c>
      <c r="I765" t="s">
        <v>8850</v>
      </c>
      <c r="J765" t="s">
        <v>4783</v>
      </c>
      <c r="K765" t="s">
        <v>64</v>
      </c>
      <c r="L765">
        <v>14773.94</v>
      </c>
      <c r="M765">
        <v>408</v>
      </c>
      <c r="N765" t="s">
        <v>50</v>
      </c>
      <c r="O765" t="s">
        <v>17</v>
      </c>
    </row>
    <row r="766" spans="1:15" x14ac:dyDescent="0.3">
      <c r="A766" t="s">
        <v>4782</v>
      </c>
      <c r="B766" t="s">
        <v>8053</v>
      </c>
      <c r="C766" t="s">
        <v>123</v>
      </c>
      <c r="D766">
        <v>17</v>
      </c>
      <c r="E766" t="s">
        <v>132</v>
      </c>
      <c r="F766" t="s">
        <v>67</v>
      </c>
      <c r="G766" s="8">
        <v>45976</v>
      </c>
      <c r="H766" s="8">
        <v>46006</v>
      </c>
      <c r="I766" t="s">
        <v>8851</v>
      </c>
      <c r="J766" t="s">
        <v>4779</v>
      </c>
      <c r="K766" t="s">
        <v>123</v>
      </c>
      <c r="L766">
        <v>20860.400000000001</v>
      </c>
      <c r="M766">
        <v>507</v>
      </c>
      <c r="N766" t="s">
        <v>16</v>
      </c>
      <c r="O766" t="s">
        <v>17</v>
      </c>
    </row>
    <row r="767" spans="1:15" x14ac:dyDescent="0.3">
      <c r="A767" t="s">
        <v>4778</v>
      </c>
      <c r="B767" t="s">
        <v>4777</v>
      </c>
      <c r="C767" t="s">
        <v>40</v>
      </c>
      <c r="D767">
        <v>80</v>
      </c>
      <c r="E767" t="s">
        <v>21</v>
      </c>
      <c r="F767" t="s">
        <v>30</v>
      </c>
      <c r="G767" s="8">
        <v>46138</v>
      </c>
      <c r="H767" s="8">
        <v>46160</v>
      </c>
      <c r="I767" t="s">
        <v>8852</v>
      </c>
      <c r="J767" t="s">
        <v>4775</v>
      </c>
      <c r="K767" t="s">
        <v>64</v>
      </c>
      <c r="L767">
        <v>16743</v>
      </c>
      <c r="M767">
        <v>188</v>
      </c>
      <c r="N767" t="s">
        <v>71</v>
      </c>
      <c r="O767" t="s">
        <v>26</v>
      </c>
    </row>
    <row r="768" spans="1:15" x14ac:dyDescent="0.3">
      <c r="A768" t="s">
        <v>4774</v>
      </c>
      <c r="B768" t="s">
        <v>4773</v>
      </c>
      <c r="C768" t="s">
        <v>40</v>
      </c>
      <c r="D768">
        <v>78</v>
      </c>
      <c r="E768" t="s">
        <v>68</v>
      </c>
      <c r="F768" t="s">
        <v>20</v>
      </c>
      <c r="G768" s="8">
        <v>46026</v>
      </c>
      <c r="H768" s="8">
        <v>46051</v>
      </c>
      <c r="I768" t="s">
        <v>8853</v>
      </c>
      <c r="J768" t="s">
        <v>4771</v>
      </c>
      <c r="K768" t="s">
        <v>123</v>
      </c>
      <c r="L768">
        <v>23587.759999999998</v>
      </c>
      <c r="M768">
        <v>255</v>
      </c>
      <c r="N768" t="s">
        <v>71</v>
      </c>
      <c r="O768" t="s">
        <v>123</v>
      </c>
    </row>
    <row r="769" spans="1:15" x14ac:dyDescent="0.3">
      <c r="A769" t="s">
        <v>4770</v>
      </c>
      <c r="B769" t="s">
        <v>4769</v>
      </c>
      <c r="C769" t="s">
        <v>74</v>
      </c>
      <c r="D769">
        <v>72</v>
      </c>
      <c r="E769" t="s">
        <v>47</v>
      </c>
      <c r="F769" t="s">
        <v>46</v>
      </c>
      <c r="G769" s="8">
        <v>46081</v>
      </c>
      <c r="H769" s="8">
        <v>46092</v>
      </c>
      <c r="I769" t="s">
        <v>8854</v>
      </c>
      <c r="J769" t="s">
        <v>4767</v>
      </c>
      <c r="K769" t="s">
        <v>27</v>
      </c>
      <c r="L769">
        <v>9054.69</v>
      </c>
      <c r="M769">
        <v>189</v>
      </c>
      <c r="N769" t="s">
        <v>50</v>
      </c>
      <c r="O769" t="s">
        <v>26</v>
      </c>
    </row>
    <row r="770" spans="1:15" x14ac:dyDescent="0.3">
      <c r="A770" t="s">
        <v>4766</v>
      </c>
      <c r="B770" t="s">
        <v>4765</v>
      </c>
      <c r="C770" t="s">
        <v>40</v>
      </c>
      <c r="D770">
        <v>9</v>
      </c>
      <c r="E770" t="s">
        <v>31</v>
      </c>
      <c r="F770" t="s">
        <v>67</v>
      </c>
      <c r="G770" s="8">
        <v>46135</v>
      </c>
      <c r="H770" s="8">
        <v>46138</v>
      </c>
      <c r="I770" t="s">
        <v>8855</v>
      </c>
      <c r="J770" t="s">
        <v>4763</v>
      </c>
      <c r="K770" t="s">
        <v>64</v>
      </c>
      <c r="L770">
        <v>3193.06</v>
      </c>
      <c r="M770">
        <v>349</v>
      </c>
      <c r="N770" t="s">
        <v>43</v>
      </c>
      <c r="O770" t="s">
        <v>57</v>
      </c>
    </row>
    <row r="771" spans="1:15" x14ac:dyDescent="0.3">
      <c r="A771" t="s">
        <v>4762</v>
      </c>
      <c r="B771" t="s">
        <v>4761</v>
      </c>
      <c r="C771" t="s">
        <v>74</v>
      </c>
      <c r="D771">
        <v>46</v>
      </c>
      <c r="E771" t="s">
        <v>47</v>
      </c>
      <c r="F771" t="s">
        <v>30</v>
      </c>
      <c r="G771" s="8">
        <v>46059</v>
      </c>
      <c r="H771" s="8">
        <v>46087</v>
      </c>
      <c r="I771" t="s">
        <v>8856</v>
      </c>
      <c r="J771" t="s">
        <v>4759</v>
      </c>
      <c r="K771" t="s">
        <v>27</v>
      </c>
      <c r="L771">
        <v>21364.52</v>
      </c>
      <c r="M771">
        <v>461</v>
      </c>
      <c r="N771" t="s">
        <v>77</v>
      </c>
      <c r="O771" t="s">
        <v>64</v>
      </c>
    </row>
    <row r="772" spans="1:15" x14ac:dyDescent="0.3">
      <c r="A772" t="s">
        <v>4758</v>
      </c>
      <c r="B772" t="s">
        <v>4757</v>
      </c>
      <c r="C772" t="s">
        <v>123</v>
      </c>
      <c r="D772">
        <v>59</v>
      </c>
      <c r="E772" t="s">
        <v>80</v>
      </c>
      <c r="F772" t="s">
        <v>20</v>
      </c>
      <c r="G772" s="8">
        <v>46143</v>
      </c>
      <c r="H772" s="8">
        <v>46168</v>
      </c>
      <c r="I772" t="s">
        <v>8857</v>
      </c>
      <c r="J772" t="s">
        <v>4755</v>
      </c>
      <c r="K772" t="s">
        <v>64</v>
      </c>
      <c r="L772">
        <v>20625.53</v>
      </c>
      <c r="M772">
        <v>359</v>
      </c>
      <c r="N772" t="s">
        <v>77</v>
      </c>
      <c r="O772" t="s">
        <v>27</v>
      </c>
    </row>
    <row r="773" spans="1:15" x14ac:dyDescent="0.3">
      <c r="A773" t="s">
        <v>4754</v>
      </c>
      <c r="B773" t="s">
        <v>4753</v>
      </c>
      <c r="C773" t="s">
        <v>40</v>
      </c>
      <c r="D773">
        <v>81</v>
      </c>
      <c r="E773" t="s">
        <v>80</v>
      </c>
      <c r="F773" t="s">
        <v>8077</v>
      </c>
      <c r="G773" s="8">
        <v>46002</v>
      </c>
      <c r="H773" s="8">
        <v>46031</v>
      </c>
      <c r="I773" t="s">
        <v>8858</v>
      </c>
      <c r="J773" t="s">
        <v>4751</v>
      </c>
      <c r="K773" t="s">
        <v>64</v>
      </c>
      <c r="L773">
        <v>4094.41</v>
      </c>
      <c r="M773">
        <v>462</v>
      </c>
      <c r="N773" t="s">
        <v>16</v>
      </c>
      <c r="O773" t="s">
        <v>63</v>
      </c>
    </row>
    <row r="774" spans="1:15" x14ac:dyDescent="0.3">
      <c r="A774" t="s">
        <v>4750</v>
      </c>
      <c r="B774" t="s">
        <v>4749</v>
      </c>
      <c r="C774" t="s">
        <v>123</v>
      </c>
      <c r="D774">
        <v>13</v>
      </c>
      <c r="E774" t="s">
        <v>39</v>
      </c>
      <c r="F774" t="s">
        <v>67</v>
      </c>
      <c r="G774" s="8">
        <v>46089</v>
      </c>
      <c r="H774" s="8">
        <v>46099</v>
      </c>
      <c r="I774" t="s">
        <v>8859</v>
      </c>
      <c r="J774" t="s">
        <v>4747</v>
      </c>
      <c r="K774" t="s">
        <v>27</v>
      </c>
      <c r="L774">
        <v>3249.99</v>
      </c>
      <c r="M774">
        <v>324</v>
      </c>
      <c r="N774" t="s">
        <v>16</v>
      </c>
      <c r="O774" t="s">
        <v>57</v>
      </c>
    </row>
    <row r="775" spans="1:15" x14ac:dyDescent="0.3">
      <c r="A775" t="s">
        <v>4746</v>
      </c>
      <c r="B775" t="s">
        <v>4745</v>
      </c>
      <c r="C775" t="s">
        <v>40</v>
      </c>
      <c r="D775">
        <v>32</v>
      </c>
      <c r="E775" t="s">
        <v>68</v>
      </c>
      <c r="F775" t="s">
        <v>67</v>
      </c>
      <c r="G775" s="8">
        <v>46080</v>
      </c>
      <c r="H775" s="8">
        <v>46089</v>
      </c>
      <c r="I775" t="s">
        <v>8860</v>
      </c>
      <c r="J775" t="s">
        <v>4743</v>
      </c>
      <c r="K775" t="s">
        <v>27</v>
      </c>
      <c r="L775">
        <v>2313.8000000000002</v>
      </c>
      <c r="M775">
        <v>466</v>
      </c>
      <c r="N775" t="s">
        <v>50</v>
      </c>
      <c r="O775" t="s">
        <v>17</v>
      </c>
    </row>
    <row r="776" spans="1:15" x14ac:dyDescent="0.3">
      <c r="A776" t="s">
        <v>4742</v>
      </c>
      <c r="B776" t="s">
        <v>4741</v>
      </c>
      <c r="C776" t="s">
        <v>123</v>
      </c>
      <c r="D776">
        <v>47</v>
      </c>
      <c r="E776" t="s">
        <v>21</v>
      </c>
      <c r="F776" t="s">
        <v>20</v>
      </c>
      <c r="G776" s="8">
        <v>46100</v>
      </c>
      <c r="H776" s="8">
        <v>46124</v>
      </c>
      <c r="I776" t="s">
        <v>8861</v>
      </c>
      <c r="J776" t="s">
        <v>4739</v>
      </c>
      <c r="K776" t="s">
        <v>123</v>
      </c>
      <c r="L776">
        <v>19722.95</v>
      </c>
      <c r="M776">
        <v>510</v>
      </c>
      <c r="N776" t="s">
        <v>16</v>
      </c>
      <c r="O776" t="s">
        <v>26</v>
      </c>
    </row>
    <row r="777" spans="1:15" x14ac:dyDescent="0.3">
      <c r="A777" t="s">
        <v>4738</v>
      </c>
      <c r="B777" t="s">
        <v>4737</v>
      </c>
      <c r="C777" t="s">
        <v>123</v>
      </c>
      <c r="D777">
        <v>53</v>
      </c>
      <c r="E777" t="s">
        <v>68</v>
      </c>
      <c r="F777" t="s">
        <v>67</v>
      </c>
      <c r="G777" s="8">
        <v>45987</v>
      </c>
      <c r="H777" s="8">
        <v>46017</v>
      </c>
      <c r="I777" t="s">
        <v>8862</v>
      </c>
      <c r="J777" t="s">
        <v>4735</v>
      </c>
      <c r="K777" t="s">
        <v>27</v>
      </c>
      <c r="L777">
        <v>11175.95</v>
      </c>
      <c r="M777">
        <v>467</v>
      </c>
      <c r="N777" t="s">
        <v>50</v>
      </c>
      <c r="O777" t="s">
        <v>27</v>
      </c>
    </row>
    <row r="778" spans="1:15" x14ac:dyDescent="0.3">
      <c r="A778" t="s">
        <v>4734</v>
      </c>
      <c r="B778" t="s">
        <v>4733</v>
      </c>
      <c r="C778" t="s">
        <v>74</v>
      </c>
      <c r="D778">
        <v>11</v>
      </c>
      <c r="E778" t="s">
        <v>31</v>
      </c>
      <c r="F778" t="s">
        <v>67</v>
      </c>
      <c r="G778" s="8">
        <v>46063</v>
      </c>
      <c r="H778" s="8">
        <v>46075</v>
      </c>
      <c r="I778" t="s">
        <v>8863</v>
      </c>
      <c r="J778" t="s">
        <v>4731</v>
      </c>
      <c r="K778" t="s">
        <v>27</v>
      </c>
      <c r="L778">
        <v>10964.99</v>
      </c>
      <c r="M778">
        <v>488</v>
      </c>
      <c r="N778" t="s">
        <v>77</v>
      </c>
      <c r="O778" t="s">
        <v>123</v>
      </c>
    </row>
    <row r="779" spans="1:15" x14ac:dyDescent="0.3">
      <c r="A779" t="s">
        <v>4730</v>
      </c>
      <c r="B779" t="s">
        <v>4729</v>
      </c>
      <c r="C779" t="s">
        <v>40</v>
      </c>
      <c r="D779">
        <v>74</v>
      </c>
      <c r="E779" t="s">
        <v>47</v>
      </c>
      <c r="F779" t="s">
        <v>30</v>
      </c>
      <c r="G779" s="8">
        <v>46092</v>
      </c>
      <c r="H779" s="8">
        <v>46105</v>
      </c>
      <c r="I779" t="s">
        <v>8864</v>
      </c>
      <c r="J779" t="s">
        <v>4727</v>
      </c>
      <c r="K779" t="s">
        <v>123</v>
      </c>
      <c r="L779">
        <v>22167.41</v>
      </c>
      <c r="M779">
        <v>469</v>
      </c>
      <c r="N779" t="s">
        <v>25</v>
      </c>
      <c r="O779" t="s">
        <v>63</v>
      </c>
    </row>
    <row r="780" spans="1:15" x14ac:dyDescent="0.3">
      <c r="A780" t="s">
        <v>4726</v>
      </c>
      <c r="B780" t="s">
        <v>4725</v>
      </c>
      <c r="C780" t="s">
        <v>74</v>
      </c>
      <c r="D780">
        <v>45</v>
      </c>
      <c r="E780" t="s">
        <v>47</v>
      </c>
      <c r="F780" t="s">
        <v>30</v>
      </c>
      <c r="G780" s="8">
        <v>46134</v>
      </c>
      <c r="H780" s="8">
        <v>46162</v>
      </c>
      <c r="I780" t="s">
        <v>8865</v>
      </c>
      <c r="J780" t="s">
        <v>4723</v>
      </c>
      <c r="K780" t="s">
        <v>27</v>
      </c>
      <c r="L780">
        <v>17567.32</v>
      </c>
      <c r="M780">
        <v>429</v>
      </c>
      <c r="N780" t="s">
        <v>71</v>
      </c>
      <c r="O780" t="s">
        <v>123</v>
      </c>
    </row>
    <row r="781" spans="1:15" x14ac:dyDescent="0.3">
      <c r="A781" t="s">
        <v>4722</v>
      </c>
      <c r="B781" t="s">
        <v>4721</v>
      </c>
      <c r="C781" t="s">
        <v>123</v>
      </c>
      <c r="D781">
        <v>90</v>
      </c>
      <c r="E781" t="s">
        <v>31</v>
      </c>
      <c r="F781" t="s">
        <v>67</v>
      </c>
      <c r="G781" s="8">
        <v>46071</v>
      </c>
      <c r="H781" s="8">
        <v>46095</v>
      </c>
      <c r="I781" t="s">
        <v>8866</v>
      </c>
      <c r="J781" t="s">
        <v>4719</v>
      </c>
      <c r="K781" t="s">
        <v>64</v>
      </c>
      <c r="L781">
        <v>22048.17</v>
      </c>
      <c r="M781">
        <v>118</v>
      </c>
      <c r="N781" t="s">
        <v>34</v>
      </c>
      <c r="O781" t="s">
        <v>64</v>
      </c>
    </row>
    <row r="782" spans="1:15" x14ac:dyDescent="0.3">
      <c r="A782" t="s">
        <v>4718</v>
      </c>
      <c r="B782" t="s">
        <v>4717</v>
      </c>
      <c r="C782" t="s">
        <v>74</v>
      </c>
      <c r="D782">
        <v>50</v>
      </c>
      <c r="E782" t="s">
        <v>39</v>
      </c>
      <c r="F782" t="s">
        <v>30</v>
      </c>
      <c r="G782" s="8">
        <v>46071</v>
      </c>
      <c r="H782" s="8">
        <v>46077</v>
      </c>
      <c r="I782" t="s">
        <v>8867</v>
      </c>
      <c r="J782" t="s">
        <v>4715</v>
      </c>
      <c r="K782" t="s">
        <v>64</v>
      </c>
      <c r="L782">
        <v>12889.46</v>
      </c>
      <c r="M782">
        <v>366</v>
      </c>
      <c r="N782" t="s">
        <v>43</v>
      </c>
      <c r="O782" t="s">
        <v>63</v>
      </c>
    </row>
    <row r="783" spans="1:15" x14ac:dyDescent="0.3">
      <c r="A783" t="s">
        <v>4714</v>
      </c>
      <c r="B783" t="s">
        <v>4713</v>
      </c>
      <c r="C783" t="s">
        <v>40</v>
      </c>
      <c r="D783">
        <v>3</v>
      </c>
      <c r="E783" t="s">
        <v>47</v>
      </c>
      <c r="F783" t="s">
        <v>30</v>
      </c>
      <c r="G783" s="8">
        <v>46142</v>
      </c>
      <c r="H783" s="8">
        <v>46149</v>
      </c>
      <c r="I783" t="s">
        <v>8868</v>
      </c>
      <c r="J783" t="s">
        <v>4711</v>
      </c>
      <c r="K783" t="s">
        <v>27</v>
      </c>
      <c r="L783">
        <v>18217.43</v>
      </c>
      <c r="M783">
        <v>474</v>
      </c>
      <c r="N783" t="s">
        <v>77</v>
      </c>
      <c r="O783" t="s">
        <v>64</v>
      </c>
    </row>
    <row r="784" spans="1:15" x14ac:dyDescent="0.3">
      <c r="A784" t="s">
        <v>4710</v>
      </c>
      <c r="B784" t="s">
        <v>4709</v>
      </c>
      <c r="C784" t="s">
        <v>74</v>
      </c>
      <c r="D784">
        <v>34</v>
      </c>
      <c r="E784" t="s">
        <v>31</v>
      </c>
      <c r="F784" t="s">
        <v>20</v>
      </c>
      <c r="G784" s="8">
        <v>45983</v>
      </c>
      <c r="H784" s="8">
        <v>45984</v>
      </c>
      <c r="I784" t="s">
        <v>8869</v>
      </c>
      <c r="J784" t="s">
        <v>4707</v>
      </c>
      <c r="K784" t="s">
        <v>64</v>
      </c>
      <c r="L784">
        <v>11328.67</v>
      </c>
      <c r="M784">
        <v>332</v>
      </c>
      <c r="N784" t="s">
        <v>43</v>
      </c>
      <c r="O784" t="s">
        <v>27</v>
      </c>
    </row>
    <row r="785" spans="1:15" x14ac:dyDescent="0.3">
      <c r="A785" t="s">
        <v>4706</v>
      </c>
      <c r="B785" t="s">
        <v>4705</v>
      </c>
      <c r="C785" t="s">
        <v>74</v>
      </c>
      <c r="D785">
        <v>75</v>
      </c>
      <c r="E785" t="s">
        <v>21</v>
      </c>
      <c r="F785" t="s">
        <v>67</v>
      </c>
      <c r="G785" s="8">
        <v>46078</v>
      </c>
      <c r="H785" s="8">
        <v>46087</v>
      </c>
      <c r="I785" t="s">
        <v>8870</v>
      </c>
      <c r="J785" t="s">
        <v>4703</v>
      </c>
      <c r="K785" t="s">
        <v>27</v>
      </c>
      <c r="L785">
        <v>16739.669999999998</v>
      </c>
      <c r="M785">
        <v>465</v>
      </c>
      <c r="N785" t="s">
        <v>16</v>
      </c>
      <c r="O785" t="s">
        <v>26</v>
      </c>
    </row>
    <row r="786" spans="1:15" x14ac:dyDescent="0.3">
      <c r="A786" t="s">
        <v>4702</v>
      </c>
      <c r="B786" t="s">
        <v>4701</v>
      </c>
      <c r="C786" t="s">
        <v>74</v>
      </c>
      <c r="D786">
        <v>14</v>
      </c>
      <c r="E786" t="s">
        <v>31</v>
      </c>
      <c r="F786" t="s">
        <v>8077</v>
      </c>
      <c r="G786" s="8">
        <v>46093</v>
      </c>
      <c r="H786" s="8">
        <v>46119</v>
      </c>
      <c r="I786" t="s">
        <v>8871</v>
      </c>
      <c r="J786" t="s">
        <v>4699</v>
      </c>
      <c r="K786" t="s">
        <v>64</v>
      </c>
      <c r="L786">
        <v>11466.88</v>
      </c>
      <c r="M786">
        <v>464</v>
      </c>
      <c r="N786" t="s">
        <v>16</v>
      </c>
      <c r="O786" t="s">
        <v>26</v>
      </c>
    </row>
    <row r="787" spans="1:15" x14ac:dyDescent="0.3">
      <c r="A787" t="s">
        <v>4698</v>
      </c>
      <c r="B787" t="s">
        <v>4697</v>
      </c>
      <c r="C787" t="s">
        <v>123</v>
      </c>
      <c r="D787">
        <v>11</v>
      </c>
      <c r="E787" t="s">
        <v>80</v>
      </c>
      <c r="F787" t="s">
        <v>46</v>
      </c>
      <c r="G787" s="8">
        <v>46016</v>
      </c>
      <c r="H787" s="8">
        <v>46029</v>
      </c>
      <c r="I787" t="s">
        <v>8872</v>
      </c>
      <c r="J787" t="s">
        <v>4695</v>
      </c>
      <c r="K787" t="s">
        <v>27</v>
      </c>
      <c r="L787">
        <v>12011.08</v>
      </c>
      <c r="M787">
        <v>139</v>
      </c>
      <c r="N787" t="s">
        <v>43</v>
      </c>
      <c r="O787" t="s">
        <v>123</v>
      </c>
    </row>
    <row r="788" spans="1:15" x14ac:dyDescent="0.3">
      <c r="A788" t="s">
        <v>4694</v>
      </c>
      <c r="B788" t="s">
        <v>4693</v>
      </c>
      <c r="C788" t="s">
        <v>123</v>
      </c>
      <c r="D788">
        <v>76</v>
      </c>
      <c r="E788" t="s">
        <v>54</v>
      </c>
      <c r="F788" t="s">
        <v>30</v>
      </c>
      <c r="G788" s="8">
        <v>46046</v>
      </c>
      <c r="H788" s="8">
        <v>46064</v>
      </c>
      <c r="I788" t="s">
        <v>8873</v>
      </c>
      <c r="J788" t="s">
        <v>4691</v>
      </c>
      <c r="K788" t="s">
        <v>123</v>
      </c>
      <c r="L788">
        <v>15984.24</v>
      </c>
      <c r="M788">
        <v>452</v>
      </c>
      <c r="N788" t="s">
        <v>16</v>
      </c>
      <c r="O788" t="s">
        <v>123</v>
      </c>
    </row>
    <row r="789" spans="1:15" x14ac:dyDescent="0.3">
      <c r="A789" t="s">
        <v>4690</v>
      </c>
      <c r="B789" t="s">
        <v>4689</v>
      </c>
      <c r="C789" t="s">
        <v>123</v>
      </c>
      <c r="D789">
        <v>21</v>
      </c>
      <c r="E789" t="s">
        <v>39</v>
      </c>
      <c r="F789" t="s">
        <v>20</v>
      </c>
      <c r="G789" s="8">
        <v>46121</v>
      </c>
      <c r="H789" s="8">
        <v>46136</v>
      </c>
      <c r="I789" t="s">
        <v>8874</v>
      </c>
      <c r="J789" t="s">
        <v>4687</v>
      </c>
      <c r="K789" t="s">
        <v>123</v>
      </c>
      <c r="L789">
        <v>3408.75</v>
      </c>
      <c r="M789">
        <v>455</v>
      </c>
      <c r="N789" t="s">
        <v>71</v>
      </c>
      <c r="O789" t="s">
        <v>64</v>
      </c>
    </row>
    <row r="790" spans="1:15" x14ac:dyDescent="0.3">
      <c r="A790" t="s">
        <v>4686</v>
      </c>
      <c r="B790" t="s">
        <v>4685</v>
      </c>
      <c r="C790" t="s">
        <v>123</v>
      </c>
      <c r="D790">
        <v>61</v>
      </c>
      <c r="E790" t="s">
        <v>47</v>
      </c>
      <c r="F790" t="s">
        <v>20</v>
      </c>
      <c r="G790" s="8">
        <v>46050</v>
      </c>
      <c r="H790" s="8">
        <v>46080</v>
      </c>
      <c r="I790" t="s">
        <v>8875</v>
      </c>
      <c r="J790" t="s">
        <v>4683</v>
      </c>
      <c r="K790" t="s">
        <v>64</v>
      </c>
      <c r="L790">
        <v>23058.09</v>
      </c>
      <c r="M790">
        <v>408</v>
      </c>
      <c r="N790" t="s">
        <v>50</v>
      </c>
      <c r="O790" t="s">
        <v>64</v>
      </c>
    </row>
    <row r="791" spans="1:15" x14ac:dyDescent="0.3">
      <c r="A791" t="s">
        <v>4682</v>
      </c>
      <c r="B791" t="s">
        <v>4681</v>
      </c>
      <c r="C791" t="s">
        <v>123</v>
      </c>
      <c r="D791">
        <v>15</v>
      </c>
      <c r="E791" t="s">
        <v>80</v>
      </c>
      <c r="F791" t="s">
        <v>67</v>
      </c>
      <c r="G791" s="8">
        <v>46049</v>
      </c>
      <c r="H791" s="8">
        <v>46067</v>
      </c>
      <c r="I791" t="s">
        <v>8876</v>
      </c>
      <c r="J791" t="s">
        <v>4679</v>
      </c>
      <c r="K791" t="s">
        <v>27</v>
      </c>
      <c r="L791">
        <v>1199</v>
      </c>
      <c r="M791">
        <v>160</v>
      </c>
      <c r="N791" t="s">
        <v>43</v>
      </c>
      <c r="O791" t="s">
        <v>26</v>
      </c>
    </row>
    <row r="792" spans="1:15" x14ac:dyDescent="0.3">
      <c r="A792" t="s">
        <v>4678</v>
      </c>
      <c r="B792" t="s">
        <v>4677</v>
      </c>
      <c r="C792" t="s">
        <v>40</v>
      </c>
      <c r="D792">
        <v>48</v>
      </c>
      <c r="E792" t="s">
        <v>132</v>
      </c>
      <c r="F792" t="s">
        <v>30</v>
      </c>
      <c r="G792" s="8">
        <v>46138</v>
      </c>
      <c r="H792" s="8">
        <v>46153</v>
      </c>
      <c r="I792" t="s">
        <v>8877</v>
      </c>
      <c r="J792" t="s">
        <v>4675</v>
      </c>
      <c r="K792" t="s">
        <v>27</v>
      </c>
      <c r="L792">
        <v>19821.849999999999</v>
      </c>
      <c r="M792">
        <v>501</v>
      </c>
      <c r="N792" t="s">
        <v>34</v>
      </c>
      <c r="O792" t="s">
        <v>26</v>
      </c>
    </row>
    <row r="793" spans="1:15" x14ac:dyDescent="0.3">
      <c r="A793" t="s">
        <v>4674</v>
      </c>
      <c r="B793" t="s">
        <v>4673</v>
      </c>
      <c r="C793" t="s">
        <v>123</v>
      </c>
      <c r="D793">
        <v>7</v>
      </c>
      <c r="E793" t="s">
        <v>132</v>
      </c>
      <c r="F793" t="s">
        <v>30</v>
      </c>
      <c r="G793" s="8">
        <v>46044</v>
      </c>
      <c r="H793" s="8">
        <v>46050</v>
      </c>
      <c r="I793" t="s">
        <v>8878</v>
      </c>
      <c r="J793" t="s">
        <v>4671</v>
      </c>
      <c r="K793" t="s">
        <v>27</v>
      </c>
      <c r="L793">
        <v>20514.3</v>
      </c>
      <c r="M793">
        <v>101</v>
      </c>
      <c r="N793" t="s">
        <v>77</v>
      </c>
      <c r="O793" t="s">
        <v>123</v>
      </c>
    </row>
    <row r="794" spans="1:15" x14ac:dyDescent="0.3">
      <c r="A794" t="s">
        <v>4670</v>
      </c>
      <c r="B794" t="s">
        <v>4669</v>
      </c>
      <c r="C794" t="s">
        <v>74</v>
      </c>
      <c r="D794">
        <v>9</v>
      </c>
      <c r="E794" t="s">
        <v>47</v>
      </c>
      <c r="F794" t="s">
        <v>67</v>
      </c>
      <c r="G794" s="8">
        <v>46110</v>
      </c>
      <c r="H794" s="8">
        <v>46125</v>
      </c>
      <c r="I794" t="s">
        <v>8879</v>
      </c>
      <c r="J794" t="s">
        <v>4667</v>
      </c>
      <c r="K794" t="s">
        <v>27</v>
      </c>
      <c r="L794">
        <v>14230.95</v>
      </c>
      <c r="M794">
        <v>500</v>
      </c>
      <c r="N794" t="s">
        <v>16</v>
      </c>
      <c r="O794" t="s">
        <v>17</v>
      </c>
    </row>
    <row r="795" spans="1:15" x14ac:dyDescent="0.3">
      <c r="A795" t="s">
        <v>4666</v>
      </c>
      <c r="B795" t="s">
        <v>4665</v>
      </c>
      <c r="C795" t="s">
        <v>123</v>
      </c>
      <c r="D795">
        <v>78</v>
      </c>
      <c r="E795" t="s">
        <v>39</v>
      </c>
      <c r="F795" t="s">
        <v>20</v>
      </c>
      <c r="G795" s="8">
        <v>46141</v>
      </c>
      <c r="H795" s="8">
        <v>46157</v>
      </c>
      <c r="I795" t="s">
        <v>8880</v>
      </c>
      <c r="J795" t="s">
        <v>4663</v>
      </c>
      <c r="K795" t="s">
        <v>123</v>
      </c>
      <c r="L795">
        <v>19089.63</v>
      </c>
      <c r="M795">
        <v>176</v>
      </c>
      <c r="N795" t="s">
        <v>50</v>
      </c>
      <c r="O795" t="s">
        <v>123</v>
      </c>
    </row>
    <row r="796" spans="1:15" x14ac:dyDescent="0.3">
      <c r="A796" t="s">
        <v>4658</v>
      </c>
      <c r="B796" t="s">
        <v>4657</v>
      </c>
      <c r="C796" t="s">
        <v>40</v>
      </c>
      <c r="D796">
        <v>83</v>
      </c>
      <c r="E796" t="s">
        <v>80</v>
      </c>
      <c r="F796" t="s">
        <v>20</v>
      </c>
      <c r="G796" s="8">
        <v>46018</v>
      </c>
      <c r="H796" s="8">
        <v>46040</v>
      </c>
      <c r="I796" t="s">
        <v>8881</v>
      </c>
      <c r="J796" t="s">
        <v>4655</v>
      </c>
      <c r="K796" t="s">
        <v>27</v>
      </c>
      <c r="L796">
        <v>14385.47</v>
      </c>
      <c r="M796">
        <v>387</v>
      </c>
      <c r="N796" t="s">
        <v>25</v>
      </c>
      <c r="O796" t="s">
        <v>63</v>
      </c>
    </row>
    <row r="797" spans="1:15" x14ac:dyDescent="0.3">
      <c r="A797" t="s">
        <v>4654</v>
      </c>
      <c r="B797" t="s">
        <v>4653</v>
      </c>
      <c r="C797" t="s">
        <v>74</v>
      </c>
      <c r="D797">
        <v>83</v>
      </c>
      <c r="E797" t="s">
        <v>80</v>
      </c>
      <c r="F797" t="s">
        <v>8077</v>
      </c>
      <c r="G797" s="8">
        <v>46101</v>
      </c>
      <c r="H797" s="8">
        <v>46131</v>
      </c>
      <c r="I797" t="s">
        <v>8882</v>
      </c>
      <c r="J797" t="s">
        <v>4651</v>
      </c>
      <c r="K797" t="s">
        <v>27</v>
      </c>
      <c r="L797">
        <v>23940.86</v>
      </c>
      <c r="M797">
        <v>484</v>
      </c>
      <c r="N797" t="s">
        <v>16</v>
      </c>
      <c r="O797" t="s">
        <v>57</v>
      </c>
    </row>
    <row r="798" spans="1:15" x14ac:dyDescent="0.3">
      <c r="A798" t="s">
        <v>4650</v>
      </c>
      <c r="B798" t="s">
        <v>4649</v>
      </c>
      <c r="C798" t="s">
        <v>40</v>
      </c>
      <c r="D798">
        <v>16</v>
      </c>
      <c r="E798" t="s">
        <v>39</v>
      </c>
      <c r="F798" t="s">
        <v>46</v>
      </c>
      <c r="G798" s="8">
        <v>46098</v>
      </c>
      <c r="H798" s="8">
        <v>46106</v>
      </c>
      <c r="I798" t="s">
        <v>8883</v>
      </c>
      <c r="J798" t="s">
        <v>4647</v>
      </c>
      <c r="K798" t="s">
        <v>64</v>
      </c>
      <c r="L798">
        <v>6283.11</v>
      </c>
      <c r="M798">
        <v>143</v>
      </c>
      <c r="N798" t="s">
        <v>50</v>
      </c>
      <c r="O798" t="s">
        <v>123</v>
      </c>
    </row>
    <row r="799" spans="1:15" x14ac:dyDescent="0.3">
      <c r="A799" t="s">
        <v>4646</v>
      </c>
      <c r="B799" t="s">
        <v>4645</v>
      </c>
      <c r="C799" t="s">
        <v>74</v>
      </c>
      <c r="D799">
        <v>52</v>
      </c>
      <c r="E799" t="s">
        <v>47</v>
      </c>
      <c r="F799" t="s">
        <v>85</v>
      </c>
      <c r="G799" s="8">
        <v>46078</v>
      </c>
      <c r="H799" s="8">
        <v>46105</v>
      </c>
      <c r="I799" t="s">
        <v>8884</v>
      </c>
      <c r="J799" t="s">
        <v>4643</v>
      </c>
      <c r="K799" t="s">
        <v>27</v>
      </c>
      <c r="L799">
        <v>8630.92</v>
      </c>
      <c r="M799">
        <v>312</v>
      </c>
      <c r="N799" t="s">
        <v>77</v>
      </c>
      <c r="O799" t="s">
        <v>26</v>
      </c>
    </row>
    <row r="800" spans="1:15" x14ac:dyDescent="0.3">
      <c r="A800" t="s">
        <v>4642</v>
      </c>
      <c r="B800" t="s">
        <v>4641</v>
      </c>
      <c r="C800" t="s">
        <v>74</v>
      </c>
      <c r="D800">
        <v>49</v>
      </c>
      <c r="E800" t="s">
        <v>132</v>
      </c>
      <c r="F800" t="s">
        <v>20</v>
      </c>
      <c r="G800" s="8">
        <v>46018</v>
      </c>
      <c r="H800" s="8">
        <v>46021</v>
      </c>
      <c r="I800" t="s">
        <v>8885</v>
      </c>
      <c r="J800" t="s">
        <v>4639</v>
      </c>
      <c r="K800" t="s">
        <v>64</v>
      </c>
      <c r="L800">
        <v>13636.13</v>
      </c>
      <c r="M800">
        <v>173</v>
      </c>
      <c r="N800" t="s">
        <v>71</v>
      </c>
      <c r="O800" t="s">
        <v>63</v>
      </c>
    </row>
    <row r="801" spans="1:15" x14ac:dyDescent="0.3">
      <c r="A801" t="s">
        <v>4638</v>
      </c>
      <c r="B801" t="s">
        <v>4637</v>
      </c>
      <c r="C801" t="s">
        <v>40</v>
      </c>
      <c r="D801">
        <v>12</v>
      </c>
      <c r="E801" t="s">
        <v>39</v>
      </c>
      <c r="F801" t="s">
        <v>30</v>
      </c>
      <c r="G801" s="8">
        <v>46004</v>
      </c>
      <c r="H801" s="8">
        <v>46034</v>
      </c>
      <c r="I801" t="s">
        <v>8886</v>
      </c>
      <c r="J801" t="s">
        <v>4635</v>
      </c>
      <c r="K801" t="s">
        <v>123</v>
      </c>
      <c r="L801">
        <v>17029.490000000002</v>
      </c>
      <c r="M801">
        <v>414</v>
      </c>
      <c r="N801" t="s">
        <v>43</v>
      </c>
      <c r="O801" t="s">
        <v>27</v>
      </c>
    </row>
    <row r="802" spans="1:15" x14ac:dyDescent="0.3">
      <c r="A802" t="s">
        <v>4634</v>
      </c>
      <c r="B802" t="s">
        <v>4633</v>
      </c>
      <c r="C802" t="s">
        <v>40</v>
      </c>
      <c r="D802">
        <v>4</v>
      </c>
      <c r="E802" t="s">
        <v>47</v>
      </c>
      <c r="F802" t="s">
        <v>30</v>
      </c>
      <c r="G802" s="8">
        <v>46019</v>
      </c>
      <c r="H802" s="8">
        <v>46031</v>
      </c>
      <c r="I802" t="s">
        <v>8887</v>
      </c>
      <c r="J802" t="s">
        <v>4631</v>
      </c>
      <c r="K802" t="s">
        <v>64</v>
      </c>
      <c r="L802">
        <v>8137.03</v>
      </c>
      <c r="M802">
        <v>265</v>
      </c>
      <c r="N802" t="s">
        <v>43</v>
      </c>
      <c r="O802" t="s">
        <v>123</v>
      </c>
    </row>
    <row r="803" spans="1:15" x14ac:dyDescent="0.3">
      <c r="A803" t="s">
        <v>4630</v>
      </c>
      <c r="B803" t="s">
        <v>4629</v>
      </c>
      <c r="C803" t="s">
        <v>123</v>
      </c>
      <c r="D803">
        <v>16</v>
      </c>
      <c r="E803" t="s">
        <v>47</v>
      </c>
      <c r="F803" t="s">
        <v>8077</v>
      </c>
      <c r="G803" s="8">
        <v>46147</v>
      </c>
      <c r="H803" s="8">
        <v>46154</v>
      </c>
      <c r="I803" t="s">
        <v>8888</v>
      </c>
      <c r="J803" t="s">
        <v>4627</v>
      </c>
      <c r="K803" t="s">
        <v>64</v>
      </c>
      <c r="L803">
        <v>12425.89</v>
      </c>
      <c r="M803">
        <v>158</v>
      </c>
      <c r="N803" t="s">
        <v>43</v>
      </c>
      <c r="O803" t="s">
        <v>123</v>
      </c>
    </row>
    <row r="804" spans="1:15" x14ac:dyDescent="0.3">
      <c r="A804" t="s">
        <v>4626</v>
      </c>
      <c r="B804" t="s">
        <v>4625</v>
      </c>
      <c r="C804" t="s">
        <v>40</v>
      </c>
      <c r="D804">
        <v>41</v>
      </c>
      <c r="E804" t="s">
        <v>68</v>
      </c>
      <c r="F804" t="s">
        <v>67</v>
      </c>
      <c r="G804" s="8">
        <v>46065</v>
      </c>
      <c r="H804" s="8">
        <v>46067</v>
      </c>
      <c r="I804" t="s">
        <v>8889</v>
      </c>
      <c r="J804" t="s">
        <v>4623</v>
      </c>
      <c r="K804" t="s">
        <v>123</v>
      </c>
      <c r="L804">
        <v>916.88</v>
      </c>
      <c r="M804">
        <v>109</v>
      </c>
      <c r="N804" t="s">
        <v>43</v>
      </c>
      <c r="O804" t="s">
        <v>57</v>
      </c>
    </row>
    <row r="805" spans="1:15" x14ac:dyDescent="0.3">
      <c r="A805" t="s">
        <v>4619</v>
      </c>
      <c r="B805" t="s">
        <v>4618</v>
      </c>
      <c r="C805" t="s">
        <v>74</v>
      </c>
      <c r="D805">
        <v>70</v>
      </c>
      <c r="E805" t="s">
        <v>39</v>
      </c>
      <c r="F805" t="s">
        <v>8077</v>
      </c>
      <c r="G805" s="8">
        <v>46032</v>
      </c>
      <c r="H805" s="8">
        <v>46049</v>
      </c>
      <c r="I805" t="s">
        <v>8890</v>
      </c>
      <c r="J805" t="s">
        <v>4616</v>
      </c>
      <c r="K805" t="s">
        <v>123</v>
      </c>
      <c r="L805">
        <v>24041.53</v>
      </c>
      <c r="M805">
        <v>121</v>
      </c>
      <c r="N805" t="s">
        <v>77</v>
      </c>
      <c r="O805" t="s">
        <v>123</v>
      </c>
    </row>
    <row r="806" spans="1:15" x14ac:dyDescent="0.3">
      <c r="A806" t="s">
        <v>4611</v>
      </c>
      <c r="B806" t="s">
        <v>4610</v>
      </c>
      <c r="C806" t="s">
        <v>40</v>
      </c>
      <c r="D806">
        <v>88</v>
      </c>
      <c r="E806" t="s">
        <v>54</v>
      </c>
      <c r="F806" t="s">
        <v>67</v>
      </c>
      <c r="G806" s="8">
        <v>46025</v>
      </c>
      <c r="H806" s="8">
        <v>46051</v>
      </c>
      <c r="I806" t="s">
        <v>8891</v>
      </c>
      <c r="J806" t="s">
        <v>4608</v>
      </c>
      <c r="K806" t="s">
        <v>64</v>
      </c>
      <c r="L806">
        <v>14711.95</v>
      </c>
      <c r="M806">
        <v>123</v>
      </c>
      <c r="N806" t="s">
        <v>71</v>
      </c>
      <c r="O806" t="s">
        <v>63</v>
      </c>
    </row>
    <row r="807" spans="1:15" x14ac:dyDescent="0.3">
      <c r="A807" t="s">
        <v>4607</v>
      </c>
      <c r="B807" t="s">
        <v>4606</v>
      </c>
      <c r="C807" t="s">
        <v>74</v>
      </c>
      <c r="D807">
        <v>39</v>
      </c>
      <c r="E807" t="s">
        <v>80</v>
      </c>
      <c r="F807" t="s">
        <v>67</v>
      </c>
      <c r="G807" s="8">
        <v>45981</v>
      </c>
      <c r="H807" s="8">
        <v>46003</v>
      </c>
      <c r="I807" t="s">
        <v>8892</v>
      </c>
      <c r="J807" t="s">
        <v>4604</v>
      </c>
      <c r="K807" t="s">
        <v>64</v>
      </c>
      <c r="L807">
        <v>20796.349999999999</v>
      </c>
      <c r="M807">
        <v>549</v>
      </c>
      <c r="N807" t="s">
        <v>16</v>
      </c>
      <c r="O807" t="s">
        <v>63</v>
      </c>
    </row>
    <row r="808" spans="1:15" x14ac:dyDescent="0.3">
      <c r="A808" t="s">
        <v>4603</v>
      </c>
      <c r="B808" t="s">
        <v>4602</v>
      </c>
      <c r="C808" t="s">
        <v>74</v>
      </c>
      <c r="D808">
        <v>79</v>
      </c>
      <c r="E808" t="s">
        <v>31</v>
      </c>
      <c r="F808" t="s">
        <v>67</v>
      </c>
      <c r="G808" s="8">
        <v>45998</v>
      </c>
      <c r="H808" s="8">
        <v>46018</v>
      </c>
      <c r="I808" t="s">
        <v>8893</v>
      </c>
      <c r="J808" t="s">
        <v>4600</v>
      </c>
      <c r="K808" t="s">
        <v>27</v>
      </c>
      <c r="L808">
        <v>24495.08</v>
      </c>
      <c r="M808">
        <v>239</v>
      </c>
      <c r="N808" t="s">
        <v>71</v>
      </c>
      <c r="O808" t="s">
        <v>123</v>
      </c>
    </row>
    <row r="809" spans="1:15" x14ac:dyDescent="0.3">
      <c r="A809" t="s">
        <v>4599</v>
      </c>
      <c r="B809" t="s">
        <v>4598</v>
      </c>
      <c r="C809" t="s">
        <v>74</v>
      </c>
      <c r="D809">
        <v>44</v>
      </c>
      <c r="E809" t="s">
        <v>21</v>
      </c>
      <c r="F809" t="s">
        <v>85</v>
      </c>
      <c r="G809" s="8">
        <v>46129</v>
      </c>
      <c r="H809" s="8">
        <v>46159</v>
      </c>
      <c r="I809" t="s">
        <v>8894</v>
      </c>
      <c r="J809" t="s">
        <v>4596</v>
      </c>
      <c r="K809" t="s">
        <v>64</v>
      </c>
      <c r="L809">
        <v>593.69000000000005</v>
      </c>
      <c r="M809">
        <v>430</v>
      </c>
      <c r="N809" t="s">
        <v>77</v>
      </c>
      <c r="O809" t="s">
        <v>26</v>
      </c>
    </row>
    <row r="810" spans="1:15" x14ac:dyDescent="0.3">
      <c r="A810" t="s">
        <v>4595</v>
      </c>
      <c r="B810" t="s">
        <v>4594</v>
      </c>
      <c r="C810" t="s">
        <v>123</v>
      </c>
      <c r="D810">
        <v>1</v>
      </c>
      <c r="E810" t="s">
        <v>47</v>
      </c>
      <c r="F810" t="s">
        <v>20</v>
      </c>
      <c r="G810" s="8">
        <v>46006</v>
      </c>
      <c r="H810" s="8">
        <v>46019</v>
      </c>
      <c r="I810" t="s">
        <v>8895</v>
      </c>
      <c r="J810" t="s">
        <v>4592</v>
      </c>
      <c r="K810" t="s">
        <v>123</v>
      </c>
      <c r="L810">
        <v>19109.14</v>
      </c>
      <c r="M810">
        <v>503</v>
      </c>
      <c r="N810" t="s">
        <v>25</v>
      </c>
      <c r="O810" t="s">
        <v>64</v>
      </c>
    </row>
    <row r="811" spans="1:15" x14ac:dyDescent="0.3">
      <c r="A811" t="s">
        <v>4591</v>
      </c>
      <c r="B811" t="s">
        <v>4590</v>
      </c>
      <c r="C811" t="s">
        <v>74</v>
      </c>
      <c r="D811">
        <v>69</v>
      </c>
      <c r="E811" t="s">
        <v>47</v>
      </c>
      <c r="F811" t="s">
        <v>85</v>
      </c>
      <c r="G811" s="8">
        <v>46130</v>
      </c>
      <c r="H811" s="8">
        <v>46151</v>
      </c>
      <c r="I811" t="s">
        <v>8896</v>
      </c>
      <c r="J811" t="s">
        <v>4588</v>
      </c>
      <c r="K811" t="s">
        <v>64</v>
      </c>
      <c r="L811">
        <v>8954.27</v>
      </c>
      <c r="M811">
        <v>523</v>
      </c>
      <c r="N811" t="s">
        <v>34</v>
      </c>
      <c r="O811" t="s">
        <v>123</v>
      </c>
    </row>
    <row r="812" spans="1:15" x14ac:dyDescent="0.3">
      <c r="A812" t="s">
        <v>4587</v>
      </c>
      <c r="B812" t="s">
        <v>4586</v>
      </c>
      <c r="C812" t="s">
        <v>74</v>
      </c>
      <c r="D812">
        <v>50</v>
      </c>
      <c r="E812" t="s">
        <v>39</v>
      </c>
      <c r="F812" t="s">
        <v>46</v>
      </c>
      <c r="G812" s="8">
        <v>46047</v>
      </c>
      <c r="H812" s="8">
        <v>46050</v>
      </c>
      <c r="I812" t="s">
        <v>8897</v>
      </c>
      <c r="J812" t="s">
        <v>4584</v>
      </c>
      <c r="K812" t="s">
        <v>123</v>
      </c>
      <c r="L812">
        <v>9387.92</v>
      </c>
      <c r="M812">
        <v>327</v>
      </c>
      <c r="N812" t="s">
        <v>77</v>
      </c>
      <c r="O812" t="s">
        <v>57</v>
      </c>
    </row>
    <row r="813" spans="1:15" x14ac:dyDescent="0.3">
      <c r="A813" t="s">
        <v>4583</v>
      </c>
      <c r="B813" t="s">
        <v>4582</v>
      </c>
      <c r="C813" t="s">
        <v>74</v>
      </c>
      <c r="D813">
        <v>3</v>
      </c>
      <c r="E813" t="s">
        <v>132</v>
      </c>
      <c r="F813" t="s">
        <v>67</v>
      </c>
      <c r="G813" s="8">
        <v>46004</v>
      </c>
      <c r="H813" s="8">
        <v>46010</v>
      </c>
      <c r="I813" t="s">
        <v>8898</v>
      </c>
      <c r="J813" t="s">
        <v>4580</v>
      </c>
      <c r="K813" t="s">
        <v>64</v>
      </c>
      <c r="L813">
        <v>20443.759999999998</v>
      </c>
      <c r="M813">
        <v>513</v>
      </c>
      <c r="N813" t="s">
        <v>25</v>
      </c>
      <c r="O813" t="s">
        <v>63</v>
      </c>
    </row>
    <row r="814" spans="1:15" x14ac:dyDescent="0.3">
      <c r="A814" t="s">
        <v>4579</v>
      </c>
      <c r="B814" t="s">
        <v>4578</v>
      </c>
      <c r="C814" t="s">
        <v>74</v>
      </c>
      <c r="D814">
        <v>30</v>
      </c>
      <c r="E814" t="s">
        <v>68</v>
      </c>
      <c r="F814" t="s">
        <v>67</v>
      </c>
      <c r="G814" s="8">
        <v>46127</v>
      </c>
      <c r="H814" s="8">
        <v>46128</v>
      </c>
      <c r="I814" t="s">
        <v>8899</v>
      </c>
      <c r="J814" t="s">
        <v>4576</v>
      </c>
      <c r="K814" t="s">
        <v>27</v>
      </c>
      <c r="L814">
        <v>12422.38</v>
      </c>
      <c r="M814">
        <v>103</v>
      </c>
      <c r="N814" t="s">
        <v>71</v>
      </c>
      <c r="O814" t="s">
        <v>57</v>
      </c>
    </row>
    <row r="815" spans="1:15" x14ac:dyDescent="0.3">
      <c r="A815" t="s">
        <v>4575</v>
      </c>
      <c r="B815" t="s">
        <v>4574</v>
      </c>
      <c r="C815" t="s">
        <v>123</v>
      </c>
      <c r="D815">
        <v>15</v>
      </c>
      <c r="E815" t="s">
        <v>132</v>
      </c>
      <c r="F815" t="s">
        <v>85</v>
      </c>
      <c r="G815" s="8">
        <v>46070</v>
      </c>
      <c r="H815" s="8">
        <v>46075</v>
      </c>
      <c r="I815" t="s">
        <v>8900</v>
      </c>
      <c r="J815" t="s">
        <v>4572</v>
      </c>
      <c r="K815" t="s">
        <v>64</v>
      </c>
      <c r="L815">
        <v>16563.990000000002</v>
      </c>
      <c r="M815">
        <v>133</v>
      </c>
      <c r="N815" t="s">
        <v>34</v>
      </c>
      <c r="O815" t="s">
        <v>26</v>
      </c>
    </row>
    <row r="816" spans="1:15" x14ac:dyDescent="0.3">
      <c r="A816" t="s">
        <v>4571</v>
      </c>
      <c r="B816" t="s">
        <v>4570</v>
      </c>
      <c r="C816" t="s">
        <v>40</v>
      </c>
      <c r="D816">
        <v>9</v>
      </c>
      <c r="E816" t="s">
        <v>39</v>
      </c>
      <c r="F816" t="s">
        <v>30</v>
      </c>
      <c r="G816" s="8">
        <v>46145</v>
      </c>
      <c r="H816" s="8">
        <v>46174</v>
      </c>
      <c r="I816" t="s">
        <v>8901</v>
      </c>
      <c r="J816" t="s">
        <v>4568</v>
      </c>
      <c r="K816" t="s">
        <v>64</v>
      </c>
      <c r="L816">
        <v>22048.880000000001</v>
      </c>
      <c r="M816">
        <v>198</v>
      </c>
      <c r="N816" t="s">
        <v>50</v>
      </c>
      <c r="O816" t="s">
        <v>63</v>
      </c>
    </row>
    <row r="817" spans="1:15" x14ac:dyDescent="0.3">
      <c r="A817" t="s">
        <v>4563</v>
      </c>
      <c r="B817" t="s">
        <v>4562</v>
      </c>
      <c r="C817" t="s">
        <v>123</v>
      </c>
      <c r="D817">
        <v>53</v>
      </c>
      <c r="E817" t="s">
        <v>132</v>
      </c>
      <c r="F817" t="s">
        <v>20</v>
      </c>
      <c r="G817" s="8">
        <v>45979</v>
      </c>
      <c r="H817" s="8">
        <v>46000</v>
      </c>
      <c r="I817" t="s">
        <v>8902</v>
      </c>
      <c r="J817" t="s">
        <v>4560</v>
      </c>
      <c r="K817" t="s">
        <v>123</v>
      </c>
      <c r="L817">
        <v>12490.25</v>
      </c>
      <c r="M817">
        <v>469</v>
      </c>
      <c r="N817" t="s">
        <v>71</v>
      </c>
      <c r="O817" t="s">
        <v>27</v>
      </c>
    </row>
    <row r="818" spans="1:15" x14ac:dyDescent="0.3">
      <c r="A818" t="s">
        <v>4559</v>
      </c>
      <c r="B818" t="s">
        <v>4558</v>
      </c>
      <c r="C818" t="s">
        <v>40</v>
      </c>
      <c r="D818">
        <v>36</v>
      </c>
      <c r="E818" t="s">
        <v>54</v>
      </c>
      <c r="F818" t="s">
        <v>85</v>
      </c>
      <c r="G818" s="8">
        <v>46074</v>
      </c>
      <c r="H818" s="8">
        <v>46084</v>
      </c>
      <c r="I818" t="s">
        <v>8903</v>
      </c>
      <c r="J818" t="s">
        <v>4556</v>
      </c>
      <c r="K818" t="s">
        <v>27</v>
      </c>
      <c r="L818">
        <v>9918.1</v>
      </c>
      <c r="M818">
        <v>141</v>
      </c>
      <c r="N818" t="s">
        <v>34</v>
      </c>
      <c r="O818" t="s">
        <v>17</v>
      </c>
    </row>
    <row r="819" spans="1:15" x14ac:dyDescent="0.3">
      <c r="A819" t="s">
        <v>4555</v>
      </c>
      <c r="B819" t="s">
        <v>4554</v>
      </c>
      <c r="C819" t="s">
        <v>40</v>
      </c>
      <c r="D819">
        <v>29</v>
      </c>
      <c r="E819" t="s">
        <v>54</v>
      </c>
      <c r="F819" t="s">
        <v>20</v>
      </c>
      <c r="G819" s="8">
        <v>46083</v>
      </c>
      <c r="H819" s="8">
        <v>46112</v>
      </c>
      <c r="I819" t="s">
        <v>8904</v>
      </c>
      <c r="J819" t="s">
        <v>4552</v>
      </c>
      <c r="K819" t="s">
        <v>64</v>
      </c>
      <c r="L819">
        <v>5082.55</v>
      </c>
      <c r="M819">
        <v>259</v>
      </c>
      <c r="N819" t="s">
        <v>77</v>
      </c>
      <c r="O819" t="s">
        <v>17</v>
      </c>
    </row>
    <row r="820" spans="1:15" x14ac:dyDescent="0.3">
      <c r="A820" t="s">
        <v>4551</v>
      </c>
      <c r="B820" t="s">
        <v>4550</v>
      </c>
      <c r="C820" t="s">
        <v>74</v>
      </c>
      <c r="D820">
        <v>4</v>
      </c>
      <c r="E820" t="s">
        <v>68</v>
      </c>
      <c r="F820" t="s">
        <v>67</v>
      </c>
      <c r="G820" s="8">
        <v>46112</v>
      </c>
      <c r="H820" s="8">
        <v>46137</v>
      </c>
      <c r="I820" t="s">
        <v>8905</v>
      </c>
      <c r="J820" t="s">
        <v>4548</v>
      </c>
      <c r="K820" t="s">
        <v>27</v>
      </c>
      <c r="L820">
        <v>14894.76</v>
      </c>
      <c r="M820">
        <v>530</v>
      </c>
      <c r="N820" t="s">
        <v>43</v>
      </c>
      <c r="O820" t="s">
        <v>17</v>
      </c>
    </row>
    <row r="821" spans="1:15" x14ac:dyDescent="0.3">
      <c r="A821" t="s">
        <v>4547</v>
      </c>
      <c r="B821" t="s">
        <v>4546</v>
      </c>
      <c r="C821" t="s">
        <v>74</v>
      </c>
      <c r="D821">
        <v>14</v>
      </c>
      <c r="E821" t="s">
        <v>68</v>
      </c>
      <c r="F821" t="s">
        <v>8077</v>
      </c>
      <c r="G821" s="8">
        <v>46049</v>
      </c>
      <c r="H821" s="8">
        <v>46079</v>
      </c>
      <c r="I821" t="s">
        <v>8906</v>
      </c>
      <c r="J821" t="s">
        <v>4544</v>
      </c>
      <c r="K821" t="s">
        <v>64</v>
      </c>
      <c r="L821">
        <v>20846.43</v>
      </c>
      <c r="M821">
        <v>366</v>
      </c>
      <c r="N821" t="s">
        <v>50</v>
      </c>
      <c r="O821" t="s">
        <v>17</v>
      </c>
    </row>
    <row r="822" spans="1:15" x14ac:dyDescent="0.3">
      <c r="A822" t="s">
        <v>4543</v>
      </c>
      <c r="B822" t="s">
        <v>4542</v>
      </c>
      <c r="C822" t="s">
        <v>74</v>
      </c>
      <c r="D822">
        <v>10</v>
      </c>
      <c r="E822" t="s">
        <v>68</v>
      </c>
      <c r="F822" t="s">
        <v>20</v>
      </c>
      <c r="G822" s="8">
        <v>46077</v>
      </c>
      <c r="H822" s="8">
        <v>46097</v>
      </c>
      <c r="I822" t="s">
        <v>8230</v>
      </c>
      <c r="J822" t="s">
        <v>4541</v>
      </c>
      <c r="K822" t="s">
        <v>123</v>
      </c>
      <c r="L822">
        <v>14557.57</v>
      </c>
      <c r="M822">
        <v>131</v>
      </c>
      <c r="N822" t="s">
        <v>77</v>
      </c>
      <c r="O822" t="s">
        <v>64</v>
      </c>
    </row>
    <row r="823" spans="1:15" x14ac:dyDescent="0.3">
      <c r="A823" t="s">
        <v>4540</v>
      </c>
      <c r="B823" t="s">
        <v>4539</v>
      </c>
      <c r="C823" t="s">
        <v>123</v>
      </c>
      <c r="D823">
        <v>41</v>
      </c>
      <c r="E823" t="s">
        <v>80</v>
      </c>
      <c r="F823" t="s">
        <v>20</v>
      </c>
      <c r="G823" s="8">
        <v>46123</v>
      </c>
      <c r="H823" s="8">
        <v>46124</v>
      </c>
      <c r="I823" t="s">
        <v>8907</v>
      </c>
      <c r="J823" t="s">
        <v>4537</v>
      </c>
      <c r="K823" t="s">
        <v>123</v>
      </c>
      <c r="L823">
        <v>1558.76</v>
      </c>
      <c r="M823">
        <v>133</v>
      </c>
      <c r="N823" t="s">
        <v>77</v>
      </c>
      <c r="O823" t="s">
        <v>123</v>
      </c>
    </row>
    <row r="824" spans="1:15" x14ac:dyDescent="0.3">
      <c r="A824" t="s">
        <v>4536</v>
      </c>
      <c r="B824" t="s">
        <v>4535</v>
      </c>
      <c r="C824" t="s">
        <v>40</v>
      </c>
      <c r="D824">
        <v>72</v>
      </c>
      <c r="E824" t="s">
        <v>47</v>
      </c>
      <c r="F824" t="s">
        <v>30</v>
      </c>
      <c r="G824" s="8">
        <v>46046</v>
      </c>
      <c r="H824" s="8">
        <v>46073</v>
      </c>
      <c r="I824" t="s">
        <v>8908</v>
      </c>
      <c r="J824" t="s">
        <v>4533</v>
      </c>
      <c r="K824" t="s">
        <v>123</v>
      </c>
      <c r="L824">
        <v>10161.74</v>
      </c>
      <c r="M824">
        <v>219</v>
      </c>
      <c r="N824" t="s">
        <v>50</v>
      </c>
      <c r="O824" t="s">
        <v>123</v>
      </c>
    </row>
    <row r="825" spans="1:15" x14ac:dyDescent="0.3">
      <c r="A825" t="s">
        <v>4532</v>
      </c>
      <c r="B825" t="s">
        <v>4531</v>
      </c>
      <c r="C825" t="s">
        <v>40</v>
      </c>
      <c r="D825">
        <v>59</v>
      </c>
      <c r="E825" t="s">
        <v>54</v>
      </c>
      <c r="F825" t="s">
        <v>85</v>
      </c>
      <c r="G825" s="8">
        <v>46131</v>
      </c>
      <c r="H825" s="8">
        <v>46156</v>
      </c>
      <c r="I825" t="s">
        <v>8909</v>
      </c>
      <c r="J825" t="s">
        <v>4529</v>
      </c>
      <c r="K825" t="s">
        <v>123</v>
      </c>
      <c r="L825">
        <v>22022.47</v>
      </c>
      <c r="M825">
        <v>273</v>
      </c>
      <c r="N825" t="s">
        <v>25</v>
      </c>
      <c r="O825" t="s">
        <v>64</v>
      </c>
    </row>
    <row r="826" spans="1:15" x14ac:dyDescent="0.3">
      <c r="A826" t="s">
        <v>4528</v>
      </c>
      <c r="B826" t="s">
        <v>4527</v>
      </c>
      <c r="C826" t="s">
        <v>40</v>
      </c>
      <c r="D826">
        <v>59</v>
      </c>
      <c r="E826" t="s">
        <v>31</v>
      </c>
      <c r="F826" t="s">
        <v>8077</v>
      </c>
      <c r="G826" s="8">
        <v>45981</v>
      </c>
      <c r="H826" s="8">
        <v>45984</v>
      </c>
      <c r="I826" t="s">
        <v>8910</v>
      </c>
      <c r="J826" t="s">
        <v>4525</v>
      </c>
      <c r="K826" t="s">
        <v>64</v>
      </c>
      <c r="L826">
        <v>504.76</v>
      </c>
      <c r="M826">
        <v>403</v>
      </c>
      <c r="N826" t="s">
        <v>50</v>
      </c>
      <c r="O826" t="s">
        <v>64</v>
      </c>
    </row>
    <row r="827" spans="1:15" x14ac:dyDescent="0.3">
      <c r="A827" t="s">
        <v>4524</v>
      </c>
      <c r="B827" t="s">
        <v>4523</v>
      </c>
      <c r="C827" t="s">
        <v>74</v>
      </c>
      <c r="D827">
        <v>74</v>
      </c>
      <c r="E827" t="s">
        <v>39</v>
      </c>
      <c r="F827" t="s">
        <v>30</v>
      </c>
      <c r="G827" s="8">
        <v>45991</v>
      </c>
      <c r="H827" s="8">
        <v>46002</v>
      </c>
      <c r="I827" t="s">
        <v>8911</v>
      </c>
      <c r="J827" t="s">
        <v>4521</v>
      </c>
      <c r="K827" t="s">
        <v>123</v>
      </c>
      <c r="L827">
        <v>12138.7</v>
      </c>
      <c r="M827" t="s">
        <v>123</v>
      </c>
      <c r="N827" t="s">
        <v>71</v>
      </c>
      <c r="O827" t="s">
        <v>123</v>
      </c>
    </row>
    <row r="828" spans="1:15" x14ac:dyDescent="0.3">
      <c r="A828" t="s">
        <v>4520</v>
      </c>
      <c r="B828" t="s">
        <v>4519</v>
      </c>
      <c r="C828" t="s">
        <v>40</v>
      </c>
      <c r="D828">
        <v>6</v>
      </c>
      <c r="E828" t="s">
        <v>47</v>
      </c>
      <c r="F828" t="s">
        <v>20</v>
      </c>
      <c r="G828" s="8">
        <v>46085</v>
      </c>
      <c r="H828" s="8">
        <v>46094</v>
      </c>
      <c r="I828" t="s">
        <v>8912</v>
      </c>
      <c r="J828" t="s">
        <v>4517</v>
      </c>
      <c r="K828" t="s">
        <v>123</v>
      </c>
      <c r="L828">
        <v>12925.52</v>
      </c>
      <c r="M828">
        <v>259</v>
      </c>
      <c r="N828" t="s">
        <v>34</v>
      </c>
      <c r="O828" t="s">
        <v>17</v>
      </c>
    </row>
    <row r="829" spans="1:15" x14ac:dyDescent="0.3">
      <c r="A829" t="s">
        <v>4516</v>
      </c>
      <c r="B829" t="s">
        <v>4515</v>
      </c>
      <c r="C829" t="s">
        <v>40</v>
      </c>
      <c r="D829">
        <v>19</v>
      </c>
      <c r="E829" t="s">
        <v>68</v>
      </c>
      <c r="F829" t="s">
        <v>30</v>
      </c>
      <c r="G829" s="8">
        <v>46000</v>
      </c>
      <c r="H829" s="8">
        <v>46019</v>
      </c>
      <c r="I829" t="s">
        <v>8913</v>
      </c>
      <c r="J829" t="s">
        <v>4513</v>
      </c>
      <c r="K829" t="s">
        <v>64</v>
      </c>
      <c r="L829">
        <v>7418.39</v>
      </c>
      <c r="M829">
        <v>365</v>
      </c>
      <c r="N829" t="s">
        <v>34</v>
      </c>
      <c r="O829" t="s">
        <v>27</v>
      </c>
    </row>
    <row r="830" spans="1:15" x14ac:dyDescent="0.3">
      <c r="A830" t="s">
        <v>4512</v>
      </c>
      <c r="B830" t="s">
        <v>4511</v>
      </c>
      <c r="C830" t="s">
        <v>40</v>
      </c>
      <c r="D830">
        <v>8</v>
      </c>
      <c r="E830" t="s">
        <v>21</v>
      </c>
      <c r="F830" t="s">
        <v>46</v>
      </c>
      <c r="G830" s="8">
        <v>46037</v>
      </c>
      <c r="H830" s="8">
        <v>46050</v>
      </c>
      <c r="I830" t="s">
        <v>8914</v>
      </c>
      <c r="J830" t="s">
        <v>4509</v>
      </c>
      <c r="K830" t="s">
        <v>64</v>
      </c>
      <c r="L830">
        <v>5046.1000000000004</v>
      </c>
      <c r="M830">
        <v>427</v>
      </c>
      <c r="N830" t="s">
        <v>71</v>
      </c>
      <c r="O830" t="s">
        <v>57</v>
      </c>
    </row>
    <row r="831" spans="1:15" x14ac:dyDescent="0.3">
      <c r="A831" t="s">
        <v>4508</v>
      </c>
      <c r="B831" t="s">
        <v>4507</v>
      </c>
      <c r="C831" t="s">
        <v>74</v>
      </c>
      <c r="D831">
        <v>44</v>
      </c>
      <c r="E831" t="s">
        <v>21</v>
      </c>
      <c r="F831" t="s">
        <v>85</v>
      </c>
      <c r="G831" s="8">
        <v>46098</v>
      </c>
      <c r="H831" s="8">
        <v>46120</v>
      </c>
      <c r="I831" t="s">
        <v>8915</v>
      </c>
      <c r="J831" t="s">
        <v>4505</v>
      </c>
      <c r="K831" t="s">
        <v>123</v>
      </c>
      <c r="L831">
        <v>15074.11</v>
      </c>
      <c r="M831">
        <v>536</v>
      </c>
      <c r="N831" t="s">
        <v>34</v>
      </c>
      <c r="O831" t="s">
        <v>17</v>
      </c>
    </row>
    <row r="832" spans="1:15" x14ac:dyDescent="0.3">
      <c r="A832" t="s">
        <v>4504</v>
      </c>
      <c r="B832" t="s">
        <v>4503</v>
      </c>
      <c r="C832" t="s">
        <v>74</v>
      </c>
      <c r="D832">
        <v>79</v>
      </c>
      <c r="E832" t="s">
        <v>132</v>
      </c>
      <c r="F832" t="s">
        <v>67</v>
      </c>
      <c r="G832" s="8">
        <v>46071</v>
      </c>
      <c r="H832" s="8">
        <v>46081</v>
      </c>
      <c r="I832" t="s">
        <v>8916</v>
      </c>
      <c r="J832" t="s">
        <v>123</v>
      </c>
      <c r="K832" t="s">
        <v>27</v>
      </c>
      <c r="L832">
        <v>2800.23</v>
      </c>
      <c r="M832">
        <v>353</v>
      </c>
      <c r="N832" t="s">
        <v>71</v>
      </c>
      <c r="O832" t="s">
        <v>27</v>
      </c>
    </row>
    <row r="833" spans="1:15" x14ac:dyDescent="0.3">
      <c r="A833" t="s">
        <v>4501</v>
      </c>
      <c r="B833" t="s">
        <v>4500</v>
      </c>
      <c r="C833" t="s">
        <v>40</v>
      </c>
      <c r="D833">
        <v>82</v>
      </c>
      <c r="E833" t="s">
        <v>21</v>
      </c>
      <c r="F833" t="s">
        <v>8077</v>
      </c>
      <c r="G833" s="8">
        <v>45982</v>
      </c>
      <c r="H833" s="8">
        <v>45996</v>
      </c>
      <c r="I833" t="s">
        <v>8917</v>
      </c>
      <c r="J833" t="s">
        <v>4498</v>
      </c>
      <c r="K833" t="s">
        <v>64</v>
      </c>
      <c r="L833">
        <v>6127.67</v>
      </c>
      <c r="M833">
        <v>513</v>
      </c>
      <c r="N833" t="s">
        <v>25</v>
      </c>
      <c r="O833" t="s">
        <v>17</v>
      </c>
    </row>
    <row r="834" spans="1:15" x14ac:dyDescent="0.3">
      <c r="A834" t="s">
        <v>4497</v>
      </c>
      <c r="B834" t="s">
        <v>4496</v>
      </c>
      <c r="C834" t="s">
        <v>123</v>
      </c>
      <c r="D834">
        <v>27</v>
      </c>
      <c r="E834" t="s">
        <v>54</v>
      </c>
      <c r="F834" t="s">
        <v>20</v>
      </c>
      <c r="G834" s="8">
        <v>46123</v>
      </c>
      <c r="H834" s="8">
        <v>46149</v>
      </c>
      <c r="I834" t="s">
        <v>8918</v>
      </c>
      <c r="J834" t="s">
        <v>4494</v>
      </c>
      <c r="K834" t="s">
        <v>27</v>
      </c>
      <c r="L834">
        <v>9197.8700000000008</v>
      </c>
      <c r="M834">
        <v>283</v>
      </c>
      <c r="N834" t="s">
        <v>77</v>
      </c>
      <c r="O834" t="s">
        <v>64</v>
      </c>
    </row>
    <row r="835" spans="1:15" x14ac:dyDescent="0.3">
      <c r="A835" t="s">
        <v>4493</v>
      </c>
      <c r="B835" t="s">
        <v>4492</v>
      </c>
      <c r="C835" t="s">
        <v>74</v>
      </c>
      <c r="D835">
        <v>19</v>
      </c>
      <c r="E835" t="s">
        <v>132</v>
      </c>
      <c r="F835" t="s">
        <v>85</v>
      </c>
      <c r="G835" s="8">
        <v>45981</v>
      </c>
      <c r="H835" s="8">
        <v>45987</v>
      </c>
      <c r="I835" t="s">
        <v>8919</v>
      </c>
      <c r="J835" t="s">
        <v>4490</v>
      </c>
      <c r="K835" t="s">
        <v>64</v>
      </c>
      <c r="L835">
        <v>1288.8399999999999</v>
      </c>
      <c r="M835">
        <v>201</v>
      </c>
      <c r="N835" t="s">
        <v>71</v>
      </c>
      <c r="O835" t="s">
        <v>27</v>
      </c>
    </row>
    <row r="836" spans="1:15" x14ac:dyDescent="0.3">
      <c r="A836" t="s">
        <v>4489</v>
      </c>
      <c r="B836" t="s">
        <v>4488</v>
      </c>
      <c r="C836" t="s">
        <v>40</v>
      </c>
      <c r="D836">
        <v>23</v>
      </c>
      <c r="E836" t="s">
        <v>21</v>
      </c>
      <c r="F836" t="s">
        <v>30</v>
      </c>
      <c r="G836" s="8">
        <v>46089</v>
      </c>
      <c r="H836" s="8">
        <v>46112</v>
      </c>
      <c r="I836" t="s">
        <v>8920</v>
      </c>
      <c r="J836" t="s">
        <v>4486</v>
      </c>
      <c r="K836" t="s">
        <v>27</v>
      </c>
      <c r="L836">
        <v>8627.4699999999993</v>
      </c>
      <c r="M836">
        <v>191</v>
      </c>
      <c r="N836" t="s">
        <v>71</v>
      </c>
      <c r="O836" t="s">
        <v>57</v>
      </c>
    </row>
    <row r="837" spans="1:15" x14ac:dyDescent="0.3">
      <c r="A837" t="s">
        <v>4481</v>
      </c>
      <c r="B837" t="s">
        <v>4480</v>
      </c>
      <c r="C837" t="s">
        <v>40</v>
      </c>
      <c r="D837">
        <v>59</v>
      </c>
      <c r="E837" t="s">
        <v>21</v>
      </c>
      <c r="F837" t="s">
        <v>67</v>
      </c>
      <c r="G837" s="8">
        <v>46016</v>
      </c>
      <c r="H837" s="8">
        <v>46041</v>
      </c>
      <c r="I837" t="s">
        <v>8921</v>
      </c>
      <c r="J837" t="s">
        <v>4478</v>
      </c>
      <c r="K837" t="s">
        <v>64</v>
      </c>
      <c r="L837">
        <v>16590.54</v>
      </c>
      <c r="M837">
        <v>549</v>
      </c>
      <c r="N837" t="s">
        <v>25</v>
      </c>
      <c r="O837" t="s">
        <v>123</v>
      </c>
    </row>
    <row r="838" spans="1:15" x14ac:dyDescent="0.3">
      <c r="A838" t="s">
        <v>4477</v>
      </c>
      <c r="B838" t="s">
        <v>4476</v>
      </c>
      <c r="C838" t="s">
        <v>74</v>
      </c>
      <c r="D838">
        <v>16</v>
      </c>
      <c r="E838" t="s">
        <v>39</v>
      </c>
      <c r="F838" t="s">
        <v>20</v>
      </c>
      <c r="G838" s="8">
        <v>46123</v>
      </c>
      <c r="H838" s="8">
        <v>46148</v>
      </c>
      <c r="I838" t="s">
        <v>8922</v>
      </c>
      <c r="J838" t="s">
        <v>4474</v>
      </c>
      <c r="K838" t="s">
        <v>64</v>
      </c>
      <c r="L838">
        <v>4953.7</v>
      </c>
      <c r="M838">
        <v>455</v>
      </c>
      <c r="N838" t="s">
        <v>43</v>
      </c>
      <c r="O838" t="s">
        <v>123</v>
      </c>
    </row>
    <row r="839" spans="1:15" x14ac:dyDescent="0.3">
      <c r="A839" t="s">
        <v>4473</v>
      </c>
      <c r="B839" t="s">
        <v>4472</v>
      </c>
      <c r="C839" t="s">
        <v>74</v>
      </c>
      <c r="D839">
        <v>77</v>
      </c>
      <c r="E839" t="s">
        <v>54</v>
      </c>
      <c r="F839" t="s">
        <v>8077</v>
      </c>
      <c r="G839" s="8">
        <v>46143</v>
      </c>
      <c r="H839" s="8">
        <v>46172</v>
      </c>
      <c r="I839" t="s">
        <v>8923</v>
      </c>
      <c r="J839" t="s">
        <v>4470</v>
      </c>
      <c r="K839" t="s">
        <v>27</v>
      </c>
      <c r="L839">
        <v>19124.439999999999</v>
      </c>
      <c r="M839">
        <v>537</v>
      </c>
      <c r="N839" t="s">
        <v>34</v>
      </c>
      <c r="O839" t="s">
        <v>57</v>
      </c>
    </row>
    <row r="840" spans="1:15" x14ac:dyDescent="0.3">
      <c r="A840" t="s">
        <v>4469</v>
      </c>
      <c r="B840" t="s">
        <v>4468</v>
      </c>
      <c r="C840" t="s">
        <v>40</v>
      </c>
      <c r="D840">
        <v>20</v>
      </c>
      <c r="E840" t="s">
        <v>31</v>
      </c>
      <c r="F840" t="s">
        <v>8077</v>
      </c>
      <c r="G840" s="8">
        <v>46000</v>
      </c>
      <c r="H840" s="8">
        <v>46001</v>
      </c>
      <c r="I840" t="s">
        <v>8924</v>
      </c>
      <c r="J840" t="s">
        <v>4466</v>
      </c>
      <c r="K840" t="s">
        <v>27</v>
      </c>
      <c r="L840">
        <v>21846.720000000001</v>
      </c>
      <c r="M840">
        <v>207</v>
      </c>
      <c r="N840" t="s">
        <v>25</v>
      </c>
      <c r="O840" t="s">
        <v>123</v>
      </c>
    </row>
    <row r="841" spans="1:15" x14ac:dyDescent="0.3">
      <c r="A841" t="s">
        <v>4465</v>
      </c>
      <c r="B841" t="s">
        <v>4464</v>
      </c>
      <c r="C841" t="s">
        <v>74</v>
      </c>
      <c r="D841">
        <v>61</v>
      </c>
      <c r="E841" t="s">
        <v>80</v>
      </c>
      <c r="F841" t="s">
        <v>20</v>
      </c>
      <c r="G841" s="8">
        <v>46023</v>
      </c>
      <c r="H841" s="8">
        <v>46039</v>
      </c>
      <c r="I841" t="s">
        <v>8925</v>
      </c>
      <c r="J841" t="s">
        <v>4462</v>
      </c>
      <c r="K841" t="s">
        <v>123</v>
      </c>
      <c r="L841">
        <v>18832.439999999999</v>
      </c>
      <c r="M841">
        <v>355</v>
      </c>
      <c r="N841" t="s">
        <v>34</v>
      </c>
      <c r="O841" t="s">
        <v>17</v>
      </c>
    </row>
    <row r="842" spans="1:15" x14ac:dyDescent="0.3">
      <c r="A842" t="s">
        <v>4461</v>
      </c>
      <c r="B842" t="s">
        <v>4460</v>
      </c>
      <c r="C842" t="s">
        <v>123</v>
      </c>
      <c r="D842">
        <v>23</v>
      </c>
      <c r="E842" t="s">
        <v>31</v>
      </c>
      <c r="F842" t="s">
        <v>67</v>
      </c>
      <c r="G842" s="8">
        <v>45982</v>
      </c>
      <c r="H842" s="8">
        <v>45998</v>
      </c>
      <c r="I842" t="s">
        <v>8926</v>
      </c>
      <c r="J842" t="s">
        <v>4458</v>
      </c>
      <c r="K842" t="s">
        <v>123</v>
      </c>
      <c r="L842">
        <v>17948.12</v>
      </c>
      <c r="M842">
        <v>342</v>
      </c>
      <c r="N842" t="s">
        <v>43</v>
      </c>
      <c r="O842" t="s">
        <v>123</v>
      </c>
    </row>
    <row r="843" spans="1:15" x14ac:dyDescent="0.3">
      <c r="A843" t="s">
        <v>4457</v>
      </c>
      <c r="B843" t="s">
        <v>4456</v>
      </c>
      <c r="C843" t="s">
        <v>123</v>
      </c>
      <c r="D843">
        <v>82</v>
      </c>
      <c r="E843" t="s">
        <v>47</v>
      </c>
      <c r="F843" t="s">
        <v>8077</v>
      </c>
      <c r="G843" s="8">
        <v>46017</v>
      </c>
      <c r="H843" s="8">
        <v>46024</v>
      </c>
      <c r="I843" t="s">
        <v>8927</v>
      </c>
      <c r="J843" t="s">
        <v>4454</v>
      </c>
      <c r="K843" t="s">
        <v>64</v>
      </c>
      <c r="L843">
        <v>11411.59</v>
      </c>
      <c r="M843">
        <v>302</v>
      </c>
      <c r="N843" t="s">
        <v>71</v>
      </c>
      <c r="O843" t="s">
        <v>57</v>
      </c>
    </row>
    <row r="844" spans="1:15" x14ac:dyDescent="0.3">
      <c r="A844" t="s">
        <v>4453</v>
      </c>
      <c r="B844" t="s">
        <v>4452</v>
      </c>
      <c r="C844" t="s">
        <v>40</v>
      </c>
      <c r="D844">
        <v>55</v>
      </c>
      <c r="E844" t="s">
        <v>54</v>
      </c>
      <c r="F844" t="s">
        <v>20</v>
      </c>
      <c r="G844" s="8">
        <v>46039</v>
      </c>
      <c r="H844" s="8">
        <v>46068</v>
      </c>
      <c r="I844" t="s">
        <v>8928</v>
      </c>
      <c r="J844" t="s">
        <v>4450</v>
      </c>
      <c r="K844" t="s">
        <v>64</v>
      </c>
      <c r="L844">
        <v>6512.33</v>
      </c>
      <c r="M844">
        <v>168</v>
      </c>
      <c r="N844" t="s">
        <v>50</v>
      </c>
      <c r="O844" t="s">
        <v>64</v>
      </c>
    </row>
    <row r="845" spans="1:15" x14ac:dyDescent="0.3">
      <c r="A845" t="s">
        <v>4449</v>
      </c>
      <c r="B845" t="s">
        <v>4448</v>
      </c>
      <c r="C845" t="s">
        <v>74</v>
      </c>
      <c r="D845">
        <v>38</v>
      </c>
      <c r="E845" t="s">
        <v>68</v>
      </c>
      <c r="F845" t="s">
        <v>67</v>
      </c>
      <c r="G845" s="8">
        <v>46137</v>
      </c>
      <c r="H845" s="8">
        <v>46144</v>
      </c>
      <c r="I845" t="s">
        <v>8929</v>
      </c>
      <c r="J845" t="s">
        <v>4446</v>
      </c>
      <c r="K845" t="s">
        <v>27</v>
      </c>
      <c r="L845">
        <v>11738.28</v>
      </c>
      <c r="M845">
        <v>318</v>
      </c>
      <c r="N845" t="s">
        <v>16</v>
      </c>
      <c r="O845" t="s">
        <v>17</v>
      </c>
    </row>
    <row r="846" spans="1:15" x14ac:dyDescent="0.3">
      <c r="A846" t="s">
        <v>4445</v>
      </c>
      <c r="B846" t="s">
        <v>4444</v>
      </c>
      <c r="C846" t="s">
        <v>123</v>
      </c>
      <c r="D846">
        <v>56</v>
      </c>
      <c r="E846" t="s">
        <v>54</v>
      </c>
      <c r="F846" t="s">
        <v>67</v>
      </c>
      <c r="G846" s="8">
        <v>46127</v>
      </c>
      <c r="H846" s="8">
        <v>46152</v>
      </c>
      <c r="I846" t="s">
        <v>8930</v>
      </c>
      <c r="J846" t="s">
        <v>4442</v>
      </c>
      <c r="K846" t="s">
        <v>123</v>
      </c>
      <c r="L846">
        <v>8062.11</v>
      </c>
      <c r="M846">
        <v>112</v>
      </c>
      <c r="N846" t="s">
        <v>71</v>
      </c>
      <c r="O846" t="s">
        <v>123</v>
      </c>
    </row>
    <row r="847" spans="1:15" x14ac:dyDescent="0.3">
      <c r="A847" t="s">
        <v>4441</v>
      </c>
      <c r="B847" t="s">
        <v>4440</v>
      </c>
      <c r="C847" t="s">
        <v>123</v>
      </c>
      <c r="D847">
        <v>30</v>
      </c>
      <c r="E847" t="s">
        <v>132</v>
      </c>
      <c r="F847" t="s">
        <v>20</v>
      </c>
      <c r="G847" s="8">
        <v>45998</v>
      </c>
      <c r="H847" s="8">
        <v>46009</v>
      </c>
      <c r="I847" t="s">
        <v>8931</v>
      </c>
      <c r="J847" t="s">
        <v>4438</v>
      </c>
      <c r="K847" t="s">
        <v>64</v>
      </c>
      <c r="L847">
        <v>7504.04</v>
      </c>
      <c r="M847">
        <v>502</v>
      </c>
      <c r="N847" t="s">
        <v>43</v>
      </c>
      <c r="O847" t="s">
        <v>64</v>
      </c>
    </row>
    <row r="848" spans="1:15" x14ac:dyDescent="0.3">
      <c r="A848" t="s">
        <v>4437</v>
      </c>
      <c r="B848" t="s">
        <v>4436</v>
      </c>
      <c r="C848" t="s">
        <v>74</v>
      </c>
      <c r="D848">
        <v>13</v>
      </c>
      <c r="E848" t="s">
        <v>80</v>
      </c>
      <c r="F848" t="s">
        <v>20</v>
      </c>
      <c r="G848" s="8">
        <v>45996</v>
      </c>
      <c r="H848" s="8">
        <v>46007</v>
      </c>
      <c r="I848" t="s">
        <v>8932</v>
      </c>
      <c r="J848" t="s">
        <v>4434</v>
      </c>
      <c r="K848" t="s">
        <v>27</v>
      </c>
      <c r="L848">
        <v>13741.45</v>
      </c>
      <c r="M848">
        <v>200</v>
      </c>
      <c r="N848" t="s">
        <v>25</v>
      </c>
      <c r="O848" t="s">
        <v>17</v>
      </c>
    </row>
    <row r="849" spans="1:15" x14ac:dyDescent="0.3">
      <c r="A849" t="s">
        <v>4433</v>
      </c>
      <c r="B849" t="s">
        <v>4432</v>
      </c>
      <c r="C849" t="s">
        <v>74</v>
      </c>
      <c r="D849">
        <v>33</v>
      </c>
      <c r="E849" t="s">
        <v>132</v>
      </c>
      <c r="F849" t="s">
        <v>30</v>
      </c>
      <c r="G849" s="8">
        <v>46080</v>
      </c>
      <c r="H849" s="8">
        <v>46086</v>
      </c>
      <c r="I849" t="s">
        <v>8933</v>
      </c>
      <c r="J849" t="s">
        <v>4430</v>
      </c>
      <c r="K849" t="s">
        <v>27</v>
      </c>
      <c r="L849">
        <v>24960.45</v>
      </c>
      <c r="M849">
        <v>104</v>
      </c>
      <c r="N849" t="s">
        <v>50</v>
      </c>
      <c r="O849" t="s">
        <v>63</v>
      </c>
    </row>
    <row r="850" spans="1:15" x14ac:dyDescent="0.3">
      <c r="A850" t="s">
        <v>4429</v>
      </c>
      <c r="B850" t="s">
        <v>4428</v>
      </c>
      <c r="C850" t="s">
        <v>40</v>
      </c>
      <c r="D850">
        <v>37</v>
      </c>
      <c r="E850" t="s">
        <v>31</v>
      </c>
      <c r="F850" t="s">
        <v>67</v>
      </c>
      <c r="G850" s="8">
        <v>46080</v>
      </c>
      <c r="H850" s="8">
        <v>46110</v>
      </c>
      <c r="I850" t="s">
        <v>8934</v>
      </c>
      <c r="J850" t="s">
        <v>4426</v>
      </c>
      <c r="K850" t="s">
        <v>123</v>
      </c>
      <c r="L850">
        <v>20582.16</v>
      </c>
      <c r="M850">
        <v>341</v>
      </c>
      <c r="N850" t="s">
        <v>25</v>
      </c>
      <c r="O850" t="s">
        <v>27</v>
      </c>
    </row>
    <row r="851" spans="1:15" x14ac:dyDescent="0.3">
      <c r="A851" t="s">
        <v>4425</v>
      </c>
      <c r="B851" t="s">
        <v>8054</v>
      </c>
      <c r="C851" t="s">
        <v>40</v>
      </c>
      <c r="D851">
        <v>51</v>
      </c>
      <c r="E851" t="s">
        <v>21</v>
      </c>
      <c r="F851" t="s">
        <v>8077</v>
      </c>
      <c r="G851" s="8">
        <v>46019</v>
      </c>
      <c r="H851" s="8">
        <v>46042</v>
      </c>
      <c r="I851" t="s">
        <v>8935</v>
      </c>
      <c r="J851" t="s">
        <v>4422</v>
      </c>
      <c r="K851" t="s">
        <v>64</v>
      </c>
      <c r="L851">
        <v>11966.07</v>
      </c>
      <c r="M851">
        <v>469</v>
      </c>
      <c r="N851" t="s">
        <v>50</v>
      </c>
      <c r="O851" t="s">
        <v>123</v>
      </c>
    </row>
    <row r="852" spans="1:15" x14ac:dyDescent="0.3">
      <c r="A852" t="s">
        <v>4421</v>
      </c>
      <c r="B852" t="s">
        <v>4420</v>
      </c>
      <c r="C852" t="s">
        <v>123</v>
      </c>
      <c r="D852">
        <v>44</v>
      </c>
      <c r="E852" t="s">
        <v>80</v>
      </c>
      <c r="F852" t="s">
        <v>67</v>
      </c>
      <c r="G852" s="8">
        <v>46038</v>
      </c>
      <c r="H852" s="8">
        <v>46065</v>
      </c>
      <c r="I852" t="s">
        <v>8936</v>
      </c>
      <c r="J852" t="s">
        <v>4418</v>
      </c>
      <c r="K852" t="s">
        <v>64</v>
      </c>
      <c r="L852">
        <v>10834.07</v>
      </c>
      <c r="M852">
        <v>207</v>
      </c>
      <c r="N852" t="s">
        <v>16</v>
      </c>
      <c r="O852" t="s">
        <v>123</v>
      </c>
    </row>
    <row r="853" spans="1:15" x14ac:dyDescent="0.3">
      <c r="A853" t="s">
        <v>4417</v>
      </c>
      <c r="B853" t="s">
        <v>4416</v>
      </c>
      <c r="C853" t="s">
        <v>123</v>
      </c>
      <c r="D853">
        <v>72</v>
      </c>
      <c r="E853" t="s">
        <v>47</v>
      </c>
      <c r="F853" t="s">
        <v>67</v>
      </c>
      <c r="G853" s="8">
        <v>46015</v>
      </c>
      <c r="H853" s="8">
        <v>46019</v>
      </c>
      <c r="I853" t="s">
        <v>8937</v>
      </c>
      <c r="J853" t="s">
        <v>4414</v>
      </c>
      <c r="K853" t="s">
        <v>27</v>
      </c>
      <c r="L853">
        <v>7778.18</v>
      </c>
      <c r="M853">
        <v>355</v>
      </c>
      <c r="N853" t="s">
        <v>50</v>
      </c>
      <c r="O853" t="s">
        <v>27</v>
      </c>
    </row>
    <row r="854" spans="1:15" x14ac:dyDescent="0.3">
      <c r="A854" t="s">
        <v>4413</v>
      </c>
      <c r="B854" t="s">
        <v>4412</v>
      </c>
      <c r="C854" t="s">
        <v>74</v>
      </c>
      <c r="D854">
        <v>44</v>
      </c>
      <c r="E854" t="s">
        <v>21</v>
      </c>
      <c r="F854" t="s">
        <v>67</v>
      </c>
      <c r="G854" s="8">
        <v>46072</v>
      </c>
      <c r="H854" s="8">
        <v>46085</v>
      </c>
      <c r="I854" t="s">
        <v>8938</v>
      </c>
      <c r="J854" t="s">
        <v>4410</v>
      </c>
      <c r="K854" t="s">
        <v>123</v>
      </c>
      <c r="L854">
        <v>19118.47</v>
      </c>
      <c r="M854">
        <v>266</v>
      </c>
      <c r="N854" t="s">
        <v>34</v>
      </c>
      <c r="O854" t="s">
        <v>63</v>
      </c>
    </row>
    <row r="855" spans="1:15" x14ac:dyDescent="0.3">
      <c r="A855" t="s">
        <v>4409</v>
      </c>
      <c r="B855" t="s">
        <v>4408</v>
      </c>
      <c r="C855" t="s">
        <v>40</v>
      </c>
      <c r="D855">
        <v>73</v>
      </c>
      <c r="E855" t="s">
        <v>47</v>
      </c>
      <c r="F855" t="s">
        <v>20</v>
      </c>
      <c r="G855" s="8">
        <v>46118</v>
      </c>
      <c r="H855" s="8">
        <v>46122</v>
      </c>
      <c r="I855" t="s">
        <v>8939</v>
      </c>
      <c r="J855" t="s">
        <v>4406</v>
      </c>
      <c r="K855" t="s">
        <v>64</v>
      </c>
      <c r="L855">
        <v>14291.13</v>
      </c>
      <c r="M855">
        <v>295</v>
      </c>
      <c r="N855" t="s">
        <v>71</v>
      </c>
      <c r="O855" t="s">
        <v>123</v>
      </c>
    </row>
    <row r="856" spans="1:15" x14ac:dyDescent="0.3">
      <c r="A856" t="s">
        <v>4405</v>
      </c>
      <c r="B856" t="s">
        <v>8055</v>
      </c>
      <c r="C856" t="s">
        <v>123</v>
      </c>
      <c r="D856">
        <v>9</v>
      </c>
      <c r="E856" t="s">
        <v>54</v>
      </c>
      <c r="F856" t="s">
        <v>8077</v>
      </c>
      <c r="G856" s="8">
        <v>46124</v>
      </c>
      <c r="H856" s="8">
        <v>46139</v>
      </c>
      <c r="I856" t="s">
        <v>8940</v>
      </c>
      <c r="J856" t="s">
        <v>4402</v>
      </c>
      <c r="K856" t="s">
        <v>64</v>
      </c>
      <c r="L856">
        <v>8355.27</v>
      </c>
      <c r="M856">
        <v>427</v>
      </c>
      <c r="N856" t="s">
        <v>43</v>
      </c>
      <c r="O856" t="s">
        <v>123</v>
      </c>
    </row>
    <row r="857" spans="1:15" x14ac:dyDescent="0.3">
      <c r="A857" t="s">
        <v>4401</v>
      </c>
      <c r="B857" t="s">
        <v>4400</v>
      </c>
      <c r="C857" t="s">
        <v>74</v>
      </c>
      <c r="D857">
        <v>22</v>
      </c>
      <c r="E857" t="s">
        <v>80</v>
      </c>
      <c r="F857" t="s">
        <v>20</v>
      </c>
      <c r="G857" s="8">
        <v>45979</v>
      </c>
      <c r="H857" s="8">
        <v>45980</v>
      </c>
      <c r="I857" t="s">
        <v>8941</v>
      </c>
      <c r="J857" t="s">
        <v>4398</v>
      </c>
      <c r="K857" t="s">
        <v>123</v>
      </c>
      <c r="L857">
        <v>865.59</v>
      </c>
      <c r="M857">
        <v>135</v>
      </c>
      <c r="N857" t="s">
        <v>16</v>
      </c>
      <c r="O857" t="s">
        <v>57</v>
      </c>
    </row>
    <row r="858" spans="1:15" x14ac:dyDescent="0.3">
      <c r="A858" t="s">
        <v>4397</v>
      </c>
      <c r="B858" t="s">
        <v>4396</v>
      </c>
      <c r="C858" t="s">
        <v>40</v>
      </c>
      <c r="D858">
        <v>27</v>
      </c>
      <c r="E858" t="s">
        <v>21</v>
      </c>
      <c r="F858" t="s">
        <v>30</v>
      </c>
      <c r="G858" s="8">
        <v>46002</v>
      </c>
      <c r="H858" s="8">
        <v>46023</v>
      </c>
      <c r="I858" t="s">
        <v>8942</v>
      </c>
      <c r="J858" t="s">
        <v>4394</v>
      </c>
      <c r="K858" t="s">
        <v>64</v>
      </c>
      <c r="L858">
        <v>11475.66</v>
      </c>
      <c r="M858">
        <v>365</v>
      </c>
      <c r="N858" t="s">
        <v>77</v>
      </c>
      <c r="O858" t="s">
        <v>17</v>
      </c>
    </row>
    <row r="859" spans="1:15" x14ac:dyDescent="0.3">
      <c r="A859" t="s">
        <v>4393</v>
      </c>
      <c r="B859" t="s">
        <v>4392</v>
      </c>
      <c r="C859" t="s">
        <v>40</v>
      </c>
      <c r="D859">
        <v>42</v>
      </c>
      <c r="E859" t="s">
        <v>54</v>
      </c>
      <c r="F859" t="s">
        <v>67</v>
      </c>
      <c r="G859" s="8">
        <v>46066</v>
      </c>
      <c r="H859" s="8">
        <v>46071</v>
      </c>
      <c r="I859" t="s">
        <v>8943</v>
      </c>
      <c r="J859" t="s">
        <v>4390</v>
      </c>
      <c r="K859" t="s">
        <v>64</v>
      </c>
      <c r="L859">
        <v>3402.61</v>
      </c>
      <c r="M859">
        <v>344</v>
      </c>
      <c r="N859" t="s">
        <v>25</v>
      </c>
      <c r="O859" t="s">
        <v>123</v>
      </c>
    </row>
    <row r="860" spans="1:15" x14ac:dyDescent="0.3">
      <c r="A860" t="s">
        <v>4389</v>
      </c>
      <c r="B860" t="s">
        <v>4388</v>
      </c>
      <c r="C860" t="s">
        <v>74</v>
      </c>
      <c r="D860">
        <v>50</v>
      </c>
      <c r="E860" t="s">
        <v>21</v>
      </c>
      <c r="F860" t="s">
        <v>20</v>
      </c>
      <c r="G860" s="8">
        <v>46077</v>
      </c>
      <c r="H860" s="8">
        <v>46104</v>
      </c>
      <c r="I860" t="s">
        <v>8944</v>
      </c>
      <c r="J860" t="s">
        <v>4386</v>
      </c>
      <c r="K860" t="s">
        <v>64</v>
      </c>
      <c r="L860">
        <v>7881.98</v>
      </c>
      <c r="M860">
        <v>181</v>
      </c>
      <c r="N860" t="s">
        <v>34</v>
      </c>
      <c r="O860" t="s">
        <v>123</v>
      </c>
    </row>
    <row r="861" spans="1:15" x14ac:dyDescent="0.3">
      <c r="A861" t="s">
        <v>4381</v>
      </c>
      <c r="B861" t="s">
        <v>4380</v>
      </c>
      <c r="C861" t="s">
        <v>123</v>
      </c>
      <c r="D861">
        <v>78</v>
      </c>
      <c r="E861" t="s">
        <v>21</v>
      </c>
      <c r="F861" t="s">
        <v>67</v>
      </c>
      <c r="G861" s="8">
        <v>46045</v>
      </c>
      <c r="H861" s="8">
        <v>46074</v>
      </c>
      <c r="I861" t="s">
        <v>8945</v>
      </c>
      <c r="J861" t="s">
        <v>4378</v>
      </c>
      <c r="K861" t="s">
        <v>123</v>
      </c>
      <c r="L861">
        <v>11613.07</v>
      </c>
      <c r="M861">
        <v>477</v>
      </c>
      <c r="N861" t="s">
        <v>77</v>
      </c>
      <c r="O861" t="s">
        <v>27</v>
      </c>
    </row>
    <row r="862" spans="1:15" x14ac:dyDescent="0.3">
      <c r="A862" t="s">
        <v>4377</v>
      </c>
      <c r="B862" t="s">
        <v>4376</v>
      </c>
      <c r="C862" t="s">
        <v>40</v>
      </c>
      <c r="D862">
        <v>83</v>
      </c>
      <c r="E862" t="s">
        <v>68</v>
      </c>
      <c r="F862" t="s">
        <v>67</v>
      </c>
      <c r="G862" s="8">
        <v>46138</v>
      </c>
      <c r="H862" s="8">
        <v>46160</v>
      </c>
      <c r="I862" t="s">
        <v>8946</v>
      </c>
      <c r="J862" t="s">
        <v>4374</v>
      </c>
      <c r="K862" t="s">
        <v>27</v>
      </c>
      <c r="L862">
        <v>9899.0400000000009</v>
      </c>
      <c r="M862">
        <v>312</v>
      </c>
      <c r="N862" t="s">
        <v>71</v>
      </c>
      <c r="O862" t="s">
        <v>26</v>
      </c>
    </row>
    <row r="863" spans="1:15" x14ac:dyDescent="0.3">
      <c r="A863" t="s">
        <v>4373</v>
      </c>
      <c r="B863" t="s">
        <v>4372</v>
      </c>
      <c r="C863" t="s">
        <v>40</v>
      </c>
      <c r="D863">
        <v>80</v>
      </c>
      <c r="E863" t="s">
        <v>54</v>
      </c>
      <c r="F863" t="s">
        <v>85</v>
      </c>
      <c r="G863" s="8">
        <v>46110</v>
      </c>
      <c r="H863" s="8">
        <v>46122</v>
      </c>
      <c r="I863" t="s">
        <v>8947</v>
      </c>
      <c r="J863" t="s">
        <v>4370</v>
      </c>
      <c r="K863" t="s">
        <v>27</v>
      </c>
      <c r="L863">
        <v>17523.349999999999</v>
      </c>
      <c r="M863">
        <v>301</v>
      </c>
      <c r="N863" t="s">
        <v>25</v>
      </c>
      <c r="O863" t="s">
        <v>64</v>
      </c>
    </row>
    <row r="864" spans="1:15" x14ac:dyDescent="0.3">
      <c r="A864" t="s">
        <v>4369</v>
      </c>
      <c r="B864" t="s">
        <v>4368</v>
      </c>
      <c r="C864" t="s">
        <v>40</v>
      </c>
      <c r="D864">
        <v>31</v>
      </c>
      <c r="E864" t="s">
        <v>39</v>
      </c>
      <c r="F864" t="s">
        <v>30</v>
      </c>
      <c r="G864" s="8">
        <v>46024</v>
      </c>
      <c r="H864" s="8">
        <v>46052</v>
      </c>
      <c r="I864" t="s">
        <v>8948</v>
      </c>
      <c r="J864" t="s">
        <v>4366</v>
      </c>
      <c r="K864" t="s">
        <v>27</v>
      </c>
      <c r="L864">
        <v>16733.09</v>
      </c>
      <c r="M864">
        <v>457</v>
      </c>
      <c r="N864" t="s">
        <v>25</v>
      </c>
      <c r="O864" t="s">
        <v>64</v>
      </c>
    </row>
    <row r="865" spans="1:15" x14ac:dyDescent="0.3">
      <c r="A865" t="s">
        <v>4365</v>
      </c>
      <c r="B865" t="s">
        <v>8056</v>
      </c>
      <c r="C865" t="s">
        <v>74</v>
      </c>
      <c r="D865">
        <v>64</v>
      </c>
      <c r="E865" t="s">
        <v>54</v>
      </c>
      <c r="F865" t="s">
        <v>20</v>
      </c>
      <c r="G865" s="8">
        <v>46085</v>
      </c>
      <c r="H865" s="8">
        <v>46096</v>
      </c>
      <c r="I865" t="s">
        <v>8949</v>
      </c>
      <c r="J865" t="s">
        <v>4362</v>
      </c>
      <c r="K865" t="s">
        <v>64</v>
      </c>
      <c r="L865">
        <v>18933.84</v>
      </c>
      <c r="M865">
        <v>309</v>
      </c>
      <c r="N865" t="s">
        <v>16</v>
      </c>
      <c r="O865" t="s">
        <v>17</v>
      </c>
    </row>
    <row r="866" spans="1:15" x14ac:dyDescent="0.3">
      <c r="A866" t="s">
        <v>4361</v>
      </c>
      <c r="B866" t="s">
        <v>4360</v>
      </c>
      <c r="C866" t="s">
        <v>40</v>
      </c>
      <c r="D866">
        <v>33</v>
      </c>
      <c r="E866" t="s">
        <v>21</v>
      </c>
      <c r="F866" t="s">
        <v>46</v>
      </c>
      <c r="G866" s="8">
        <v>46074</v>
      </c>
      <c r="H866" s="8">
        <v>46088</v>
      </c>
      <c r="I866" t="s">
        <v>8950</v>
      </c>
      <c r="J866" t="s">
        <v>4358</v>
      </c>
      <c r="K866" t="s">
        <v>27</v>
      </c>
      <c r="L866">
        <v>2015.25</v>
      </c>
      <c r="M866">
        <v>295</v>
      </c>
      <c r="N866" t="s">
        <v>43</v>
      </c>
      <c r="O866" t="s">
        <v>123</v>
      </c>
    </row>
    <row r="867" spans="1:15" x14ac:dyDescent="0.3">
      <c r="A867" t="s">
        <v>4353</v>
      </c>
      <c r="B867" t="s">
        <v>4352</v>
      </c>
      <c r="C867" t="s">
        <v>123</v>
      </c>
      <c r="D867">
        <v>63</v>
      </c>
      <c r="E867" t="s">
        <v>68</v>
      </c>
      <c r="F867" t="s">
        <v>20</v>
      </c>
      <c r="G867" s="8">
        <v>46145</v>
      </c>
      <c r="H867" s="8">
        <v>46147</v>
      </c>
      <c r="I867" t="s">
        <v>8951</v>
      </c>
      <c r="J867" t="s">
        <v>4350</v>
      </c>
      <c r="K867" t="s">
        <v>64</v>
      </c>
      <c r="L867">
        <v>17896.82</v>
      </c>
      <c r="M867">
        <v>171</v>
      </c>
      <c r="N867" t="s">
        <v>16</v>
      </c>
      <c r="O867" t="s">
        <v>123</v>
      </c>
    </row>
    <row r="868" spans="1:15" x14ac:dyDescent="0.3">
      <c r="A868" t="s">
        <v>4349</v>
      </c>
      <c r="B868" t="s">
        <v>4348</v>
      </c>
      <c r="C868" t="s">
        <v>40</v>
      </c>
      <c r="D868">
        <v>21</v>
      </c>
      <c r="E868" t="s">
        <v>39</v>
      </c>
      <c r="F868" t="s">
        <v>46</v>
      </c>
      <c r="G868" s="8">
        <v>46015</v>
      </c>
      <c r="H868" s="8">
        <v>46034</v>
      </c>
      <c r="I868" t="s">
        <v>8952</v>
      </c>
      <c r="J868" t="s">
        <v>4346</v>
      </c>
      <c r="K868" t="s">
        <v>64</v>
      </c>
      <c r="L868">
        <v>4595.47</v>
      </c>
      <c r="M868">
        <v>373</v>
      </c>
      <c r="N868" t="s">
        <v>25</v>
      </c>
      <c r="O868" t="s">
        <v>64</v>
      </c>
    </row>
    <row r="869" spans="1:15" x14ac:dyDescent="0.3">
      <c r="A869" t="s">
        <v>4345</v>
      </c>
      <c r="B869" t="s">
        <v>4344</v>
      </c>
      <c r="C869" t="s">
        <v>123</v>
      </c>
      <c r="D869">
        <v>22</v>
      </c>
      <c r="E869" t="s">
        <v>80</v>
      </c>
      <c r="F869" t="s">
        <v>46</v>
      </c>
      <c r="G869" s="8">
        <v>45976</v>
      </c>
      <c r="H869" s="8">
        <v>45997</v>
      </c>
      <c r="I869" t="s">
        <v>8953</v>
      </c>
      <c r="J869" t="s">
        <v>4342</v>
      </c>
      <c r="K869" t="s">
        <v>27</v>
      </c>
      <c r="L869">
        <v>4006.71</v>
      </c>
      <c r="M869">
        <v>191</v>
      </c>
      <c r="N869" t="s">
        <v>71</v>
      </c>
      <c r="O869" t="s">
        <v>17</v>
      </c>
    </row>
    <row r="870" spans="1:15" x14ac:dyDescent="0.3">
      <c r="A870" t="s">
        <v>4341</v>
      </c>
      <c r="B870" t="s">
        <v>4340</v>
      </c>
      <c r="C870" t="s">
        <v>40</v>
      </c>
      <c r="D870">
        <v>87</v>
      </c>
      <c r="E870" t="s">
        <v>21</v>
      </c>
      <c r="F870" t="s">
        <v>85</v>
      </c>
      <c r="G870" s="8">
        <v>46055</v>
      </c>
      <c r="H870" s="8">
        <v>46077</v>
      </c>
      <c r="I870" t="s">
        <v>8954</v>
      </c>
      <c r="J870" t="s">
        <v>4338</v>
      </c>
      <c r="K870" t="s">
        <v>27</v>
      </c>
      <c r="L870">
        <v>20945.23</v>
      </c>
      <c r="M870">
        <v>299</v>
      </c>
      <c r="N870" t="s">
        <v>25</v>
      </c>
      <c r="O870" t="s">
        <v>64</v>
      </c>
    </row>
    <row r="871" spans="1:15" x14ac:dyDescent="0.3">
      <c r="A871" t="s">
        <v>4337</v>
      </c>
      <c r="B871" t="s">
        <v>4336</v>
      </c>
      <c r="C871" t="s">
        <v>40</v>
      </c>
      <c r="D871">
        <v>57</v>
      </c>
      <c r="E871" t="s">
        <v>47</v>
      </c>
      <c r="F871" t="s">
        <v>46</v>
      </c>
      <c r="G871" s="8">
        <v>46028</v>
      </c>
      <c r="H871" s="8">
        <v>46029</v>
      </c>
      <c r="I871" t="s">
        <v>8955</v>
      </c>
      <c r="J871" t="s">
        <v>4334</v>
      </c>
      <c r="K871" t="s">
        <v>123</v>
      </c>
      <c r="L871">
        <v>19224.43</v>
      </c>
      <c r="M871">
        <v>291</v>
      </c>
      <c r="N871" t="s">
        <v>71</v>
      </c>
      <c r="O871" t="s">
        <v>57</v>
      </c>
    </row>
    <row r="872" spans="1:15" x14ac:dyDescent="0.3">
      <c r="A872" t="s">
        <v>4329</v>
      </c>
      <c r="B872" t="s">
        <v>4328</v>
      </c>
      <c r="C872" t="s">
        <v>74</v>
      </c>
      <c r="D872">
        <v>29</v>
      </c>
      <c r="E872" t="s">
        <v>80</v>
      </c>
      <c r="F872" t="s">
        <v>20</v>
      </c>
      <c r="G872" s="8">
        <v>46143</v>
      </c>
      <c r="H872" s="8">
        <v>46166</v>
      </c>
      <c r="I872" t="s">
        <v>8956</v>
      </c>
      <c r="J872" t="s">
        <v>4326</v>
      </c>
      <c r="K872" t="s">
        <v>27</v>
      </c>
      <c r="L872">
        <v>1291.51</v>
      </c>
      <c r="M872">
        <v>517</v>
      </c>
      <c r="N872" t="s">
        <v>43</v>
      </c>
      <c r="O872" t="s">
        <v>64</v>
      </c>
    </row>
    <row r="873" spans="1:15" x14ac:dyDescent="0.3">
      <c r="A873" t="s">
        <v>4325</v>
      </c>
      <c r="B873" t="s">
        <v>4324</v>
      </c>
      <c r="C873" t="s">
        <v>74</v>
      </c>
      <c r="D873">
        <v>72</v>
      </c>
      <c r="E873" t="s">
        <v>21</v>
      </c>
      <c r="F873" t="s">
        <v>8077</v>
      </c>
      <c r="G873" s="8">
        <v>46131</v>
      </c>
      <c r="H873" s="8">
        <v>46160</v>
      </c>
      <c r="I873" t="s">
        <v>8957</v>
      </c>
      <c r="J873" t="s">
        <v>4322</v>
      </c>
      <c r="K873" t="s">
        <v>123</v>
      </c>
      <c r="L873">
        <v>23485.3</v>
      </c>
      <c r="M873">
        <v>218</v>
      </c>
      <c r="N873" t="s">
        <v>71</v>
      </c>
      <c r="O873" t="s">
        <v>64</v>
      </c>
    </row>
    <row r="874" spans="1:15" x14ac:dyDescent="0.3">
      <c r="A874" t="s">
        <v>4317</v>
      </c>
      <c r="B874" t="s">
        <v>4316</v>
      </c>
      <c r="C874" t="s">
        <v>123</v>
      </c>
      <c r="D874">
        <v>29</v>
      </c>
      <c r="E874" t="s">
        <v>80</v>
      </c>
      <c r="F874" t="s">
        <v>30</v>
      </c>
      <c r="G874" s="8">
        <v>46088</v>
      </c>
      <c r="H874" s="8">
        <v>46108</v>
      </c>
      <c r="I874" t="s">
        <v>8958</v>
      </c>
      <c r="J874" t="s">
        <v>4314</v>
      </c>
      <c r="K874" t="s">
        <v>64</v>
      </c>
      <c r="L874">
        <v>1289.69</v>
      </c>
      <c r="M874">
        <v>310</v>
      </c>
      <c r="N874" t="s">
        <v>43</v>
      </c>
      <c r="O874" t="s">
        <v>57</v>
      </c>
    </row>
    <row r="875" spans="1:15" x14ac:dyDescent="0.3">
      <c r="A875" t="s">
        <v>4313</v>
      </c>
      <c r="B875" t="s">
        <v>4312</v>
      </c>
      <c r="C875" t="s">
        <v>123</v>
      </c>
      <c r="D875">
        <v>14</v>
      </c>
      <c r="E875" t="s">
        <v>39</v>
      </c>
      <c r="F875" t="s">
        <v>30</v>
      </c>
      <c r="G875" s="8">
        <v>46085</v>
      </c>
      <c r="H875" s="8">
        <v>46115</v>
      </c>
      <c r="I875" t="s">
        <v>8959</v>
      </c>
      <c r="J875" t="s">
        <v>4310</v>
      </c>
      <c r="K875" t="s">
        <v>64</v>
      </c>
      <c r="L875">
        <v>15076.71</v>
      </c>
      <c r="M875">
        <v>447</v>
      </c>
      <c r="N875" t="s">
        <v>50</v>
      </c>
      <c r="O875" t="s">
        <v>123</v>
      </c>
    </row>
    <row r="876" spans="1:15" x14ac:dyDescent="0.3">
      <c r="A876" t="s">
        <v>4309</v>
      </c>
      <c r="B876" t="s">
        <v>4308</v>
      </c>
      <c r="C876" t="s">
        <v>40</v>
      </c>
      <c r="D876">
        <v>43</v>
      </c>
      <c r="E876" t="s">
        <v>39</v>
      </c>
      <c r="F876" t="s">
        <v>67</v>
      </c>
      <c r="G876" s="8">
        <v>46068</v>
      </c>
      <c r="H876" s="8">
        <v>46095</v>
      </c>
      <c r="I876" t="s">
        <v>8960</v>
      </c>
      <c r="J876" t="s">
        <v>4306</v>
      </c>
      <c r="K876" t="s">
        <v>123</v>
      </c>
      <c r="L876">
        <v>1874.33</v>
      </c>
      <c r="M876">
        <v>411</v>
      </c>
      <c r="N876" t="s">
        <v>34</v>
      </c>
      <c r="O876" t="s">
        <v>27</v>
      </c>
    </row>
    <row r="877" spans="1:15" x14ac:dyDescent="0.3">
      <c r="A877" t="s">
        <v>4301</v>
      </c>
      <c r="B877" t="s">
        <v>4300</v>
      </c>
      <c r="C877" t="s">
        <v>123</v>
      </c>
      <c r="D877">
        <v>32</v>
      </c>
      <c r="E877" t="s">
        <v>80</v>
      </c>
      <c r="F877" t="s">
        <v>46</v>
      </c>
      <c r="G877" s="8">
        <v>46050</v>
      </c>
      <c r="H877" s="8">
        <v>46054</v>
      </c>
      <c r="I877" t="s">
        <v>8961</v>
      </c>
      <c r="J877" t="s">
        <v>4298</v>
      </c>
      <c r="K877" t="s">
        <v>64</v>
      </c>
      <c r="L877">
        <v>12568.42</v>
      </c>
      <c r="M877">
        <v>177</v>
      </c>
      <c r="N877" t="s">
        <v>16</v>
      </c>
      <c r="O877" t="s">
        <v>57</v>
      </c>
    </row>
    <row r="878" spans="1:15" x14ac:dyDescent="0.3">
      <c r="A878" t="s">
        <v>4297</v>
      </c>
      <c r="B878" t="s">
        <v>4296</v>
      </c>
      <c r="C878" t="s">
        <v>74</v>
      </c>
      <c r="D878">
        <v>83</v>
      </c>
      <c r="E878" t="s">
        <v>47</v>
      </c>
      <c r="F878" t="s">
        <v>8077</v>
      </c>
      <c r="G878" s="8">
        <v>45996</v>
      </c>
      <c r="H878" s="8">
        <v>46025</v>
      </c>
      <c r="I878" t="s">
        <v>8962</v>
      </c>
      <c r="J878" t="s">
        <v>4294</v>
      </c>
      <c r="K878" t="s">
        <v>123</v>
      </c>
      <c r="L878">
        <v>18533.54</v>
      </c>
      <c r="M878">
        <v>168</v>
      </c>
      <c r="N878" t="s">
        <v>43</v>
      </c>
      <c r="O878" t="s">
        <v>17</v>
      </c>
    </row>
    <row r="879" spans="1:15" x14ac:dyDescent="0.3">
      <c r="A879" t="s">
        <v>4293</v>
      </c>
      <c r="B879" t="s">
        <v>4292</v>
      </c>
      <c r="C879" t="s">
        <v>74</v>
      </c>
      <c r="D879">
        <v>83</v>
      </c>
      <c r="E879" t="s">
        <v>47</v>
      </c>
      <c r="F879" t="s">
        <v>67</v>
      </c>
      <c r="G879" s="8">
        <v>46124</v>
      </c>
      <c r="H879" s="8">
        <v>46144</v>
      </c>
      <c r="I879" t="s">
        <v>8963</v>
      </c>
      <c r="J879" t="s">
        <v>4290</v>
      </c>
      <c r="K879" t="s">
        <v>27</v>
      </c>
      <c r="L879">
        <v>18813.66</v>
      </c>
      <c r="M879">
        <v>533</v>
      </c>
      <c r="N879" t="s">
        <v>25</v>
      </c>
      <c r="O879" t="s">
        <v>57</v>
      </c>
    </row>
    <row r="880" spans="1:15" x14ac:dyDescent="0.3">
      <c r="A880" t="s">
        <v>4289</v>
      </c>
      <c r="B880" t="s">
        <v>4288</v>
      </c>
      <c r="C880" t="s">
        <v>74</v>
      </c>
      <c r="D880">
        <v>44</v>
      </c>
      <c r="E880" t="s">
        <v>21</v>
      </c>
      <c r="F880" t="s">
        <v>8077</v>
      </c>
      <c r="G880" s="8">
        <v>46032</v>
      </c>
      <c r="H880" s="8">
        <v>46049</v>
      </c>
      <c r="I880" t="s">
        <v>8964</v>
      </c>
      <c r="J880" t="s">
        <v>4286</v>
      </c>
      <c r="K880" t="s">
        <v>27</v>
      </c>
      <c r="L880">
        <v>22684.48</v>
      </c>
      <c r="M880">
        <v>510</v>
      </c>
      <c r="N880" t="s">
        <v>25</v>
      </c>
      <c r="O880" t="s">
        <v>57</v>
      </c>
    </row>
    <row r="881" spans="1:15" x14ac:dyDescent="0.3">
      <c r="A881" t="s">
        <v>4285</v>
      </c>
      <c r="B881" t="s">
        <v>4284</v>
      </c>
      <c r="C881" t="s">
        <v>74</v>
      </c>
      <c r="D881">
        <v>78</v>
      </c>
      <c r="E881" t="s">
        <v>54</v>
      </c>
      <c r="F881" t="s">
        <v>67</v>
      </c>
      <c r="G881" s="8">
        <v>46021</v>
      </c>
      <c r="H881" s="8">
        <v>46026</v>
      </c>
      <c r="I881" t="s">
        <v>8965</v>
      </c>
      <c r="J881" t="s">
        <v>4282</v>
      </c>
      <c r="K881" t="s">
        <v>123</v>
      </c>
      <c r="L881">
        <v>15818.61</v>
      </c>
      <c r="M881">
        <v>545</v>
      </c>
      <c r="N881" t="s">
        <v>16</v>
      </c>
      <c r="O881" t="s">
        <v>64</v>
      </c>
    </row>
    <row r="882" spans="1:15" x14ac:dyDescent="0.3">
      <c r="A882" t="s">
        <v>4281</v>
      </c>
      <c r="B882" t="s">
        <v>4280</v>
      </c>
      <c r="C882" t="s">
        <v>74</v>
      </c>
      <c r="D882">
        <v>25</v>
      </c>
      <c r="E882" t="s">
        <v>47</v>
      </c>
      <c r="F882" t="s">
        <v>20</v>
      </c>
      <c r="G882" s="8">
        <v>46121</v>
      </c>
      <c r="H882" s="8">
        <v>46151</v>
      </c>
      <c r="I882" t="s">
        <v>8966</v>
      </c>
      <c r="J882" t="s">
        <v>4278</v>
      </c>
      <c r="K882" t="s">
        <v>64</v>
      </c>
      <c r="L882">
        <v>3313.91</v>
      </c>
      <c r="M882">
        <v>403</v>
      </c>
      <c r="N882" t="s">
        <v>34</v>
      </c>
      <c r="O882" t="s">
        <v>26</v>
      </c>
    </row>
    <row r="883" spans="1:15" x14ac:dyDescent="0.3">
      <c r="A883" t="s">
        <v>4277</v>
      </c>
      <c r="B883" t="s">
        <v>4276</v>
      </c>
      <c r="C883" t="s">
        <v>74</v>
      </c>
      <c r="D883">
        <v>31</v>
      </c>
      <c r="E883" t="s">
        <v>80</v>
      </c>
      <c r="F883" t="s">
        <v>67</v>
      </c>
      <c r="G883" s="8">
        <v>46135</v>
      </c>
      <c r="H883" s="8">
        <v>46158</v>
      </c>
      <c r="I883" t="s">
        <v>8967</v>
      </c>
      <c r="J883" t="s">
        <v>4274</v>
      </c>
      <c r="K883" t="s">
        <v>123</v>
      </c>
      <c r="L883">
        <v>7924.28</v>
      </c>
      <c r="M883">
        <v>225</v>
      </c>
      <c r="N883" t="s">
        <v>16</v>
      </c>
      <c r="O883" t="s">
        <v>57</v>
      </c>
    </row>
    <row r="884" spans="1:15" x14ac:dyDescent="0.3">
      <c r="A884" t="s">
        <v>4273</v>
      </c>
      <c r="B884" t="s">
        <v>4272</v>
      </c>
      <c r="C884" t="s">
        <v>40</v>
      </c>
      <c r="D884">
        <v>78</v>
      </c>
      <c r="E884" t="s">
        <v>21</v>
      </c>
      <c r="F884" t="s">
        <v>30</v>
      </c>
      <c r="G884" s="8">
        <v>45990</v>
      </c>
      <c r="H884" s="8">
        <v>45999</v>
      </c>
      <c r="I884" t="s">
        <v>8968</v>
      </c>
      <c r="J884" t="s">
        <v>4270</v>
      </c>
      <c r="K884" t="s">
        <v>123</v>
      </c>
      <c r="L884">
        <v>24199.599999999999</v>
      </c>
      <c r="M884">
        <v>239</v>
      </c>
      <c r="N884" t="s">
        <v>50</v>
      </c>
      <c r="O884" t="s">
        <v>57</v>
      </c>
    </row>
    <row r="885" spans="1:15" x14ac:dyDescent="0.3">
      <c r="A885" t="s">
        <v>4269</v>
      </c>
      <c r="B885" t="s">
        <v>4268</v>
      </c>
      <c r="C885" t="s">
        <v>123</v>
      </c>
      <c r="D885">
        <v>11</v>
      </c>
      <c r="E885" t="s">
        <v>31</v>
      </c>
      <c r="F885" t="s">
        <v>67</v>
      </c>
      <c r="G885" s="8">
        <v>46019</v>
      </c>
      <c r="H885" s="8">
        <v>46031</v>
      </c>
      <c r="I885" t="s">
        <v>8969</v>
      </c>
      <c r="J885" t="s">
        <v>4266</v>
      </c>
      <c r="K885" t="s">
        <v>27</v>
      </c>
      <c r="L885">
        <v>11873.69</v>
      </c>
      <c r="M885">
        <v>358</v>
      </c>
      <c r="N885" t="s">
        <v>34</v>
      </c>
      <c r="O885" t="s">
        <v>123</v>
      </c>
    </row>
    <row r="886" spans="1:15" x14ac:dyDescent="0.3">
      <c r="A886" t="s">
        <v>4265</v>
      </c>
      <c r="B886" t="s">
        <v>4264</v>
      </c>
      <c r="C886" t="s">
        <v>123</v>
      </c>
      <c r="D886">
        <v>20</v>
      </c>
      <c r="E886" t="s">
        <v>68</v>
      </c>
      <c r="F886" t="s">
        <v>46</v>
      </c>
      <c r="G886" s="8">
        <v>46109</v>
      </c>
      <c r="H886" s="8">
        <v>46133</v>
      </c>
      <c r="I886" t="s">
        <v>8970</v>
      </c>
      <c r="J886" t="s">
        <v>4262</v>
      </c>
      <c r="K886" t="s">
        <v>123</v>
      </c>
      <c r="L886">
        <v>10799.45</v>
      </c>
      <c r="M886">
        <v>488</v>
      </c>
      <c r="N886" t="s">
        <v>43</v>
      </c>
      <c r="O886" t="s">
        <v>64</v>
      </c>
    </row>
    <row r="887" spans="1:15" x14ac:dyDescent="0.3">
      <c r="A887" t="s">
        <v>4261</v>
      </c>
      <c r="B887" t="s">
        <v>4260</v>
      </c>
      <c r="C887" t="s">
        <v>40</v>
      </c>
      <c r="D887">
        <v>71</v>
      </c>
      <c r="E887" t="s">
        <v>39</v>
      </c>
      <c r="F887" t="s">
        <v>30</v>
      </c>
      <c r="G887" s="8">
        <v>46003</v>
      </c>
      <c r="H887" s="8">
        <v>46015</v>
      </c>
      <c r="I887" t="s">
        <v>8971</v>
      </c>
      <c r="J887" t="s">
        <v>4258</v>
      </c>
      <c r="K887" t="s">
        <v>123</v>
      </c>
      <c r="L887">
        <v>7785.01</v>
      </c>
      <c r="M887">
        <v>292</v>
      </c>
      <c r="N887" t="s">
        <v>34</v>
      </c>
      <c r="O887" t="s">
        <v>63</v>
      </c>
    </row>
    <row r="888" spans="1:15" x14ac:dyDescent="0.3">
      <c r="A888" t="s">
        <v>4257</v>
      </c>
      <c r="B888" t="s">
        <v>4256</v>
      </c>
      <c r="C888" t="s">
        <v>123</v>
      </c>
      <c r="D888">
        <v>10</v>
      </c>
      <c r="E888" t="s">
        <v>31</v>
      </c>
      <c r="F888" t="s">
        <v>20</v>
      </c>
      <c r="G888" s="8">
        <v>46076</v>
      </c>
      <c r="H888" s="8">
        <v>46098</v>
      </c>
      <c r="I888" t="s">
        <v>8972</v>
      </c>
      <c r="J888" t="s">
        <v>4254</v>
      </c>
      <c r="K888" t="s">
        <v>123</v>
      </c>
      <c r="L888">
        <v>5053.75</v>
      </c>
      <c r="M888">
        <v>102</v>
      </c>
      <c r="N888" t="s">
        <v>77</v>
      </c>
      <c r="O888" t="s">
        <v>57</v>
      </c>
    </row>
    <row r="889" spans="1:15" x14ac:dyDescent="0.3">
      <c r="A889" t="s">
        <v>4253</v>
      </c>
      <c r="B889" t="s">
        <v>4252</v>
      </c>
      <c r="C889" t="s">
        <v>74</v>
      </c>
      <c r="D889">
        <v>63</v>
      </c>
      <c r="E889" t="s">
        <v>54</v>
      </c>
      <c r="F889" t="s">
        <v>67</v>
      </c>
      <c r="G889" s="8">
        <v>46079</v>
      </c>
      <c r="H889" s="8">
        <v>46109</v>
      </c>
      <c r="I889" t="s">
        <v>8973</v>
      </c>
      <c r="J889" t="s">
        <v>4250</v>
      </c>
      <c r="K889" t="s">
        <v>123</v>
      </c>
      <c r="L889">
        <v>24268.22</v>
      </c>
      <c r="M889">
        <v>296</v>
      </c>
      <c r="N889" t="s">
        <v>16</v>
      </c>
      <c r="O889" t="s">
        <v>17</v>
      </c>
    </row>
    <row r="890" spans="1:15" x14ac:dyDescent="0.3">
      <c r="A890" t="s">
        <v>4249</v>
      </c>
      <c r="B890" t="s">
        <v>4248</v>
      </c>
      <c r="C890" t="s">
        <v>40</v>
      </c>
      <c r="D890">
        <v>83</v>
      </c>
      <c r="E890" t="s">
        <v>80</v>
      </c>
      <c r="F890" t="s">
        <v>67</v>
      </c>
      <c r="G890" s="8">
        <v>46094</v>
      </c>
      <c r="H890" s="8">
        <v>46122</v>
      </c>
      <c r="I890" t="s">
        <v>8974</v>
      </c>
      <c r="J890" t="s">
        <v>4246</v>
      </c>
      <c r="K890" t="s">
        <v>27</v>
      </c>
      <c r="L890">
        <v>24813.32</v>
      </c>
      <c r="M890">
        <v>297</v>
      </c>
      <c r="N890" t="s">
        <v>34</v>
      </c>
      <c r="O890" t="s">
        <v>64</v>
      </c>
    </row>
    <row r="891" spans="1:15" x14ac:dyDescent="0.3">
      <c r="A891" t="s">
        <v>4245</v>
      </c>
      <c r="B891" t="s">
        <v>4244</v>
      </c>
      <c r="C891" t="s">
        <v>40</v>
      </c>
      <c r="D891">
        <v>25</v>
      </c>
      <c r="E891" t="s">
        <v>54</v>
      </c>
      <c r="F891" t="s">
        <v>30</v>
      </c>
      <c r="G891" s="8">
        <v>45982</v>
      </c>
      <c r="H891" s="8">
        <v>46006</v>
      </c>
      <c r="I891" t="s">
        <v>8975</v>
      </c>
      <c r="J891" t="s">
        <v>4242</v>
      </c>
      <c r="K891" t="s">
        <v>64</v>
      </c>
      <c r="L891">
        <v>12838.29</v>
      </c>
      <c r="M891">
        <v>425</v>
      </c>
      <c r="N891" t="s">
        <v>25</v>
      </c>
      <c r="O891" t="s">
        <v>123</v>
      </c>
    </row>
    <row r="892" spans="1:15" x14ac:dyDescent="0.3">
      <c r="A892" t="s">
        <v>4241</v>
      </c>
      <c r="B892" t="s">
        <v>4240</v>
      </c>
      <c r="C892" t="s">
        <v>74</v>
      </c>
      <c r="D892">
        <v>90</v>
      </c>
      <c r="E892" t="s">
        <v>47</v>
      </c>
      <c r="F892" t="s">
        <v>67</v>
      </c>
      <c r="G892" s="8">
        <v>46031</v>
      </c>
      <c r="H892" s="8">
        <v>46060</v>
      </c>
      <c r="I892" t="s">
        <v>8976</v>
      </c>
      <c r="J892" t="s">
        <v>4238</v>
      </c>
      <c r="K892" t="s">
        <v>123</v>
      </c>
      <c r="L892">
        <v>18444.47</v>
      </c>
      <c r="M892">
        <v>344</v>
      </c>
      <c r="N892" t="s">
        <v>77</v>
      </c>
      <c r="O892" t="s">
        <v>57</v>
      </c>
    </row>
    <row r="893" spans="1:15" x14ac:dyDescent="0.3">
      <c r="A893" t="s">
        <v>4237</v>
      </c>
      <c r="B893" t="s">
        <v>4236</v>
      </c>
      <c r="C893" t="s">
        <v>74</v>
      </c>
      <c r="D893">
        <v>81</v>
      </c>
      <c r="E893" t="s">
        <v>47</v>
      </c>
      <c r="F893" t="s">
        <v>20</v>
      </c>
      <c r="G893" s="8">
        <v>46058</v>
      </c>
      <c r="H893" s="8">
        <v>46066</v>
      </c>
      <c r="I893" t="s">
        <v>8977</v>
      </c>
      <c r="J893" t="s">
        <v>4234</v>
      </c>
      <c r="K893" t="s">
        <v>123</v>
      </c>
      <c r="L893">
        <v>23617.78</v>
      </c>
      <c r="M893">
        <v>230</v>
      </c>
      <c r="N893" t="s">
        <v>71</v>
      </c>
      <c r="O893" t="s">
        <v>26</v>
      </c>
    </row>
    <row r="894" spans="1:15" x14ac:dyDescent="0.3">
      <c r="A894" t="s">
        <v>4233</v>
      </c>
      <c r="B894" t="s">
        <v>4232</v>
      </c>
      <c r="C894" t="s">
        <v>40</v>
      </c>
      <c r="D894">
        <v>2</v>
      </c>
      <c r="E894" t="s">
        <v>80</v>
      </c>
      <c r="F894" t="s">
        <v>20</v>
      </c>
      <c r="G894" s="8">
        <v>46139</v>
      </c>
      <c r="H894" s="8">
        <v>46159</v>
      </c>
      <c r="I894" t="s">
        <v>8978</v>
      </c>
      <c r="J894" t="s">
        <v>4230</v>
      </c>
      <c r="K894" t="s">
        <v>123</v>
      </c>
      <c r="L894">
        <v>10062.14</v>
      </c>
      <c r="M894">
        <v>365</v>
      </c>
      <c r="N894" t="s">
        <v>71</v>
      </c>
      <c r="O894" t="s">
        <v>64</v>
      </c>
    </row>
    <row r="895" spans="1:15" x14ac:dyDescent="0.3">
      <c r="A895" t="s">
        <v>4229</v>
      </c>
      <c r="B895" t="s">
        <v>4228</v>
      </c>
      <c r="C895" t="s">
        <v>123</v>
      </c>
      <c r="D895">
        <v>22</v>
      </c>
      <c r="E895" t="s">
        <v>54</v>
      </c>
      <c r="F895" t="s">
        <v>30</v>
      </c>
      <c r="G895" s="8">
        <v>46005</v>
      </c>
      <c r="H895" s="8">
        <v>46027</v>
      </c>
      <c r="I895" t="s">
        <v>8979</v>
      </c>
      <c r="J895" t="s">
        <v>4226</v>
      </c>
      <c r="K895" t="s">
        <v>27</v>
      </c>
      <c r="L895">
        <v>12616.04</v>
      </c>
      <c r="M895">
        <v>400</v>
      </c>
      <c r="N895" t="s">
        <v>43</v>
      </c>
      <c r="O895" t="s">
        <v>123</v>
      </c>
    </row>
    <row r="896" spans="1:15" x14ac:dyDescent="0.3">
      <c r="A896" t="s">
        <v>4225</v>
      </c>
      <c r="B896" t="s">
        <v>4224</v>
      </c>
      <c r="C896" t="s">
        <v>123</v>
      </c>
      <c r="D896">
        <v>12</v>
      </c>
      <c r="E896" t="s">
        <v>80</v>
      </c>
      <c r="F896" t="s">
        <v>67</v>
      </c>
      <c r="G896" s="8">
        <v>46122</v>
      </c>
      <c r="H896" s="8">
        <v>46148</v>
      </c>
      <c r="I896" t="s">
        <v>8980</v>
      </c>
      <c r="J896" t="s">
        <v>4222</v>
      </c>
      <c r="K896" t="s">
        <v>27</v>
      </c>
      <c r="L896">
        <v>6871.73</v>
      </c>
      <c r="M896">
        <v>483</v>
      </c>
      <c r="N896" t="s">
        <v>16</v>
      </c>
      <c r="O896" t="s">
        <v>57</v>
      </c>
    </row>
    <row r="897" spans="1:15" x14ac:dyDescent="0.3">
      <c r="A897" t="s">
        <v>4217</v>
      </c>
      <c r="B897" t="s">
        <v>4216</v>
      </c>
      <c r="C897" t="s">
        <v>40</v>
      </c>
      <c r="D897">
        <v>56</v>
      </c>
      <c r="E897" t="s">
        <v>39</v>
      </c>
      <c r="F897" t="s">
        <v>20</v>
      </c>
      <c r="G897" s="8">
        <v>46113</v>
      </c>
      <c r="H897" s="8">
        <v>46124</v>
      </c>
      <c r="I897" t="s">
        <v>8981</v>
      </c>
      <c r="J897" t="s">
        <v>4214</v>
      </c>
      <c r="K897" t="s">
        <v>27</v>
      </c>
      <c r="L897">
        <v>17660.37</v>
      </c>
      <c r="M897">
        <v>349</v>
      </c>
      <c r="N897" t="s">
        <v>71</v>
      </c>
      <c r="O897" t="s">
        <v>57</v>
      </c>
    </row>
    <row r="898" spans="1:15" x14ac:dyDescent="0.3">
      <c r="A898" t="s">
        <v>4213</v>
      </c>
      <c r="B898" t="s">
        <v>4212</v>
      </c>
      <c r="C898" t="s">
        <v>74</v>
      </c>
      <c r="D898">
        <v>58</v>
      </c>
      <c r="E898" t="s">
        <v>21</v>
      </c>
      <c r="F898" t="s">
        <v>20</v>
      </c>
      <c r="G898" s="8">
        <v>45975</v>
      </c>
      <c r="H898" s="8">
        <v>45981</v>
      </c>
      <c r="I898" t="s">
        <v>8982</v>
      </c>
      <c r="J898" t="s">
        <v>4210</v>
      </c>
      <c r="K898" t="s">
        <v>27</v>
      </c>
      <c r="L898">
        <v>18797.91</v>
      </c>
      <c r="M898">
        <v>232</v>
      </c>
      <c r="N898" t="s">
        <v>50</v>
      </c>
      <c r="O898" t="s">
        <v>57</v>
      </c>
    </row>
    <row r="899" spans="1:15" x14ac:dyDescent="0.3">
      <c r="A899" t="s">
        <v>4209</v>
      </c>
      <c r="B899" t="s">
        <v>4208</v>
      </c>
      <c r="C899" t="s">
        <v>123</v>
      </c>
      <c r="D899">
        <v>57</v>
      </c>
      <c r="E899" t="s">
        <v>80</v>
      </c>
      <c r="F899" t="s">
        <v>20</v>
      </c>
      <c r="G899" s="8">
        <v>46089</v>
      </c>
      <c r="H899" s="8">
        <v>46091</v>
      </c>
      <c r="I899" t="s">
        <v>8983</v>
      </c>
      <c r="J899" t="s">
        <v>4206</v>
      </c>
      <c r="K899" t="s">
        <v>27</v>
      </c>
      <c r="L899">
        <v>2325.54</v>
      </c>
      <c r="M899">
        <v>241</v>
      </c>
      <c r="N899" t="s">
        <v>77</v>
      </c>
      <c r="O899" t="s">
        <v>64</v>
      </c>
    </row>
    <row r="900" spans="1:15" x14ac:dyDescent="0.3">
      <c r="A900" t="s">
        <v>4205</v>
      </c>
      <c r="B900" t="s">
        <v>4204</v>
      </c>
      <c r="C900" t="s">
        <v>74</v>
      </c>
      <c r="D900">
        <v>4</v>
      </c>
      <c r="E900" t="s">
        <v>21</v>
      </c>
      <c r="F900" t="s">
        <v>85</v>
      </c>
      <c r="G900" s="8">
        <v>45981</v>
      </c>
      <c r="H900" s="8">
        <v>45996</v>
      </c>
      <c r="I900" t="s">
        <v>8984</v>
      </c>
      <c r="J900" t="s">
        <v>4202</v>
      </c>
      <c r="K900" t="s">
        <v>64</v>
      </c>
      <c r="L900">
        <v>435.76</v>
      </c>
      <c r="M900">
        <v>484</v>
      </c>
      <c r="N900" t="s">
        <v>77</v>
      </c>
      <c r="O900" t="s">
        <v>63</v>
      </c>
    </row>
    <row r="901" spans="1:15" x14ac:dyDescent="0.3">
      <c r="A901" t="s">
        <v>4201</v>
      </c>
      <c r="B901" t="s">
        <v>4200</v>
      </c>
      <c r="C901" t="s">
        <v>40</v>
      </c>
      <c r="D901">
        <v>13</v>
      </c>
      <c r="E901" t="s">
        <v>21</v>
      </c>
      <c r="F901" t="s">
        <v>46</v>
      </c>
      <c r="G901" s="8">
        <v>46045</v>
      </c>
      <c r="H901" s="8">
        <v>46057</v>
      </c>
      <c r="I901" t="s">
        <v>8985</v>
      </c>
      <c r="J901" t="s">
        <v>4198</v>
      </c>
      <c r="K901" t="s">
        <v>27</v>
      </c>
      <c r="L901">
        <v>23316.78</v>
      </c>
      <c r="M901">
        <v>487</v>
      </c>
      <c r="N901" t="s">
        <v>43</v>
      </c>
      <c r="O901" t="s">
        <v>123</v>
      </c>
    </row>
    <row r="902" spans="1:15" x14ac:dyDescent="0.3">
      <c r="A902" t="s">
        <v>4197</v>
      </c>
      <c r="B902" t="s">
        <v>4196</v>
      </c>
      <c r="C902" t="s">
        <v>123</v>
      </c>
      <c r="D902">
        <v>44</v>
      </c>
      <c r="E902" t="s">
        <v>31</v>
      </c>
      <c r="F902" t="s">
        <v>67</v>
      </c>
      <c r="G902" s="8">
        <v>46046</v>
      </c>
      <c r="H902" s="8">
        <v>46056</v>
      </c>
      <c r="I902" t="s">
        <v>8986</v>
      </c>
      <c r="J902" t="s">
        <v>4194</v>
      </c>
      <c r="K902" t="s">
        <v>64</v>
      </c>
      <c r="L902">
        <v>23536.58</v>
      </c>
      <c r="M902">
        <v>293</v>
      </c>
      <c r="N902" t="s">
        <v>34</v>
      </c>
      <c r="O902" t="s">
        <v>123</v>
      </c>
    </row>
    <row r="903" spans="1:15" x14ac:dyDescent="0.3">
      <c r="A903" t="s">
        <v>4189</v>
      </c>
      <c r="B903" t="s">
        <v>4188</v>
      </c>
      <c r="C903" t="s">
        <v>40</v>
      </c>
      <c r="D903">
        <v>4</v>
      </c>
      <c r="E903" t="s">
        <v>80</v>
      </c>
      <c r="F903" t="s">
        <v>30</v>
      </c>
      <c r="G903" s="8">
        <v>46103</v>
      </c>
      <c r="H903" s="8">
        <v>46133</v>
      </c>
      <c r="I903" t="s">
        <v>8987</v>
      </c>
      <c r="J903" t="s">
        <v>4186</v>
      </c>
      <c r="K903" t="s">
        <v>64</v>
      </c>
      <c r="L903">
        <v>9337.06</v>
      </c>
      <c r="M903">
        <v>363</v>
      </c>
      <c r="N903" t="s">
        <v>16</v>
      </c>
      <c r="O903" t="s">
        <v>123</v>
      </c>
    </row>
    <row r="904" spans="1:15" x14ac:dyDescent="0.3">
      <c r="A904" t="s">
        <v>4185</v>
      </c>
      <c r="B904" t="s">
        <v>4184</v>
      </c>
      <c r="C904" t="s">
        <v>74</v>
      </c>
      <c r="D904">
        <v>1</v>
      </c>
      <c r="E904" t="s">
        <v>2278</v>
      </c>
      <c r="F904" t="s">
        <v>46</v>
      </c>
      <c r="G904" s="8">
        <v>46064</v>
      </c>
      <c r="H904" s="8">
        <v>46084</v>
      </c>
      <c r="I904" t="s">
        <v>8988</v>
      </c>
      <c r="J904" t="s">
        <v>123</v>
      </c>
      <c r="K904" t="s">
        <v>64</v>
      </c>
      <c r="L904">
        <v>-500</v>
      </c>
      <c r="M904">
        <v>447</v>
      </c>
      <c r="N904" t="s">
        <v>16</v>
      </c>
      <c r="O904" t="s">
        <v>17</v>
      </c>
    </row>
    <row r="905" spans="1:15" x14ac:dyDescent="0.3">
      <c r="A905" t="s">
        <v>4182</v>
      </c>
      <c r="B905" t="s">
        <v>4181</v>
      </c>
      <c r="C905" t="s">
        <v>74</v>
      </c>
      <c r="D905">
        <v>78</v>
      </c>
      <c r="E905" t="s">
        <v>68</v>
      </c>
      <c r="F905" t="s">
        <v>67</v>
      </c>
      <c r="G905" s="8">
        <v>45994</v>
      </c>
      <c r="H905" s="8">
        <v>46017</v>
      </c>
      <c r="I905" t="s">
        <v>8989</v>
      </c>
      <c r="J905" t="s">
        <v>4179</v>
      </c>
      <c r="K905" t="s">
        <v>64</v>
      </c>
      <c r="L905">
        <v>8838.68</v>
      </c>
      <c r="M905">
        <v>437</v>
      </c>
      <c r="N905" t="s">
        <v>50</v>
      </c>
      <c r="O905" t="s">
        <v>123</v>
      </c>
    </row>
    <row r="906" spans="1:15" x14ac:dyDescent="0.3">
      <c r="A906" t="s">
        <v>4178</v>
      </c>
      <c r="B906" t="s">
        <v>4177</v>
      </c>
      <c r="C906" t="s">
        <v>74</v>
      </c>
      <c r="D906">
        <v>50</v>
      </c>
      <c r="E906" t="s">
        <v>132</v>
      </c>
      <c r="F906" t="s">
        <v>8077</v>
      </c>
      <c r="G906" s="8">
        <v>45996</v>
      </c>
      <c r="H906" s="8">
        <v>46018</v>
      </c>
      <c r="I906" t="s">
        <v>8990</v>
      </c>
      <c r="J906" t="s">
        <v>4175</v>
      </c>
      <c r="K906" t="s">
        <v>27</v>
      </c>
      <c r="L906">
        <v>21772.5</v>
      </c>
      <c r="M906">
        <v>165</v>
      </c>
      <c r="N906" t="s">
        <v>16</v>
      </c>
      <c r="O906" t="s">
        <v>27</v>
      </c>
    </row>
    <row r="907" spans="1:15" x14ac:dyDescent="0.3">
      <c r="A907" t="s">
        <v>4174</v>
      </c>
      <c r="B907" t="s">
        <v>4173</v>
      </c>
      <c r="C907" t="s">
        <v>74</v>
      </c>
      <c r="D907">
        <v>39</v>
      </c>
      <c r="E907" t="s">
        <v>68</v>
      </c>
      <c r="F907" t="s">
        <v>20</v>
      </c>
      <c r="G907" s="8">
        <v>46039</v>
      </c>
      <c r="H907" s="8">
        <v>46067</v>
      </c>
      <c r="I907" t="s">
        <v>8991</v>
      </c>
      <c r="J907" t="s">
        <v>4171</v>
      </c>
      <c r="K907" t="s">
        <v>123</v>
      </c>
      <c r="L907">
        <v>23885.27</v>
      </c>
      <c r="M907">
        <v>439</v>
      </c>
      <c r="N907" t="s">
        <v>34</v>
      </c>
      <c r="O907" t="s">
        <v>123</v>
      </c>
    </row>
    <row r="908" spans="1:15" x14ac:dyDescent="0.3">
      <c r="A908" t="s">
        <v>4170</v>
      </c>
      <c r="B908" t="s">
        <v>4169</v>
      </c>
      <c r="C908" t="s">
        <v>74</v>
      </c>
      <c r="D908">
        <v>32</v>
      </c>
      <c r="E908" t="s">
        <v>21</v>
      </c>
      <c r="F908" t="s">
        <v>20</v>
      </c>
      <c r="G908" s="8">
        <v>46145</v>
      </c>
      <c r="H908" s="8">
        <v>46169</v>
      </c>
      <c r="I908" t="s">
        <v>8992</v>
      </c>
      <c r="J908" t="s">
        <v>4167</v>
      </c>
      <c r="K908" t="s">
        <v>64</v>
      </c>
      <c r="L908">
        <v>2815.65</v>
      </c>
      <c r="M908">
        <v>182</v>
      </c>
      <c r="N908" t="s">
        <v>43</v>
      </c>
      <c r="O908" t="s">
        <v>27</v>
      </c>
    </row>
    <row r="909" spans="1:15" x14ac:dyDescent="0.3">
      <c r="A909" t="s">
        <v>4166</v>
      </c>
      <c r="B909" t="s">
        <v>4165</v>
      </c>
      <c r="C909" t="s">
        <v>123</v>
      </c>
      <c r="D909">
        <v>36</v>
      </c>
      <c r="E909" t="s">
        <v>21</v>
      </c>
      <c r="F909" t="s">
        <v>30</v>
      </c>
      <c r="G909" s="8">
        <v>46099</v>
      </c>
      <c r="H909" s="8">
        <v>46120</v>
      </c>
      <c r="I909" t="s">
        <v>8993</v>
      </c>
      <c r="J909" t="s">
        <v>4163</v>
      </c>
      <c r="K909" t="s">
        <v>123</v>
      </c>
      <c r="L909">
        <v>23797.3</v>
      </c>
      <c r="M909">
        <v>440</v>
      </c>
      <c r="N909" t="s">
        <v>71</v>
      </c>
      <c r="O909" t="s">
        <v>64</v>
      </c>
    </row>
    <row r="910" spans="1:15" x14ac:dyDescent="0.3">
      <c r="A910" t="s">
        <v>4162</v>
      </c>
      <c r="B910" t="s">
        <v>4161</v>
      </c>
      <c r="C910" t="s">
        <v>123</v>
      </c>
      <c r="D910">
        <v>12</v>
      </c>
      <c r="E910" t="s">
        <v>31</v>
      </c>
      <c r="F910" t="s">
        <v>8077</v>
      </c>
      <c r="G910" s="8">
        <v>46073</v>
      </c>
      <c r="H910" s="8">
        <v>46102</v>
      </c>
      <c r="I910" t="s">
        <v>8994</v>
      </c>
      <c r="J910" t="s">
        <v>4159</v>
      </c>
      <c r="K910" t="s">
        <v>64</v>
      </c>
      <c r="L910">
        <v>16170.87</v>
      </c>
      <c r="M910">
        <v>467</v>
      </c>
      <c r="N910" t="s">
        <v>25</v>
      </c>
      <c r="O910" t="s">
        <v>123</v>
      </c>
    </row>
    <row r="911" spans="1:15" x14ac:dyDescent="0.3">
      <c r="A911" t="s">
        <v>4158</v>
      </c>
      <c r="B911" t="s">
        <v>4157</v>
      </c>
      <c r="C911" t="s">
        <v>123</v>
      </c>
      <c r="D911">
        <v>84</v>
      </c>
      <c r="E911" t="s">
        <v>54</v>
      </c>
      <c r="F911" t="s">
        <v>8077</v>
      </c>
      <c r="G911" s="8">
        <v>46015</v>
      </c>
      <c r="H911" s="8">
        <v>46022</v>
      </c>
      <c r="I911" t="s">
        <v>8995</v>
      </c>
      <c r="J911" t="s">
        <v>4155</v>
      </c>
      <c r="K911" t="s">
        <v>27</v>
      </c>
      <c r="L911">
        <v>3069.11</v>
      </c>
      <c r="M911">
        <v>157</v>
      </c>
      <c r="N911" t="s">
        <v>77</v>
      </c>
      <c r="O911" t="s">
        <v>64</v>
      </c>
    </row>
    <row r="912" spans="1:15" x14ac:dyDescent="0.3">
      <c r="A912" t="s">
        <v>4154</v>
      </c>
      <c r="B912" t="s">
        <v>4153</v>
      </c>
      <c r="C912" t="s">
        <v>74</v>
      </c>
      <c r="D912">
        <v>76</v>
      </c>
      <c r="E912" t="s">
        <v>21</v>
      </c>
      <c r="F912" t="s">
        <v>20</v>
      </c>
      <c r="G912" s="8">
        <v>45989</v>
      </c>
      <c r="H912" s="8">
        <v>46007</v>
      </c>
      <c r="I912" t="s">
        <v>8996</v>
      </c>
      <c r="J912" t="s">
        <v>4151</v>
      </c>
      <c r="K912" t="s">
        <v>64</v>
      </c>
      <c r="L912">
        <v>3359.95</v>
      </c>
      <c r="M912">
        <v>294</v>
      </c>
      <c r="N912" t="s">
        <v>34</v>
      </c>
      <c r="O912" t="s">
        <v>17</v>
      </c>
    </row>
    <row r="913" spans="1:15" x14ac:dyDescent="0.3">
      <c r="A913" t="s">
        <v>4150</v>
      </c>
      <c r="B913" t="s">
        <v>4149</v>
      </c>
      <c r="C913" t="s">
        <v>40</v>
      </c>
      <c r="D913">
        <v>40</v>
      </c>
      <c r="E913" t="s">
        <v>47</v>
      </c>
      <c r="F913" t="s">
        <v>8077</v>
      </c>
      <c r="G913" s="8">
        <v>46076</v>
      </c>
      <c r="H913" s="8">
        <v>46103</v>
      </c>
      <c r="I913" t="s">
        <v>8997</v>
      </c>
      <c r="J913" t="s">
        <v>4147</v>
      </c>
      <c r="K913" t="s">
        <v>123</v>
      </c>
      <c r="L913">
        <v>24500.27</v>
      </c>
      <c r="M913">
        <v>494</v>
      </c>
      <c r="N913" t="s">
        <v>43</v>
      </c>
      <c r="O913" t="s">
        <v>17</v>
      </c>
    </row>
    <row r="914" spans="1:15" x14ac:dyDescent="0.3">
      <c r="A914" t="s">
        <v>4146</v>
      </c>
      <c r="B914" t="s">
        <v>4145</v>
      </c>
      <c r="C914" t="s">
        <v>40</v>
      </c>
      <c r="D914">
        <v>67</v>
      </c>
      <c r="E914" t="s">
        <v>21</v>
      </c>
      <c r="F914" t="s">
        <v>20</v>
      </c>
      <c r="G914" s="8">
        <v>46074</v>
      </c>
      <c r="H914" s="8">
        <v>46086</v>
      </c>
      <c r="I914" t="s">
        <v>8998</v>
      </c>
      <c r="J914" t="s">
        <v>4143</v>
      </c>
      <c r="K914" t="s">
        <v>27</v>
      </c>
      <c r="L914">
        <v>13549.66</v>
      </c>
      <c r="M914">
        <v>261</v>
      </c>
      <c r="N914" t="s">
        <v>71</v>
      </c>
      <c r="O914" t="s">
        <v>123</v>
      </c>
    </row>
    <row r="915" spans="1:15" x14ac:dyDescent="0.3">
      <c r="A915" t="s">
        <v>4142</v>
      </c>
      <c r="B915" t="s">
        <v>4141</v>
      </c>
      <c r="C915" t="s">
        <v>40</v>
      </c>
      <c r="D915">
        <v>29</v>
      </c>
      <c r="E915" t="s">
        <v>68</v>
      </c>
      <c r="F915" t="s">
        <v>85</v>
      </c>
      <c r="G915" s="8">
        <v>46038</v>
      </c>
      <c r="H915" s="8">
        <v>46042</v>
      </c>
      <c r="I915" t="s">
        <v>8999</v>
      </c>
      <c r="J915" t="s">
        <v>4139</v>
      </c>
      <c r="K915" t="s">
        <v>27</v>
      </c>
      <c r="L915">
        <v>3817.59</v>
      </c>
      <c r="M915">
        <v>406</v>
      </c>
      <c r="N915" t="s">
        <v>43</v>
      </c>
      <c r="O915" t="s">
        <v>27</v>
      </c>
    </row>
    <row r="916" spans="1:15" x14ac:dyDescent="0.3">
      <c r="A916" t="s">
        <v>4138</v>
      </c>
      <c r="B916" t="s">
        <v>4137</v>
      </c>
      <c r="C916" t="s">
        <v>40</v>
      </c>
      <c r="D916">
        <v>65</v>
      </c>
      <c r="E916" t="s">
        <v>80</v>
      </c>
      <c r="F916" t="s">
        <v>30</v>
      </c>
      <c r="G916" s="8">
        <v>46104</v>
      </c>
      <c r="H916" s="8">
        <v>46131</v>
      </c>
      <c r="I916" t="s">
        <v>9000</v>
      </c>
      <c r="J916" t="s">
        <v>4135</v>
      </c>
      <c r="K916" t="s">
        <v>123</v>
      </c>
      <c r="L916">
        <v>15850.71</v>
      </c>
      <c r="M916">
        <v>353</v>
      </c>
      <c r="N916" t="s">
        <v>43</v>
      </c>
      <c r="O916" t="s">
        <v>57</v>
      </c>
    </row>
    <row r="917" spans="1:15" x14ac:dyDescent="0.3">
      <c r="A917" t="s">
        <v>4134</v>
      </c>
      <c r="B917" t="s">
        <v>4133</v>
      </c>
      <c r="C917" t="s">
        <v>123</v>
      </c>
      <c r="D917">
        <v>8</v>
      </c>
      <c r="E917" t="s">
        <v>31</v>
      </c>
      <c r="F917" t="s">
        <v>20</v>
      </c>
      <c r="G917" s="8">
        <v>46111</v>
      </c>
      <c r="H917" s="8">
        <v>46137</v>
      </c>
      <c r="I917" t="s">
        <v>9001</v>
      </c>
      <c r="J917" t="s">
        <v>4131</v>
      </c>
      <c r="K917" t="s">
        <v>64</v>
      </c>
      <c r="L917">
        <v>21232.13</v>
      </c>
      <c r="M917">
        <v>458</v>
      </c>
      <c r="N917" t="s">
        <v>25</v>
      </c>
      <c r="O917" t="s">
        <v>57</v>
      </c>
    </row>
    <row r="918" spans="1:15" x14ac:dyDescent="0.3">
      <c r="A918" t="s">
        <v>4130</v>
      </c>
      <c r="B918" t="s">
        <v>4129</v>
      </c>
      <c r="C918" t="s">
        <v>40</v>
      </c>
      <c r="D918">
        <v>23</v>
      </c>
      <c r="E918" t="s">
        <v>68</v>
      </c>
      <c r="F918" t="s">
        <v>67</v>
      </c>
      <c r="G918" s="8">
        <v>46006</v>
      </c>
      <c r="H918" s="8">
        <v>46015</v>
      </c>
      <c r="I918" t="s">
        <v>9002</v>
      </c>
      <c r="J918" t="s">
        <v>4127</v>
      </c>
      <c r="K918" t="s">
        <v>27</v>
      </c>
      <c r="L918">
        <v>24778.37</v>
      </c>
      <c r="M918">
        <v>272</v>
      </c>
      <c r="N918" t="s">
        <v>16</v>
      </c>
      <c r="O918" t="s">
        <v>123</v>
      </c>
    </row>
    <row r="919" spans="1:15" x14ac:dyDescent="0.3">
      <c r="A919" t="s">
        <v>4126</v>
      </c>
      <c r="B919" t="s">
        <v>4125</v>
      </c>
      <c r="C919" t="s">
        <v>123</v>
      </c>
      <c r="D919">
        <v>45</v>
      </c>
      <c r="E919" t="s">
        <v>54</v>
      </c>
      <c r="F919" t="s">
        <v>67</v>
      </c>
      <c r="G919" s="8">
        <v>45994</v>
      </c>
      <c r="H919" s="8">
        <v>45996</v>
      </c>
      <c r="I919" t="s">
        <v>9003</v>
      </c>
      <c r="J919" t="s">
        <v>4123</v>
      </c>
      <c r="K919" t="s">
        <v>27</v>
      </c>
      <c r="L919">
        <v>7202.63</v>
      </c>
      <c r="M919">
        <v>458</v>
      </c>
      <c r="N919" t="s">
        <v>50</v>
      </c>
      <c r="O919" t="s">
        <v>57</v>
      </c>
    </row>
    <row r="920" spans="1:15" x14ac:dyDescent="0.3">
      <c r="A920" t="s">
        <v>4122</v>
      </c>
      <c r="B920" t="s">
        <v>4121</v>
      </c>
      <c r="C920" t="s">
        <v>123</v>
      </c>
      <c r="D920">
        <v>13</v>
      </c>
      <c r="E920" t="s">
        <v>39</v>
      </c>
      <c r="F920" t="s">
        <v>67</v>
      </c>
      <c r="G920" s="8">
        <v>46098</v>
      </c>
      <c r="H920" s="8">
        <v>46122</v>
      </c>
      <c r="I920" t="s">
        <v>9004</v>
      </c>
      <c r="J920" t="s">
        <v>4119</v>
      </c>
      <c r="K920" t="s">
        <v>27</v>
      </c>
      <c r="L920">
        <v>21275.279999999999</v>
      </c>
      <c r="M920">
        <v>334</v>
      </c>
      <c r="N920" t="s">
        <v>25</v>
      </c>
      <c r="O920" t="s">
        <v>63</v>
      </c>
    </row>
    <row r="921" spans="1:15" x14ac:dyDescent="0.3">
      <c r="A921" t="s">
        <v>4118</v>
      </c>
      <c r="B921" t="s">
        <v>4117</v>
      </c>
      <c r="C921" t="s">
        <v>40</v>
      </c>
      <c r="D921">
        <v>74</v>
      </c>
      <c r="E921" t="s">
        <v>39</v>
      </c>
      <c r="F921" t="s">
        <v>85</v>
      </c>
      <c r="G921" s="8">
        <v>46104</v>
      </c>
      <c r="H921" s="8">
        <v>46126</v>
      </c>
      <c r="I921" t="s">
        <v>9005</v>
      </c>
      <c r="J921" t="s">
        <v>4115</v>
      </c>
      <c r="K921" t="s">
        <v>123</v>
      </c>
      <c r="L921">
        <v>7418.82</v>
      </c>
      <c r="M921">
        <v>207</v>
      </c>
      <c r="N921" t="s">
        <v>71</v>
      </c>
      <c r="O921" t="s">
        <v>26</v>
      </c>
    </row>
    <row r="922" spans="1:15" x14ac:dyDescent="0.3">
      <c r="A922" t="s">
        <v>4114</v>
      </c>
      <c r="B922" t="s">
        <v>4113</v>
      </c>
      <c r="C922" t="s">
        <v>74</v>
      </c>
      <c r="D922">
        <v>84</v>
      </c>
      <c r="E922" t="s">
        <v>47</v>
      </c>
      <c r="F922" t="s">
        <v>67</v>
      </c>
      <c r="G922" s="8">
        <v>46117</v>
      </c>
      <c r="H922" s="8">
        <v>46140</v>
      </c>
      <c r="I922" t="s">
        <v>9006</v>
      </c>
      <c r="J922" t="s">
        <v>4111</v>
      </c>
      <c r="K922" t="s">
        <v>64</v>
      </c>
      <c r="L922">
        <v>17022.28</v>
      </c>
      <c r="M922">
        <v>292</v>
      </c>
      <c r="N922" t="s">
        <v>16</v>
      </c>
      <c r="O922" t="s">
        <v>26</v>
      </c>
    </row>
    <row r="923" spans="1:15" x14ac:dyDescent="0.3">
      <c r="A923" t="s">
        <v>4110</v>
      </c>
      <c r="B923" t="s">
        <v>4109</v>
      </c>
      <c r="C923" t="s">
        <v>40</v>
      </c>
      <c r="D923">
        <v>8</v>
      </c>
      <c r="E923" t="s">
        <v>80</v>
      </c>
      <c r="F923" t="s">
        <v>67</v>
      </c>
      <c r="G923" s="8">
        <v>45992</v>
      </c>
      <c r="H923" s="8">
        <v>46007</v>
      </c>
      <c r="I923" t="s">
        <v>9007</v>
      </c>
      <c r="J923" t="s">
        <v>4107</v>
      </c>
      <c r="K923" t="s">
        <v>27</v>
      </c>
      <c r="L923">
        <v>23637.57</v>
      </c>
      <c r="M923">
        <v>363</v>
      </c>
      <c r="N923" t="s">
        <v>25</v>
      </c>
      <c r="O923" t="s">
        <v>64</v>
      </c>
    </row>
    <row r="924" spans="1:15" x14ac:dyDescent="0.3">
      <c r="A924" t="s">
        <v>4102</v>
      </c>
      <c r="B924" t="s">
        <v>4101</v>
      </c>
      <c r="C924" t="s">
        <v>123</v>
      </c>
      <c r="D924">
        <v>39</v>
      </c>
      <c r="E924" t="s">
        <v>39</v>
      </c>
      <c r="F924" t="s">
        <v>67</v>
      </c>
      <c r="G924" s="8">
        <v>46075</v>
      </c>
      <c r="H924" s="8">
        <v>46099</v>
      </c>
      <c r="I924" t="s">
        <v>9008</v>
      </c>
      <c r="J924" t="s">
        <v>4099</v>
      </c>
      <c r="K924" t="s">
        <v>64</v>
      </c>
      <c r="L924">
        <v>19487.72</v>
      </c>
      <c r="M924">
        <v>240</v>
      </c>
      <c r="N924" t="s">
        <v>25</v>
      </c>
      <c r="O924" t="s">
        <v>123</v>
      </c>
    </row>
    <row r="925" spans="1:15" x14ac:dyDescent="0.3">
      <c r="A925" t="s">
        <v>4098</v>
      </c>
      <c r="B925" t="s">
        <v>4097</v>
      </c>
      <c r="C925" t="s">
        <v>123</v>
      </c>
      <c r="D925">
        <v>48</v>
      </c>
      <c r="E925" t="s">
        <v>47</v>
      </c>
      <c r="F925" t="s">
        <v>20</v>
      </c>
      <c r="G925" s="8">
        <v>45979</v>
      </c>
      <c r="H925" s="8">
        <v>45982</v>
      </c>
      <c r="I925" t="s">
        <v>9009</v>
      </c>
      <c r="J925" t="s">
        <v>4095</v>
      </c>
      <c r="K925" t="s">
        <v>64</v>
      </c>
      <c r="L925">
        <v>3226.88</v>
      </c>
      <c r="M925">
        <v>111</v>
      </c>
      <c r="N925" t="s">
        <v>34</v>
      </c>
      <c r="O925" t="s">
        <v>57</v>
      </c>
    </row>
    <row r="926" spans="1:15" x14ac:dyDescent="0.3">
      <c r="A926" t="s">
        <v>4094</v>
      </c>
      <c r="B926" t="s">
        <v>4093</v>
      </c>
      <c r="C926" t="s">
        <v>123</v>
      </c>
      <c r="D926">
        <v>36</v>
      </c>
      <c r="E926" t="s">
        <v>80</v>
      </c>
      <c r="F926" t="s">
        <v>20</v>
      </c>
      <c r="G926" s="8">
        <v>46100</v>
      </c>
      <c r="H926" s="8">
        <v>46112</v>
      </c>
      <c r="I926" t="s">
        <v>9010</v>
      </c>
      <c r="J926" t="s">
        <v>4091</v>
      </c>
      <c r="K926" t="s">
        <v>123</v>
      </c>
      <c r="L926">
        <v>24998.86</v>
      </c>
      <c r="M926">
        <v>252</v>
      </c>
      <c r="N926" t="s">
        <v>34</v>
      </c>
      <c r="O926" t="s">
        <v>123</v>
      </c>
    </row>
    <row r="927" spans="1:15" x14ac:dyDescent="0.3">
      <c r="A927" t="s">
        <v>4090</v>
      </c>
      <c r="B927" t="s">
        <v>4089</v>
      </c>
      <c r="C927" t="s">
        <v>40</v>
      </c>
      <c r="D927">
        <v>13</v>
      </c>
      <c r="E927" t="s">
        <v>31</v>
      </c>
      <c r="F927" t="s">
        <v>20</v>
      </c>
      <c r="G927" s="8">
        <v>46097</v>
      </c>
      <c r="H927" s="8">
        <v>46119</v>
      </c>
      <c r="I927" t="s">
        <v>9011</v>
      </c>
      <c r="J927" t="s">
        <v>4087</v>
      </c>
      <c r="K927" t="s">
        <v>27</v>
      </c>
      <c r="L927">
        <v>10252.200000000001</v>
      </c>
      <c r="M927">
        <v>301</v>
      </c>
      <c r="N927" t="s">
        <v>34</v>
      </c>
      <c r="O927" t="s">
        <v>27</v>
      </c>
    </row>
    <row r="928" spans="1:15" x14ac:dyDescent="0.3">
      <c r="A928" t="s">
        <v>4086</v>
      </c>
      <c r="B928" t="s">
        <v>4085</v>
      </c>
      <c r="C928" t="s">
        <v>123</v>
      </c>
      <c r="D928">
        <v>9</v>
      </c>
      <c r="E928" t="s">
        <v>80</v>
      </c>
      <c r="F928" t="s">
        <v>8077</v>
      </c>
      <c r="G928" s="8">
        <v>46125</v>
      </c>
      <c r="H928" s="8">
        <v>46155</v>
      </c>
      <c r="I928" t="s">
        <v>9012</v>
      </c>
      <c r="J928" t="s">
        <v>4083</v>
      </c>
      <c r="K928" t="s">
        <v>64</v>
      </c>
      <c r="L928">
        <v>4680.47</v>
      </c>
      <c r="M928">
        <v>102</v>
      </c>
      <c r="N928" t="s">
        <v>34</v>
      </c>
      <c r="O928" t="s">
        <v>26</v>
      </c>
    </row>
    <row r="929" spans="1:15" x14ac:dyDescent="0.3">
      <c r="A929" t="s">
        <v>4082</v>
      </c>
      <c r="B929" t="s">
        <v>4081</v>
      </c>
      <c r="C929" t="s">
        <v>123</v>
      </c>
      <c r="D929">
        <v>41</v>
      </c>
      <c r="E929" t="s">
        <v>80</v>
      </c>
      <c r="F929" t="s">
        <v>46</v>
      </c>
      <c r="G929" s="8">
        <v>46028</v>
      </c>
      <c r="H929" s="8">
        <v>46032</v>
      </c>
      <c r="I929" t="s">
        <v>9013</v>
      </c>
      <c r="J929" t="s">
        <v>4079</v>
      </c>
      <c r="K929" t="s">
        <v>64</v>
      </c>
      <c r="L929">
        <v>16385.48</v>
      </c>
      <c r="M929">
        <v>387</v>
      </c>
      <c r="N929" t="s">
        <v>43</v>
      </c>
      <c r="O929" t="s">
        <v>64</v>
      </c>
    </row>
    <row r="930" spans="1:15" x14ac:dyDescent="0.3">
      <c r="A930" t="s">
        <v>4078</v>
      </c>
      <c r="B930" t="s">
        <v>4077</v>
      </c>
      <c r="C930" t="s">
        <v>40</v>
      </c>
      <c r="D930">
        <v>11</v>
      </c>
      <c r="E930" t="s">
        <v>80</v>
      </c>
      <c r="F930" t="s">
        <v>30</v>
      </c>
      <c r="G930" s="8">
        <v>46041</v>
      </c>
      <c r="H930" s="8">
        <v>46052</v>
      </c>
      <c r="I930" t="s">
        <v>9014</v>
      </c>
      <c r="J930" t="s">
        <v>4075</v>
      </c>
      <c r="K930" t="s">
        <v>27</v>
      </c>
      <c r="L930">
        <v>10691.67</v>
      </c>
      <c r="M930">
        <v>227</v>
      </c>
      <c r="N930" t="s">
        <v>43</v>
      </c>
      <c r="O930" t="s">
        <v>27</v>
      </c>
    </row>
    <row r="931" spans="1:15" x14ac:dyDescent="0.3">
      <c r="A931" t="s">
        <v>4074</v>
      </c>
      <c r="B931" t="s">
        <v>4073</v>
      </c>
      <c r="C931" t="s">
        <v>40</v>
      </c>
      <c r="D931">
        <v>67</v>
      </c>
      <c r="E931" t="s">
        <v>132</v>
      </c>
      <c r="F931" t="s">
        <v>85</v>
      </c>
      <c r="G931" s="8">
        <v>46134</v>
      </c>
      <c r="H931" s="8">
        <v>46138</v>
      </c>
      <c r="I931" t="s">
        <v>9015</v>
      </c>
      <c r="J931" t="s">
        <v>4071</v>
      </c>
      <c r="K931" t="s">
        <v>123</v>
      </c>
      <c r="L931">
        <v>17438.52</v>
      </c>
      <c r="M931">
        <v>410</v>
      </c>
      <c r="N931" t="s">
        <v>34</v>
      </c>
      <c r="O931" t="s">
        <v>17</v>
      </c>
    </row>
    <row r="932" spans="1:15" x14ac:dyDescent="0.3">
      <c r="A932" t="s">
        <v>4070</v>
      </c>
      <c r="B932" t="s">
        <v>4069</v>
      </c>
      <c r="C932" t="s">
        <v>74</v>
      </c>
      <c r="D932">
        <v>89</v>
      </c>
      <c r="E932" t="s">
        <v>80</v>
      </c>
      <c r="F932" t="s">
        <v>46</v>
      </c>
      <c r="G932" s="8">
        <v>46055</v>
      </c>
      <c r="H932" s="8">
        <v>46062</v>
      </c>
      <c r="I932" t="s">
        <v>9016</v>
      </c>
      <c r="J932" t="s">
        <v>4067</v>
      </c>
      <c r="K932" t="s">
        <v>27</v>
      </c>
      <c r="L932">
        <v>4864.2299999999996</v>
      </c>
      <c r="M932">
        <v>538</v>
      </c>
      <c r="N932" t="s">
        <v>50</v>
      </c>
      <c r="O932" t="s">
        <v>63</v>
      </c>
    </row>
    <row r="933" spans="1:15" x14ac:dyDescent="0.3">
      <c r="A933" t="s">
        <v>4066</v>
      </c>
      <c r="B933" t="s">
        <v>8057</v>
      </c>
      <c r="C933" t="s">
        <v>74</v>
      </c>
      <c r="D933">
        <v>18</v>
      </c>
      <c r="E933" t="s">
        <v>21</v>
      </c>
      <c r="F933" t="s">
        <v>67</v>
      </c>
      <c r="G933" s="8">
        <v>46105</v>
      </c>
      <c r="H933" s="8">
        <v>46113</v>
      </c>
      <c r="I933" t="s">
        <v>9017</v>
      </c>
      <c r="J933" t="s">
        <v>4063</v>
      </c>
      <c r="K933" t="s">
        <v>27</v>
      </c>
      <c r="L933">
        <v>18281.79</v>
      </c>
      <c r="M933">
        <v>138</v>
      </c>
      <c r="N933" t="s">
        <v>34</v>
      </c>
      <c r="O933" t="s">
        <v>123</v>
      </c>
    </row>
    <row r="934" spans="1:15" x14ac:dyDescent="0.3">
      <c r="A934" t="s">
        <v>4062</v>
      </c>
      <c r="B934" t="s">
        <v>4061</v>
      </c>
      <c r="C934" t="s">
        <v>40</v>
      </c>
      <c r="D934">
        <v>34</v>
      </c>
      <c r="E934" t="s">
        <v>54</v>
      </c>
      <c r="F934" t="s">
        <v>20</v>
      </c>
      <c r="G934" s="8">
        <v>46067</v>
      </c>
      <c r="H934" s="8">
        <v>46079</v>
      </c>
      <c r="I934" t="s">
        <v>9018</v>
      </c>
      <c r="J934" t="s">
        <v>4059</v>
      </c>
      <c r="K934" t="s">
        <v>123</v>
      </c>
      <c r="L934">
        <v>2264.6999999999998</v>
      </c>
      <c r="M934">
        <v>446</v>
      </c>
      <c r="N934" t="s">
        <v>16</v>
      </c>
      <c r="O934" t="s">
        <v>63</v>
      </c>
    </row>
    <row r="935" spans="1:15" x14ac:dyDescent="0.3">
      <c r="A935" t="s">
        <v>4058</v>
      </c>
      <c r="B935" t="s">
        <v>4057</v>
      </c>
      <c r="C935" t="s">
        <v>40</v>
      </c>
      <c r="D935">
        <v>69</v>
      </c>
      <c r="E935" t="s">
        <v>21</v>
      </c>
      <c r="F935" t="s">
        <v>20</v>
      </c>
      <c r="G935" s="8">
        <v>46030</v>
      </c>
      <c r="H935" s="8">
        <v>46050</v>
      </c>
      <c r="I935" t="s">
        <v>9019</v>
      </c>
      <c r="J935" t="s">
        <v>4055</v>
      </c>
      <c r="K935" t="s">
        <v>27</v>
      </c>
      <c r="L935">
        <v>24884.91</v>
      </c>
      <c r="M935">
        <v>465</v>
      </c>
      <c r="N935" t="s">
        <v>43</v>
      </c>
      <c r="O935" t="s">
        <v>57</v>
      </c>
    </row>
    <row r="936" spans="1:15" x14ac:dyDescent="0.3">
      <c r="A936" t="s">
        <v>4054</v>
      </c>
      <c r="B936" t="s">
        <v>4053</v>
      </c>
      <c r="C936" t="s">
        <v>40</v>
      </c>
      <c r="D936">
        <v>54</v>
      </c>
      <c r="E936" t="s">
        <v>39</v>
      </c>
      <c r="F936" t="s">
        <v>67</v>
      </c>
      <c r="G936" s="8">
        <v>46119</v>
      </c>
      <c r="H936" s="8">
        <v>46144</v>
      </c>
      <c r="I936" t="s">
        <v>9020</v>
      </c>
      <c r="J936" t="s">
        <v>4051</v>
      </c>
      <c r="K936" t="s">
        <v>123</v>
      </c>
      <c r="L936">
        <v>9597.76</v>
      </c>
      <c r="M936">
        <v>139</v>
      </c>
      <c r="N936" t="s">
        <v>43</v>
      </c>
      <c r="O936" t="s">
        <v>57</v>
      </c>
    </row>
    <row r="937" spans="1:15" x14ac:dyDescent="0.3">
      <c r="A937" t="s">
        <v>4050</v>
      </c>
      <c r="B937" t="s">
        <v>4049</v>
      </c>
      <c r="C937" t="s">
        <v>74</v>
      </c>
      <c r="D937">
        <v>69</v>
      </c>
      <c r="E937" t="s">
        <v>80</v>
      </c>
      <c r="F937" t="s">
        <v>67</v>
      </c>
      <c r="G937" s="8">
        <v>46067</v>
      </c>
      <c r="H937" s="8">
        <v>46069</v>
      </c>
      <c r="I937" t="s">
        <v>9021</v>
      </c>
      <c r="J937" t="s">
        <v>4047</v>
      </c>
      <c r="K937" t="s">
        <v>64</v>
      </c>
      <c r="L937">
        <v>16076.4</v>
      </c>
      <c r="M937">
        <v>270</v>
      </c>
      <c r="N937" t="s">
        <v>50</v>
      </c>
      <c r="O937" t="s">
        <v>17</v>
      </c>
    </row>
    <row r="938" spans="1:15" x14ac:dyDescent="0.3">
      <c r="A938" t="s">
        <v>4042</v>
      </c>
      <c r="B938" t="s">
        <v>4041</v>
      </c>
      <c r="C938" t="s">
        <v>74</v>
      </c>
      <c r="D938">
        <v>23</v>
      </c>
      <c r="E938" t="s">
        <v>132</v>
      </c>
      <c r="F938" t="s">
        <v>85</v>
      </c>
      <c r="G938" s="8">
        <v>46124</v>
      </c>
      <c r="H938" s="8">
        <v>46127</v>
      </c>
      <c r="I938" t="s">
        <v>9022</v>
      </c>
      <c r="J938" t="s">
        <v>4039</v>
      </c>
      <c r="K938" t="s">
        <v>64</v>
      </c>
      <c r="L938">
        <v>17571.3</v>
      </c>
      <c r="M938">
        <v>382</v>
      </c>
      <c r="N938" t="s">
        <v>43</v>
      </c>
      <c r="O938" t="s">
        <v>63</v>
      </c>
    </row>
    <row r="939" spans="1:15" x14ac:dyDescent="0.3">
      <c r="A939" t="s">
        <v>4038</v>
      </c>
      <c r="B939" t="s">
        <v>4037</v>
      </c>
      <c r="C939" t="s">
        <v>74</v>
      </c>
      <c r="D939">
        <v>7</v>
      </c>
      <c r="E939" t="s">
        <v>39</v>
      </c>
      <c r="F939" t="s">
        <v>67</v>
      </c>
      <c r="G939" s="8">
        <v>46140</v>
      </c>
      <c r="H939" s="8">
        <v>46170</v>
      </c>
      <c r="I939" t="s">
        <v>9023</v>
      </c>
      <c r="J939" t="s">
        <v>4035</v>
      </c>
      <c r="K939" t="s">
        <v>123</v>
      </c>
      <c r="L939">
        <v>4680.68</v>
      </c>
      <c r="M939">
        <v>344</v>
      </c>
      <c r="N939" t="s">
        <v>34</v>
      </c>
      <c r="O939" t="s">
        <v>123</v>
      </c>
    </row>
    <row r="940" spans="1:15" x14ac:dyDescent="0.3">
      <c r="A940" t="s">
        <v>4034</v>
      </c>
      <c r="B940" t="s">
        <v>4033</v>
      </c>
      <c r="C940" t="s">
        <v>40</v>
      </c>
      <c r="D940">
        <v>34</v>
      </c>
      <c r="E940" t="s">
        <v>47</v>
      </c>
      <c r="F940" t="s">
        <v>20</v>
      </c>
      <c r="G940" s="8">
        <v>46112</v>
      </c>
      <c r="H940" s="8">
        <v>46133</v>
      </c>
      <c r="I940" t="s">
        <v>9024</v>
      </c>
      <c r="J940" t="s">
        <v>4031</v>
      </c>
      <c r="K940" t="s">
        <v>27</v>
      </c>
      <c r="L940">
        <v>3738.22</v>
      </c>
      <c r="M940">
        <v>127</v>
      </c>
      <c r="N940" t="s">
        <v>25</v>
      </c>
      <c r="O940" t="s">
        <v>63</v>
      </c>
    </row>
    <row r="941" spans="1:15" x14ac:dyDescent="0.3">
      <c r="A941" t="s">
        <v>4030</v>
      </c>
      <c r="B941" t="s">
        <v>4029</v>
      </c>
      <c r="C941" t="s">
        <v>74</v>
      </c>
      <c r="D941">
        <v>32</v>
      </c>
      <c r="E941" t="s">
        <v>54</v>
      </c>
      <c r="F941" t="s">
        <v>85</v>
      </c>
      <c r="G941" s="8">
        <v>46127</v>
      </c>
      <c r="H941" s="8">
        <v>46132</v>
      </c>
      <c r="I941" t="s">
        <v>9025</v>
      </c>
      <c r="J941" t="s">
        <v>4027</v>
      </c>
      <c r="K941" t="s">
        <v>123</v>
      </c>
      <c r="L941">
        <v>24658.91</v>
      </c>
      <c r="M941">
        <v>357</v>
      </c>
      <c r="N941" t="s">
        <v>43</v>
      </c>
      <c r="O941" t="s">
        <v>123</v>
      </c>
    </row>
    <row r="942" spans="1:15" x14ac:dyDescent="0.3">
      <c r="A942" t="s">
        <v>4026</v>
      </c>
      <c r="B942" t="s">
        <v>4025</v>
      </c>
      <c r="C942" t="s">
        <v>40</v>
      </c>
      <c r="D942">
        <v>55</v>
      </c>
      <c r="E942" t="s">
        <v>21</v>
      </c>
      <c r="F942" t="s">
        <v>30</v>
      </c>
      <c r="G942" s="8">
        <v>46134</v>
      </c>
      <c r="H942" s="8">
        <v>46154</v>
      </c>
      <c r="I942" t="s">
        <v>9026</v>
      </c>
      <c r="J942" t="s">
        <v>4023</v>
      </c>
      <c r="K942" t="s">
        <v>64</v>
      </c>
      <c r="L942">
        <v>23696.880000000001</v>
      </c>
      <c r="M942">
        <v>494</v>
      </c>
      <c r="N942" t="s">
        <v>43</v>
      </c>
      <c r="O942" t="s">
        <v>123</v>
      </c>
    </row>
    <row r="943" spans="1:15" x14ac:dyDescent="0.3">
      <c r="A943" t="s">
        <v>4022</v>
      </c>
      <c r="B943" t="s">
        <v>4021</v>
      </c>
      <c r="C943" t="s">
        <v>74</v>
      </c>
      <c r="D943">
        <v>82</v>
      </c>
      <c r="E943" t="s">
        <v>80</v>
      </c>
      <c r="F943" t="s">
        <v>20</v>
      </c>
      <c r="G943" s="8">
        <v>46130</v>
      </c>
      <c r="H943" s="8">
        <v>46153</v>
      </c>
      <c r="I943" t="s">
        <v>9027</v>
      </c>
      <c r="J943" t="s">
        <v>4019</v>
      </c>
      <c r="K943" t="s">
        <v>64</v>
      </c>
      <c r="L943">
        <v>23632.7</v>
      </c>
      <c r="M943">
        <v>394</v>
      </c>
      <c r="N943" t="s">
        <v>77</v>
      </c>
      <c r="O943" t="s">
        <v>26</v>
      </c>
    </row>
    <row r="944" spans="1:15" x14ac:dyDescent="0.3">
      <c r="A944" t="s">
        <v>4018</v>
      </c>
      <c r="B944" t="s">
        <v>4017</v>
      </c>
      <c r="C944" t="s">
        <v>74</v>
      </c>
      <c r="D944">
        <v>37</v>
      </c>
      <c r="E944" t="s">
        <v>68</v>
      </c>
      <c r="F944" t="s">
        <v>46</v>
      </c>
      <c r="G944" s="8">
        <v>46005</v>
      </c>
      <c r="H944" s="8">
        <v>46035</v>
      </c>
      <c r="I944" t="s">
        <v>9028</v>
      </c>
      <c r="J944" t="s">
        <v>4015</v>
      </c>
      <c r="K944" t="s">
        <v>123</v>
      </c>
      <c r="L944">
        <v>16990.419999999998</v>
      </c>
      <c r="M944">
        <v>345</v>
      </c>
      <c r="N944" t="s">
        <v>16</v>
      </c>
      <c r="O944" t="s">
        <v>26</v>
      </c>
    </row>
    <row r="945" spans="1:15" x14ac:dyDescent="0.3">
      <c r="A945" t="s">
        <v>4014</v>
      </c>
      <c r="B945" t="s">
        <v>4013</v>
      </c>
      <c r="C945" t="s">
        <v>74</v>
      </c>
      <c r="D945">
        <v>52</v>
      </c>
      <c r="E945" t="s">
        <v>47</v>
      </c>
      <c r="F945" t="s">
        <v>8077</v>
      </c>
      <c r="G945" s="8">
        <v>46119</v>
      </c>
      <c r="H945" s="8">
        <v>46148</v>
      </c>
      <c r="I945" t="s">
        <v>9029</v>
      </c>
      <c r="J945" t="s">
        <v>4011</v>
      </c>
      <c r="K945" t="s">
        <v>27</v>
      </c>
      <c r="L945">
        <v>17911.169999999998</v>
      </c>
      <c r="M945">
        <v>225</v>
      </c>
      <c r="N945" t="s">
        <v>25</v>
      </c>
      <c r="O945" t="s">
        <v>17</v>
      </c>
    </row>
    <row r="946" spans="1:15" x14ac:dyDescent="0.3">
      <c r="A946" t="s">
        <v>4010</v>
      </c>
      <c r="B946" t="s">
        <v>4009</v>
      </c>
      <c r="C946" t="s">
        <v>40</v>
      </c>
      <c r="D946">
        <v>78</v>
      </c>
      <c r="E946" t="s">
        <v>68</v>
      </c>
      <c r="F946" t="s">
        <v>20</v>
      </c>
      <c r="G946" s="8">
        <v>46076</v>
      </c>
      <c r="H946" s="8">
        <v>46097</v>
      </c>
      <c r="I946" t="s">
        <v>9030</v>
      </c>
      <c r="J946" t="s">
        <v>4007</v>
      </c>
      <c r="K946" t="s">
        <v>64</v>
      </c>
      <c r="L946">
        <v>4535.3900000000003</v>
      </c>
      <c r="M946">
        <v>529</v>
      </c>
      <c r="N946" t="s">
        <v>71</v>
      </c>
      <c r="O946" t="s">
        <v>17</v>
      </c>
    </row>
    <row r="947" spans="1:15" x14ac:dyDescent="0.3">
      <c r="A947" t="s">
        <v>4006</v>
      </c>
      <c r="B947" t="s">
        <v>4005</v>
      </c>
      <c r="C947" t="s">
        <v>74</v>
      </c>
      <c r="D947">
        <v>7</v>
      </c>
      <c r="E947" t="s">
        <v>54</v>
      </c>
      <c r="F947" t="s">
        <v>85</v>
      </c>
      <c r="G947" s="8">
        <v>45998</v>
      </c>
      <c r="H947" s="8">
        <v>46010</v>
      </c>
      <c r="I947" t="s">
        <v>9031</v>
      </c>
      <c r="J947" t="s">
        <v>4003</v>
      </c>
      <c r="K947" t="s">
        <v>27</v>
      </c>
      <c r="L947">
        <v>9457.44</v>
      </c>
      <c r="M947">
        <v>273</v>
      </c>
      <c r="N947" t="s">
        <v>25</v>
      </c>
      <c r="O947" t="s">
        <v>64</v>
      </c>
    </row>
    <row r="948" spans="1:15" x14ac:dyDescent="0.3">
      <c r="A948" t="s">
        <v>4002</v>
      </c>
      <c r="B948" t="s">
        <v>4001</v>
      </c>
      <c r="C948" t="s">
        <v>74</v>
      </c>
      <c r="D948">
        <v>70</v>
      </c>
      <c r="E948" t="s">
        <v>80</v>
      </c>
      <c r="F948" t="s">
        <v>30</v>
      </c>
      <c r="G948" s="8">
        <v>46063</v>
      </c>
      <c r="H948" s="8">
        <v>46072</v>
      </c>
      <c r="I948" t="s">
        <v>9032</v>
      </c>
      <c r="J948" t="s">
        <v>3999</v>
      </c>
      <c r="K948" t="s">
        <v>123</v>
      </c>
      <c r="L948">
        <v>7479.92</v>
      </c>
      <c r="M948">
        <v>101</v>
      </c>
      <c r="N948" t="s">
        <v>25</v>
      </c>
      <c r="O948" t="s">
        <v>57</v>
      </c>
    </row>
    <row r="949" spans="1:15" x14ac:dyDescent="0.3">
      <c r="A949" t="s">
        <v>3998</v>
      </c>
      <c r="B949" t="s">
        <v>3997</v>
      </c>
      <c r="C949" t="s">
        <v>123</v>
      </c>
      <c r="D949">
        <v>28</v>
      </c>
      <c r="E949" t="s">
        <v>132</v>
      </c>
      <c r="F949" t="s">
        <v>46</v>
      </c>
      <c r="G949" s="8">
        <v>46094</v>
      </c>
      <c r="H949" s="8">
        <v>46123</v>
      </c>
      <c r="I949" t="s">
        <v>9033</v>
      </c>
      <c r="J949" t="s">
        <v>3995</v>
      </c>
      <c r="K949" t="s">
        <v>123</v>
      </c>
      <c r="L949">
        <v>22333.85</v>
      </c>
      <c r="M949">
        <v>129</v>
      </c>
      <c r="N949" t="s">
        <v>43</v>
      </c>
      <c r="O949" t="s">
        <v>123</v>
      </c>
    </row>
    <row r="950" spans="1:15" x14ac:dyDescent="0.3">
      <c r="A950" t="s">
        <v>3994</v>
      </c>
      <c r="B950" t="s">
        <v>3993</v>
      </c>
      <c r="C950" t="s">
        <v>40</v>
      </c>
      <c r="D950">
        <v>79</v>
      </c>
      <c r="E950" t="s">
        <v>68</v>
      </c>
      <c r="F950" t="s">
        <v>67</v>
      </c>
      <c r="G950" s="8">
        <v>46042</v>
      </c>
      <c r="H950" s="8">
        <v>46051</v>
      </c>
      <c r="I950" t="s">
        <v>9034</v>
      </c>
      <c r="J950" t="s">
        <v>3991</v>
      </c>
      <c r="K950" t="s">
        <v>64</v>
      </c>
      <c r="L950">
        <v>2857.67</v>
      </c>
      <c r="M950">
        <v>469</v>
      </c>
      <c r="N950" t="s">
        <v>71</v>
      </c>
      <c r="O950" t="s">
        <v>17</v>
      </c>
    </row>
    <row r="951" spans="1:15" x14ac:dyDescent="0.3">
      <c r="A951" t="s">
        <v>3990</v>
      </c>
      <c r="B951" t="s">
        <v>3989</v>
      </c>
      <c r="C951" t="s">
        <v>123</v>
      </c>
      <c r="D951">
        <v>46</v>
      </c>
      <c r="E951" t="s">
        <v>47</v>
      </c>
      <c r="F951" t="s">
        <v>20</v>
      </c>
      <c r="G951" s="8">
        <v>46091</v>
      </c>
      <c r="H951" s="8">
        <v>46104</v>
      </c>
      <c r="I951" t="s">
        <v>9035</v>
      </c>
      <c r="J951" t="s">
        <v>3987</v>
      </c>
      <c r="K951" t="s">
        <v>123</v>
      </c>
      <c r="L951">
        <v>5099.1000000000004</v>
      </c>
      <c r="M951">
        <v>310</v>
      </c>
      <c r="N951" t="s">
        <v>77</v>
      </c>
      <c r="O951" t="s">
        <v>26</v>
      </c>
    </row>
    <row r="952" spans="1:15" x14ac:dyDescent="0.3">
      <c r="A952" t="s">
        <v>3986</v>
      </c>
      <c r="B952" t="s">
        <v>3985</v>
      </c>
      <c r="C952" t="s">
        <v>123</v>
      </c>
      <c r="D952">
        <v>1</v>
      </c>
      <c r="E952" t="s">
        <v>39</v>
      </c>
      <c r="F952" t="s">
        <v>30</v>
      </c>
      <c r="G952" s="8">
        <v>46112</v>
      </c>
      <c r="H952" s="8">
        <v>46119</v>
      </c>
      <c r="I952" t="s">
        <v>9036</v>
      </c>
      <c r="J952" t="s">
        <v>3983</v>
      </c>
      <c r="K952" t="s">
        <v>123</v>
      </c>
      <c r="L952">
        <v>10004.9</v>
      </c>
      <c r="M952">
        <v>286</v>
      </c>
      <c r="N952" t="s">
        <v>16</v>
      </c>
      <c r="O952" t="s">
        <v>63</v>
      </c>
    </row>
    <row r="953" spans="1:15" x14ac:dyDescent="0.3">
      <c r="A953" t="s">
        <v>3982</v>
      </c>
      <c r="B953" t="s">
        <v>3981</v>
      </c>
      <c r="C953" t="s">
        <v>40</v>
      </c>
      <c r="D953">
        <v>69</v>
      </c>
      <c r="E953" t="s">
        <v>132</v>
      </c>
      <c r="F953" t="s">
        <v>20</v>
      </c>
      <c r="G953" s="8">
        <v>46023</v>
      </c>
      <c r="H953" s="8">
        <v>46037</v>
      </c>
      <c r="I953" t="s">
        <v>9037</v>
      </c>
      <c r="J953" t="s">
        <v>3979</v>
      </c>
      <c r="K953" t="s">
        <v>123</v>
      </c>
      <c r="L953">
        <v>4213.49</v>
      </c>
      <c r="M953">
        <v>482</v>
      </c>
      <c r="N953" t="s">
        <v>16</v>
      </c>
      <c r="O953" t="s">
        <v>17</v>
      </c>
    </row>
    <row r="954" spans="1:15" x14ac:dyDescent="0.3">
      <c r="A954" t="s">
        <v>3978</v>
      </c>
      <c r="B954" t="s">
        <v>3977</v>
      </c>
      <c r="C954" t="s">
        <v>40</v>
      </c>
      <c r="D954">
        <v>46</v>
      </c>
      <c r="E954" t="s">
        <v>21</v>
      </c>
      <c r="F954" t="s">
        <v>20</v>
      </c>
      <c r="G954" s="8">
        <v>46032</v>
      </c>
      <c r="H954" s="8">
        <v>46038</v>
      </c>
      <c r="I954" t="s">
        <v>9038</v>
      </c>
      <c r="J954" t="s">
        <v>3975</v>
      </c>
      <c r="K954" t="s">
        <v>27</v>
      </c>
      <c r="L954">
        <v>1198.3599999999999</v>
      </c>
      <c r="M954">
        <v>315</v>
      </c>
      <c r="N954" t="s">
        <v>25</v>
      </c>
      <c r="O954" t="s">
        <v>123</v>
      </c>
    </row>
    <row r="955" spans="1:15" x14ac:dyDescent="0.3">
      <c r="A955" t="s">
        <v>3974</v>
      </c>
      <c r="B955" t="s">
        <v>3973</v>
      </c>
      <c r="C955" t="s">
        <v>74</v>
      </c>
      <c r="D955">
        <v>5</v>
      </c>
      <c r="E955" t="s">
        <v>39</v>
      </c>
      <c r="F955" t="s">
        <v>8077</v>
      </c>
      <c r="G955" s="8">
        <v>46021</v>
      </c>
      <c r="H955" s="8">
        <v>46051</v>
      </c>
      <c r="I955" t="s">
        <v>9039</v>
      </c>
      <c r="J955" t="s">
        <v>3971</v>
      </c>
      <c r="K955" t="s">
        <v>123</v>
      </c>
      <c r="L955">
        <v>24000.53</v>
      </c>
      <c r="M955">
        <v>160</v>
      </c>
      <c r="N955" t="s">
        <v>16</v>
      </c>
      <c r="O955" t="s">
        <v>63</v>
      </c>
    </row>
    <row r="956" spans="1:15" x14ac:dyDescent="0.3">
      <c r="A956" t="s">
        <v>3970</v>
      </c>
      <c r="B956" t="s">
        <v>3969</v>
      </c>
      <c r="C956" t="s">
        <v>123</v>
      </c>
      <c r="D956">
        <v>71</v>
      </c>
      <c r="E956" t="s">
        <v>68</v>
      </c>
      <c r="F956" t="s">
        <v>20</v>
      </c>
      <c r="G956" s="8">
        <v>45992</v>
      </c>
      <c r="H956" s="8">
        <v>46002</v>
      </c>
      <c r="I956" t="s">
        <v>9040</v>
      </c>
      <c r="J956" t="s">
        <v>3967</v>
      </c>
      <c r="K956" t="s">
        <v>123</v>
      </c>
      <c r="L956">
        <v>12646.09</v>
      </c>
      <c r="M956">
        <v>167</v>
      </c>
      <c r="N956" t="s">
        <v>77</v>
      </c>
      <c r="O956" t="s">
        <v>123</v>
      </c>
    </row>
    <row r="957" spans="1:15" x14ac:dyDescent="0.3">
      <c r="A957" t="s">
        <v>3966</v>
      </c>
      <c r="B957" t="s">
        <v>3965</v>
      </c>
      <c r="C957" t="s">
        <v>74</v>
      </c>
      <c r="D957">
        <v>3</v>
      </c>
      <c r="E957" t="s">
        <v>39</v>
      </c>
      <c r="F957" t="s">
        <v>20</v>
      </c>
      <c r="G957" s="8">
        <v>46026</v>
      </c>
      <c r="H957" s="8">
        <v>46037</v>
      </c>
      <c r="I957" t="s">
        <v>8230</v>
      </c>
      <c r="J957" t="s">
        <v>3964</v>
      </c>
      <c r="K957" t="s">
        <v>27</v>
      </c>
      <c r="L957">
        <v>19231.150000000001</v>
      </c>
      <c r="M957">
        <v>126</v>
      </c>
      <c r="N957" t="s">
        <v>25</v>
      </c>
      <c r="O957" t="s">
        <v>57</v>
      </c>
    </row>
    <row r="958" spans="1:15" x14ac:dyDescent="0.3">
      <c r="A958" t="s">
        <v>3963</v>
      </c>
      <c r="B958" t="s">
        <v>3962</v>
      </c>
      <c r="C958" t="s">
        <v>74</v>
      </c>
      <c r="D958">
        <v>55</v>
      </c>
      <c r="E958" t="s">
        <v>47</v>
      </c>
      <c r="F958" t="s">
        <v>67</v>
      </c>
      <c r="G958" s="8">
        <v>46100</v>
      </c>
      <c r="H958" s="8">
        <v>46115</v>
      </c>
      <c r="I958" t="s">
        <v>9041</v>
      </c>
      <c r="J958" t="s">
        <v>3960</v>
      </c>
      <c r="K958" t="s">
        <v>27</v>
      </c>
      <c r="L958">
        <v>7199.14</v>
      </c>
      <c r="M958">
        <v>489</v>
      </c>
      <c r="N958" t="s">
        <v>16</v>
      </c>
      <c r="O958" t="s">
        <v>64</v>
      </c>
    </row>
    <row r="959" spans="1:15" x14ac:dyDescent="0.3">
      <c r="A959" t="s">
        <v>3959</v>
      </c>
      <c r="B959" t="s">
        <v>3958</v>
      </c>
      <c r="C959" t="s">
        <v>74</v>
      </c>
      <c r="D959">
        <v>80</v>
      </c>
      <c r="E959" t="s">
        <v>39</v>
      </c>
      <c r="F959" t="s">
        <v>20</v>
      </c>
      <c r="G959" s="8">
        <v>45995</v>
      </c>
      <c r="H959" s="8">
        <v>46002</v>
      </c>
      <c r="I959" t="s">
        <v>9042</v>
      </c>
      <c r="J959" t="s">
        <v>3956</v>
      </c>
      <c r="K959" t="s">
        <v>27</v>
      </c>
      <c r="L959">
        <v>19214.84</v>
      </c>
      <c r="M959">
        <v>458</v>
      </c>
      <c r="N959" t="s">
        <v>71</v>
      </c>
      <c r="O959" t="s">
        <v>63</v>
      </c>
    </row>
    <row r="960" spans="1:15" x14ac:dyDescent="0.3">
      <c r="A960" t="s">
        <v>3955</v>
      </c>
      <c r="B960" t="s">
        <v>3954</v>
      </c>
      <c r="C960" t="s">
        <v>123</v>
      </c>
      <c r="D960">
        <v>26</v>
      </c>
      <c r="E960" t="s">
        <v>68</v>
      </c>
      <c r="F960" t="s">
        <v>20</v>
      </c>
      <c r="G960" s="8">
        <v>46117</v>
      </c>
      <c r="H960" s="8">
        <v>46139</v>
      </c>
      <c r="I960" t="s">
        <v>9043</v>
      </c>
      <c r="J960" t="s">
        <v>3952</v>
      </c>
      <c r="K960" t="s">
        <v>27</v>
      </c>
      <c r="L960">
        <v>4878.99</v>
      </c>
      <c r="M960">
        <v>217</v>
      </c>
      <c r="N960" t="s">
        <v>77</v>
      </c>
      <c r="O960" t="s">
        <v>26</v>
      </c>
    </row>
    <row r="961" spans="1:15" x14ac:dyDescent="0.3">
      <c r="A961" t="s">
        <v>3951</v>
      </c>
      <c r="B961" t="s">
        <v>3950</v>
      </c>
      <c r="C961" t="s">
        <v>40</v>
      </c>
      <c r="D961">
        <v>52</v>
      </c>
      <c r="E961" t="s">
        <v>47</v>
      </c>
      <c r="F961" t="s">
        <v>30</v>
      </c>
      <c r="G961" s="8">
        <v>46062</v>
      </c>
      <c r="H961" s="8">
        <v>46068</v>
      </c>
      <c r="I961" t="s">
        <v>9044</v>
      </c>
      <c r="J961" t="s">
        <v>3948</v>
      </c>
      <c r="K961" t="s">
        <v>27</v>
      </c>
      <c r="L961">
        <v>10772.31</v>
      </c>
      <c r="M961">
        <v>146</v>
      </c>
      <c r="N961" t="s">
        <v>50</v>
      </c>
      <c r="O961" t="s">
        <v>57</v>
      </c>
    </row>
    <row r="962" spans="1:15" x14ac:dyDescent="0.3">
      <c r="A962" t="s">
        <v>3944</v>
      </c>
      <c r="B962" t="s">
        <v>3943</v>
      </c>
      <c r="C962" t="s">
        <v>123</v>
      </c>
      <c r="D962">
        <v>83</v>
      </c>
      <c r="E962" t="s">
        <v>47</v>
      </c>
      <c r="F962" t="s">
        <v>30</v>
      </c>
      <c r="G962" s="8">
        <v>46048</v>
      </c>
      <c r="H962" s="8">
        <v>46051</v>
      </c>
      <c r="I962" t="s">
        <v>9045</v>
      </c>
      <c r="J962" t="s">
        <v>3941</v>
      </c>
      <c r="K962" t="s">
        <v>27</v>
      </c>
      <c r="L962">
        <v>9216.69</v>
      </c>
      <c r="M962">
        <v>464</v>
      </c>
      <c r="N962" t="s">
        <v>16</v>
      </c>
      <c r="O962" t="s">
        <v>17</v>
      </c>
    </row>
    <row r="963" spans="1:15" x14ac:dyDescent="0.3">
      <c r="A963" t="s">
        <v>3940</v>
      </c>
      <c r="B963" t="s">
        <v>3939</v>
      </c>
      <c r="C963" t="s">
        <v>74</v>
      </c>
      <c r="D963">
        <v>41</v>
      </c>
      <c r="E963" t="s">
        <v>47</v>
      </c>
      <c r="F963" t="s">
        <v>20</v>
      </c>
      <c r="G963" s="8">
        <v>46047</v>
      </c>
      <c r="H963" s="8">
        <v>46048</v>
      </c>
      <c r="I963" t="s">
        <v>9046</v>
      </c>
      <c r="J963" t="s">
        <v>3937</v>
      </c>
      <c r="K963" t="s">
        <v>27</v>
      </c>
      <c r="L963">
        <v>1492.84</v>
      </c>
      <c r="M963">
        <v>208</v>
      </c>
      <c r="N963" t="s">
        <v>43</v>
      </c>
      <c r="O963" t="s">
        <v>17</v>
      </c>
    </row>
    <row r="964" spans="1:15" x14ac:dyDescent="0.3">
      <c r="A964" t="s">
        <v>3936</v>
      </c>
      <c r="B964" t="s">
        <v>3935</v>
      </c>
      <c r="C964" t="s">
        <v>123</v>
      </c>
      <c r="D964">
        <v>36</v>
      </c>
      <c r="E964" t="s">
        <v>80</v>
      </c>
      <c r="F964" t="s">
        <v>67</v>
      </c>
      <c r="G964" s="8">
        <v>46054</v>
      </c>
      <c r="H964" s="8">
        <v>46059</v>
      </c>
      <c r="I964" t="s">
        <v>9047</v>
      </c>
      <c r="J964" t="s">
        <v>3933</v>
      </c>
      <c r="K964" t="s">
        <v>27</v>
      </c>
      <c r="L964">
        <v>23718.54</v>
      </c>
      <c r="M964">
        <v>271</v>
      </c>
      <c r="N964" t="s">
        <v>43</v>
      </c>
      <c r="O964" t="s">
        <v>17</v>
      </c>
    </row>
    <row r="965" spans="1:15" x14ac:dyDescent="0.3">
      <c r="A965" t="s">
        <v>3932</v>
      </c>
      <c r="B965" t="s">
        <v>3931</v>
      </c>
      <c r="C965" t="s">
        <v>74</v>
      </c>
      <c r="D965">
        <v>13</v>
      </c>
      <c r="E965" t="s">
        <v>47</v>
      </c>
      <c r="F965" t="s">
        <v>20</v>
      </c>
      <c r="G965" s="8">
        <v>46011</v>
      </c>
      <c r="H965" s="8">
        <v>46021</v>
      </c>
      <c r="I965" t="s">
        <v>9048</v>
      </c>
      <c r="J965" t="s">
        <v>3929</v>
      </c>
      <c r="K965" t="s">
        <v>64</v>
      </c>
      <c r="L965">
        <v>18584.04</v>
      </c>
      <c r="M965">
        <v>480</v>
      </c>
      <c r="N965" t="s">
        <v>50</v>
      </c>
      <c r="O965" t="s">
        <v>17</v>
      </c>
    </row>
    <row r="966" spans="1:15" x14ac:dyDescent="0.3">
      <c r="A966" t="s">
        <v>3928</v>
      </c>
      <c r="B966" t="s">
        <v>3927</v>
      </c>
      <c r="C966" t="s">
        <v>74</v>
      </c>
      <c r="D966">
        <v>31</v>
      </c>
      <c r="E966" t="s">
        <v>132</v>
      </c>
      <c r="F966" t="s">
        <v>8077</v>
      </c>
      <c r="G966" s="8">
        <v>46146</v>
      </c>
      <c r="H966" s="8">
        <v>46164</v>
      </c>
      <c r="I966" t="s">
        <v>9049</v>
      </c>
      <c r="J966" t="s">
        <v>3925</v>
      </c>
      <c r="K966" t="s">
        <v>123</v>
      </c>
      <c r="L966">
        <v>2363.33</v>
      </c>
      <c r="M966">
        <v>166</v>
      </c>
      <c r="N966" t="s">
        <v>25</v>
      </c>
      <c r="O966" t="s">
        <v>64</v>
      </c>
    </row>
    <row r="967" spans="1:15" x14ac:dyDescent="0.3">
      <c r="A967" t="s">
        <v>3924</v>
      </c>
      <c r="B967" t="s">
        <v>3923</v>
      </c>
      <c r="C967" t="s">
        <v>74</v>
      </c>
      <c r="D967">
        <v>6</v>
      </c>
      <c r="E967" t="s">
        <v>21</v>
      </c>
      <c r="F967" t="s">
        <v>8077</v>
      </c>
      <c r="G967" s="8">
        <v>46052</v>
      </c>
      <c r="H967" s="8">
        <v>46074</v>
      </c>
      <c r="I967" t="s">
        <v>9050</v>
      </c>
      <c r="J967" t="s">
        <v>3921</v>
      </c>
      <c r="K967" t="s">
        <v>123</v>
      </c>
      <c r="L967">
        <v>23152.42</v>
      </c>
      <c r="M967">
        <v>379</v>
      </c>
      <c r="N967" t="s">
        <v>34</v>
      </c>
      <c r="O967" t="s">
        <v>64</v>
      </c>
    </row>
    <row r="968" spans="1:15" x14ac:dyDescent="0.3">
      <c r="A968" t="s">
        <v>3920</v>
      </c>
      <c r="B968" t="s">
        <v>3919</v>
      </c>
      <c r="C968" t="s">
        <v>74</v>
      </c>
      <c r="D968">
        <v>39</v>
      </c>
      <c r="E968" t="s">
        <v>68</v>
      </c>
      <c r="F968" t="s">
        <v>8077</v>
      </c>
      <c r="G968" s="8">
        <v>46097</v>
      </c>
      <c r="H968" s="8">
        <v>46114</v>
      </c>
      <c r="I968" t="s">
        <v>9051</v>
      </c>
      <c r="J968" t="s">
        <v>3917</v>
      </c>
      <c r="K968" t="s">
        <v>27</v>
      </c>
      <c r="L968">
        <v>1286.52</v>
      </c>
      <c r="M968">
        <v>314</v>
      </c>
      <c r="N968" t="s">
        <v>34</v>
      </c>
      <c r="O968" t="s">
        <v>57</v>
      </c>
    </row>
    <row r="969" spans="1:15" x14ac:dyDescent="0.3">
      <c r="A969" t="s">
        <v>3916</v>
      </c>
      <c r="B969" t="s">
        <v>3915</v>
      </c>
      <c r="C969" t="s">
        <v>40</v>
      </c>
      <c r="D969">
        <v>72</v>
      </c>
      <c r="E969" t="s">
        <v>31</v>
      </c>
      <c r="F969" t="s">
        <v>67</v>
      </c>
      <c r="G969" s="8">
        <v>46011</v>
      </c>
      <c r="H969" s="8">
        <v>46025</v>
      </c>
      <c r="I969" t="s">
        <v>9052</v>
      </c>
      <c r="J969" t="s">
        <v>3913</v>
      </c>
      <c r="K969" t="s">
        <v>64</v>
      </c>
      <c r="L969">
        <v>22789.06</v>
      </c>
      <c r="M969">
        <v>347</v>
      </c>
      <c r="N969" t="s">
        <v>16</v>
      </c>
      <c r="O969" t="s">
        <v>64</v>
      </c>
    </row>
    <row r="970" spans="1:15" x14ac:dyDescent="0.3">
      <c r="A970" t="s">
        <v>3912</v>
      </c>
      <c r="B970" t="s">
        <v>3911</v>
      </c>
      <c r="C970" t="s">
        <v>40</v>
      </c>
      <c r="D970">
        <v>22</v>
      </c>
      <c r="E970" t="s">
        <v>132</v>
      </c>
      <c r="F970" t="s">
        <v>20</v>
      </c>
      <c r="G970" s="8">
        <v>45983</v>
      </c>
      <c r="H970" s="8">
        <v>45992</v>
      </c>
      <c r="I970" t="s">
        <v>9053</v>
      </c>
      <c r="J970" t="s">
        <v>3909</v>
      </c>
      <c r="K970" t="s">
        <v>27</v>
      </c>
      <c r="L970">
        <v>23903.91</v>
      </c>
      <c r="M970">
        <v>506</v>
      </c>
      <c r="N970" t="s">
        <v>25</v>
      </c>
      <c r="O970" t="s">
        <v>27</v>
      </c>
    </row>
    <row r="971" spans="1:15" x14ac:dyDescent="0.3">
      <c r="A971" t="s">
        <v>3908</v>
      </c>
      <c r="B971" t="s">
        <v>3907</v>
      </c>
      <c r="C971" t="s">
        <v>74</v>
      </c>
      <c r="D971">
        <v>51</v>
      </c>
      <c r="E971" t="s">
        <v>68</v>
      </c>
      <c r="F971" t="s">
        <v>20</v>
      </c>
      <c r="G971" s="8">
        <v>46057</v>
      </c>
      <c r="H971" s="8">
        <v>46062</v>
      </c>
      <c r="I971" t="s">
        <v>9054</v>
      </c>
      <c r="J971" t="s">
        <v>3905</v>
      </c>
      <c r="K971" t="s">
        <v>123</v>
      </c>
      <c r="L971">
        <v>18818.05</v>
      </c>
      <c r="M971">
        <v>387</v>
      </c>
      <c r="N971" t="s">
        <v>50</v>
      </c>
      <c r="O971" t="s">
        <v>123</v>
      </c>
    </row>
    <row r="972" spans="1:15" x14ac:dyDescent="0.3">
      <c r="A972" t="s">
        <v>3904</v>
      </c>
      <c r="B972" t="s">
        <v>3903</v>
      </c>
      <c r="C972" t="s">
        <v>123</v>
      </c>
      <c r="D972">
        <v>52</v>
      </c>
      <c r="E972" t="s">
        <v>132</v>
      </c>
      <c r="F972" t="s">
        <v>8077</v>
      </c>
      <c r="G972" s="8">
        <v>46131</v>
      </c>
      <c r="H972" s="8">
        <v>46136</v>
      </c>
      <c r="I972" t="s">
        <v>9055</v>
      </c>
      <c r="J972" t="s">
        <v>3901</v>
      </c>
      <c r="K972" t="s">
        <v>27</v>
      </c>
      <c r="L972">
        <v>4168.08</v>
      </c>
      <c r="M972">
        <v>403</v>
      </c>
      <c r="N972" t="s">
        <v>25</v>
      </c>
      <c r="O972" t="s">
        <v>57</v>
      </c>
    </row>
    <row r="973" spans="1:15" x14ac:dyDescent="0.3">
      <c r="A973" t="s">
        <v>3900</v>
      </c>
      <c r="B973" t="s">
        <v>3899</v>
      </c>
      <c r="C973" t="s">
        <v>40</v>
      </c>
      <c r="D973">
        <v>66</v>
      </c>
      <c r="E973" t="s">
        <v>68</v>
      </c>
      <c r="F973" t="s">
        <v>30</v>
      </c>
      <c r="G973" s="8">
        <v>46093</v>
      </c>
      <c r="H973" s="8">
        <v>46102</v>
      </c>
      <c r="I973" t="s">
        <v>9056</v>
      </c>
      <c r="J973" t="s">
        <v>3897</v>
      </c>
      <c r="K973" t="s">
        <v>64</v>
      </c>
      <c r="L973">
        <v>7549.82</v>
      </c>
      <c r="M973">
        <v>382</v>
      </c>
      <c r="N973" t="s">
        <v>77</v>
      </c>
      <c r="O973" t="s">
        <v>63</v>
      </c>
    </row>
    <row r="974" spans="1:15" x14ac:dyDescent="0.3">
      <c r="A974" t="s">
        <v>3896</v>
      </c>
      <c r="B974" t="s">
        <v>3895</v>
      </c>
      <c r="C974" t="s">
        <v>40</v>
      </c>
      <c r="D974">
        <v>29</v>
      </c>
      <c r="E974" t="s">
        <v>47</v>
      </c>
      <c r="F974" t="s">
        <v>8077</v>
      </c>
      <c r="G974" s="8">
        <v>46062</v>
      </c>
      <c r="H974" s="8">
        <v>46071</v>
      </c>
      <c r="I974" t="s">
        <v>9057</v>
      </c>
      <c r="J974" t="s">
        <v>3893</v>
      </c>
      <c r="K974" t="s">
        <v>27</v>
      </c>
      <c r="L974">
        <v>16062.46</v>
      </c>
      <c r="M974">
        <v>168</v>
      </c>
      <c r="N974" t="s">
        <v>43</v>
      </c>
      <c r="O974" t="s">
        <v>63</v>
      </c>
    </row>
    <row r="975" spans="1:15" x14ac:dyDescent="0.3">
      <c r="A975" t="s">
        <v>3892</v>
      </c>
      <c r="B975" t="s">
        <v>3891</v>
      </c>
      <c r="C975" t="s">
        <v>40</v>
      </c>
      <c r="D975">
        <v>83</v>
      </c>
      <c r="E975" t="s">
        <v>21</v>
      </c>
      <c r="F975" t="s">
        <v>8077</v>
      </c>
      <c r="G975" s="8">
        <v>46052</v>
      </c>
      <c r="H975" s="8">
        <v>46069</v>
      </c>
      <c r="I975" t="s">
        <v>9058</v>
      </c>
      <c r="J975" t="s">
        <v>3889</v>
      </c>
      <c r="K975" t="s">
        <v>64</v>
      </c>
      <c r="L975">
        <v>234.72</v>
      </c>
      <c r="M975">
        <v>423</v>
      </c>
      <c r="N975" t="s">
        <v>34</v>
      </c>
      <c r="O975" t="s">
        <v>17</v>
      </c>
    </row>
    <row r="976" spans="1:15" x14ac:dyDescent="0.3">
      <c r="A976" t="s">
        <v>3888</v>
      </c>
      <c r="B976" t="s">
        <v>3887</v>
      </c>
      <c r="C976" t="s">
        <v>74</v>
      </c>
      <c r="D976">
        <v>42</v>
      </c>
      <c r="E976" t="s">
        <v>80</v>
      </c>
      <c r="F976" t="s">
        <v>30</v>
      </c>
      <c r="G976" s="8">
        <v>46065</v>
      </c>
      <c r="H976" s="8">
        <v>46088</v>
      </c>
      <c r="I976" t="s">
        <v>9059</v>
      </c>
      <c r="J976" t="s">
        <v>3885</v>
      </c>
      <c r="K976" t="s">
        <v>27</v>
      </c>
      <c r="L976">
        <v>10326.9</v>
      </c>
      <c r="M976">
        <v>266</v>
      </c>
      <c r="N976" t="s">
        <v>77</v>
      </c>
      <c r="O976" t="s">
        <v>63</v>
      </c>
    </row>
    <row r="977" spans="1:15" x14ac:dyDescent="0.3">
      <c r="A977" t="s">
        <v>3884</v>
      </c>
      <c r="B977" t="s">
        <v>3883</v>
      </c>
      <c r="C977" t="s">
        <v>40</v>
      </c>
      <c r="D977">
        <v>46</v>
      </c>
      <c r="E977" t="s">
        <v>21</v>
      </c>
      <c r="F977" t="s">
        <v>30</v>
      </c>
      <c r="G977" s="8">
        <v>46127</v>
      </c>
      <c r="H977" s="8">
        <v>46132</v>
      </c>
      <c r="I977" t="s">
        <v>9060</v>
      </c>
      <c r="J977" t="s">
        <v>3881</v>
      </c>
      <c r="K977" t="s">
        <v>27</v>
      </c>
      <c r="L977">
        <v>24295.8</v>
      </c>
      <c r="M977">
        <v>469</v>
      </c>
      <c r="N977" t="s">
        <v>25</v>
      </c>
      <c r="O977" t="s">
        <v>64</v>
      </c>
    </row>
    <row r="978" spans="1:15" x14ac:dyDescent="0.3">
      <c r="A978" t="s">
        <v>3880</v>
      </c>
      <c r="B978" t="s">
        <v>3879</v>
      </c>
      <c r="C978" t="s">
        <v>123</v>
      </c>
      <c r="D978">
        <v>84</v>
      </c>
      <c r="E978" t="s">
        <v>132</v>
      </c>
      <c r="F978" t="s">
        <v>8077</v>
      </c>
      <c r="G978" s="8">
        <v>46114</v>
      </c>
      <c r="H978" s="8">
        <v>46140</v>
      </c>
      <c r="I978" t="s">
        <v>9061</v>
      </c>
      <c r="J978" t="s">
        <v>3877</v>
      </c>
      <c r="K978" t="s">
        <v>123</v>
      </c>
      <c r="L978">
        <v>5671.85</v>
      </c>
      <c r="M978">
        <v>204</v>
      </c>
      <c r="N978" t="s">
        <v>34</v>
      </c>
      <c r="O978" t="s">
        <v>63</v>
      </c>
    </row>
    <row r="979" spans="1:15" x14ac:dyDescent="0.3">
      <c r="A979" t="s">
        <v>3876</v>
      </c>
      <c r="B979" t="s">
        <v>3875</v>
      </c>
      <c r="C979" t="s">
        <v>123</v>
      </c>
      <c r="D979">
        <v>20</v>
      </c>
      <c r="E979" t="s">
        <v>68</v>
      </c>
      <c r="F979" t="s">
        <v>8077</v>
      </c>
      <c r="G979" s="8">
        <v>46058</v>
      </c>
      <c r="H979" s="8">
        <v>46081</v>
      </c>
      <c r="I979" t="s">
        <v>9062</v>
      </c>
      <c r="J979" t="s">
        <v>3873</v>
      </c>
      <c r="K979" t="s">
        <v>123</v>
      </c>
      <c r="L979">
        <v>9342.27</v>
      </c>
      <c r="M979">
        <v>147</v>
      </c>
      <c r="N979" t="s">
        <v>16</v>
      </c>
      <c r="O979" t="s">
        <v>123</v>
      </c>
    </row>
    <row r="980" spans="1:15" x14ac:dyDescent="0.3">
      <c r="A980" t="s">
        <v>3872</v>
      </c>
      <c r="B980" t="s">
        <v>1638</v>
      </c>
      <c r="C980" t="s">
        <v>40</v>
      </c>
      <c r="D980">
        <v>59</v>
      </c>
      <c r="E980" t="s">
        <v>39</v>
      </c>
      <c r="F980" t="s">
        <v>20</v>
      </c>
      <c r="G980" s="8">
        <v>45998</v>
      </c>
      <c r="H980" s="8">
        <v>46004</v>
      </c>
      <c r="I980" t="s">
        <v>9063</v>
      </c>
      <c r="J980" t="s">
        <v>3870</v>
      </c>
      <c r="K980" t="s">
        <v>123</v>
      </c>
      <c r="L980">
        <v>23595.21</v>
      </c>
      <c r="M980">
        <v>431</v>
      </c>
      <c r="N980" t="s">
        <v>43</v>
      </c>
      <c r="O980" t="s">
        <v>26</v>
      </c>
    </row>
    <row r="981" spans="1:15" x14ac:dyDescent="0.3">
      <c r="A981" t="s">
        <v>3866</v>
      </c>
      <c r="B981" t="s">
        <v>3865</v>
      </c>
      <c r="C981" t="s">
        <v>74</v>
      </c>
      <c r="D981">
        <v>55</v>
      </c>
      <c r="E981" t="s">
        <v>21</v>
      </c>
      <c r="F981" t="s">
        <v>85</v>
      </c>
      <c r="G981" s="8">
        <v>46067</v>
      </c>
      <c r="H981" s="8">
        <v>46096</v>
      </c>
      <c r="I981" t="s">
        <v>9064</v>
      </c>
      <c r="J981" t="s">
        <v>3863</v>
      </c>
      <c r="K981" t="s">
        <v>123</v>
      </c>
      <c r="L981">
        <v>2685.8</v>
      </c>
      <c r="M981">
        <v>472</v>
      </c>
      <c r="N981" t="s">
        <v>50</v>
      </c>
      <c r="O981" t="s">
        <v>26</v>
      </c>
    </row>
    <row r="982" spans="1:15" x14ac:dyDescent="0.3">
      <c r="A982" t="s">
        <v>3862</v>
      </c>
      <c r="B982" t="s">
        <v>3861</v>
      </c>
      <c r="C982" t="s">
        <v>40</v>
      </c>
      <c r="D982">
        <v>78</v>
      </c>
      <c r="E982" t="s">
        <v>80</v>
      </c>
      <c r="F982" t="s">
        <v>67</v>
      </c>
      <c r="G982" s="8">
        <v>46057</v>
      </c>
      <c r="H982" s="8">
        <v>46069</v>
      </c>
      <c r="I982" t="s">
        <v>9065</v>
      </c>
      <c r="J982" t="s">
        <v>3859</v>
      </c>
      <c r="K982" t="s">
        <v>27</v>
      </c>
      <c r="L982">
        <v>2928.88</v>
      </c>
      <c r="M982">
        <v>490</v>
      </c>
      <c r="N982" t="s">
        <v>50</v>
      </c>
      <c r="O982" t="s">
        <v>27</v>
      </c>
    </row>
    <row r="983" spans="1:15" x14ac:dyDescent="0.3">
      <c r="A983" t="s">
        <v>3858</v>
      </c>
      <c r="B983" t="s">
        <v>3857</v>
      </c>
      <c r="C983" t="s">
        <v>40</v>
      </c>
      <c r="D983">
        <v>17</v>
      </c>
      <c r="E983" t="s">
        <v>21</v>
      </c>
      <c r="F983" t="s">
        <v>20</v>
      </c>
      <c r="G983" s="8">
        <v>46017</v>
      </c>
      <c r="H983" s="8">
        <v>46025</v>
      </c>
      <c r="I983" t="s">
        <v>9066</v>
      </c>
      <c r="J983" t="s">
        <v>3855</v>
      </c>
      <c r="K983" t="s">
        <v>27</v>
      </c>
      <c r="L983">
        <v>23477.24</v>
      </c>
      <c r="M983">
        <v>505</v>
      </c>
      <c r="N983" t="s">
        <v>77</v>
      </c>
      <c r="O983" t="s">
        <v>27</v>
      </c>
    </row>
    <row r="984" spans="1:15" x14ac:dyDescent="0.3">
      <c r="A984" t="s">
        <v>3854</v>
      </c>
      <c r="B984" t="s">
        <v>3853</v>
      </c>
      <c r="C984" t="s">
        <v>74</v>
      </c>
      <c r="D984">
        <v>70</v>
      </c>
      <c r="E984" t="s">
        <v>31</v>
      </c>
      <c r="F984" t="s">
        <v>20</v>
      </c>
      <c r="G984" s="8">
        <v>46057</v>
      </c>
      <c r="H984" s="8">
        <v>46063</v>
      </c>
      <c r="I984" t="s">
        <v>9067</v>
      </c>
      <c r="J984" t="s">
        <v>3851</v>
      </c>
      <c r="K984" t="s">
        <v>27</v>
      </c>
      <c r="L984">
        <v>12114.55</v>
      </c>
      <c r="M984">
        <v>517</v>
      </c>
      <c r="N984" t="s">
        <v>71</v>
      </c>
      <c r="O984" t="s">
        <v>123</v>
      </c>
    </row>
    <row r="985" spans="1:15" x14ac:dyDescent="0.3">
      <c r="A985" t="s">
        <v>3850</v>
      </c>
      <c r="B985" t="s">
        <v>3849</v>
      </c>
      <c r="C985" t="s">
        <v>40</v>
      </c>
      <c r="D985">
        <v>43</v>
      </c>
      <c r="E985" t="s">
        <v>68</v>
      </c>
      <c r="F985" t="s">
        <v>20</v>
      </c>
      <c r="G985" s="8">
        <v>46031</v>
      </c>
      <c r="H985" s="8">
        <v>46038</v>
      </c>
      <c r="I985" t="s">
        <v>9068</v>
      </c>
      <c r="J985" t="s">
        <v>3847</v>
      </c>
      <c r="K985" t="s">
        <v>27</v>
      </c>
      <c r="L985">
        <v>13679.46</v>
      </c>
      <c r="M985">
        <v>421</v>
      </c>
      <c r="N985" t="s">
        <v>34</v>
      </c>
      <c r="O985" t="s">
        <v>63</v>
      </c>
    </row>
    <row r="986" spans="1:15" x14ac:dyDescent="0.3">
      <c r="A986" t="s">
        <v>3846</v>
      </c>
      <c r="B986" t="s">
        <v>3845</v>
      </c>
      <c r="C986" t="s">
        <v>74</v>
      </c>
      <c r="D986">
        <v>3</v>
      </c>
      <c r="E986" t="s">
        <v>47</v>
      </c>
      <c r="F986" t="s">
        <v>20</v>
      </c>
      <c r="G986" s="8">
        <v>45997</v>
      </c>
      <c r="H986" s="8">
        <v>46014</v>
      </c>
      <c r="I986" t="s">
        <v>9069</v>
      </c>
      <c r="J986" t="s">
        <v>3843</v>
      </c>
      <c r="K986" t="s">
        <v>27</v>
      </c>
      <c r="L986">
        <v>2743.64</v>
      </c>
      <c r="M986">
        <v>172</v>
      </c>
      <c r="N986" t="s">
        <v>77</v>
      </c>
      <c r="O986" t="s">
        <v>123</v>
      </c>
    </row>
    <row r="987" spans="1:15" x14ac:dyDescent="0.3">
      <c r="A987" t="s">
        <v>3842</v>
      </c>
      <c r="B987" t="s">
        <v>3841</v>
      </c>
      <c r="C987" t="s">
        <v>74</v>
      </c>
      <c r="D987">
        <v>4</v>
      </c>
      <c r="E987" t="s">
        <v>21</v>
      </c>
      <c r="F987" t="s">
        <v>67</v>
      </c>
      <c r="G987" s="8">
        <v>46061</v>
      </c>
      <c r="H987" s="8">
        <v>46073</v>
      </c>
      <c r="I987" t="s">
        <v>9070</v>
      </c>
      <c r="J987" t="s">
        <v>3839</v>
      </c>
      <c r="K987" t="s">
        <v>27</v>
      </c>
      <c r="L987">
        <v>8962.09</v>
      </c>
      <c r="M987">
        <v>215</v>
      </c>
      <c r="N987" t="s">
        <v>25</v>
      </c>
      <c r="O987" t="s">
        <v>63</v>
      </c>
    </row>
    <row r="988" spans="1:15" x14ac:dyDescent="0.3">
      <c r="A988" t="s">
        <v>3838</v>
      </c>
      <c r="B988" t="s">
        <v>3837</v>
      </c>
      <c r="C988" t="s">
        <v>123</v>
      </c>
      <c r="D988">
        <v>88</v>
      </c>
      <c r="E988" t="s">
        <v>80</v>
      </c>
      <c r="F988" t="s">
        <v>85</v>
      </c>
      <c r="G988" s="8">
        <v>46028</v>
      </c>
      <c r="H988" s="8">
        <v>46033</v>
      </c>
      <c r="I988" t="s">
        <v>9071</v>
      </c>
      <c r="J988" t="s">
        <v>3835</v>
      </c>
      <c r="K988" t="s">
        <v>64</v>
      </c>
      <c r="L988">
        <v>5768.16</v>
      </c>
      <c r="M988">
        <v>282</v>
      </c>
      <c r="N988" t="s">
        <v>77</v>
      </c>
      <c r="O988" t="s">
        <v>63</v>
      </c>
    </row>
    <row r="989" spans="1:15" x14ac:dyDescent="0.3">
      <c r="A989" t="s">
        <v>3834</v>
      </c>
      <c r="B989" t="s">
        <v>3833</v>
      </c>
      <c r="C989" t="s">
        <v>74</v>
      </c>
      <c r="D989">
        <v>16</v>
      </c>
      <c r="E989" t="s">
        <v>31</v>
      </c>
      <c r="F989" t="s">
        <v>20</v>
      </c>
      <c r="G989" s="8">
        <v>46123</v>
      </c>
      <c r="H989" s="8">
        <v>46151</v>
      </c>
      <c r="I989" t="s">
        <v>9072</v>
      </c>
      <c r="J989" t="s">
        <v>3831</v>
      </c>
      <c r="K989" t="s">
        <v>27</v>
      </c>
      <c r="L989">
        <v>15191.76</v>
      </c>
      <c r="M989">
        <v>319</v>
      </c>
      <c r="N989" t="s">
        <v>34</v>
      </c>
      <c r="O989" t="s">
        <v>26</v>
      </c>
    </row>
    <row r="990" spans="1:15" x14ac:dyDescent="0.3">
      <c r="A990" t="s">
        <v>3830</v>
      </c>
      <c r="B990" t="s">
        <v>3829</v>
      </c>
      <c r="C990" t="s">
        <v>74</v>
      </c>
      <c r="D990">
        <v>77</v>
      </c>
      <c r="E990" t="s">
        <v>39</v>
      </c>
      <c r="F990" t="s">
        <v>67</v>
      </c>
      <c r="G990" s="8">
        <v>45976</v>
      </c>
      <c r="H990" s="8">
        <v>45980</v>
      </c>
      <c r="I990" t="s">
        <v>9073</v>
      </c>
      <c r="J990" t="s">
        <v>3827</v>
      </c>
      <c r="K990" t="s">
        <v>27</v>
      </c>
      <c r="L990" t="s">
        <v>488</v>
      </c>
      <c r="M990" t="s">
        <v>123</v>
      </c>
      <c r="N990" t="s">
        <v>77</v>
      </c>
      <c r="O990" t="s">
        <v>63</v>
      </c>
    </row>
    <row r="991" spans="1:15" x14ac:dyDescent="0.3">
      <c r="A991" t="s">
        <v>3826</v>
      </c>
      <c r="B991" t="s">
        <v>3825</v>
      </c>
      <c r="C991" t="s">
        <v>40</v>
      </c>
      <c r="D991">
        <v>64</v>
      </c>
      <c r="E991" t="s">
        <v>31</v>
      </c>
      <c r="F991" t="s">
        <v>30</v>
      </c>
      <c r="G991" s="8">
        <v>46074</v>
      </c>
      <c r="H991" s="8">
        <v>46099</v>
      </c>
      <c r="I991" t="s">
        <v>9074</v>
      </c>
      <c r="J991" t="s">
        <v>3823</v>
      </c>
      <c r="K991" t="s">
        <v>64</v>
      </c>
      <c r="L991">
        <v>19763.63</v>
      </c>
      <c r="M991">
        <v>498</v>
      </c>
      <c r="N991" t="s">
        <v>25</v>
      </c>
      <c r="O991" t="s">
        <v>26</v>
      </c>
    </row>
    <row r="992" spans="1:15" x14ac:dyDescent="0.3">
      <c r="A992" t="s">
        <v>3822</v>
      </c>
      <c r="B992" t="s">
        <v>3821</v>
      </c>
      <c r="C992" t="s">
        <v>40</v>
      </c>
      <c r="D992">
        <v>41</v>
      </c>
      <c r="E992" t="s">
        <v>39</v>
      </c>
      <c r="F992" t="s">
        <v>67</v>
      </c>
      <c r="G992" s="8">
        <v>46057</v>
      </c>
      <c r="H992" s="8">
        <v>46071</v>
      </c>
      <c r="I992" t="s">
        <v>9075</v>
      </c>
      <c r="J992" t="s">
        <v>3819</v>
      </c>
      <c r="K992" t="s">
        <v>123</v>
      </c>
      <c r="L992">
        <v>20403.310000000001</v>
      </c>
      <c r="M992">
        <v>395</v>
      </c>
      <c r="N992" t="s">
        <v>16</v>
      </c>
      <c r="O992" t="s">
        <v>64</v>
      </c>
    </row>
    <row r="993" spans="1:15" x14ac:dyDescent="0.3">
      <c r="A993" t="s">
        <v>3818</v>
      </c>
      <c r="B993" t="s">
        <v>3817</v>
      </c>
      <c r="C993" t="s">
        <v>40</v>
      </c>
      <c r="D993">
        <v>19</v>
      </c>
      <c r="E993" t="s">
        <v>80</v>
      </c>
      <c r="F993" t="s">
        <v>67</v>
      </c>
      <c r="G993" s="8">
        <v>46004</v>
      </c>
      <c r="H993" s="8">
        <v>46008</v>
      </c>
      <c r="I993" t="s">
        <v>9076</v>
      </c>
      <c r="J993" t="s">
        <v>3815</v>
      </c>
      <c r="K993" t="s">
        <v>27</v>
      </c>
      <c r="L993">
        <v>19234.88</v>
      </c>
      <c r="M993">
        <v>263</v>
      </c>
      <c r="N993" t="s">
        <v>16</v>
      </c>
      <c r="O993" t="s">
        <v>17</v>
      </c>
    </row>
    <row r="994" spans="1:15" x14ac:dyDescent="0.3">
      <c r="A994" t="s">
        <v>3814</v>
      </c>
      <c r="B994" t="s">
        <v>3813</v>
      </c>
      <c r="C994" t="s">
        <v>123</v>
      </c>
      <c r="D994">
        <v>62</v>
      </c>
      <c r="E994" t="s">
        <v>54</v>
      </c>
      <c r="F994" t="s">
        <v>67</v>
      </c>
      <c r="G994" s="8">
        <v>46002</v>
      </c>
      <c r="H994" s="8">
        <v>46006</v>
      </c>
      <c r="I994" t="s">
        <v>9077</v>
      </c>
      <c r="J994" t="s">
        <v>3811</v>
      </c>
      <c r="K994" t="s">
        <v>64</v>
      </c>
      <c r="L994">
        <v>9702.99</v>
      </c>
      <c r="M994">
        <v>375</v>
      </c>
      <c r="N994" t="s">
        <v>34</v>
      </c>
      <c r="O994" t="s">
        <v>123</v>
      </c>
    </row>
    <row r="995" spans="1:15" x14ac:dyDescent="0.3">
      <c r="A995" t="s">
        <v>3810</v>
      </c>
      <c r="B995" t="s">
        <v>3809</v>
      </c>
      <c r="C995" t="s">
        <v>123</v>
      </c>
      <c r="D995">
        <v>69</v>
      </c>
      <c r="E995" t="s">
        <v>21</v>
      </c>
      <c r="F995" t="s">
        <v>67</v>
      </c>
      <c r="G995" s="8">
        <v>46027</v>
      </c>
      <c r="H995" s="8">
        <v>46029</v>
      </c>
      <c r="I995" t="s">
        <v>9078</v>
      </c>
      <c r="J995" t="s">
        <v>3807</v>
      </c>
      <c r="K995" t="s">
        <v>123</v>
      </c>
      <c r="L995">
        <v>13268.26</v>
      </c>
      <c r="M995">
        <v>459</v>
      </c>
      <c r="N995" t="s">
        <v>77</v>
      </c>
      <c r="O995" t="s">
        <v>57</v>
      </c>
    </row>
    <row r="996" spans="1:15" x14ac:dyDescent="0.3">
      <c r="A996" t="s">
        <v>3806</v>
      </c>
      <c r="B996" t="s">
        <v>3805</v>
      </c>
      <c r="C996" t="s">
        <v>74</v>
      </c>
      <c r="D996">
        <v>47</v>
      </c>
      <c r="E996" t="s">
        <v>47</v>
      </c>
      <c r="F996" t="s">
        <v>8077</v>
      </c>
      <c r="G996" s="8">
        <v>45980</v>
      </c>
      <c r="H996" s="8">
        <v>46007</v>
      </c>
      <c r="I996" t="s">
        <v>9079</v>
      </c>
      <c r="J996" t="s">
        <v>3803</v>
      </c>
      <c r="K996" t="s">
        <v>27</v>
      </c>
      <c r="L996">
        <v>9187.48</v>
      </c>
      <c r="M996">
        <v>168</v>
      </c>
      <c r="N996" t="s">
        <v>77</v>
      </c>
      <c r="O996" t="s">
        <v>123</v>
      </c>
    </row>
    <row r="997" spans="1:15" x14ac:dyDescent="0.3">
      <c r="A997" t="s">
        <v>3802</v>
      </c>
      <c r="B997" t="s">
        <v>3801</v>
      </c>
      <c r="C997" t="s">
        <v>40</v>
      </c>
      <c r="D997">
        <v>45</v>
      </c>
      <c r="E997" t="s">
        <v>31</v>
      </c>
      <c r="F997" t="s">
        <v>20</v>
      </c>
      <c r="G997" s="8">
        <v>46024</v>
      </c>
      <c r="H997" s="8">
        <v>46033</v>
      </c>
      <c r="I997" t="s">
        <v>9080</v>
      </c>
      <c r="J997" t="s">
        <v>3799</v>
      </c>
      <c r="K997" t="s">
        <v>123</v>
      </c>
      <c r="L997">
        <v>3774.68</v>
      </c>
      <c r="M997">
        <v>224</v>
      </c>
      <c r="N997" t="s">
        <v>71</v>
      </c>
      <c r="O997" t="s">
        <v>123</v>
      </c>
    </row>
    <row r="998" spans="1:15" x14ac:dyDescent="0.3">
      <c r="A998" t="s">
        <v>3798</v>
      </c>
      <c r="B998" t="s">
        <v>3797</v>
      </c>
      <c r="C998" t="s">
        <v>74</v>
      </c>
      <c r="D998">
        <v>8</v>
      </c>
      <c r="E998" t="s">
        <v>39</v>
      </c>
      <c r="F998" t="s">
        <v>20</v>
      </c>
      <c r="G998" s="8">
        <v>46032</v>
      </c>
      <c r="H998" s="8">
        <v>46062</v>
      </c>
      <c r="I998" t="s">
        <v>9081</v>
      </c>
      <c r="J998" t="s">
        <v>3795</v>
      </c>
      <c r="K998" t="s">
        <v>27</v>
      </c>
      <c r="L998">
        <v>9561.0300000000007</v>
      </c>
      <c r="M998">
        <v>456</v>
      </c>
      <c r="N998" t="s">
        <v>16</v>
      </c>
      <c r="O998" t="s">
        <v>27</v>
      </c>
    </row>
    <row r="999" spans="1:15" x14ac:dyDescent="0.3">
      <c r="A999" t="s">
        <v>3794</v>
      </c>
      <c r="B999" t="s">
        <v>3793</v>
      </c>
      <c r="C999" t="s">
        <v>74</v>
      </c>
      <c r="D999">
        <v>7</v>
      </c>
      <c r="E999" t="s">
        <v>80</v>
      </c>
      <c r="F999" t="s">
        <v>20</v>
      </c>
      <c r="G999" s="8">
        <v>46099</v>
      </c>
      <c r="H999" s="8">
        <v>46114</v>
      </c>
      <c r="I999" t="s">
        <v>9082</v>
      </c>
      <c r="J999" t="s">
        <v>3791</v>
      </c>
      <c r="K999" t="s">
        <v>27</v>
      </c>
      <c r="L999">
        <v>948.61</v>
      </c>
      <c r="M999">
        <v>172</v>
      </c>
      <c r="N999" t="s">
        <v>77</v>
      </c>
      <c r="O999" t="s">
        <v>17</v>
      </c>
    </row>
    <row r="1000" spans="1:15" x14ac:dyDescent="0.3">
      <c r="A1000" t="s">
        <v>3790</v>
      </c>
      <c r="B1000" t="s">
        <v>3789</v>
      </c>
      <c r="C1000" t="s">
        <v>74</v>
      </c>
      <c r="D1000">
        <v>10</v>
      </c>
      <c r="E1000" t="s">
        <v>47</v>
      </c>
      <c r="F1000" t="s">
        <v>67</v>
      </c>
      <c r="G1000" s="8">
        <v>46115</v>
      </c>
      <c r="H1000" s="8">
        <v>46119</v>
      </c>
      <c r="I1000" t="s">
        <v>9083</v>
      </c>
      <c r="J1000" t="s">
        <v>3787</v>
      </c>
      <c r="K1000" t="s">
        <v>27</v>
      </c>
      <c r="L1000">
        <v>11850.17</v>
      </c>
      <c r="M1000">
        <v>483</v>
      </c>
      <c r="N1000" t="s">
        <v>34</v>
      </c>
      <c r="O1000" t="s">
        <v>26</v>
      </c>
    </row>
    <row r="1001" spans="1:15" x14ac:dyDescent="0.3">
      <c r="A1001" t="s">
        <v>3786</v>
      </c>
      <c r="B1001" t="s">
        <v>3785</v>
      </c>
      <c r="C1001" t="s">
        <v>40</v>
      </c>
      <c r="D1001">
        <v>61</v>
      </c>
      <c r="E1001" t="s">
        <v>54</v>
      </c>
      <c r="F1001" t="s">
        <v>67</v>
      </c>
      <c r="G1001" s="8">
        <v>46112</v>
      </c>
      <c r="H1001" s="8">
        <v>46126</v>
      </c>
      <c r="I1001" t="s">
        <v>9084</v>
      </c>
      <c r="J1001" t="s">
        <v>3783</v>
      </c>
      <c r="K1001" t="s">
        <v>27</v>
      </c>
      <c r="L1001">
        <v>7311.87</v>
      </c>
      <c r="M1001">
        <v>130</v>
      </c>
      <c r="N1001" t="s">
        <v>25</v>
      </c>
      <c r="O1001" t="s">
        <v>26</v>
      </c>
    </row>
    <row r="1002" spans="1:15" x14ac:dyDescent="0.3">
      <c r="A1002" t="s">
        <v>3778</v>
      </c>
      <c r="B1002" t="s">
        <v>3777</v>
      </c>
      <c r="C1002" t="s">
        <v>40</v>
      </c>
      <c r="D1002">
        <v>74</v>
      </c>
      <c r="E1002" t="s">
        <v>132</v>
      </c>
      <c r="F1002" t="s">
        <v>8077</v>
      </c>
      <c r="G1002" s="8">
        <v>46129</v>
      </c>
      <c r="H1002" s="8">
        <v>46142</v>
      </c>
      <c r="I1002" t="s">
        <v>9085</v>
      </c>
      <c r="J1002" t="s">
        <v>3775</v>
      </c>
      <c r="K1002" t="s">
        <v>27</v>
      </c>
      <c r="L1002">
        <v>6941.32</v>
      </c>
      <c r="M1002">
        <v>367</v>
      </c>
      <c r="N1002" t="s">
        <v>16</v>
      </c>
      <c r="O1002" t="s">
        <v>64</v>
      </c>
    </row>
    <row r="1003" spans="1:15" x14ac:dyDescent="0.3">
      <c r="A1003" t="s">
        <v>3774</v>
      </c>
      <c r="B1003" t="s">
        <v>3773</v>
      </c>
      <c r="C1003" t="s">
        <v>40</v>
      </c>
      <c r="D1003">
        <v>28</v>
      </c>
      <c r="E1003" t="s">
        <v>54</v>
      </c>
      <c r="F1003" t="s">
        <v>46</v>
      </c>
      <c r="G1003" s="8">
        <v>45986</v>
      </c>
      <c r="H1003" s="8">
        <v>45993</v>
      </c>
      <c r="I1003" t="s">
        <v>9086</v>
      </c>
      <c r="J1003" t="s">
        <v>3771</v>
      </c>
      <c r="K1003" t="s">
        <v>123</v>
      </c>
      <c r="L1003">
        <v>4755.6099999999997</v>
      </c>
      <c r="M1003">
        <v>518</v>
      </c>
      <c r="N1003" t="s">
        <v>25</v>
      </c>
      <c r="O1003" t="s">
        <v>64</v>
      </c>
    </row>
    <row r="1004" spans="1:15" x14ac:dyDescent="0.3">
      <c r="A1004" t="s">
        <v>3770</v>
      </c>
      <c r="B1004" t="s">
        <v>3769</v>
      </c>
      <c r="C1004" t="s">
        <v>123</v>
      </c>
      <c r="D1004">
        <v>62</v>
      </c>
      <c r="E1004" t="s">
        <v>31</v>
      </c>
      <c r="F1004" t="s">
        <v>67</v>
      </c>
      <c r="G1004" s="8">
        <v>46080</v>
      </c>
      <c r="H1004" s="8">
        <v>46106</v>
      </c>
      <c r="I1004" t="s">
        <v>9087</v>
      </c>
      <c r="J1004" t="s">
        <v>3767</v>
      </c>
      <c r="K1004" t="s">
        <v>123</v>
      </c>
      <c r="L1004">
        <v>4287.6400000000003</v>
      </c>
      <c r="M1004">
        <v>431</v>
      </c>
      <c r="N1004" t="s">
        <v>16</v>
      </c>
      <c r="O1004" t="s">
        <v>17</v>
      </c>
    </row>
    <row r="1005" spans="1:15" x14ac:dyDescent="0.3">
      <c r="A1005" t="s">
        <v>3766</v>
      </c>
      <c r="B1005" t="s">
        <v>3765</v>
      </c>
      <c r="C1005" t="s">
        <v>74</v>
      </c>
      <c r="D1005">
        <v>35</v>
      </c>
      <c r="E1005" t="s">
        <v>80</v>
      </c>
      <c r="F1005" t="s">
        <v>20</v>
      </c>
      <c r="G1005" s="8">
        <v>46018</v>
      </c>
      <c r="H1005" s="8">
        <v>46020</v>
      </c>
      <c r="I1005" t="s">
        <v>9088</v>
      </c>
      <c r="J1005" t="s">
        <v>3763</v>
      </c>
      <c r="K1005" t="s">
        <v>64</v>
      </c>
      <c r="L1005">
        <v>15159.12</v>
      </c>
      <c r="M1005">
        <v>114</v>
      </c>
      <c r="N1005" t="s">
        <v>71</v>
      </c>
      <c r="O1005" t="s">
        <v>17</v>
      </c>
    </row>
    <row r="1006" spans="1:15" x14ac:dyDescent="0.3">
      <c r="A1006" t="s">
        <v>3762</v>
      </c>
      <c r="B1006" t="s">
        <v>3761</v>
      </c>
      <c r="C1006" t="s">
        <v>40</v>
      </c>
      <c r="D1006">
        <v>21</v>
      </c>
      <c r="E1006" t="s">
        <v>80</v>
      </c>
      <c r="F1006" t="s">
        <v>20</v>
      </c>
      <c r="G1006" s="8">
        <v>45995</v>
      </c>
      <c r="H1006" s="8">
        <v>46001</v>
      </c>
      <c r="I1006" t="s">
        <v>9089</v>
      </c>
      <c r="J1006" t="s">
        <v>3759</v>
      </c>
      <c r="K1006" t="s">
        <v>27</v>
      </c>
      <c r="L1006">
        <v>18961.73</v>
      </c>
      <c r="M1006">
        <v>196</v>
      </c>
      <c r="N1006" t="s">
        <v>34</v>
      </c>
      <c r="O1006" t="s">
        <v>63</v>
      </c>
    </row>
    <row r="1007" spans="1:15" x14ac:dyDescent="0.3">
      <c r="A1007" t="s">
        <v>3758</v>
      </c>
      <c r="B1007" t="s">
        <v>3757</v>
      </c>
      <c r="C1007" t="s">
        <v>74</v>
      </c>
      <c r="D1007">
        <v>82</v>
      </c>
      <c r="E1007" t="s">
        <v>47</v>
      </c>
      <c r="F1007" t="s">
        <v>8077</v>
      </c>
      <c r="G1007" s="8">
        <v>46061</v>
      </c>
      <c r="H1007" s="8">
        <v>46069</v>
      </c>
      <c r="I1007" t="s">
        <v>9090</v>
      </c>
      <c r="J1007" t="s">
        <v>3755</v>
      </c>
      <c r="K1007" t="s">
        <v>64</v>
      </c>
      <c r="L1007">
        <v>24421.25</v>
      </c>
      <c r="M1007">
        <v>388</v>
      </c>
      <c r="N1007" t="s">
        <v>50</v>
      </c>
      <c r="O1007" t="s">
        <v>27</v>
      </c>
    </row>
    <row r="1008" spans="1:15" x14ac:dyDescent="0.3">
      <c r="A1008" t="s">
        <v>3754</v>
      </c>
      <c r="B1008" t="s">
        <v>3753</v>
      </c>
      <c r="C1008" t="s">
        <v>123</v>
      </c>
      <c r="D1008">
        <v>6</v>
      </c>
      <c r="E1008" t="s">
        <v>47</v>
      </c>
      <c r="F1008" t="s">
        <v>67</v>
      </c>
      <c r="G1008" s="8">
        <v>46133</v>
      </c>
      <c r="H1008" s="8">
        <v>46135</v>
      </c>
      <c r="I1008" t="s">
        <v>9091</v>
      </c>
      <c r="J1008" t="s">
        <v>3751</v>
      </c>
      <c r="K1008" t="s">
        <v>27</v>
      </c>
      <c r="L1008">
        <v>410.27</v>
      </c>
      <c r="M1008">
        <v>484</v>
      </c>
      <c r="N1008" t="s">
        <v>43</v>
      </c>
      <c r="O1008" t="s">
        <v>17</v>
      </c>
    </row>
    <row r="1009" spans="1:15" x14ac:dyDescent="0.3">
      <c r="A1009" t="s">
        <v>3750</v>
      </c>
      <c r="B1009" t="s">
        <v>3749</v>
      </c>
      <c r="C1009" t="s">
        <v>123</v>
      </c>
      <c r="D1009">
        <v>65</v>
      </c>
      <c r="E1009" t="s">
        <v>21</v>
      </c>
      <c r="F1009" t="s">
        <v>67</v>
      </c>
      <c r="G1009" s="8">
        <v>46144</v>
      </c>
      <c r="H1009" s="8">
        <v>46168</v>
      </c>
      <c r="I1009" t="s">
        <v>9092</v>
      </c>
      <c r="J1009" t="s">
        <v>3747</v>
      </c>
      <c r="K1009" t="s">
        <v>123</v>
      </c>
      <c r="L1009">
        <v>18197.07</v>
      </c>
      <c r="M1009">
        <v>459</v>
      </c>
      <c r="N1009" t="s">
        <v>25</v>
      </c>
      <c r="O1009" t="s">
        <v>26</v>
      </c>
    </row>
    <row r="1010" spans="1:15" x14ac:dyDescent="0.3">
      <c r="A1010" t="s">
        <v>3746</v>
      </c>
      <c r="B1010" t="s">
        <v>3745</v>
      </c>
      <c r="C1010" t="s">
        <v>74</v>
      </c>
      <c r="D1010">
        <v>43</v>
      </c>
      <c r="E1010" t="s">
        <v>54</v>
      </c>
      <c r="F1010" t="s">
        <v>20</v>
      </c>
      <c r="G1010" s="8">
        <v>46092</v>
      </c>
      <c r="H1010" s="8">
        <v>46108</v>
      </c>
      <c r="I1010" t="s">
        <v>9093</v>
      </c>
      <c r="J1010" t="s">
        <v>3743</v>
      </c>
      <c r="K1010" t="s">
        <v>27</v>
      </c>
      <c r="L1010">
        <v>787.4</v>
      </c>
      <c r="M1010">
        <v>344</v>
      </c>
      <c r="N1010" t="s">
        <v>34</v>
      </c>
      <c r="O1010" t="s">
        <v>123</v>
      </c>
    </row>
    <row r="1011" spans="1:15" x14ac:dyDescent="0.3">
      <c r="A1011" t="s">
        <v>3742</v>
      </c>
      <c r="B1011" t="s">
        <v>3741</v>
      </c>
      <c r="C1011" t="s">
        <v>40</v>
      </c>
      <c r="D1011">
        <v>38</v>
      </c>
      <c r="E1011" t="s">
        <v>39</v>
      </c>
      <c r="F1011" t="s">
        <v>20</v>
      </c>
      <c r="G1011" s="8">
        <v>46061</v>
      </c>
      <c r="H1011" s="8">
        <v>46082</v>
      </c>
      <c r="I1011" t="s">
        <v>9094</v>
      </c>
      <c r="J1011" t="s">
        <v>3739</v>
      </c>
      <c r="K1011" t="s">
        <v>123</v>
      </c>
      <c r="L1011">
        <v>2153.0700000000002</v>
      </c>
      <c r="M1011">
        <v>467</v>
      </c>
      <c r="N1011" t="s">
        <v>71</v>
      </c>
      <c r="O1011" t="s">
        <v>64</v>
      </c>
    </row>
    <row r="1012" spans="1:15" x14ac:dyDescent="0.3">
      <c r="A1012" t="s">
        <v>3738</v>
      </c>
      <c r="B1012" t="s">
        <v>3737</v>
      </c>
      <c r="C1012" t="s">
        <v>74</v>
      </c>
      <c r="D1012">
        <v>88</v>
      </c>
      <c r="E1012" t="s">
        <v>39</v>
      </c>
      <c r="F1012" t="s">
        <v>20</v>
      </c>
      <c r="G1012" s="8">
        <v>46139</v>
      </c>
      <c r="H1012" s="8">
        <v>46169</v>
      </c>
      <c r="I1012" t="s">
        <v>9095</v>
      </c>
      <c r="J1012" t="s">
        <v>3735</v>
      </c>
      <c r="K1012" t="s">
        <v>64</v>
      </c>
      <c r="L1012">
        <v>11297.51</v>
      </c>
      <c r="M1012">
        <v>273</v>
      </c>
      <c r="N1012" t="s">
        <v>43</v>
      </c>
      <c r="O1012" t="s">
        <v>26</v>
      </c>
    </row>
    <row r="1013" spans="1:15" x14ac:dyDescent="0.3">
      <c r="A1013" t="s">
        <v>3734</v>
      </c>
      <c r="B1013" t="s">
        <v>3733</v>
      </c>
      <c r="C1013" t="s">
        <v>74</v>
      </c>
      <c r="D1013">
        <v>80</v>
      </c>
      <c r="E1013" t="s">
        <v>54</v>
      </c>
      <c r="F1013" t="s">
        <v>46</v>
      </c>
      <c r="G1013" s="8">
        <v>46018</v>
      </c>
      <c r="H1013" s="8">
        <v>46046</v>
      </c>
      <c r="I1013" t="s">
        <v>9096</v>
      </c>
      <c r="J1013" t="s">
        <v>3731</v>
      </c>
      <c r="K1013" t="s">
        <v>123</v>
      </c>
      <c r="L1013">
        <v>6129.94</v>
      </c>
      <c r="M1013">
        <v>178</v>
      </c>
      <c r="N1013" t="s">
        <v>34</v>
      </c>
      <c r="O1013" t="s">
        <v>64</v>
      </c>
    </row>
    <row r="1014" spans="1:15" x14ac:dyDescent="0.3">
      <c r="A1014" t="s">
        <v>3730</v>
      </c>
      <c r="B1014" t="s">
        <v>3729</v>
      </c>
      <c r="C1014" t="s">
        <v>123</v>
      </c>
      <c r="D1014">
        <v>13</v>
      </c>
      <c r="E1014" t="s">
        <v>47</v>
      </c>
      <c r="F1014" t="s">
        <v>20</v>
      </c>
      <c r="G1014" s="8">
        <v>45982</v>
      </c>
      <c r="H1014" s="8">
        <v>46006</v>
      </c>
      <c r="I1014" t="s">
        <v>9097</v>
      </c>
      <c r="J1014" t="s">
        <v>3727</v>
      </c>
      <c r="K1014" t="s">
        <v>27</v>
      </c>
      <c r="L1014">
        <v>13768.97</v>
      </c>
      <c r="M1014">
        <v>355</v>
      </c>
      <c r="N1014" t="s">
        <v>77</v>
      </c>
      <c r="O1014" t="s">
        <v>64</v>
      </c>
    </row>
    <row r="1015" spans="1:15" x14ac:dyDescent="0.3">
      <c r="A1015" t="s">
        <v>3726</v>
      </c>
      <c r="B1015" t="s">
        <v>3725</v>
      </c>
      <c r="C1015" t="s">
        <v>123</v>
      </c>
      <c r="D1015">
        <v>41</v>
      </c>
      <c r="E1015" t="s">
        <v>39</v>
      </c>
      <c r="F1015" t="s">
        <v>30</v>
      </c>
      <c r="G1015" s="8">
        <v>46018</v>
      </c>
      <c r="H1015" s="8">
        <v>46023</v>
      </c>
      <c r="I1015" t="s">
        <v>9098</v>
      </c>
      <c r="J1015" t="s">
        <v>3723</v>
      </c>
      <c r="K1015" t="s">
        <v>64</v>
      </c>
      <c r="L1015">
        <v>7146.91</v>
      </c>
      <c r="M1015">
        <v>280</v>
      </c>
      <c r="N1015" t="s">
        <v>77</v>
      </c>
      <c r="O1015" t="s">
        <v>17</v>
      </c>
    </row>
    <row r="1016" spans="1:15" x14ac:dyDescent="0.3">
      <c r="A1016" t="s">
        <v>3722</v>
      </c>
      <c r="B1016" t="s">
        <v>3721</v>
      </c>
      <c r="C1016" t="s">
        <v>74</v>
      </c>
      <c r="D1016">
        <v>23</v>
      </c>
      <c r="E1016" t="s">
        <v>68</v>
      </c>
      <c r="F1016" t="s">
        <v>30</v>
      </c>
      <c r="G1016" s="8">
        <v>46055</v>
      </c>
      <c r="H1016" s="8">
        <v>46070</v>
      </c>
      <c r="I1016" t="s">
        <v>9099</v>
      </c>
      <c r="J1016" t="s">
        <v>3719</v>
      </c>
      <c r="K1016" t="s">
        <v>27</v>
      </c>
      <c r="L1016">
        <v>19126.03</v>
      </c>
      <c r="M1016">
        <v>432</v>
      </c>
      <c r="N1016" t="s">
        <v>71</v>
      </c>
      <c r="O1016" t="s">
        <v>123</v>
      </c>
    </row>
    <row r="1017" spans="1:15" x14ac:dyDescent="0.3">
      <c r="A1017" t="s">
        <v>3718</v>
      </c>
      <c r="B1017" t="s">
        <v>3717</v>
      </c>
      <c r="C1017" t="s">
        <v>74</v>
      </c>
      <c r="D1017">
        <v>73</v>
      </c>
      <c r="E1017" t="s">
        <v>68</v>
      </c>
      <c r="F1017" t="s">
        <v>46</v>
      </c>
      <c r="G1017" s="8">
        <v>46085</v>
      </c>
      <c r="H1017" s="8">
        <v>46096</v>
      </c>
      <c r="I1017" t="s">
        <v>9100</v>
      </c>
      <c r="J1017" t="s">
        <v>3715</v>
      </c>
      <c r="K1017" t="s">
        <v>27</v>
      </c>
      <c r="L1017">
        <v>10143.290000000001</v>
      </c>
      <c r="M1017">
        <v>325</v>
      </c>
      <c r="N1017" t="s">
        <v>43</v>
      </c>
      <c r="O1017" t="s">
        <v>26</v>
      </c>
    </row>
    <row r="1018" spans="1:15" x14ac:dyDescent="0.3">
      <c r="A1018" t="s">
        <v>3714</v>
      </c>
      <c r="B1018" t="s">
        <v>3713</v>
      </c>
      <c r="C1018" t="s">
        <v>74</v>
      </c>
      <c r="D1018">
        <v>48</v>
      </c>
      <c r="E1018" t="s">
        <v>80</v>
      </c>
      <c r="F1018" t="s">
        <v>67</v>
      </c>
      <c r="G1018" s="8">
        <v>46043</v>
      </c>
      <c r="H1018" s="8">
        <v>46059</v>
      </c>
      <c r="I1018" t="s">
        <v>9101</v>
      </c>
      <c r="J1018" t="s">
        <v>3711</v>
      </c>
      <c r="K1018" t="s">
        <v>123</v>
      </c>
      <c r="L1018">
        <v>6718.12</v>
      </c>
      <c r="M1018">
        <v>417</v>
      </c>
      <c r="N1018" t="s">
        <v>25</v>
      </c>
      <c r="O1018" t="s">
        <v>27</v>
      </c>
    </row>
    <row r="1019" spans="1:15" x14ac:dyDescent="0.3">
      <c r="A1019" t="s">
        <v>3710</v>
      </c>
      <c r="B1019" t="s">
        <v>8058</v>
      </c>
      <c r="C1019" t="s">
        <v>40</v>
      </c>
      <c r="D1019">
        <v>32</v>
      </c>
      <c r="E1019" t="s">
        <v>3708</v>
      </c>
      <c r="F1019" t="s">
        <v>20</v>
      </c>
      <c r="G1019" s="8">
        <v>46146</v>
      </c>
      <c r="H1019" s="8">
        <v>46173</v>
      </c>
      <c r="I1019" t="s">
        <v>9102</v>
      </c>
      <c r="J1019" t="s">
        <v>3706</v>
      </c>
      <c r="K1019" t="s">
        <v>64</v>
      </c>
      <c r="L1019">
        <v>7408.38</v>
      </c>
      <c r="M1019">
        <v>391</v>
      </c>
      <c r="N1019" t="s">
        <v>16</v>
      </c>
      <c r="O1019" t="s">
        <v>26</v>
      </c>
    </row>
    <row r="1020" spans="1:15" x14ac:dyDescent="0.3">
      <c r="A1020" t="s">
        <v>3705</v>
      </c>
      <c r="B1020" t="s">
        <v>3704</v>
      </c>
      <c r="C1020" t="s">
        <v>74</v>
      </c>
      <c r="D1020">
        <v>29</v>
      </c>
      <c r="E1020" t="s">
        <v>54</v>
      </c>
      <c r="F1020" t="s">
        <v>85</v>
      </c>
      <c r="G1020" s="8">
        <v>46059</v>
      </c>
      <c r="H1020" s="8">
        <v>46080</v>
      </c>
      <c r="I1020" t="s">
        <v>9103</v>
      </c>
      <c r="J1020" t="s">
        <v>3702</v>
      </c>
      <c r="K1020" t="s">
        <v>64</v>
      </c>
      <c r="L1020">
        <v>8853.66</v>
      </c>
      <c r="M1020">
        <v>428</v>
      </c>
      <c r="N1020" t="s">
        <v>34</v>
      </c>
      <c r="O1020" t="s">
        <v>123</v>
      </c>
    </row>
    <row r="1021" spans="1:15" x14ac:dyDescent="0.3">
      <c r="A1021" t="s">
        <v>3701</v>
      </c>
      <c r="B1021" t="s">
        <v>3700</v>
      </c>
      <c r="C1021" t="s">
        <v>123</v>
      </c>
      <c r="D1021">
        <v>14</v>
      </c>
      <c r="E1021" t="s">
        <v>80</v>
      </c>
      <c r="F1021" t="s">
        <v>20</v>
      </c>
      <c r="G1021" s="8">
        <v>46007</v>
      </c>
      <c r="H1021" s="8">
        <v>46030</v>
      </c>
      <c r="I1021" t="s">
        <v>9104</v>
      </c>
      <c r="J1021" t="s">
        <v>3698</v>
      </c>
      <c r="K1021" t="s">
        <v>64</v>
      </c>
      <c r="L1021">
        <v>22953.02</v>
      </c>
      <c r="M1021">
        <v>493</v>
      </c>
      <c r="N1021" t="s">
        <v>16</v>
      </c>
      <c r="O1021" t="s">
        <v>123</v>
      </c>
    </row>
    <row r="1022" spans="1:15" x14ac:dyDescent="0.3">
      <c r="A1022" t="s">
        <v>3697</v>
      </c>
      <c r="B1022" t="s">
        <v>3696</v>
      </c>
      <c r="C1022" t="s">
        <v>74</v>
      </c>
      <c r="D1022">
        <v>52</v>
      </c>
      <c r="E1022" t="s">
        <v>31</v>
      </c>
      <c r="F1022" t="s">
        <v>20</v>
      </c>
      <c r="G1022" s="8">
        <v>45990</v>
      </c>
      <c r="H1022" s="8">
        <v>46000</v>
      </c>
      <c r="I1022" t="s">
        <v>9105</v>
      </c>
      <c r="J1022" t="s">
        <v>3694</v>
      </c>
      <c r="K1022" t="s">
        <v>64</v>
      </c>
      <c r="L1022">
        <v>24911.67</v>
      </c>
      <c r="M1022">
        <v>208</v>
      </c>
      <c r="N1022" t="s">
        <v>25</v>
      </c>
      <c r="O1022" t="s">
        <v>123</v>
      </c>
    </row>
    <row r="1023" spans="1:15" x14ac:dyDescent="0.3">
      <c r="A1023" t="s">
        <v>3693</v>
      </c>
      <c r="B1023" t="s">
        <v>3692</v>
      </c>
      <c r="C1023" t="s">
        <v>123</v>
      </c>
      <c r="D1023">
        <v>15</v>
      </c>
      <c r="E1023" t="s">
        <v>132</v>
      </c>
      <c r="F1023" t="s">
        <v>85</v>
      </c>
      <c r="G1023" s="8">
        <v>46136</v>
      </c>
      <c r="H1023" s="8">
        <v>46137</v>
      </c>
      <c r="I1023" t="s">
        <v>9106</v>
      </c>
      <c r="J1023" t="s">
        <v>3690</v>
      </c>
      <c r="K1023" t="s">
        <v>27</v>
      </c>
      <c r="L1023">
        <v>23723.64</v>
      </c>
      <c r="M1023">
        <v>427</v>
      </c>
      <c r="N1023" t="s">
        <v>71</v>
      </c>
      <c r="O1023" t="s">
        <v>26</v>
      </c>
    </row>
    <row r="1024" spans="1:15" x14ac:dyDescent="0.3">
      <c r="A1024" t="s">
        <v>3685</v>
      </c>
      <c r="B1024" t="s">
        <v>3684</v>
      </c>
      <c r="C1024" t="s">
        <v>74</v>
      </c>
      <c r="D1024">
        <v>3</v>
      </c>
      <c r="E1024" t="s">
        <v>54</v>
      </c>
      <c r="F1024" t="s">
        <v>30</v>
      </c>
      <c r="G1024" s="8">
        <v>46000</v>
      </c>
      <c r="H1024" s="8">
        <v>46008</v>
      </c>
      <c r="I1024" t="s">
        <v>9107</v>
      </c>
      <c r="J1024" t="s">
        <v>3682</v>
      </c>
      <c r="K1024" t="s">
        <v>27</v>
      </c>
      <c r="L1024">
        <v>2273.06</v>
      </c>
      <c r="M1024">
        <v>240</v>
      </c>
      <c r="N1024" t="s">
        <v>16</v>
      </c>
      <c r="O1024" t="s">
        <v>64</v>
      </c>
    </row>
    <row r="1025" spans="1:15" x14ac:dyDescent="0.3">
      <c r="A1025" t="s">
        <v>3681</v>
      </c>
      <c r="B1025" t="s">
        <v>3680</v>
      </c>
      <c r="C1025" t="s">
        <v>74</v>
      </c>
      <c r="D1025">
        <v>39</v>
      </c>
      <c r="E1025" t="s">
        <v>68</v>
      </c>
      <c r="F1025" t="s">
        <v>67</v>
      </c>
      <c r="G1025" s="8">
        <v>46072</v>
      </c>
      <c r="H1025" s="8">
        <v>46088</v>
      </c>
      <c r="I1025" t="s">
        <v>9108</v>
      </c>
      <c r="J1025" t="s">
        <v>3678</v>
      </c>
      <c r="K1025" t="s">
        <v>64</v>
      </c>
      <c r="L1025">
        <v>16807.18</v>
      </c>
      <c r="M1025">
        <v>194</v>
      </c>
      <c r="N1025" t="s">
        <v>50</v>
      </c>
      <c r="O1025" t="s">
        <v>63</v>
      </c>
    </row>
    <row r="1026" spans="1:15" x14ac:dyDescent="0.3">
      <c r="A1026" t="s">
        <v>3677</v>
      </c>
      <c r="B1026" t="s">
        <v>3676</v>
      </c>
      <c r="C1026" t="s">
        <v>40</v>
      </c>
      <c r="D1026">
        <v>12</v>
      </c>
      <c r="E1026" t="s">
        <v>54</v>
      </c>
      <c r="F1026" t="s">
        <v>67</v>
      </c>
      <c r="G1026" s="8">
        <v>46051</v>
      </c>
      <c r="H1026" s="8">
        <v>46081</v>
      </c>
      <c r="I1026" t="s">
        <v>9109</v>
      </c>
      <c r="J1026" t="s">
        <v>3674</v>
      </c>
      <c r="K1026" t="s">
        <v>27</v>
      </c>
      <c r="L1026">
        <v>4280.43</v>
      </c>
      <c r="M1026">
        <v>314</v>
      </c>
      <c r="N1026" t="s">
        <v>16</v>
      </c>
      <c r="O1026" t="s">
        <v>17</v>
      </c>
    </row>
    <row r="1027" spans="1:15" x14ac:dyDescent="0.3">
      <c r="A1027" t="s">
        <v>3673</v>
      </c>
      <c r="B1027" t="s">
        <v>3672</v>
      </c>
      <c r="C1027" t="s">
        <v>123</v>
      </c>
      <c r="D1027">
        <v>69</v>
      </c>
      <c r="E1027" t="s">
        <v>39</v>
      </c>
      <c r="F1027" t="s">
        <v>67</v>
      </c>
      <c r="G1027" s="8">
        <v>46054</v>
      </c>
      <c r="H1027" s="8">
        <v>46065</v>
      </c>
      <c r="I1027" t="s">
        <v>9110</v>
      </c>
      <c r="J1027" t="s">
        <v>3670</v>
      </c>
      <c r="K1027" t="s">
        <v>123</v>
      </c>
      <c r="L1027">
        <v>20610.79</v>
      </c>
      <c r="M1027">
        <v>139</v>
      </c>
      <c r="N1027" t="s">
        <v>25</v>
      </c>
      <c r="O1027" t="s">
        <v>57</v>
      </c>
    </row>
    <row r="1028" spans="1:15" x14ac:dyDescent="0.3">
      <c r="A1028" t="s">
        <v>3669</v>
      </c>
      <c r="B1028" t="s">
        <v>3668</v>
      </c>
      <c r="C1028" t="s">
        <v>40</v>
      </c>
      <c r="D1028">
        <v>42</v>
      </c>
      <c r="E1028" t="s">
        <v>31</v>
      </c>
      <c r="F1028" t="s">
        <v>46</v>
      </c>
      <c r="G1028" s="8">
        <v>46129</v>
      </c>
      <c r="H1028" s="8">
        <v>46133</v>
      </c>
      <c r="I1028" t="s">
        <v>9111</v>
      </c>
      <c r="J1028" t="s">
        <v>3666</v>
      </c>
      <c r="K1028" t="s">
        <v>123</v>
      </c>
      <c r="L1028">
        <v>23358.720000000001</v>
      </c>
      <c r="M1028">
        <v>542</v>
      </c>
      <c r="N1028" t="s">
        <v>43</v>
      </c>
      <c r="O1028" t="s">
        <v>123</v>
      </c>
    </row>
    <row r="1029" spans="1:15" x14ac:dyDescent="0.3">
      <c r="A1029" t="s">
        <v>3665</v>
      </c>
      <c r="B1029" t="s">
        <v>3664</v>
      </c>
      <c r="C1029" t="s">
        <v>74</v>
      </c>
      <c r="D1029">
        <v>87</v>
      </c>
      <c r="E1029" t="s">
        <v>54</v>
      </c>
      <c r="F1029" t="s">
        <v>30</v>
      </c>
      <c r="G1029" s="8">
        <v>45992</v>
      </c>
      <c r="H1029" s="8">
        <v>46008</v>
      </c>
      <c r="I1029" t="s">
        <v>9112</v>
      </c>
      <c r="J1029" t="s">
        <v>3662</v>
      </c>
      <c r="K1029" t="s">
        <v>27</v>
      </c>
      <c r="L1029">
        <v>24708.32</v>
      </c>
      <c r="M1029">
        <v>424</v>
      </c>
      <c r="N1029" t="s">
        <v>16</v>
      </c>
      <c r="O1029" t="s">
        <v>26</v>
      </c>
    </row>
    <row r="1030" spans="1:15" x14ac:dyDescent="0.3">
      <c r="A1030" t="s">
        <v>3661</v>
      </c>
      <c r="B1030" t="s">
        <v>3660</v>
      </c>
      <c r="C1030" t="s">
        <v>74</v>
      </c>
      <c r="D1030">
        <v>5</v>
      </c>
      <c r="E1030" t="s">
        <v>21</v>
      </c>
      <c r="F1030" t="s">
        <v>8077</v>
      </c>
      <c r="G1030" s="8">
        <v>46144</v>
      </c>
      <c r="H1030" s="8">
        <v>46157</v>
      </c>
      <c r="I1030" t="s">
        <v>9113</v>
      </c>
      <c r="J1030" t="s">
        <v>3658</v>
      </c>
      <c r="K1030" t="s">
        <v>27</v>
      </c>
      <c r="L1030">
        <v>15103.4</v>
      </c>
      <c r="M1030">
        <v>278</v>
      </c>
      <c r="N1030" t="s">
        <v>71</v>
      </c>
      <c r="O1030" t="s">
        <v>57</v>
      </c>
    </row>
    <row r="1031" spans="1:15" x14ac:dyDescent="0.3">
      <c r="A1031" t="s">
        <v>3657</v>
      </c>
      <c r="B1031" t="s">
        <v>3656</v>
      </c>
      <c r="C1031" t="s">
        <v>74</v>
      </c>
      <c r="D1031">
        <v>87</v>
      </c>
      <c r="E1031" t="s">
        <v>47</v>
      </c>
      <c r="F1031" t="s">
        <v>67</v>
      </c>
      <c r="G1031" s="8">
        <v>45992</v>
      </c>
      <c r="H1031" s="8">
        <v>46018</v>
      </c>
      <c r="I1031" t="s">
        <v>9114</v>
      </c>
      <c r="J1031" t="s">
        <v>3654</v>
      </c>
      <c r="K1031" t="s">
        <v>64</v>
      </c>
      <c r="L1031">
        <v>601.54</v>
      </c>
      <c r="M1031">
        <v>357</v>
      </c>
      <c r="N1031" t="s">
        <v>50</v>
      </c>
      <c r="O1031" t="s">
        <v>63</v>
      </c>
    </row>
    <row r="1032" spans="1:15" x14ac:dyDescent="0.3">
      <c r="A1032" t="s">
        <v>3653</v>
      </c>
      <c r="B1032" t="s">
        <v>8059</v>
      </c>
      <c r="C1032" t="s">
        <v>74</v>
      </c>
      <c r="D1032">
        <v>90</v>
      </c>
      <c r="E1032" t="s">
        <v>68</v>
      </c>
      <c r="F1032" t="s">
        <v>85</v>
      </c>
      <c r="G1032" s="8">
        <v>46046</v>
      </c>
      <c r="H1032" s="8">
        <v>46059</v>
      </c>
      <c r="I1032" t="s">
        <v>9115</v>
      </c>
      <c r="J1032" t="s">
        <v>3650</v>
      </c>
      <c r="K1032" t="s">
        <v>123</v>
      </c>
      <c r="L1032">
        <v>8922.8799999999992</v>
      </c>
      <c r="M1032">
        <v>367</v>
      </c>
      <c r="N1032" t="s">
        <v>50</v>
      </c>
      <c r="O1032" t="s">
        <v>123</v>
      </c>
    </row>
    <row r="1033" spans="1:15" x14ac:dyDescent="0.3">
      <c r="A1033" t="s">
        <v>3649</v>
      </c>
      <c r="B1033" t="s">
        <v>8060</v>
      </c>
      <c r="C1033" t="s">
        <v>74</v>
      </c>
      <c r="D1033">
        <v>15</v>
      </c>
      <c r="E1033" t="s">
        <v>39</v>
      </c>
      <c r="F1033" t="s">
        <v>85</v>
      </c>
      <c r="G1033" s="8">
        <v>46016</v>
      </c>
      <c r="H1033" s="8">
        <v>46029</v>
      </c>
      <c r="I1033" t="s">
        <v>9116</v>
      </c>
      <c r="J1033" t="s">
        <v>3646</v>
      </c>
      <c r="K1033" t="s">
        <v>64</v>
      </c>
      <c r="L1033">
        <v>4587</v>
      </c>
      <c r="M1033">
        <v>377</v>
      </c>
      <c r="N1033" t="s">
        <v>16</v>
      </c>
      <c r="O1033" t="s">
        <v>26</v>
      </c>
    </row>
    <row r="1034" spans="1:15" x14ac:dyDescent="0.3">
      <c r="A1034" t="s">
        <v>3645</v>
      </c>
      <c r="B1034" t="s">
        <v>3644</v>
      </c>
      <c r="C1034" t="s">
        <v>123</v>
      </c>
      <c r="D1034">
        <v>37</v>
      </c>
      <c r="E1034" t="s">
        <v>54</v>
      </c>
      <c r="F1034" t="s">
        <v>30</v>
      </c>
      <c r="G1034" s="8">
        <v>46054</v>
      </c>
      <c r="H1034" s="8">
        <v>46076</v>
      </c>
      <c r="I1034" t="s">
        <v>9117</v>
      </c>
      <c r="J1034" t="s">
        <v>3642</v>
      </c>
      <c r="K1034" t="s">
        <v>64</v>
      </c>
      <c r="L1034">
        <v>24885.01</v>
      </c>
      <c r="M1034">
        <v>145</v>
      </c>
      <c r="N1034" t="s">
        <v>25</v>
      </c>
      <c r="O1034" t="s">
        <v>64</v>
      </c>
    </row>
    <row r="1035" spans="1:15" x14ac:dyDescent="0.3">
      <c r="A1035" t="s">
        <v>3641</v>
      </c>
      <c r="B1035" t="s">
        <v>3640</v>
      </c>
      <c r="C1035" t="s">
        <v>40</v>
      </c>
      <c r="D1035">
        <v>79</v>
      </c>
      <c r="E1035" t="s">
        <v>54</v>
      </c>
      <c r="F1035" t="s">
        <v>20</v>
      </c>
      <c r="G1035" s="8">
        <v>46099</v>
      </c>
      <c r="H1035" s="8">
        <v>46114</v>
      </c>
      <c r="I1035" t="s">
        <v>9118</v>
      </c>
      <c r="J1035" t="s">
        <v>3638</v>
      </c>
      <c r="K1035" t="s">
        <v>64</v>
      </c>
      <c r="L1035">
        <v>15911.42</v>
      </c>
      <c r="M1035">
        <v>441</v>
      </c>
      <c r="N1035" t="s">
        <v>43</v>
      </c>
      <c r="O1035" t="s">
        <v>27</v>
      </c>
    </row>
    <row r="1036" spans="1:15" x14ac:dyDescent="0.3">
      <c r="A1036" t="s">
        <v>3637</v>
      </c>
      <c r="B1036" t="s">
        <v>3636</v>
      </c>
      <c r="C1036" t="s">
        <v>123</v>
      </c>
      <c r="D1036">
        <v>28</v>
      </c>
      <c r="E1036" t="s">
        <v>21</v>
      </c>
      <c r="F1036" t="s">
        <v>85</v>
      </c>
      <c r="G1036" s="8">
        <v>46142</v>
      </c>
      <c r="H1036" s="8">
        <v>46159</v>
      </c>
      <c r="I1036" t="s">
        <v>9119</v>
      </c>
      <c r="J1036" t="s">
        <v>3634</v>
      </c>
      <c r="K1036" t="s">
        <v>123</v>
      </c>
      <c r="L1036">
        <v>3039.63</v>
      </c>
      <c r="M1036">
        <v>163</v>
      </c>
      <c r="N1036" t="s">
        <v>43</v>
      </c>
      <c r="O1036" t="s">
        <v>123</v>
      </c>
    </row>
    <row r="1037" spans="1:15" x14ac:dyDescent="0.3">
      <c r="A1037" t="s">
        <v>3633</v>
      </c>
      <c r="B1037" t="s">
        <v>3632</v>
      </c>
      <c r="C1037" t="s">
        <v>123</v>
      </c>
      <c r="D1037">
        <v>53</v>
      </c>
      <c r="E1037" t="s">
        <v>54</v>
      </c>
      <c r="F1037" t="s">
        <v>46</v>
      </c>
      <c r="G1037" s="8">
        <v>46125</v>
      </c>
      <c r="H1037" s="8">
        <v>46155</v>
      </c>
      <c r="I1037" t="s">
        <v>9120</v>
      </c>
      <c r="J1037" t="s">
        <v>3630</v>
      </c>
      <c r="K1037" t="s">
        <v>64</v>
      </c>
      <c r="L1037">
        <v>19598.46</v>
      </c>
      <c r="M1037">
        <v>237</v>
      </c>
      <c r="N1037" t="s">
        <v>25</v>
      </c>
      <c r="O1037" t="s">
        <v>63</v>
      </c>
    </row>
    <row r="1038" spans="1:15" x14ac:dyDescent="0.3">
      <c r="A1038" t="s">
        <v>3625</v>
      </c>
      <c r="B1038" t="s">
        <v>3624</v>
      </c>
      <c r="C1038" t="s">
        <v>74</v>
      </c>
      <c r="D1038">
        <v>67</v>
      </c>
      <c r="E1038" t="s">
        <v>31</v>
      </c>
      <c r="F1038" t="s">
        <v>67</v>
      </c>
      <c r="G1038" s="8">
        <v>45983</v>
      </c>
      <c r="H1038" s="8">
        <v>45988</v>
      </c>
      <c r="I1038" t="s">
        <v>9121</v>
      </c>
      <c r="J1038" t="s">
        <v>3622</v>
      </c>
      <c r="K1038" t="s">
        <v>123</v>
      </c>
      <c r="L1038">
        <v>6197.41</v>
      </c>
      <c r="M1038">
        <v>198</v>
      </c>
      <c r="N1038" t="s">
        <v>34</v>
      </c>
      <c r="O1038" t="s">
        <v>123</v>
      </c>
    </row>
    <row r="1039" spans="1:15" x14ac:dyDescent="0.3">
      <c r="A1039" t="s">
        <v>3621</v>
      </c>
      <c r="B1039" t="s">
        <v>3620</v>
      </c>
      <c r="C1039" t="s">
        <v>123</v>
      </c>
      <c r="D1039">
        <v>7</v>
      </c>
      <c r="E1039" t="s">
        <v>54</v>
      </c>
      <c r="F1039" t="s">
        <v>20</v>
      </c>
      <c r="G1039" s="8">
        <v>46124</v>
      </c>
      <c r="H1039" s="8">
        <v>46154</v>
      </c>
      <c r="I1039" t="s">
        <v>9122</v>
      </c>
      <c r="J1039" t="s">
        <v>3618</v>
      </c>
      <c r="K1039" t="s">
        <v>123</v>
      </c>
      <c r="L1039">
        <v>24438.42</v>
      </c>
      <c r="M1039">
        <v>306</v>
      </c>
      <c r="N1039" t="s">
        <v>43</v>
      </c>
      <c r="O1039" t="s">
        <v>26</v>
      </c>
    </row>
    <row r="1040" spans="1:15" x14ac:dyDescent="0.3">
      <c r="A1040" t="s">
        <v>3617</v>
      </c>
      <c r="B1040" t="s">
        <v>3616</v>
      </c>
      <c r="C1040" t="s">
        <v>40</v>
      </c>
      <c r="D1040">
        <v>56</v>
      </c>
      <c r="E1040" t="s">
        <v>21</v>
      </c>
      <c r="F1040" t="s">
        <v>20</v>
      </c>
      <c r="G1040" s="8">
        <v>45988</v>
      </c>
      <c r="H1040" s="8">
        <v>46010</v>
      </c>
      <c r="I1040" t="s">
        <v>9123</v>
      </c>
      <c r="J1040" t="s">
        <v>3614</v>
      </c>
      <c r="K1040" t="s">
        <v>27</v>
      </c>
      <c r="L1040">
        <v>12705.57</v>
      </c>
      <c r="M1040">
        <v>531</v>
      </c>
      <c r="N1040" t="s">
        <v>50</v>
      </c>
      <c r="O1040" t="s">
        <v>123</v>
      </c>
    </row>
    <row r="1041" spans="1:15" x14ac:dyDescent="0.3">
      <c r="A1041" t="s">
        <v>3613</v>
      </c>
      <c r="B1041" t="s">
        <v>3612</v>
      </c>
      <c r="C1041" t="s">
        <v>40</v>
      </c>
      <c r="D1041">
        <v>71</v>
      </c>
      <c r="E1041" t="s">
        <v>39</v>
      </c>
      <c r="F1041" t="s">
        <v>67</v>
      </c>
      <c r="G1041" s="8">
        <v>46107</v>
      </c>
      <c r="H1041" s="8">
        <v>46113</v>
      </c>
      <c r="I1041" t="s">
        <v>9124</v>
      </c>
      <c r="J1041" t="s">
        <v>3610</v>
      </c>
      <c r="K1041" t="s">
        <v>64</v>
      </c>
      <c r="L1041">
        <v>2512.98</v>
      </c>
      <c r="M1041">
        <v>105</v>
      </c>
      <c r="N1041" t="s">
        <v>25</v>
      </c>
      <c r="O1041" t="s">
        <v>123</v>
      </c>
    </row>
    <row r="1042" spans="1:15" x14ac:dyDescent="0.3">
      <c r="A1042" t="s">
        <v>3605</v>
      </c>
      <c r="B1042" t="s">
        <v>3604</v>
      </c>
      <c r="C1042" t="s">
        <v>74</v>
      </c>
      <c r="D1042">
        <v>39</v>
      </c>
      <c r="E1042" t="s">
        <v>21</v>
      </c>
      <c r="F1042" t="s">
        <v>8077</v>
      </c>
      <c r="G1042" s="8">
        <v>46041</v>
      </c>
      <c r="H1042" s="8">
        <v>46064</v>
      </c>
      <c r="I1042" t="s">
        <v>9125</v>
      </c>
      <c r="J1042" t="s">
        <v>3602</v>
      </c>
      <c r="K1042" t="s">
        <v>123</v>
      </c>
      <c r="L1042">
        <v>19305.71</v>
      </c>
      <c r="M1042">
        <v>240</v>
      </c>
      <c r="N1042" t="s">
        <v>77</v>
      </c>
      <c r="O1042" t="s">
        <v>27</v>
      </c>
    </row>
    <row r="1043" spans="1:15" x14ac:dyDescent="0.3">
      <c r="A1043" t="s">
        <v>3601</v>
      </c>
      <c r="B1043" t="s">
        <v>3600</v>
      </c>
      <c r="C1043" t="s">
        <v>40</v>
      </c>
      <c r="D1043">
        <v>81</v>
      </c>
      <c r="E1043" t="s">
        <v>47</v>
      </c>
      <c r="F1043" t="s">
        <v>20</v>
      </c>
      <c r="G1043" s="8">
        <v>46070</v>
      </c>
      <c r="H1043" s="8">
        <v>46073</v>
      </c>
      <c r="I1043" t="s">
        <v>9126</v>
      </c>
      <c r="J1043" t="s">
        <v>3598</v>
      </c>
      <c r="K1043" t="s">
        <v>123</v>
      </c>
      <c r="L1043">
        <v>23194.54</v>
      </c>
      <c r="M1043">
        <v>154</v>
      </c>
      <c r="N1043" t="s">
        <v>71</v>
      </c>
      <c r="O1043" t="s">
        <v>64</v>
      </c>
    </row>
    <row r="1044" spans="1:15" x14ac:dyDescent="0.3">
      <c r="A1044" t="s">
        <v>3597</v>
      </c>
      <c r="B1044" t="s">
        <v>3596</v>
      </c>
      <c r="C1044" t="s">
        <v>40</v>
      </c>
      <c r="D1044">
        <v>34</v>
      </c>
      <c r="E1044" t="s">
        <v>39</v>
      </c>
      <c r="F1044" t="s">
        <v>20</v>
      </c>
      <c r="G1044" s="8">
        <v>46017</v>
      </c>
      <c r="H1044" s="8">
        <v>46019</v>
      </c>
      <c r="I1044" t="s">
        <v>9127</v>
      </c>
      <c r="J1044" t="s">
        <v>3594</v>
      </c>
      <c r="K1044" t="s">
        <v>123</v>
      </c>
      <c r="L1044">
        <v>21146.67</v>
      </c>
      <c r="M1044">
        <v>300</v>
      </c>
      <c r="N1044" t="s">
        <v>77</v>
      </c>
      <c r="O1044" t="s">
        <v>57</v>
      </c>
    </row>
    <row r="1045" spans="1:15" x14ac:dyDescent="0.3">
      <c r="A1045" t="s">
        <v>3593</v>
      </c>
      <c r="B1045" t="s">
        <v>3592</v>
      </c>
      <c r="C1045" t="s">
        <v>123</v>
      </c>
      <c r="D1045">
        <v>3</v>
      </c>
      <c r="E1045" t="s">
        <v>54</v>
      </c>
      <c r="F1045" t="s">
        <v>20</v>
      </c>
      <c r="G1045" s="8">
        <v>46106</v>
      </c>
      <c r="H1045" s="8">
        <v>46121</v>
      </c>
      <c r="I1045" t="s">
        <v>9128</v>
      </c>
      <c r="J1045" t="s">
        <v>3590</v>
      </c>
      <c r="K1045" t="s">
        <v>64</v>
      </c>
      <c r="L1045">
        <v>5415.34</v>
      </c>
      <c r="M1045">
        <v>292</v>
      </c>
      <c r="N1045" t="s">
        <v>43</v>
      </c>
      <c r="O1045" t="s">
        <v>123</v>
      </c>
    </row>
    <row r="1046" spans="1:15" x14ac:dyDescent="0.3">
      <c r="A1046" t="s">
        <v>3585</v>
      </c>
      <c r="B1046" t="s">
        <v>3584</v>
      </c>
      <c r="C1046" t="s">
        <v>74</v>
      </c>
      <c r="D1046">
        <v>62</v>
      </c>
      <c r="E1046" t="s">
        <v>47</v>
      </c>
      <c r="F1046" t="s">
        <v>20</v>
      </c>
      <c r="G1046" s="8">
        <v>45977</v>
      </c>
      <c r="H1046" s="8">
        <v>45993</v>
      </c>
      <c r="I1046" t="s">
        <v>9129</v>
      </c>
      <c r="J1046" t="s">
        <v>3582</v>
      </c>
      <c r="K1046" t="s">
        <v>27</v>
      </c>
      <c r="L1046">
        <v>23179.26</v>
      </c>
      <c r="M1046">
        <v>410</v>
      </c>
      <c r="N1046" t="s">
        <v>77</v>
      </c>
      <c r="O1046" t="s">
        <v>57</v>
      </c>
    </row>
    <row r="1047" spans="1:15" x14ac:dyDescent="0.3">
      <c r="A1047" t="s">
        <v>3581</v>
      </c>
      <c r="B1047" t="s">
        <v>3580</v>
      </c>
      <c r="C1047" t="s">
        <v>40</v>
      </c>
      <c r="D1047">
        <v>67</v>
      </c>
      <c r="E1047" t="s">
        <v>39</v>
      </c>
      <c r="F1047" t="s">
        <v>8077</v>
      </c>
      <c r="G1047" s="8">
        <v>46081</v>
      </c>
      <c r="H1047" s="8">
        <v>46108</v>
      </c>
      <c r="I1047" t="s">
        <v>9130</v>
      </c>
      <c r="J1047" t="s">
        <v>3578</v>
      </c>
      <c r="K1047" t="s">
        <v>64</v>
      </c>
      <c r="L1047">
        <v>3046.75</v>
      </c>
      <c r="M1047">
        <v>115</v>
      </c>
      <c r="N1047" t="s">
        <v>43</v>
      </c>
      <c r="O1047" t="s">
        <v>57</v>
      </c>
    </row>
    <row r="1048" spans="1:15" x14ac:dyDescent="0.3">
      <c r="A1048" t="s">
        <v>3577</v>
      </c>
      <c r="B1048" t="s">
        <v>3576</v>
      </c>
      <c r="C1048" t="s">
        <v>40</v>
      </c>
      <c r="D1048">
        <v>29</v>
      </c>
      <c r="E1048" t="s">
        <v>80</v>
      </c>
      <c r="F1048" t="s">
        <v>20</v>
      </c>
      <c r="G1048" s="8">
        <v>46035</v>
      </c>
      <c r="H1048" s="8">
        <v>46043</v>
      </c>
      <c r="I1048" t="s">
        <v>9131</v>
      </c>
      <c r="J1048" t="s">
        <v>3574</v>
      </c>
      <c r="K1048" t="s">
        <v>27</v>
      </c>
      <c r="L1048">
        <v>12143.06</v>
      </c>
      <c r="M1048">
        <v>278</v>
      </c>
      <c r="N1048" t="s">
        <v>25</v>
      </c>
      <c r="O1048" t="s">
        <v>64</v>
      </c>
    </row>
    <row r="1049" spans="1:15" x14ac:dyDescent="0.3">
      <c r="A1049" t="s">
        <v>3573</v>
      </c>
      <c r="B1049" t="s">
        <v>3572</v>
      </c>
      <c r="C1049" t="s">
        <v>40</v>
      </c>
      <c r="D1049">
        <v>60</v>
      </c>
      <c r="E1049" t="s">
        <v>68</v>
      </c>
      <c r="F1049" t="s">
        <v>67</v>
      </c>
      <c r="G1049" s="8">
        <v>46050</v>
      </c>
      <c r="H1049" s="8">
        <v>46066</v>
      </c>
      <c r="I1049" t="s">
        <v>9132</v>
      </c>
      <c r="J1049" t="s">
        <v>3570</v>
      </c>
      <c r="K1049" t="s">
        <v>123</v>
      </c>
      <c r="L1049">
        <v>23074.23</v>
      </c>
      <c r="M1049">
        <v>188</v>
      </c>
      <c r="N1049" t="s">
        <v>71</v>
      </c>
      <c r="O1049" t="s">
        <v>63</v>
      </c>
    </row>
    <row r="1050" spans="1:15" x14ac:dyDescent="0.3">
      <c r="A1050" t="s">
        <v>3569</v>
      </c>
      <c r="B1050" t="s">
        <v>3568</v>
      </c>
      <c r="C1050" t="s">
        <v>40</v>
      </c>
      <c r="D1050">
        <v>51</v>
      </c>
      <c r="E1050" t="s">
        <v>80</v>
      </c>
      <c r="F1050" t="s">
        <v>30</v>
      </c>
      <c r="G1050" s="8">
        <v>45980</v>
      </c>
      <c r="H1050" s="8">
        <v>45985</v>
      </c>
      <c r="I1050" t="s">
        <v>9133</v>
      </c>
      <c r="J1050" t="s">
        <v>3566</v>
      </c>
      <c r="K1050" t="s">
        <v>64</v>
      </c>
      <c r="L1050">
        <v>23853.3</v>
      </c>
      <c r="M1050">
        <v>321</v>
      </c>
      <c r="N1050" t="s">
        <v>16</v>
      </c>
      <c r="O1050" t="s">
        <v>123</v>
      </c>
    </row>
    <row r="1051" spans="1:15" x14ac:dyDescent="0.3">
      <c r="A1051" t="s">
        <v>3565</v>
      </c>
      <c r="B1051" t="s">
        <v>3564</v>
      </c>
      <c r="C1051" t="s">
        <v>123</v>
      </c>
      <c r="D1051">
        <v>77</v>
      </c>
      <c r="E1051" t="s">
        <v>132</v>
      </c>
      <c r="F1051" t="s">
        <v>67</v>
      </c>
      <c r="G1051" s="8">
        <v>46043</v>
      </c>
      <c r="H1051" s="8">
        <v>46062</v>
      </c>
      <c r="I1051" t="s">
        <v>9134</v>
      </c>
      <c r="J1051" t="s">
        <v>3562</v>
      </c>
      <c r="K1051" t="s">
        <v>64</v>
      </c>
      <c r="L1051">
        <v>15260.93</v>
      </c>
      <c r="M1051">
        <v>202</v>
      </c>
      <c r="N1051" t="s">
        <v>34</v>
      </c>
      <c r="O1051" t="s">
        <v>123</v>
      </c>
    </row>
    <row r="1052" spans="1:15" x14ac:dyDescent="0.3">
      <c r="A1052" t="s">
        <v>3561</v>
      </c>
      <c r="B1052" t="s">
        <v>3560</v>
      </c>
      <c r="C1052" t="s">
        <v>74</v>
      </c>
      <c r="D1052">
        <v>48</v>
      </c>
      <c r="E1052" t="s">
        <v>80</v>
      </c>
      <c r="F1052" t="s">
        <v>85</v>
      </c>
      <c r="G1052" s="8">
        <v>46089</v>
      </c>
      <c r="H1052" s="8">
        <v>46094</v>
      </c>
      <c r="I1052" t="s">
        <v>9135</v>
      </c>
      <c r="J1052" t="s">
        <v>3558</v>
      </c>
      <c r="K1052" t="s">
        <v>27</v>
      </c>
      <c r="L1052">
        <v>23960.82</v>
      </c>
      <c r="M1052">
        <v>400</v>
      </c>
      <c r="N1052" t="s">
        <v>16</v>
      </c>
      <c r="O1052" t="s">
        <v>63</v>
      </c>
    </row>
    <row r="1053" spans="1:15" x14ac:dyDescent="0.3">
      <c r="A1053" t="s">
        <v>3553</v>
      </c>
      <c r="B1053" t="s">
        <v>3552</v>
      </c>
      <c r="C1053" t="s">
        <v>40</v>
      </c>
      <c r="D1053">
        <v>46</v>
      </c>
      <c r="E1053" t="s">
        <v>21</v>
      </c>
      <c r="F1053" t="s">
        <v>20</v>
      </c>
      <c r="G1053" s="8">
        <v>45999</v>
      </c>
      <c r="H1053" s="8">
        <v>46005</v>
      </c>
      <c r="I1053" t="s">
        <v>9136</v>
      </c>
      <c r="J1053" t="s">
        <v>3550</v>
      </c>
      <c r="K1053" t="s">
        <v>64</v>
      </c>
      <c r="L1053">
        <v>9424.7099999999991</v>
      </c>
      <c r="M1053">
        <v>162</v>
      </c>
      <c r="N1053" t="s">
        <v>77</v>
      </c>
      <c r="O1053" t="s">
        <v>17</v>
      </c>
    </row>
    <row r="1054" spans="1:15" x14ac:dyDescent="0.3">
      <c r="A1054" t="s">
        <v>3546</v>
      </c>
      <c r="B1054" t="s">
        <v>3545</v>
      </c>
      <c r="C1054" t="s">
        <v>74</v>
      </c>
      <c r="D1054">
        <v>50</v>
      </c>
      <c r="E1054" t="s">
        <v>132</v>
      </c>
      <c r="F1054" t="s">
        <v>8077</v>
      </c>
      <c r="G1054" s="8">
        <v>46017</v>
      </c>
      <c r="H1054" s="8">
        <v>46033</v>
      </c>
      <c r="I1054" t="s">
        <v>9137</v>
      </c>
      <c r="J1054" t="s">
        <v>3543</v>
      </c>
      <c r="K1054" t="s">
        <v>64</v>
      </c>
      <c r="L1054">
        <v>2752.42</v>
      </c>
      <c r="M1054">
        <v>466</v>
      </c>
      <c r="N1054" t="s">
        <v>34</v>
      </c>
      <c r="O1054" t="s">
        <v>63</v>
      </c>
    </row>
    <row r="1055" spans="1:15" x14ac:dyDescent="0.3">
      <c r="A1055" t="s">
        <v>3542</v>
      </c>
      <c r="B1055" t="s">
        <v>3541</v>
      </c>
      <c r="C1055" t="s">
        <v>74</v>
      </c>
      <c r="D1055">
        <v>74</v>
      </c>
      <c r="E1055" t="s">
        <v>54</v>
      </c>
      <c r="F1055" t="s">
        <v>67</v>
      </c>
      <c r="G1055" s="8">
        <v>46137</v>
      </c>
      <c r="H1055" s="8">
        <v>46147</v>
      </c>
      <c r="I1055" t="s">
        <v>9138</v>
      </c>
      <c r="J1055" t="s">
        <v>3539</v>
      </c>
      <c r="K1055" t="s">
        <v>64</v>
      </c>
      <c r="L1055">
        <v>5114.13</v>
      </c>
      <c r="M1055">
        <v>510</v>
      </c>
      <c r="N1055" t="s">
        <v>16</v>
      </c>
      <c r="O1055" t="s">
        <v>27</v>
      </c>
    </row>
    <row r="1056" spans="1:15" x14ac:dyDescent="0.3">
      <c r="A1056" t="s">
        <v>3538</v>
      </c>
      <c r="B1056" t="s">
        <v>3537</v>
      </c>
      <c r="C1056" t="s">
        <v>123</v>
      </c>
      <c r="D1056">
        <v>6</v>
      </c>
      <c r="E1056" t="s">
        <v>132</v>
      </c>
      <c r="F1056" t="s">
        <v>67</v>
      </c>
      <c r="G1056" s="8">
        <v>46092</v>
      </c>
      <c r="H1056" s="8">
        <v>46095</v>
      </c>
      <c r="I1056" t="s">
        <v>9139</v>
      </c>
      <c r="J1056" t="s">
        <v>3535</v>
      </c>
      <c r="K1056" t="s">
        <v>64</v>
      </c>
      <c r="L1056">
        <v>11429.07</v>
      </c>
      <c r="M1056">
        <v>402</v>
      </c>
      <c r="N1056" t="s">
        <v>16</v>
      </c>
      <c r="O1056" t="s">
        <v>17</v>
      </c>
    </row>
    <row r="1057" spans="1:15" x14ac:dyDescent="0.3">
      <c r="A1057" t="s">
        <v>3530</v>
      </c>
      <c r="B1057" t="s">
        <v>3529</v>
      </c>
      <c r="C1057" t="s">
        <v>123</v>
      </c>
      <c r="D1057">
        <v>5</v>
      </c>
      <c r="E1057" t="s">
        <v>47</v>
      </c>
      <c r="F1057" t="s">
        <v>67</v>
      </c>
      <c r="G1057" s="8">
        <v>45992</v>
      </c>
      <c r="H1057" s="8">
        <v>46012</v>
      </c>
      <c r="I1057" t="s">
        <v>9140</v>
      </c>
      <c r="J1057" t="s">
        <v>3527</v>
      </c>
      <c r="K1057" t="s">
        <v>27</v>
      </c>
      <c r="L1057">
        <v>1922.46</v>
      </c>
      <c r="M1057">
        <v>524</v>
      </c>
      <c r="N1057" t="s">
        <v>50</v>
      </c>
      <c r="O1057" t="s">
        <v>64</v>
      </c>
    </row>
    <row r="1058" spans="1:15" x14ac:dyDescent="0.3">
      <c r="A1058" t="s">
        <v>3526</v>
      </c>
      <c r="B1058" t="s">
        <v>3525</v>
      </c>
      <c r="C1058" t="s">
        <v>123</v>
      </c>
      <c r="D1058">
        <v>39</v>
      </c>
      <c r="E1058" t="s">
        <v>132</v>
      </c>
      <c r="F1058" t="s">
        <v>67</v>
      </c>
      <c r="G1058" s="8">
        <v>46072</v>
      </c>
      <c r="H1058" s="8">
        <v>46096</v>
      </c>
      <c r="I1058" t="s">
        <v>9141</v>
      </c>
      <c r="J1058" t="s">
        <v>3523</v>
      </c>
      <c r="K1058" t="s">
        <v>64</v>
      </c>
      <c r="L1058">
        <v>10128.540000000001</v>
      </c>
      <c r="M1058">
        <v>352</v>
      </c>
      <c r="N1058" t="s">
        <v>34</v>
      </c>
      <c r="O1058" t="s">
        <v>17</v>
      </c>
    </row>
    <row r="1059" spans="1:15" x14ac:dyDescent="0.3">
      <c r="A1059" t="s">
        <v>3522</v>
      </c>
      <c r="B1059" t="s">
        <v>3521</v>
      </c>
      <c r="C1059" t="s">
        <v>40</v>
      </c>
      <c r="D1059">
        <v>51</v>
      </c>
      <c r="E1059" t="s">
        <v>132</v>
      </c>
      <c r="F1059" t="s">
        <v>85</v>
      </c>
      <c r="G1059" s="8">
        <v>46059</v>
      </c>
      <c r="H1059" s="8">
        <v>46074</v>
      </c>
      <c r="I1059" t="s">
        <v>9142</v>
      </c>
      <c r="J1059" t="s">
        <v>3519</v>
      </c>
      <c r="K1059" t="s">
        <v>64</v>
      </c>
      <c r="L1059">
        <v>21108.28</v>
      </c>
      <c r="M1059">
        <v>114</v>
      </c>
      <c r="N1059" t="s">
        <v>71</v>
      </c>
      <c r="O1059" t="s">
        <v>64</v>
      </c>
    </row>
    <row r="1060" spans="1:15" x14ac:dyDescent="0.3">
      <c r="A1060" t="s">
        <v>3518</v>
      </c>
      <c r="B1060" t="s">
        <v>3517</v>
      </c>
      <c r="C1060" t="s">
        <v>40</v>
      </c>
      <c r="D1060">
        <v>2</v>
      </c>
      <c r="E1060" t="s">
        <v>39</v>
      </c>
      <c r="F1060" t="s">
        <v>20</v>
      </c>
      <c r="G1060" s="8">
        <v>46025</v>
      </c>
      <c r="H1060" s="8">
        <v>46035</v>
      </c>
      <c r="I1060" t="s">
        <v>9143</v>
      </c>
      <c r="J1060" t="s">
        <v>3515</v>
      </c>
      <c r="K1060" t="s">
        <v>123</v>
      </c>
      <c r="L1060">
        <v>5813.26</v>
      </c>
      <c r="M1060">
        <v>197</v>
      </c>
      <c r="N1060" t="s">
        <v>25</v>
      </c>
      <c r="O1060" t="s">
        <v>64</v>
      </c>
    </row>
    <row r="1061" spans="1:15" x14ac:dyDescent="0.3">
      <c r="A1061" t="s">
        <v>3514</v>
      </c>
      <c r="B1061" t="s">
        <v>3513</v>
      </c>
      <c r="C1061" t="s">
        <v>74</v>
      </c>
      <c r="D1061">
        <v>69</v>
      </c>
      <c r="E1061" t="s">
        <v>47</v>
      </c>
      <c r="F1061" t="s">
        <v>46</v>
      </c>
      <c r="G1061" s="8">
        <v>46139</v>
      </c>
      <c r="H1061" s="8">
        <v>46147</v>
      </c>
      <c r="I1061" t="s">
        <v>9144</v>
      </c>
      <c r="J1061" t="s">
        <v>3511</v>
      </c>
      <c r="K1061" t="s">
        <v>27</v>
      </c>
      <c r="L1061">
        <v>2947.93</v>
      </c>
      <c r="M1061">
        <v>138</v>
      </c>
      <c r="N1061" t="s">
        <v>43</v>
      </c>
      <c r="O1061" t="s">
        <v>63</v>
      </c>
    </row>
    <row r="1062" spans="1:15" x14ac:dyDescent="0.3">
      <c r="A1062" t="s">
        <v>3510</v>
      </c>
      <c r="B1062" t="s">
        <v>3509</v>
      </c>
      <c r="C1062" t="s">
        <v>74</v>
      </c>
      <c r="D1062">
        <v>89</v>
      </c>
      <c r="E1062" t="s">
        <v>54</v>
      </c>
      <c r="F1062" t="s">
        <v>30</v>
      </c>
      <c r="G1062" s="8">
        <v>46081</v>
      </c>
      <c r="H1062" s="8">
        <v>46103</v>
      </c>
      <c r="I1062" t="s">
        <v>9145</v>
      </c>
      <c r="J1062" t="s">
        <v>3507</v>
      </c>
      <c r="K1062" t="s">
        <v>27</v>
      </c>
      <c r="L1062">
        <v>23136.49</v>
      </c>
      <c r="M1062">
        <v>161</v>
      </c>
      <c r="N1062" t="s">
        <v>71</v>
      </c>
      <c r="O1062" t="s">
        <v>123</v>
      </c>
    </row>
    <row r="1063" spans="1:15" x14ac:dyDescent="0.3">
      <c r="A1063" t="s">
        <v>3506</v>
      </c>
      <c r="B1063" t="s">
        <v>3505</v>
      </c>
      <c r="C1063" t="s">
        <v>74</v>
      </c>
      <c r="D1063">
        <v>19</v>
      </c>
      <c r="E1063" t="s">
        <v>54</v>
      </c>
      <c r="F1063" t="s">
        <v>85</v>
      </c>
      <c r="G1063" s="8">
        <v>45993</v>
      </c>
      <c r="H1063" s="8">
        <v>46014</v>
      </c>
      <c r="I1063" t="s">
        <v>9146</v>
      </c>
      <c r="J1063" t="s">
        <v>3503</v>
      </c>
      <c r="K1063" t="s">
        <v>64</v>
      </c>
      <c r="L1063">
        <v>13139.74</v>
      </c>
      <c r="M1063">
        <v>395</v>
      </c>
      <c r="N1063" t="s">
        <v>16</v>
      </c>
      <c r="O1063" t="s">
        <v>57</v>
      </c>
    </row>
    <row r="1064" spans="1:15" x14ac:dyDescent="0.3">
      <c r="A1064" t="s">
        <v>3502</v>
      </c>
      <c r="B1064" t="s">
        <v>3501</v>
      </c>
      <c r="C1064" t="s">
        <v>123</v>
      </c>
      <c r="D1064">
        <v>36</v>
      </c>
      <c r="E1064" t="s">
        <v>31</v>
      </c>
      <c r="F1064" t="s">
        <v>85</v>
      </c>
      <c r="G1064" s="8">
        <v>46023</v>
      </c>
      <c r="H1064" s="8">
        <v>46030</v>
      </c>
      <c r="I1064" t="s">
        <v>9147</v>
      </c>
      <c r="J1064" t="s">
        <v>3499</v>
      </c>
      <c r="K1064" t="s">
        <v>64</v>
      </c>
      <c r="L1064">
        <v>6742.54</v>
      </c>
      <c r="M1064">
        <v>464</v>
      </c>
      <c r="N1064" t="s">
        <v>77</v>
      </c>
      <c r="O1064" t="s">
        <v>63</v>
      </c>
    </row>
    <row r="1065" spans="1:15" x14ac:dyDescent="0.3">
      <c r="A1065" t="s">
        <v>3498</v>
      </c>
      <c r="B1065" t="s">
        <v>3497</v>
      </c>
      <c r="C1065" t="s">
        <v>74</v>
      </c>
      <c r="D1065">
        <v>72</v>
      </c>
      <c r="E1065" t="s">
        <v>21</v>
      </c>
      <c r="F1065" t="s">
        <v>8077</v>
      </c>
      <c r="G1065" s="8">
        <v>45984</v>
      </c>
      <c r="H1065" s="8">
        <v>46006</v>
      </c>
      <c r="I1065" t="s">
        <v>9148</v>
      </c>
      <c r="J1065" t="s">
        <v>3495</v>
      </c>
      <c r="K1065" t="s">
        <v>64</v>
      </c>
      <c r="L1065">
        <v>2063.58</v>
      </c>
      <c r="M1065">
        <v>130</v>
      </c>
      <c r="N1065" t="s">
        <v>71</v>
      </c>
      <c r="O1065" t="s">
        <v>123</v>
      </c>
    </row>
    <row r="1066" spans="1:15" x14ac:dyDescent="0.3">
      <c r="A1066" t="s">
        <v>3494</v>
      </c>
      <c r="B1066" t="s">
        <v>3493</v>
      </c>
      <c r="C1066" t="s">
        <v>40</v>
      </c>
      <c r="D1066">
        <v>86</v>
      </c>
      <c r="E1066" t="s">
        <v>21</v>
      </c>
      <c r="F1066" t="s">
        <v>85</v>
      </c>
      <c r="G1066" s="8">
        <v>46124</v>
      </c>
      <c r="H1066" s="8">
        <v>46150</v>
      </c>
      <c r="I1066" t="s">
        <v>9149</v>
      </c>
      <c r="J1066" t="s">
        <v>3491</v>
      </c>
      <c r="K1066" t="s">
        <v>123</v>
      </c>
      <c r="L1066">
        <v>4860.3500000000004</v>
      </c>
      <c r="M1066">
        <v>274</v>
      </c>
      <c r="N1066" t="s">
        <v>71</v>
      </c>
      <c r="O1066" t="s">
        <v>64</v>
      </c>
    </row>
    <row r="1067" spans="1:15" x14ac:dyDescent="0.3">
      <c r="A1067" t="s">
        <v>3490</v>
      </c>
      <c r="B1067" t="s">
        <v>3489</v>
      </c>
      <c r="C1067" t="s">
        <v>74</v>
      </c>
      <c r="D1067">
        <v>40</v>
      </c>
      <c r="E1067" t="s">
        <v>68</v>
      </c>
      <c r="F1067" t="s">
        <v>20</v>
      </c>
      <c r="G1067" s="8">
        <v>46149</v>
      </c>
      <c r="H1067" s="8">
        <v>46176</v>
      </c>
      <c r="I1067" t="s">
        <v>9150</v>
      </c>
      <c r="J1067" t="s">
        <v>3487</v>
      </c>
      <c r="K1067" t="s">
        <v>64</v>
      </c>
      <c r="L1067">
        <v>22870.31</v>
      </c>
      <c r="M1067">
        <v>286</v>
      </c>
      <c r="N1067" t="s">
        <v>16</v>
      </c>
      <c r="O1067" t="s">
        <v>57</v>
      </c>
    </row>
    <row r="1068" spans="1:15" x14ac:dyDescent="0.3">
      <c r="A1068" t="s">
        <v>3486</v>
      </c>
      <c r="B1068" t="s">
        <v>3485</v>
      </c>
      <c r="C1068" t="s">
        <v>123</v>
      </c>
      <c r="D1068">
        <v>80</v>
      </c>
      <c r="E1068" t="s">
        <v>21</v>
      </c>
      <c r="F1068" t="s">
        <v>67</v>
      </c>
      <c r="G1068" s="8">
        <v>46012</v>
      </c>
      <c r="H1068" s="8">
        <v>46018</v>
      </c>
      <c r="I1068" t="s">
        <v>9151</v>
      </c>
      <c r="J1068" t="s">
        <v>3483</v>
      </c>
      <c r="K1068" t="s">
        <v>64</v>
      </c>
      <c r="L1068">
        <v>7090.39</v>
      </c>
      <c r="M1068">
        <v>451</v>
      </c>
      <c r="N1068" t="s">
        <v>43</v>
      </c>
      <c r="O1068" t="s">
        <v>26</v>
      </c>
    </row>
    <row r="1069" spans="1:15" x14ac:dyDescent="0.3">
      <c r="A1069" t="s">
        <v>3482</v>
      </c>
      <c r="B1069" t="s">
        <v>3481</v>
      </c>
      <c r="C1069" t="s">
        <v>74</v>
      </c>
      <c r="D1069">
        <v>19</v>
      </c>
      <c r="E1069" t="s">
        <v>68</v>
      </c>
      <c r="F1069" t="s">
        <v>20</v>
      </c>
      <c r="G1069" s="8">
        <v>45982</v>
      </c>
      <c r="H1069" s="8">
        <v>46005</v>
      </c>
      <c r="I1069" t="s">
        <v>9152</v>
      </c>
      <c r="J1069" t="s">
        <v>3479</v>
      </c>
      <c r="K1069" t="s">
        <v>64</v>
      </c>
      <c r="L1069">
        <v>6165.95</v>
      </c>
      <c r="M1069">
        <v>195</v>
      </c>
      <c r="N1069" t="s">
        <v>43</v>
      </c>
      <c r="O1069" t="s">
        <v>123</v>
      </c>
    </row>
    <row r="1070" spans="1:15" x14ac:dyDescent="0.3">
      <c r="A1070" t="s">
        <v>3478</v>
      </c>
      <c r="B1070" t="s">
        <v>3477</v>
      </c>
      <c r="C1070" t="s">
        <v>40</v>
      </c>
      <c r="D1070">
        <v>61</v>
      </c>
      <c r="E1070" t="s">
        <v>68</v>
      </c>
      <c r="F1070" t="s">
        <v>67</v>
      </c>
      <c r="G1070" s="8">
        <v>46076</v>
      </c>
      <c r="H1070" s="8">
        <v>46084</v>
      </c>
      <c r="I1070" t="s">
        <v>9153</v>
      </c>
      <c r="J1070" t="s">
        <v>3475</v>
      </c>
      <c r="K1070" t="s">
        <v>64</v>
      </c>
      <c r="L1070">
        <v>23187.81</v>
      </c>
      <c r="M1070">
        <v>281</v>
      </c>
      <c r="N1070" t="s">
        <v>16</v>
      </c>
      <c r="O1070" t="s">
        <v>64</v>
      </c>
    </row>
    <row r="1071" spans="1:15" x14ac:dyDescent="0.3">
      <c r="A1071" t="s">
        <v>3474</v>
      </c>
      <c r="B1071" t="s">
        <v>3473</v>
      </c>
      <c r="C1071" t="s">
        <v>74</v>
      </c>
      <c r="D1071">
        <v>20</v>
      </c>
      <c r="E1071" t="s">
        <v>54</v>
      </c>
      <c r="F1071" t="s">
        <v>67</v>
      </c>
      <c r="G1071" s="8">
        <v>46015</v>
      </c>
      <c r="H1071" s="8">
        <v>46031</v>
      </c>
      <c r="I1071" t="s">
        <v>9154</v>
      </c>
      <c r="J1071" t="s">
        <v>3471</v>
      </c>
      <c r="K1071" t="s">
        <v>64</v>
      </c>
      <c r="L1071">
        <v>1518.3</v>
      </c>
      <c r="M1071">
        <v>289</v>
      </c>
      <c r="N1071" t="s">
        <v>77</v>
      </c>
      <c r="O1071" t="s">
        <v>63</v>
      </c>
    </row>
    <row r="1072" spans="1:15" x14ac:dyDescent="0.3">
      <c r="A1072" t="s">
        <v>3470</v>
      </c>
      <c r="B1072" t="s">
        <v>3469</v>
      </c>
      <c r="C1072" t="s">
        <v>40</v>
      </c>
      <c r="D1072">
        <v>84</v>
      </c>
      <c r="E1072" t="s">
        <v>54</v>
      </c>
      <c r="F1072" t="s">
        <v>67</v>
      </c>
      <c r="G1072" s="8">
        <v>46029</v>
      </c>
      <c r="H1072" s="8">
        <v>46035</v>
      </c>
      <c r="I1072" t="s">
        <v>9155</v>
      </c>
      <c r="J1072" t="s">
        <v>3467</v>
      </c>
      <c r="K1072" t="s">
        <v>27</v>
      </c>
      <c r="L1072">
        <v>4898.3500000000004</v>
      </c>
      <c r="M1072">
        <v>404</v>
      </c>
      <c r="N1072" t="s">
        <v>43</v>
      </c>
      <c r="O1072" t="s">
        <v>26</v>
      </c>
    </row>
    <row r="1073" spans="1:15" x14ac:dyDescent="0.3">
      <c r="A1073" t="s">
        <v>3466</v>
      </c>
      <c r="B1073" t="s">
        <v>3465</v>
      </c>
      <c r="C1073" t="s">
        <v>123</v>
      </c>
      <c r="D1073">
        <v>67</v>
      </c>
      <c r="E1073" t="s">
        <v>54</v>
      </c>
      <c r="F1073" t="s">
        <v>20</v>
      </c>
      <c r="G1073" s="8">
        <v>46029</v>
      </c>
      <c r="H1073" s="8">
        <v>46050</v>
      </c>
      <c r="I1073" t="s">
        <v>9156</v>
      </c>
      <c r="J1073" t="s">
        <v>3463</v>
      </c>
      <c r="K1073" t="s">
        <v>27</v>
      </c>
      <c r="L1073">
        <v>16229.35</v>
      </c>
      <c r="M1073">
        <v>212</v>
      </c>
      <c r="N1073" t="s">
        <v>77</v>
      </c>
      <c r="O1073" t="s">
        <v>64</v>
      </c>
    </row>
    <row r="1074" spans="1:15" x14ac:dyDescent="0.3">
      <c r="A1074" t="s">
        <v>3462</v>
      </c>
      <c r="B1074" t="s">
        <v>3461</v>
      </c>
      <c r="C1074" t="s">
        <v>40</v>
      </c>
      <c r="D1074">
        <v>5</v>
      </c>
      <c r="E1074" t="s">
        <v>132</v>
      </c>
      <c r="F1074" t="s">
        <v>8077</v>
      </c>
      <c r="G1074" s="8">
        <v>46138</v>
      </c>
      <c r="H1074" s="8">
        <v>46140</v>
      </c>
      <c r="I1074" t="s">
        <v>9157</v>
      </c>
      <c r="J1074" t="s">
        <v>3459</v>
      </c>
      <c r="K1074" t="s">
        <v>64</v>
      </c>
      <c r="L1074">
        <v>7031.4</v>
      </c>
      <c r="M1074">
        <v>300</v>
      </c>
      <c r="N1074" t="s">
        <v>16</v>
      </c>
      <c r="O1074" t="s">
        <v>123</v>
      </c>
    </row>
    <row r="1075" spans="1:15" x14ac:dyDescent="0.3">
      <c r="A1075" t="s">
        <v>3458</v>
      </c>
      <c r="B1075" t="s">
        <v>3457</v>
      </c>
      <c r="C1075" t="s">
        <v>74</v>
      </c>
      <c r="D1075">
        <v>29</v>
      </c>
      <c r="E1075" t="s">
        <v>132</v>
      </c>
      <c r="F1075" t="s">
        <v>85</v>
      </c>
      <c r="G1075" s="8">
        <v>46088</v>
      </c>
      <c r="H1075" s="8">
        <v>46094</v>
      </c>
      <c r="I1075" t="s">
        <v>9158</v>
      </c>
      <c r="J1075" t="s">
        <v>3455</v>
      </c>
      <c r="K1075" t="s">
        <v>27</v>
      </c>
      <c r="L1075">
        <v>19686.05</v>
      </c>
      <c r="M1075">
        <v>426</v>
      </c>
      <c r="N1075" t="s">
        <v>43</v>
      </c>
      <c r="O1075" t="s">
        <v>17</v>
      </c>
    </row>
    <row r="1076" spans="1:15" x14ac:dyDescent="0.3">
      <c r="A1076" t="s">
        <v>3454</v>
      </c>
      <c r="B1076" t="s">
        <v>3453</v>
      </c>
      <c r="C1076" t="s">
        <v>40</v>
      </c>
      <c r="D1076">
        <v>1</v>
      </c>
      <c r="E1076" t="s">
        <v>80</v>
      </c>
      <c r="F1076" t="s">
        <v>20</v>
      </c>
      <c r="G1076" s="8">
        <v>46107</v>
      </c>
      <c r="H1076" s="8">
        <v>46123</v>
      </c>
      <c r="I1076" t="s">
        <v>9159</v>
      </c>
      <c r="J1076" t="s">
        <v>3451</v>
      </c>
      <c r="K1076" t="s">
        <v>123</v>
      </c>
      <c r="L1076">
        <v>18529.45</v>
      </c>
      <c r="M1076">
        <v>187</v>
      </c>
      <c r="N1076" t="s">
        <v>43</v>
      </c>
      <c r="O1076" t="s">
        <v>57</v>
      </c>
    </row>
    <row r="1077" spans="1:15" x14ac:dyDescent="0.3">
      <c r="A1077" t="s">
        <v>3450</v>
      </c>
      <c r="B1077" t="s">
        <v>3449</v>
      </c>
      <c r="C1077" t="s">
        <v>74</v>
      </c>
      <c r="D1077">
        <v>22</v>
      </c>
      <c r="E1077" t="s">
        <v>39</v>
      </c>
      <c r="F1077" t="s">
        <v>67</v>
      </c>
      <c r="G1077" s="8">
        <v>46068</v>
      </c>
      <c r="H1077" s="8">
        <v>46096</v>
      </c>
      <c r="I1077" t="s">
        <v>9160</v>
      </c>
      <c r="J1077" t="s">
        <v>3447</v>
      </c>
      <c r="K1077" t="s">
        <v>123</v>
      </c>
      <c r="L1077">
        <v>3717.47</v>
      </c>
      <c r="M1077">
        <v>441</v>
      </c>
      <c r="N1077" t="s">
        <v>16</v>
      </c>
      <c r="O1077" t="s">
        <v>27</v>
      </c>
    </row>
    <row r="1078" spans="1:15" x14ac:dyDescent="0.3">
      <c r="A1078" t="s">
        <v>3446</v>
      </c>
      <c r="B1078" t="s">
        <v>3445</v>
      </c>
      <c r="C1078" t="s">
        <v>123</v>
      </c>
      <c r="D1078">
        <v>43</v>
      </c>
      <c r="E1078" t="s">
        <v>47</v>
      </c>
      <c r="F1078" t="s">
        <v>20</v>
      </c>
      <c r="G1078" s="8">
        <v>46090</v>
      </c>
      <c r="H1078" s="8">
        <v>46098</v>
      </c>
      <c r="I1078" t="s">
        <v>9161</v>
      </c>
      <c r="J1078" t="s">
        <v>3443</v>
      </c>
      <c r="K1078" t="s">
        <v>64</v>
      </c>
      <c r="L1078">
        <v>4433.9799999999996</v>
      </c>
      <c r="M1078">
        <v>404</v>
      </c>
      <c r="N1078" t="s">
        <v>43</v>
      </c>
      <c r="O1078" t="s">
        <v>27</v>
      </c>
    </row>
    <row r="1079" spans="1:15" x14ac:dyDescent="0.3">
      <c r="A1079" t="s">
        <v>3442</v>
      </c>
      <c r="B1079" t="s">
        <v>3441</v>
      </c>
      <c r="C1079" t="s">
        <v>123</v>
      </c>
      <c r="D1079">
        <v>75</v>
      </c>
      <c r="E1079" t="s">
        <v>47</v>
      </c>
      <c r="F1079" t="s">
        <v>85</v>
      </c>
      <c r="G1079" s="8">
        <v>46092</v>
      </c>
      <c r="H1079" s="8">
        <v>46119</v>
      </c>
      <c r="I1079" t="s">
        <v>9162</v>
      </c>
      <c r="J1079" t="s">
        <v>3439</v>
      </c>
      <c r="K1079" t="s">
        <v>64</v>
      </c>
      <c r="L1079">
        <v>11919.69</v>
      </c>
      <c r="M1079">
        <v>519</v>
      </c>
      <c r="N1079" t="s">
        <v>77</v>
      </c>
      <c r="O1079" t="s">
        <v>27</v>
      </c>
    </row>
    <row r="1080" spans="1:15" x14ac:dyDescent="0.3">
      <c r="A1080" t="s">
        <v>3438</v>
      </c>
      <c r="B1080" t="s">
        <v>3437</v>
      </c>
      <c r="C1080" t="s">
        <v>40</v>
      </c>
      <c r="D1080">
        <v>30</v>
      </c>
      <c r="E1080" t="s">
        <v>39</v>
      </c>
      <c r="F1080" t="s">
        <v>20</v>
      </c>
      <c r="G1080" s="8">
        <v>46045</v>
      </c>
      <c r="H1080" s="8">
        <v>46069</v>
      </c>
      <c r="I1080" t="s">
        <v>9163</v>
      </c>
      <c r="J1080" t="s">
        <v>3435</v>
      </c>
      <c r="K1080" t="s">
        <v>64</v>
      </c>
      <c r="L1080">
        <v>2679.81</v>
      </c>
      <c r="M1080">
        <v>331</v>
      </c>
      <c r="N1080" t="s">
        <v>16</v>
      </c>
      <c r="O1080" t="s">
        <v>17</v>
      </c>
    </row>
    <row r="1081" spans="1:15" x14ac:dyDescent="0.3">
      <c r="A1081" t="s">
        <v>3434</v>
      </c>
      <c r="B1081" t="s">
        <v>3433</v>
      </c>
      <c r="C1081" t="s">
        <v>74</v>
      </c>
      <c r="D1081">
        <v>70</v>
      </c>
      <c r="E1081" t="s">
        <v>132</v>
      </c>
      <c r="F1081" t="s">
        <v>85</v>
      </c>
      <c r="G1081" s="8">
        <v>45986</v>
      </c>
      <c r="H1081" s="8">
        <v>45994</v>
      </c>
      <c r="I1081" t="s">
        <v>9164</v>
      </c>
      <c r="J1081" t="s">
        <v>3431</v>
      </c>
      <c r="K1081" t="s">
        <v>64</v>
      </c>
      <c r="L1081">
        <v>11577.02</v>
      </c>
      <c r="M1081">
        <v>254</v>
      </c>
      <c r="N1081" t="s">
        <v>25</v>
      </c>
      <c r="O1081" t="s">
        <v>17</v>
      </c>
    </row>
    <row r="1082" spans="1:15" x14ac:dyDescent="0.3">
      <c r="A1082" t="s">
        <v>3430</v>
      </c>
      <c r="B1082" t="s">
        <v>3429</v>
      </c>
      <c r="C1082" t="s">
        <v>74</v>
      </c>
      <c r="D1082">
        <v>67</v>
      </c>
      <c r="E1082" t="s">
        <v>68</v>
      </c>
      <c r="F1082" t="s">
        <v>20</v>
      </c>
      <c r="G1082" s="8">
        <v>46044</v>
      </c>
      <c r="H1082" s="8">
        <v>46052</v>
      </c>
      <c r="I1082" t="s">
        <v>9165</v>
      </c>
      <c r="J1082" t="s">
        <v>3427</v>
      </c>
      <c r="K1082" t="s">
        <v>27</v>
      </c>
      <c r="L1082">
        <v>3867.93</v>
      </c>
      <c r="M1082">
        <v>538</v>
      </c>
      <c r="N1082" t="s">
        <v>71</v>
      </c>
      <c r="O1082" t="s">
        <v>123</v>
      </c>
    </row>
    <row r="1083" spans="1:15" x14ac:dyDescent="0.3">
      <c r="A1083" t="s">
        <v>3426</v>
      </c>
      <c r="B1083" t="s">
        <v>3425</v>
      </c>
      <c r="C1083" t="s">
        <v>40</v>
      </c>
      <c r="D1083">
        <v>46</v>
      </c>
      <c r="E1083" t="s">
        <v>68</v>
      </c>
      <c r="F1083" t="s">
        <v>46</v>
      </c>
      <c r="G1083" s="8">
        <v>46015</v>
      </c>
      <c r="H1083" s="8">
        <v>46022</v>
      </c>
      <c r="I1083" t="s">
        <v>9166</v>
      </c>
      <c r="J1083" t="s">
        <v>3423</v>
      </c>
      <c r="K1083" t="s">
        <v>123</v>
      </c>
      <c r="L1083">
        <v>9113.61</v>
      </c>
      <c r="M1083">
        <v>199</v>
      </c>
      <c r="N1083" t="s">
        <v>16</v>
      </c>
      <c r="O1083" t="s">
        <v>64</v>
      </c>
    </row>
    <row r="1084" spans="1:15" x14ac:dyDescent="0.3">
      <c r="A1084" t="s">
        <v>3422</v>
      </c>
      <c r="B1084" t="s">
        <v>3421</v>
      </c>
      <c r="C1084" t="s">
        <v>74</v>
      </c>
      <c r="D1084">
        <v>36</v>
      </c>
      <c r="E1084" t="s">
        <v>68</v>
      </c>
      <c r="F1084" t="s">
        <v>20</v>
      </c>
      <c r="G1084" s="8">
        <v>46147</v>
      </c>
      <c r="H1084" s="8">
        <v>46155</v>
      </c>
      <c r="I1084" t="s">
        <v>9167</v>
      </c>
      <c r="J1084" t="s">
        <v>3419</v>
      </c>
      <c r="K1084" t="s">
        <v>64</v>
      </c>
      <c r="L1084">
        <v>22222.27</v>
      </c>
      <c r="M1084">
        <v>401</v>
      </c>
      <c r="N1084" t="s">
        <v>16</v>
      </c>
      <c r="O1084" t="s">
        <v>123</v>
      </c>
    </row>
    <row r="1085" spans="1:15" x14ac:dyDescent="0.3">
      <c r="A1085" t="s">
        <v>3418</v>
      </c>
      <c r="B1085" t="s">
        <v>3417</v>
      </c>
      <c r="C1085" t="s">
        <v>40</v>
      </c>
      <c r="D1085">
        <v>40</v>
      </c>
      <c r="E1085" t="s">
        <v>21</v>
      </c>
      <c r="F1085" t="s">
        <v>46</v>
      </c>
      <c r="G1085" s="8">
        <v>46015</v>
      </c>
      <c r="H1085" s="8">
        <v>46033</v>
      </c>
      <c r="I1085" t="s">
        <v>9168</v>
      </c>
      <c r="J1085" t="s">
        <v>3415</v>
      </c>
      <c r="K1085" t="s">
        <v>64</v>
      </c>
      <c r="L1085">
        <v>20887.45</v>
      </c>
      <c r="M1085">
        <v>321</v>
      </c>
      <c r="N1085" t="s">
        <v>50</v>
      </c>
      <c r="O1085" t="s">
        <v>64</v>
      </c>
    </row>
    <row r="1086" spans="1:15" x14ac:dyDescent="0.3">
      <c r="A1086" t="s">
        <v>3414</v>
      </c>
      <c r="B1086" t="s">
        <v>3413</v>
      </c>
      <c r="C1086" t="s">
        <v>123</v>
      </c>
      <c r="D1086">
        <v>73</v>
      </c>
      <c r="E1086" t="s">
        <v>31</v>
      </c>
      <c r="F1086" t="s">
        <v>30</v>
      </c>
      <c r="G1086" s="8">
        <v>46026</v>
      </c>
      <c r="H1086" s="8">
        <v>46029</v>
      </c>
      <c r="I1086" t="s">
        <v>9169</v>
      </c>
      <c r="J1086" t="s">
        <v>3411</v>
      </c>
      <c r="K1086" t="s">
        <v>27</v>
      </c>
      <c r="L1086">
        <v>12573.39</v>
      </c>
      <c r="M1086">
        <v>338</v>
      </c>
      <c r="N1086" t="s">
        <v>25</v>
      </c>
      <c r="O1086" t="s">
        <v>26</v>
      </c>
    </row>
    <row r="1087" spans="1:15" x14ac:dyDescent="0.3">
      <c r="A1087" t="s">
        <v>3410</v>
      </c>
      <c r="B1087" t="s">
        <v>3409</v>
      </c>
      <c r="C1087" t="s">
        <v>40</v>
      </c>
      <c r="D1087">
        <v>67</v>
      </c>
      <c r="E1087" t="s">
        <v>132</v>
      </c>
      <c r="F1087" t="s">
        <v>20</v>
      </c>
      <c r="G1087" s="8">
        <v>46142</v>
      </c>
      <c r="H1087" s="8">
        <v>46151</v>
      </c>
      <c r="I1087" t="s">
        <v>9170</v>
      </c>
      <c r="J1087" t="s">
        <v>3407</v>
      </c>
      <c r="K1087" t="s">
        <v>123</v>
      </c>
      <c r="L1087">
        <v>7348.85</v>
      </c>
      <c r="M1087">
        <v>107</v>
      </c>
      <c r="N1087" t="s">
        <v>16</v>
      </c>
      <c r="O1087" t="s">
        <v>63</v>
      </c>
    </row>
    <row r="1088" spans="1:15" x14ac:dyDescent="0.3">
      <c r="A1088" t="s">
        <v>3406</v>
      </c>
      <c r="B1088" t="s">
        <v>3405</v>
      </c>
      <c r="C1088" t="s">
        <v>40</v>
      </c>
      <c r="D1088">
        <v>28</v>
      </c>
      <c r="E1088" t="s">
        <v>132</v>
      </c>
      <c r="F1088" t="s">
        <v>20</v>
      </c>
      <c r="G1088" s="8">
        <v>46011</v>
      </c>
      <c r="H1088" s="8">
        <v>46012</v>
      </c>
      <c r="I1088" t="s">
        <v>9171</v>
      </c>
      <c r="J1088" t="s">
        <v>3403</v>
      </c>
      <c r="K1088" t="s">
        <v>123</v>
      </c>
      <c r="L1088">
        <v>7784.37</v>
      </c>
      <c r="M1088">
        <v>280</v>
      </c>
      <c r="N1088" t="s">
        <v>25</v>
      </c>
      <c r="O1088" t="s">
        <v>123</v>
      </c>
    </row>
    <row r="1089" spans="1:15" x14ac:dyDescent="0.3">
      <c r="A1089" t="s">
        <v>3402</v>
      </c>
      <c r="B1089" t="s">
        <v>3401</v>
      </c>
      <c r="C1089" t="s">
        <v>40</v>
      </c>
      <c r="D1089">
        <v>7</v>
      </c>
      <c r="E1089" t="s">
        <v>132</v>
      </c>
      <c r="F1089" t="s">
        <v>20</v>
      </c>
      <c r="G1089" s="8">
        <v>46027</v>
      </c>
      <c r="H1089" s="8">
        <v>46038</v>
      </c>
      <c r="I1089" t="s">
        <v>9172</v>
      </c>
      <c r="J1089" t="s">
        <v>3399</v>
      </c>
      <c r="K1089" t="s">
        <v>27</v>
      </c>
      <c r="L1089">
        <v>19674.53</v>
      </c>
      <c r="M1089">
        <v>144</v>
      </c>
      <c r="N1089" t="s">
        <v>25</v>
      </c>
      <c r="O1089" t="s">
        <v>26</v>
      </c>
    </row>
    <row r="1090" spans="1:15" x14ac:dyDescent="0.3">
      <c r="A1090" t="s">
        <v>3398</v>
      </c>
      <c r="B1090" t="s">
        <v>3397</v>
      </c>
      <c r="C1090" t="s">
        <v>40</v>
      </c>
      <c r="D1090">
        <v>19</v>
      </c>
      <c r="E1090" t="s">
        <v>21</v>
      </c>
      <c r="F1090" t="s">
        <v>67</v>
      </c>
      <c r="G1090" s="8">
        <v>46137</v>
      </c>
      <c r="H1090" s="8">
        <v>46155</v>
      </c>
      <c r="I1090" t="s">
        <v>9173</v>
      </c>
      <c r="J1090" t="s">
        <v>3395</v>
      </c>
      <c r="K1090" t="s">
        <v>64</v>
      </c>
      <c r="L1090">
        <v>7411.89</v>
      </c>
      <c r="M1090">
        <v>342</v>
      </c>
      <c r="N1090" t="s">
        <v>43</v>
      </c>
      <c r="O1090" t="s">
        <v>27</v>
      </c>
    </row>
    <row r="1091" spans="1:15" x14ac:dyDescent="0.3">
      <c r="A1091" t="s">
        <v>3394</v>
      </c>
      <c r="B1091" t="s">
        <v>3393</v>
      </c>
      <c r="C1091" t="s">
        <v>74</v>
      </c>
      <c r="D1091">
        <v>87</v>
      </c>
      <c r="E1091" t="s">
        <v>54</v>
      </c>
      <c r="F1091" t="s">
        <v>67</v>
      </c>
      <c r="G1091" s="8">
        <v>46072</v>
      </c>
      <c r="H1091" s="8">
        <v>46084</v>
      </c>
      <c r="I1091" t="s">
        <v>9174</v>
      </c>
      <c r="J1091" t="s">
        <v>3391</v>
      </c>
      <c r="K1091" t="s">
        <v>64</v>
      </c>
      <c r="L1091">
        <v>22347.23</v>
      </c>
      <c r="M1091">
        <v>405</v>
      </c>
      <c r="N1091" t="s">
        <v>43</v>
      </c>
      <c r="O1091" t="s">
        <v>63</v>
      </c>
    </row>
    <row r="1092" spans="1:15" x14ac:dyDescent="0.3">
      <c r="A1092" t="s">
        <v>3390</v>
      </c>
      <c r="B1092" t="s">
        <v>3389</v>
      </c>
      <c r="C1092" t="s">
        <v>40</v>
      </c>
      <c r="D1092">
        <v>73</v>
      </c>
      <c r="E1092" t="s">
        <v>54</v>
      </c>
      <c r="F1092" t="s">
        <v>67</v>
      </c>
      <c r="G1092" s="8">
        <v>46089</v>
      </c>
      <c r="H1092" s="8">
        <v>46114</v>
      </c>
      <c r="I1092" t="s">
        <v>8230</v>
      </c>
      <c r="J1092" t="s">
        <v>3388</v>
      </c>
      <c r="K1092" t="s">
        <v>27</v>
      </c>
      <c r="L1092">
        <v>17146.37</v>
      </c>
      <c r="M1092">
        <v>228</v>
      </c>
      <c r="N1092" t="s">
        <v>71</v>
      </c>
      <c r="O1092" t="s">
        <v>57</v>
      </c>
    </row>
    <row r="1093" spans="1:15" x14ac:dyDescent="0.3">
      <c r="A1093" t="s">
        <v>3387</v>
      </c>
      <c r="B1093" t="s">
        <v>3386</v>
      </c>
      <c r="C1093" t="s">
        <v>123</v>
      </c>
      <c r="D1093">
        <v>71</v>
      </c>
      <c r="E1093" t="s">
        <v>21</v>
      </c>
      <c r="F1093" t="s">
        <v>30</v>
      </c>
      <c r="G1093" s="8">
        <v>46109</v>
      </c>
      <c r="H1093" s="8">
        <v>46118</v>
      </c>
      <c r="I1093" t="s">
        <v>9175</v>
      </c>
      <c r="J1093" t="s">
        <v>3384</v>
      </c>
      <c r="K1093" t="s">
        <v>64</v>
      </c>
      <c r="L1093">
        <v>7573.89</v>
      </c>
      <c r="M1093">
        <v>379</v>
      </c>
      <c r="N1093" t="s">
        <v>71</v>
      </c>
      <c r="O1093" t="s">
        <v>123</v>
      </c>
    </row>
    <row r="1094" spans="1:15" x14ac:dyDescent="0.3">
      <c r="A1094" t="s">
        <v>3383</v>
      </c>
      <c r="B1094" t="s">
        <v>3382</v>
      </c>
      <c r="C1094" t="s">
        <v>123</v>
      </c>
      <c r="D1094">
        <v>56</v>
      </c>
      <c r="E1094" t="s">
        <v>80</v>
      </c>
      <c r="F1094" t="s">
        <v>20</v>
      </c>
      <c r="G1094" s="8">
        <v>46116</v>
      </c>
      <c r="H1094" s="8">
        <v>46132</v>
      </c>
      <c r="I1094" t="s">
        <v>9176</v>
      </c>
      <c r="J1094" t="s">
        <v>3380</v>
      </c>
      <c r="K1094" t="s">
        <v>123</v>
      </c>
      <c r="L1094">
        <v>17414.509999999998</v>
      </c>
      <c r="M1094">
        <v>339</v>
      </c>
      <c r="N1094" t="s">
        <v>43</v>
      </c>
      <c r="O1094" t="s">
        <v>17</v>
      </c>
    </row>
    <row r="1095" spans="1:15" x14ac:dyDescent="0.3">
      <c r="A1095" t="s">
        <v>3379</v>
      </c>
      <c r="B1095" t="s">
        <v>3378</v>
      </c>
      <c r="C1095" t="s">
        <v>123</v>
      </c>
      <c r="D1095">
        <v>60</v>
      </c>
      <c r="E1095" t="s">
        <v>54</v>
      </c>
      <c r="F1095" t="s">
        <v>67</v>
      </c>
      <c r="G1095" s="8">
        <v>46100</v>
      </c>
      <c r="H1095" s="8">
        <v>46114</v>
      </c>
      <c r="I1095" t="s">
        <v>9177</v>
      </c>
      <c r="J1095" t="s">
        <v>3376</v>
      </c>
      <c r="K1095" t="s">
        <v>27</v>
      </c>
      <c r="L1095">
        <v>22831.45</v>
      </c>
      <c r="M1095">
        <v>492</v>
      </c>
      <c r="N1095" t="s">
        <v>16</v>
      </c>
      <c r="O1095" t="s">
        <v>27</v>
      </c>
    </row>
    <row r="1096" spans="1:15" x14ac:dyDescent="0.3">
      <c r="A1096" t="s">
        <v>3375</v>
      </c>
      <c r="B1096" t="s">
        <v>3374</v>
      </c>
      <c r="C1096" t="s">
        <v>74</v>
      </c>
      <c r="D1096">
        <v>18</v>
      </c>
      <c r="E1096" t="s">
        <v>132</v>
      </c>
      <c r="F1096" t="s">
        <v>8077</v>
      </c>
      <c r="G1096" s="8">
        <v>46112</v>
      </c>
      <c r="H1096" s="8">
        <v>46130</v>
      </c>
      <c r="I1096" t="s">
        <v>9178</v>
      </c>
      <c r="J1096" t="s">
        <v>3372</v>
      </c>
      <c r="K1096" t="s">
        <v>64</v>
      </c>
      <c r="L1096">
        <v>3356.42</v>
      </c>
      <c r="M1096">
        <v>127</v>
      </c>
      <c r="N1096" t="s">
        <v>50</v>
      </c>
      <c r="O1096" t="s">
        <v>63</v>
      </c>
    </row>
    <row r="1097" spans="1:15" x14ac:dyDescent="0.3">
      <c r="A1097" t="s">
        <v>3371</v>
      </c>
      <c r="B1097" t="s">
        <v>3370</v>
      </c>
      <c r="C1097" t="s">
        <v>123</v>
      </c>
      <c r="D1097">
        <v>17</v>
      </c>
      <c r="E1097" t="s">
        <v>54</v>
      </c>
      <c r="F1097" t="s">
        <v>46</v>
      </c>
      <c r="G1097" s="8">
        <v>46068</v>
      </c>
      <c r="H1097" s="8">
        <v>46082</v>
      </c>
      <c r="I1097" t="s">
        <v>9179</v>
      </c>
      <c r="J1097" t="s">
        <v>3368</v>
      </c>
      <c r="K1097" t="s">
        <v>123</v>
      </c>
      <c r="L1097">
        <v>21012.11</v>
      </c>
      <c r="M1097">
        <v>128</v>
      </c>
      <c r="N1097" t="s">
        <v>43</v>
      </c>
      <c r="O1097" t="s">
        <v>64</v>
      </c>
    </row>
    <row r="1098" spans="1:15" x14ac:dyDescent="0.3">
      <c r="A1098" t="s">
        <v>3367</v>
      </c>
      <c r="B1098" t="s">
        <v>8061</v>
      </c>
      <c r="C1098" t="s">
        <v>74</v>
      </c>
      <c r="D1098">
        <v>43</v>
      </c>
      <c r="E1098" t="s">
        <v>80</v>
      </c>
      <c r="F1098" t="s">
        <v>30</v>
      </c>
      <c r="G1098" s="8">
        <v>45986</v>
      </c>
      <c r="H1098" s="8">
        <v>46004</v>
      </c>
      <c r="I1098" t="s">
        <v>9180</v>
      </c>
      <c r="J1098" t="s">
        <v>3364</v>
      </c>
      <c r="K1098" t="s">
        <v>123</v>
      </c>
      <c r="L1098">
        <v>17326.7</v>
      </c>
      <c r="M1098">
        <v>162</v>
      </c>
      <c r="N1098" t="s">
        <v>25</v>
      </c>
      <c r="O1098" t="s">
        <v>27</v>
      </c>
    </row>
    <row r="1099" spans="1:15" x14ac:dyDescent="0.3">
      <c r="A1099" t="s">
        <v>3363</v>
      </c>
      <c r="B1099" t="s">
        <v>3362</v>
      </c>
      <c r="C1099" t="s">
        <v>40</v>
      </c>
      <c r="D1099">
        <v>90</v>
      </c>
      <c r="E1099" t="s">
        <v>21</v>
      </c>
      <c r="F1099" t="s">
        <v>20</v>
      </c>
      <c r="G1099" s="8">
        <v>46030</v>
      </c>
      <c r="H1099" s="8">
        <v>46047</v>
      </c>
      <c r="I1099" t="s">
        <v>9181</v>
      </c>
      <c r="J1099" t="s">
        <v>3360</v>
      </c>
      <c r="K1099" t="s">
        <v>123</v>
      </c>
      <c r="L1099">
        <v>3582.79</v>
      </c>
      <c r="M1099">
        <v>254</v>
      </c>
      <c r="N1099" t="s">
        <v>25</v>
      </c>
      <c r="O1099" t="s">
        <v>26</v>
      </c>
    </row>
    <row r="1100" spans="1:15" x14ac:dyDescent="0.3">
      <c r="A1100" t="s">
        <v>3359</v>
      </c>
      <c r="B1100" t="s">
        <v>3358</v>
      </c>
      <c r="C1100" t="s">
        <v>40</v>
      </c>
      <c r="D1100">
        <v>1</v>
      </c>
      <c r="E1100" t="s">
        <v>68</v>
      </c>
      <c r="F1100" t="s">
        <v>8077</v>
      </c>
      <c r="G1100" s="8">
        <v>46074</v>
      </c>
      <c r="H1100" s="8">
        <v>46077</v>
      </c>
      <c r="I1100" t="s">
        <v>9182</v>
      </c>
      <c r="J1100" t="s">
        <v>3356</v>
      </c>
      <c r="K1100" t="s">
        <v>64</v>
      </c>
      <c r="L1100">
        <v>200.89</v>
      </c>
      <c r="M1100">
        <v>366</v>
      </c>
      <c r="N1100" t="s">
        <v>77</v>
      </c>
      <c r="O1100" t="s">
        <v>64</v>
      </c>
    </row>
    <row r="1101" spans="1:15" x14ac:dyDescent="0.3">
      <c r="A1101" t="s">
        <v>3347</v>
      </c>
      <c r="B1101" t="s">
        <v>3346</v>
      </c>
      <c r="C1101" t="s">
        <v>40</v>
      </c>
      <c r="D1101">
        <v>24</v>
      </c>
      <c r="E1101" t="s">
        <v>39</v>
      </c>
      <c r="F1101" t="s">
        <v>8077</v>
      </c>
      <c r="G1101" s="8">
        <v>46075</v>
      </c>
      <c r="H1101" s="8">
        <v>46080</v>
      </c>
      <c r="I1101" t="s">
        <v>9183</v>
      </c>
      <c r="J1101" t="s">
        <v>3344</v>
      </c>
      <c r="K1101" t="s">
        <v>64</v>
      </c>
      <c r="L1101">
        <v>12008.73</v>
      </c>
      <c r="M1101">
        <v>248</v>
      </c>
      <c r="N1101" t="s">
        <v>25</v>
      </c>
      <c r="O1101" t="s">
        <v>63</v>
      </c>
    </row>
    <row r="1102" spans="1:15" x14ac:dyDescent="0.3">
      <c r="A1102" t="s">
        <v>3343</v>
      </c>
      <c r="B1102" t="s">
        <v>3342</v>
      </c>
      <c r="C1102" t="s">
        <v>74</v>
      </c>
      <c r="D1102">
        <v>76</v>
      </c>
      <c r="E1102" t="s">
        <v>68</v>
      </c>
      <c r="F1102" t="s">
        <v>67</v>
      </c>
      <c r="G1102" s="8">
        <v>45995</v>
      </c>
      <c r="H1102" s="8">
        <v>46016</v>
      </c>
      <c r="I1102" t="s">
        <v>9184</v>
      </c>
      <c r="J1102" t="s">
        <v>3340</v>
      </c>
      <c r="K1102" t="s">
        <v>27</v>
      </c>
      <c r="L1102">
        <v>9901.49</v>
      </c>
      <c r="M1102">
        <v>337</v>
      </c>
      <c r="N1102" t="s">
        <v>16</v>
      </c>
      <c r="O1102" t="s">
        <v>64</v>
      </c>
    </row>
    <row r="1103" spans="1:15" x14ac:dyDescent="0.3">
      <c r="A1103" t="s">
        <v>3339</v>
      </c>
      <c r="B1103" t="s">
        <v>3338</v>
      </c>
      <c r="C1103" t="s">
        <v>123</v>
      </c>
      <c r="D1103">
        <v>19</v>
      </c>
      <c r="E1103" t="s">
        <v>47</v>
      </c>
      <c r="F1103" t="s">
        <v>30</v>
      </c>
      <c r="G1103" s="8">
        <v>46101</v>
      </c>
      <c r="H1103" s="8">
        <v>46115</v>
      </c>
      <c r="I1103" t="s">
        <v>9185</v>
      </c>
      <c r="J1103" t="s">
        <v>3336</v>
      </c>
      <c r="K1103" t="s">
        <v>64</v>
      </c>
      <c r="L1103">
        <v>14192.39</v>
      </c>
      <c r="M1103">
        <v>397</v>
      </c>
      <c r="N1103" t="s">
        <v>43</v>
      </c>
      <c r="O1103" t="s">
        <v>27</v>
      </c>
    </row>
    <row r="1104" spans="1:15" x14ac:dyDescent="0.3">
      <c r="A1104" t="s">
        <v>3335</v>
      </c>
      <c r="B1104" t="s">
        <v>3334</v>
      </c>
      <c r="C1104" t="s">
        <v>40</v>
      </c>
      <c r="D1104">
        <v>83</v>
      </c>
      <c r="E1104" t="s">
        <v>68</v>
      </c>
      <c r="F1104" t="s">
        <v>46</v>
      </c>
      <c r="G1104" s="8">
        <v>46114</v>
      </c>
      <c r="H1104" s="8">
        <v>46143</v>
      </c>
      <c r="I1104" t="s">
        <v>9186</v>
      </c>
      <c r="J1104" t="s">
        <v>3332</v>
      </c>
      <c r="K1104" t="s">
        <v>64</v>
      </c>
      <c r="L1104">
        <v>24077.35</v>
      </c>
      <c r="M1104">
        <v>470</v>
      </c>
      <c r="N1104" t="s">
        <v>16</v>
      </c>
      <c r="O1104" t="s">
        <v>123</v>
      </c>
    </row>
    <row r="1105" spans="1:15" x14ac:dyDescent="0.3">
      <c r="A1105" t="s">
        <v>3331</v>
      </c>
      <c r="B1105" t="s">
        <v>3330</v>
      </c>
      <c r="C1105" t="s">
        <v>40</v>
      </c>
      <c r="D1105">
        <v>2</v>
      </c>
      <c r="E1105" t="s">
        <v>39</v>
      </c>
      <c r="F1105" t="s">
        <v>67</v>
      </c>
      <c r="G1105" s="8">
        <v>46072</v>
      </c>
      <c r="H1105" s="8">
        <v>46088</v>
      </c>
      <c r="I1105" t="s">
        <v>9187</v>
      </c>
      <c r="J1105" t="s">
        <v>3328</v>
      </c>
      <c r="K1105" t="s">
        <v>64</v>
      </c>
      <c r="L1105">
        <v>8851.09</v>
      </c>
      <c r="M1105">
        <v>362</v>
      </c>
      <c r="N1105" t="s">
        <v>77</v>
      </c>
      <c r="O1105" t="s">
        <v>123</v>
      </c>
    </row>
    <row r="1106" spans="1:15" x14ac:dyDescent="0.3">
      <c r="A1106" t="s">
        <v>3327</v>
      </c>
      <c r="B1106" t="s">
        <v>3326</v>
      </c>
      <c r="C1106" t="s">
        <v>40</v>
      </c>
      <c r="D1106">
        <v>84</v>
      </c>
      <c r="E1106" t="s">
        <v>39</v>
      </c>
      <c r="F1106" t="s">
        <v>67</v>
      </c>
      <c r="G1106" s="8">
        <v>46006</v>
      </c>
      <c r="H1106" s="8">
        <v>46026</v>
      </c>
      <c r="I1106" t="s">
        <v>9188</v>
      </c>
      <c r="J1106" t="s">
        <v>3324</v>
      </c>
      <c r="K1106" t="s">
        <v>64</v>
      </c>
      <c r="L1106">
        <v>11595.15</v>
      </c>
      <c r="M1106">
        <v>242</v>
      </c>
      <c r="N1106" t="s">
        <v>50</v>
      </c>
      <c r="O1106" t="s">
        <v>26</v>
      </c>
    </row>
    <row r="1107" spans="1:15" x14ac:dyDescent="0.3">
      <c r="A1107" t="s">
        <v>3323</v>
      </c>
      <c r="B1107" t="s">
        <v>3322</v>
      </c>
      <c r="C1107" t="s">
        <v>40</v>
      </c>
      <c r="D1107">
        <v>51</v>
      </c>
      <c r="E1107" t="s">
        <v>80</v>
      </c>
      <c r="F1107" t="s">
        <v>85</v>
      </c>
      <c r="G1107" s="8">
        <v>45987</v>
      </c>
      <c r="H1107" s="8">
        <v>45999</v>
      </c>
      <c r="I1107" t="s">
        <v>9189</v>
      </c>
      <c r="J1107" t="s">
        <v>3320</v>
      </c>
      <c r="K1107" t="s">
        <v>123</v>
      </c>
      <c r="L1107">
        <v>15224.88</v>
      </c>
      <c r="M1107">
        <v>394</v>
      </c>
      <c r="N1107" t="s">
        <v>25</v>
      </c>
      <c r="O1107" t="s">
        <v>26</v>
      </c>
    </row>
    <row r="1108" spans="1:15" x14ac:dyDescent="0.3">
      <c r="A1108" t="s">
        <v>3319</v>
      </c>
      <c r="B1108" t="s">
        <v>3318</v>
      </c>
      <c r="C1108" t="s">
        <v>40</v>
      </c>
      <c r="D1108">
        <v>17</v>
      </c>
      <c r="E1108" t="s">
        <v>31</v>
      </c>
      <c r="F1108" t="s">
        <v>67</v>
      </c>
      <c r="G1108" s="8">
        <v>46088</v>
      </c>
      <c r="H1108" s="8">
        <v>46106</v>
      </c>
      <c r="I1108" t="s">
        <v>9190</v>
      </c>
      <c r="J1108" t="s">
        <v>3316</v>
      </c>
      <c r="K1108" t="s">
        <v>123</v>
      </c>
      <c r="L1108">
        <v>1875.74</v>
      </c>
      <c r="M1108">
        <v>536</v>
      </c>
      <c r="N1108" t="s">
        <v>25</v>
      </c>
      <c r="O1108" t="s">
        <v>27</v>
      </c>
    </row>
    <row r="1109" spans="1:15" x14ac:dyDescent="0.3">
      <c r="A1109" t="s">
        <v>3315</v>
      </c>
      <c r="B1109" t="s">
        <v>3314</v>
      </c>
      <c r="C1109" t="s">
        <v>40</v>
      </c>
      <c r="D1109">
        <v>30</v>
      </c>
      <c r="E1109" t="s">
        <v>80</v>
      </c>
      <c r="F1109" t="s">
        <v>20</v>
      </c>
      <c r="G1109" s="8">
        <v>46041</v>
      </c>
      <c r="H1109" s="8">
        <v>46056</v>
      </c>
      <c r="I1109" t="s">
        <v>9191</v>
      </c>
      <c r="J1109" t="s">
        <v>3312</v>
      </c>
      <c r="K1109" t="s">
        <v>123</v>
      </c>
      <c r="L1109">
        <v>8226.75</v>
      </c>
      <c r="M1109">
        <v>495</v>
      </c>
      <c r="N1109" t="s">
        <v>50</v>
      </c>
      <c r="O1109" t="s">
        <v>57</v>
      </c>
    </row>
    <row r="1110" spans="1:15" x14ac:dyDescent="0.3">
      <c r="A1110" t="s">
        <v>3311</v>
      </c>
      <c r="B1110" t="s">
        <v>3310</v>
      </c>
      <c r="C1110" t="s">
        <v>74</v>
      </c>
      <c r="D1110">
        <v>14</v>
      </c>
      <c r="E1110" t="s">
        <v>39</v>
      </c>
      <c r="F1110" t="s">
        <v>67</v>
      </c>
      <c r="G1110" s="8">
        <v>45997</v>
      </c>
      <c r="H1110" s="8">
        <v>46021</v>
      </c>
      <c r="I1110" t="s">
        <v>9192</v>
      </c>
      <c r="J1110" t="s">
        <v>3308</v>
      </c>
      <c r="K1110" t="s">
        <v>123</v>
      </c>
      <c r="L1110">
        <v>23074.92</v>
      </c>
      <c r="M1110">
        <v>413</v>
      </c>
      <c r="N1110" t="s">
        <v>43</v>
      </c>
      <c r="O1110" t="s">
        <v>27</v>
      </c>
    </row>
    <row r="1111" spans="1:15" x14ac:dyDescent="0.3">
      <c r="A1111" t="s">
        <v>3307</v>
      </c>
      <c r="B1111" t="s">
        <v>3306</v>
      </c>
      <c r="C1111" t="s">
        <v>74</v>
      </c>
      <c r="D1111">
        <v>5</v>
      </c>
      <c r="E1111" t="s">
        <v>80</v>
      </c>
      <c r="F1111" t="s">
        <v>85</v>
      </c>
      <c r="G1111" s="8">
        <v>46087</v>
      </c>
      <c r="H1111" s="8">
        <v>46111</v>
      </c>
      <c r="I1111" t="s">
        <v>9193</v>
      </c>
      <c r="J1111" t="s">
        <v>3304</v>
      </c>
      <c r="K1111" t="s">
        <v>64</v>
      </c>
      <c r="L1111">
        <v>15242.03</v>
      </c>
      <c r="M1111">
        <v>189</v>
      </c>
      <c r="N1111" t="s">
        <v>43</v>
      </c>
      <c r="O1111" t="s">
        <v>27</v>
      </c>
    </row>
    <row r="1112" spans="1:15" x14ac:dyDescent="0.3">
      <c r="A1112" t="s">
        <v>3303</v>
      </c>
      <c r="B1112" t="s">
        <v>3302</v>
      </c>
      <c r="C1112" t="s">
        <v>74</v>
      </c>
      <c r="D1112">
        <v>90</v>
      </c>
      <c r="E1112" t="s">
        <v>68</v>
      </c>
      <c r="F1112" t="s">
        <v>67</v>
      </c>
      <c r="G1112" s="8">
        <v>45981</v>
      </c>
      <c r="H1112" s="8">
        <v>45985</v>
      </c>
      <c r="I1112" t="s">
        <v>9194</v>
      </c>
      <c r="J1112" t="s">
        <v>3300</v>
      </c>
      <c r="K1112" t="s">
        <v>64</v>
      </c>
      <c r="L1112">
        <v>5053.8100000000004</v>
      </c>
      <c r="M1112">
        <v>324</v>
      </c>
      <c r="N1112" t="s">
        <v>25</v>
      </c>
      <c r="O1112" t="s">
        <v>123</v>
      </c>
    </row>
    <row r="1113" spans="1:15" x14ac:dyDescent="0.3">
      <c r="A1113" t="s">
        <v>3299</v>
      </c>
      <c r="B1113" t="s">
        <v>3298</v>
      </c>
      <c r="C1113" t="s">
        <v>40</v>
      </c>
      <c r="D1113">
        <v>29</v>
      </c>
      <c r="E1113" t="s">
        <v>21</v>
      </c>
      <c r="F1113" t="s">
        <v>20</v>
      </c>
      <c r="G1113" s="8">
        <v>46015</v>
      </c>
      <c r="H1113" s="8">
        <v>46028</v>
      </c>
      <c r="I1113" t="s">
        <v>9195</v>
      </c>
      <c r="J1113" t="s">
        <v>3296</v>
      </c>
      <c r="K1113" t="s">
        <v>64</v>
      </c>
      <c r="L1113">
        <v>2333.25</v>
      </c>
      <c r="M1113">
        <v>422</v>
      </c>
      <c r="N1113" t="s">
        <v>25</v>
      </c>
      <c r="O1113" t="s">
        <v>27</v>
      </c>
    </row>
    <row r="1114" spans="1:15" x14ac:dyDescent="0.3">
      <c r="A1114" t="s">
        <v>3295</v>
      </c>
      <c r="B1114" t="s">
        <v>3294</v>
      </c>
      <c r="C1114" t="s">
        <v>74</v>
      </c>
      <c r="D1114">
        <v>27</v>
      </c>
      <c r="E1114" t="s">
        <v>47</v>
      </c>
      <c r="F1114" t="s">
        <v>20</v>
      </c>
      <c r="G1114" s="8">
        <v>46024</v>
      </c>
      <c r="H1114" s="8">
        <v>46052</v>
      </c>
      <c r="I1114" t="s">
        <v>9196</v>
      </c>
      <c r="J1114" t="s">
        <v>3292</v>
      </c>
      <c r="K1114" t="s">
        <v>27</v>
      </c>
      <c r="L1114">
        <v>9117.11</v>
      </c>
      <c r="M1114">
        <v>390</v>
      </c>
      <c r="N1114" t="s">
        <v>34</v>
      </c>
      <c r="O1114" t="s">
        <v>123</v>
      </c>
    </row>
    <row r="1115" spans="1:15" x14ac:dyDescent="0.3">
      <c r="A1115" t="s">
        <v>3291</v>
      </c>
      <c r="B1115" t="s">
        <v>3290</v>
      </c>
      <c r="C1115" t="s">
        <v>74</v>
      </c>
      <c r="D1115">
        <v>44</v>
      </c>
      <c r="E1115" t="s">
        <v>39</v>
      </c>
      <c r="F1115" t="s">
        <v>85</v>
      </c>
      <c r="G1115" s="8">
        <v>46002</v>
      </c>
      <c r="H1115" s="8">
        <v>46008</v>
      </c>
      <c r="I1115" t="s">
        <v>9197</v>
      </c>
      <c r="J1115" t="s">
        <v>3288</v>
      </c>
      <c r="K1115" t="s">
        <v>64</v>
      </c>
      <c r="L1115">
        <v>14345.18</v>
      </c>
      <c r="M1115">
        <v>356</v>
      </c>
      <c r="N1115" t="s">
        <v>43</v>
      </c>
      <c r="O1115" t="s">
        <v>123</v>
      </c>
    </row>
    <row r="1116" spans="1:15" x14ac:dyDescent="0.3">
      <c r="A1116" t="s">
        <v>3287</v>
      </c>
      <c r="B1116" t="s">
        <v>3286</v>
      </c>
      <c r="C1116" t="s">
        <v>74</v>
      </c>
      <c r="D1116">
        <v>80</v>
      </c>
      <c r="E1116" t="s">
        <v>39</v>
      </c>
      <c r="F1116" t="s">
        <v>20</v>
      </c>
      <c r="G1116" s="8">
        <v>46022</v>
      </c>
      <c r="H1116" s="8">
        <v>46036</v>
      </c>
      <c r="I1116" t="s">
        <v>9198</v>
      </c>
      <c r="J1116" t="s">
        <v>3284</v>
      </c>
      <c r="K1116" t="s">
        <v>123</v>
      </c>
      <c r="L1116">
        <v>15711.67</v>
      </c>
      <c r="M1116">
        <v>391</v>
      </c>
      <c r="N1116" t="s">
        <v>77</v>
      </c>
      <c r="O1116" t="s">
        <v>64</v>
      </c>
    </row>
    <row r="1117" spans="1:15" x14ac:dyDescent="0.3">
      <c r="A1117" t="s">
        <v>3283</v>
      </c>
      <c r="B1117" t="s">
        <v>3282</v>
      </c>
      <c r="C1117" t="s">
        <v>40</v>
      </c>
      <c r="D1117">
        <v>67</v>
      </c>
      <c r="E1117" t="s">
        <v>132</v>
      </c>
      <c r="F1117" t="s">
        <v>20</v>
      </c>
      <c r="G1117" s="8">
        <v>45989</v>
      </c>
      <c r="H1117" s="8">
        <v>45992</v>
      </c>
      <c r="I1117" t="s">
        <v>9199</v>
      </c>
      <c r="J1117" t="s">
        <v>3280</v>
      </c>
      <c r="K1117" t="s">
        <v>123</v>
      </c>
      <c r="L1117">
        <v>5918.22</v>
      </c>
      <c r="M1117">
        <v>111</v>
      </c>
      <c r="N1117" t="s">
        <v>71</v>
      </c>
      <c r="O1117" t="s">
        <v>17</v>
      </c>
    </row>
    <row r="1118" spans="1:15" x14ac:dyDescent="0.3">
      <c r="A1118" t="s">
        <v>3279</v>
      </c>
      <c r="B1118" t="s">
        <v>3278</v>
      </c>
      <c r="C1118" t="s">
        <v>40</v>
      </c>
      <c r="D1118">
        <v>33</v>
      </c>
      <c r="E1118" t="s">
        <v>54</v>
      </c>
      <c r="F1118" t="s">
        <v>67</v>
      </c>
      <c r="G1118" s="8">
        <v>46121</v>
      </c>
      <c r="H1118" s="8">
        <v>46123</v>
      </c>
      <c r="I1118" t="s">
        <v>9200</v>
      </c>
      <c r="J1118" t="s">
        <v>3276</v>
      </c>
      <c r="K1118" t="s">
        <v>27</v>
      </c>
      <c r="L1118">
        <v>24209.25</v>
      </c>
      <c r="M1118">
        <v>373</v>
      </c>
      <c r="N1118" t="s">
        <v>34</v>
      </c>
      <c r="O1118" t="s">
        <v>64</v>
      </c>
    </row>
    <row r="1119" spans="1:15" x14ac:dyDescent="0.3">
      <c r="A1119" t="s">
        <v>3275</v>
      </c>
      <c r="B1119" t="s">
        <v>3274</v>
      </c>
      <c r="C1119" t="s">
        <v>74</v>
      </c>
      <c r="D1119">
        <v>67</v>
      </c>
      <c r="E1119" t="s">
        <v>132</v>
      </c>
      <c r="F1119" t="s">
        <v>67</v>
      </c>
      <c r="G1119" s="8">
        <v>46003</v>
      </c>
      <c r="H1119" s="8">
        <v>46022</v>
      </c>
      <c r="I1119" t="s">
        <v>9201</v>
      </c>
      <c r="J1119" t="s">
        <v>3272</v>
      </c>
      <c r="K1119" t="s">
        <v>27</v>
      </c>
      <c r="L1119">
        <v>13739.35</v>
      </c>
      <c r="M1119">
        <v>398</v>
      </c>
      <c r="N1119" t="s">
        <v>16</v>
      </c>
      <c r="O1119" t="s">
        <v>64</v>
      </c>
    </row>
    <row r="1120" spans="1:15" x14ac:dyDescent="0.3">
      <c r="A1120" t="s">
        <v>3268</v>
      </c>
      <c r="B1120" t="s">
        <v>3267</v>
      </c>
      <c r="C1120" t="s">
        <v>40</v>
      </c>
      <c r="D1120">
        <v>27</v>
      </c>
      <c r="E1120" t="s">
        <v>31</v>
      </c>
      <c r="F1120" t="s">
        <v>46</v>
      </c>
      <c r="G1120" s="8">
        <v>46041</v>
      </c>
      <c r="H1120" s="8">
        <v>46048</v>
      </c>
      <c r="I1120" t="s">
        <v>9202</v>
      </c>
      <c r="J1120" t="s">
        <v>3265</v>
      </c>
      <c r="K1120" t="s">
        <v>123</v>
      </c>
      <c r="L1120">
        <v>2008.22</v>
      </c>
      <c r="M1120">
        <v>277</v>
      </c>
      <c r="N1120" t="s">
        <v>77</v>
      </c>
      <c r="O1120" t="s">
        <v>27</v>
      </c>
    </row>
    <row r="1121" spans="1:15" x14ac:dyDescent="0.3">
      <c r="A1121" t="s">
        <v>3264</v>
      </c>
      <c r="B1121" t="s">
        <v>3263</v>
      </c>
      <c r="C1121" t="s">
        <v>123</v>
      </c>
      <c r="D1121">
        <v>77</v>
      </c>
      <c r="E1121" t="s">
        <v>80</v>
      </c>
      <c r="F1121" t="s">
        <v>85</v>
      </c>
      <c r="G1121" s="8">
        <v>46007</v>
      </c>
      <c r="H1121" s="8">
        <v>46037</v>
      </c>
      <c r="I1121" t="s">
        <v>9203</v>
      </c>
      <c r="J1121" t="s">
        <v>3261</v>
      </c>
      <c r="K1121" t="s">
        <v>27</v>
      </c>
      <c r="L1121">
        <v>6908.61</v>
      </c>
      <c r="M1121">
        <v>153</v>
      </c>
      <c r="N1121" t="s">
        <v>77</v>
      </c>
      <c r="O1121" t="s">
        <v>27</v>
      </c>
    </row>
    <row r="1122" spans="1:15" x14ac:dyDescent="0.3">
      <c r="A1122" t="s">
        <v>3260</v>
      </c>
      <c r="B1122" t="s">
        <v>3259</v>
      </c>
      <c r="C1122" t="s">
        <v>123</v>
      </c>
      <c r="D1122">
        <v>65</v>
      </c>
      <c r="E1122" t="s">
        <v>21</v>
      </c>
      <c r="F1122" t="s">
        <v>67</v>
      </c>
      <c r="G1122" s="8">
        <v>46103</v>
      </c>
      <c r="H1122" s="8">
        <v>46116</v>
      </c>
      <c r="I1122" t="s">
        <v>9204</v>
      </c>
      <c r="J1122" t="s">
        <v>3257</v>
      </c>
      <c r="K1122" t="s">
        <v>123</v>
      </c>
      <c r="L1122">
        <v>7724.78</v>
      </c>
      <c r="M1122">
        <v>110</v>
      </c>
      <c r="N1122" t="s">
        <v>77</v>
      </c>
      <c r="O1122" t="s">
        <v>57</v>
      </c>
    </row>
    <row r="1123" spans="1:15" x14ac:dyDescent="0.3">
      <c r="A1123" t="s">
        <v>3256</v>
      </c>
      <c r="B1123" t="s">
        <v>3255</v>
      </c>
      <c r="C1123" t="s">
        <v>40</v>
      </c>
      <c r="D1123">
        <v>26</v>
      </c>
      <c r="E1123" t="s">
        <v>54</v>
      </c>
      <c r="F1123" t="s">
        <v>46</v>
      </c>
      <c r="G1123" s="8">
        <v>46112</v>
      </c>
      <c r="H1123" s="8">
        <v>46129</v>
      </c>
      <c r="I1123" t="s">
        <v>9205</v>
      </c>
      <c r="J1123" t="s">
        <v>3253</v>
      </c>
      <c r="K1123" t="s">
        <v>123</v>
      </c>
      <c r="L1123">
        <v>1493.08</v>
      </c>
      <c r="M1123">
        <v>456</v>
      </c>
      <c r="N1123" t="s">
        <v>71</v>
      </c>
      <c r="O1123" t="s">
        <v>123</v>
      </c>
    </row>
    <row r="1124" spans="1:15" x14ac:dyDescent="0.3">
      <c r="A1124" t="s">
        <v>3252</v>
      </c>
      <c r="B1124" t="s">
        <v>3251</v>
      </c>
      <c r="C1124" t="s">
        <v>123</v>
      </c>
      <c r="D1124">
        <v>90</v>
      </c>
      <c r="E1124" t="s">
        <v>54</v>
      </c>
      <c r="F1124" t="s">
        <v>20</v>
      </c>
      <c r="G1124" s="8">
        <v>46126</v>
      </c>
      <c r="H1124" s="8">
        <v>46129</v>
      </c>
      <c r="I1124" t="s">
        <v>9206</v>
      </c>
      <c r="J1124" t="s">
        <v>3249</v>
      </c>
      <c r="K1124" t="s">
        <v>123</v>
      </c>
      <c r="L1124">
        <v>3126.22</v>
      </c>
      <c r="M1124">
        <v>280</v>
      </c>
      <c r="N1124" t="s">
        <v>71</v>
      </c>
      <c r="O1124" t="s">
        <v>17</v>
      </c>
    </row>
    <row r="1125" spans="1:15" x14ac:dyDescent="0.3">
      <c r="A1125" t="s">
        <v>3248</v>
      </c>
      <c r="B1125" t="s">
        <v>3247</v>
      </c>
      <c r="C1125" t="s">
        <v>74</v>
      </c>
      <c r="D1125">
        <v>56</v>
      </c>
      <c r="E1125" t="s">
        <v>47</v>
      </c>
      <c r="F1125" t="s">
        <v>8077</v>
      </c>
      <c r="G1125" s="8">
        <v>46018</v>
      </c>
      <c r="H1125" s="8">
        <v>46025</v>
      </c>
      <c r="I1125" t="s">
        <v>9207</v>
      </c>
      <c r="J1125" t="s">
        <v>3245</v>
      </c>
      <c r="K1125" t="s">
        <v>64</v>
      </c>
      <c r="L1125">
        <v>14797.71</v>
      </c>
      <c r="M1125">
        <v>311</v>
      </c>
      <c r="N1125" t="s">
        <v>25</v>
      </c>
      <c r="O1125" t="s">
        <v>57</v>
      </c>
    </row>
    <row r="1126" spans="1:15" x14ac:dyDescent="0.3">
      <c r="A1126" t="s">
        <v>3244</v>
      </c>
      <c r="B1126" t="s">
        <v>3243</v>
      </c>
      <c r="C1126" t="s">
        <v>40</v>
      </c>
      <c r="D1126">
        <v>2</v>
      </c>
      <c r="E1126" t="s">
        <v>21</v>
      </c>
      <c r="F1126" t="s">
        <v>46</v>
      </c>
      <c r="G1126" s="8">
        <v>46010</v>
      </c>
      <c r="H1126" s="8">
        <v>46012</v>
      </c>
      <c r="I1126" t="s">
        <v>9208</v>
      </c>
      <c r="J1126" t="s">
        <v>3241</v>
      </c>
      <c r="K1126" t="s">
        <v>27</v>
      </c>
      <c r="L1126">
        <v>3342.55</v>
      </c>
      <c r="M1126">
        <v>244</v>
      </c>
      <c r="N1126" t="s">
        <v>77</v>
      </c>
      <c r="O1126" t="s">
        <v>26</v>
      </c>
    </row>
    <row r="1127" spans="1:15" x14ac:dyDescent="0.3">
      <c r="A1127" t="s">
        <v>3240</v>
      </c>
      <c r="B1127" t="s">
        <v>3239</v>
      </c>
      <c r="C1127" t="s">
        <v>74</v>
      </c>
      <c r="D1127">
        <v>45</v>
      </c>
      <c r="E1127" t="s">
        <v>21</v>
      </c>
      <c r="F1127" t="s">
        <v>30</v>
      </c>
      <c r="G1127" s="8">
        <v>45977</v>
      </c>
      <c r="H1127" s="8">
        <v>45981</v>
      </c>
      <c r="I1127" t="s">
        <v>9209</v>
      </c>
      <c r="J1127" t="s">
        <v>3237</v>
      </c>
      <c r="K1127" t="s">
        <v>123</v>
      </c>
      <c r="L1127">
        <v>12071.79</v>
      </c>
      <c r="M1127">
        <v>436</v>
      </c>
      <c r="N1127" t="s">
        <v>77</v>
      </c>
      <c r="O1127" t="s">
        <v>64</v>
      </c>
    </row>
    <row r="1128" spans="1:15" x14ac:dyDescent="0.3">
      <c r="A1128" t="s">
        <v>3236</v>
      </c>
      <c r="B1128" t="s">
        <v>3235</v>
      </c>
      <c r="C1128" t="s">
        <v>74</v>
      </c>
      <c r="D1128">
        <v>33</v>
      </c>
      <c r="E1128" t="s">
        <v>21</v>
      </c>
      <c r="F1128" t="s">
        <v>85</v>
      </c>
      <c r="G1128" s="8">
        <v>45981</v>
      </c>
      <c r="H1128" s="8">
        <v>46003</v>
      </c>
      <c r="I1128" t="s">
        <v>9210</v>
      </c>
      <c r="J1128" t="s">
        <v>3233</v>
      </c>
      <c r="K1128" t="s">
        <v>64</v>
      </c>
      <c r="L1128">
        <v>22461.48</v>
      </c>
      <c r="M1128">
        <v>327</v>
      </c>
      <c r="N1128" t="s">
        <v>25</v>
      </c>
      <c r="O1128" t="s">
        <v>57</v>
      </c>
    </row>
    <row r="1129" spans="1:15" x14ac:dyDescent="0.3">
      <c r="A1129" t="s">
        <v>3232</v>
      </c>
      <c r="B1129" t="s">
        <v>3231</v>
      </c>
      <c r="C1129" t="s">
        <v>40</v>
      </c>
      <c r="D1129">
        <v>47</v>
      </c>
      <c r="E1129" t="s">
        <v>850</v>
      </c>
      <c r="F1129" t="s">
        <v>8077</v>
      </c>
      <c r="G1129" s="8">
        <v>45992</v>
      </c>
      <c r="H1129" s="8">
        <v>46008</v>
      </c>
      <c r="I1129" t="s">
        <v>9211</v>
      </c>
      <c r="J1129" t="s">
        <v>123</v>
      </c>
      <c r="K1129" t="s">
        <v>27</v>
      </c>
      <c r="L1129">
        <v>8107.7</v>
      </c>
      <c r="M1129">
        <v>127</v>
      </c>
      <c r="N1129" t="s">
        <v>43</v>
      </c>
      <c r="O1129" t="s">
        <v>64</v>
      </c>
    </row>
    <row r="1130" spans="1:15" x14ac:dyDescent="0.3">
      <c r="A1130" t="s">
        <v>3229</v>
      </c>
      <c r="B1130" t="s">
        <v>3228</v>
      </c>
      <c r="C1130" t="s">
        <v>123</v>
      </c>
      <c r="D1130">
        <v>80</v>
      </c>
      <c r="E1130" t="s">
        <v>68</v>
      </c>
      <c r="F1130" t="s">
        <v>30</v>
      </c>
      <c r="G1130" s="8">
        <v>46084</v>
      </c>
      <c r="H1130" s="8">
        <v>46086</v>
      </c>
      <c r="I1130" t="s">
        <v>9212</v>
      </c>
      <c r="J1130" t="s">
        <v>3226</v>
      </c>
      <c r="K1130" t="s">
        <v>64</v>
      </c>
      <c r="L1130">
        <v>22818.82</v>
      </c>
      <c r="M1130">
        <v>256</v>
      </c>
      <c r="N1130" t="s">
        <v>25</v>
      </c>
      <c r="O1130" t="s">
        <v>57</v>
      </c>
    </row>
    <row r="1131" spans="1:15" x14ac:dyDescent="0.3">
      <c r="A1131" t="s">
        <v>3225</v>
      </c>
      <c r="B1131" t="s">
        <v>3224</v>
      </c>
      <c r="C1131" t="s">
        <v>74</v>
      </c>
      <c r="D1131">
        <v>16</v>
      </c>
      <c r="E1131" t="s">
        <v>31</v>
      </c>
      <c r="F1131" t="s">
        <v>20</v>
      </c>
      <c r="G1131" s="8">
        <v>46036</v>
      </c>
      <c r="H1131" s="8">
        <v>46037</v>
      </c>
      <c r="I1131" t="s">
        <v>9213</v>
      </c>
      <c r="J1131" t="s">
        <v>3222</v>
      </c>
      <c r="K1131" t="s">
        <v>64</v>
      </c>
      <c r="L1131">
        <v>17518.88</v>
      </c>
      <c r="M1131">
        <v>158</v>
      </c>
      <c r="N1131" t="s">
        <v>77</v>
      </c>
      <c r="O1131" t="s">
        <v>123</v>
      </c>
    </row>
    <row r="1132" spans="1:15" x14ac:dyDescent="0.3">
      <c r="A1132" t="s">
        <v>3221</v>
      </c>
      <c r="B1132" t="s">
        <v>3220</v>
      </c>
      <c r="C1132" t="s">
        <v>123</v>
      </c>
      <c r="D1132">
        <v>5</v>
      </c>
      <c r="E1132" t="s">
        <v>132</v>
      </c>
      <c r="F1132" t="s">
        <v>30</v>
      </c>
      <c r="G1132" s="8">
        <v>46088</v>
      </c>
      <c r="H1132" s="8">
        <v>46106</v>
      </c>
      <c r="I1132" t="s">
        <v>9214</v>
      </c>
      <c r="J1132" t="s">
        <v>3218</v>
      </c>
      <c r="K1132" t="s">
        <v>123</v>
      </c>
      <c r="L1132">
        <v>7650.24</v>
      </c>
      <c r="M1132">
        <v>130</v>
      </c>
      <c r="N1132" t="s">
        <v>43</v>
      </c>
      <c r="O1132" t="s">
        <v>64</v>
      </c>
    </row>
    <row r="1133" spans="1:15" x14ac:dyDescent="0.3">
      <c r="A1133" t="s">
        <v>3217</v>
      </c>
      <c r="B1133" t="s">
        <v>3216</v>
      </c>
      <c r="C1133" t="s">
        <v>123</v>
      </c>
      <c r="D1133">
        <v>64</v>
      </c>
      <c r="E1133" t="s">
        <v>47</v>
      </c>
      <c r="F1133" t="s">
        <v>67</v>
      </c>
      <c r="G1133" s="8">
        <v>46056</v>
      </c>
      <c r="H1133" s="8">
        <v>46068</v>
      </c>
      <c r="I1133" t="s">
        <v>9215</v>
      </c>
      <c r="J1133" t="s">
        <v>3214</v>
      </c>
      <c r="K1133" t="s">
        <v>123</v>
      </c>
      <c r="L1133">
        <v>1301.51</v>
      </c>
      <c r="M1133">
        <v>294</v>
      </c>
      <c r="N1133" t="s">
        <v>71</v>
      </c>
      <c r="O1133" t="s">
        <v>57</v>
      </c>
    </row>
    <row r="1134" spans="1:15" x14ac:dyDescent="0.3">
      <c r="A1134" t="s">
        <v>3213</v>
      </c>
      <c r="B1134" t="s">
        <v>3212</v>
      </c>
      <c r="C1134" t="s">
        <v>123</v>
      </c>
      <c r="D1134">
        <v>69</v>
      </c>
      <c r="E1134" t="s">
        <v>47</v>
      </c>
      <c r="F1134" t="s">
        <v>30</v>
      </c>
      <c r="G1134" s="8">
        <v>46042</v>
      </c>
      <c r="H1134" s="8">
        <v>46043</v>
      </c>
      <c r="I1134" t="s">
        <v>9216</v>
      </c>
      <c r="J1134" t="s">
        <v>3210</v>
      </c>
      <c r="K1134" t="s">
        <v>64</v>
      </c>
      <c r="L1134">
        <v>23443.15</v>
      </c>
      <c r="M1134">
        <v>524</v>
      </c>
      <c r="N1134" t="s">
        <v>43</v>
      </c>
      <c r="O1134" t="s">
        <v>17</v>
      </c>
    </row>
    <row r="1135" spans="1:15" x14ac:dyDescent="0.3">
      <c r="A1135" t="s">
        <v>3209</v>
      </c>
      <c r="B1135" t="s">
        <v>3208</v>
      </c>
      <c r="C1135" t="s">
        <v>74</v>
      </c>
      <c r="D1135">
        <v>4</v>
      </c>
      <c r="E1135" t="s">
        <v>31</v>
      </c>
      <c r="F1135" t="s">
        <v>67</v>
      </c>
      <c r="G1135" s="8">
        <v>45990</v>
      </c>
      <c r="H1135" s="8">
        <v>46017</v>
      </c>
      <c r="I1135" t="s">
        <v>9217</v>
      </c>
      <c r="J1135" t="s">
        <v>3206</v>
      </c>
      <c r="K1135" t="s">
        <v>123</v>
      </c>
      <c r="L1135">
        <v>19608.79</v>
      </c>
      <c r="M1135">
        <v>513</v>
      </c>
      <c r="N1135" t="s">
        <v>77</v>
      </c>
      <c r="O1135" t="s">
        <v>27</v>
      </c>
    </row>
    <row r="1136" spans="1:15" x14ac:dyDescent="0.3">
      <c r="A1136" t="s">
        <v>3205</v>
      </c>
      <c r="B1136" t="s">
        <v>3204</v>
      </c>
      <c r="C1136" t="s">
        <v>123</v>
      </c>
      <c r="D1136">
        <v>87</v>
      </c>
      <c r="E1136" t="s">
        <v>132</v>
      </c>
      <c r="F1136" t="s">
        <v>85</v>
      </c>
      <c r="G1136" s="8">
        <v>46136</v>
      </c>
      <c r="H1136" s="8">
        <v>46149</v>
      </c>
      <c r="I1136" t="s">
        <v>9218</v>
      </c>
      <c r="J1136" t="s">
        <v>3202</v>
      </c>
      <c r="K1136" t="s">
        <v>27</v>
      </c>
      <c r="L1136">
        <v>4231.21</v>
      </c>
      <c r="M1136">
        <v>339</v>
      </c>
      <c r="N1136" t="s">
        <v>25</v>
      </c>
      <c r="O1136" t="s">
        <v>123</v>
      </c>
    </row>
    <row r="1137" spans="1:15" x14ac:dyDescent="0.3">
      <c r="A1137" t="s">
        <v>3201</v>
      </c>
      <c r="B1137" t="s">
        <v>3200</v>
      </c>
      <c r="C1137" t="s">
        <v>74</v>
      </c>
      <c r="D1137">
        <v>17</v>
      </c>
      <c r="E1137" t="s">
        <v>47</v>
      </c>
      <c r="F1137" t="s">
        <v>30</v>
      </c>
      <c r="G1137" s="8">
        <v>46105</v>
      </c>
      <c r="H1137" s="8">
        <v>46130</v>
      </c>
      <c r="I1137" t="s">
        <v>9219</v>
      </c>
      <c r="J1137" t="s">
        <v>3198</v>
      </c>
      <c r="K1137" t="s">
        <v>27</v>
      </c>
      <c r="L1137">
        <v>2321.31</v>
      </c>
      <c r="M1137">
        <v>494</v>
      </c>
      <c r="N1137" t="s">
        <v>34</v>
      </c>
      <c r="O1137" t="s">
        <v>57</v>
      </c>
    </row>
    <row r="1138" spans="1:15" x14ac:dyDescent="0.3">
      <c r="A1138" t="s">
        <v>3197</v>
      </c>
      <c r="B1138" t="s">
        <v>3196</v>
      </c>
      <c r="C1138" t="s">
        <v>40</v>
      </c>
      <c r="D1138">
        <v>44</v>
      </c>
      <c r="E1138" t="s">
        <v>54</v>
      </c>
      <c r="F1138" t="s">
        <v>46</v>
      </c>
      <c r="G1138" s="8">
        <v>45984</v>
      </c>
      <c r="H1138" s="8">
        <v>46003</v>
      </c>
      <c r="I1138" t="s">
        <v>9220</v>
      </c>
      <c r="J1138" t="s">
        <v>3194</v>
      </c>
      <c r="K1138" t="s">
        <v>27</v>
      </c>
      <c r="L1138">
        <v>9170.0300000000007</v>
      </c>
      <c r="M1138">
        <v>500</v>
      </c>
      <c r="N1138" t="s">
        <v>25</v>
      </c>
      <c r="O1138" t="s">
        <v>63</v>
      </c>
    </row>
    <row r="1139" spans="1:15" x14ac:dyDescent="0.3">
      <c r="A1139" t="s">
        <v>3193</v>
      </c>
      <c r="B1139" t="s">
        <v>3192</v>
      </c>
      <c r="C1139" t="s">
        <v>40</v>
      </c>
      <c r="D1139">
        <v>16</v>
      </c>
      <c r="E1139" t="s">
        <v>132</v>
      </c>
      <c r="F1139" t="s">
        <v>67</v>
      </c>
      <c r="G1139" s="8">
        <v>46080</v>
      </c>
      <c r="H1139" s="8">
        <v>46106</v>
      </c>
      <c r="I1139" t="s">
        <v>9221</v>
      </c>
      <c r="J1139" t="s">
        <v>3190</v>
      </c>
      <c r="K1139" t="s">
        <v>27</v>
      </c>
      <c r="L1139">
        <v>21220.3</v>
      </c>
      <c r="M1139">
        <v>336</v>
      </c>
      <c r="N1139" t="s">
        <v>77</v>
      </c>
      <c r="O1139" t="s">
        <v>123</v>
      </c>
    </row>
    <row r="1140" spans="1:15" x14ac:dyDescent="0.3">
      <c r="A1140" t="s">
        <v>3189</v>
      </c>
      <c r="B1140" t="s">
        <v>3188</v>
      </c>
      <c r="C1140" t="s">
        <v>123</v>
      </c>
      <c r="D1140">
        <v>2</v>
      </c>
      <c r="E1140" t="s">
        <v>68</v>
      </c>
      <c r="F1140" t="s">
        <v>46</v>
      </c>
      <c r="G1140" s="8">
        <v>46089</v>
      </c>
      <c r="H1140" s="8">
        <v>46119</v>
      </c>
      <c r="I1140" t="s">
        <v>9222</v>
      </c>
      <c r="J1140" t="s">
        <v>3186</v>
      </c>
      <c r="K1140" t="s">
        <v>64</v>
      </c>
      <c r="L1140">
        <v>12109.16</v>
      </c>
      <c r="M1140">
        <v>309</v>
      </c>
      <c r="N1140" t="s">
        <v>77</v>
      </c>
      <c r="O1140" t="s">
        <v>57</v>
      </c>
    </row>
    <row r="1141" spans="1:15" x14ac:dyDescent="0.3">
      <c r="A1141" t="s">
        <v>3185</v>
      </c>
      <c r="B1141" t="s">
        <v>3184</v>
      </c>
      <c r="C1141" t="s">
        <v>74</v>
      </c>
      <c r="D1141">
        <v>36</v>
      </c>
      <c r="E1141" t="s">
        <v>31</v>
      </c>
      <c r="F1141" t="s">
        <v>20</v>
      </c>
      <c r="G1141" s="8">
        <v>46096</v>
      </c>
      <c r="H1141" s="8">
        <v>46110</v>
      </c>
      <c r="I1141" t="s">
        <v>9223</v>
      </c>
      <c r="J1141" t="s">
        <v>3182</v>
      </c>
      <c r="K1141" t="s">
        <v>27</v>
      </c>
      <c r="L1141">
        <v>6598.57</v>
      </c>
      <c r="M1141">
        <v>232</v>
      </c>
      <c r="N1141" t="s">
        <v>50</v>
      </c>
      <c r="O1141" t="s">
        <v>63</v>
      </c>
    </row>
    <row r="1142" spans="1:15" x14ac:dyDescent="0.3">
      <c r="A1142" t="s">
        <v>3181</v>
      </c>
      <c r="B1142" t="s">
        <v>3180</v>
      </c>
      <c r="C1142" t="s">
        <v>123</v>
      </c>
      <c r="D1142">
        <v>17</v>
      </c>
      <c r="E1142" t="s">
        <v>21</v>
      </c>
      <c r="F1142" t="s">
        <v>20</v>
      </c>
      <c r="G1142" s="8">
        <v>45979</v>
      </c>
      <c r="H1142" s="8">
        <v>45983</v>
      </c>
      <c r="I1142" t="s">
        <v>9224</v>
      </c>
      <c r="J1142" t="s">
        <v>3178</v>
      </c>
      <c r="K1142" t="s">
        <v>27</v>
      </c>
      <c r="L1142">
        <v>5970.28</v>
      </c>
      <c r="M1142">
        <v>194</v>
      </c>
      <c r="N1142" t="s">
        <v>25</v>
      </c>
      <c r="O1142" t="s">
        <v>27</v>
      </c>
    </row>
    <row r="1143" spans="1:15" x14ac:dyDescent="0.3">
      <c r="A1143" t="s">
        <v>3177</v>
      </c>
      <c r="B1143" t="s">
        <v>3176</v>
      </c>
      <c r="C1143" t="s">
        <v>123</v>
      </c>
      <c r="D1143">
        <v>75</v>
      </c>
      <c r="E1143" t="s">
        <v>31</v>
      </c>
      <c r="F1143" t="s">
        <v>46</v>
      </c>
      <c r="G1143" s="8">
        <v>46064</v>
      </c>
      <c r="H1143" s="8">
        <v>46081</v>
      </c>
      <c r="I1143" t="s">
        <v>9225</v>
      </c>
      <c r="J1143" t="s">
        <v>3174</v>
      </c>
      <c r="K1143" t="s">
        <v>64</v>
      </c>
      <c r="L1143">
        <v>1708.16</v>
      </c>
      <c r="M1143">
        <v>231</v>
      </c>
      <c r="N1143" t="s">
        <v>77</v>
      </c>
      <c r="O1143" t="s">
        <v>63</v>
      </c>
    </row>
    <row r="1144" spans="1:15" x14ac:dyDescent="0.3">
      <c r="A1144" t="s">
        <v>3173</v>
      </c>
      <c r="B1144" t="s">
        <v>3172</v>
      </c>
      <c r="C1144" t="s">
        <v>74</v>
      </c>
      <c r="D1144">
        <v>70</v>
      </c>
      <c r="E1144" t="s">
        <v>47</v>
      </c>
      <c r="F1144" t="s">
        <v>8077</v>
      </c>
      <c r="G1144" s="8">
        <v>46084</v>
      </c>
      <c r="H1144" s="8">
        <v>46095</v>
      </c>
      <c r="I1144" t="s">
        <v>9226</v>
      </c>
      <c r="J1144" t="s">
        <v>3170</v>
      </c>
      <c r="K1144" t="s">
        <v>64</v>
      </c>
      <c r="L1144">
        <v>2121.48</v>
      </c>
      <c r="M1144">
        <v>157</v>
      </c>
      <c r="N1144" t="s">
        <v>34</v>
      </c>
      <c r="O1144" t="s">
        <v>123</v>
      </c>
    </row>
    <row r="1145" spans="1:15" x14ac:dyDescent="0.3">
      <c r="A1145" t="s">
        <v>3169</v>
      </c>
      <c r="B1145" t="s">
        <v>3168</v>
      </c>
      <c r="C1145" t="s">
        <v>74</v>
      </c>
      <c r="D1145">
        <v>31</v>
      </c>
      <c r="E1145" t="s">
        <v>21</v>
      </c>
      <c r="F1145" t="s">
        <v>67</v>
      </c>
      <c r="G1145" s="8">
        <v>46051</v>
      </c>
      <c r="H1145" s="8">
        <v>46069</v>
      </c>
      <c r="I1145" t="s">
        <v>9227</v>
      </c>
      <c r="J1145" t="s">
        <v>3166</v>
      </c>
      <c r="K1145" t="s">
        <v>64</v>
      </c>
      <c r="L1145">
        <v>20762.62</v>
      </c>
      <c r="M1145">
        <v>136</v>
      </c>
      <c r="N1145" t="s">
        <v>25</v>
      </c>
      <c r="O1145" t="s">
        <v>123</v>
      </c>
    </row>
    <row r="1146" spans="1:15" x14ac:dyDescent="0.3">
      <c r="A1146" t="s">
        <v>3165</v>
      </c>
      <c r="B1146" t="s">
        <v>3164</v>
      </c>
      <c r="C1146" t="s">
        <v>123</v>
      </c>
      <c r="D1146">
        <v>37</v>
      </c>
      <c r="E1146" t="s">
        <v>39</v>
      </c>
      <c r="F1146" t="s">
        <v>46</v>
      </c>
      <c r="G1146" s="8">
        <v>46121</v>
      </c>
      <c r="H1146" s="8">
        <v>46131</v>
      </c>
      <c r="I1146" t="s">
        <v>9228</v>
      </c>
      <c r="J1146" t="s">
        <v>3162</v>
      </c>
      <c r="K1146" t="s">
        <v>64</v>
      </c>
      <c r="L1146">
        <v>8507.65</v>
      </c>
      <c r="M1146">
        <v>433</v>
      </c>
      <c r="N1146" t="s">
        <v>43</v>
      </c>
      <c r="O1146" t="s">
        <v>123</v>
      </c>
    </row>
    <row r="1147" spans="1:15" x14ac:dyDescent="0.3">
      <c r="A1147" t="s">
        <v>3161</v>
      </c>
      <c r="B1147" t="s">
        <v>3160</v>
      </c>
      <c r="C1147" t="s">
        <v>123</v>
      </c>
      <c r="D1147">
        <v>38</v>
      </c>
      <c r="E1147" t="s">
        <v>47</v>
      </c>
      <c r="F1147" t="s">
        <v>20</v>
      </c>
      <c r="G1147" s="8">
        <v>46052</v>
      </c>
      <c r="H1147" s="8">
        <v>46063</v>
      </c>
      <c r="I1147" t="s">
        <v>9229</v>
      </c>
      <c r="J1147" t="s">
        <v>3158</v>
      </c>
      <c r="K1147" t="s">
        <v>27</v>
      </c>
      <c r="L1147">
        <v>7413.64</v>
      </c>
      <c r="M1147">
        <v>402</v>
      </c>
      <c r="N1147" t="s">
        <v>77</v>
      </c>
      <c r="O1147" t="s">
        <v>26</v>
      </c>
    </row>
    <row r="1148" spans="1:15" x14ac:dyDescent="0.3">
      <c r="A1148" t="s">
        <v>3157</v>
      </c>
      <c r="B1148" t="s">
        <v>3156</v>
      </c>
      <c r="C1148" t="s">
        <v>74</v>
      </c>
      <c r="D1148">
        <v>78</v>
      </c>
      <c r="E1148" t="s">
        <v>21</v>
      </c>
      <c r="F1148" t="s">
        <v>67</v>
      </c>
      <c r="G1148" s="8">
        <v>46030</v>
      </c>
      <c r="H1148" s="8">
        <v>46046</v>
      </c>
      <c r="I1148" t="s">
        <v>9230</v>
      </c>
      <c r="J1148" t="s">
        <v>3154</v>
      </c>
      <c r="K1148" t="s">
        <v>64</v>
      </c>
      <c r="L1148">
        <v>23510.51</v>
      </c>
      <c r="M1148">
        <v>525</v>
      </c>
      <c r="N1148" t="s">
        <v>34</v>
      </c>
      <c r="O1148" t="s">
        <v>123</v>
      </c>
    </row>
    <row r="1149" spans="1:15" x14ac:dyDescent="0.3">
      <c r="A1149" t="s">
        <v>3153</v>
      </c>
      <c r="B1149" t="s">
        <v>3152</v>
      </c>
      <c r="C1149" t="s">
        <v>40</v>
      </c>
      <c r="D1149">
        <v>85</v>
      </c>
      <c r="E1149" t="s">
        <v>39</v>
      </c>
      <c r="F1149" t="s">
        <v>67</v>
      </c>
      <c r="G1149" s="8">
        <v>45992</v>
      </c>
      <c r="H1149" s="8">
        <v>46016</v>
      </c>
      <c r="I1149" t="s">
        <v>9231</v>
      </c>
      <c r="J1149" t="s">
        <v>3150</v>
      </c>
      <c r="K1149" t="s">
        <v>64</v>
      </c>
      <c r="L1149">
        <v>23888.45</v>
      </c>
      <c r="M1149">
        <v>389</v>
      </c>
      <c r="N1149" t="s">
        <v>34</v>
      </c>
      <c r="O1149" t="s">
        <v>57</v>
      </c>
    </row>
    <row r="1150" spans="1:15" x14ac:dyDescent="0.3">
      <c r="A1150" t="s">
        <v>3149</v>
      </c>
      <c r="B1150" t="s">
        <v>3148</v>
      </c>
      <c r="C1150" t="s">
        <v>123</v>
      </c>
      <c r="D1150">
        <v>69</v>
      </c>
      <c r="E1150" t="s">
        <v>80</v>
      </c>
      <c r="F1150" t="s">
        <v>46</v>
      </c>
      <c r="G1150" s="8">
        <v>46058</v>
      </c>
      <c r="H1150" s="8">
        <v>46077</v>
      </c>
      <c r="I1150" t="s">
        <v>9232</v>
      </c>
      <c r="J1150" t="s">
        <v>3146</v>
      </c>
      <c r="K1150" t="s">
        <v>123</v>
      </c>
      <c r="L1150">
        <v>16548.099999999999</v>
      </c>
      <c r="M1150">
        <v>262</v>
      </c>
      <c r="N1150" t="s">
        <v>43</v>
      </c>
      <c r="O1150" t="s">
        <v>123</v>
      </c>
    </row>
    <row r="1151" spans="1:15" x14ac:dyDescent="0.3">
      <c r="A1151" t="s">
        <v>3145</v>
      </c>
      <c r="B1151" t="s">
        <v>3144</v>
      </c>
      <c r="C1151" t="s">
        <v>74</v>
      </c>
      <c r="D1151">
        <v>74</v>
      </c>
      <c r="E1151" t="s">
        <v>132</v>
      </c>
      <c r="F1151" t="s">
        <v>8077</v>
      </c>
      <c r="G1151" s="8">
        <v>45976</v>
      </c>
      <c r="H1151" s="8">
        <v>45986</v>
      </c>
      <c r="I1151" t="s">
        <v>9233</v>
      </c>
      <c r="J1151" t="s">
        <v>3142</v>
      </c>
      <c r="K1151" t="s">
        <v>64</v>
      </c>
      <c r="L1151">
        <v>20015.349999999999</v>
      </c>
      <c r="M1151">
        <v>218</v>
      </c>
      <c r="N1151" t="s">
        <v>16</v>
      </c>
      <c r="O1151" t="s">
        <v>17</v>
      </c>
    </row>
    <row r="1152" spans="1:15" x14ac:dyDescent="0.3">
      <c r="A1152" t="s">
        <v>3141</v>
      </c>
      <c r="B1152" t="s">
        <v>3140</v>
      </c>
      <c r="C1152" t="s">
        <v>74</v>
      </c>
      <c r="D1152">
        <v>15</v>
      </c>
      <c r="E1152" t="s">
        <v>21</v>
      </c>
      <c r="F1152" t="s">
        <v>85</v>
      </c>
      <c r="G1152" s="8">
        <v>46023</v>
      </c>
      <c r="H1152" s="8">
        <v>46046</v>
      </c>
      <c r="I1152" t="s">
        <v>9234</v>
      </c>
      <c r="J1152" t="s">
        <v>3138</v>
      </c>
      <c r="K1152" t="s">
        <v>123</v>
      </c>
      <c r="L1152">
        <v>9174.65</v>
      </c>
      <c r="M1152">
        <v>386</v>
      </c>
      <c r="N1152" t="s">
        <v>34</v>
      </c>
      <c r="O1152" t="s">
        <v>17</v>
      </c>
    </row>
    <row r="1153" spans="1:15" x14ac:dyDescent="0.3">
      <c r="A1153" t="s">
        <v>3137</v>
      </c>
      <c r="B1153" t="s">
        <v>3136</v>
      </c>
      <c r="C1153" t="s">
        <v>74</v>
      </c>
      <c r="D1153">
        <v>47</v>
      </c>
      <c r="E1153" t="s">
        <v>68</v>
      </c>
      <c r="F1153" t="s">
        <v>8077</v>
      </c>
      <c r="G1153" s="8">
        <v>46136</v>
      </c>
      <c r="H1153" s="8">
        <v>46150</v>
      </c>
      <c r="I1153" t="s">
        <v>9235</v>
      </c>
      <c r="J1153" t="s">
        <v>3134</v>
      </c>
      <c r="K1153" t="s">
        <v>123</v>
      </c>
      <c r="L1153">
        <v>5898.13</v>
      </c>
      <c r="M1153">
        <v>375</v>
      </c>
      <c r="N1153" t="s">
        <v>71</v>
      </c>
      <c r="O1153" t="s">
        <v>26</v>
      </c>
    </row>
    <row r="1154" spans="1:15" x14ac:dyDescent="0.3">
      <c r="A1154" t="s">
        <v>3133</v>
      </c>
      <c r="B1154" t="s">
        <v>3132</v>
      </c>
      <c r="C1154" t="s">
        <v>123</v>
      </c>
      <c r="D1154">
        <v>87</v>
      </c>
      <c r="E1154" t="s">
        <v>39</v>
      </c>
      <c r="F1154" t="s">
        <v>30</v>
      </c>
      <c r="G1154" s="8">
        <v>46071</v>
      </c>
      <c r="H1154" s="8">
        <v>46096</v>
      </c>
      <c r="I1154" t="s">
        <v>9236</v>
      </c>
      <c r="J1154" t="s">
        <v>3130</v>
      </c>
      <c r="K1154" t="s">
        <v>27</v>
      </c>
      <c r="L1154">
        <v>8670.98</v>
      </c>
      <c r="M1154" t="s">
        <v>123</v>
      </c>
      <c r="N1154" t="s">
        <v>16</v>
      </c>
      <c r="O1154" t="s">
        <v>64</v>
      </c>
    </row>
    <row r="1155" spans="1:15" x14ac:dyDescent="0.3">
      <c r="A1155" t="s">
        <v>3129</v>
      </c>
      <c r="B1155" t="s">
        <v>3128</v>
      </c>
      <c r="C1155" t="s">
        <v>123</v>
      </c>
      <c r="D1155">
        <v>65</v>
      </c>
      <c r="E1155" t="s">
        <v>39</v>
      </c>
      <c r="F1155" t="s">
        <v>85</v>
      </c>
      <c r="G1155" s="8">
        <v>46085</v>
      </c>
      <c r="H1155" s="8">
        <v>46105</v>
      </c>
      <c r="I1155" t="s">
        <v>9237</v>
      </c>
      <c r="J1155" t="s">
        <v>3126</v>
      </c>
      <c r="K1155" t="s">
        <v>64</v>
      </c>
      <c r="L1155">
        <v>22516.84</v>
      </c>
      <c r="M1155">
        <v>107</v>
      </c>
      <c r="N1155" t="s">
        <v>71</v>
      </c>
      <c r="O1155" t="s">
        <v>123</v>
      </c>
    </row>
    <row r="1156" spans="1:15" x14ac:dyDescent="0.3">
      <c r="A1156" t="s">
        <v>3125</v>
      </c>
      <c r="B1156" t="s">
        <v>3124</v>
      </c>
      <c r="C1156" t="s">
        <v>74</v>
      </c>
      <c r="D1156">
        <v>54</v>
      </c>
      <c r="E1156" t="s">
        <v>132</v>
      </c>
      <c r="F1156" t="s">
        <v>85</v>
      </c>
      <c r="G1156" s="8">
        <v>45990</v>
      </c>
      <c r="H1156" s="8">
        <v>46013</v>
      </c>
      <c r="I1156" t="s">
        <v>9238</v>
      </c>
      <c r="J1156" t="s">
        <v>3122</v>
      </c>
      <c r="K1156" t="s">
        <v>64</v>
      </c>
      <c r="L1156">
        <v>3334.67</v>
      </c>
      <c r="M1156">
        <v>526</v>
      </c>
      <c r="N1156" t="s">
        <v>16</v>
      </c>
      <c r="O1156" t="s">
        <v>27</v>
      </c>
    </row>
    <row r="1157" spans="1:15" x14ac:dyDescent="0.3">
      <c r="A1157" t="s">
        <v>3121</v>
      </c>
      <c r="B1157" t="s">
        <v>3120</v>
      </c>
      <c r="C1157" t="s">
        <v>40</v>
      </c>
      <c r="D1157">
        <v>89</v>
      </c>
      <c r="E1157" t="s">
        <v>39</v>
      </c>
      <c r="F1157" t="s">
        <v>20</v>
      </c>
      <c r="G1157" s="8">
        <v>46055</v>
      </c>
      <c r="H1157" s="8">
        <v>46059</v>
      </c>
      <c r="I1157" t="s">
        <v>9239</v>
      </c>
      <c r="J1157" t="s">
        <v>3118</v>
      </c>
      <c r="K1157" t="s">
        <v>123</v>
      </c>
      <c r="L1157">
        <v>22625.66</v>
      </c>
      <c r="M1157">
        <v>165</v>
      </c>
      <c r="N1157" t="s">
        <v>16</v>
      </c>
      <c r="O1157" t="s">
        <v>17</v>
      </c>
    </row>
    <row r="1158" spans="1:15" x14ac:dyDescent="0.3">
      <c r="A1158" t="s">
        <v>3117</v>
      </c>
      <c r="B1158" t="s">
        <v>3116</v>
      </c>
      <c r="C1158" t="s">
        <v>74</v>
      </c>
      <c r="D1158">
        <v>38</v>
      </c>
      <c r="E1158" t="s">
        <v>80</v>
      </c>
      <c r="F1158" t="s">
        <v>67</v>
      </c>
      <c r="G1158" s="8">
        <v>46100</v>
      </c>
      <c r="H1158" s="8">
        <v>46128</v>
      </c>
      <c r="I1158" t="s">
        <v>9240</v>
      </c>
      <c r="J1158" t="s">
        <v>3114</v>
      </c>
      <c r="K1158" t="s">
        <v>64</v>
      </c>
      <c r="L1158">
        <v>14868.65</v>
      </c>
      <c r="M1158">
        <v>469</v>
      </c>
      <c r="N1158" t="s">
        <v>77</v>
      </c>
      <c r="O1158" t="s">
        <v>64</v>
      </c>
    </row>
    <row r="1159" spans="1:15" x14ac:dyDescent="0.3">
      <c r="A1159" t="s">
        <v>3113</v>
      </c>
      <c r="B1159" t="s">
        <v>3112</v>
      </c>
      <c r="C1159" t="s">
        <v>74</v>
      </c>
      <c r="D1159">
        <v>46</v>
      </c>
      <c r="E1159" t="s">
        <v>68</v>
      </c>
      <c r="F1159" t="s">
        <v>67</v>
      </c>
      <c r="G1159" s="8">
        <v>46093</v>
      </c>
      <c r="H1159" s="8">
        <v>46113</v>
      </c>
      <c r="I1159" t="s">
        <v>9241</v>
      </c>
      <c r="J1159" t="s">
        <v>3110</v>
      </c>
      <c r="K1159" t="s">
        <v>123</v>
      </c>
      <c r="L1159">
        <v>18569.3</v>
      </c>
      <c r="M1159">
        <v>248</v>
      </c>
      <c r="N1159" t="s">
        <v>50</v>
      </c>
      <c r="O1159" t="s">
        <v>123</v>
      </c>
    </row>
    <row r="1160" spans="1:15" x14ac:dyDescent="0.3">
      <c r="A1160" t="s">
        <v>3109</v>
      </c>
      <c r="B1160" t="s">
        <v>3108</v>
      </c>
      <c r="C1160" t="s">
        <v>123</v>
      </c>
      <c r="D1160">
        <v>90</v>
      </c>
      <c r="E1160" t="s">
        <v>39</v>
      </c>
      <c r="F1160" t="s">
        <v>20</v>
      </c>
      <c r="G1160" s="8">
        <v>46116</v>
      </c>
      <c r="H1160" s="8">
        <v>46139</v>
      </c>
      <c r="I1160" t="s">
        <v>9242</v>
      </c>
      <c r="J1160" t="s">
        <v>3106</v>
      </c>
      <c r="K1160" t="s">
        <v>64</v>
      </c>
      <c r="L1160">
        <v>3975.96</v>
      </c>
      <c r="M1160">
        <v>403</v>
      </c>
      <c r="N1160" t="s">
        <v>34</v>
      </c>
      <c r="O1160" t="s">
        <v>27</v>
      </c>
    </row>
    <row r="1161" spans="1:15" x14ac:dyDescent="0.3">
      <c r="A1161" t="s">
        <v>3105</v>
      </c>
      <c r="B1161" t="s">
        <v>3104</v>
      </c>
      <c r="C1161" t="s">
        <v>74</v>
      </c>
      <c r="D1161">
        <v>87</v>
      </c>
      <c r="E1161" t="s">
        <v>68</v>
      </c>
      <c r="F1161" t="s">
        <v>67</v>
      </c>
      <c r="G1161" s="8">
        <v>46072</v>
      </c>
      <c r="H1161" s="8">
        <v>46082</v>
      </c>
      <c r="I1161" t="s">
        <v>9243</v>
      </c>
      <c r="J1161" t="s">
        <v>3102</v>
      </c>
      <c r="K1161" t="s">
        <v>123</v>
      </c>
      <c r="L1161">
        <v>4582.71</v>
      </c>
      <c r="M1161">
        <v>495</v>
      </c>
      <c r="N1161" t="s">
        <v>77</v>
      </c>
      <c r="O1161" t="s">
        <v>63</v>
      </c>
    </row>
    <row r="1162" spans="1:15" x14ac:dyDescent="0.3">
      <c r="A1162" t="s">
        <v>3101</v>
      </c>
      <c r="B1162" t="s">
        <v>3100</v>
      </c>
      <c r="C1162" t="s">
        <v>74</v>
      </c>
      <c r="D1162">
        <v>39</v>
      </c>
      <c r="E1162" t="s">
        <v>68</v>
      </c>
      <c r="F1162" t="s">
        <v>67</v>
      </c>
      <c r="G1162" s="8">
        <v>46034</v>
      </c>
      <c r="H1162" s="8">
        <v>46035</v>
      </c>
      <c r="I1162" t="s">
        <v>9244</v>
      </c>
      <c r="J1162" t="s">
        <v>3098</v>
      </c>
      <c r="K1162" t="s">
        <v>123</v>
      </c>
      <c r="L1162">
        <v>7274.38</v>
      </c>
      <c r="M1162">
        <v>263</v>
      </c>
      <c r="N1162" t="s">
        <v>50</v>
      </c>
      <c r="O1162" t="s">
        <v>123</v>
      </c>
    </row>
    <row r="1163" spans="1:15" x14ac:dyDescent="0.3">
      <c r="A1163" t="s">
        <v>3097</v>
      </c>
      <c r="B1163" t="s">
        <v>3096</v>
      </c>
      <c r="C1163" t="s">
        <v>40</v>
      </c>
      <c r="D1163">
        <v>19</v>
      </c>
      <c r="E1163" t="s">
        <v>47</v>
      </c>
      <c r="F1163" t="s">
        <v>8077</v>
      </c>
      <c r="G1163" s="8">
        <v>46027</v>
      </c>
      <c r="H1163" s="8">
        <v>46040</v>
      </c>
      <c r="I1163" t="s">
        <v>9245</v>
      </c>
      <c r="J1163" t="s">
        <v>3094</v>
      </c>
      <c r="K1163" t="s">
        <v>27</v>
      </c>
      <c r="L1163">
        <v>14463.42</v>
      </c>
      <c r="M1163">
        <v>150</v>
      </c>
      <c r="N1163" t="s">
        <v>43</v>
      </c>
      <c r="O1163" t="s">
        <v>17</v>
      </c>
    </row>
    <row r="1164" spans="1:15" x14ac:dyDescent="0.3">
      <c r="A1164" t="s">
        <v>3093</v>
      </c>
      <c r="B1164" t="s">
        <v>3092</v>
      </c>
      <c r="C1164" t="s">
        <v>40</v>
      </c>
      <c r="D1164">
        <v>22</v>
      </c>
      <c r="E1164" t="s">
        <v>80</v>
      </c>
      <c r="F1164" t="s">
        <v>30</v>
      </c>
      <c r="G1164" s="8">
        <v>46075</v>
      </c>
      <c r="H1164" s="8">
        <v>46083</v>
      </c>
      <c r="I1164" t="s">
        <v>9246</v>
      </c>
      <c r="J1164" t="s">
        <v>3090</v>
      </c>
      <c r="K1164" t="s">
        <v>123</v>
      </c>
      <c r="L1164">
        <v>11085.14</v>
      </c>
      <c r="M1164">
        <v>247</v>
      </c>
      <c r="N1164" t="s">
        <v>43</v>
      </c>
      <c r="O1164" t="s">
        <v>26</v>
      </c>
    </row>
    <row r="1165" spans="1:15" x14ac:dyDescent="0.3">
      <c r="A1165" t="s">
        <v>3089</v>
      </c>
      <c r="B1165" t="s">
        <v>3088</v>
      </c>
      <c r="C1165" t="s">
        <v>74</v>
      </c>
      <c r="D1165">
        <v>30</v>
      </c>
      <c r="E1165" t="s">
        <v>132</v>
      </c>
      <c r="F1165" t="s">
        <v>20</v>
      </c>
      <c r="G1165" s="8">
        <v>45979</v>
      </c>
      <c r="H1165" s="8">
        <v>45982</v>
      </c>
      <c r="I1165" t="s">
        <v>9247</v>
      </c>
      <c r="J1165" t="s">
        <v>3086</v>
      </c>
      <c r="K1165" t="s">
        <v>64</v>
      </c>
      <c r="L1165">
        <v>13893.65</v>
      </c>
      <c r="M1165">
        <v>114</v>
      </c>
      <c r="N1165" t="s">
        <v>34</v>
      </c>
      <c r="O1165" t="s">
        <v>26</v>
      </c>
    </row>
    <row r="1166" spans="1:15" x14ac:dyDescent="0.3">
      <c r="A1166" t="s">
        <v>3085</v>
      </c>
      <c r="B1166" t="s">
        <v>3084</v>
      </c>
      <c r="C1166" t="s">
        <v>40</v>
      </c>
      <c r="D1166">
        <v>70</v>
      </c>
      <c r="E1166" t="s">
        <v>21</v>
      </c>
      <c r="F1166" t="s">
        <v>46</v>
      </c>
      <c r="G1166" s="8">
        <v>46083</v>
      </c>
      <c r="H1166" s="8">
        <v>46098</v>
      </c>
      <c r="I1166" t="s">
        <v>9248</v>
      </c>
      <c r="J1166" t="s">
        <v>3082</v>
      </c>
      <c r="K1166" t="s">
        <v>27</v>
      </c>
      <c r="L1166">
        <v>9364.61</v>
      </c>
      <c r="M1166">
        <v>392</v>
      </c>
      <c r="N1166" t="s">
        <v>16</v>
      </c>
      <c r="O1166" t="s">
        <v>63</v>
      </c>
    </row>
    <row r="1167" spans="1:15" x14ac:dyDescent="0.3">
      <c r="A1167" t="s">
        <v>3081</v>
      </c>
      <c r="B1167" t="s">
        <v>3080</v>
      </c>
      <c r="C1167" t="s">
        <v>123</v>
      </c>
      <c r="D1167">
        <v>67</v>
      </c>
      <c r="E1167" t="s">
        <v>39</v>
      </c>
      <c r="F1167" t="s">
        <v>85</v>
      </c>
      <c r="G1167" s="8">
        <v>46061</v>
      </c>
      <c r="H1167" s="8">
        <v>46070</v>
      </c>
      <c r="I1167" t="s">
        <v>9249</v>
      </c>
      <c r="J1167" t="s">
        <v>3078</v>
      </c>
      <c r="K1167" t="s">
        <v>64</v>
      </c>
      <c r="L1167">
        <v>17963.02</v>
      </c>
      <c r="M1167">
        <v>327</v>
      </c>
      <c r="N1167" t="s">
        <v>16</v>
      </c>
      <c r="O1167" t="s">
        <v>64</v>
      </c>
    </row>
    <row r="1168" spans="1:15" x14ac:dyDescent="0.3">
      <c r="A1168" t="s">
        <v>3077</v>
      </c>
      <c r="B1168" t="s">
        <v>3076</v>
      </c>
      <c r="C1168" t="s">
        <v>123</v>
      </c>
      <c r="D1168">
        <v>34</v>
      </c>
      <c r="E1168" t="s">
        <v>80</v>
      </c>
      <c r="F1168" t="s">
        <v>20</v>
      </c>
      <c r="G1168" s="8">
        <v>46044</v>
      </c>
      <c r="H1168" s="8">
        <v>46052</v>
      </c>
      <c r="I1168" t="s">
        <v>9250</v>
      </c>
      <c r="J1168" t="s">
        <v>3074</v>
      </c>
      <c r="K1168" t="s">
        <v>64</v>
      </c>
      <c r="L1168">
        <v>24217.3</v>
      </c>
      <c r="M1168">
        <v>481</v>
      </c>
      <c r="N1168" t="s">
        <v>50</v>
      </c>
      <c r="O1168" t="s">
        <v>64</v>
      </c>
    </row>
    <row r="1169" spans="1:15" x14ac:dyDescent="0.3">
      <c r="A1169" t="s">
        <v>3069</v>
      </c>
      <c r="B1169" t="s">
        <v>3068</v>
      </c>
      <c r="C1169" t="s">
        <v>74</v>
      </c>
      <c r="D1169">
        <v>5</v>
      </c>
      <c r="E1169" t="s">
        <v>54</v>
      </c>
      <c r="F1169" t="s">
        <v>20</v>
      </c>
      <c r="G1169" s="8">
        <v>46114</v>
      </c>
      <c r="H1169" s="8">
        <v>46143</v>
      </c>
      <c r="I1169" t="s">
        <v>9251</v>
      </c>
      <c r="J1169" t="s">
        <v>3066</v>
      </c>
      <c r="K1169" t="s">
        <v>64</v>
      </c>
      <c r="L1169">
        <v>4921.8900000000003</v>
      </c>
      <c r="M1169">
        <v>424</v>
      </c>
      <c r="N1169" t="s">
        <v>25</v>
      </c>
      <c r="O1169" t="s">
        <v>27</v>
      </c>
    </row>
    <row r="1170" spans="1:15" x14ac:dyDescent="0.3">
      <c r="A1170" t="s">
        <v>3065</v>
      </c>
      <c r="B1170" t="s">
        <v>3064</v>
      </c>
      <c r="C1170" t="s">
        <v>40</v>
      </c>
      <c r="D1170">
        <v>32</v>
      </c>
      <c r="E1170" t="s">
        <v>39</v>
      </c>
      <c r="F1170" t="s">
        <v>67</v>
      </c>
      <c r="G1170" s="8">
        <v>45982</v>
      </c>
      <c r="H1170" s="8">
        <v>46009</v>
      </c>
      <c r="I1170" t="s">
        <v>9252</v>
      </c>
      <c r="J1170" t="s">
        <v>3062</v>
      </c>
      <c r="K1170" t="s">
        <v>64</v>
      </c>
      <c r="L1170">
        <v>16899.02</v>
      </c>
      <c r="M1170">
        <v>340</v>
      </c>
      <c r="N1170" t="s">
        <v>71</v>
      </c>
      <c r="O1170" t="s">
        <v>63</v>
      </c>
    </row>
    <row r="1171" spans="1:15" x14ac:dyDescent="0.3">
      <c r="A1171" t="s">
        <v>3061</v>
      </c>
      <c r="B1171" t="s">
        <v>2172</v>
      </c>
      <c r="C1171" t="s">
        <v>123</v>
      </c>
      <c r="D1171">
        <v>24</v>
      </c>
      <c r="E1171" t="s">
        <v>68</v>
      </c>
      <c r="F1171" t="s">
        <v>30</v>
      </c>
      <c r="G1171" s="8">
        <v>46009</v>
      </c>
      <c r="H1171" s="8">
        <v>46013</v>
      </c>
      <c r="I1171" t="s">
        <v>9253</v>
      </c>
      <c r="J1171" t="s">
        <v>3059</v>
      </c>
      <c r="K1171" t="s">
        <v>64</v>
      </c>
      <c r="L1171">
        <v>15942.36</v>
      </c>
      <c r="M1171">
        <v>364</v>
      </c>
      <c r="N1171" t="s">
        <v>50</v>
      </c>
      <c r="O1171" t="s">
        <v>64</v>
      </c>
    </row>
    <row r="1172" spans="1:15" x14ac:dyDescent="0.3">
      <c r="A1172" t="s">
        <v>3058</v>
      </c>
      <c r="B1172" t="s">
        <v>3057</v>
      </c>
      <c r="C1172" t="s">
        <v>74</v>
      </c>
      <c r="D1172">
        <v>1</v>
      </c>
      <c r="E1172" t="s">
        <v>54</v>
      </c>
      <c r="F1172" t="s">
        <v>20</v>
      </c>
      <c r="G1172" s="8">
        <v>46048</v>
      </c>
      <c r="H1172" s="8">
        <v>46063</v>
      </c>
      <c r="I1172" t="s">
        <v>9254</v>
      </c>
      <c r="J1172" t="s">
        <v>3055</v>
      </c>
      <c r="K1172" t="s">
        <v>64</v>
      </c>
      <c r="L1172">
        <v>17807.759999999998</v>
      </c>
      <c r="M1172">
        <v>314</v>
      </c>
      <c r="N1172" t="s">
        <v>25</v>
      </c>
      <c r="O1172" t="s">
        <v>27</v>
      </c>
    </row>
    <row r="1173" spans="1:15" x14ac:dyDescent="0.3">
      <c r="A1173" t="s">
        <v>3054</v>
      </c>
      <c r="B1173" t="s">
        <v>3053</v>
      </c>
      <c r="C1173" t="s">
        <v>40</v>
      </c>
      <c r="D1173">
        <v>79</v>
      </c>
      <c r="E1173" t="s">
        <v>54</v>
      </c>
      <c r="F1173" t="s">
        <v>8077</v>
      </c>
      <c r="G1173" s="8">
        <v>46062</v>
      </c>
      <c r="H1173" s="8">
        <v>46082</v>
      </c>
      <c r="I1173" t="s">
        <v>9255</v>
      </c>
      <c r="J1173" t="s">
        <v>3051</v>
      </c>
      <c r="K1173" t="s">
        <v>64</v>
      </c>
      <c r="L1173">
        <v>12208.98</v>
      </c>
      <c r="M1173">
        <v>549</v>
      </c>
      <c r="N1173" t="s">
        <v>43</v>
      </c>
      <c r="O1173" t="s">
        <v>26</v>
      </c>
    </row>
    <row r="1174" spans="1:15" x14ac:dyDescent="0.3">
      <c r="A1174" t="s">
        <v>3050</v>
      </c>
      <c r="B1174" t="s">
        <v>8062</v>
      </c>
      <c r="C1174" t="s">
        <v>74</v>
      </c>
      <c r="D1174">
        <v>38</v>
      </c>
      <c r="E1174" t="s">
        <v>68</v>
      </c>
      <c r="F1174" t="s">
        <v>85</v>
      </c>
      <c r="G1174" s="8">
        <v>46026</v>
      </c>
      <c r="H1174" s="8">
        <v>46051</v>
      </c>
      <c r="I1174" t="s">
        <v>9256</v>
      </c>
      <c r="J1174" t="s">
        <v>3047</v>
      </c>
      <c r="K1174" t="s">
        <v>123</v>
      </c>
      <c r="L1174">
        <v>15026.48</v>
      </c>
      <c r="M1174">
        <v>251</v>
      </c>
      <c r="N1174" t="s">
        <v>77</v>
      </c>
      <c r="O1174" t="s">
        <v>123</v>
      </c>
    </row>
    <row r="1175" spans="1:15" x14ac:dyDescent="0.3">
      <c r="A1175" t="s">
        <v>3046</v>
      </c>
      <c r="B1175" t="s">
        <v>3045</v>
      </c>
      <c r="C1175" t="s">
        <v>74</v>
      </c>
      <c r="D1175">
        <v>15</v>
      </c>
      <c r="E1175" t="s">
        <v>132</v>
      </c>
      <c r="F1175" t="s">
        <v>67</v>
      </c>
      <c r="G1175" s="8">
        <v>46042</v>
      </c>
      <c r="H1175" s="8">
        <v>46056</v>
      </c>
      <c r="I1175" t="s">
        <v>9257</v>
      </c>
      <c r="J1175" t="s">
        <v>3043</v>
      </c>
      <c r="K1175" t="s">
        <v>64</v>
      </c>
      <c r="L1175">
        <v>6335.43</v>
      </c>
      <c r="M1175">
        <v>159</v>
      </c>
      <c r="N1175" t="s">
        <v>71</v>
      </c>
      <c r="O1175" t="s">
        <v>123</v>
      </c>
    </row>
    <row r="1176" spans="1:15" x14ac:dyDescent="0.3">
      <c r="A1176" t="s">
        <v>3042</v>
      </c>
      <c r="B1176" t="s">
        <v>3041</v>
      </c>
      <c r="C1176" t="s">
        <v>123</v>
      </c>
      <c r="D1176">
        <v>41</v>
      </c>
      <c r="E1176" t="s">
        <v>80</v>
      </c>
      <c r="F1176" t="s">
        <v>67</v>
      </c>
      <c r="G1176" s="8">
        <v>46128</v>
      </c>
      <c r="H1176" s="8">
        <v>46150</v>
      </c>
      <c r="I1176" t="s">
        <v>9258</v>
      </c>
      <c r="J1176" t="s">
        <v>3039</v>
      </c>
      <c r="K1176" t="s">
        <v>123</v>
      </c>
      <c r="L1176">
        <v>17679.509999999998</v>
      </c>
      <c r="M1176">
        <v>530</v>
      </c>
      <c r="N1176" t="s">
        <v>50</v>
      </c>
      <c r="O1176" t="s">
        <v>123</v>
      </c>
    </row>
    <row r="1177" spans="1:15" x14ac:dyDescent="0.3">
      <c r="A1177" t="s">
        <v>3034</v>
      </c>
      <c r="B1177" t="s">
        <v>3033</v>
      </c>
      <c r="C1177" t="s">
        <v>123</v>
      </c>
      <c r="D1177">
        <v>8</v>
      </c>
      <c r="E1177" t="s">
        <v>31</v>
      </c>
      <c r="F1177" t="s">
        <v>30</v>
      </c>
      <c r="G1177" s="8">
        <v>45988</v>
      </c>
      <c r="H1177" s="8">
        <v>46009</v>
      </c>
      <c r="I1177" t="s">
        <v>9259</v>
      </c>
      <c r="J1177" t="s">
        <v>3031</v>
      </c>
      <c r="K1177" t="s">
        <v>64</v>
      </c>
      <c r="L1177">
        <v>10398.48</v>
      </c>
      <c r="M1177">
        <v>317</v>
      </c>
      <c r="N1177" t="s">
        <v>16</v>
      </c>
      <c r="O1177" t="s">
        <v>123</v>
      </c>
    </row>
    <row r="1178" spans="1:15" x14ac:dyDescent="0.3">
      <c r="A1178" t="s">
        <v>3030</v>
      </c>
      <c r="B1178" t="s">
        <v>3029</v>
      </c>
      <c r="C1178" t="s">
        <v>40</v>
      </c>
      <c r="D1178">
        <v>7</v>
      </c>
      <c r="E1178" t="s">
        <v>132</v>
      </c>
      <c r="F1178" t="s">
        <v>85</v>
      </c>
      <c r="G1178" s="8">
        <v>46149</v>
      </c>
      <c r="H1178" s="8">
        <v>46172</v>
      </c>
      <c r="I1178" t="s">
        <v>9260</v>
      </c>
      <c r="J1178" t="s">
        <v>3027</v>
      </c>
      <c r="K1178" t="s">
        <v>64</v>
      </c>
      <c r="L1178">
        <v>8628.07</v>
      </c>
      <c r="M1178">
        <v>257</v>
      </c>
      <c r="N1178" t="s">
        <v>16</v>
      </c>
      <c r="O1178" t="s">
        <v>27</v>
      </c>
    </row>
    <row r="1179" spans="1:15" x14ac:dyDescent="0.3">
      <c r="A1179" t="s">
        <v>3026</v>
      </c>
      <c r="B1179" t="s">
        <v>3025</v>
      </c>
      <c r="C1179" t="s">
        <v>123</v>
      </c>
      <c r="D1179">
        <v>29</v>
      </c>
      <c r="E1179" t="s">
        <v>39</v>
      </c>
      <c r="F1179" t="s">
        <v>8077</v>
      </c>
      <c r="G1179" s="8">
        <v>46087</v>
      </c>
      <c r="H1179" s="8">
        <v>46111</v>
      </c>
      <c r="I1179" t="s">
        <v>9261</v>
      </c>
      <c r="J1179" t="s">
        <v>3023</v>
      </c>
      <c r="K1179" t="s">
        <v>64</v>
      </c>
      <c r="L1179">
        <v>23707.37</v>
      </c>
      <c r="M1179">
        <v>166</v>
      </c>
      <c r="N1179" t="s">
        <v>34</v>
      </c>
      <c r="O1179" t="s">
        <v>17</v>
      </c>
    </row>
    <row r="1180" spans="1:15" x14ac:dyDescent="0.3">
      <c r="A1180" t="s">
        <v>3022</v>
      </c>
      <c r="B1180" t="s">
        <v>3021</v>
      </c>
      <c r="C1180" t="s">
        <v>40</v>
      </c>
      <c r="D1180">
        <v>3</v>
      </c>
      <c r="E1180" t="s">
        <v>54</v>
      </c>
      <c r="F1180" t="s">
        <v>20</v>
      </c>
      <c r="G1180" s="8">
        <v>46064</v>
      </c>
      <c r="H1180" s="8">
        <v>46088</v>
      </c>
      <c r="I1180" t="s">
        <v>9262</v>
      </c>
      <c r="J1180" t="s">
        <v>3019</v>
      </c>
      <c r="K1180" t="s">
        <v>64</v>
      </c>
      <c r="L1180">
        <v>22823.27</v>
      </c>
      <c r="M1180">
        <v>435</v>
      </c>
      <c r="N1180" t="s">
        <v>77</v>
      </c>
      <c r="O1180" t="s">
        <v>64</v>
      </c>
    </row>
    <row r="1181" spans="1:15" x14ac:dyDescent="0.3">
      <c r="A1181" t="s">
        <v>3018</v>
      </c>
      <c r="B1181" t="s">
        <v>3017</v>
      </c>
      <c r="C1181" t="s">
        <v>74</v>
      </c>
      <c r="D1181">
        <v>47</v>
      </c>
      <c r="E1181" t="s">
        <v>21</v>
      </c>
      <c r="F1181" t="s">
        <v>20</v>
      </c>
      <c r="G1181" s="8">
        <v>46035</v>
      </c>
      <c r="H1181" s="8">
        <v>46061</v>
      </c>
      <c r="I1181" t="s">
        <v>9263</v>
      </c>
      <c r="J1181" t="s">
        <v>3015</v>
      </c>
      <c r="K1181" t="s">
        <v>123</v>
      </c>
      <c r="L1181">
        <v>21521.13</v>
      </c>
      <c r="M1181">
        <v>248</v>
      </c>
      <c r="N1181" t="s">
        <v>50</v>
      </c>
      <c r="O1181" t="s">
        <v>57</v>
      </c>
    </row>
    <row r="1182" spans="1:15" x14ac:dyDescent="0.3">
      <c r="A1182" t="s">
        <v>3014</v>
      </c>
      <c r="B1182" t="s">
        <v>3013</v>
      </c>
      <c r="C1182" t="s">
        <v>40</v>
      </c>
      <c r="D1182">
        <v>48</v>
      </c>
      <c r="E1182" t="s">
        <v>31</v>
      </c>
      <c r="F1182" t="s">
        <v>67</v>
      </c>
      <c r="G1182" s="8">
        <v>46042</v>
      </c>
      <c r="H1182" s="8">
        <v>46048</v>
      </c>
      <c r="I1182" t="s">
        <v>9264</v>
      </c>
      <c r="J1182" t="s">
        <v>3011</v>
      </c>
      <c r="K1182" t="s">
        <v>64</v>
      </c>
      <c r="L1182">
        <v>23512.34</v>
      </c>
      <c r="M1182">
        <v>532</v>
      </c>
      <c r="N1182" t="s">
        <v>77</v>
      </c>
      <c r="O1182" t="s">
        <v>27</v>
      </c>
    </row>
    <row r="1183" spans="1:15" x14ac:dyDescent="0.3">
      <c r="A1183" t="s">
        <v>3010</v>
      </c>
      <c r="B1183" t="s">
        <v>3009</v>
      </c>
      <c r="C1183" t="s">
        <v>74</v>
      </c>
      <c r="D1183">
        <v>65</v>
      </c>
      <c r="E1183" t="s">
        <v>54</v>
      </c>
      <c r="F1183" t="s">
        <v>85</v>
      </c>
      <c r="G1183" s="8">
        <v>46088</v>
      </c>
      <c r="H1183" s="8">
        <v>46089</v>
      </c>
      <c r="I1183" t="s">
        <v>9265</v>
      </c>
      <c r="J1183" t="s">
        <v>3007</v>
      </c>
      <c r="K1183" t="s">
        <v>27</v>
      </c>
      <c r="L1183">
        <v>7220.63</v>
      </c>
      <c r="M1183">
        <v>217</v>
      </c>
      <c r="N1183" t="s">
        <v>25</v>
      </c>
      <c r="O1183" t="s">
        <v>27</v>
      </c>
    </row>
    <row r="1184" spans="1:15" x14ac:dyDescent="0.3">
      <c r="A1184" t="s">
        <v>3006</v>
      </c>
      <c r="B1184" t="s">
        <v>2427</v>
      </c>
      <c r="C1184" t="s">
        <v>74</v>
      </c>
      <c r="D1184">
        <v>5</v>
      </c>
      <c r="E1184" t="s">
        <v>132</v>
      </c>
      <c r="F1184" t="s">
        <v>20</v>
      </c>
      <c r="G1184" s="8">
        <v>46128</v>
      </c>
      <c r="H1184" s="8">
        <v>46154</v>
      </c>
      <c r="I1184" t="s">
        <v>9266</v>
      </c>
      <c r="J1184" t="s">
        <v>3004</v>
      </c>
      <c r="K1184" t="s">
        <v>123</v>
      </c>
      <c r="L1184">
        <v>16450.84</v>
      </c>
      <c r="M1184">
        <v>518</v>
      </c>
      <c r="N1184" t="s">
        <v>25</v>
      </c>
      <c r="O1184" t="s">
        <v>26</v>
      </c>
    </row>
    <row r="1185" spans="1:15" x14ac:dyDescent="0.3">
      <c r="A1185" t="s">
        <v>3003</v>
      </c>
      <c r="B1185" t="s">
        <v>3002</v>
      </c>
      <c r="C1185" t="s">
        <v>40</v>
      </c>
      <c r="D1185">
        <v>11</v>
      </c>
      <c r="E1185" t="s">
        <v>80</v>
      </c>
      <c r="F1185" t="s">
        <v>20</v>
      </c>
      <c r="G1185" s="8">
        <v>46007</v>
      </c>
      <c r="H1185" s="8">
        <v>46023</v>
      </c>
      <c r="I1185" t="s">
        <v>9267</v>
      </c>
      <c r="J1185" t="s">
        <v>3000</v>
      </c>
      <c r="K1185" t="s">
        <v>123</v>
      </c>
      <c r="L1185">
        <v>699.82</v>
      </c>
      <c r="M1185">
        <v>148</v>
      </c>
      <c r="N1185" t="s">
        <v>25</v>
      </c>
      <c r="O1185" t="s">
        <v>26</v>
      </c>
    </row>
    <row r="1186" spans="1:15" x14ac:dyDescent="0.3">
      <c r="A1186" t="s">
        <v>2999</v>
      </c>
      <c r="B1186" t="s">
        <v>2998</v>
      </c>
      <c r="C1186" t="s">
        <v>123</v>
      </c>
      <c r="D1186">
        <v>25</v>
      </c>
      <c r="E1186" t="s">
        <v>132</v>
      </c>
      <c r="F1186" t="s">
        <v>67</v>
      </c>
      <c r="G1186" s="8">
        <v>46093</v>
      </c>
      <c r="H1186" s="8">
        <v>46106</v>
      </c>
      <c r="I1186" t="s">
        <v>9268</v>
      </c>
      <c r="J1186" t="s">
        <v>2996</v>
      </c>
      <c r="K1186" t="s">
        <v>27</v>
      </c>
      <c r="L1186">
        <v>7693.42</v>
      </c>
      <c r="M1186">
        <v>203</v>
      </c>
      <c r="N1186" t="s">
        <v>77</v>
      </c>
      <c r="O1186" t="s">
        <v>123</v>
      </c>
    </row>
    <row r="1187" spans="1:15" x14ac:dyDescent="0.3">
      <c r="A1187" t="s">
        <v>2987</v>
      </c>
      <c r="B1187" t="s">
        <v>2986</v>
      </c>
      <c r="C1187" t="s">
        <v>74</v>
      </c>
      <c r="D1187">
        <v>58</v>
      </c>
      <c r="E1187" t="s">
        <v>21</v>
      </c>
      <c r="F1187" t="s">
        <v>46</v>
      </c>
      <c r="G1187" s="8">
        <v>46129</v>
      </c>
      <c r="H1187" s="8">
        <v>46141</v>
      </c>
      <c r="I1187" t="s">
        <v>9269</v>
      </c>
      <c r="J1187" t="s">
        <v>2984</v>
      </c>
      <c r="K1187" t="s">
        <v>64</v>
      </c>
      <c r="L1187">
        <v>11287.72</v>
      </c>
      <c r="M1187">
        <v>388</v>
      </c>
      <c r="N1187" t="s">
        <v>77</v>
      </c>
      <c r="O1187" t="s">
        <v>123</v>
      </c>
    </row>
    <row r="1188" spans="1:15" x14ac:dyDescent="0.3">
      <c r="A1188" t="s">
        <v>2983</v>
      </c>
      <c r="B1188" t="s">
        <v>2982</v>
      </c>
      <c r="C1188" t="s">
        <v>40</v>
      </c>
      <c r="D1188">
        <v>43</v>
      </c>
      <c r="E1188" t="s">
        <v>39</v>
      </c>
      <c r="F1188" t="s">
        <v>20</v>
      </c>
      <c r="G1188" s="8">
        <v>45988</v>
      </c>
      <c r="H1188" s="8">
        <v>45991</v>
      </c>
      <c r="I1188" t="s">
        <v>9270</v>
      </c>
      <c r="J1188" t="s">
        <v>2980</v>
      </c>
      <c r="K1188" t="s">
        <v>27</v>
      </c>
      <c r="L1188">
        <v>5350.51</v>
      </c>
      <c r="M1188">
        <v>403</v>
      </c>
      <c r="N1188" t="s">
        <v>71</v>
      </c>
      <c r="O1188" t="s">
        <v>123</v>
      </c>
    </row>
    <row r="1189" spans="1:15" x14ac:dyDescent="0.3">
      <c r="A1189" t="s">
        <v>2979</v>
      </c>
      <c r="B1189" t="s">
        <v>2978</v>
      </c>
      <c r="C1189" t="s">
        <v>74</v>
      </c>
      <c r="D1189">
        <v>19</v>
      </c>
      <c r="E1189" t="s">
        <v>54</v>
      </c>
      <c r="F1189" t="s">
        <v>85</v>
      </c>
      <c r="G1189" s="8">
        <v>46028</v>
      </c>
      <c r="H1189" s="8">
        <v>46044</v>
      </c>
      <c r="I1189" t="s">
        <v>9271</v>
      </c>
      <c r="J1189" t="s">
        <v>2976</v>
      </c>
      <c r="K1189" t="s">
        <v>64</v>
      </c>
      <c r="L1189">
        <v>1661.54</v>
      </c>
      <c r="M1189">
        <v>229</v>
      </c>
      <c r="N1189" t="s">
        <v>16</v>
      </c>
      <c r="O1189" t="s">
        <v>123</v>
      </c>
    </row>
    <row r="1190" spans="1:15" x14ac:dyDescent="0.3">
      <c r="A1190" t="s">
        <v>2975</v>
      </c>
      <c r="B1190" t="s">
        <v>2974</v>
      </c>
      <c r="C1190" t="s">
        <v>40</v>
      </c>
      <c r="D1190">
        <v>44</v>
      </c>
      <c r="E1190" t="s">
        <v>39</v>
      </c>
      <c r="F1190" t="s">
        <v>46</v>
      </c>
      <c r="G1190" s="8">
        <v>46032</v>
      </c>
      <c r="H1190" s="8">
        <v>46042</v>
      </c>
      <c r="I1190" t="s">
        <v>9272</v>
      </c>
      <c r="J1190" t="s">
        <v>2972</v>
      </c>
      <c r="K1190" t="s">
        <v>123</v>
      </c>
      <c r="L1190">
        <v>21811.41</v>
      </c>
      <c r="M1190">
        <v>453</v>
      </c>
      <c r="N1190" t="s">
        <v>71</v>
      </c>
      <c r="O1190" t="s">
        <v>63</v>
      </c>
    </row>
    <row r="1191" spans="1:15" x14ac:dyDescent="0.3">
      <c r="A1191" t="s">
        <v>2971</v>
      </c>
      <c r="B1191" t="s">
        <v>2970</v>
      </c>
      <c r="C1191" t="s">
        <v>123</v>
      </c>
      <c r="D1191">
        <v>70</v>
      </c>
      <c r="E1191" t="s">
        <v>68</v>
      </c>
      <c r="F1191" t="s">
        <v>67</v>
      </c>
      <c r="G1191" s="8">
        <v>46049</v>
      </c>
      <c r="H1191" s="8">
        <v>46079</v>
      </c>
      <c r="I1191" t="s">
        <v>9273</v>
      </c>
      <c r="J1191" t="s">
        <v>2968</v>
      </c>
      <c r="K1191" t="s">
        <v>64</v>
      </c>
      <c r="L1191">
        <v>8181.58</v>
      </c>
      <c r="M1191">
        <v>363</v>
      </c>
      <c r="N1191" t="s">
        <v>34</v>
      </c>
      <c r="O1191" t="s">
        <v>123</v>
      </c>
    </row>
    <row r="1192" spans="1:15" x14ac:dyDescent="0.3">
      <c r="A1192" t="s">
        <v>2967</v>
      </c>
      <c r="B1192" t="s">
        <v>2966</v>
      </c>
      <c r="C1192" t="s">
        <v>74</v>
      </c>
      <c r="D1192">
        <v>14</v>
      </c>
      <c r="E1192" t="s">
        <v>54</v>
      </c>
      <c r="F1192" t="s">
        <v>20</v>
      </c>
      <c r="G1192" s="8">
        <v>46077</v>
      </c>
      <c r="H1192" s="8">
        <v>46089</v>
      </c>
      <c r="I1192" t="s">
        <v>9274</v>
      </c>
      <c r="J1192" t="s">
        <v>2964</v>
      </c>
      <c r="K1192" t="s">
        <v>27</v>
      </c>
      <c r="L1192">
        <v>18970.79</v>
      </c>
      <c r="M1192">
        <v>366</v>
      </c>
      <c r="N1192" t="s">
        <v>25</v>
      </c>
      <c r="O1192" t="s">
        <v>26</v>
      </c>
    </row>
    <row r="1193" spans="1:15" x14ac:dyDescent="0.3">
      <c r="A1193" t="s">
        <v>2963</v>
      </c>
      <c r="B1193" t="s">
        <v>2962</v>
      </c>
      <c r="C1193" t="s">
        <v>74</v>
      </c>
      <c r="D1193">
        <v>22</v>
      </c>
      <c r="E1193" t="s">
        <v>21</v>
      </c>
      <c r="F1193" t="s">
        <v>85</v>
      </c>
      <c r="G1193" s="8">
        <v>46129</v>
      </c>
      <c r="H1193" s="8">
        <v>46156</v>
      </c>
      <c r="I1193" t="s">
        <v>9275</v>
      </c>
      <c r="J1193" t="s">
        <v>2960</v>
      </c>
      <c r="K1193" t="s">
        <v>64</v>
      </c>
      <c r="L1193">
        <v>1168.74</v>
      </c>
      <c r="M1193">
        <v>353</v>
      </c>
      <c r="N1193" t="s">
        <v>71</v>
      </c>
      <c r="O1193" t="s">
        <v>123</v>
      </c>
    </row>
    <row r="1194" spans="1:15" x14ac:dyDescent="0.3">
      <c r="A1194" t="s">
        <v>2955</v>
      </c>
      <c r="B1194" t="s">
        <v>2954</v>
      </c>
      <c r="C1194" t="s">
        <v>40</v>
      </c>
      <c r="D1194">
        <v>67</v>
      </c>
      <c r="E1194" t="s">
        <v>31</v>
      </c>
      <c r="F1194" t="s">
        <v>67</v>
      </c>
      <c r="G1194" s="8">
        <v>46104</v>
      </c>
      <c r="H1194" s="8">
        <v>46122</v>
      </c>
      <c r="I1194" t="s">
        <v>9276</v>
      </c>
      <c r="J1194" t="s">
        <v>2952</v>
      </c>
      <c r="K1194" t="s">
        <v>27</v>
      </c>
      <c r="L1194">
        <v>3709.64</v>
      </c>
      <c r="M1194">
        <v>511</v>
      </c>
      <c r="N1194" t="s">
        <v>34</v>
      </c>
      <c r="O1194" t="s">
        <v>57</v>
      </c>
    </row>
    <row r="1195" spans="1:15" x14ac:dyDescent="0.3">
      <c r="A1195" t="s">
        <v>2951</v>
      </c>
      <c r="B1195" t="s">
        <v>2950</v>
      </c>
      <c r="C1195" t="s">
        <v>74</v>
      </c>
      <c r="D1195">
        <v>67</v>
      </c>
      <c r="E1195" t="s">
        <v>132</v>
      </c>
      <c r="F1195" t="s">
        <v>85</v>
      </c>
      <c r="G1195" s="8">
        <v>46117</v>
      </c>
      <c r="H1195" s="8">
        <v>46131</v>
      </c>
      <c r="I1195" t="s">
        <v>9277</v>
      </c>
      <c r="J1195" t="s">
        <v>2948</v>
      </c>
      <c r="K1195" t="s">
        <v>64</v>
      </c>
      <c r="L1195">
        <v>23417.82</v>
      </c>
      <c r="M1195">
        <v>184</v>
      </c>
      <c r="N1195" t="s">
        <v>34</v>
      </c>
      <c r="O1195" t="s">
        <v>26</v>
      </c>
    </row>
    <row r="1196" spans="1:15" x14ac:dyDescent="0.3">
      <c r="A1196" t="s">
        <v>2947</v>
      </c>
      <c r="B1196" t="s">
        <v>2946</v>
      </c>
      <c r="C1196" t="s">
        <v>123</v>
      </c>
      <c r="D1196">
        <v>2</v>
      </c>
      <c r="E1196" t="s">
        <v>31</v>
      </c>
      <c r="F1196" t="s">
        <v>67</v>
      </c>
      <c r="G1196" s="8">
        <v>46107</v>
      </c>
      <c r="H1196" s="8">
        <v>46112</v>
      </c>
      <c r="I1196" t="s">
        <v>9278</v>
      </c>
      <c r="J1196" t="s">
        <v>2944</v>
      </c>
      <c r="K1196" t="s">
        <v>27</v>
      </c>
      <c r="L1196">
        <v>11868.24</v>
      </c>
      <c r="M1196">
        <v>259</v>
      </c>
      <c r="N1196" t="s">
        <v>25</v>
      </c>
      <c r="O1196" t="s">
        <v>27</v>
      </c>
    </row>
    <row r="1197" spans="1:15" x14ac:dyDescent="0.3">
      <c r="A1197" t="s">
        <v>2943</v>
      </c>
      <c r="B1197" t="s">
        <v>2942</v>
      </c>
      <c r="C1197" t="s">
        <v>74</v>
      </c>
      <c r="D1197">
        <v>26</v>
      </c>
      <c r="E1197" t="s">
        <v>80</v>
      </c>
      <c r="F1197" t="s">
        <v>85</v>
      </c>
      <c r="G1197" s="8">
        <v>46129</v>
      </c>
      <c r="H1197" s="8">
        <v>46139</v>
      </c>
      <c r="I1197" t="s">
        <v>9279</v>
      </c>
      <c r="J1197" t="s">
        <v>2940</v>
      </c>
      <c r="K1197" t="s">
        <v>64</v>
      </c>
      <c r="L1197">
        <v>1715.47</v>
      </c>
      <c r="M1197">
        <v>404</v>
      </c>
      <c r="N1197" t="s">
        <v>71</v>
      </c>
      <c r="O1197" t="s">
        <v>123</v>
      </c>
    </row>
    <row r="1198" spans="1:15" x14ac:dyDescent="0.3">
      <c r="A1198" t="s">
        <v>2939</v>
      </c>
      <c r="B1198" t="s">
        <v>2938</v>
      </c>
      <c r="C1198" t="s">
        <v>74</v>
      </c>
      <c r="D1198">
        <v>45</v>
      </c>
      <c r="E1198" t="s">
        <v>21</v>
      </c>
      <c r="F1198" t="s">
        <v>67</v>
      </c>
      <c r="G1198" s="8">
        <v>46033</v>
      </c>
      <c r="H1198" s="8">
        <v>46053</v>
      </c>
      <c r="I1198" t="s">
        <v>9280</v>
      </c>
      <c r="J1198" t="s">
        <v>2936</v>
      </c>
      <c r="K1198" t="s">
        <v>27</v>
      </c>
      <c r="L1198">
        <v>23211.41</v>
      </c>
      <c r="M1198">
        <v>245</v>
      </c>
      <c r="N1198" t="s">
        <v>50</v>
      </c>
      <c r="O1198" t="s">
        <v>63</v>
      </c>
    </row>
    <row r="1199" spans="1:15" x14ac:dyDescent="0.3">
      <c r="A1199" t="s">
        <v>2935</v>
      </c>
      <c r="B1199" t="s">
        <v>2934</v>
      </c>
      <c r="C1199" t="s">
        <v>123</v>
      </c>
      <c r="D1199">
        <v>75</v>
      </c>
      <c r="E1199" t="s">
        <v>132</v>
      </c>
      <c r="F1199" t="s">
        <v>67</v>
      </c>
      <c r="G1199" s="8">
        <v>46042</v>
      </c>
      <c r="H1199" s="8">
        <v>46061</v>
      </c>
      <c r="I1199" t="s">
        <v>9281</v>
      </c>
      <c r="J1199" t="s">
        <v>2932</v>
      </c>
      <c r="K1199" t="s">
        <v>123</v>
      </c>
      <c r="L1199">
        <v>23370.84</v>
      </c>
      <c r="M1199">
        <v>139</v>
      </c>
      <c r="N1199" t="s">
        <v>34</v>
      </c>
      <c r="O1199" t="s">
        <v>57</v>
      </c>
    </row>
    <row r="1200" spans="1:15" x14ac:dyDescent="0.3">
      <c r="A1200" t="s">
        <v>2931</v>
      </c>
      <c r="B1200" t="s">
        <v>2930</v>
      </c>
      <c r="C1200" t="s">
        <v>40</v>
      </c>
      <c r="D1200">
        <v>14</v>
      </c>
      <c r="E1200" t="s">
        <v>21</v>
      </c>
      <c r="F1200" t="s">
        <v>30</v>
      </c>
      <c r="G1200" s="8">
        <v>46063</v>
      </c>
      <c r="H1200" s="8">
        <v>46068</v>
      </c>
      <c r="I1200" t="s">
        <v>9282</v>
      </c>
      <c r="J1200" t="s">
        <v>2928</v>
      </c>
      <c r="K1200" t="s">
        <v>27</v>
      </c>
      <c r="L1200">
        <v>14178.76</v>
      </c>
      <c r="M1200">
        <v>508</v>
      </c>
      <c r="N1200" t="s">
        <v>34</v>
      </c>
      <c r="O1200" t="s">
        <v>26</v>
      </c>
    </row>
    <row r="1201" spans="1:15" x14ac:dyDescent="0.3">
      <c r="A1201" t="s">
        <v>2927</v>
      </c>
      <c r="B1201" t="s">
        <v>2926</v>
      </c>
      <c r="C1201" t="s">
        <v>123</v>
      </c>
      <c r="D1201">
        <v>43</v>
      </c>
      <c r="E1201" t="s">
        <v>132</v>
      </c>
      <c r="F1201" t="s">
        <v>85</v>
      </c>
      <c r="G1201" s="8">
        <v>46008</v>
      </c>
      <c r="H1201" s="8">
        <v>46014</v>
      </c>
      <c r="I1201" t="s">
        <v>9283</v>
      </c>
      <c r="J1201" t="s">
        <v>2924</v>
      </c>
      <c r="K1201" t="s">
        <v>27</v>
      </c>
      <c r="L1201">
        <v>266.24</v>
      </c>
      <c r="M1201">
        <v>210</v>
      </c>
      <c r="N1201" t="s">
        <v>77</v>
      </c>
      <c r="O1201" t="s">
        <v>57</v>
      </c>
    </row>
    <row r="1202" spans="1:15" x14ac:dyDescent="0.3">
      <c r="A1202" t="s">
        <v>2923</v>
      </c>
      <c r="B1202" t="s">
        <v>2922</v>
      </c>
      <c r="C1202" t="s">
        <v>40</v>
      </c>
      <c r="D1202">
        <v>19</v>
      </c>
      <c r="E1202" t="s">
        <v>39</v>
      </c>
      <c r="F1202" t="s">
        <v>85</v>
      </c>
      <c r="G1202" s="8">
        <v>46050</v>
      </c>
      <c r="H1202" s="8">
        <v>46077</v>
      </c>
      <c r="I1202" t="s">
        <v>9284</v>
      </c>
      <c r="J1202" t="s">
        <v>2920</v>
      </c>
      <c r="K1202" t="s">
        <v>27</v>
      </c>
      <c r="L1202">
        <v>8218.7800000000007</v>
      </c>
      <c r="M1202">
        <v>170</v>
      </c>
      <c r="N1202" t="s">
        <v>34</v>
      </c>
      <c r="O1202" t="s">
        <v>27</v>
      </c>
    </row>
    <row r="1203" spans="1:15" x14ac:dyDescent="0.3">
      <c r="A1203" t="s">
        <v>2919</v>
      </c>
      <c r="B1203" t="s">
        <v>2918</v>
      </c>
      <c r="C1203" t="s">
        <v>123</v>
      </c>
      <c r="D1203">
        <v>55</v>
      </c>
      <c r="E1203" t="s">
        <v>68</v>
      </c>
      <c r="F1203" t="s">
        <v>67</v>
      </c>
      <c r="G1203" s="8">
        <v>45981</v>
      </c>
      <c r="H1203" s="8">
        <v>45990</v>
      </c>
      <c r="I1203" t="s">
        <v>9285</v>
      </c>
      <c r="J1203" t="s">
        <v>2916</v>
      </c>
      <c r="K1203" t="s">
        <v>64</v>
      </c>
      <c r="L1203">
        <v>6171.17</v>
      </c>
      <c r="M1203">
        <v>293</v>
      </c>
      <c r="N1203" t="s">
        <v>50</v>
      </c>
      <c r="O1203" t="s">
        <v>123</v>
      </c>
    </row>
    <row r="1204" spans="1:15" x14ac:dyDescent="0.3">
      <c r="A1204" t="s">
        <v>2915</v>
      </c>
      <c r="B1204" t="s">
        <v>2914</v>
      </c>
      <c r="C1204" t="s">
        <v>123</v>
      </c>
      <c r="D1204">
        <v>61</v>
      </c>
      <c r="E1204" t="s">
        <v>31</v>
      </c>
      <c r="F1204" t="s">
        <v>30</v>
      </c>
      <c r="G1204" s="8">
        <v>46023</v>
      </c>
      <c r="H1204" s="8">
        <v>46049</v>
      </c>
      <c r="I1204" t="s">
        <v>9286</v>
      </c>
      <c r="J1204" t="s">
        <v>123</v>
      </c>
      <c r="K1204" t="s">
        <v>64</v>
      </c>
      <c r="L1204">
        <v>-500</v>
      </c>
      <c r="M1204">
        <v>185</v>
      </c>
      <c r="N1204" t="s">
        <v>25</v>
      </c>
      <c r="O1204" t="s">
        <v>57</v>
      </c>
    </row>
    <row r="1205" spans="1:15" x14ac:dyDescent="0.3">
      <c r="A1205" t="s">
        <v>2912</v>
      </c>
      <c r="B1205" t="s">
        <v>2911</v>
      </c>
      <c r="C1205" t="s">
        <v>40</v>
      </c>
      <c r="D1205">
        <v>19</v>
      </c>
      <c r="E1205" t="s">
        <v>54</v>
      </c>
      <c r="F1205" t="s">
        <v>85</v>
      </c>
      <c r="G1205" s="8">
        <v>46008</v>
      </c>
      <c r="H1205" s="8">
        <v>46023</v>
      </c>
      <c r="I1205" t="s">
        <v>9287</v>
      </c>
      <c r="J1205" t="s">
        <v>2909</v>
      </c>
      <c r="K1205" t="s">
        <v>27</v>
      </c>
      <c r="L1205">
        <v>17197.12</v>
      </c>
      <c r="M1205">
        <v>433</v>
      </c>
      <c r="N1205" t="s">
        <v>43</v>
      </c>
      <c r="O1205" t="s">
        <v>123</v>
      </c>
    </row>
    <row r="1206" spans="1:15" x14ac:dyDescent="0.3">
      <c r="A1206" t="s">
        <v>2908</v>
      </c>
      <c r="B1206" t="s">
        <v>2907</v>
      </c>
      <c r="C1206" t="s">
        <v>40</v>
      </c>
      <c r="D1206">
        <v>4</v>
      </c>
      <c r="E1206" t="s">
        <v>31</v>
      </c>
      <c r="F1206" t="s">
        <v>85</v>
      </c>
      <c r="G1206" s="8">
        <v>46068</v>
      </c>
      <c r="H1206" s="8">
        <v>46092</v>
      </c>
      <c r="I1206" t="s">
        <v>9288</v>
      </c>
      <c r="J1206" t="s">
        <v>2905</v>
      </c>
      <c r="K1206" t="s">
        <v>64</v>
      </c>
      <c r="L1206">
        <v>18266.59</v>
      </c>
      <c r="M1206">
        <v>415</v>
      </c>
      <c r="N1206" t="s">
        <v>34</v>
      </c>
      <c r="O1206" t="s">
        <v>57</v>
      </c>
    </row>
    <row r="1207" spans="1:15" x14ac:dyDescent="0.3">
      <c r="A1207" t="s">
        <v>2904</v>
      </c>
      <c r="B1207" t="s">
        <v>2903</v>
      </c>
      <c r="C1207" t="s">
        <v>74</v>
      </c>
      <c r="D1207">
        <v>49</v>
      </c>
      <c r="E1207" t="s">
        <v>31</v>
      </c>
      <c r="F1207" t="s">
        <v>20</v>
      </c>
      <c r="G1207" s="8">
        <v>46046</v>
      </c>
      <c r="H1207" s="8">
        <v>46075</v>
      </c>
      <c r="I1207" t="s">
        <v>9289</v>
      </c>
      <c r="J1207" t="s">
        <v>2901</v>
      </c>
      <c r="K1207" t="s">
        <v>27</v>
      </c>
      <c r="L1207">
        <v>5056.7299999999996</v>
      </c>
      <c r="M1207">
        <v>369</v>
      </c>
      <c r="N1207" t="s">
        <v>71</v>
      </c>
      <c r="O1207" t="s">
        <v>17</v>
      </c>
    </row>
    <row r="1208" spans="1:15" x14ac:dyDescent="0.3">
      <c r="A1208" t="s">
        <v>2900</v>
      </c>
      <c r="B1208" t="s">
        <v>2899</v>
      </c>
      <c r="C1208" t="s">
        <v>40</v>
      </c>
      <c r="D1208">
        <v>76</v>
      </c>
      <c r="E1208" t="s">
        <v>132</v>
      </c>
      <c r="F1208" t="s">
        <v>67</v>
      </c>
      <c r="G1208" s="8">
        <v>46026</v>
      </c>
      <c r="H1208" s="8">
        <v>46029</v>
      </c>
      <c r="I1208" t="s">
        <v>9290</v>
      </c>
      <c r="J1208" t="s">
        <v>2897</v>
      </c>
      <c r="K1208" t="s">
        <v>64</v>
      </c>
      <c r="L1208">
        <v>22912.02</v>
      </c>
      <c r="M1208">
        <v>410</v>
      </c>
      <c r="N1208" t="s">
        <v>43</v>
      </c>
      <c r="O1208" t="s">
        <v>27</v>
      </c>
    </row>
    <row r="1209" spans="1:15" x14ac:dyDescent="0.3">
      <c r="A1209" t="s">
        <v>2896</v>
      </c>
      <c r="B1209" t="s">
        <v>2895</v>
      </c>
      <c r="C1209" t="s">
        <v>40</v>
      </c>
      <c r="D1209">
        <v>83</v>
      </c>
      <c r="E1209" t="s">
        <v>132</v>
      </c>
      <c r="F1209" t="s">
        <v>85</v>
      </c>
      <c r="G1209" s="8">
        <v>46044</v>
      </c>
      <c r="H1209" s="8">
        <v>46056</v>
      </c>
      <c r="I1209" t="s">
        <v>9291</v>
      </c>
      <c r="J1209" t="s">
        <v>2893</v>
      </c>
      <c r="K1209" t="s">
        <v>27</v>
      </c>
      <c r="L1209">
        <v>24894.3</v>
      </c>
      <c r="M1209">
        <v>240</v>
      </c>
      <c r="N1209" t="s">
        <v>25</v>
      </c>
      <c r="O1209" t="s">
        <v>63</v>
      </c>
    </row>
    <row r="1210" spans="1:15" x14ac:dyDescent="0.3">
      <c r="A1210" t="s">
        <v>2892</v>
      </c>
      <c r="B1210" t="s">
        <v>2891</v>
      </c>
      <c r="C1210" t="s">
        <v>40</v>
      </c>
      <c r="D1210">
        <v>74</v>
      </c>
      <c r="E1210" t="s">
        <v>47</v>
      </c>
      <c r="F1210" t="s">
        <v>85</v>
      </c>
      <c r="G1210" s="8">
        <v>46054</v>
      </c>
      <c r="H1210" s="8">
        <v>46073</v>
      </c>
      <c r="I1210" t="s">
        <v>9292</v>
      </c>
      <c r="J1210" t="s">
        <v>2889</v>
      </c>
      <c r="K1210" t="s">
        <v>123</v>
      </c>
      <c r="L1210">
        <v>12359.45</v>
      </c>
      <c r="M1210">
        <v>483</v>
      </c>
      <c r="N1210" t="s">
        <v>50</v>
      </c>
      <c r="O1210" t="s">
        <v>123</v>
      </c>
    </row>
    <row r="1211" spans="1:15" x14ac:dyDescent="0.3">
      <c r="A1211" t="s">
        <v>2888</v>
      </c>
      <c r="B1211" t="s">
        <v>2887</v>
      </c>
      <c r="C1211" t="s">
        <v>74</v>
      </c>
      <c r="D1211">
        <v>5</v>
      </c>
      <c r="E1211" t="s">
        <v>31</v>
      </c>
      <c r="F1211" t="s">
        <v>46</v>
      </c>
      <c r="G1211" s="8">
        <v>46000</v>
      </c>
      <c r="H1211" s="8">
        <v>46019</v>
      </c>
      <c r="I1211" t="s">
        <v>9293</v>
      </c>
      <c r="J1211" t="s">
        <v>2885</v>
      </c>
      <c r="K1211" t="s">
        <v>27</v>
      </c>
      <c r="L1211">
        <v>17699.86</v>
      </c>
      <c r="M1211">
        <v>545</v>
      </c>
      <c r="N1211" t="s">
        <v>50</v>
      </c>
      <c r="O1211" t="s">
        <v>26</v>
      </c>
    </row>
    <row r="1212" spans="1:15" x14ac:dyDescent="0.3">
      <c r="A1212" t="s">
        <v>2884</v>
      </c>
      <c r="B1212" t="s">
        <v>2883</v>
      </c>
      <c r="C1212" t="s">
        <v>40</v>
      </c>
      <c r="D1212">
        <v>11</v>
      </c>
      <c r="E1212" t="s">
        <v>54</v>
      </c>
      <c r="F1212" t="s">
        <v>20</v>
      </c>
      <c r="G1212" s="8">
        <v>46109</v>
      </c>
      <c r="H1212" s="8">
        <v>46110</v>
      </c>
      <c r="I1212" t="s">
        <v>9294</v>
      </c>
      <c r="J1212" t="s">
        <v>2881</v>
      </c>
      <c r="K1212" t="s">
        <v>123</v>
      </c>
      <c r="L1212">
        <v>16009.46</v>
      </c>
      <c r="M1212">
        <v>260</v>
      </c>
      <c r="N1212" t="s">
        <v>77</v>
      </c>
      <c r="O1212" t="s">
        <v>27</v>
      </c>
    </row>
    <row r="1213" spans="1:15" x14ac:dyDescent="0.3">
      <c r="A1213" t="s">
        <v>2880</v>
      </c>
      <c r="B1213" t="s">
        <v>2879</v>
      </c>
      <c r="C1213" t="s">
        <v>40</v>
      </c>
      <c r="D1213">
        <v>25</v>
      </c>
      <c r="E1213" t="s">
        <v>47</v>
      </c>
      <c r="F1213" t="s">
        <v>67</v>
      </c>
      <c r="G1213" s="8">
        <v>46001</v>
      </c>
      <c r="H1213" s="8">
        <v>46027</v>
      </c>
      <c r="I1213" t="s">
        <v>9295</v>
      </c>
      <c r="J1213" t="s">
        <v>2877</v>
      </c>
      <c r="K1213" t="s">
        <v>64</v>
      </c>
      <c r="L1213">
        <v>22463.86</v>
      </c>
      <c r="M1213">
        <v>400</v>
      </c>
      <c r="N1213" t="s">
        <v>25</v>
      </c>
      <c r="O1213" t="s">
        <v>26</v>
      </c>
    </row>
    <row r="1214" spans="1:15" x14ac:dyDescent="0.3">
      <c r="A1214" t="s">
        <v>2876</v>
      </c>
      <c r="B1214" t="s">
        <v>2875</v>
      </c>
      <c r="C1214" t="s">
        <v>74</v>
      </c>
      <c r="D1214">
        <v>67</v>
      </c>
      <c r="E1214" t="s">
        <v>47</v>
      </c>
      <c r="F1214" t="s">
        <v>67</v>
      </c>
      <c r="G1214" s="8">
        <v>46008</v>
      </c>
      <c r="H1214" s="8">
        <v>46021</v>
      </c>
      <c r="I1214" t="s">
        <v>9296</v>
      </c>
      <c r="J1214" t="s">
        <v>2873</v>
      </c>
      <c r="K1214" t="s">
        <v>27</v>
      </c>
      <c r="L1214">
        <v>1810.88</v>
      </c>
      <c r="M1214">
        <v>473</v>
      </c>
      <c r="N1214" t="s">
        <v>43</v>
      </c>
      <c r="O1214" t="s">
        <v>26</v>
      </c>
    </row>
    <row r="1215" spans="1:15" x14ac:dyDescent="0.3">
      <c r="A1215" t="s">
        <v>2872</v>
      </c>
      <c r="B1215" t="s">
        <v>2871</v>
      </c>
      <c r="C1215" t="s">
        <v>74</v>
      </c>
      <c r="D1215">
        <v>23</v>
      </c>
      <c r="E1215" t="s">
        <v>68</v>
      </c>
      <c r="F1215" t="s">
        <v>46</v>
      </c>
      <c r="G1215" s="8">
        <v>46094</v>
      </c>
      <c r="H1215" s="8">
        <v>46102</v>
      </c>
      <c r="I1215" t="s">
        <v>9297</v>
      </c>
      <c r="J1215" t="s">
        <v>2869</v>
      </c>
      <c r="K1215" t="s">
        <v>64</v>
      </c>
      <c r="L1215">
        <v>17280.169999999998</v>
      </c>
      <c r="M1215">
        <v>188</v>
      </c>
      <c r="N1215" t="s">
        <v>25</v>
      </c>
      <c r="O1215" t="s">
        <v>123</v>
      </c>
    </row>
    <row r="1216" spans="1:15" x14ac:dyDescent="0.3">
      <c r="A1216" t="s">
        <v>2868</v>
      </c>
      <c r="B1216" t="s">
        <v>2867</v>
      </c>
      <c r="C1216" t="s">
        <v>40</v>
      </c>
      <c r="D1216">
        <v>40</v>
      </c>
      <c r="E1216" t="s">
        <v>132</v>
      </c>
      <c r="F1216" t="s">
        <v>67</v>
      </c>
      <c r="G1216" s="8">
        <v>46081</v>
      </c>
      <c r="H1216" s="8">
        <v>46084</v>
      </c>
      <c r="I1216" t="s">
        <v>9298</v>
      </c>
      <c r="J1216" t="s">
        <v>2865</v>
      </c>
      <c r="K1216" t="s">
        <v>64</v>
      </c>
      <c r="L1216">
        <v>11763.06</v>
      </c>
      <c r="M1216">
        <v>389</v>
      </c>
      <c r="N1216" t="s">
        <v>16</v>
      </c>
      <c r="O1216" t="s">
        <v>64</v>
      </c>
    </row>
    <row r="1217" spans="1:15" x14ac:dyDescent="0.3">
      <c r="A1217" t="s">
        <v>2864</v>
      </c>
      <c r="B1217" t="s">
        <v>8063</v>
      </c>
      <c r="C1217" t="s">
        <v>74</v>
      </c>
      <c r="D1217">
        <v>15</v>
      </c>
      <c r="E1217" t="s">
        <v>80</v>
      </c>
      <c r="F1217" t="s">
        <v>20</v>
      </c>
      <c r="G1217" s="8">
        <v>46046</v>
      </c>
      <c r="H1217" s="8">
        <v>46069</v>
      </c>
      <c r="I1217" t="s">
        <v>9299</v>
      </c>
      <c r="J1217" t="s">
        <v>2861</v>
      </c>
      <c r="K1217" t="s">
        <v>64</v>
      </c>
      <c r="L1217">
        <v>4804.34</v>
      </c>
      <c r="M1217">
        <v>492</v>
      </c>
      <c r="N1217" t="s">
        <v>71</v>
      </c>
      <c r="O1217" t="s">
        <v>27</v>
      </c>
    </row>
    <row r="1218" spans="1:15" x14ac:dyDescent="0.3">
      <c r="A1218" t="s">
        <v>2860</v>
      </c>
      <c r="B1218" t="s">
        <v>2859</v>
      </c>
      <c r="C1218" t="s">
        <v>40</v>
      </c>
      <c r="D1218">
        <v>28</v>
      </c>
      <c r="E1218" t="s">
        <v>31</v>
      </c>
      <c r="F1218" t="s">
        <v>85</v>
      </c>
      <c r="G1218" s="8">
        <v>46023</v>
      </c>
      <c r="H1218" s="8">
        <v>46025</v>
      </c>
      <c r="I1218" t="s">
        <v>9300</v>
      </c>
      <c r="J1218" t="s">
        <v>2857</v>
      </c>
      <c r="K1218" t="s">
        <v>64</v>
      </c>
      <c r="L1218">
        <v>7833</v>
      </c>
      <c r="M1218">
        <v>482</v>
      </c>
      <c r="N1218" t="s">
        <v>50</v>
      </c>
      <c r="O1218" t="s">
        <v>57</v>
      </c>
    </row>
    <row r="1219" spans="1:15" x14ac:dyDescent="0.3">
      <c r="A1219" t="s">
        <v>2856</v>
      </c>
      <c r="B1219" t="s">
        <v>2855</v>
      </c>
      <c r="C1219" t="s">
        <v>40</v>
      </c>
      <c r="D1219">
        <v>40</v>
      </c>
      <c r="E1219" t="s">
        <v>47</v>
      </c>
      <c r="F1219" t="s">
        <v>67</v>
      </c>
      <c r="G1219" s="8">
        <v>46035</v>
      </c>
      <c r="H1219" s="8">
        <v>46057</v>
      </c>
      <c r="I1219" t="s">
        <v>9301</v>
      </c>
      <c r="J1219" t="s">
        <v>2853</v>
      </c>
      <c r="K1219" t="s">
        <v>27</v>
      </c>
      <c r="L1219">
        <v>4614.5</v>
      </c>
      <c r="M1219">
        <v>389</v>
      </c>
      <c r="N1219" t="s">
        <v>43</v>
      </c>
      <c r="O1219" t="s">
        <v>26</v>
      </c>
    </row>
    <row r="1220" spans="1:15" x14ac:dyDescent="0.3">
      <c r="A1220" t="s">
        <v>2852</v>
      </c>
      <c r="B1220" t="s">
        <v>2851</v>
      </c>
      <c r="C1220" t="s">
        <v>123</v>
      </c>
      <c r="D1220">
        <v>29</v>
      </c>
      <c r="E1220" t="s">
        <v>21</v>
      </c>
      <c r="F1220" t="s">
        <v>30</v>
      </c>
      <c r="G1220" s="8">
        <v>46146</v>
      </c>
      <c r="H1220" s="8">
        <v>46174</v>
      </c>
      <c r="I1220" t="s">
        <v>9302</v>
      </c>
      <c r="J1220" t="s">
        <v>2849</v>
      </c>
      <c r="K1220" t="s">
        <v>64</v>
      </c>
      <c r="L1220">
        <v>4592.38</v>
      </c>
      <c r="M1220">
        <v>232</v>
      </c>
      <c r="N1220" t="s">
        <v>25</v>
      </c>
      <c r="O1220" t="s">
        <v>63</v>
      </c>
    </row>
    <row r="1221" spans="1:15" x14ac:dyDescent="0.3">
      <c r="A1221" t="s">
        <v>2848</v>
      </c>
      <c r="B1221" t="s">
        <v>2847</v>
      </c>
      <c r="C1221" t="s">
        <v>123</v>
      </c>
      <c r="D1221">
        <v>34</v>
      </c>
      <c r="E1221" t="s">
        <v>80</v>
      </c>
      <c r="F1221" t="s">
        <v>85</v>
      </c>
      <c r="G1221" s="8">
        <v>46012</v>
      </c>
      <c r="H1221" s="8">
        <v>46023</v>
      </c>
      <c r="I1221" t="s">
        <v>9303</v>
      </c>
      <c r="J1221" t="s">
        <v>2845</v>
      </c>
      <c r="K1221" t="s">
        <v>64</v>
      </c>
      <c r="L1221">
        <v>8851.7099999999991</v>
      </c>
      <c r="M1221">
        <v>524</v>
      </c>
      <c r="N1221" t="s">
        <v>25</v>
      </c>
      <c r="O1221" t="s">
        <v>123</v>
      </c>
    </row>
    <row r="1222" spans="1:15" x14ac:dyDescent="0.3">
      <c r="A1222" t="s">
        <v>2844</v>
      </c>
      <c r="B1222" t="s">
        <v>2843</v>
      </c>
      <c r="C1222" t="s">
        <v>40</v>
      </c>
      <c r="D1222">
        <v>5</v>
      </c>
      <c r="E1222" t="s">
        <v>54</v>
      </c>
      <c r="F1222" t="s">
        <v>20</v>
      </c>
      <c r="G1222" s="8">
        <v>45978</v>
      </c>
      <c r="H1222" s="8">
        <v>45995</v>
      </c>
      <c r="I1222" t="s">
        <v>9304</v>
      </c>
      <c r="J1222" t="s">
        <v>2841</v>
      </c>
      <c r="K1222" t="s">
        <v>64</v>
      </c>
      <c r="L1222">
        <v>24845.14</v>
      </c>
      <c r="M1222">
        <v>277</v>
      </c>
      <c r="N1222" t="s">
        <v>25</v>
      </c>
      <c r="O1222" t="s">
        <v>123</v>
      </c>
    </row>
    <row r="1223" spans="1:15" x14ac:dyDescent="0.3">
      <c r="A1223" t="s">
        <v>2840</v>
      </c>
      <c r="B1223" t="s">
        <v>2839</v>
      </c>
      <c r="C1223" t="s">
        <v>40</v>
      </c>
      <c r="D1223">
        <v>27</v>
      </c>
      <c r="E1223" t="s">
        <v>31</v>
      </c>
      <c r="F1223" t="s">
        <v>30</v>
      </c>
      <c r="G1223" s="8">
        <v>46086</v>
      </c>
      <c r="H1223" s="8">
        <v>46088</v>
      </c>
      <c r="I1223" t="s">
        <v>9305</v>
      </c>
      <c r="J1223" t="s">
        <v>2837</v>
      </c>
      <c r="K1223" t="s">
        <v>64</v>
      </c>
      <c r="L1223">
        <v>6603.7</v>
      </c>
      <c r="M1223">
        <v>233</v>
      </c>
      <c r="N1223" t="s">
        <v>77</v>
      </c>
      <c r="O1223" t="s">
        <v>123</v>
      </c>
    </row>
    <row r="1224" spans="1:15" x14ac:dyDescent="0.3">
      <c r="A1224" t="s">
        <v>2832</v>
      </c>
      <c r="B1224" t="s">
        <v>2831</v>
      </c>
      <c r="C1224" t="s">
        <v>40</v>
      </c>
      <c r="D1224">
        <v>42</v>
      </c>
      <c r="E1224" t="s">
        <v>80</v>
      </c>
      <c r="F1224" t="s">
        <v>67</v>
      </c>
      <c r="G1224" s="8">
        <v>46046</v>
      </c>
      <c r="H1224" s="8">
        <v>46073</v>
      </c>
      <c r="I1224" t="s">
        <v>9306</v>
      </c>
      <c r="J1224" t="s">
        <v>2829</v>
      </c>
      <c r="K1224" t="s">
        <v>27</v>
      </c>
      <c r="L1224">
        <v>4137.01</v>
      </c>
      <c r="M1224">
        <v>271</v>
      </c>
      <c r="N1224" t="s">
        <v>43</v>
      </c>
      <c r="O1224" t="s">
        <v>123</v>
      </c>
    </row>
    <row r="1225" spans="1:15" x14ac:dyDescent="0.3">
      <c r="A1225" t="s">
        <v>2828</v>
      </c>
      <c r="B1225" t="s">
        <v>2827</v>
      </c>
      <c r="C1225" t="s">
        <v>74</v>
      </c>
      <c r="D1225">
        <v>24</v>
      </c>
      <c r="E1225" t="s">
        <v>31</v>
      </c>
      <c r="F1225" t="s">
        <v>30</v>
      </c>
      <c r="G1225" s="8">
        <v>46030</v>
      </c>
      <c r="H1225" s="8">
        <v>46035</v>
      </c>
      <c r="I1225" t="s">
        <v>9307</v>
      </c>
      <c r="J1225" t="s">
        <v>2825</v>
      </c>
      <c r="K1225" t="s">
        <v>123</v>
      </c>
      <c r="L1225">
        <v>13760.1</v>
      </c>
      <c r="M1225">
        <v>324</v>
      </c>
      <c r="N1225" t="s">
        <v>50</v>
      </c>
      <c r="O1225" t="s">
        <v>27</v>
      </c>
    </row>
    <row r="1226" spans="1:15" x14ac:dyDescent="0.3">
      <c r="A1226" t="s">
        <v>2824</v>
      </c>
      <c r="B1226" t="s">
        <v>2823</v>
      </c>
      <c r="C1226" t="s">
        <v>123</v>
      </c>
      <c r="D1226">
        <v>76</v>
      </c>
      <c r="E1226" t="s">
        <v>54</v>
      </c>
      <c r="F1226" t="s">
        <v>67</v>
      </c>
      <c r="G1226" s="8">
        <v>46116</v>
      </c>
      <c r="H1226" s="8">
        <v>46131</v>
      </c>
      <c r="I1226" t="s">
        <v>9308</v>
      </c>
      <c r="J1226" t="s">
        <v>2821</v>
      </c>
      <c r="K1226" t="s">
        <v>64</v>
      </c>
      <c r="L1226">
        <v>6463.85</v>
      </c>
      <c r="M1226">
        <v>407</v>
      </c>
      <c r="N1226" t="s">
        <v>43</v>
      </c>
      <c r="O1226" t="s">
        <v>17</v>
      </c>
    </row>
    <row r="1227" spans="1:15" x14ac:dyDescent="0.3">
      <c r="A1227" t="s">
        <v>2820</v>
      </c>
      <c r="B1227" t="s">
        <v>2819</v>
      </c>
      <c r="C1227" t="s">
        <v>123</v>
      </c>
      <c r="D1227">
        <v>87</v>
      </c>
      <c r="E1227" t="s">
        <v>54</v>
      </c>
      <c r="F1227" t="s">
        <v>30</v>
      </c>
      <c r="G1227" s="8">
        <v>46090</v>
      </c>
      <c r="H1227" s="8">
        <v>46091</v>
      </c>
      <c r="I1227" t="s">
        <v>9309</v>
      </c>
      <c r="J1227" t="s">
        <v>2817</v>
      </c>
      <c r="K1227" t="s">
        <v>64</v>
      </c>
      <c r="L1227">
        <v>19126.689999999999</v>
      </c>
      <c r="M1227">
        <v>315</v>
      </c>
      <c r="N1227" t="s">
        <v>16</v>
      </c>
      <c r="O1227" t="s">
        <v>64</v>
      </c>
    </row>
    <row r="1228" spans="1:15" x14ac:dyDescent="0.3">
      <c r="A1228" t="s">
        <v>2816</v>
      </c>
      <c r="B1228" t="s">
        <v>2815</v>
      </c>
      <c r="C1228" t="s">
        <v>40</v>
      </c>
      <c r="D1228">
        <v>74</v>
      </c>
      <c r="E1228" t="s">
        <v>54</v>
      </c>
      <c r="F1228" t="s">
        <v>46</v>
      </c>
      <c r="G1228" s="8">
        <v>46119</v>
      </c>
      <c r="H1228" s="8">
        <v>46124</v>
      </c>
      <c r="I1228" t="s">
        <v>8230</v>
      </c>
      <c r="J1228" t="s">
        <v>2814</v>
      </c>
      <c r="K1228" t="s">
        <v>27</v>
      </c>
      <c r="L1228">
        <v>23074.37</v>
      </c>
      <c r="M1228">
        <v>390</v>
      </c>
      <c r="N1228" t="s">
        <v>50</v>
      </c>
      <c r="O1228" t="s">
        <v>57</v>
      </c>
    </row>
    <row r="1229" spans="1:15" x14ac:dyDescent="0.3">
      <c r="A1229" t="s">
        <v>2813</v>
      </c>
      <c r="B1229" t="s">
        <v>2812</v>
      </c>
      <c r="C1229" t="s">
        <v>40</v>
      </c>
      <c r="D1229">
        <v>17</v>
      </c>
      <c r="E1229" t="s">
        <v>31</v>
      </c>
      <c r="F1229" t="s">
        <v>46</v>
      </c>
      <c r="G1229" s="8">
        <v>46133</v>
      </c>
      <c r="H1229" s="8">
        <v>46135</v>
      </c>
      <c r="I1229" t="s">
        <v>9310</v>
      </c>
      <c r="J1229" t="s">
        <v>2810</v>
      </c>
      <c r="K1229" t="s">
        <v>27</v>
      </c>
      <c r="L1229">
        <v>19863.009999999998</v>
      </c>
      <c r="M1229">
        <v>510</v>
      </c>
      <c r="N1229" t="s">
        <v>43</v>
      </c>
      <c r="O1229" t="s">
        <v>26</v>
      </c>
    </row>
    <row r="1230" spans="1:15" x14ac:dyDescent="0.3">
      <c r="A1230" t="s">
        <v>2805</v>
      </c>
      <c r="B1230" t="s">
        <v>2804</v>
      </c>
      <c r="C1230" t="s">
        <v>74</v>
      </c>
      <c r="D1230">
        <v>24</v>
      </c>
      <c r="E1230" t="s">
        <v>21</v>
      </c>
      <c r="F1230" t="s">
        <v>8077</v>
      </c>
      <c r="G1230" s="8">
        <v>46120</v>
      </c>
      <c r="H1230" s="8">
        <v>46133</v>
      </c>
      <c r="I1230" t="s">
        <v>9311</v>
      </c>
      <c r="J1230" t="s">
        <v>2802</v>
      </c>
      <c r="K1230" t="s">
        <v>64</v>
      </c>
      <c r="L1230">
        <v>18158.53</v>
      </c>
      <c r="M1230">
        <v>450</v>
      </c>
      <c r="N1230" t="s">
        <v>34</v>
      </c>
      <c r="O1230" t="s">
        <v>26</v>
      </c>
    </row>
    <row r="1231" spans="1:15" x14ac:dyDescent="0.3">
      <c r="A1231" t="s">
        <v>2801</v>
      </c>
      <c r="B1231" t="s">
        <v>2800</v>
      </c>
      <c r="C1231" t="s">
        <v>74</v>
      </c>
      <c r="D1231">
        <v>1</v>
      </c>
      <c r="E1231" t="s">
        <v>68</v>
      </c>
      <c r="F1231" t="s">
        <v>20</v>
      </c>
      <c r="G1231" s="8">
        <v>45987</v>
      </c>
      <c r="H1231" s="8">
        <v>45998</v>
      </c>
      <c r="I1231" t="s">
        <v>9312</v>
      </c>
      <c r="J1231" t="s">
        <v>2798</v>
      </c>
      <c r="K1231" t="s">
        <v>64</v>
      </c>
      <c r="L1231">
        <v>11875.86</v>
      </c>
      <c r="M1231">
        <v>457</v>
      </c>
      <c r="N1231" t="s">
        <v>71</v>
      </c>
      <c r="O1231" t="s">
        <v>123</v>
      </c>
    </row>
    <row r="1232" spans="1:15" x14ac:dyDescent="0.3">
      <c r="A1232" t="s">
        <v>2797</v>
      </c>
      <c r="B1232" t="s">
        <v>2796</v>
      </c>
      <c r="C1232" t="s">
        <v>123</v>
      </c>
      <c r="D1232">
        <v>86</v>
      </c>
      <c r="E1232" t="s">
        <v>54</v>
      </c>
      <c r="F1232" t="s">
        <v>85</v>
      </c>
      <c r="G1232" s="8">
        <v>46139</v>
      </c>
      <c r="H1232" s="8">
        <v>46161</v>
      </c>
      <c r="I1232" t="s">
        <v>9313</v>
      </c>
      <c r="J1232" t="s">
        <v>2794</v>
      </c>
      <c r="K1232" t="s">
        <v>64</v>
      </c>
      <c r="L1232">
        <v>19123.79</v>
      </c>
      <c r="M1232">
        <v>298</v>
      </c>
      <c r="N1232" t="s">
        <v>71</v>
      </c>
      <c r="O1232" t="s">
        <v>64</v>
      </c>
    </row>
    <row r="1233" spans="1:15" x14ac:dyDescent="0.3">
      <c r="A1233" t="s">
        <v>2793</v>
      </c>
      <c r="B1233" t="s">
        <v>2792</v>
      </c>
      <c r="C1233" t="s">
        <v>74</v>
      </c>
      <c r="D1233">
        <v>18</v>
      </c>
      <c r="E1233" t="s">
        <v>54</v>
      </c>
      <c r="F1233" t="s">
        <v>67</v>
      </c>
      <c r="G1233" s="8">
        <v>46139</v>
      </c>
      <c r="H1233" s="8">
        <v>46167</v>
      </c>
      <c r="I1233" t="s">
        <v>9314</v>
      </c>
      <c r="J1233" t="s">
        <v>2790</v>
      </c>
      <c r="K1233" t="s">
        <v>27</v>
      </c>
      <c r="L1233">
        <v>20530.82</v>
      </c>
      <c r="M1233">
        <v>405</v>
      </c>
      <c r="N1233" t="s">
        <v>16</v>
      </c>
      <c r="O1233" t="s">
        <v>123</v>
      </c>
    </row>
    <row r="1234" spans="1:15" x14ac:dyDescent="0.3">
      <c r="A1234" t="s">
        <v>2789</v>
      </c>
      <c r="B1234" t="s">
        <v>2788</v>
      </c>
      <c r="C1234" t="s">
        <v>74</v>
      </c>
      <c r="D1234">
        <v>45</v>
      </c>
      <c r="E1234" t="s">
        <v>68</v>
      </c>
      <c r="F1234" t="s">
        <v>46</v>
      </c>
      <c r="G1234" s="8">
        <v>46087</v>
      </c>
      <c r="H1234" s="8">
        <v>46094</v>
      </c>
      <c r="I1234" t="s">
        <v>9315</v>
      </c>
      <c r="J1234" t="s">
        <v>2786</v>
      </c>
      <c r="K1234" t="s">
        <v>27</v>
      </c>
      <c r="L1234">
        <v>19242.53</v>
      </c>
      <c r="M1234">
        <v>285</v>
      </c>
      <c r="N1234" t="s">
        <v>43</v>
      </c>
      <c r="O1234" t="s">
        <v>17</v>
      </c>
    </row>
    <row r="1235" spans="1:15" x14ac:dyDescent="0.3">
      <c r="A1235" t="s">
        <v>2785</v>
      </c>
      <c r="B1235" t="s">
        <v>2784</v>
      </c>
      <c r="C1235" t="s">
        <v>40</v>
      </c>
      <c r="D1235">
        <v>79</v>
      </c>
      <c r="E1235" t="s">
        <v>54</v>
      </c>
      <c r="F1235" t="s">
        <v>20</v>
      </c>
      <c r="G1235" s="8">
        <v>45990</v>
      </c>
      <c r="H1235" s="8">
        <v>46010</v>
      </c>
      <c r="I1235" t="s">
        <v>9316</v>
      </c>
      <c r="J1235" t="s">
        <v>2782</v>
      </c>
      <c r="K1235" t="s">
        <v>64</v>
      </c>
      <c r="L1235">
        <v>3624.38</v>
      </c>
      <c r="M1235">
        <v>122</v>
      </c>
      <c r="N1235" t="s">
        <v>71</v>
      </c>
      <c r="O1235" t="s">
        <v>57</v>
      </c>
    </row>
    <row r="1236" spans="1:15" x14ac:dyDescent="0.3">
      <c r="A1236" t="s">
        <v>2781</v>
      </c>
      <c r="B1236" t="s">
        <v>2780</v>
      </c>
      <c r="C1236" t="s">
        <v>40</v>
      </c>
      <c r="D1236">
        <v>56</v>
      </c>
      <c r="E1236" t="s">
        <v>80</v>
      </c>
      <c r="F1236" t="s">
        <v>67</v>
      </c>
      <c r="G1236" s="8">
        <v>46092</v>
      </c>
      <c r="H1236" s="8">
        <v>46104</v>
      </c>
      <c r="I1236" t="s">
        <v>9317</v>
      </c>
      <c r="J1236" t="s">
        <v>2778</v>
      </c>
      <c r="K1236" t="s">
        <v>27</v>
      </c>
      <c r="L1236">
        <v>10757.64</v>
      </c>
      <c r="M1236">
        <v>259</v>
      </c>
      <c r="N1236" t="s">
        <v>16</v>
      </c>
      <c r="O1236" t="s">
        <v>63</v>
      </c>
    </row>
    <row r="1237" spans="1:15" x14ac:dyDescent="0.3">
      <c r="A1237" t="s">
        <v>2777</v>
      </c>
      <c r="B1237" t="s">
        <v>2776</v>
      </c>
      <c r="C1237" t="s">
        <v>123</v>
      </c>
      <c r="D1237">
        <v>5</v>
      </c>
      <c r="E1237" t="s">
        <v>132</v>
      </c>
      <c r="F1237" t="s">
        <v>67</v>
      </c>
      <c r="G1237" s="8">
        <v>46021</v>
      </c>
      <c r="H1237" s="8">
        <v>46026</v>
      </c>
      <c r="I1237" t="s">
        <v>9318</v>
      </c>
      <c r="J1237" t="s">
        <v>2774</v>
      </c>
      <c r="K1237" t="s">
        <v>27</v>
      </c>
      <c r="L1237">
        <v>10075.76</v>
      </c>
      <c r="M1237">
        <v>338</v>
      </c>
      <c r="N1237" t="s">
        <v>50</v>
      </c>
      <c r="O1237" t="s">
        <v>64</v>
      </c>
    </row>
    <row r="1238" spans="1:15" x14ac:dyDescent="0.3">
      <c r="A1238" t="s">
        <v>2773</v>
      </c>
      <c r="B1238" t="s">
        <v>2772</v>
      </c>
      <c r="C1238" t="s">
        <v>74</v>
      </c>
      <c r="D1238">
        <v>45</v>
      </c>
      <c r="E1238" t="s">
        <v>80</v>
      </c>
      <c r="F1238" t="s">
        <v>67</v>
      </c>
      <c r="G1238" s="8">
        <v>46080</v>
      </c>
      <c r="H1238" s="8">
        <v>46105</v>
      </c>
      <c r="I1238" t="s">
        <v>9319</v>
      </c>
      <c r="J1238" t="s">
        <v>2770</v>
      </c>
      <c r="K1238" t="s">
        <v>27</v>
      </c>
      <c r="L1238">
        <v>4189.92</v>
      </c>
      <c r="M1238">
        <v>394</v>
      </c>
      <c r="N1238" t="s">
        <v>34</v>
      </c>
      <c r="O1238" t="s">
        <v>26</v>
      </c>
    </row>
    <row r="1239" spans="1:15" x14ac:dyDescent="0.3">
      <c r="A1239" t="s">
        <v>2769</v>
      </c>
      <c r="B1239" t="s">
        <v>2768</v>
      </c>
      <c r="C1239" t="s">
        <v>123</v>
      </c>
      <c r="D1239">
        <v>88</v>
      </c>
      <c r="E1239" t="s">
        <v>68</v>
      </c>
      <c r="F1239" t="s">
        <v>46</v>
      </c>
      <c r="G1239" s="8">
        <v>46019</v>
      </c>
      <c r="H1239" s="8">
        <v>46034</v>
      </c>
      <c r="I1239" t="s">
        <v>9320</v>
      </c>
      <c r="J1239" t="s">
        <v>2766</v>
      </c>
      <c r="K1239" t="s">
        <v>123</v>
      </c>
      <c r="L1239">
        <v>10676.94</v>
      </c>
      <c r="M1239">
        <v>255</v>
      </c>
      <c r="N1239" t="s">
        <v>16</v>
      </c>
      <c r="O1239" t="s">
        <v>27</v>
      </c>
    </row>
    <row r="1240" spans="1:15" x14ac:dyDescent="0.3">
      <c r="A1240" t="s">
        <v>2765</v>
      </c>
      <c r="B1240" t="s">
        <v>2764</v>
      </c>
      <c r="C1240" t="s">
        <v>40</v>
      </c>
      <c r="D1240">
        <v>82</v>
      </c>
      <c r="E1240" t="s">
        <v>80</v>
      </c>
      <c r="F1240" t="s">
        <v>85</v>
      </c>
      <c r="G1240" s="8">
        <v>46132</v>
      </c>
      <c r="H1240" s="8">
        <v>46148</v>
      </c>
      <c r="I1240" t="s">
        <v>9321</v>
      </c>
      <c r="J1240" t="s">
        <v>2762</v>
      </c>
      <c r="K1240" t="s">
        <v>64</v>
      </c>
      <c r="L1240">
        <v>19568.89</v>
      </c>
      <c r="M1240">
        <v>532</v>
      </c>
      <c r="N1240" t="s">
        <v>34</v>
      </c>
      <c r="O1240" t="s">
        <v>17</v>
      </c>
    </row>
    <row r="1241" spans="1:15" x14ac:dyDescent="0.3">
      <c r="A1241" t="s">
        <v>2761</v>
      </c>
      <c r="B1241" t="s">
        <v>2760</v>
      </c>
      <c r="C1241" t="s">
        <v>74</v>
      </c>
      <c r="D1241">
        <v>15</v>
      </c>
      <c r="E1241" t="s">
        <v>39</v>
      </c>
      <c r="F1241" t="s">
        <v>67</v>
      </c>
      <c r="G1241" s="8">
        <v>46127</v>
      </c>
      <c r="H1241" s="8">
        <v>46144</v>
      </c>
      <c r="I1241" t="s">
        <v>9322</v>
      </c>
      <c r="J1241" t="s">
        <v>2758</v>
      </c>
      <c r="K1241" t="s">
        <v>123</v>
      </c>
      <c r="L1241">
        <v>21783.79</v>
      </c>
      <c r="M1241">
        <v>176</v>
      </c>
      <c r="N1241" t="s">
        <v>77</v>
      </c>
      <c r="O1241" t="s">
        <v>64</v>
      </c>
    </row>
    <row r="1242" spans="1:15" x14ac:dyDescent="0.3">
      <c r="A1242" t="s">
        <v>2757</v>
      </c>
      <c r="B1242" t="s">
        <v>2756</v>
      </c>
      <c r="C1242" t="s">
        <v>74</v>
      </c>
      <c r="D1242">
        <v>76</v>
      </c>
      <c r="E1242" t="s">
        <v>850</v>
      </c>
      <c r="F1242" t="s">
        <v>8077</v>
      </c>
      <c r="G1242" s="8">
        <v>46014</v>
      </c>
      <c r="H1242" s="8">
        <v>46030</v>
      </c>
      <c r="I1242" t="s">
        <v>9323</v>
      </c>
      <c r="J1242" t="s">
        <v>2754</v>
      </c>
      <c r="K1242" t="s">
        <v>123</v>
      </c>
      <c r="L1242">
        <v>10985.22</v>
      </c>
      <c r="M1242">
        <v>244</v>
      </c>
      <c r="N1242" t="s">
        <v>77</v>
      </c>
      <c r="O1242" t="s">
        <v>123</v>
      </c>
    </row>
    <row r="1243" spans="1:15" x14ac:dyDescent="0.3">
      <c r="A1243" t="s">
        <v>2753</v>
      </c>
      <c r="B1243" t="s">
        <v>2752</v>
      </c>
      <c r="C1243" t="s">
        <v>74</v>
      </c>
      <c r="D1243">
        <v>63</v>
      </c>
      <c r="E1243" t="s">
        <v>68</v>
      </c>
      <c r="F1243" t="s">
        <v>67</v>
      </c>
      <c r="G1243" s="8">
        <v>46148</v>
      </c>
      <c r="H1243" s="8">
        <v>46149</v>
      </c>
      <c r="I1243" t="s">
        <v>9324</v>
      </c>
      <c r="J1243" t="s">
        <v>2750</v>
      </c>
      <c r="K1243" t="s">
        <v>64</v>
      </c>
      <c r="L1243">
        <v>6457.7</v>
      </c>
      <c r="M1243">
        <v>445</v>
      </c>
      <c r="N1243" t="s">
        <v>43</v>
      </c>
      <c r="O1243" t="s">
        <v>17</v>
      </c>
    </row>
    <row r="1244" spans="1:15" x14ac:dyDescent="0.3">
      <c r="A1244" t="s">
        <v>2749</v>
      </c>
      <c r="B1244" t="s">
        <v>2748</v>
      </c>
      <c r="C1244" t="s">
        <v>40</v>
      </c>
      <c r="D1244">
        <v>70</v>
      </c>
      <c r="E1244" t="s">
        <v>132</v>
      </c>
      <c r="F1244" t="s">
        <v>20</v>
      </c>
      <c r="G1244" s="8">
        <v>46024</v>
      </c>
      <c r="H1244" s="8">
        <v>46033</v>
      </c>
      <c r="I1244" t="s">
        <v>9325</v>
      </c>
      <c r="J1244" t="s">
        <v>2746</v>
      </c>
      <c r="K1244" t="s">
        <v>64</v>
      </c>
      <c r="L1244">
        <v>10543.09</v>
      </c>
      <c r="M1244">
        <v>266</v>
      </c>
      <c r="N1244" t="s">
        <v>43</v>
      </c>
      <c r="O1244" t="s">
        <v>123</v>
      </c>
    </row>
    <row r="1245" spans="1:15" x14ac:dyDescent="0.3">
      <c r="A1245" t="s">
        <v>2745</v>
      </c>
      <c r="B1245" t="s">
        <v>2744</v>
      </c>
      <c r="C1245" t="s">
        <v>40</v>
      </c>
      <c r="D1245">
        <v>77</v>
      </c>
      <c r="E1245" t="s">
        <v>80</v>
      </c>
      <c r="F1245" t="s">
        <v>67</v>
      </c>
      <c r="G1245" s="8">
        <v>46051</v>
      </c>
      <c r="H1245" s="8">
        <v>46074</v>
      </c>
      <c r="I1245" t="s">
        <v>9326</v>
      </c>
      <c r="J1245" t="s">
        <v>2742</v>
      </c>
      <c r="K1245" t="s">
        <v>27</v>
      </c>
      <c r="L1245">
        <v>13375.46</v>
      </c>
      <c r="M1245">
        <v>227</v>
      </c>
      <c r="N1245" t="s">
        <v>71</v>
      </c>
      <c r="O1245" t="s">
        <v>123</v>
      </c>
    </row>
    <row r="1246" spans="1:15" x14ac:dyDescent="0.3">
      <c r="A1246" t="s">
        <v>2741</v>
      </c>
      <c r="B1246" t="s">
        <v>2740</v>
      </c>
      <c r="C1246" t="s">
        <v>74</v>
      </c>
      <c r="D1246">
        <v>69</v>
      </c>
      <c r="E1246" t="s">
        <v>80</v>
      </c>
      <c r="F1246" t="s">
        <v>20</v>
      </c>
      <c r="G1246" s="8">
        <v>46130</v>
      </c>
      <c r="H1246" s="8">
        <v>46153</v>
      </c>
      <c r="I1246" t="s">
        <v>9327</v>
      </c>
      <c r="J1246" t="s">
        <v>2738</v>
      </c>
      <c r="K1246" t="s">
        <v>27</v>
      </c>
      <c r="L1246">
        <v>15896.42</v>
      </c>
      <c r="M1246">
        <v>240</v>
      </c>
      <c r="N1246" t="s">
        <v>43</v>
      </c>
      <c r="O1246" t="s">
        <v>123</v>
      </c>
    </row>
    <row r="1247" spans="1:15" x14ac:dyDescent="0.3">
      <c r="A1247" t="s">
        <v>2737</v>
      </c>
      <c r="B1247" t="s">
        <v>2736</v>
      </c>
      <c r="C1247" t="s">
        <v>123</v>
      </c>
      <c r="D1247">
        <v>89</v>
      </c>
      <c r="E1247" t="s">
        <v>21</v>
      </c>
      <c r="F1247" t="s">
        <v>85</v>
      </c>
      <c r="G1247" s="8">
        <v>46033</v>
      </c>
      <c r="H1247" s="8">
        <v>46034</v>
      </c>
      <c r="I1247" t="s">
        <v>9328</v>
      </c>
      <c r="J1247" t="s">
        <v>2734</v>
      </c>
      <c r="K1247" t="s">
        <v>64</v>
      </c>
      <c r="L1247">
        <v>8299.39</v>
      </c>
      <c r="M1247">
        <v>175</v>
      </c>
      <c r="N1247" t="s">
        <v>34</v>
      </c>
      <c r="O1247" t="s">
        <v>27</v>
      </c>
    </row>
    <row r="1248" spans="1:15" x14ac:dyDescent="0.3">
      <c r="A1248" t="s">
        <v>2733</v>
      </c>
      <c r="B1248" t="s">
        <v>2732</v>
      </c>
      <c r="C1248" t="s">
        <v>74</v>
      </c>
      <c r="D1248">
        <v>49</v>
      </c>
      <c r="E1248" t="s">
        <v>80</v>
      </c>
      <c r="F1248" t="s">
        <v>67</v>
      </c>
      <c r="G1248" s="8">
        <v>46085</v>
      </c>
      <c r="H1248" s="8">
        <v>46114</v>
      </c>
      <c r="I1248" t="s">
        <v>9329</v>
      </c>
      <c r="J1248" t="s">
        <v>2730</v>
      </c>
      <c r="K1248" t="s">
        <v>27</v>
      </c>
      <c r="L1248">
        <v>10678.74</v>
      </c>
      <c r="M1248">
        <v>194</v>
      </c>
      <c r="N1248" t="s">
        <v>25</v>
      </c>
      <c r="O1248" t="s">
        <v>27</v>
      </c>
    </row>
    <row r="1249" spans="1:15" x14ac:dyDescent="0.3">
      <c r="A1249" t="s">
        <v>2729</v>
      </c>
      <c r="B1249" t="s">
        <v>2728</v>
      </c>
      <c r="C1249" t="s">
        <v>40</v>
      </c>
      <c r="D1249">
        <v>84</v>
      </c>
      <c r="E1249" t="s">
        <v>80</v>
      </c>
      <c r="F1249" t="s">
        <v>67</v>
      </c>
      <c r="G1249" s="8">
        <v>46037</v>
      </c>
      <c r="H1249" s="8">
        <v>46067</v>
      </c>
      <c r="I1249" t="s">
        <v>9330</v>
      </c>
      <c r="J1249" t="s">
        <v>2726</v>
      </c>
      <c r="K1249" t="s">
        <v>64</v>
      </c>
      <c r="L1249">
        <v>19882.39</v>
      </c>
      <c r="M1249">
        <v>255</v>
      </c>
      <c r="N1249" t="s">
        <v>34</v>
      </c>
      <c r="O1249" t="s">
        <v>63</v>
      </c>
    </row>
    <row r="1250" spans="1:15" x14ac:dyDescent="0.3">
      <c r="A1250" t="s">
        <v>2725</v>
      </c>
      <c r="B1250" t="s">
        <v>2724</v>
      </c>
      <c r="C1250" t="s">
        <v>74</v>
      </c>
      <c r="D1250">
        <v>89</v>
      </c>
      <c r="E1250" t="s">
        <v>47</v>
      </c>
      <c r="F1250" t="s">
        <v>67</v>
      </c>
      <c r="G1250" s="8">
        <v>45998</v>
      </c>
      <c r="H1250" s="8">
        <v>46016</v>
      </c>
      <c r="I1250" t="s">
        <v>9331</v>
      </c>
      <c r="J1250" t="s">
        <v>2722</v>
      </c>
      <c r="K1250" t="s">
        <v>123</v>
      </c>
      <c r="L1250">
        <v>5537.19</v>
      </c>
      <c r="M1250">
        <v>240</v>
      </c>
      <c r="N1250" t="s">
        <v>25</v>
      </c>
      <c r="O1250" t="s">
        <v>123</v>
      </c>
    </row>
    <row r="1251" spans="1:15" x14ac:dyDescent="0.3">
      <c r="A1251" t="s">
        <v>2721</v>
      </c>
      <c r="B1251" t="s">
        <v>2720</v>
      </c>
      <c r="C1251" t="s">
        <v>40</v>
      </c>
      <c r="D1251">
        <v>36</v>
      </c>
      <c r="E1251" t="s">
        <v>47</v>
      </c>
      <c r="F1251" t="s">
        <v>67</v>
      </c>
      <c r="G1251" s="8">
        <v>46000</v>
      </c>
      <c r="H1251" s="8">
        <v>46029</v>
      </c>
      <c r="I1251" t="s">
        <v>9332</v>
      </c>
      <c r="J1251" t="s">
        <v>2718</v>
      </c>
      <c r="K1251" t="s">
        <v>27</v>
      </c>
      <c r="L1251">
        <v>17019.560000000001</v>
      </c>
      <c r="M1251">
        <v>102</v>
      </c>
      <c r="N1251" t="s">
        <v>16</v>
      </c>
      <c r="O1251" t="s">
        <v>63</v>
      </c>
    </row>
    <row r="1252" spans="1:15" x14ac:dyDescent="0.3">
      <c r="A1252" t="s">
        <v>2717</v>
      </c>
      <c r="B1252" t="s">
        <v>2716</v>
      </c>
      <c r="C1252" t="s">
        <v>74</v>
      </c>
      <c r="D1252">
        <v>3</v>
      </c>
      <c r="E1252" t="s">
        <v>54</v>
      </c>
      <c r="F1252" t="s">
        <v>20</v>
      </c>
      <c r="G1252" s="8">
        <v>46021</v>
      </c>
      <c r="H1252" s="8">
        <v>46029</v>
      </c>
      <c r="I1252" t="s">
        <v>9333</v>
      </c>
      <c r="J1252" t="s">
        <v>2714</v>
      </c>
      <c r="K1252" t="s">
        <v>27</v>
      </c>
      <c r="L1252">
        <v>11668.54</v>
      </c>
      <c r="M1252">
        <v>149</v>
      </c>
      <c r="N1252" t="s">
        <v>71</v>
      </c>
      <c r="O1252" t="s">
        <v>17</v>
      </c>
    </row>
    <row r="1253" spans="1:15" x14ac:dyDescent="0.3">
      <c r="A1253" t="s">
        <v>2713</v>
      </c>
      <c r="B1253" t="s">
        <v>2712</v>
      </c>
      <c r="C1253" t="s">
        <v>74</v>
      </c>
      <c r="D1253">
        <v>3</v>
      </c>
      <c r="E1253" t="s">
        <v>31</v>
      </c>
      <c r="F1253" t="s">
        <v>8077</v>
      </c>
      <c r="G1253" s="8">
        <v>46143</v>
      </c>
      <c r="H1253" s="8">
        <v>46145</v>
      </c>
      <c r="I1253" t="s">
        <v>9334</v>
      </c>
      <c r="J1253" t="s">
        <v>2710</v>
      </c>
      <c r="K1253" t="s">
        <v>27</v>
      </c>
      <c r="L1253">
        <v>18258.47</v>
      </c>
      <c r="M1253">
        <v>401</v>
      </c>
      <c r="N1253" t="s">
        <v>16</v>
      </c>
      <c r="O1253" t="s">
        <v>123</v>
      </c>
    </row>
    <row r="1254" spans="1:15" x14ac:dyDescent="0.3">
      <c r="A1254" t="s">
        <v>2709</v>
      </c>
      <c r="B1254" t="s">
        <v>2708</v>
      </c>
      <c r="C1254" t="s">
        <v>74</v>
      </c>
      <c r="D1254">
        <v>70</v>
      </c>
      <c r="E1254" t="s">
        <v>54</v>
      </c>
      <c r="F1254" t="s">
        <v>85</v>
      </c>
      <c r="G1254" s="8">
        <v>46015</v>
      </c>
      <c r="H1254" s="8">
        <v>46044</v>
      </c>
      <c r="I1254" t="s">
        <v>9335</v>
      </c>
      <c r="J1254" t="s">
        <v>2706</v>
      </c>
      <c r="K1254" t="s">
        <v>27</v>
      </c>
      <c r="L1254">
        <v>8705.18</v>
      </c>
      <c r="M1254">
        <v>277</v>
      </c>
      <c r="N1254" t="s">
        <v>50</v>
      </c>
      <c r="O1254" t="s">
        <v>17</v>
      </c>
    </row>
    <row r="1255" spans="1:15" x14ac:dyDescent="0.3">
      <c r="A1255" t="s">
        <v>2705</v>
      </c>
      <c r="B1255" t="s">
        <v>2704</v>
      </c>
      <c r="C1255" t="s">
        <v>123</v>
      </c>
      <c r="D1255">
        <v>20</v>
      </c>
      <c r="E1255" t="s">
        <v>68</v>
      </c>
      <c r="F1255" t="s">
        <v>85</v>
      </c>
      <c r="G1255" s="8">
        <v>46068</v>
      </c>
      <c r="H1255" s="8">
        <v>46074</v>
      </c>
      <c r="I1255" t="s">
        <v>9336</v>
      </c>
      <c r="J1255" t="s">
        <v>2702</v>
      </c>
      <c r="K1255" t="s">
        <v>27</v>
      </c>
      <c r="L1255">
        <v>16890.05</v>
      </c>
      <c r="M1255">
        <v>306</v>
      </c>
      <c r="N1255" t="s">
        <v>77</v>
      </c>
      <c r="O1255" t="s">
        <v>63</v>
      </c>
    </row>
    <row r="1256" spans="1:15" x14ac:dyDescent="0.3">
      <c r="A1256" t="s">
        <v>2701</v>
      </c>
      <c r="B1256" t="s">
        <v>2700</v>
      </c>
      <c r="C1256" t="s">
        <v>74</v>
      </c>
      <c r="D1256">
        <v>81</v>
      </c>
      <c r="E1256" t="s">
        <v>68</v>
      </c>
      <c r="F1256" t="s">
        <v>67</v>
      </c>
      <c r="G1256" s="8">
        <v>46022</v>
      </c>
      <c r="H1256" s="8">
        <v>46024</v>
      </c>
      <c r="I1256" t="s">
        <v>9337</v>
      </c>
      <c r="J1256" t="s">
        <v>2698</v>
      </c>
      <c r="K1256" t="s">
        <v>64</v>
      </c>
      <c r="L1256">
        <v>18750.669999999998</v>
      </c>
      <c r="M1256">
        <v>255</v>
      </c>
      <c r="N1256" t="s">
        <v>43</v>
      </c>
      <c r="O1256" t="s">
        <v>17</v>
      </c>
    </row>
    <row r="1257" spans="1:15" x14ac:dyDescent="0.3">
      <c r="A1257" t="s">
        <v>2697</v>
      </c>
      <c r="B1257" t="s">
        <v>2696</v>
      </c>
      <c r="C1257" t="s">
        <v>74</v>
      </c>
      <c r="D1257">
        <v>58</v>
      </c>
      <c r="E1257" t="s">
        <v>68</v>
      </c>
      <c r="F1257" t="s">
        <v>46</v>
      </c>
      <c r="G1257" s="8">
        <v>46083</v>
      </c>
      <c r="H1257" s="8">
        <v>46087</v>
      </c>
      <c r="I1257" t="s">
        <v>9338</v>
      </c>
      <c r="J1257" t="s">
        <v>2694</v>
      </c>
      <c r="K1257" t="s">
        <v>27</v>
      </c>
      <c r="L1257">
        <v>15681.78</v>
      </c>
      <c r="M1257">
        <v>312</v>
      </c>
      <c r="N1257" t="s">
        <v>50</v>
      </c>
      <c r="O1257" t="s">
        <v>123</v>
      </c>
    </row>
    <row r="1258" spans="1:15" x14ac:dyDescent="0.3">
      <c r="A1258" t="s">
        <v>2693</v>
      </c>
      <c r="B1258" t="s">
        <v>2692</v>
      </c>
      <c r="C1258" t="s">
        <v>40</v>
      </c>
      <c r="D1258">
        <v>37</v>
      </c>
      <c r="E1258" t="s">
        <v>68</v>
      </c>
      <c r="F1258" t="s">
        <v>8077</v>
      </c>
      <c r="G1258" s="8">
        <v>46149</v>
      </c>
      <c r="H1258" s="8">
        <v>46161</v>
      </c>
      <c r="I1258" t="s">
        <v>9339</v>
      </c>
      <c r="J1258" t="s">
        <v>2690</v>
      </c>
      <c r="K1258" t="s">
        <v>27</v>
      </c>
      <c r="L1258">
        <v>9585.0400000000009</v>
      </c>
      <c r="M1258">
        <v>149</v>
      </c>
      <c r="N1258" t="s">
        <v>16</v>
      </c>
      <c r="O1258" t="s">
        <v>64</v>
      </c>
    </row>
    <row r="1259" spans="1:15" x14ac:dyDescent="0.3">
      <c r="A1259" t="s">
        <v>2689</v>
      </c>
      <c r="B1259" t="s">
        <v>2688</v>
      </c>
      <c r="C1259" t="s">
        <v>74</v>
      </c>
      <c r="D1259">
        <v>28</v>
      </c>
      <c r="E1259" t="s">
        <v>80</v>
      </c>
      <c r="F1259" t="s">
        <v>30</v>
      </c>
      <c r="G1259" s="8">
        <v>46021</v>
      </c>
      <c r="H1259" s="8">
        <v>46026</v>
      </c>
      <c r="I1259" t="s">
        <v>9340</v>
      </c>
      <c r="J1259" t="s">
        <v>2686</v>
      </c>
      <c r="K1259" t="s">
        <v>27</v>
      </c>
      <c r="L1259">
        <v>19218.490000000002</v>
      </c>
      <c r="M1259">
        <v>381</v>
      </c>
      <c r="N1259" t="s">
        <v>16</v>
      </c>
      <c r="O1259" t="s">
        <v>123</v>
      </c>
    </row>
    <row r="1260" spans="1:15" x14ac:dyDescent="0.3">
      <c r="A1260" t="s">
        <v>2685</v>
      </c>
      <c r="B1260" t="s">
        <v>2684</v>
      </c>
      <c r="C1260" t="s">
        <v>74</v>
      </c>
      <c r="D1260">
        <v>28</v>
      </c>
      <c r="E1260" t="s">
        <v>54</v>
      </c>
      <c r="F1260" t="s">
        <v>30</v>
      </c>
      <c r="G1260" s="8">
        <v>46070</v>
      </c>
      <c r="H1260" s="8">
        <v>46080</v>
      </c>
      <c r="I1260" t="s">
        <v>9341</v>
      </c>
      <c r="J1260" t="s">
        <v>2682</v>
      </c>
      <c r="K1260" t="s">
        <v>64</v>
      </c>
      <c r="L1260">
        <v>15830.84</v>
      </c>
      <c r="M1260">
        <v>357</v>
      </c>
      <c r="N1260" t="s">
        <v>34</v>
      </c>
      <c r="O1260" t="s">
        <v>17</v>
      </c>
    </row>
    <row r="1261" spans="1:15" x14ac:dyDescent="0.3">
      <c r="A1261" t="s">
        <v>2681</v>
      </c>
      <c r="B1261" t="s">
        <v>2680</v>
      </c>
      <c r="C1261" t="s">
        <v>123</v>
      </c>
      <c r="D1261">
        <v>29</v>
      </c>
      <c r="E1261" t="s">
        <v>54</v>
      </c>
      <c r="F1261" t="s">
        <v>85</v>
      </c>
      <c r="G1261" s="8">
        <v>46003</v>
      </c>
      <c r="H1261" s="8">
        <v>46027</v>
      </c>
      <c r="I1261" t="s">
        <v>9342</v>
      </c>
      <c r="J1261" t="s">
        <v>2678</v>
      </c>
      <c r="K1261" t="s">
        <v>123</v>
      </c>
      <c r="L1261">
        <v>7299.83</v>
      </c>
      <c r="M1261">
        <v>180</v>
      </c>
      <c r="N1261" t="s">
        <v>50</v>
      </c>
      <c r="O1261" t="s">
        <v>123</v>
      </c>
    </row>
    <row r="1262" spans="1:15" x14ac:dyDescent="0.3">
      <c r="A1262" t="s">
        <v>2677</v>
      </c>
      <c r="B1262" t="s">
        <v>2676</v>
      </c>
      <c r="C1262" t="s">
        <v>40</v>
      </c>
      <c r="D1262">
        <v>52</v>
      </c>
      <c r="E1262" t="s">
        <v>132</v>
      </c>
      <c r="F1262" t="s">
        <v>46</v>
      </c>
      <c r="G1262" s="8">
        <v>45991</v>
      </c>
      <c r="H1262" s="8">
        <v>46008</v>
      </c>
      <c r="I1262" t="s">
        <v>9343</v>
      </c>
      <c r="J1262" t="s">
        <v>2674</v>
      </c>
      <c r="K1262" t="s">
        <v>64</v>
      </c>
      <c r="L1262">
        <v>19120.79</v>
      </c>
      <c r="M1262">
        <v>449</v>
      </c>
      <c r="N1262" t="s">
        <v>77</v>
      </c>
      <c r="O1262" t="s">
        <v>26</v>
      </c>
    </row>
    <row r="1263" spans="1:15" x14ac:dyDescent="0.3">
      <c r="A1263" t="s">
        <v>2673</v>
      </c>
      <c r="B1263" t="s">
        <v>2672</v>
      </c>
      <c r="C1263" t="s">
        <v>123</v>
      </c>
      <c r="D1263">
        <v>75</v>
      </c>
      <c r="E1263" t="s">
        <v>54</v>
      </c>
      <c r="F1263" t="s">
        <v>67</v>
      </c>
      <c r="G1263" s="8">
        <v>46052</v>
      </c>
      <c r="H1263" s="8">
        <v>46065</v>
      </c>
      <c r="I1263" t="s">
        <v>9344</v>
      </c>
      <c r="J1263" t="s">
        <v>2670</v>
      </c>
      <c r="K1263" t="s">
        <v>64</v>
      </c>
      <c r="L1263">
        <v>15983.14</v>
      </c>
      <c r="M1263">
        <v>170</v>
      </c>
      <c r="N1263" t="s">
        <v>34</v>
      </c>
      <c r="O1263" t="s">
        <v>57</v>
      </c>
    </row>
    <row r="1264" spans="1:15" x14ac:dyDescent="0.3">
      <c r="A1264" t="s">
        <v>2669</v>
      </c>
      <c r="B1264" t="s">
        <v>2668</v>
      </c>
      <c r="C1264" t="s">
        <v>74</v>
      </c>
      <c r="D1264">
        <v>77</v>
      </c>
      <c r="E1264" t="s">
        <v>54</v>
      </c>
      <c r="F1264" t="s">
        <v>46</v>
      </c>
      <c r="G1264" s="8">
        <v>46002</v>
      </c>
      <c r="H1264" s="8">
        <v>46012</v>
      </c>
      <c r="I1264" t="s">
        <v>9345</v>
      </c>
      <c r="J1264" t="s">
        <v>2666</v>
      </c>
      <c r="K1264" t="s">
        <v>64</v>
      </c>
      <c r="L1264">
        <v>4328.18</v>
      </c>
      <c r="M1264">
        <v>450</v>
      </c>
      <c r="N1264" t="s">
        <v>77</v>
      </c>
      <c r="O1264" t="s">
        <v>123</v>
      </c>
    </row>
    <row r="1265" spans="1:15" x14ac:dyDescent="0.3">
      <c r="A1265" t="s">
        <v>2665</v>
      </c>
      <c r="B1265" t="s">
        <v>2664</v>
      </c>
      <c r="C1265" t="s">
        <v>74</v>
      </c>
      <c r="D1265">
        <v>3</v>
      </c>
      <c r="E1265" t="s">
        <v>54</v>
      </c>
      <c r="F1265" t="s">
        <v>8077</v>
      </c>
      <c r="G1265" s="8">
        <v>46104</v>
      </c>
      <c r="H1265" s="8">
        <v>46131</v>
      </c>
      <c r="I1265" t="s">
        <v>9346</v>
      </c>
      <c r="J1265" t="s">
        <v>2662</v>
      </c>
      <c r="K1265" t="s">
        <v>27</v>
      </c>
      <c r="L1265">
        <v>11552.67</v>
      </c>
      <c r="M1265">
        <v>189</v>
      </c>
      <c r="N1265" t="s">
        <v>16</v>
      </c>
      <c r="O1265" t="s">
        <v>57</v>
      </c>
    </row>
    <row r="1266" spans="1:15" x14ac:dyDescent="0.3">
      <c r="A1266" t="s">
        <v>2661</v>
      </c>
      <c r="B1266" t="s">
        <v>2660</v>
      </c>
      <c r="C1266" t="s">
        <v>74</v>
      </c>
      <c r="D1266">
        <v>42</v>
      </c>
      <c r="E1266" t="s">
        <v>39</v>
      </c>
      <c r="F1266" t="s">
        <v>30</v>
      </c>
      <c r="G1266" s="8">
        <v>46075</v>
      </c>
      <c r="H1266" s="8">
        <v>46077</v>
      </c>
      <c r="I1266" t="s">
        <v>9347</v>
      </c>
      <c r="J1266" t="s">
        <v>2658</v>
      </c>
      <c r="K1266" t="s">
        <v>27</v>
      </c>
      <c r="L1266">
        <v>5333.78</v>
      </c>
      <c r="M1266">
        <v>335</v>
      </c>
      <c r="N1266" t="s">
        <v>71</v>
      </c>
      <c r="O1266" t="s">
        <v>123</v>
      </c>
    </row>
    <row r="1267" spans="1:15" x14ac:dyDescent="0.3">
      <c r="A1267" t="s">
        <v>2657</v>
      </c>
      <c r="B1267" t="s">
        <v>2656</v>
      </c>
      <c r="C1267" t="s">
        <v>123</v>
      </c>
      <c r="D1267">
        <v>31</v>
      </c>
      <c r="E1267" t="s">
        <v>39</v>
      </c>
      <c r="F1267" t="s">
        <v>85</v>
      </c>
      <c r="G1267" s="8">
        <v>46014</v>
      </c>
      <c r="H1267" s="8">
        <v>46030</v>
      </c>
      <c r="I1267" t="s">
        <v>9348</v>
      </c>
      <c r="J1267" t="s">
        <v>2654</v>
      </c>
      <c r="K1267" t="s">
        <v>64</v>
      </c>
      <c r="L1267">
        <v>20131.439999999999</v>
      </c>
      <c r="M1267">
        <v>546</v>
      </c>
      <c r="N1267" t="s">
        <v>71</v>
      </c>
      <c r="O1267" t="s">
        <v>17</v>
      </c>
    </row>
    <row r="1268" spans="1:15" x14ac:dyDescent="0.3">
      <c r="A1268" t="s">
        <v>2653</v>
      </c>
      <c r="B1268" t="s">
        <v>2652</v>
      </c>
      <c r="C1268" t="s">
        <v>74</v>
      </c>
      <c r="D1268">
        <v>60</v>
      </c>
      <c r="E1268" t="s">
        <v>80</v>
      </c>
      <c r="F1268" t="s">
        <v>46</v>
      </c>
      <c r="G1268" s="8">
        <v>46115</v>
      </c>
      <c r="H1268" s="8">
        <v>46138</v>
      </c>
      <c r="I1268" t="s">
        <v>9349</v>
      </c>
      <c r="J1268" t="s">
        <v>2650</v>
      </c>
      <c r="K1268" t="s">
        <v>27</v>
      </c>
      <c r="L1268">
        <v>17114.189999999999</v>
      </c>
      <c r="M1268">
        <v>543</v>
      </c>
      <c r="N1268" t="s">
        <v>34</v>
      </c>
      <c r="O1268" t="s">
        <v>123</v>
      </c>
    </row>
    <row r="1269" spans="1:15" x14ac:dyDescent="0.3">
      <c r="A1269" t="s">
        <v>2649</v>
      </c>
      <c r="B1269" t="s">
        <v>2648</v>
      </c>
      <c r="C1269" t="s">
        <v>123</v>
      </c>
      <c r="D1269">
        <v>50</v>
      </c>
      <c r="E1269" t="s">
        <v>80</v>
      </c>
      <c r="F1269" t="s">
        <v>67</v>
      </c>
      <c r="G1269" s="8">
        <v>46070</v>
      </c>
      <c r="H1269" s="8">
        <v>46100</v>
      </c>
      <c r="I1269" t="s">
        <v>9350</v>
      </c>
      <c r="J1269" t="s">
        <v>2646</v>
      </c>
      <c r="K1269" t="s">
        <v>27</v>
      </c>
      <c r="L1269">
        <v>22107.25</v>
      </c>
      <c r="M1269">
        <v>466</v>
      </c>
      <c r="N1269" t="s">
        <v>50</v>
      </c>
      <c r="O1269" t="s">
        <v>64</v>
      </c>
    </row>
    <row r="1270" spans="1:15" x14ac:dyDescent="0.3">
      <c r="A1270" t="s">
        <v>2645</v>
      </c>
      <c r="B1270" t="s">
        <v>2644</v>
      </c>
      <c r="C1270" t="s">
        <v>40</v>
      </c>
      <c r="D1270">
        <v>57</v>
      </c>
      <c r="E1270" t="s">
        <v>68</v>
      </c>
      <c r="F1270" t="s">
        <v>46</v>
      </c>
      <c r="G1270" s="8">
        <v>46107</v>
      </c>
      <c r="H1270" s="8">
        <v>46116</v>
      </c>
      <c r="I1270" t="s">
        <v>9351</v>
      </c>
      <c r="J1270" t="s">
        <v>2642</v>
      </c>
      <c r="K1270" t="s">
        <v>123</v>
      </c>
      <c r="L1270">
        <v>20742.03</v>
      </c>
      <c r="M1270">
        <v>286</v>
      </c>
      <c r="N1270" t="s">
        <v>16</v>
      </c>
      <c r="O1270" t="s">
        <v>27</v>
      </c>
    </row>
    <row r="1271" spans="1:15" x14ac:dyDescent="0.3">
      <c r="A1271" t="s">
        <v>2641</v>
      </c>
      <c r="B1271" t="s">
        <v>2640</v>
      </c>
      <c r="C1271" t="s">
        <v>123</v>
      </c>
      <c r="D1271">
        <v>55</v>
      </c>
      <c r="E1271" t="s">
        <v>80</v>
      </c>
      <c r="F1271" t="s">
        <v>20</v>
      </c>
      <c r="G1271" s="8">
        <v>46095</v>
      </c>
      <c r="H1271" s="8">
        <v>46099</v>
      </c>
      <c r="I1271" t="s">
        <v>9352</v>
      </c>
      <c r="J1271" t="s">
        <v>2638</v>
      </c>
      <c r="K1271" t="s">
        <v>27</v>
      </c>
      <c r="L1271">
        <v>18996.919999999998</v>
      </c>
      <c r="M1271">
        <v>469</v>
      </c>
      <c r="N1271" t="s">
        <v>71</v>
      </c>
      <c r="O1271" t="s">
        <v>64</v>
      </c>
    </row>
    <row r="1272" spans="1:15" x14ac:dyDescent="0.3">
      <c r="A1272" t="s">
        <v>2637</v>
      </c>
      <c r="B1272" t="s">
        <v>8064</v>
      </c>
      <c r="C1272" t="s">
        <v>74</v>
      </c>
      <c r="D1272">
        <v>53</v>
      </c>
      <c r="E1272" t="s">
        <v>31</v>
      </c>
      <c r="F1272" t="s">
        <v>20</v>
      </c>
      <c r="G1272" s="8">
        <v>46117</v>
      </c>
      <c r="H1272" s="8">
        <v>46146</v>
      </c>
      <c r="I1272" t="s">
        <v>9353</v>
      </c>
      <c r="J1272" t="s">
        <v>2634</v>
      </c>
      <c r="K1272" t="s">
        <v>64</v>
      </c>
      <c r="L1272">
        <v>19929.72</v>
      </c>
      <c r="M1272">
        <v>235</v>
      </c>
      <c r="N1272" t="s">
        <v>77</v>
      </c>
      <c r="O1272" t="s">
        <v>57</v>
      </c>
    </row>
    <row r="1273" spans="1:15" x14ac:dyDescent="0.3">
      <c r="A1273" t="s">
        <v>2633</v>
      </c>
      <c r="B1273" t="s">
        <v>2632</v>
      </c>
      <c r="C1273" t="s">
        <v>74</v>
      </c>
      <c r="D1273">
        <v>83</v>
      </c>
      <c r="E1273" t="s">
        <v>80</v>
      </c>
      <c r="F1273" t="s">
        <v>85</v>
      </c>
      <c r="G1273" s="8">
        <v>46138</v>
      </c>
      <c r="H1273" s="8">
        <v>46166</v>
      </c>
      <c r="I1273" t="s">
        <v>9354</v>
      </c>
      <c r="J1273" t="s">
        <v>2630</v>
      </c>
      <c r="K1273" t="s">
        <v>123</v>
      </c>
      <c r="L1273">
        <v>18862.060000000001</v>
      </c>
      <c r="M1273">
        <v>275</v>
      </c>
      <c r="N1273" t="s">
        <v>43</v>
      </c>
      <c r="O1273" t="s">
        <v>63</v>
      </c>
    </row>
    <row r="1274" spans="1:15" x14ac:dyDescent="0.3">
      <c r="A1274" t="s">
        <v>2629</v>
      </c>
      <c r="B1274" t="s">
        <v>2628</v>
      </c>
      <c r="C1274" t="s">
        <v>123</v>
      </c>
      <c r="D1274">
        <v>43</v>
      </c>
      <c r="E1274" t="s">
        <v>68</v>
      </c>
      <c r="F1274" t="s">
        <v>30</v>
      </c>
      <c r="G1274" s="8">
        <v>46136</v>
      </c>
      <c r="H1274" s="8">
        <v>46154</v>
      </c>
      <c r="I1274" t="s">
        <v>9355</v>
      </c>
      <c r="J1274" t="s">
        <v>2626</v>
      </c>
      <c r="K1274" t="s">
        <v>27</v>
      </c>
      <c r="L1274">
        <v>14941.82</v>
      </c>
      <c r="M1274">
        <v>175</v>
      </c>
      <c r="N1274" t="s">
        <v>34</v>
      </c>
      <c r="O1274" t="s">
        <v>26</v>
      </c>
    </row>
    <row r="1275" spans="1:15" x14ac:dyDescent="0.3">
      <c r="A1275" t="s">
        <v>2625</v>
      </c>
      <c r="B1275" t="s">
        <v>2624</v>
      </c>
      <c r="C1275" t="s">
        <v>40</v>
      </c>
      <c r="D1275">
        <v>4</v>
      </c>
      <c r="E1275" t="s">
        <v>21</v>
      </c>
      <c r="F1275" t="s">
        <v>67</v>
      </c>
      <c r="G1275" s="8">
        <v>46121</v>
      </c>
      <c r="H1275" s="8">
        <v>46139</v>
      </c>
      <c r="I1275" t="s">
        <v>9356</v>
      </c>
      <c r="J1275" t="s">
        <v>2622</v>
      </c>
      <c r="K1275" t="s">
        <v>64</v>
      </c>
      <c r="L1275">
        <v>17902.32</v>
      </c>
      <c r="M1275">
        <v>466</v>
      </c>
      <c r="N1275" t="s">
        <v>71</v>
      </c>
      <c r="O1275" t="s">
        <v>63</v>
      </c>
    </row>
    <row r="1276" spans="1:15" x14ac:dyDescent="0.3">
      <c r="A1276" t="s">
        <v>2621</v>
      </c>
      <c r="B1276" t="s">
        <v>2620</v>
      </c>
      <c r="C1276" t="s">
        <v>40</v>
      </c>
      <c r="D1276">
        <v>61</v>
      </c>
      <c r="E1276" t="s">
        <v>68</v>
      </c>
      <c r="F1276" t="s">
        <v>30</v>
      </c>
      <c r="G1276" s="8">
        <v>46066</v>
      </c>
      <c r="H1276" s="8">
        <v>46070</v>
      </c>
      <c r="I1276" t="s">
        <v>9357</v>
      </c>
      <c r="J1276" t="s">
        <v>2618</v>
      </c>
      <c r="K1276" t="s">
        <v>27</v>
      </c>
      <c r="L1276">
        <v>3833.85</v>
      </c>
      <c r="M1276">
        <v>539</v>
      </c>
      <c r="N1276" t="s">
        <v>16</v>
      </c>
      <c r="O1276" t="s">
        <v>63</v>
      </c>
    </row>
    <row r="1277" spans="1:15" x14ac:dyDescent="0.3">
      <c r="A1277" t="s">
        <v>2617</v>
      </c>
      <c r="B1277" t="s">
        <v>2616</v>
      </c>
      <c r="C1277" t="s">
        <v>40</v>
      </c>
      <c r="D1277">
        <v>82</v>
      </c>
      <c r="E1277" t="s">
        <v>21</v>
      </c>
      <c r="F1277" t="s">
        <v>46</v>
      </c>
      <c r="G1277" s="8">
        <v>45991</v>
      </c>
      <c r="H1277" s="8">
        <v>46018</v>
      </c>
      <c r="I1277" t="s">
        <v>9358</v>
      </c>
      <c r="J1277" t="s">
        <v>2614</v>
      </c>
      <c r="K1277" t="s">
        <v>64</v>
      </c>
      <c r="L1277">
        <v>14664.11</v>
      </c>
      <c r="M1277">
        <v>399</v>
      </c>
      <c r="N1277" t="s">
        <v>77</v>
      </c>
      <c r="O1277" t="s">
        <v>26</v>
      </c>
    </row>
    <row r="1278" spans="1:15" x14ac:dyDescent="0.3">
      <c r="A1278" t="s">
        <v>2613</v>
      </c>
      <c r="B1278" t="s">
        <v>2612</v>
      </c>
      <c r="C1278" t="s">
        <v>40</v>
      </c>
      <c r="D1278">
        <v>47</v>
      </c>
      <c r="E1278" t="s">
        <v>54</v>
      </c>
      <c r="F1278" t="s">
        <v>85</v>
      </c>
      <c r="G1278" s="8">
        <v>45994</v>
      </c>
      <c r="H1278" s="8">
        <v>46013</v>
      </c>
      <c r="I1278" t="s">
        <v>9359</v>
      </c>
      <c r="J1278" t="s">
        <v>2610</v>
      </c>
      <c r="K1278" t="s">
        <v>27</v>
      </c>
      <c r="L1278">
        <v>24315.599999999999</v>
      </c>
      <c r="M1278">
        <v>400</v>
      </c>
      <c r="N1278" t="s">
        <v>50</v>
      </c>
      <c r="O1278" t="s">
        <v>26</v>
      </c>
    </row>
    <row r="1279" spans="1:15" x14ac:dyDescent="0.3">
      <c r="A1279" t="s">
        <v>2609</v>
      </c>
      <c r="B1279" t="s">
        <v>2608</v>
      </c>
      <c r="C1279" t="s">
        <v>74</v>
      </c>
      <c r="D1279">
        <v>67</v>
      </c>
      <c r="E1279" t="s">
        <v>31</v>
      </c>
      <c r="F1279" t="s">
        <v>67</v>
      </c>
      <c r="G1279" s="8">
        <v>46068</v>
      </c>
      <c r="H1279" s="8">
        <v>46095</v>
      </c>
      <c r="I1279" t="s">
        <v>9360</v>
      </c>
      <c r="J1279" t="s">
        <v>2606</v>
      </c>
      <c r="K1279" t="s">
        <v>123</v>
      </c>
      <c r="L1279">
        <v>16279.74</v>
      </c>
      <c r="M1279">
        <v>189</v>
      </c>
      <c r="N1279" t="s">
        <v>16</v>
      </c>
      <c r="O1279" t="s">
        <v>123</v>
      </c>
    </row>
    <row r="1280" spans="1:15" x14ac:dyDescent="0.3">
      <c r="A1280" t="s">
        <v>2605</v>
      </c>
      <c r="B1280" t="s">
        <v>2604</v>
      </c>
      <c r="C1280" t="s">
        <v>123</v>
      </c>
      <c r="D1280">
        <v>2</v>
      </c>
      <c r="E1280" t="s">
        <v>80</v>
      </c>
      <c r="F1280" t="s">
        <v>67</v>
      </c>
      <c r="G1280" s="8">
        <v>45985</v>
      </c>
      <c r="H1280" s="8">
        <v>45992</v>
      </c>
      <c r="I1280" t="s">
        <v>9361</v>
      </c>
      <c r="J1280" t="s">
        <v>2602</v>
      </c>
      <c r="K1280" t="s">
        <v>27</v>
      </c>
      <c r="L1280">
        <v>5319.45</v>
      </c>
      <c r="M1280">
        <v>242</v>
      </c>
      <c r="N1280" t="s">
        <v>34</v>
      </c>
      <c r="O1280" t="s">
        <v>26</v>
      </c>
    </row>
    <row r="1281" spans="1:15" x14ac:dyDescent="0.3">
      <c r="A1281" t="s">
        <v>2601</v>
      </c>
      <c r="B1281" t="s">
        <v>2600</v>
      </c>
      <c r="C1281" t="s">
        <v>74</v>
      </c>
      <c r="D1281">
        <v>84</v>
      </c>
      <c r="E1281" t="s">
        <v>21</v>
      </c>
      <c r="F1281" t="s">
        <v>67</v>
      </c>
      <c r="G1281" s="8">
        <v>46074</v>
      </c>
      <c r="H1281" s="8">
        <v>46089</v>
      </c>
      <c r="I1281" t="s">
        <v>9362</v>
      </c>
      <c r="J1281" t="s">
        <v>2598</v>
      </c>
      <c r="K1281" t="s">
        <v>123</v>
      </c>
      <c r="L1281">
        <v>14321.32</v>
      </c>
      <c r="M1281">
        <v>530</v>
      </c>
      <c r="N1281" t="s">
        <v>25</v>
      </c>
      <c r="O1281" t="s">
        <v>27</v>
      </c>
    </row>
    <row r="1282" spans="1:15" x14ac:dyDescent="0.3">
      <c r="A1282" t="s">
        <v>2595</v>
      </c>
      <c r="B1282" t="s">
        <v>2594</v>
      </c>
      <c r="C1282" t="s">
        <v>74</v>
      </c>
      <c r="D1282">
        <v>8</v>
      </c>
      <c r="E1282" t="s">
        <v>68</v>
      </c>
      <c r="F1282" t="s">
        <v>8077</v>
      </c>
      <c r="G1282" s="8">
        <v>46040</v>
      </c>
      <c r="H1282" s="8">
        <v>46047</v>
      </c>
      <c r="I1282" t="s">
        <v>9363</v>
      </c>
      <c r="J1282" t="s">
        <v>2592</v>
      </c>
      <c r="K1282" t="s">
        <v>27</v>
      </c>
      <c r="L1282">
        <v>19972.29</v>
      </c>
      <c r="M1282">
        <v>453</v>
      </c>
      <c r="N1282" t="s">
        <v>25</v>
      </c>
      <c r="O1282" t="s">
        <v>26</v>
      </c>
    </row>
    <row r="1283" spans="1:15" x14ac:dyDescent="0.3">
      <c r="A1283" t="s">
        <v>2591</v>
      </c>
      <c r="B1283" t="s">
        <v>2590</v>
      </c>
      <c r="C1283" t="s">
        <v>74</v>
      </c>
      <c r="D1283">
        <v>30</v>
      </c>
      <c r="E1283" t="s">
        <v>68</v>
      </c>
      <c r="F1283" t="s">
        <v>20</v>
      </c>
      <c r="G1283" s="8">
        <v>45987</v>
      </c>
      <c r="H1283" s="8">
        <v>45988</v>
      </c>
      <c r="I1283" t="s">
        <v>9364</v>
      </c>
      <c r="J1283" t="s">
        <v>2588</v>
      </c>
      <c r="K1283" t="s">
        <v>27</v>
      </c>
      <c r="L1283">
        <v>13889</v>
      </c>
      <c r="M1283">
        <v>480</v>
      </c>
      <c r="N1283" t="s">
        <v>71</v>
      </c>
      <c r="O1283" t="s">
        <v>64</v>
      </c>
    </row>
    <row r="1284" spans="1:15" x14ac:dyDescent="0.3">
      <c r="A1284" t="s">
        <v>2587</v>
      </c>
      <c r="B1284" t="s">
        <v>2586</v>
      </c>
      <c r="C1284" t="s">
        <v>74</v>
      </c>
      <c r="D1284">
        <v>17</v>
      </c>
      <c r="E1284" t="s">
        <v>132</v>
      </c>
      <c r="F1284" t="s">
        <v>46</v>
      </c>
      <c r="G1284" s="8">
        <v>46008</v>
      </c>
      <c r="H1284" s="8">
        <v>46014</v>
      </c>
      <c r="I1284" t="s">
        <v>9365</v>
      </c>
      <c r="J1284" t="s">
        <v>2584</v>
      </c>
      <c r="K1284" t="s">
        <v>64</v>
      </c>
      <c r="L1284">
        <v>6249.73</v>
      </c>
      <c r="M1284">
        <v>337</v>
      </c>
      <c r="N1284" t="s">
        <v>77</v>
      </c>
      <c r="O1284" t="s">
        <v>123</v>
      </c>
    </row>
    <row r="1285" spans="1:15" x14ac:dyDescent="0.3">
      <c r="A1285" t="s">
        <v>2583</v>
      </c>
      <c r="B1285" t="s">
        <v>2582</v>
      </c>
      <c r="C1285" t="s">
        <v>40</v>
      </c>
      <c r="D1285">
        <v>41</v>
      </c>
      <c r="E1285" t="s">
        <v>80</v>
      </c>
      <c r="F1285" t="s">
        <v>8077</v>
      </c>
      <c r="G1285" s="8">
        <v>45979</v>
      </c>
      <c r="H1285" s="8">
        <v>45994</v>
      </c>
      <c r="I1285" t="s">
        <v>9366</v>
      </c>
      <c r="J1285" t="s">
        <v>2580</v>
      </c>
      <c r="K1285" t="s">
        <v>64</v>
      </c>
      <c r="L1285">
        <v>11159.07</v>
      </c>
      <c r="M1285">
        <v>201</v>
      </c>
      <c r="N1285" t="s">
        <v>77</v>
      </c>
      <c r="O1285" t="s">
        <v>123</v>
      </c>
    </row>
    <row r="1286" spans="1:15" x14ac:dyDescent="0.3">
      <c r="A1286" t="s">
        <v>2579</v>
      </c>
      <c r="B1286" t="s">
        <v>2578</v>
      </c>
      <c r="C1286" t="s">
        <v>74</v>
      </c>
      <c r="D1286">
        <v>77</v>
      </c>
      <c r="E1286" t="s">
        <v>68</v>
      </c>
      <c r="F1286" t="s">
        <v>30</v>
      </c>
      <c r="G1286" s="8">
        <v>45976</v>
      </c>
      <c r="H1286" s="8">
        <v>45994</v>
      </c>
      <c r="I1286" t="s">
        <v>9367</v>
      </c>
      <c r="J1286" t="s">
        <v>2576</v>
      </c>
      <c r="K1286" t="s">
        <v>27</v>
      </c>
      <c r="L1286">
        <v>14626.5</v>
      </c>
      <c r="M1286">
        <v>468</v>
      </c>
      <c r="N1286" t="s">
        <v>16</v>
      </c>
      <c r="O1286" t="s">
        <v>64</v>
      </c>
    </row>
    <row r="1287" spans="1:15" x14ac:dyDescent="0.3">
      <c r="A1287" t="s">
        <v>2575</v>
      </c>
      <c r="B1287" t="s">
        <v>2574</v>
      </c>
      <c r="C1287" t="s">
        <v>74</v>
      </c>
      <c r="D1287">
        <v>76</v>
      </c>
      <c r="E1287" t="s">
        <v>68</v>
      </c>
      <c r="F1287" t="s">
        <v>46</v>
      </c>
      <c r="G1287" s="8">
        <v>45997</v>
      </c>
      <c r="H1287" s="8">
        <v>46005</v>
      </c>
      <c r="I1287" t="s">
        <v>9368</v>
      </c>
      <c r="J1287" t="s">
        <v>2572</v>
      </c>
      <c r="K1287" t="s">
        <v>123</v>
      </c>
      <c r="L1287">
        <v>15113.58</v>
      </c>
      <c r="M1287">
        <v>423</v>
      </c>
      <c r="N1287" t="s">
        <v>71</v>
      </c>
      <c r="O1287" t="s">
        <v>123</v>
      </c>
    </row>
    <row r="1288" spans="1:15" x14ac:dyDescent="0.3">
      <c r="A1288" t="s">
        <v>2571</v>
      </c>
      <c r="B1288" t="s">
        <v>2570</v>
      </c>
      <c r="C1288" t="s">
        <v>74</v>
      </c>
      <c r="D1288">
        <v>65</v>
      </c>
      <c r="E1288" t="s">
        <v>68</v>
      </c>
      <c r="F1288" t="s">
        <v>30</v>
      </c>
      <c r="G1288" s="8">
        <v>46002</v>
      </c>
      <c r="H1288" s="8">
        <v>46032</v>
      </c>
      <c r="I1288" t="s">
        <v>9369</v>
      </c>
      <c r="J1288" t="s">
        <v>2568</v>
      </c>
      <c r="K1288" t="s">
        <v>27</v>
      </c>
      <c r="L1288">
        <v>6752.16</v>
      </c>
      <c r="M1288">
        <v>274</v>
      </c>
      <c r="N1288" t="s">
        <v>43</v>
      </c>
      <c r="O1288" t="s">
        <v>57</v>
      </c>
    </row>
    <row r="1289" spans="1:15" x14ac:dyDescent="0.3">
      <c r="A1289" t="s">
        <v>2567</v>
      </c>
      <c r="B1289" t="s">
        <v>2566</v>
      </c>
      <c r="C1289" t="s">
        <v>40</v>
      </c>
      <c r="D1289">
        <v>81</v>
      </c>
      <c r="E1289" t="s">
        <v>68</v>
      </c>
      <c r="F1289" t="s">
        <v>20</v>
      </c>
      <c r="G1289" s="8">
        <v>46049</v>
      </c>
      <c r="H1289" s="8">
        <v>46073</v>
      </c>
      <c r="I1289" t="s">
        <v>9370</v>
      </c>
      <c r="J1289" t="s">
        <v>2564</v>
      </c>
      <c r="K1289" t="s">
        <v>27</v>
      </c>
      <c r="L1289">
        <v>12291.99</v>
      </c>
      <c r="M1289">
        <v>360</v>
      </c>
      <c r="N1289" t="s">
        <v>16</v>
      </c>
      <c r="O1289" t="s">
        <v>17</v>
      </c>
    </row>
    <row r="1290" spans="1:15" x14ac:dyDescent="0.3">
      <c r="A1290" t="s">
        <v>2563</v>
      </c>
      <c r="B1290" t="s">
        <v>2562</v>
      </c>
      <c r="C1290" t="s">
        <v>123</v>
      </c>
      <c r="D1290">
        <v>21</v>
      </c>
      <c r="E1290" t="s">
        <v>39</v>
      </c>
      <c r="F1290" t="s">
        <v>20</v>
      </c>
      <c r="G1290" s="8">
        <v>45980</v>
      </c>
      <c r="H1290" s="8">
        <v>46004</v>
      </c>
      <c r="I1290" t="s">
        <v>9371</v>
      </c>
      <c r="J1290" t="s">
        <v>2560</v>
      </c>
      <c r="K1290" t="s">
        <v>123</v>
      </c>
      <c r="L1290">
        <v>16889.810000000001</v>
      </c>
      <c r="M1290">
        <v>541</v>
      </c>
      <c r="N1290" t="s">
        <v>16</v>
      </c>
      <c r="O1290" t="s">
        <v>64</v>
      </c>
    </row>
    <row r="1291" spans="1:15" x14ac:dyDescent="0.3">
      <c r="A1291" t="s">
        <v>2559</v>
      </c>
      <c r="B1291" t="s">
        <v>2558</v>
      </c>
      <c r="C1291" t="s">
        <v>74</v>
      </c>
      <c r="D1291">
        <v>82</v>
      </c>
      <c r="E1291" t="s">
        <v>39</v>
      </c>
      <c r="F1291" t="s">
        <v>8077</v>
      </c>
      <c r="G1291" s="8">
        <v>45989</v>
      </c>
      <c r="H1291" s="8">
        <v>46013</v>
      </c>
      <c r="I1291" t="s">
        <v>9372</v>
      </c>
      <c r="J1291" t="s">
        <v>2556</v>
      </c>
      <c r="K1291" t="s">
        <v>64</v>
      </c>
      <c r="L1291">
        <v>19118.75</v>
      </c>
      <c r="M1291">
        <v>257</v>
      </c>
      <c r="N1291" t="s">
        <v>34</v>
      </c>
      <c r="O1291" t="s">
        <v>57</v>
      </c>
    </row>
    <row r="1292" spans="1:15" x14ac:dyDescent="0.3">
      <c r="A1292" t="s">
        <v>2555</v>
      </c>
      <c r="B1292" t="s">
        <v>2554</v>
      </c>
      <c r="C1292" t="s">
        <v>40</v>
      </c>
      <c r="D1292">
        <v>41</v>
      </c>
      <c r="E1292" t="s">
        <v>68</v>
      </c>
      <c r="F1292" t="s">
        <v>20</v>
      </c>
      <c r="G1292" s="8">
        <v>46117</v>
      </c>
      <c r="H1292" s="8">
        <v>46138</v>
      </c>
      <c r="I1292" t="s">
        <v>9373</v>
      </c>
      <c r="J1292" t="s">
        <v>2552</v>
      </c>
      <c r="K1292" t="s">
        <v>27</v>
      </c>
      <c r="L1292">
        <v>23203.279999999999</v>
      </c>
      <c r="M1292">
        <v>392</v>
      </c>
      <c r="N1292" t="s">
        <v>25</v>
      </c>
      <c r="O1292" t="s">
        <v>57</v>
      </c>
    </row>
    <row r="1293" spans="1:15" x14ac:dyDescent="0.3">
      <c r="A1293" t="s">
        <v>2551</v>
      </c>
      <c r="B1293" t="s">
        <v>2550</v>
      </c>
      <c r="C1293" t="s">
        <v>40</v>
      </c>
      <c r="D1293">
        <v>42</v>
      </c>
      <c r="E1293" t="s">
        <v>39</v>
      </c>
      <c r="F1293" t="s">
        <v>8077</v>
      </c>
      <c r="G1293" s="8">
        <v>46120</v>
      </c>
      <c r="H1293" s="8">
        <v>46144</v>
      </c>
      <c r="I1293" t="s">
        <v>9374</v>
      </c>
      <c r="J1293" t="s">
        <v>2548</v>
      </c>
      <c r="K1293" t="s">
        <v>123</v>
      </c>
      <c r="L1293">
        <v>19688.12</v>
      </c>
      <c r="M1293">
        <v>412</v>
      </c>
      <c r="N1293" t="s">
        <v>25</v>
      </c>
      <c r="O1293" t="s">
        <v>26</v>
      </c>
    </row>
    <row r="1294" spans="1:15" x14ac:dyDescent="0.3">
      <c r="A1294" t="s">
        <v>2547</v>
      </c>
      <c r="B1294" t="s">
        <v>2546</v>
      </c>
      <c r="C1294" t="s">
        <v>40</v>
      </c>
      <c r="D1294">
        <v>42</v>
      </c>
      <c r="E1294" t="s">
        <v>68</v>
      </c>
      <c r="F1294" t="s">
        <v>67</v>
      </c>
      <c r="G1294" s="8">
        <v>46005</v>
      </c>
      <c r="H1294" s="8">
        <v>46029</v>
      </c>
      <c r="I1294" t="s">
        <v>9375</v>
      </c>
      <c r="J1294" t="s">
        <v>2544</v>
      </c>
      <c r="K1294" t="s">
        <v>27</v>
      </c>
      <c r="L1294">
        <v>5872.35</v>
      </c>
      <c r="M1294">
        <v>341</v>
      </c>
      <c r="N1294" t="s">
        <v>50</v>
      </c>
      <c r="O1294" t="s">
        <v>63</v>
      </c>
    </row>
    <row r="1295" spans="1:15" x14ac:dyDescent="0.3">
      <c r="A1295" t="s">
        <v>2543</v>
      </c>
      <c r="B1295" t="s">
        <v>2542</v>
      </c>
      <c r="C1295" t="s">
        <v>40</v>
      </c>
      <c r="D1295">
        <v>48</v>
      </c>
      <c r="E1295" t="s">
        <v>39</v>
      </c>
      <c r="F1295" t="s">
        <v>30</v>
      </c>
      <c r="G1295" s="8">
        <v>46077</v>
      </c>
      <c r="H1295" s="8">
        <v>46087</v>
      </c>
      <c r="I1295" t="s">
        <v>9376</v>
      </c>
      <c r="J1295" t="s">
        <v>2540</v>
      </c>
      <c r="K1295" t="s">
        <v>64</v>
      </c>
      <c r="L1295">
        <v>20764.939999999999</v>
      </c>
      <c r="M1295">
        <v>330</v>
      </c>
      <c r="N1295" t="s">
        <v>43</v>
      </c>
      <c r="O1295" t="s">
        <v>17</v>
      </c>
    </row>
    <row r="1296" spans="1:15" x14ac:dyDescent="0.3">
      <c r="A1296" t="s">
        <v>2535</v>
      </c>
      <c r="B1296" t="s">
        <v>2534</v>
      </c>
      <c r="C1296" t="s">
        <v>40</v>
      </c>
      <c r="D1296">
        <v>59</v>
      </c>
      <c r="E1296" t="s">
        <v>132</v>
      </c>
      <c r="F1296" t="s">
        <v>46</v>
      </c>
      <c r="G1296" s="8">
        <v>46129</v>
      </c>
      <c r="H1296" s="8">
        <v>46155</v>
      </c>
      <c r="I1296" t="s">
        <v>9377</v>
      </c>
      <c r="J1296" t="s">
        <v>2532</v>
      </c>
      <c r="K1296" t="s">
        <v>64</v>
      </c>
      <c r="L1296">
        <v>5373.5</v>
      </c>
      <c r="M1296">
        <v>250</v>
      </c>
      <c r="N1296" t="s">
        <v>50</v>
      </c>
      <c r="O1296" t="s">
        <v>63</v>
      </c>
    </row>
    <row r="1297" spans="1:15" x14ac:dyDescent="0.3">
      <c r="A1297" t="s">
        <v>2531</v>
      </c>
      <c r="B1297" t="s">
        <v>2530</v>
      </c>
      <c r="C1297" t="s">
        <v>74</v>
      </c>
      <c r="D1297">
        <v>4</v>
      </c>
      <c r="E1297" t="s">
        <v>31</v>
      </c>
      <c r="F1297" t="s">
        <v>67</v>
      </c>
      <c r="G1297" s="8">
        <v>46001</v>
      </c>
      <c r="H1297" s="8">
        <v>46026</v>
      </c>
      <c r="I1297" t="s">
        <v>9378</v>
      </c>
      <c r="J1297" t="s">
        <v>2528</v>
      </c>
      <c r="K1297" t="s">
        <v>123</v>
      </c>
      <c r="L1297">
        <v>8276.99</v>
      </c>
      <c r="M1297">
        <v>508</v>
      </c>
      <c r="N1297" t="s">
        <v>71</v>
      </c>
      <c r="O1297" t="s">
        <v>57</v>
      </c>
    </row>
    <row r="1298" spans="1:15" x14ac:dyDescent="0.3">
      <c r="A1298" t="s">
        <v>2527</v>
      </c>
      <c r="B1298" t="s">
        <v>2526</v>
      </c>
      <c r="C1298" t="s">
        <v>123</v>
      </c>
      <c r="D1298">
        <v>36</v>
      </c>
      <c r="E1298" t="s">
        <v>80</v>
      </c>
      <c r="F1298" t="s">
        <v>20</v>
      </c>
      <c r="G1298" s="8">
        <v>46011</v>
      </c>
      <c r="H1298" s="8">
        <v>46018</v>
      </c>
      <c r="I1298" t="s">
        <v>9379</v>
      </c>
      <c r="J1298" t="s">
        <v>2524</v>
      </c>
      <c r="K1298" t="s">
        <v>27</v>
      </c>
      <c r="L1298">
        <v>8271.98</v>
      </c>
      <c r="M1298">
        <v>469</v>
      </c>
      <c r="N1298" t="s">
        <v>34</v>
      </c>
      <c r="O1298" t="s">
        <v>123</v>
      </c>
    </row>
    <row r="1299" spans="1:15" x14ac:dyDescent="0.3">
      <c r="A1299" t="s">
        <v>2523</v>
      </c>
      <c r="B1299" t="s">
        <v>2522</v>
      </c>
      <c r="C1299" t="s">
        <v>123</v>
      </c>
      <c r="D1299">
        <v>6</v>
      </c>
      <c r="E1299" t="s">
        <v>54</v>
      </c>
      <c r="F1299" t="s">
        <v>85</v>
      </c>
      <c r="G1299" s="8">
        <v>46149</v>
      </c>
      <c r="H1299" s="8">
        <v>46156</v>
      </c>
      <c r="I1299" t="s">
        <v>9380</v>
      </c>
      <c r="J1299" t="s">
        <v>2520</v>
      </c>
      <c r="K1299" t="s">
        <v>27</v>
      </c>
      <c r="L1299">
        <v>24675.84</v>
      </c>
      <c r="M1299">
        <v>130</v>
      </c>
      <c r="N1299" t="s">
        <v>77</v>
      </c>
      <c r="O1299" t="s">
        <v>123</v>
      </c>
    </row>
    <row r="1300" spans="1:15" x14ac:dyDescent="0.3">
      <c r="A1300" t="s">
        <v>2519</v>
      </c>
      <c r="B1300" t="s">
        <v>48</v>
      </c>
      <c r="C1300" t="s">
        <v>40</v>
      </c>
      <c r="D1300">
        <v>82</v>
      </c>
      <c r="E1300" t="s">
        <v>31</v>
      </c>
      <c r="F1300" t="s">
        <v>30</v>
      </c>
      <c r="G1300" s="8">
        <v>46098</v>
      </c>
      <c r="H1300" s="8">
        <v>46115</v>
      </c>
      <c r="I1300" t="s">
        <v>9381</v>
      </c>
      <c r="J1300" t="s">
        <v>2517</v>
      </c>
      <c r="K1300" t="s">
        <v>64</v>
      </c>
      <c r="L1300">
        <v>11065.48</v>
      </c>
      <c r="M1300">
        <v>156</v>
      </c>
      <c r="N1300" t="s">
        <v>16</v>
      </c>
      <c r="O1300" t="s">
        <v>63</v>
      </c>
    </row>
    <row r="1301" spans="1:15" x14ac:dyDescent="0.3">
      <c r="A1301" t="s">
        <v>2516</v>
      </c>
      <c r="B1301" t="s">
        <v>2515</v>
      </c>
      <c r="C1301" t="s">
        <v>40</v>
      </c>
      <c r="D1301">
        <v>10</v>
      </c>
      <c r="E1301" t="s">
        <v>31</v>
      </c>
      <c r="F1301" t="s">
        <v>67</v>
      </c>
      <c r="G1301" s="8">
        <v>46024</v>
      </c>
      <c r="H1301" s="8">
        <v>46050</v>
      </c>
      <c r="I1301" t="s">
        <v>9382</v>
      </c>
      <c r="J1301" t="s">
        <v>2513</v>
      </c>
      <c r="K1301" t="s">
        <v>27</v>
      </c>
      <c r="L1301">
        <v>21873.98</v>
      </c>
      <c r="M1301">
        <v>393</v>
      </c>
      <c r="N1301" t="s">
        <v>71</v>
      </c>
      <c r="O1301" t="s">
        <v>63</v>
      </c>
    </row>
    <row r="1302" spans="1:15" x14ac:dyDescent="0.3">
      <c r="A1302" t="s">
        <v>2512</v>
      </c>
      <c r="B1302" t="s">
        <v>2511</v>
      </c>
      <c r="C1302" t="s">
        <v>74</v>
      </c>
      <c r="D1302">
        <v>57</v>
      </c>
      <c r="E1302" t="s">
        <v>21</v>
      </c>
      <c r="F1302" t="s">
        <v>67</v>
      </c>
      <c r="G1302" s="8">
        <v>46146</v>
      </c>
      <c r="H1302" s="8">
        <v>46164</v>
      </c>
      <c r="I1302" t="s">
        <v>9383</v>
      </c>
      <c r="J1302" t="s">
        <v>2509</v>
      </c>
      <c r="K1302" t="s">
        <v>27</v>
      </c>
      <c r="L1302">
        <v>14005.53</v>
      </c>
      <c r="M1302">
        <v>453</v>
      </c>
      <c r="N1302" t="s">
        <v>77</v>
      </c>
      <c r="O1302" t="s">
        <v>63</v>
      </c>
    </row>
    <row r="1303" spans="1:15" x14ac:dyDescent="0.3">
      <c r="A1303" t="s">
        <v>2508</v>
      </c>
      <c r="B1303" t="s">
        <v>2507</v>
      </c>
      <c r="C1303" t="s">
        <v>40</v>
      </c>
      <c r="D1303">
        <v>9</v>
      </c>
      <c r="E1303" t="s">
        <v>31</v>
      </c>
      <c r="F1303" t="s">
        <v>67</v>
      </c>
      <c r="G1303" s="8">
        <v>46034</v>
      </c>
      <c r="H1303" s="8">
        <v>46062</v>
      </c>
      <c r="I1303" t="s">
        <v>9384</v>
      </c>
      <c r="J1303" t="s">
        <v>2505</v>
      </c>
      <c r="K1303" t="s">
        <v>123</v>
      </c>
      <c r="L1303">
        <v>18732.38</v>
      </c>
      <c r="M1303">
        <v>194</v>
      </c>
      <c r="N1303" t="s">
        <v>43</v>
      </c>
      <c r="O1303" t="s">
        <v>57</v>
      </c>
    </row>
    <row r="1304" spans="1:15" x14ac:dyDescent="0.3">
      <c r="A1304" t="s">
        <v>2504</v>
      </c>
      <c r="B1304" t="s">
        <v>2503</v>
      </c>
      <c r="C1304" t="s">
        <v>123</v>
      </c>
      <c r="D1304">
        <v>30</v>
      </c>
      <c r="E1304" t="s">
        <v>68</v>
      </c>
      <c r="F1304" t="s">
        <v>67</v>
      </c>
      <c r="G1304" s="8">
        <v>46037</v>
      </c>
      <c r="H1304" s="8">
        <v>46047</v>
      </c>
      <c r="I1304" t="s">
        <v>9385</v>
      </c>
      <c r="J1304" t="s">
        <v>2501</v>
      </c>
      <c r="K1304" t="s">
        <v>64</v>
      </c>
      <c r="L1304">
        <v>17006.189999999999</v>
      </c>
      <c r="M1304">
        <v>230</v>
      </c>
      <c r="N1304" t="s">
        <v>34</v>
      </c>
      <c r="O1304" t="s">
        <v>63</v>
      </c>
    </row>
    <row r="1305" spans="1:15" x14ac:dyDescent="0.3">
      <c r="A1305" t="s">
        <v>2500</v>
      </c>
      <c r="B1305" t="s">
        <v>2499</v>
      </c>
      <c r="C1305" t="s">
        <v>40</v>
      </c>
      <c r="D1305">
        <v>18</v>
      </c>
      <c r="E1305" t="s">
        <v>80</v>
      </c>
      <c r="F1305" t="s">
        <v>67</v>
      </c>
      <c r="G1305" s="8">
        <v>46101</v>
      </c>
      <c r="H1305" s="8">
        <v>46114</v>
      </c>
      <c r="I1305" t="s">
        <v>9386</v>
      </c>
      <c r="J1305" t="s">
        <v>2497</v>
      </c>
      <c r="K1305" t="s">
        <v>123</v>
      </c>
      <c r="L1305">
        <v>20190.41</v>
      </c>
      <c r="M1305">
        <v>525</v>
      </c>
      <c r="N1305" t="s">
        <v>34</v>
      </c>
      <c r="O1305" t="s">
        <v>27</v>
      </c>
    </row>
    <row r="1306" spans="1:15" x14ac:dyDescent="0.3">
      <c r="A1306" t="s">
        <v>2496</v>
      </c>
      <c r="B1306" t="s">
        <v>2495</v>
      </c>
      <c r="C1306" t="s">
        <v>40</v>
      </c>
      <c r="D1306">
        <v>66</v>
      </c>
      <c r="E1306" t="s">
        <v>31</v>
      </c>
      <c r="F1306" t="s">
        <v>46</v>
      </c>
      <c r="G1306" s="8">
        <v>45993</v>
      </c>
      <c r="H1306" s="8">
        <v>46011</v>
      </c>
      <c r="I1306" t="s">
        <v>9387</v>
      </c>
      <c r="J1306" t="s">
        <v>2493</v>
      </c>
      <c r="K1306" t="s">
        <v>123</v>
      </c>
      <c r="L1306">
        <v>24892.23</v>
      </c>
      <c r="M1306">
        <v>504</v>
      </c>
      <c r="N1306" t="s">
        <v>34</v>
      </c>
      <c r="O1306" t="s">
        <v>17</v>
      </c>
    </row>
    <row r="1307" spans="1:15" x14ac:dyDescent="0.3">
      <c r="A1307" t="s">
        <v>2492</v>
      </c>
      <c r="B1307" t="s">
        <v>2491</v>
      </c>
      <c r="C1307" t="s">
        <v>123</v>
      </c>
      <c r="D1307">
        <v>37</v>
      </c>
      <c r="E1307" t="s">
        <v>31</v>
      </c>
      <c r="F1307" t="s">
        <v>20</v>
      </c>
      <c r="G1307" s="8">
        <v>46050</v>
      </c>
      <c r="H1307" s="8">
        <v>46073</v>
      </c>
      <c r="I1307" t="s">
        <v>9388</v>
      </c>
      <c r="J1307" t="s">
        <v>2489</v>
      </c>
      <c r="K1307" t="s">
        <v>64</v>
      </c>
      <c r="L1307">
        <v>14219.61</v>
      </c>
      <c r="M1307">
        <v>372</v>
      </c>
      <c r="N1307" t="s">
        <v>71</v>
      </c>
      <c r="O1307" t="s">
        <v>64</v>
      </c>
    </row>
    <row r="1308" spans="1:15" x14ac:dyDescent="0.3">
      <c r="A1308" t="s">
        <v>2488</v>
      </c>
      <c r="B1308" t="s">
        <v>2487</v>
      </c>
      <c r="C1308" t="s">
        <v>74</v>
      </c>
      <c r="D1308">
        <v>74</v>
      </c>
      <c r="E1308" t="s">
        <v>68</v>
      </c>
      <c r="F1308" t="s">
        <v>8077</v>
      </c>
      <c r="G1308" s="8">
        <v>45993</v>
      </c>
      <c r="H1308" s="8">
        <v>46017</v>
      </c>
      <c r="I1308" t="s">
        <v>9389</v>
      </c>
      <c r="J1308" t="s">
        <v>2485</v>
      </c>
      <c r="K1308" t="s">
        <v>64</v>
      </c>
      <c r="L1308">
        <v>19224.46</v>
      </c>
      <c r="M1308">
        <v>518</v>
      </c>
      <c r="N1308" t="s">
        <v>43</v>
      </c>
      <c r="O1308" t="s">
        <v>123</v>
      </c>
    </row>
    <row r="1309" spans="1:15" x14ac:dyDescent="0.3">
      <c r="A1309" t="s">
        <v>2484</v>
      </c>
      <c r="B1309" t="s">
        <v>2483</v>
      </c>
      <c r="C1309" t="s">
        <v>123</v>
      </c>
      <c r="D1309">
        <v>58</v>
      </c>
      <c r="E1309" t="s">
        <v>39</v>
      </c>
      <c r="F1309" t="s">
        <v>67</v>
      </c>
      <c r="G1309" s="8">
        <v>46042</v>
      </c>
      <c r="H1309" s="8">
        <v>46044</v>
      </c>
      <c r="I1309" t="s">
        <v>9390</v>
      </c>
      <c r="J1309" t="s">
        <v>2481</v>
      </c>
      <c r="K1309" t="s">
        <v>27</v>
      </c>
      <c r="L1309">
        <v>16266.43</v>
      </c>
      <c r="M1309">
        <v>332</v>
      </c>
      <c r="N1309" t="s">
        <v>34</v>
      </c>
      <c r="O1309" t="s">
        <v>17</v>
      </c>
    </row>
    <row r="1310" spans="1:15" x14ac:dyDescent="0.3">
      <c r="A1310" t="s">
        <v>2476</v>
      </c>
      <c r="B1310" t="s">
        <v>2475</v>
      </c>
      <c r="C1310" t="s">
        <v>40</v>
      </c>
      <c r="D1310">
        <v>34</v>
      </c>
      <c r="E1310" t="s">
        <v>21</v>
      </c>
      <c r="F1310" t="s">
        <v>67</v>
      </c>
      <c r="G1310" s="8">
        <v>46138</v>
      </c>
      <c r="H1310" s="8">
        <v>46155</v>
      </c>
      <c r="I1310" t="s">
        <v>9391</v>
      </c>
      <c r="J1310" t="s">
        <v>2473</v>
      </c>
      <c r="K1310" t="s">
        <v>123</v>
      </c>
      <c r="L1310">
        <v>16409.59</v>
      </c>
      <c r="M1310">
        <v>494</v>
      </c>
      <c r="N1310" t="s">
        <v>50</v>
      </c>
      <c r="O1310" t="s">
        <v>57</v>
      </c>
    </row>
    <row r="1311" spans="1:15" x14ac:dyDescent="0.3">
      <c r="A1311" t="s">
        <v>2472</v>
      </c>
      <c r="B1311" t="s">
        <v>2471</v>
      </c>
      <c r="C1311" t="s">
        <v>74</v>
      </c>
      <c r="D1311">
        <v>74</v>
      </c>
      <c r="E1311" t="s">
        <v>39</v>
      </c>
      <c r="F1311" t="s">
        <v>8077</v>
      </c>
      <c r="G1311" s="8">
        <v>46129</v>
      </c>
      <c r="H1311" s="8">
        <v>46153</v>
      </c>
      <c r="I1311" t="s">
        <v>9392</v>
      </c>
      <c r="J1311" t="s">
        <v>2469</v>
      </c>
      <c r="K1311" t="s">
        <v>27</v>
      </c>
      <c r="L1311">
        <v>5312.38</v>
      </c>
      <c r="M1311">
        <v>151</v>
      </c>
      <c r="N1311" t="s">
        <v>77</v>
      </c>
      <c r="O1311" t="s">
        <v>26</v>
      </c>
    </row>
    <row r="1312" spans="1:15" x14ac:dyDescent="0.3">
      <c r="A1312" t="s">
        <v>2468</v>
      </c>
      <c r="B1312" t="s">
        <v>2467</v>
      </c>
      <c r="C1312" t="s">
        <v>40</v>
      </c>
      <c r="D1312">
        <v>17</v>
      </c>
      <c r="E1312" t="s">
        <v>31</v>
      </c>
      <c r="F1312" t="s">
        <v>20</v>
      </c>
      <c r="G1312" s="8">
        <v>46075</v>
      </c>
      <c r="H1312" s="8">
        <v>46085</v>
      </c>
      <c r="I1312" t="s">
        <v>9393</v>
      </c>
      <c r="J1312" t="s">
        <v>2465</v>
      </c>
      <c r="K1312" t="s">
        <v>64</v>
      </c>
      <c r="L1312">
        <v>23225.94</v>
      </c>
      <c r="M1312">
        <v>203</v>
      </c>
      <c r="N1312" t="s">
        <v>43</v>
      </c>
      <c r="O1312" t="s">
        <v>57</v>
      </c>
    </row>
    <row r="1313" spans="1:15" x14ac:dyDescent="0.3">
      <c r="A1313" t="s">
        <v>2464</v>
      </c>
      <c r="B1313" t="s">
        <v>2463</v>
      </c>
      <c r="C1313" t="s">
        <v>40</v>
      </c>
      <c r="D1313">
        <v>55</v>
      </c>
      <c r="E1313" t="s">
        <v>132</v>
      </c>
      <c r="F1313" t="s">
        <v>8077</v>
      </c>
      <c r="G1313" s="8">
        <v>45990</v>
      </c>
      <c r="H1313" s="8">
        <v>46019</v>
      </c>
      <c r="I1313" t="s">
        <v>9394</v>
      </c>
      <c r="J1313" t="s">
        <v>2461</v>
      </c>
      <c r="K1313" t="s">
        <v>64</v>
      </c>
      <c r="L1313">
        <v>19354.16</v>
      </c>
      <c r="M1313">
        <v>170</v>
      </c>
      <c r="N1313" t="s">
        <v>16</v>
      </c>
      <c r="O1313" t="s">
        <v>27</v>
      </c>
    </row>
    <row r="1314" spans="1:15" x14ac:dyDescent="0.3">
      <c r="A1314" t="s">
        <v>2456</v>
      </c>
      <c r="B1314" t="s">
        <v>2455</v>
      </c>
      <c r="C1314" t="s">
        <v>74</v>
      </c>
      <c r="D1314">
        <v>27</v>
      </c>
      <c r="E1314" t="s">
        <v>54</v>
      </c>
      <c r="F1314" t="s">
        <v>20</v>
      </c>
      <c r="G1314" s="8">
        <v>46110</v>
      </c>
      <c r="H1314" s="8">
        <v>46112</v>
      </c>
      <c r="I1314" t="s">
        <v>9395</v>
      </c>
      <c r="J1314" t="s">
        <v>2453</v>
      </c>
      <c r="K1314" t="s">
        <v>27</v>
      </c>
      <c r="L1314">
        <v>12766.24</v>
      </c>
      <c r="M1314">
        <v>183</v>
      </c>
      <c r="N1314" t="s">
        <v>50</v>
      </c>
      <c r="O1314" t="s">
        <v>64</v>
      </c>
    </row>
    <row r="1315" spans="1:15" x14ac:dyDescent="0.3">
      <c r="A1315" t="s">
        <v>2452</v>
      </c>
      <c r="B1315" t="s">
        <v>2451</v>
      </c>
      <c r="C1315" t="s">
        <v>74</v>
      </c>
      <c r="D1315">
        <v>16</v>
      </c>
      <c r="E1315" t="s">
        <v>68</v>
      </c>
      <c r="F1315" t="s">
        <v>67</v>
      </c>
      <c r="G1315" s="8">
        <v>46029</v>
      </c>
      <c r="H1315" s="8">
        <v>46052</v>
      </c>
      <c r="I1315" t="s">
        <v>9396</v>
      </c>
      <c r="J1315" t="s">
        <v>2449</v>
      </c>
      <c r="K1315" t="s">
        <v>64</v>
      </c>
      <c r="L1315">
        <v>10495.17</v>
      </c>
      <c r="M1315">
        <v>146</v>
      </c>
      <c r="N1315" t="s">
        <v>50</v>
      </c>
      <c r="O1315" t="s">
        <v>57</v>
      </c>
    </row>
    <row r="1316" spans="1:15" x14ac:dyDescent="0.3">
      <c r="A1316" t="s">
        <v>2448</v>
      </c>
      <c r="B1316" t="s">
        <v>2447</v>
      </c>
      <c r="C1316" t="s">
        <v>74</v>
      </c>
      <c r="D1316">
        <v>62</v>
      </c>
      <c r="E1316" t="s">
        <v>132</v>
      </c>
      <c r="F1316" t="s">
        <v>20</v>
      </c>
      <c r="G1316" s="8">
        <v>46139</v>
      </c>
      <c r="H1316" s="8">
        <v>46169</v>
      </c>
      <c r="I1316" t="s">
        <v>9397</v>
      </c>
      <c r="J1316" t="s">
        <v>2445</v>
      </c>
      <c r="K1316" t="s">
        <v>123</v>
      </c>
      <c r="L1316">
        <v>600.41</v>
      </c>
      <c r="M1316">
        <v>511</v>
      </c>
      <c r="N1316" t="s">
        <v>16</v>
      </c>
      <c r="O1316" t="s">
        <v>123</v>
      </c>
    </row>
    <row r="1317" spans="1:15" x14ac:dyDescent="0.3">
      <c r="A1317" t="s">
        <v>2444</v>
      </c>
      <c r="B1317" t="s">
        <v>2443</v>
      </c>
      <c r="C1317" t="s">
        <v>123</v>
      </c>
      <c r="D1317">
        <v>13</v>
      </c>
      <c r="E1317" t="s">
        <v>31</v>
      </c>
      <c r="F1317" t="s">
        <v>67</v>
      </c>
      <c r="G1317" s="8">
        <v>46144</v>
      </c>
      <c r="H1317" s="8">
        <v>46174</v>
      </c>
      <c r="I1317" t="s">
        <v>9398</v>
      </c>
      <c r="J1317" t="s">
        <v>2441</v>
      </c>
      <c r="K1317" t="s">
        <v>27</v>
      </c>
      <c r="L1317">
        <v>20946.060000000001</v>
      </c>
      <c r="M1317">
        <v>534</v>
      </c>
      <c r="N1317" t="s">
        <v>25</v>
      </c>
      <c r="O1317" t="s">
        <v>123</v>
      </c>
    </row>
    <row r="1318" spans="1:15" x14ac:dyDescent="0.3">
      <c r="A1318" t="s">
        <v>2436</v>
      </c>
      <c r="B1318" t="s">
        <v>2435</v>
      </c>
      <c r="C1318" t="s">
        <v>74</v>
      </c>
      <c r="D1318">
        <v>6</v>
      </c>
      <c r="E1318" t="s">
        <v>39</v>
      </c>
      <c r="F1318" t="s">
        <v>8077</v>
      </c>
      <c r="G1318" s="8">
        <v>46110</v>
      </c>
      <c r="H1318" s="8">
        <v>46115</v>
      </c>
      <c r="I1318" t="s">
        <v>9399</v>
      </c>
      <c r="J1318" t="s">
        <v>2433</v>
      </c>
      <c r="K1318" t="s">
        <v>27</v>
      </c>
      <c r="L1318">
        <v>3373.12</v>
      </c>
      <c r="M1318">
        <v>171</v>
      </c>
      <c r="N1318" t="s">
        <v>25</v>
      </c>
      <c r="O1318" t="s">
        <v>26</v>
      </c>
    </row>
    <row r="1319" spans="1:15" x14ac:dyDescent="0.3">
      <c r="A1319" t="s">
        <v>2432</v>
      </c>
      <c r="B1319" t="s">
        <v>2431</v>
      </c>
      <c r="C1319" t="s">
        <v>123</v>
      </c>
      <c r="D1319">
        <v>5</v>
      </c>
      <c r="E1319" t="s">
        <v>47</v>
      </c>
      <c r="F1319" t="s">
        <v>8077</v>
      </c>
      <c r="G1319" s="8">
        <v>46061</v>
      </c>
      <c r="H1319" s="8">
        <v>46088</v>
      </c>
      <c r="I1319" t="s">
        <v>9400</v>
      </c>
      <c r="J1319" t="s">
        <v>2429</v>
      </c>
      <c r="K1319" t="s">
        <v>27</v>
      </c>
      <c r="L1319">
        <v>9418.26</v>
      </c>
      <c r="M1319">
        <v>521</v>
      </c>
      <c r="N1319" t="s">
        <v>71</v>
      </c>
      <c r="O1319" t="s">
        <v>123</v>
      </c>
    </row>
    <row r="1320" spans="1:15" x14ac:dyDescent="0.3">
      <c r="A1320" t="s">
        <v>2428</v>
      </c>
      <c r="B1320" t="s">
        <v>2427</v>
      </c>
      <c r="C1320" t="s">
        <v>123</v>
      </c>
      <c r="D1320">
        <v>23</v>
      </c>
      <c r="E1320" t="s">
        <v>39</v>
      </c>
      <c r="F1320" t="s">
        <v>20</v>
      </c>
      <c r="G1320" s="8">
        <v>45994</v>
      </c>
      <c r="H1320" s="8">
        <v>46017</v>
      </c>
      <c r="I1320" t="s">
        <v>9401</v>
      </c>
      <c r="J1320" t="s">
        <v>2425</v>
      </c>
      <c r="K1320" t="s">
        <v>27</v>
      </c>
      <c r="L1320">
        <v>9253.69</v>
      </c>
      <c r="M1320">
        <v>502</v>
      </c>
      <c r="N1320" t="s">
        <v>71</v>
      </c>
      <c r="O1320" t="s">
        <v>64</v>
      </c>
    </row>
    <row r="1321" spans="1:15" x14ac:dyDescent="0.3">
      <c r="A1321" t="s">
        <v>2424</v>
      </c>
      <c r="B1321" t="s">
        <v>8065</v>
      </c>
      <c r="C1321" t="s">
        <v>40</v>
      </c>
      <c r="D1321">
        <v>64</v>
      </c>
      <c r="E1321" t="s">
        <v>21</v>
      </c>
      <c r="F1321" t="s">
        <v>30</v>
      </c>
      <c r="G1321" s="8">
        <v>46124</v>
      </c>
      <c r="H1321" s="8">
        <v>46136</v>
      </c>
      <c r="I1321" t="s">
        <v>9402</v>
      </c>
      <c r="J1321" t="s">
        <v>2421</v>
      </c>
      <c r="K1321" t="s">
        <v>64</v>
      </c>
      <c r="L1321">
        <v>22742.73</v>
      </c>
      <c r="M1321">
        <v>418</v>
      </c>
      <c r="N1321" t="s">
        <v>43</v>
      </c>
      <c r="O1321" t="s">
        <v>63</v>
      </c>
    </row>
    <row r="1322" spans="1:15" x14ac:dyDescent="0.3">
      <c r="A1322" t="s">
        <v>2420</v>
      </c>
      <c r="B1322" t="s">
        <v>2419</v>
      </c>
      <c r="C1322" t="s">
        <v>40</v>
      </c>
      <c r="D1322">
        <v>4</v>
      </c>
      <c r="E1322" t="s">
        <v>31</v>
      </c>
      <c r="F1322" t="s">
        <v>46</v>
      </c>
      <c r="G1322" s="8">
        <v>46003</v>
      </c>
      <c r="H1322" s="8">
        <v>46031</v>
      </c>
      <c r="I1322" t="s">
        <v>9403</v>
      </c>
      <c r="J1322" t="s">
        <v>2417</v>
      </c>
      <c r="K1322" t="s">
        <v>123</v>
      </c>
      <c r="L1322">
        <v>1048.72</v>
      </c>
      <c r="M1322">
        <v>308</v>
      </c>
      <c r="N1322" t="s">
        <v>77</v>
      </c>
      <c r="O1322" t="s">
        <v>26</v>
      </c>
    </row>
    <row r="1323" spans="1:15" x14ac:dyDescent="0.3">
      <c r="A1323" t="s">
        <v>2416</v>
      </c>
      <c r="B1323" t="s">
        <v>2415</v>
      </c>
      <c r="C1323" t="s">
        <v>123</v>
      </c>
      <c r="D1323">
        <v>77</v>
      </c>
      <c r="E1323" t="s">
        <v>39</v>
      </c>
      <c r="F1323" t="s">
        <v>20</v>
      </c>
      <c r="G1323" s="8">
        <v>46005</v>
      </c>
      <c r="H1323" s="8">
        <v>46008</v>
      </c>
      <c r="I1323" t="s">
        <v>9404</v>
      </c>
      <c r="J1323" t="s">
        <v>2413</v>
      </c>
      <c r="K1323" t="s">
        <v>27</v>
      </c>
      <c r="L1323">
        <v>8846.93</v>
      </c>
      <c r="M1323">
        <v>147</v>
      </c>
      <c r="N1323" t="s">
        <v>16</v>
      </c>
      <c r="O1323" t="s">
        <v>57</v>
      </c>
    </row>
    <row r="1324" spans="1:15" x14ac:dyDescent="0.3">
      <c r="A1324" t="s">
        <v>2412</v>
      </c>
      <c r="B1324" t="s">
        <v>2411</v>
      </c>
      <c r="C1324" t="s">
        <v>74</v>
      </c>
      <c r="D1324">
        <v>15</v>
      </c>
      <c r="E1324" t="s">
        <v>68</v>
      </c>
      <c r="F1324" t="s">
        <v>85</v>
      </c>
      <c r="G1324" s="8">
        <v>46020</v>
      </c>
      <c r="H1324" s="8">
        <v>46033</v>
      </c>
      <c r="I1324" t="s">
        <v>9405</v>
      </c>
      <c r="J1324" t="s">
        <v>2409</v>
      </c>
      <c r="K1324" t="s">
        <v>123</v>
      </c>
      <c r="L1324">
        <v>3533.25</v>
      </c>
      <c r="M1324">
        <v>259</v>
      </c>
      <c r="N1324" t="s">
        <v>16</v>
      </c>
      <c r="O1324" t="s">
        <v>27</v>
      </c>
    </row>
    <row r="1325" spans="1:15" x14ac:dyDescent="0.3">
      <c r="A1325" t="s">
        <v>2408</v>
      </c>
      <c r="B1325" t="s">
        <v>2407</v>
      </c>
      <c r="C1325" t="s">
        <v>123</v>
      </c>
      <c r="D1325">
        <v>33</v>
      </c>
      <c r="E1325" t="s">
        <v>39</v>
      </c>
      <c r="F1325" t="s">
        <v>67</v>
      </c>
      <c r="G1325" s="8">
        <v>46141</v>
      </c>
      <c r="H1325" s="8">
        <v>46162</v>
      </c>
      <c r="I1325" t="s">
        <v>9406</v>
      </c>
      <c r="J1325" t="s">
        <v>2405</v>
      </c>
      <c r="K1325" t="s">
        <v>64</v>
      </c>
      <c r="L1325">
        <v>23931.25</v>
      </c>
      <c r="M1325">
        <v>344</v>
      </c>
      <c r="N1325" t="s">
        <v>16</v>
      </c>
      <c r="O1325" t="s">
        <v>64</v>
      </c>
    </row>
    <row r="1326" spans="1:15" x14ac:dyDescent="0.3">
      <c r="A1326" t="s">
        <v>2404</v>
      </c>
      <c r="B1326" t="s">
        <v>2403</v>
      </c>
      <c r="C1326" t="s">
        <v>74</v>
      </c>
      <c r="D1326">
        <v>17</v>
      </c>
      <c r="E1326" t="s">
        <v>21</v>
      </c>
      <c r="F1326" t="s">
        <v>20</v>
      </c>
      <c r="G1326" s="8">
        <v>46058</v>
      </c>
      <c r="H1326" s="8">
        <v>46083</v>
      </c>
      <c r="I1326" t="s">
        <v>9407</v>
      </c>
      <c r="J1326" t="s">
        <v>2401</v>
      </c>
      <c r="K1326" t="s">
        <v>27</v>
      </c>
      <c r="L1326">
        <v>5793.69</v>
      </c>
      <c r="M1326">
        <v>480</v>
      </c>
      <c r="N1326" t="s">
        <v>77</v>
      </c>
      <c r="O1326" t="s">
        <v>64</v>
      </c>
    </row>
    <row r="1327" spans="1:15" x14ac:dyDescent="0.3">
      <c r="A1327" t="s">
        <v>2400</v>
      </c>
      <c r="B1327" t="s">
        <v>2399</v>
      </c>
      <c r="C1327" t="s">
        <v>123</v>
      </c>
      <c r="D1327">
        <v>37</v>
      </c>
      <c r="E1327" t="s">
        <v>80</v>
      </c>
      <c r="F1327" t="s">
        <v>8077</v>
      </c>
      <c r="G1327" s="8">
        <v>46060</v>
      </c>
      <c r="H1327" s="8">
        <v>46067</v>
      </c>
      <c r="I1327" t="s">
        <v>9408</v>
      </c>
      <c r="J1327" t="s">
        <v>2397</v>
      </c>
      <c r="K1327" t="s">
        <v>27</v>
      </c>
      <c r="L1327">
        <v>4778.74</v>
      </c>
      <c r="M1327">
        <v>268</v>
      </c>
      <c r="N1327" t="s">
        <v>25</v>
      </c>
      <c r="O1327" t="s">
        <v>63</v>
      </c>
    </row>
    <row r="1328" spans="1:15" x14ac:dyDescent="0.3">
      <c r="A1328" t="s">
        <v>2396</v>
      </c>
      <c r="B1328" t="s">
        <v>2395</v>
      </c>
      <c r="C1328" t="s">
        <v>123</v>
      </c>
      <c r="D1328">
        <v>86</v>
      </c>
      <c r="E1328" t="s">
        <v>132</v>
      </c>
      <c r="F1328" t="s">
        <v>20</v>
      </c>
      <c r="G1328" s="8">
        <v>46117</v>
      </c>
      <c r="H1328" s="8">
        <v>46127</v>
      </c>
      <c r="I1328" t="s">
        <v>9409</v>
      </c>
      <c r="J1328" t="s">
        <v>2393</v>
      </c>
      <c r="K1328" t="s">
        <v>123</v>
      </c>
      <c r="L1328">
        <v>9494.31</v>
      </c>
      <c r="M1328">
        <v>396</v>
      </c>
      <c r="N1328" t="s">
        <v>25</v>
      </c>
      <c r="O1328" t="s">
        <v>26</v>
      </c>
    </row>
    <row r="1329" spans="1:15" x14ac:dyDescent="0.3">
      <c r="A1329" t="s">
        <v>2392</v>
      </c>
      <c r="B1329" t="s">
        <v>2391</v>
      </c>
      <c r="C1329" t="s">
        <v>40</v>
      </c>
      <c r="D1329">
        <v>50</v>
      </c>
      <c r="E1329" t="s">
        <v>47</v>
      </c>
      <c r="F1329" t="s">
        <v>8077</v>
      </c>
      <c r="G1329" s="8">
        <v>46138</v>
      </c>
      <c r="H1329" s="8">
        <v>46143</v>
      </c>
      <c r="I1329" t="s">
        <v>9410</v>
      </c>
      <c r="J1329" t="s">
        <v>2389</v>
      </c>
      <c r="K1329" t="s">
        <v>27</v>
      </c>
      <c r="L1329">
        <v>3745.27</v>
      </c>
      <c r="M1329">
        <v>527</v>
      </c>
      <c r="N1329" t="s">
        <v>50</v>
      </c>
      <c r="O1329" t="s">
        <v>27</v>
      </c>
    </row>
    <row r="1330" spans="1:15" x14ac:dyDescent="0.3">
      <c r="A1330" t="s">
        <v>2384</v>
      </c>
      <c r="B1330" t="s">
        <v>2383</v>
      </c>
      <c r="C1330" t="s">
        <v>123</v>
      </c>
      <c r="D1330">
        <v>58</v>
      </c>
      <c r="E1330" t="s">
        <v>21</v>
      </c>
      <c r="F1330" t="s">
        <v>85</v>
      </c>
      <c r="G1330" s="8">
        <v>46122</v>
      </c>
      <c r="H1330" s="8">
        <v>46141</v>
      </c>
      <c r="I1330" t="s">
        <v>9411</v>
      </c>
      <c r="J1330" t="s">
        <v>2381</v>
      </c>
      <c r="K1330" t="s">
        <v>27</v>
      </c>
      <c r="L1330">
        <v>13737.81</v>
      </c>
      <c r="M1330">
        <v>481</v>
      </c>
      <c r="N1330" t="s">
        <v>43</v>
      </c>
      <c r="O1330" t="s">
        <v>64</v>
      </c>
    </row>
    <row r="1331" spans="1:15" x14ac:dyDescent="0.3">
      <c r="A1331" t="s">
        <v>2380</v>
      </c>
      <c r="B1331" t="s">
        <v>2379</v>
      </c>
      <c r="C1331" t="s">
        <v>74</v>
      </c>
      <c r="D1331">
        <v>44</v>
      </c>
      <c r="E1331" t="s">
        <v>39</v>
      </c>
      <c r="F1331" t="s">
        <v>30</v>
      </c>
      <c r="G1331" s="8">
        <v>46019</v>
      </c>
      <c r="H1331" s="8">
        <v>46029</v>
      </c>
      <c r="I1331" t="s">
        <v>9412</v>
      </c>
      <c r="J1331" t="s">
        <v>2377</v>
      </c>
      <c r="K1331" t="s">
        <v>123</v>
      </c>
      <c r="L1331">
        <v>19345.79</v>
      </c>
      <c r="M1331">
        <v>439</v>
      </c>
      <c r="N1331" t="s">
        <v>77</v>
      </c>
      <c r="O1331" t="s">
        <v>123</v>
      </c>
    </row>
    <row r="1332" spans="1:15" x14ac:dyDescent="0.3">
      <c r="A1332" t="s">
        <v>2376</v>
      </c>
      <c r="B1332" t="s">
        <v>2375</v>
      </c>
      <c r="C1332" t="s">
        <v>74</v>
      </c>
      <c r="D1332">
        <v>67</v>
      </c>
      <c r="E1332" t="s">
        <v>132</v>
      </c>
      <c r="F1332" t="s">
        <v>20</v>
      </c>
      <c r="G1332" s="8">
        <v>46082</v>
      </c>
      <c r="H1332" s="8">
        <v>46107</v>
      </c>
      <c r="I1332" t="s">
        <v>9413</v>
      </c>
      <c r="J1332" t="s">
        <v>2373</v>
      </c>
      <c r="K1332" t="s">
        <v>64</v>
      </c>
      <c r="L1332">
        <v>10777.56</v>
      </c>
      <c r="M1332">
        <v>378</v>
      </c>
      <c r="N1332" t="s">
        <v>71</v>
      </c>
      <c r="O1332" t="s">
        <v>27</v>
      </c>
    </row>
    <row r="1333" spans="1:15" x14ac:dyDescent="0.3">
      <c r="A1333" t="s">
        <v>2372</v>
      </c>
      <c r="B1333" t="s">
        <v>2371</v>
      </c>
      <c r="C1333" t="s">
        <v>74</v>
      </c>
      <c r="D1333">
        <v>30</v>
      </c>
      <c r="E1333" t="s">
        <v>68</v>
      </c>
      <c r="F1333" t="s">
        <v>20</v>
      </c>
      <c r="G1333" s="8">
        <v>45996</v>
      </c>
      <c r="H1333" s="8">
        <v>45999</v>
      </c>
      <c r="I1333" t="s">
        <v>9414</v>
      </c>
      <c r="J1333" t="s">
        <v>2369</v>
      </c>
      <c r="K1333" t="s">
        <v>27</v>
      </c>
      <c r="L1333">
        <v>3332.22</v>
      </c>
      <c r="M1333">
        <v>257</v>
      </c>
      <c r="N1333" t="s">
        <v>16</v>
      </c>
      <c r="O1333" t="s">
        <v>17</v>
      </c>
    </row>
    <row r="1334" spans="1:15" x14ac:dyDescent="0.3">
      <c r="A1334" t="s">
        <v>2368</v>
      </c>
      <c r="B1334" t="s">
        <v>2367</v>
      </c>
      <c r="C1334" t="s">
        <v>123</v>
      </c>
      <c r="D1334">
        <v>71</v>
      </c>
      <c r="E1334" t="s">
        <v>80</v>
      </c>
      <c r="F1334" t="s">
        <v>20</v>
      </c>
      <c r="G1334" s="8">
        <v>46000</v>
      </c>
      <c r="H1334" s="8">
        <v>46012</v>
      </c>
      <c r="I1334" t="s">
        <v>9415</v>
      </c>
      <c r="J1334" t="s">
        <v>2365</v>
      </c>
      <c r="K1334" t="s">
        <v>64</v>
      </c>
      <c r="L1334">
        <v>3714.37</v>
      </c>
      <c r="M1334">
        <v>497</v>
      </c>
      <c r="N1334" t="s">
        <v>77</v>
      </c>
      <c r="O1334" t="s">
        <v>57</v>
      </c>
    </row>
    <row r="1335" spans="1:15" x14ac:dyDescent="0.3">
      <c r="A1335" t="s">
        <v>2364</v>
      </c>
      <c r="B1335" t="s">
        <v>2363</v>
      </c>
      <c r="C1335" t="s">
        <v>74</v>
      </c>
      <c r="D1335">
        <v>46</v>
      </c>
      <c r="E1335" t="s">
        <v>39</v>
      </c>
      <c r="F1335" t="s">
        <v>46</v>
      </c>
      <c r="G1335" s="8">
        <v>45996</v>
      </c>
      <c r="H1335" s="8">
        <v>46021</v>
      </c>
      <c r="I1335" t="s">
        <v>9416</v>
      </c>
      <c r="J1335" t="s">
        <v>2361</v>
      </c>
      <c r="K1335" t="s">
        <v>64</v>
      </c>
      <c r="L1335">
        <v>13578.54</v>
      </c>
      <c r="M1335">
        <v>291</v>
      </c>
      <c r="N1335" t="s">
        <v>71</v>
      </c>
      <c r="O1335" t="s">
        <v>26</v>
      </c>
    </row>
    <row r="1336" spans="1:15" x14ac:dyDescent="0.3">
      <c r="A1336" t="s">
        <v>2360</v>
      </c>
      <c r="B1336" t="s">
        <v>2359</v>
      </c>
      <c r="C1336" t="s">
        <v>74</v>
      </c>
      <c r="D1336">
        <v>88</v>
      </c>
      <c r="E1336" t="s">
        <v>39</v>
      </c>
      <c r="F1336" t="s">
        <v>8077</v>
      </c>
      <c r="G1336" s="8">
        <v>46073</v>
      </c>
      <c r="H1336" s="8">
        <v>46099</v>
      </c>
      <c r="I1336" t="s">
        <v>9417</v>
      </c>
      <c r="J1336" t="s">
        <v>2357</v>
      </c>
      <c r="K1336" t="s">
        <v>27</v>
      </c>
      <c r="L1336">
        <v>13612.37</v>
      </c>
      <c r="M1336">
        <v>539</v>
      </c>
      <c r="N1336" t="s">
        <v>71</v>
      </c>
      <c r="O1336" t="s">
        <v>123</v>
      </c>
    </row>
    <row r="1337" spans="1:15" x14ac:dyDescent="0.3">
      <c r="A1337" t="s">
        <v>2356</v>
      </c>
      <c r="B1337" t="s">
        <v>2355</v>
      </c>
      <c r="C1337" t="s">
        <v>40</v>
      </c>
      <c r="D1337">
        <v>7</v>
      </c>
      <c r="E1337" t="s">
        <v>54</v>
      </c>
      <c r="F1337" t="s">
        <v>30</v>
      </c>
      <c r="G1337" s="8">
        <v>46050</v>
      </c>
      <c r="H1337" s="8">
        <v>46062</v>
      </c>
      <c r="I1337" t="s">
        <v>9418</v>
      </c>
      <c r="J1337" t="s">
        <v>2353</v>
      </c>
      <c r="K1337" t="s">
        <v>123</v>
      </c>
      <c r="L1337">
        <v>22364.86</v>
      </c>
      <c r="M1337">
        <v>264</v>
      </c>
      <c r="N1337" t="s">
        <v>71</v>
      </c>
      <c r="O1337" t="s">
        <v>123</v>
      </c>
    </row>
    <row r="1338" spans="1:15" x14ac:dyDescent="0.3">
      <c r="A1338" t="s">
        <v>2352</v>
      </c>
      <c r="B1338" t="s">
        <v>2351</v>
      </c>
      <c r="C1338" t="s">
        <v>40</v>
      </c>
      <c r="D1338">
        <v>1</v>
      </c>
      <c r="E1338" t="s">
        <v>80</v>
      </c>
      <c r="F1338" t="s">
        <v>30</v>
      </c>
      <c r="G1338" s="8">
        <v>46009</v>
      </c>
      <c r="H1338" s="8">
        <v>46031</v>
      </c>
      <c r="I1338" t="s">
        <v>9419</v>
      </c>
      <c r="J1338" t="s">
        <v>2349</v>
      </c>
      <c r="K1338" t="s">
        <v>27</v>
      </c>
      <c r="L1338">
        <v>5377.12</v>
      </c>
      <c r="M1338">
        <v>130</v>
      </c>
      <c r="N1338" t="s">
        <v>50</v>
      </c>
      <c r="O1338" t="s">
        <v>64</v>
      </c>
    </row>
    <row r="1339" spans="1:15" x14ac:dyDescent="0.3">
      <c r="A1339" t="s">
        <v>2348</v>
      </c>
      <c r="B1339" t="s">
        <v>2347</v>
      </c>
      <c r="C1339" t="s">
        <v>123</v>
      </c>
      <c r="D1339">
        <v>18</v>
      </c>
      <c r="E1339" t="s">
        <v>39</v>
      </c>
      <c r="F1339" t="s">
        <v>85</v>
      </c>
      <c r="G1339" s="8">
        <v>46143</v>
      </c>
      <c r="H1339" s="8">
        <v>46169</v>
      </c>
      <c r="I1339" t="s">
        <v>9420</v>
      </c>
      <c r="J1339" t="s">
        <v>2345</v>
      </c>
      <c r="K1339" t="s">
        <v>27</v>
      </c>
      <c r="L1339">
        <v>19161.900000000001</v>
      </c>
      <c r="M1339">
        <v>300</v>
      </c>
      <c r="N1339" t="s">
        <v>50</v>
      </c>
      <c r="O1339" t="s">
        <v>57</v>
      </c>
    </row>
    <row r="1340" spans="1:15" x14ac:dyDescent="0.3">
      <c r="A1340" t="s">
        <v>2344</v>
      </c>
      <c r="B1340" t="s">
        <v>2343</v>
      </c>
      <c r="C1340" t="s">
        <v>40</v>
      </c>
      <c r="D1340">
        <v>83</v>
      </c>
      <c r="E1340" t="s">
        <v>54</v>
      </c>
      <c r="F1340" t="s">
        <v>67</v>
      </c>
      <c r="G1340" s="8">
        <v>46091</v>
      </c>
      <c r="H1340" s="8">
        <v>46109</v>
      </c>
      <c r="I1340" t="s">
        <v>9421</v>
      </c>
      <c r="J1340" t="s">
        <v>2341</v>
      </c>
      <c r="K1340" t="s">
        <v>64</v>
      </c>
      <c r="L1340">
        <v>6364.62</v>
      </c>
      <c r="M1340">
        <v>136</v>
      </c>
      <c r="N1340" t="s">
        <v>71</v>
      </c>
      <c r="O1340" t="s">
        <v>17</v>
      </c>
    </row>
    <row r="1341" spans="1:15" x14ac:dyDescent="0.3">
      <c r="A1341" t="s">
        <v>2340</v>
      </c>
      <c r="B1341" t="s">
        <v>2339</v>
      </c>
      <c r="C1341" t="s">
        <v>40</v>
      </c>
      <c r="D1341">
        <v>18</v>
      </c>
      <c r="E1341" t="s">
        <v>54</v>
      </c>
      <c r="F1341" t="s">
        <v>20</v>
      </c>
      <c r="G1341" s="8">
        <v>45999</v>
      </c>
      <c r="H1341" s="8">
        <v>46022</v>
      </c>
      <c r="I1341" t="s">
        <v>9422</v>
      </c>
      <c r="J1341" t="s">
        <v>2337</v>
      </c>
      <c r="K1341" t="s">
        <v>27</v>
      </c>
      <c r="L1341">
        <v>5304.61</v>
      </c>
      <c r="M1341">
        <v>444</v>
      </c>
      <c r="N1341" t="s">
        <v>43</v>
      </c>
      <c r="O1341" t="s">
        <v>26</v>
      </c>
    </row>
    <row r="1342" spans="1:15" x14ac:dyDescent="0.3">
      <c r="A1342" t="s">
        <v>2336</v>
      </c>
      <c r="B1342" t="s">
        <v>2335</v>
      </c>
      <c r="C1342" t="s">
        <v>74</v>
      </c>
      <c r="D1342">
        <v>2</v>
      </c>
      <c r="E1342" t="s">
        <v>80</v>
      </c>
      <c r="F1342" t="s">
        <v>30</v>
      </c>
      <c r="G1342" s="8">
        <v>46134</v>
      </c>
      <c r="H1342" s="8">
        <v>46150</v>
      </c>
      <c r="I1342" t="s">
        <v>9423</v>
      </c>
      <c r="J1342" t="s">
        <v>2333</v>
      </c>
      <c r="K1342" t="s">
        <v>64</v>
      </c>
      <c r="L1342">
        <v>19337.12</v>
      </c>
      <c r="M1342">
        <v>218</v>
      </c>
      <c r="N1342" t="s">
        <v>25</v>
      </c>
      <c r="O1342" t="s">
        <v>123</v>
      </c>
    </row>
    <row r="1343" spans="1:15" x14ac:dyDescent="0.3">
      <c r="A1343" t="s">
        <v>2332</v>
      </c>
      <c r="B1343" t="s">
        <v>2331</v>
      </c>
      <c r="C1343" t="s">
        <v>123</v>
      </c>
      <c r="D1343">
        <v>39</v>
      </c>
      <c r="E1343" t="s">
        <v>80</v>
      </c>
      <c r="F1343" t="s">
        <v>85</v>
      </c>
      <c r="G1343" s="8">
        <v>46064</v>
      </c>
      <c r="H1343" s="8">
        <v>46068</v>
      </c>
      <c r="I1343" t="s">
        <v>9424</v>
      </c>
      <c r="J1343" t="s">
        <v>2329</v>
      </c>
      <c r="K1343" t="s">
        <v>64</v>
      </c>
      <c r="L1343">
        <v>22029.63</v>
      </c>
      <c r="M1343">
        <v>548</v>
      </c>
      <c r="N1343" t="s">
        <v>43</v>
      </c>
      <c r="O1343" t="s">
        <v>17</v>
      </c>
    </row>
    <row r="1344" spans="1:15" x14ac:dyDescent="0.3">
      <c r="A1344" t="s">
        <v>2328</v>
      </c>
      <c r="B1344" t="s">
        <v>2327</v>
      </c>
      <c r="C1344" t="s">
        <v>40</v>
      </c>
      <c r="D1344">
        <v>49</v>
      </c>
      <c r="E1344" t="s">
        <v>132</v>
      </c>
      <c r="F1344" t="s">
        <v>20</v>
      </c>
      <c r="G1344" s="8">
        <v>46014</v>
      </c>
      <c r="H1344" s="8">
        <v>46034</v>
      </c>
      <c r="I1344" t="s">
        <v>9425</v>
      </c>
      <c r="J1344" t="s">
        <v>2325</v>
      </c>
      <c r="K1344" t="s">
        <v>123</v>
      </c>
      <c r="L1344">
        <v>10762.58</v>
      </c>
      <c r="M1344">
        <v>548</v>
      </c>
      <c r="N1344" t="s">
        <v>25</v>
      </c>
      <c r="O1344" t="s">
        <v>26</v>
      </c>
    </row>
    <row r="1345" spans="1:15" x14ac:dyDescent="0.3">
      <c r="A1345" t="s">
        <v>2324</v>
      </c>
      <c r="B1345" t="s">
        <v>2323</v>
      </c>
      <c r="C1345" t="s">
        <v>123</v>
      </c>
      <c r="D1345">
        <v>38</v>
      </c>
      <c r="E1345" t="s">
        <v>21</v>
      </c>
      <c r="F1345" t="s">
        <v>20</v>
      </c>
      <c r="G1345" s="8">
        <v>46070</v>
      </c>
      <c r="H1345" s="8">
        <v>46072</v>
      </c>
      <c r="I1345" t="s">
        <v>9426</v>
      </c>
      <c r="J1345" t="s">
        <v>2321</v>
      </c>
      <c r="K1345" t="s">
        <v>64</v>
      </c>
      <c r="L1345">
        <v>6184.06</v>
      </c>
      <c r="M1345">
        <v>528</v>
      </c>
      <c r="N1345" t="s">
        <v>25</v>
      </c>
      <c r="O1345" t="s">
        <v>123</v>
      </c>
    </row>
    <row r="1346" spans="1:15" x14ac:dyDescent="0.3">
      <c r="A1346" t="s">
        <v>2316</v>
      </c>
      <c r="B1346" t="s">
        <v>2315</v>
      </c>
      <c r="C1346" t="s">
        <v>74</v>
      </c>
      <c r="D1346">
        <v>54</v>
      </c>
      <c r="E1346" t="s">
        <v>132</v>
      </c>
      <c r="F1346" t="s">
        <v>67</v>
      </c>
      <c r="G1346" s="8">
        <v>46056</v>
      </c>
      <c r="H1346" s="8">
        <v>46058</v>
      </c>
      <c r="I1346" t="s">
        <v>9427</v>
      </c>
      <c r="J1346" t="s">
        <v>2313</v>
      </c>
      <c r="K1346" t="s">
        <v>27</v>
      </c>
      <c r="L1346">
        <v>2708.05</v>
      </c>
      <c r="M1346">
        <v>224</v>
      </c>
      <c r="N1346" t="s">
        <v>34</v>
      </c>
      <c r="O1346" t="s">
        <v>123</v>
      </c>
    </row>
    <row r="1347" spans="1:15" x14ac:dyDescent="0.3">
      <c r="A1347" t="s">
        <v>2312</v>
      </c>
      <c r="B1347" t="s">
        <v>2311</v>
      </c>
      <c r="C1347" t="s">
        <v>123</v>
      </c>
      <c r="D1347">
        <v>29</v>
      </c>
      <c r="E1347" t="s">
        <v>54</v>
      </c>
      <c r="F1347" t="s">
        <v>30</v>
      </c>
      <c r="G1347" s="8">
        <v>46106</v>
      </c>
      <c r="H1347" s="8">
        <v>46109</v>
      </c>
      <c r="I1347" t="s">
        <v>9428</v>
      </c>
      <c r="J1347" t="s">
        <v>2309</v>
      </c>
      <c r="K1347" t="s">
        <v>123</v>
      </c>
      <c r="L1347">
        <v>14104.63</v>
      </c>
      <c r="M1347">
        <v>410</v>
      </c>
      <c r="N1347" t="s">
        <v>34</v>
      </c>
      <c r="O1347" t="s">
        <v>123</v>
      </c>
    </row>
    <row r="1348" spans="1:15" x14ac:dyDescent="0.3">
      <c r="A1348" t="s">
        <v>2308</v>
      </c>
      <c r="B1348" t="s">
        <v>2307</v>
      </c>
      <c r="C1348" t="s">
        <v>123</v>
      </c>
      <c r="D1348">
        <v>6</v>
      </c>
      <c r="E1348" t="s">
        <v>80</v>
      </c>
      <c r="F1348" t="s">
        <v>20</v>
      </c>
      <c r="G1348" s="8">
        <v>46032</v>
      </c>
      <c r="H1348" s="8">
        <v>46050</v>
      </c>
      <c r="I1348" t="s">
        <v>9429</v>
      </c>
      <c r="J1348" t="s">
        <v>2305</v>
      </c>
      <c r="K1348" t="s">
        <v>64</v>
      </c>
      <c r="L1348">
        <v>3113.34</v>
      </c>
      <c r="M1348">
        <v>284</v>
      </c>
      <c r="N1348" t="s">
        <v>34</v>
      </c>
      <c r="O1348" t="s">
        <v>57</v>
      </c>
    </row>
    <row r="1349" spans="1:15" x14ac:dyDescent="0.3">
      <c r="A1349" t="s">
        <v>2304</v>
      </c>
      <c r="B1349" t="s">
        <v>2303</v>
      </c>
      <c r="C1349" t="s">
        <v>123</v>
      </c>
      <c r="D1349">
        <v>51</v>
      </c>
      <c r="E1349" t="s">
        <v>47</v>
      </c>
      <c r="F1349" t="s">
        <v>67</v>
      </c>
      <c r="G1349" s="8">
        <v>46061</v>
      </c>
      <c r="H1349" s="8">
        <v>46081</v>
      </c>
      <c r="I1349" t="s">
        <v>9430</v>
      </c>
      <c r="J1349" t="s">
        <v>2301</v>
      </c>
      <c r="K1349" t="s">
        <v>123</v>
      </c>
      <c r="L1349">
        <v>21335.38</v>
      </c>
      <c r="M1349">
        <v>304</v>
      </c>
      <c r="N1349" t="s">
        <v>50</v>
      </c>
      <c r="O1349" t="s">
        <v>27</v>
      </c>
    </row>
    <row r="1350" spans="1:15" x14ac:dyDescent="0.3">
      <c r="A1350" t="s">
        <v>2300</v>
      </c>
      <c r="B1350" t="s">
        <v>2299</v>
      </c>
      <c r="C1350" t="s">
        <v>123</v>
      </c>
      <c r="D1350">
        <v>86</v>
      </c>
      <c r="E1350" t="s">
        <v>47</v>
      </c>
      <c r="F1350" t="s">
        <v>8077</v>
      </c>
      <c r="G1350" s="8">
        <v>46106</v>
      </c>
      <c r="H1350" s="8">
        <v>46124</v>
      </c>
      <c r="I1350" t="s">
        <v>9431</v>
      </c>
      <c r="J1350" t="s">
        <v>2297</v>
      </c>
      <c r="K1350" t="s">
        <v>27</v>
      </c>
      <c r="L1350">
        <v>798.78</v>
      </c>
      <c r="M1350">
        <v>150</v>
      </c>
      <c r="N1350" t="s">
        <v>43</v>
      </c>
      <c r="O1350" t="s">
        <v>17</v>
      </c>
    </row>
    <row r="1351" spans="1:15" x14ac:dyDescent="0.3">
      <c r="A1351" t="s">
        <v>2296</v>
      </c>
      <c r="B1351" t="s">
        <v>2295</v>
      </c>
      <c r="C1351" t="s">
        <v>123</v>
      </c>
      <c r="D1351">
        <v>4</v>
      </c>
      <c r="E1351" t="s">
        <v>68</v>
      </c>
      <c r="F1351" t="s">
        <v>30</v>
      </c>
      <c r="G1351" s="8">
        <v>46049</v>
      </c>
      <c r="H1351" s="8">
        <v>46060</v>
      </c>
      <c r="I1351" t="s">
        <v>9432</v>
      </c>
      <c r="J1351" t="s">
        <v>2293</v>
      </c>
      <c r="K1351" t="s">
        <v>64</v>
      </c>
      <c r="L1351">
        <v>8938.99</v>
      </c>
      <c r="M1351">
        <v>241</v>
      </c>
      <c r="N1351" t="s">
        <v>16</v>
      </c>
      <c r="O1351" t="s">
        <v>57</v>
      </c>
    </row>
    <row r="1352" spans="1:15" x14ac:dyDescent="0.3">
      <c r="A1352" t="s">
        <v>2292</v>
      </c>
      <c r="B1352" t="s">
        <v>2291</v>
      </c>
      <c r="C1352" t="s">
        <v>40</v>
      </c>
      <c r="D1352">
        <v>42</v>
      </c>
      <c r="E1352" t="s">
        <v>68</v>
      </c>
      <c r="F1352" t="s">
        <v>30</v>
      </c>
      <c r="G1352" s="8">
        <v>46085</v>
      </c>
      <c r="H1352" s="8">
        <v>46109</v>
      </c>
      <c r="I1352" t="s">
        <v>9433</v>
      </c>
      <c r="J1352" t="s">
        <v>2289</v>
      </c>
      <c r="K1352" t="s">
        <v>27</v>
      </c>
      <c r="L1352">
        <v>5392.65</v>
      </c>
      <c r="M1352">
        <v>479</v>
      </c>
      <c r="N1352" t="s">
        <v>16</v>
      </c>
      <c r="O1352" t="s">
        <v>17</v>
      </c>
    </row>
    <row r="1353" spans="1:15" x14ac:dyDescent="0.3">
      <c r="A1353" t="s">
        <v>2288</v>
      </c>
      <c r="B1353" t="s">
        <v>2287</v>
      </c>
      <c r="C1353" t="s">
        <v>74</v>
      </c>
      <c r="D1353">
        <v>23</v>
      </c>
      <c r="E1353" t="s">
        <v>68</v>
      </c>
      <c r="F1353" t="s">
        <v>20</v>
      </c>
      <c r="G1353" s="8">
        <v>46094</v>
      </c>
      <c r="H1353" s="8">
        <v>46104</v>
      </c>
      <c r="I1353" t="s">
        <v>9434</v>
      </c>
      <c r="J1353" t="s">
        <v>2285</v>
      </c>
      <c r="K1353" t="s">
        <v>64</v>
      </c>
      <c r="L1353">
        <v>15486.79</v>
      </c>
      <c r="M1353">
        <v>262</v>
      </c>
      <c r="N1353" t="s">
        <v>50</v>
      </c>
      <c r="O1353" t="s">
        <v>57</v>
      </c>
    </row>
    <row r="1354" spans="1:15" x14ac:dyDescent="0.3">
      <c r="A1354" t="s">
        <v>2284</v>
      </c>
      <c r="B1354" t="s">
        <v>2283</v>
      </c>
      <c r="C1354" t="s">
        <v>40</v>
      </c>
      <c r="D1354">
        <v>13</v>
      </c>
      <c r="E1354" t="s">
        <v>80</v>
      </c>
      <c r="F1354" t="s">
        <v>67</v>
      </c>
      <c r="G1354" s="8">
        <v>46014</v>
      </c>
      <c r="H1354" s="8">
        <v>46024</v>
      </c>
      <c r="I1354" t="s">
        <v>9435</v>
      </c>
      <c r="J1354" t="s">
        <v>2281</v>
      </c>
      <c r="K1354" t="s">
        <v>123</v>
      </c>
      <c r="L1354">
        <v>16058.98</v>
      </c>
      <c r="M1354">
        <v>203</v>
      </c>
      <c r="N1354" t="s">
        <v>43</v>
      </c>
      <c r="O1354" t="s">
        <v>123</v>
      </c>
    </row>
    <row r="1355" spans="1:15" x14ac:dyDescent="0.3">
      <c r="A1355" t="s">
        <v>2280</v>
      </c>
      <c r="B1355" t="s">
        <v>8066</v>
      </c>
      <c r="C1355" t="s">
        <v>123</v>
      </c>
      <c r="D1355">
        <v>45</v>
      </c>
      <c r="E1355" t="s">
        <v>2278</v>
      </c>
      <c r="F1355" t="s">
        <v>85</v>
      </c>
      <c r="G1355" s="8">
        <v>46040</v>
      </c>
      <c r="H1355" s="8">
        <v>46068</v>
      </c>
      <c r="I1355" t="s">
        <v>9436</v>
      </c>
      <c r="J1355" t="s">
        <v>123</v>
      </c>
      <c r="K1355" t="s">
        <v>64</v>
      </c>
      <c r="L1355">
        <v>-500</v>
      </c>
      <c r="M1355">
        <v>265</v>
      </c>
      <c r="N1355" t="s">
        <v>77</v>
      </c>
      <c r="O1355" t="s">
        <v>26</v>
      </c>
    </row>
    <row r="1356" spans="1:15" x14ac:dyDescent="0.3">
      <c r="A1356" t="s">
        <v>2276</v>
      </c>
      <c r="B1356" t="s">
        <v>2275</v>
      </c>
      <c r="C1356" t="s">
        <v>74</v>
      </c>
      <c r="D1356">
        <v>25</v>
      </c>
      <c r="E1356" t="s">
        <v>132</v>
      </c>
      <c r="F1356" t="s">
        <v>30</v>
      </c>
      <c r="G1356" s="8">
        <v>46079</v>
      </c>
      <c r="H1356" s="8">
        <v>46103</v>
      </c>
      <c r="I1356" t="s">
        <v>9437</v>
      </c>
      <c r="J1356" t="s">
        <v>2273</v>
      </c>
      <c r="K1356" t="s">
        <v>27</v>
      </c>
      <c r="L1356">
        <v>10069.69</v>
      </c>
      <c r="M1356">
        <v>201</v>
      </c>
      <c r="N1356" t="s">
        <v>77</v>
      </c>
      <c r="O1356" t="s">
        <v>64</v>
      </c>
    </row>
    <row r="1357" spans="1:15" x14ac:dyDescent="0.3">
      <c r="A1357" t="s">
        <v>2272</v>
      </c>
      <c r="B1357" t="s">
        <v>2271</v>
      </c>
      <c r="C1357" t="s">
        <v>74</v>
      </c>
      <c r="D1357">
        <v>77</v>
      </c>
      <c r="E1357" t="s">
        <v>54</v>
      </c>
      <c r="F1357" t="s">
        <v>30</v>
      </c>
      <c r="G1357" s="8">
        <v>46076</v>
      </c>
      <c r="H1357" s="8">
        <v>46080</v>
      </c>
      <c r="I1357" t="s">
        <v>9438</v>
      </c>
      <c r="J1357" t="s">
        <v>2269</v>
      </c>
      <c r="K1357" t="s">
        <v>64</v>
      </c>
      <c r="L1357">
        <v>13414.13</v>
      </c>
      <c r="M1357">
        <v>168</v>
      </c>
      <c r="N1357" t="s">
        <v>16</v>
      </c>
      <c r="O1357" t="s">
        <v>123</v>
      </c>
    </row>
    <row r="1358" spans="1:15" x14ac:dyDescent="0.3">
      <c r="A1358" t="s">
        <v>2268</v>
      </c>
      <c r="B1358" t="s">
        <v>2267</v>
      </c>
      <c r="C1358" t="s">
        <v>74</v>
      </c>
      <c r="D1358">
        <v>38</v>
      </c>
      <c r="E1358" t="s">
        <v>80</v>
      </c>
      <c r="F1358" t="s">
        <v>67</v>
      </c>
      <c r="G1358" s="8">
        <v>46077</v>
      </c>
      <c r="H1358" s="8">
        <v>46084</v>
      </c>
      <c r="I1358" t="s">
        <v>9439</v>
      </c>
      <c r="J1358" t="s">
        <v>2265</v>
      </c>
      <c r="K1358" t="s">
        <v>123</v>
      </c>
      <c r="L1358">
        <v>20688.12</v>
      </c>
      <c r="M1358">
        <v>380</v>
      </c>
      <c r="N1358" t="s">
        <v>71</v>
      </c>
      <c r="O1358" t="s">
        <v>57</v>
      </c>
    </row>
    <row r="1359" spans="1:15" x14ac:dyDescent="0.3">
      <c r="A1359" t="s">
        <v>2264</v>
      </c>
      <c r="B1359" t="s">
        <v>2263</v>
      </c>
      <c r="C1359" t="s">
        <v>40</v>
      </c>
      <c r="D1359">
        <v>4</v>
      </c>
      <c r="E1359" t="s">
        <v>68</v>
      </c>
      <c r="F1359" t="s">
        <v>8077</v>
      </c>
      <c r="G1359" s="8">
        <v>46049</v>
      </c>
      <c r="H1359" s="8">
        <v>46075</v>
      </c>
      <c r="I1359" t="s">
        <v>9440</v>
      </c>
      <c r="J1359" t="s">
        <v>2261</v>
      </c>
      <c r="K1359" t="s">
        <v>64</v>
      </c>
      <c r="L1359">
        <v>6284.72</v>
      </c>
      <c r="M1359">
        <v>325</v>
      </c>
      <c r="N1359" t="s">
        <v>25</v>
      </c>
      <c r="O1359" t="s">
        <v>57</v>
      </c>
    </row>
    <row r="1360" spans="1:15" x14ac:dyDescent="0.3">
      <c r="A1360" t="s">
        <v>2260</v>
      </c>
      <c r="B1360" t="s">
        <v>2259</v>
      </c>
      <c r="C1360" t="s">
        <v>74</v>
      </c>
      <c r="D1360">
        <v>19</v>
      </c>
      <c r="E1360" t="s">
        <v>47</v>
      </c>
      <c r="F1360" t="s">
        <v>30</v>
      </c>
      <c r="G1360" s="8">
        <v>46016</v>
      </c>
      <c r="H1360" s="8">
        <v>46023</v>
      </c>
      <c r="I1360" t="s">
        <v>9441</v>
      </c>
      <c r="J1360" t="s">
        <v>2257</v>
      </c>
      <c r="K1360" t="s">
        <v>27</v>
      </c>
      <c r="L1360">
        <v>21466.78</v>
      </c>
      <c r="M1360">
        <v>529</v>
      </c>
      <c r="N1360" t="s">
        <v>16</v>
      </c>
      <c r="O1360" t="s">
        <v>123</v>
      </c>
    </row>
    <row r="1361" spans="1:15" x14ac:dyDescent="0.3">
      <c r="A1361" t="s">
        <v>2256</v>
      </c>
      <c r="B1361" t="s">
        <v>2255</v>
      </c>
      <c r="C1361" t="s">
        <v>123</v>
      </c>
      <c r="D1361">
        <v>72</v>
      </c>
      <c r="E1361" t="s">
        <v>21</v>
      </c>
      <c r="F1361" t="s">
        <v>67</v>
      </c>
      <c r="G1361" s="8">
        <v>45992</v>
      </c>
      <c r="H1361" s="8">
        <v>45997</v>
      </c>
      <c r="I1361" t="s">
        <v>9442</v>
      </c>
      <c r="J1361" t="s">
        <v>2253</v>
      </c>
      <c r="K1361" t="s">
        <v>123</v>
      </c>
      <c r="L1361">
        <v>15755.93</v>
      </c>
      <c r="M1361">
        <v>482</v>
      </c>
      <c r="N1361" t="s">
        <v>43</v>
      </c>
      <c r="O1361" t="s">
        <v>123</v>
      </c>
    </row>
    <row r="1362" spans="1:15" x14ac:dyDescent="0.3">
      <c r="A1362" t="s">
        <v>2252</v>
      </c>
      <c r="B1362" t="s">
        <v>2251</v>
      </c>
      <c r="C1362" t="s">
        <v>74</v>
      </c>
      <c r="D1362">
        <v>34</v>
      </c>
      <c r="E1362" t="s">
        <v>54</v>
      </c>
      <c r="F1362" t="s">
        <v>67</v>
      </c>
      <c r="G1362" s="8">
        <v>46002</v>
      </c>
      <c r="H1362" s="8">
        <v>46013</v>
      </c>
      <c r="I1362" t="s">
        <v>9443</v>
      </c>
      <c r="J1362" t="s">
        <v>2249</v>
      </c>
      <c r="K1362" t="s">
        <v>64</v>
      </c>
      <c r="L1362">
        <v>8139.84</v>
      </c>
      <c r="M1362">
        <v>139</v>
      </c>
      <c r="N1362" t="s">
        <v>25</v>
      </c>
      <c r="O1362" t="s">
        <v>17</v>
      </c>
    </row>
    <row r="1363" spans="1:15" x14ac:dyDescent="0.3">
      <c r="A1363" t="s">
        <v>2248</v>
      </c>
      <c r="B1363" t="s">
        <v>2247</v>
      </c>
      <c r="C1363" t="s">
        <v>40</v>
      </c>
      <c r="D1363">
        <v>42</v>
      </c>
      <c r="E1363" t="s">
        <v>21</v>
      </c>
      <c r="F1363" t="s">
        <v>20</v>
      </c>
      <c r="G1363" s="8">
        <v>46140</v>
      </c>
      <c r="H1363" s="8">
        <v>46143</v>
      </c>
      <c r="I1363" t="s">
        <v>9444</v>
      </c>
      <c r="J1363" t="s">
        <v>2245</v>
      </c>
      <c r="K1363" t="s">
        <v>123</v>
      </c>
      <c r="L1363">
        <v>13476.93</v>
      </c>
      <c r="M1363">
        <v>513</v>
      </c>
      <c r="N1363" t="s">
        <v>50</v>
      </c>
      <c r="O1363" t="s">
        <v>64</v>
      </c>
    </row>
    <row r="1364" spans="1:15" x14ac:dyDescent="0.3">
      <c r="A1364" t="s">
        <v>2244</v>
      </c>
      <c r="B1364" t="s">
        <v>2243</v>
      </c>
      <c r="C1364" t="s">
        <v>74</v>
      </c>
      <c r="D1364">
        <v>45</v>
      </c>
      <c r="E1364" t="s">
        <v>21</v>
      </c>
      <c r="F1364" t="s">
        <v>85</v>
      </c>
      <c r="G1364" s="8">
        <v>46089</v>
      </c>
      <c r="H1364" s="8">
        <v>46097</v>
      </c>
      <c r="I1364" t="s">
        <v>9445</v>
      </c>
      <c r="J1364" t="s">
        <v>2241</v>
      </c>
      <c r="K1364" t="s">
        <v>27</v>
      </c>
      <c r="L1364">
        <v>11613.92</v>
      </c>
      <c r="M1364">
        <v>354</v>
      </c>
      <c r="N1364" t="s">
        <v>34</v>
      </c>
      <c r="O1364" t="s">
        <v>123</v>
      </c>
    </row>
    <row r="1365" spans="1:15" x14ac:dyDescent="0.3">
      <c r="A1365" t="s">
        <v>2240</v>
      </c>
      <c r="B1365" t="s">
        <v>2239</v>
      </c>
      <c r="C1365" t="s">
        <v>123</v>
      </c>
      <c r="D1365">
        <v>9</v>
      </c>
      <c r="E1365" t="s">
        <v>39</v>
      </c>
      <c r="F1365" t="s">
        <v>46</v>
      </c>
      <c r="G1365" s="8">
        <v>46083</v>
      </c>
      <c r="H1365" s="8">
        <v>46100</v>
      </c>
      <c r="I1365" t="s">
        <v>8230</v>
      </c>
      <c r="J1365" t="s">
        <v>2238</v>
      </c>
      <c r="K1365" t="s">
        <v>123</v>
      </c>
      <c r="L1365">
        <v>14063.1</v>
      </c>
      <c r="M1365">
        <v>277</v>
      </c>
      <c r="N1365" t="s">
        <v>16</v>
      </c>
      <c r="O1365" t="s">
        <v>27</v>
      </c>
    </row>
    <row r="1366" spans="1:15" x14ac:dyDescent="0.3">
      <c r="A1366" t="s">
        <v>2237</v>
      </c>
      <c r="B1366" t="s">
        <v>2236</v>
      </c>
      <c r="C1366" t="s">
        <v>40</v>
      </c>
      <c r="D1366">
        <v>9</v>
      </c>
      <c r="E1366" t="s">
        <v>31</v>
      </c>
      <c r="F1366" t="s">
        <v>20</v>
      </c>
      <c r="G1366" s="8">
        <v>46145</v>
      </c>
      <c r="H1366" s="8">
        <v>46175</v>
      </c>
      <c r="I1366" t="s">
        <v>9446</v>
      </c>
      <c r="J1366" t="s">
        <v>2234</v>
      </c>
      <c r="K1366" t="s">
        <v>27</v>
      </c>
      <c r="L1366">
        <v>14329.89</v>
      </c>
      <c r="M1366">
        <v>465</v>
      </c>
      <c r="N1366" t="s">
        <v>34</v>
      </c>
      <c r="O1366" t="s">
        <v>27</v>
      </c>
    </row>
    <row r="1367" spans="1:15" x14ac:dyDescent="0.3">
      <c r="A1367" t="s">
        <v>2233</v>
      </c>
      <c r="B1367" t="s">
        <v>2232</v>
      </c>
      <c r="C1367" t="s">
        <v>123</v>
      </c>
      <c r="D1367">
        <v>56</v>
      </c>
      <c r="E1367" t="s">
        <v>39</v>
      </c>
      <c r="F1367" t="s">
        <v>67</v>
      </c>
      <c r="G1367" s="8">
        <v>46073</v>
      </c>
      <c r="H1367" s="8">
        <v>46079</v>
      </c>
      <c r="I1367" t="s">
        <v>9447</v>
      </c>
      <c r="J1367" t="s">
        <v>2230</v>
      </c>
      <c r="K1367" t="s">
        <v>123</v>
      </c>
      <c r="L1367">
        <v>7883.67</v>
      </c>
      <c r="M1367">
        <v>269</v>
      </c>
      <c r="N1367" t="s">
        <v>71</v>
      </c>
      <c r="O1367" t="s">
        <v>63</v>
      </c>
    </row>
    <row r="1368" spans="1:15" x14ac:dyDescent="0.3">
      <c r="A1368" t="s">
        <v>2229</v>
      </c>
      <c r="B1368" t="s">
        <v>2228</v>
      </c>
      <c r="C1368" t="s">
        <v>123</v>
      </c>
      <c r="D1368">
        <v>19</v>
      </c>
      <c r="E1368" t="s">
        <v>31</v>
      </c>
      <c r="F1368" t="s">
        <v>46</v>
      </c>
      <c r="G1368" s="8">
        <v>46127</v>
      </c>
      <c r="H1368" s="8">
        <v>46146</v>
      </c>
      <c r="I1368" t="s">
        <v>9448</v>
      </c>
      <c r="J1368" t="s">
        <v>2226</v>
      </c>
      <c r="K1368" t="s">
        <v>27</v>
      </c>
      <c r="L1368">
        <v>17860.419999999998</v>
      </c>
      <c r="M1368">
        <v>400</v>
      </c>
      <c r="N1368" t="s">
        <v>77</v>
      </c>
      <c r="O1368" t="s">
        <v>17</v>
      </c>
    </row>
    <row r="1369" spans="1:15" x14ac:dyDescent="0.3">
      <c r="A1369" t="s">
        <v>2225</v>
      </c>
      <c r="B1369" t="s">
        <v>2224</v>
      </c>
      <c r="C1369" t="s">
        <v>74</v>
      </c>
      <c r="D1369">
        <v>79</v>
      </c>
      <c r="E1369" t="s">
        <v>80</v>
      </c>
      <c r="F1369" t="s">
        <v>67</v>
      </c>
      <c r="G1369" s="8">
        <v>46087</v>
      </c>
      <c r="H1369" s="8">
        <v>46110</v>
      </c>
      <c r="I1369" t="s">
        <v>9449</v>
      </c>
      <c r="J1369" t="s">
        <v>2222</v>
      </c>
      <c r="K1369" t="s">
        <v>27</v>
      </c>
      <c r="L1369">
        <v>18367.400000000001</v>
      </c>
      <c r="M1369">
        <v>407</v>
      </c>
      <c r="N1369" t="s">
        <v>50</v>
      </c>
      <c r="O1369" t="s">
        <v>57</v>
      </c>
    </row>
    <row r="1370" spans="1:15" x14ac:dyDescent="0.3">
      <c r="A1370" t="s">
        <v>2221</v>
      </c>
      <c r="B1370" t="s">
        <v>2220</v>
      </c>
      <c r="C1370" t="s">
        <v>40</v>
      </c>
      <c r="D1370">
        <v>24</v>
      </c>
      <c r="E1370" t="s">
        <v>47</v>
      </c>
      <c r="F1370" t="s">
        <v>85</v>
      </c>
      <c r="G1370" s="8">
        <v>46026</v>
      </c>
      <c r="H1370" s="8">
        <v>46049</v>
      </c>
      <c r="I1370" t="s">
        <v>9450</v>
      </c>
      <c r="J1370" t="s">
        <v>2218</v>
      </c>
      <c r="K1370" t="s">
        <v>64</v>
      </c>
      <c r="L1370">
        <v>8428.39</v>
      </c>
      <c r="M1370">
        <v>306</v>
      </c>
      <c r="N1370" t="s">
        <v>34</v>
      </c>
      <c r="O1370" t="s">
        <v>64</v>
      </c>
    </row>
    <row r="1371" spans="1:15" x14ac:dyDescent="0.3">
      <c r="A1371" t="s">
        <v>2217</v>
      </c>
      <c r="B1371" t="s">
        <v>2216</v>
      </c>
      <c r="C1371" t="s">
        <v>123</v>
      </c>
      <c r="D1371">
        <v>53</v>
      </c>
      <c r="E1371" t="s">
        <v>54</v>
      </c>
      <c r="F1371" t="s">
        <v>85</v>
      </c>
      <c r="G1371" s="8">
        <v>46026</v>
      </c>
      <c r="H1371" s="8">
        <v>46030</v>
      </c>
      <c r="I1371" t="s">
        <v>9451</v>
      </c>
      <c r="J1371" t="s">
        <v>2214</v>
      </c>
      <c r="K1371" t="s">
        <v>64</v>
      </c>
      <c r="L1371">
        <v>4738.1400000000003</v>
      </c>
      <c r="M1371">
        <v>281</v>
      </c>
      <c r="N1371" t="s">
        <v>71</v>
      </c>
      <c r="O1371" t="s">
        <v>63</v>
      </c>
    </row>
    <row r="1372" spans="1:15" x14ac:dyDescent="0.3">
      <c r="A1372" t="s">
        <v>2213</v>
      </c>
      <c r="B1372" t="s">
        <v>2212</v>
      </c>
      <c r="C1372" t="s">
        <v>123</v>
      </c>
      <c r="D1372">
        <v>33</v>
      </c>
      <c r="E1372" t="s">
        <v>68</v>
      </c>
      <c r="F1372" t="s">
        <v>20</v>
      </c>
      <c r="G1372" s="8">
        <v>46017</v>
      </c>
      <c r="H1372" s="8">
        <v>46022</v>
      </c>
      <c r="I1372" t="s">
        <v>9452</v>
      </c>
      <c r="J1372" t="s">
        <v>2210</v>
      </c>
      <c r="K1372" t="s">
        <v>27</v>
      </c>
      <c r="L1372">
        <v>10155.41</v>
      </c>
      <c r="M1372">
        <v>279</v>
      </c>
      <c r="N1372" t="s">
        <v>25</v>
      </c>
      <c r="O1372" t="s">
        <v>57</v>
      </c>
    </row>
    <row r="1373" spans="1:15" x14ac:dyDescent="0.3">
      <c r="A1373" t="s">
        <v>2209</v>
      </c>
      <c r="B1373" t="s">
        <v>2208</v>
      </c>
      <c r="C1373" t="s">
        <v>74</v>
      </c>
      <c r="D1373">
        <v>44</v>
      </c>
      <c r="E1373" t="s">
        <v>68</v>
      </c>
      <c r="F1373" t="s">
        <v>20</v>
      </c>
      <c r="G1373" s="8">
        <v>46021</v>
      </c>
      <c r="H1373" s="8">
        <v>46037</v>
      </c>
      <c r="I1373" t="s">
        <v>9453</v>
      </c>
      <c r="J1373" t="s">
        <v>2206</v>
      </c>
      <c r="K1373" t="s">
        <v>27</v>
      </c>
      <c r="L1373">
        <v>705.94</v>
      </c>
      <c r="M1373">
        <v>385</v>
      </c>
      <c r="N1373" t="s">
        <v>77</v>
      </c>
      <c r="O1373" t="s">
        <v>27</v>
      </c>
    </row>
    <row r="1374" spans="1:15" x14ac:dyDescent="0.3">
      <c r="A1374" t="s">
        <v>2205</v>
      </c>
      <c r="B1374" t="s">
        <v>2204</v>
      </c>
      <c r="C1374" t="s">
        <v>74</v>
      </c>
      <c r="D1374">
        <v>13</v>
      </c>
      <c r="E1374" t="s">
        <v>39</v>
      </c>
      <c r="F1374" t="s">
        <v>46</v>
      </c>
      <c r="G1374" s="8">
        <v>46060</v>
      </c>
      <c r="H1374" s="8">
        <v>46090</v>
      </c>
      <c r="I1374" t="s">
        <v>9454</v>
      </c>
      <c r="J1374" t="s">
        <v>2202</v>
      </c>
      <c r="K1374" t="s">
        <v>27</v>
      </c>
      <c r="L1374">
        <v>315.58999999999997</v>
      </c>
      <c r="M1374">
        <v>256</v>
      </c>
      <c r="N1374" t="s">
        <v>77</v>
      </c>
      <c r="O1374" t="s">
        <v>123</v>
      </c>
    </row>
    <row r="1375" spans="1:15" x14ac:dyDescent="0.3">
      <c r="A1375" t="s">
        <v>2201</v>
      </c>
      <c r="B1375" t="s">
        <v>2200</v>
      </c>
      <c r="C1375" t="s">
        <v>74</v>
      </c>
      <c r="D1375">
        <v>9</v>
      </c>
      <c r="E1375" t="s">
        <v>39</v>
      </c>
      <c r="F1375" t="s">
        <v>8077</v>
      </c>
      <c r="G1375" s="8">
        <v>46074</v>
      </c>
      <c r="H1375" s="8">
        <v>46094</v>
      </c>
      <c r="I1375" t="s">
        <v>9455</v>
      </c>
      <c r="J1375" t="s">
        <v>2198</v>
      </c>
      <c r="K1375" t="s">
        <v>123</v>
      </c>
      <c r="L1375">
        <v>4708.3100000000004</v>
      </c>
      <c r="M1375">
        <v>276</v>
      </c>
      <c r="N1375" t="s">
        <v>77</v>
      </c>
      <c r="O1375" t="s">
        <v>57</v>
      </c>
    </row>
    <row r="1376" spans="1:15" x14ac:dyDescent="0.3">
      <c r="A1376" t="s">
        <v>2197</v>
      </c>
      <c r="B1376" t="s">
        <v>2196</v>
      </c>
      <c r="C1376" t="s">
        <v>40</v>
      </c>
      <c r="D1376">
        <v>77</v>
      </c>
      <c r="E1376" t="s">
        <v>31</v>
      </c>
      <c r="F1376" t="s">
        <v>20</v>
      </c>
      <c r="G1376" s="8">
        <v>46127</v>
      </c>
      <c r="H1376" s="8">
        <v>46155</v>
      </c>
      <c r="I1376" t="s">
        <v>9456</v>
      </c>
      <c r="J1376" t="s">
        <v>2194</v>
      </c>
      <c r="K1376" t="s">
        <v>123</v>
      </c>
      <c r="L1376">
        <v>17717.919999999998</v>
      </c>
      <c r="M1376">
        <v>359</v>
      </c>
      <c r="N1376" t="s">
        <v>71</v>
      </c>
      <c r="O1376" t="s">
        <v>26</v>
      </c>
    </row>
    <row r="1377" spans="1:15" x14ac:dyDescent="0.3">
      <c r="A1377" t="s">
        <v>2193</v>
      </c>
      <c r="B1377" t="s">
        <v>2192</v>
      </c>
      <c r="C1377" t="s">
        <v>123</v>
      </c>
      <c r="D1377">
        <v>4</v>
      </c>
      <c r="E1377" t="s">
        <v>47</v>
      </c>
      <c r="F1377" t="s">
        <v>20</v>
      </c>
      <c r="G1377" s="8">
        <v>46075</v>
      </c>
      <c r="H1377" s="8">
        <v>46100</v>
      </c>
      <c r="I1377" t="s">
        <v>9457</v>
      </c>
      <c r="J1377" t="s">
        <v>2190</v>
      </c>
      <c r="K1377" t="s">
        <v>27</v>
      </c>
      <c r="L1377">
        <v>23388.81</v>
      </c>
      <c r="M1377">
        <v>278</v>
      </c>
      <c r="N1377" t="s">
        <v>25</v>
      </c>
      <c r="O1377" t="s">
        <v>64</v>
      </c>
    </row>
    <row r="1378" spans="1:15" x14ac:dyDescent="0.3">
      <c r="A1378" t="s">
        <v>2189</v>
      </c>
      <c r="B1378" t="s">
        <v>2188</v>
      </c>
      <c r="C1378" t="s">
        <v>40</v>
      </c>
      <c r="D1378">
        <v>76</v>
      </c>
      <c r="E1378" t="s">
        <v>39</v>
      </c>
      <c r="F1378" t="s">
        <v>20</v>
      </c>
      <c r="G1378" s="8">
        <v>46149</v>
      </c>
      <c r="H1378" s="8">
        <v>46164</v>
      </c>
      <c r="I1378" t="s">
        <v>9458</v>
      </c>
      <c r="J1378" t="s">
        <v>2186</v>
      </c>
      <c r="K1378" t="s">
        <v>64</v>
      </c>
      <c r="L1378">
        <v>15166.88</v>
      </c>
      <c r="M1378">
        <v>332</v>
      </c>
      <c r="N1378" t="s">
        <v>25</v>
      </c>
      <c r="O1378" t="s">
        <v>17</v>
      </c>
    </row>
    <row r="1379" spans="1:15" x14ac:dyDescent="0.3">
      <c r="A1379" t="s">
        <v>2185</v>
      </c>
      <c r="B1379" t="s">
        <v>2184</v>
      </c>
      <c r="C1379" t="s">
        <v>123</v>
      </c>
      <c r="D1379">
        <v>58</v>
      </c>
      <c r="E1379" t="s">
        <v>80</v>
      </c>
      <c r="F1379" t="s">
        <v>20</v>
      </c>
      <c r="G1379" s="8">
        <v>46026</v>
      </c>
      <c r="H1379" s="8">
        <v>46036</v>
      </c>
      <c r="I1379" t="s">
        <v>9459</v>
      </c>
      <c r="J1379" t="s">
        <v>2182</v>
      </c>
      <c r="K1379" t="s">
        <v>64</v>
      </c>
      <c r="L1379">
        <v>9269.2000000000007</v>
      </c>
      <c r="M1379">
        <v>518</v>
      </c>
      <c r="N1379" t="s">
        <v>16</v>
      </c>
      <c r="O1379" t="s">
        <v>57</v>
      </c>
    </row>
    <row r="1380" spans="1:15" x14ac:dyDescent="0.3">
      <c r="A1380" t="s">
        <v>2181</v>
      </c>
      <c r="B1380" t="s">
        <v>2180</v>
      </c>
      <c r="C1380" t="s">
        <v>74</v>
      </c>
      <c r="D1380">
        <v>52</v>
      </c>
      <c r="E1380" t="s">
        <v>47</v>
      </c>
      <c r="F1380" t="s">
        <v>67</v>
      </c>
      <c r="G1380" s="8">
        <v>46094</v>
      </c>
      <c r="H1380" s="8">
        <v>46095</v>
      </c>
      <c r="I1380" t="s">
        <v>9460</v>
      </c>
      <c r="J1380" t="s">
        <v>2178</v>
      </c>
      <c r="K1380" t="s">
        <v>123</v>
      </c>
      <c r="L1380">
        <v>20310.5</v>
      </c>
      <c r="M1380">
        <v>534</v>
      </c>
      <c r="N1380" t="s">
        <v>34</v>
      </c>
      <c r="O1380" t="s">
        <v>64</v>
      </c>
    </row>
    <row r="1381" spans="1:15" x14ac:dyDescent="0.3">
      <c r="A1381" t="s">
        <v>2177</v>
      </c>
      <c r="B1381" t="s">
        <v>2176</v>
      </c>
      <c r="C1381" t="s">
        <v>74</v>
      </c>
      <c r="D1381">
        <v>85</v>
      </c>
      <c r="E1381" t="s">
        <v>31</v>
      </c>
      <c r="F1381" t="s">
        <v>67</v>
      </c>
      <c r="G1381" s="8">
        <v>46044</v>
      </c>
      <c r="H1381" s="8">
        <v>46068</v>
      </c>
      <c r="I1381" t="s">
        <v>9461</v>
      </c>
      <c r="J1381" t="s">
        <v>2174</v>
      </c>
      <c r="K1381" t="s">
        <v>64</v>
      </c>
      <c r="L1381">
        <v>7207.53</v>
      </c>
      <c r="M1381">
        <v>329</v>
      </c>
      <c r="N1381" t="s">
        <v>50</v>
      </c>
      <c r="O1381" t="s">
        <v>26</v>
      </c>
    </row>
    <row r="1382" spans="1:15" x14ac:dyDescent="0.3">
      <c r="A1382" t="s">
        <v>2173</v>
      </c>
      <c r="B1382" t="s">
        <v>2172</v>
      </c>
      <c r="C1382" t="s">
        <v>74</v>
      </c>
      <c r="D1382">
        <v>38</v>
      </c>
      <c r="E1382" t="s">
        <v>54</v>
      </c>
      <c r="F1382" t="s">
        <v>67</v>
      </c>
      <c r="G1382" s="8">
        <v>45978</v>
      </c>
      <c r="H1382" s="8">
        <v>45991</v>
      </c>
      <c r="I1382" t="s">
        <v>9462</v>
      </c>
      <c r="J1382" t="s">
        <v>2170</v>
      </c>
      <c r="K1382" t="s">
        <v>123</v>
      </c>
      <c r="L1382">
        <v>2243.2399999999998</v>
      </c>
      <c r="M1382">
        <v>351</v>
      </c>
      <c r="N1382" t="s">
        <v>77</v>
      </c>
      <c r="O1382" t="s">
        <v>27</v>
      </c>
    </row>
    <row r="1383" spans="1:15" x14ac:dyDescent="0.3">
      <c r="A1383" t="s">
        <v>2169</v>
      </c>
      <c r="B1383" t="s">
        <v>2168</v>
      </c>
      <c r="C1383" t="s">
        <v>74</v>
      </c>
      <c r="D1383">
        <v>72</v>
      </c>
      <c r="E1383" t="s">
        <v>68</v>
      </c>
      <c r="F1383" t="s">
        <v>67</v>
      </c>
      <c r="G1383" s="8">
        <v>46043</v>
      </c>
      <c r="H1383" s="8">
        <v>46052</v>
      </c>
      <c r="I1383" t="s">
        <v>9463</v>
      </c>
      <c r="J1383" t="s">
        <v>2166</v>
      </c>
      <c r="K1383" t="s">
        <v>123</v>
      </c>
      <c r="L1383">
        <v>24808.73</v>
      </c>
      <c r="M1383">
        <v>494</v>
      </c>
      <c r="N1383" t="s">
        <v>25</v>
      </c>
      <c r="O1383" t="s">
        <v>63</v>
      </c>
    </row>
    <row r="1384" spans="1:15" x14ac:dyDescent="0.3">
      <c r="A1384" t="s">
        <v>2165</v>
      </c>
      <c r="B1384" t="s">
        <v>2164</v>
      </c>
      <c r="C1384" t="s">
        <v>40</v>
      </c>
      <c r="D1384">
        <v>68</v>
      </c>
      <c r="E1384" t="s">
        <v>47</v>
      </c>
      <c r="F1384" t="s">
        <v>8077</v>
      </c>
      <c r="G1384" s="8">
        <v>45979</v>
      </c>
      <c r="H1384" s="8">
        <v>46009</v>
      </c>
      <c r="I1384" t="s">
        <v>9464</v>
      </c>
      <c r="J1384" t="s">
        <v>2162</v>
      </c>
      <c r="K1384" t="s">
        <v>64</v>
      </c>
      <c r="L1384">
        <v>7816.57</v>
      </c>
      <c r="M1384">
        <v>428</v>
      </c>
      <c r="N1384" t="s">
        <v>43</v>
      </c>
      <c r="O1384" t="s">
        <v>26</v>
      </c>
    </row>
    <row r="1385" spans="1:15" x14ac:dyDescent="0.3">
      <c r="A1385" t="s">
        <v>2161</v>
      </c>
      <c r="B1385" t="s">
        <v>2160</v>
      </c>
      <c r="C1385" t="s">
        <v>40</v>
      </c>
      <c r="D1385">
        <v>69</v>
      </c>
      <c r="E1385" t="s">
        <v>47</v>
      </c>
      <c r="F1385" t="s">
        <v>46</v>
      </c>
      <c r="G1385" s="8">
        <v>46132</v>
      </c>
      <c r="H1385" s="8">
        <v>46162</v>
      </c>
      <c r="I1385" t="s">
        <v>9465</v>
      </c>
      <c r="J1385" t="s">
        <v>2158</v>
      </c>
      <c r="K1385" t="s">
        <v>27</v>
      </c>
      <c r="L1385" t="s">
        <v>488</v>
      </c>
      <c r="M1385">
        <v>375</v>
      </c>
      <c r="N1385" t="s">
        <v>77</v>
      </c>
      <c r="O1385" t="s">
        <v>17</v>
      </c>
    </row>
    <row r="1386" spans="1:15" x14ac:dyDescent="0.3">
      <c r="A1386" t="s">
        <v>2157</v>
      </c>
      <c r="B1386" t="s">
        <v>2156</v>
      </c>
      <c r="C1386" t="s">
        <v>123</v>
      </c>
      <c r="D1386">
        <v>66</v>
      </c>
      <c r="E1386" t="s">
        <v>39</v>
      </c>
      <c r="F1386" t="s">
        <v>67</v>
      </c>
      <c r="G1386" s="8">
        <v>46144</v>
      </c>
      <c r="H1386" s="8">
        <v>46165</v>
      </c>
      <c r="I1386" t="s">
        <v>9466</v>
      </c>
      <c r="J1386" t="s">
        <v>2154</v>
      </c>
      <c r="K1386" t="s">
        <v>27</v>
      </c>
      <c r="L1386">
        <v>22784.42</v>
      </c>
      <c r="M1386">
        <v>334</v>
      </c>
      <c r="N1386" t="s">
        <v>71</v>
      </c>
      <c r="O1386" t="s">
        <v>64</v>
      </c>
    </row>
    <row r="1387" spans="1:15" x14ac:dyDescent="0.3">
      <c r="A1387" t="s">
        <v>2153</v>
      </c>
      <c r="B1387" t="s">
        <v>2152</v>
      </c>
      <c r="C1387" t="s">
        <v>74</v>
      </c>
      <c r="D1387">
        <v>41</v>
      </c>
      <c r="E1387" t="s">
        <v>80</v>
      </c>
      <c r="F1387" t="s">
        <v>8077</v>
      </c>
      <c r="G1387" s="8">
        <v>46016</v>
      </c>
      <c r="H1387" s="8">
        <v>46031</v>
      </c>
      <c r="I1387" t="s">
        <v>9467</v>
      </c>
      <c r="J1387" t="s">
        <v>2150</v>
      </c>
      <c r="K1387" t="s">
        <v>64</v>
      </c>
      <c r="L1387">
        <v>14364.4</v>
      </c>
      <c r="M1387">
        <v>123</v>
      </c>
      <c r="N1387" t="s">
        <v>16</v>
      </c>
      <c r="O1387" t="s">
        <v>27</v>
      </c>
    </row>
    <row r="1388" spans="1:15" x14ac:dyDescent="0.3">
      <c r="A1388" t="s">
        <v>2145</v>
      </c>
      <c r="B1388" t="s">
        <v>2144</v>
      </c>
      <c r="C1388" t="s">
        <v>74</v>
      </c>
      <c r="D1388">
        <v>48</v>
      </c>
      <c r="E1388" t="s">
        <v>54</v>
      </c>
      <c r="F1388" t="s">
        <v>46</v>
      </c>
      <c r="G1388" s="8">
        <v>46006</v>
      </c>
      <c r="H1388" s="8">
        <v>46010</v>
      </c>
      <c r="I1388" t="s">
        <v>9468</v>
      </c>
      <c r="J1388" t="s">
        <v>2142</v>
      </c>
      <c r="K1388" t="s">
        <v>27</v>
      </c>
      <c r="L1388">
        <v>15049.04</v>
      </c>
      <c r="M1388">
        <v>316</v>
      </c>
      <c r="N1388" t="s">
        <v>25</v>
      </c>
      <c r="O1388" t="s">
        <v>63</v>
      </c>
    </row>
    <row r="1389" spans="1:15" x14ac:dyDescent="0.3">
      <c r="A1389" t="s">
        <v>2141</v>
      </c>
      <c r="B1389" t="s">
        <v>2140</v>
      </c>
      <c r="C1389" t="s">
        <v>40</v>
      </c>
      <c r="D1389">
        <v>27</v>
      </c>
      <c r="E1389" t="s">
        <v>132</v>
      </c>
      <c r="F1389" t="s">
        <v>67</v>
      </c>
      <c r="G1389" s="8">
        <v>45997</v>
      </c>
      <c r="H1389" s="8">
        <v>46019</v>
      </c>
      <c r="I1389" t="s">
        <v>9469</v>
      </c>
      <c r="J1389" t="s">
        <v>2138</v>
      </c>
      <c r="K1389" t="s">
        <v>27</v>
      </c>
      <c r="L1389">
        <v>10514.01</v>
      </c>
      <c r="M1389">
        <v>293</v>
      </c>
      <c r="N1389" t="s">
        <v>43</v>
      </c>
      <c r="O1389" t="s">
        <v>123</v>
      </c>
    </row>
    <row r="1390" spans="1:15" x14ac:dyDescent="0.3">
      <c r="A1390" t="s">
        <v>2137</v>
      </c>
      <c r="B1390" t="s">
        <v>2136</v>
      </c>
      <c r="C1390" t="s">
        <v>74</v>
      </c>
      <c r="D1390">
        <v>63</v>
      </c>
      <c r="E1390" t="s">
        <v>132</v>
      </c>
      <c r="F1390" t="s">
        <v>46</v>
      </c>
      <c r="G1390" s="8">
        <v>46119</v>
      </c>
      <c r="H1390" s="8">
        <v>46139</v>
      </c>
      <c r="I1390" t="s">
        <v>9470</v>
      </c>
      <c r="J1390" t="s">
        <v>2134</v>
      </c>
      <c r="K1390" t="s">
        <v>123</v>
      </c>
      <c r="L1390">
        <v>1236.6199999999999</v>
      </c>
      <c r="M1390">
        <v>165</v>
      </c>
      <c r="N1390" t="s">
        <v>25</v>
      </c>
      <c r="O1390" t="s">
        <v>123</v>
      </c>
    </row>
    <row r="1391" spans="1:15" x14ac:dyDescent="0.3">
      <c r="A1391" t="s">
        <v>2133</v>
      </c>
      <c r="B1391" t="s">
        <v>2132</v>
      </c>
      <c r="C1391" t="s">
        <v>74</v>
      </c>
      <c r="D1391">
        <v>10</v>
      </c>
      <c r="E1391" t="s">
        <v>80</v>
      </c>
      <c r="F1391" t="s">
        <v>20</v>
      </c>
      <c r="G1391" s="8">
        <v>46008</v>
      </c>
      <c r="H1391" s="8">
        <v>46013</v>
      </c>
      <c r="I1391" t="s">
        <v>9471</v>
      </c>
      <c r="J1391" t="s">
        <v>2130</v>
      </c>
      <c r="K1391" t="s">
        <v>123</v>
      </c>
      <c r="L1391">
        <v>1849.21</v>
      </c>
      <c r="M1391">
        <v>185</v>
      </c>
      <c r="N1391" t="s">
        <v>25</v>
      </c>
      <c r="O1391" t="s">
        <v>17</v>
      </c>
    </row>
    <row r="1392" spans="1:15" x14ac:dyDescent="0.3">
      <c r="A1392" t="s">
        <v>2129</v>
      </c>
      <c r="B1392" t="s">
        <v>2128</v>
      </c>
      <c r="C1392" t="s">
        <v>40</v>
      </c>
      <c r="D1392">
        <v>88</v>
      </c>
      <c r="E1392" t="s">
        <v>54</v>
      </c>
      <c r="F1392" t="s">
        <v>30</v>
      </c>
      <c r="G1392" s="8">
        <v>46062</v>
      </c>
      <c r="H1392" s="8">
        <v>46079</v>
      </c>
      <c r="I1392" t="s">
        <v>9472</v>
      </c>
      <c r="J1392" t="s">
        <v>2126</v>
      </c>
      <c r="K1392" t="s">
        <v>27</v>
      </c>
      <c r="L1392">
        <v>7260.68</v>
      </c>
      <c r="M1392">
        <v>155</v>
      </c>
      <c r="N1392" t="s">
        <v>50</v>
      </c>
      <c r="O1392" t="s">
        <v>63</v>
      </c>
    </row>
    <row r="1393" spans="1:15" x14ac:dyDescent="0.3">
      <c r="A1393" t="s">
        <v>2125</v>
      </c>
      <c r="B1393" t="s">
        <v>2124</v>
      </c>
      <c r="C1393" t="s">
        <v>74</v>
      </c>
      <c r="D1393">
        <v>51</v>
      </c>
      <c r="E1393" t="s">
        <v>21</v>
      </c>
      <c r="F1393" t="s">
        <v>20</v>
      </c>
      <c r="G1393" s="8">
        <v>45999</v>
      </c>
      <c r="H1393" s="8">
        <v>46016</v>
      </c>
      <c r="I1393" t="s">
        <v>9473</v>
      </c>
      <c r="J1393" t="s">
        <v>2122</v>
      </c>
      <c r="K1393" t="s">
        <v>123</v>
      </c>
      <c r="L1393">
        <v>5179.55</v>
      </c>
      <c r="M1393">
        <v>340</v>
      </c>
      <c r="N1393" t="s">
        <v>16</v>
      </c>
      <c r="O1393" t="s">
        <v>27</v>
      </c>
    </row>
    <row r="1394" spans="1:15" x14ac:dyDescent="0.3">
      <c r="A1394" t="s">
        <v>2121</v>
      </c>
      <c r="B1394" t="s">
        <v>2120</v>
      </c>
      <c r="C1394" t="s">
        <v>74</v>
      </c>
      <c r="D1394">
        <v>15</v>
      </c>
      <c r="E1394" t="s">
        <v>21</v>
      </c>
      <c r="F1394" t="s">
        <v>46</v>
      </c>
      <c r="G1394" s="8">
        <v>46066</v>
      </c>
      <c r="H1394" s="8">
        <v>46092</v>
      </c>
      <c r="I1394" t="s">
        <v>9474</v>
      </c>
      <c r="J1394" t="s">
        <v>2118</v>
      </c>
      <c r="K1394" t="s">
        <v>123</v>
      </c>
      <c r="L1394">
        <v>4775.0600000000004</v>
      </c>
      <c r="M1394">
        <v>223</v>
      </c>
      <c r="N1394" t="s">
        <v>16</v>
      </c>
      <c r="O1394" t="s">
        <v>64</v>
      </c>
    </row>
    <row r="1395" spans="1:15" x14ac:dyDescent="0.3">
      <c r="A1395" t="s">
        <v>2117</v>
      </c>
      <c r="B1395" t="s">
        <v>2116</v>
      </c>
      <c r="C1395" t="s">
        <v>74</v>
      </c>
      <c r="D1395">
        <v>57</v>
      </c>
      <c r="E1395" t="s">
        <v>39</v>
      </c>
      <c r="F1395" t="s">
        <v>85</v>
      </c>
      <c r="G1395" s="8">
        <v>46128</v>
      </c>
      <c r="H1395" s="8">
        <v>46147</v>
      </c>
      <c r="I1395" t="s">
        <v>9475</v>
      </c>
      <c r="J1395" t="s">
        <v>2114</v>
      </c>
      <c r="K1395" t="s">
        <v>27</v>
      </c>
      <c r="L1395">
        <v>16639.34</v>
      </c>
      <c r="M1395">
        <v>493</v>
      </c>
      <c r="N1395" t="s">
        <v>71</v>
      </c>
      <c r="O1395" t="s">
        <v>57</v>
      </c>
    </row>
    <row r="1396" spans="1:15" x14ac:dyDescent="0.3">
      <c r="A1396" t="s">
        <v>2113</v>
      </c>
      <c r="B1396" t="s">
        <v>2112</v>
      </c>
      <c r="C1396" t="s">
        <v>74</v>
      </c>
      <c r="D1396">
        <v>6</v>
      </c>
      <c r="E1396" t="s">
        <v>47</v>
      </c>
      <c r="F1396" t="s">
        <v>20</v>
      </c>
      <c r="G1396" s="8">
        <v>45980</v>
      </c>
      <c r="H1396" s="8">
        <v>45990</v>
      </c>
      <c r="I1396" t="s">
        <v>9476</v>
      </c>
      <c r="J1396" t="s">
        <v>2110</v>
      </c>
      <c r="K1396" t="s">
        <v>27</v>
      </c>
      <c r="L1396">
        <v>23061.63</v>
      </c>
      <c r="M1396">
        <v>336</v>
      </c>
      <c r="N1396" t="s">
        <v>71</v>
      </c>
      <c r="O1396" t="s">
        <v>17</v>
      </c>
    </row>
    <row r="1397" spans="1:15" x14ac:dyDescent="0.3">
      <c r="A1397" t="s">
        <v>2109</v>
      </c>
      <c r="B1397" t="s">
        <v>2108</v>
      </c>
      <c r="C1397" t="s">
        <v>40</v>
      </c>
      <c r="D1397">
        <v>51</v>
      </c>
      <c r="E1397" t="s">
        <v>54</v>
      </c>
      <c r="F1397" t="s">
        <v>20</v>
      </c>
      <c r="G1397" s="8">
        <v>46088</v>
      </c>
      <c r="H1397" s="8">
        <v>46118</v>
      </c>
      <c r="I1397" t="s">
        <v>9477</v>
      </c>
      <c r="J1397" t="s">
        <v>2106</v>
      </c>
      <c r="K1397" t="s">
        <v>27</v>
      </c>
      <c r="L1397">
        <v>12738.75</v>
      </c>
      <c r="M1397">
        <v>194</v>
      </c>
      <c r="N1397" t="s">
        <v>25</v>
      </c>
      <c r="O1397" t="s">
        <v>57</v>
      </c>
    </row>
    <row r="1398" spans="1:15" x14ac:dyDescent="0.3">
      <c r="A1398" t="s">
        <v>2105</v>
      </c>
      <c r="B1398" t="s">
        <v>2104</v>
      </c>
      <c r="C1398" t="s">
        <v>74</v>
      </c>
      <c r="D1398">
        <v>43</v>
      </c>
      <c r="E1398" t="s">
        <v>68</v>
      </c>
      <c r="F1398" t="s">
        <v>46</v>
      </c>
      <c r="G1398" s="8">
        <v>46101</v>
      </c>
      <c r="H1398" s="8">
        <v>46128</v>
      </c>
      <c r="I1398" t="s">
        <v>9478</v>
      </c>
      <c r="J1398" t="s">
        <v>2102</v>
      </c>
      <c r="K1398" t="s">
        <v>123</v>
      </c>
      <c r="L1398">
        <v>1920.7</v>
      </c>
      <c r="M1398">
        <v>408</v>
      </c>
      <c r="N1398" t="s">
        <v>34</v>
      </c>
      <c r="O1398" t="s">
        <v>57</v>
      </c>
    </row>
    <row r="1399" spans="1:15" x14ac:dyDescent="0.3">
      <c r="A1399" t="s">
        <v>2101</v>
      </c>
      <c r="B1399" t="s">
        <v>8067</v>
      </c>
      <c r="C1399" t="s">
        <v>40</v>
      </c>
      <c r="D1399">
        <v>72</v>
      </c>
      <c r="E1399" t="s">
        <v>39</v>
      </c>
      <c r="F1399" t="s">
        <v>20</v>
      </c>
      <c r="G1399" s="8">
        <v>46108</v>
      </c>
      <c r="H1399" s="8">
        <v>46125</v>
      </c>
      <c r="I1399" t="s">
        <v>9479</v>
      </c>
      <c r="J1399" t="s">
        <v>2098</v>
      </c>
      <c r="K1399" t="s">
        <v>64</v>
      </c>
      <c r="L1399">
        <v>1606.49</v>
      </c>
      <c r="M1399">
        <v>309</v>
      </c>
      <c r="N1399" t="s">
        <v>34</v>
      </c>
      <c r="O1399" t="s">
        <v>64</v>
      </c>
    </row>
    <row r="1400" spans="1:15" x14ac:dyDescent="0.3">
      <c r="A1400" t="s">
        <v>2097</v>
      </c>
      <c r="B1400" t="s">
        <v>2096</v>
      </c>
      <c r="C1400" t="s">
        <v>40</v>
      </c>
      <c r="D1400">
        <v>80</v>
      </c>
      <c r="E1400" t="s">
        <v>39</v>
      </c>
      <c r="F1400" t="s">
        <v>67</v>
      </c>
      <c r="G1400" s="8">
        <v>46031</v>
      </c>
      <c r="H1400" s="8">
        <v>46042</v>
      </c>
      <c r="I1400" t="s">
        <v>9480</v>
      </c>
      <c r="J1400" t="s">
        <v>2094</v>
      </c>
      <c r="K1400" t="s">
        <v>27</v>
      </c>
      <c r="L1400">
        <v>3758.46</v>
      </c>
      <c r="M1400">
        <v>450</v>
      </c>
      <c r="N1400" t="s">
        <v>71</v>
      </c>
      <c r="O1400" t="s">
        <v>64</v>
      </c>
    </row>
    <row r="1401" spans="1:15" x14ac:dyDescent="0.3">
      <c r="A1401" t="s">
        <v>2093</v>
      </c>
      <c r="B1401" t="s">
        <v>2092</v>
      </c>
      <c r="C1401" t="s">
        <v>40</v>
      </c>
      <c r="D1401">
        <v>49</v>
      </c>
      <c r="E1401" t="s">
        <v>47</v>
      </c>
      <c r="F1401" t="s">
        <v>46</v>
      </c>
      <c r="G1401" s="8">
        <v>46038</v>
      </c>
      <c r="H1401" s="8">
        <v>46064</v>
      </c>
      <c r="I1401" t="s">
        <v>9481</v>
      </c>
      <c r="J1401" t="s">
        <v>2090</v>
      </c>
      <c r="K1401" t="s">
        <v>123</v>
      </c>
      <c r="L1401">
        <v>19263.650000000001</v>
      </c>
      <c r="M1401">
        <v>538</v>
      </c>
      <c r="N1401" t="s">
        <v>71</v>
      </c>
      <c r="O1401" t="s">
        <v>64</v>
      </c>
    </row>
    <row r="1402" spans="1:15" x14ac:dyDescent="0.3">
      <c r="A1402" t="s">
        <v>2089</v>
      </c>
      <c r="B1402" t="s">
        <v>2088</v>
      </c>
      <c r="C1402" t="s">
        <v>40</v>
      </c>
      <c r="D1402">
        <v>73</v>
      </c>
      <c r="E1402" t="s">
        <v>80</v>
      </c>
      <c r="F1402" t="s">
        <v>46</v>
      </c>
      <c r="G1402" s="8">
        <v>46142</v>
      </c>
      <c r="H1402" s="8">
        <v>46162</v>
      </c>
      <c r="I1402" t="s">
        <v>9482</v>
      </c>
      <c r="J1402" t="s">
        <v>2086</v>
      </c>
      <c r="K1402" t="s">
        <v>123</v>
      </c>
      <c r="L1402">
        <v>23442.83</v>
      </c>
      <c r="M1402">
        <v>244</v>
      </c>
      <c r="N1402" t="s">
        <v>25</v>
      </c>
      <c r="O1402" t="s">
        <v>123</v>
      </c>
    </row>
    <row r="1403" spans="1:15" x14ac:dyDescent="0.3">
      <c r="A1403" t="s">
        <v>2085</v>
      </c>
      <c r="B1403" t="s">
        <v>2084</v>
      </c>
      <c r="C1403" t="s">
        <v>123</v>
      </c>
      <c r="D1403">
        <v>58</v>
      </c>
      <c r="E1403" t="s">
        <v>21</v>
      </c>
      <c r="F1403" t="s">
        <v>85</v>
      </c>
      <c r="G1403" s="8">
        <v>46094</v>
      </c>
      <c r="H1403" s="8">
        <v>46113</v>
      </c>
      <c r="I1403" t="s">
        <v>9483</v>
      </c>
      <c r="J1403" t="s">
        <v>2082</v>
      </c>
      <c r="K1403" t="s">
        <v>27</v>
      </c>
      <c r="L1403">
        <v>8759.6299999999992</v>
      </c>
      <c r="M1403">
        <v>345</v>
      </c>
      <c r="N1403" t="s">
        <v>71</v>
      </c>
      <c r="O1403" t="s">
        <v>123</v>
      </c>
    </row>
    <row r="1404" spans="1:15" x14ac:dyDescent="0.3">
      <c r="A1404" t="s">
        <v>2081</v>
      </c>
      <c r="B1404" t="s">
        <v>2080</v>
      </c>
      <c r="C1404" t="s">
        <v>123</v>
      </c>
      <c r="D1404">
        <v>69</v>
      </c>
      <c r="E1404" t="s">
        <v>31</v>
      </c>
      <c r="F1404" t="s">
        <v>8077</v>
      </c>
      <c r="G1404" s="8">
        <v>46082</v>
      </c>
      <c r="H1404" s="8">
        <v>46086</v>
      </c>
      <c r="I1404" t="s">
        <v>9484</v>
      </c>
      <c r="J1404" t="s">
        <v>2078</v>
      </c>
      <c r="K1404" t="s">
        <v>27</v>
      </c>
      <c r="L1404">
        <v>15999.91</v>
      </c>
      <c r="M1404">
        <v>298</v>
      </c>
      <c r="N1404" t="s">
        <v>43</v>
      </c>
      <c r="O1404" t="s">
        <v>26</v>
      </c>
    </row>
    <row r="1405" spans="1:15" x14ac:dyDescent="0.3">
      <c r="A1405" t="s">
        <v>2077</v>
      </c>
      <c r="B1405" t="s">
        <v>2076</v>
      </c>
      <c r="C1405" t="s">
        <v>40</v>
      </c>
      <c r="D1405">
        <v>48</v>
      </c>
      <c r="E1405" t="s">
        <v>47</v>
      </c>
      <c r="F1405" t="s">
        <v>67</v>
      </c>
      <c r="G1405" s="8">
        <v>46141</v>
      </c>
      <c r="H1405" s="8">
        <v>46166</v>
      </c>
      <c r="I1405" t="s">
        <v>9485</v>
      </c>
      <c r="J1405" t="s">
        <v>2074</v>
      </c>
      <c r="K1405" t="s">
        <v>27</v>
      </c>
      <c r="L1405">
        <v>3770.8</v>
      </c>
      <c r="M1405">
        <v>310</v>
      </c>
      <c r="N1405" t="s">
        <v>25</v>
      </c>
      <c r="O1405" t="s">
        <v>123</v>
      </c>
    </row>
    <row r="1406" spans="1:15" x14ac:dyDescent="0.3">
      <c r="A1406" t="s">
        <v>2073</v>
      </c>
      <c r="B1406" t="s">
        <v>2072</v>
      </c>
      <c r="C1406" t="s">
        <v>74</v>
      </c>
      <c r="D1406">
        <v>52</v>
      </c>
      <c r="E1406" t="s">
        <v>39</v>
      </c>
      <c r="F1406" t="s">
        <v>67</v>
      </c>
      <c r="G1406" s="8">
        <v>46124</v>
      </c>
      <c r="H1406" s="8">
        <v>46130</v>
      </c>
      <c r="I1406" t="s">
        <v>9486</v>
      </c>
      <c r="J1406" t="s">
        <v>2070</v>
      </c>
      <c r="K1406" t="s">
        <v>123</v>
      </c>
      <c r="L1406">
        <v>10644.29</v>
      </c>
      <c r="M1406">
        <v>335</v>
      </c>
      <c r="N1406" t="s">
        <v>25</v>
      </c>
      <c r="O1406" t="s">
        <v>123</v>
      </c>
    </row>
    <row r="1407" spans="1:15" x14ac:dyDescent="0.3">
      <c r="A1407" t="s">
        <v>2069</v>
      </c>
      <c r="B1407" t="s">
        <v>2068</v>
      </c>
      <c r="C1407" t="s">
        <v>123</v>
      </c>
      <c r="D1407">
        <v>57</v>
      </c>
      <c r="E1407" t="s">
        <v>54</v>
      </c>
      <c r="F1407" t="s">
        <v>85</v>
      </c>
      <c r="G1407" s="8">
        <v>46083</v>
      </c>
      <c r="H1407" s="8">
        <v>46094</v>
      </c>
      <c r="I1407" t="s">
        <v>9487</v>
      </c>
      <c r="J1407" t="s">
        <v>2066</v>
      </c>
      <c r="K1407" t="s">
        <v>64</v>
      </c>
      <c r="L1407">
        <v>8285.07</v>
      </c>
      <c r="M1407">
        <v>168</v>
      </c>
      <c r="N1407" t="s">
        <v>25</v>
      </c>
      <c r="O1407" t="s">
        <v>123</v>
      </c>
    </row>
    <row r="1408" spans="1:15" x14ac:dyDescent="0.3">
      <c r="A1408" t="s">
        <v>2065</v>
      </c>
      <c r="B1408" t="s">
        <v>2064</v>
      </c>
      <c r="C1408" t="s">
        <v>74</v>
      </c>
      <c r="D1408">
        <v>32</v>
      </c>
      <c r="E1408" t="s">
        <v>21</v>
      </c>
      <c r="F1408" t="s">
        <v>8077</v>
      </c>
      <c r="G1408" s="8">
        <v>46146</v>
      </c>
      <c r="H1408" s="8">
        <v>46164</v>
      </c>
      <c r="I1408" t="s">
        <v>9488</v>
      </c>
      <c r="J1408" t="s">
        <v>2062</v>
      </c>
      <c r="K1408" t="s">
        <v>64</v>
      </c>
      <c r="L1408">
        <v>23710.52</v>
      </c>
      <c r="M1408">
        <v>337</v>
      </c>
      <c r="N1408" t="s">
        <v>34</v>
      </c>
      <c r="O1408" t="s">
        <v>17</v>
      </c>
    </row>
    <row r="1409" spans="1:15" x14ac:dyDescent="0.3">
      <c r="A1409" t="s">
        <v>2061</v>
      </c>
      <c r="B1409" t="s">
        <v>2060</v>
      </c>
      <c r="C1409" t="s">
        <v>123</v>
      </c>
      <c r="D1409">
        <v>48</v>
      </c>
      <c r="E1409" t="s">
        <v>132</v>
      </c>
      <c r="F1409" t="s">
        <v>8077</v>
      </c>
      <c r="G1409" s="8">
        <v>46106</v>
      </c>
      <c r="H1409" s="8">
        <v>46118</v>
      </c>
      <c r="I1409" t="s">
        <v>9489</v>
      </c>
      <c r="J1409" t="s">
        <v>2058</v>
      </c>
      <c r="K1409" t="s">
        <v>27</v>
      </c>
      <c r="L1409">
        <v>11861.76</v>
      </c>
      <c r="M1409">
        <v>253</v>
      </c>
      <c r="N1409" t="s">
        <v>50</v>
      </c>
      <c r="O1409" t="s">
        <v>123</v>
      </c>
    </row>
    <row r="1410" spans="1:15" x14ac:dyDescent="0.3">
      <c r="A1410" t="s">
        <v>2057</v>
      </c>
      <c r="B1410" t="s">
        <v>2056</v>
      </c>
      <c r="C1410" t="s">
        <v>123</v>
      </c>
      <c r="D1410">
        <v>7</v>
      </c>
      <c r="E1410" t="s">
        <v>21</v>
      </c>
      <c r="F1410" t="s">
        <v>8077</v>
      </c>
      <c r="G1410" s="8">
        <v>46097</v>
      </c>
      <c r="H1410" s="8">
        <v>46107</v>
      </c>
      <c r="I1410" t="s">
        <v>9490</v>
      </c>
      <c r="J1410" t="s">
        <v>2054</v>
      </c>
      <c r="K1410" t="s">
        <v>27</v>
      </c>
      <c r="L1410">
        <v>16559.36</v>
      </c>
      <c r="M1410">
        <v>192</v>
      </c>
      <c r="N1410" t="s">
        <v>16</v>
      </c>
      <c r="O1410" t="s">
        <v>123</v>
      </c>
    </row>
    <row r="1411" spans="1:15" x14ac:dyDescent="0.3">
      <c r="A1411" t="s">
        <v>2053</v>
      </c>
      <c r="B1411" t="s">
        <v>2052</v>
      </c>
      <c r="C1411" t="s">
        <v>40</v>
      </c>
      <c r="D1411">
        <v>89</v>
      </c>
      <c r="E1411" t="s">
        <v>21</v>
      </c>
      <c r="F1411" t="s">
        <v>67</v>
      </c>
      <c r="G1411" s="8">
        <v>46111</v>
      </c>
      <c r="H1411" s="8">
        <v>46129</v>
      </c>
      <c r="I1411" t="s">
        <v>9491</v>
      </c>
      <c r="J1411" t="s">
        <v>2050</v>
      </c>
      <c r="K1411" t="s">
        <v>27</v>
      </c>
      <c r="L1411">
        <v>6978.34</v>
      </c>
      <c r="M1411">
        <v>428</v>
      </c>
      <c r="N1411" t="s">
        <v>16</v>
      </c>
      <c r="O1411" t="s">
        <v>26</v>
      </c>
    </row>
    <row r="1412" spans="1:15" x14ac:dyDescent="0.3">
      <c r="A1412" t="s">
        <v>2049</v>
      </c>
      <c r="B1412" t="s">
        <v>2048</v>
      </c>
      <c r="C1412" t="s">
        <v>74</v>
      </c>
      <c r="D1412">
        <v>20</v>
      </c>
      <c r="E1412" t="s">
        <v>54</v>
      </c>
      <c r="F1412" t="s">
        <v>67</v>
      </c>
      <c r="G1412" s="8">
        <v>46137</v>
      </c>
      <c r="H1412" s="8">
        <v>46151</v>
      </c>
      <c r="I1412" t="s">
        <v>9492</v>
      </c>
      <c r="J1412" t="s">
        <v>2046</v>
      </c>
      <c r="K1412" t="s">
        <v>64</v>
      </c>
      <c r="L1412">
        <v>21727.15</v>
      </c>
      <c r="M1412">
        <v>490</v>
      </c>
      <c r="N1412" t="s">
        <v>16</v>
      </c>
      <c r="O1412" t="s">
        <v>26</v>
      </c>
    </row>
    <row r="1413" spans="1:15" x14ac:dyDescent="0.3">
      <c r="A1413" t="s">
        <v>2045</v>
      </c>
      <c r="B1413" t="s">
        <v>2044</v>
      </c>
      <c r="C1413" t="s">
        <v>74</v>
      </c>
      <c r="D1413">
        <v>79</v>
      </c>
      <c r="E1413" t="s">
        <v>47</v>
      </c>
      <c r="F1413" t="s">
        <v>20</v>
      </c>
      <c r="G1413" s="8">
        <v>46137</v>
      </c>
      <c r="H1413" s="8">
        <v>46162</v>
      </c>
      <c r="I1413" t="s">
        <v>9493</v>
      </c>
      <c r="J1413" t="s">
        <v>2042</v>
      </c>
      <c r="K1413" t="s">
        <v>64</v>
      </c>
      <c r="L1413">
        <v>2326.6</v>
      </c>
      <c r="M1413">
        <v>541</v>
      </c>
      <c r="N1413" t="s">
        <v>50</v>
      </c>
      <c r="O1413" t="s">
        <v>27</v>
      </c>
    </row>
    <row r="1414" spans="1:15" x14ac:dyDescent="0.3">
      <c r="A1414" t="s">
        <v>2041</v>
      </c>
      <c r="B1414" t="s">
        <v>2040</v>
      </c>
      <c r="C1414" t="s">
        <v>40</v>
      </c>
      <c r="D1414">
        <v>43</v>
      </c>
      <c r="E1414" t="s">
        <v>80</v>
      </c>
      <c r="F1414" t="s">
        <v>67</v>
      </c>
      <c r="G1414" s="8">
        <v>46114</v>
      </c>
      <c r="H1414" s="8">
        <v>46143</v>
      </c>
      <c r="I1414" t="s">
        <v>9494</v>
      </c>
      <c r="J1414" t="s">
        <v>2038</v>
      </c>
      <c r="K1414" t="s">
        <v>64</v>
      </c>
      <c r="L1414">
        <v>5234.58</v>
      </c>
      <c r="M1414">
        <v>209</v>
      </c>
      <c r="N1414" t="s">
        <v>43</v>
      </c>
      <c r="O1414" t="s">
        <v>26</v>
      </c>
    </row>
    <row r="1415" spans="1:15" x14ac:dyDescent="0.3">
      <c r="A1415" t="s">
        <v>2037</v>
      </c>
      <c r="B1415" t="s">
        <v>2036</v>
      </c>
      <c r="C1415" t="s">
        <v>74</v>
      </c>
      <c r="D1415">
        <v>47</v>
      </c>
      <c r="E1415" t="s">
        <v>31</v>
      </c>
      <c r="F1415" t="s">
        <v>85</v>
      </c>
      <c r="G1415" s="8">
        <v>46122</v>
      </c>
      <c r="H1415" s="8">
        <v>46137</v>
      </c>
      <c r="I1415" t="s">
        <v>9495</v>
      </c>
      <c r="J1415" t="s">
        <v>2034</v>
      </c>
      <c r="K1415" t="s">
        <v>64</v>
      </c>
      <c r="L1415">
        <v>17649.36</v>
      </c>
      <c r="M1415">
        <v>255</v>
      </c>
      <c r="N1415" t="s">
        <v>77</v>
      </c>
      <c r="O1415" t="s">
        <v>63</v>
      </c>
    </row>
    <row r="1416" spans="1:15" x14ac:dyDescent="0.3">
      <c r="A1416" t="s">
        <v>2033</v>
      </c>
      <c r="B1416" t="s">
        <v>2032</v>
      </c>
      <c r="C1416" t="s">
        <v>40</v>
      </c>
      <c r="D1416">
        <v>20</v>
      </c>
      <c r="E1416" t="s">
        <v>39</v>
      </c>
      <c r="F1416" t="s">
        <v>67</v>
      </c>
      <c r="G1416" s="8">
        <v>46138</v>
      </c>
      <c r="H1416" s="8">
        <v>46141</v>
      </c>
      <c r="I1416" t="s">
        <v>9496</v>
      </c>
      <c r="J1416" t="s">
        <v>2030</v>
      </c>
      <c r="K1416" t="s">
        <v>123</v>
      </c>
      <c r="L1416">
        <v>4125.3500000000004</v>
      </c>
      <c r="M1416">
        <v>458</v>
      </c>
      <c r="N1416" t="s">
        <v>43</v>
      </c>
      <c r="O1416" t="s">
        <v>123</v>
      </c>
    </row>
    <row r="1417" spans="1:15" x14ac:dyDescent="0.3">
      <c r="A1417" t="s">
        <v>2029</v>
      </c>
      <c r="B1417" t="s">
        <v>2028</v>
      </c>
      <c r="C1417" t="s">
        <v>74</v>
      </c>
      <c r="D1417">
        <v>15</v>
      </c>
      <c r="E1417" t="s">
        <v>39</v>
      </c>
      <c r="F1417" t="s">
        <v>85</v>
      </c>
      <c r="G1417" s="8">
        <v>46135</v>
      </c>
      <c r="H1417" s="8">
        <v>46138</v>
      </c>
      <c r="I1417" t="s">
        <v>9497</v>
      </c>
      <c r="J1417" t="s">
        <v>2026</v>
      </c>
      <c r="K1417" t="s">
        <v>27</v>
      </c>
      <c r="L1417">
        <v>3562.85</v>
      </c>
      <c r="M1417">
        <v>342</v>
      </c>
      <c r="N1417" t="s">
        <v>16</v>
      </c>
      <c r="O1417" t="s">
        <v>123</v>
      </c>
    </row>
    <row r="1418" spans="1:15" x14ac:dyDescent="0.3">
      <c r="A1418" t="s">
        <v>2025</v>
      </c>
      <c r="B1418" t="s">
        <v>2024</v>
      </c>
      <c r="C1418" t="s">
        <v>123</v>
      </c>
      <c r="D1418">
        <v>22</v>
      </c>
      <c r="E1418" t="s">
        <v>47</v>
      </c>
      <c r="F1418" t="s">
        <v>67</v>
      </c>
      <c r="G1418" s="8">
        <v>46006</v>
      </c>
      <c r="H1418" s="8">
        <v>46035</v>
      </c>
      <c r="I1418" t="s">
        <v>9498</v>
      </c>
      <c r="J1418" t="s">
        <v>2022</v>
      </c>
      <c r="K1418" t="s">
        <v>123</v>
      </c>
      <c r="L1418">
        <v>14705.3</v>
      </c>
      <c r="M1418">
        <v>329</v>
      </c>
      <c r="N1418" t="s">
        <v>77</v>
      </c>
      <c r="O1418" t="s">
        <v>26</v>
      </c>
    </row>
    <row r="1419" spans="1:15" x14ac:dyDescent="0.3">
      <c r="A1419" t="s">
        <v>2021</v>
      </c>
      <c r="B1419" t="s">
        <v>2020</v>
      </c>
      <c r="C1419" t="s">
        <v>123</v>
      </c>
      <c r="D1419">
        <v>86</v>
      </c>
      <c r="E1419" t="s">
        <v>31</v>
      </c>
      <c r="F1419" t="s">
        <v>67</v>
      </c>
      <c r="G1419" s="8">
        <v>46040</v>
      </c>
      <c r="H1419" s="8">
        <v>46042</v>
      </c>
      <c r="I1419" t="s">
        <v>9499</v>
      </c>
      <c r="J1419" t="s">
        <v>2018</v>
      </c>
      <c r="K1419" t="s">
        <v>64</v>
      </c>
      <c r="L1419">
        <v>1908.47</v>
      </c>
      <c r="M1419">
        <v>419</v>
      </c>
      <c r="N1419" t="s">
        <v>43</v>
      </c>
      <c r="O1419" t="s">
        <v>26</v>
      </c>
    </row>
    <row r="1420" spans="1:15" x14ac:dyDescent="0.3">
      <c r="A1420" t="s">
        <v>2017</v>
      </c>
      <c r="B1420" t="s">
        <v>1371</v>
      </c>
      <c r="C1420" t="s">
        <v>123</v>
      </c>
      <c r="D1420">
        <v>20</v>
      </c>
      <c r="E1420" t="s">
        <v>80</v>
      </c>
      <c r="F1420" t="s">
        <v>8077</v>
      </c>
      <c r="G1420" s="8">
        <v>46054</v>
      </c>
      <c r="H1420" s="8">
        <v>46084</v>
      </c>
      <c r="I1420" t="s">
        <v>9500</v>
      </c>
      <c r="J1420" t="s">
        <v>2015</v>
      </c>
      <c r="K1420" t="s">
        <v>64</v>
      </c>
      <c r="L1420">
        <v>7450.27</v>
      </c>
      <c r="M1420">
        <v>281</v>
      </c>
      <c r="N1420" t="s">
        <v>34</v>
      </c>
      <c r="O1420" t="s">
        <v>64</v>
      </c>
    </row>
    <row r="1421" spans="1:15" x14ac:dyDescent="0.3">
      <c r="A1421" t="s">
        <v>2014</v>
      </c>
      <c r="B1421" t="s">
        <v>2013</v>
      </c>
      <c r="C1421" t="s">
        <v>123</v>
      </c>
      <c r="D1421">
        <v>3</v>
      </c>
      <c r="E1421" t="s">
        <v>54</v>
      </c>
      <c r="F1421" t="s">
        <v>20</v>
      </c>
      <c r="G1421" s="8">
        <v>46045</v>
      </c>
      <c r="H1421" s="8">
        <v>46056</v>
      </c>
      <c r="I1421" t="s">
        <v>9501</v>
      </c>
      <c r="J1421" t="s">
        <v>2011</v>
      </c>
      <c r="K1421" t="s">
        <v>27</v>
      </c>
      <c r="L1421">
        <v>4962.17</v>
      </c>
      <c r="M1421">
        <v>366</v>
      </c>
      <c r="N1421" t="s">
        <v>77</v>
      </c>
      <c r="O1421" t="s">
        <v>63</v>
      </c>
    </row>
    <row r="1422" spans="1:15" x14ac:dyDescent="0.3">
      <c r="A1422" t="s">
        <v>2010</v>
      </c>
      <c r="B1422" t="s">
        <v>2009</v>
      </c>
      <c r="C1422" t="s">
        <v>123</v>
      </c>
      <c r="D1422">
        <v>41</v>
      </c>
      <c r="E1422" t="s">
        <v>39</v>
      </c>
      <c r="F1422" t="s">
        <v>46</v>
      </c>
      <c r="G1422" s="8">
        <v>46143</v>
      </c>
      <c r="H1422" s="8">
        <v>46163</v>
      </c>
      <c r="I1422" t="s">
        <v>9502</v>
      </c>
      <c r="J1422" t="s">
        <v>2007</v>
      </c>
      <c r="K1422" t="s">
        <v>64</v>
      </c>
      <c r="L1422">
        <v>17572.77</v>
      </c>
      <c r="M1422">
        <v>329</v>
      </c>
      <c r="N1422" t="s">
        <v>16</v>
      </c>
      <c r="O1422" t="s">
        <v>63</v>
      </c>
    </row>
    <row r="1423" spans="1:15" x14ac:dyDescent="0.3">
      <c r="A1423" t="s">
        <v>2006</v>
      </c>
      <c r="B1423" t="s">
        <v>2005</v>
      </c>
      <c r="C1423" t="s">
        <v>74</v>
      </c>
      <c r="D1423">
        <v>6</v>
      </c>
      <c r="E1423" t="s">
        <v>132</v>
      </c>
      <c r="F1423" t="s">
        <v>85</v>
      </c>
      <c r="G1423" s="8">
        <v>45984</v>
      </c>
      <c r="H1423" s="8">
        <v>46005</v>
      </c>
      <c r="I1423" t="s">
        <v>9503</v>
      </c>
      <c r="J1423" t="s">
        <v>2003</v>
      </c>
      <c r="K1423" t="s">
        <v>64</v>
      </c>
      <c r="L1423">
        <v>8456.39</v>
      </c>
      <c r="M1423">
        <v>166</v>
      </c>
      <c r="N1423" t="s">
        <v>50</v>
      </c>
      <c r="O1423" t="s">
        <v>27</v>
      </c>
    </row>
    <row r="1424" spans="1:15" x14ac:dyDescent="0.3">
      <c r="A1424" t="s">
        <v>2002</v>
      </c>
      <c r="B1424" t="s">
        <v>2001</v>
      </c>
      <c r="C1424" t="s">
        <v>40</v>
      </c>
      <c r="D1424">
        <v>74</v>
      </c>
      <c r="E1424" t="s">
        <v>47</v>
      </c>
      <c r="F1424" t="s">
        <v>30</v>
      </c>
      <c r="G1424" s="8">
        <v>46008</v>
      </c>
      <c r="H1424" s="8">
        <v>46020</v>
      </c>
      <c r="I1424" t="s">
        <v>9504</v>
      </c>
      <c r="J1424" t="s">
        <v>1999</v>
      </c>
      <c r="K1424" t="s">
        <v>64</v>
      </c>
      <c r="L1424">
        <v>22632.46</v>
      </c>
      <c r="M1424">
        <v>298</v>
      </c>
      <c r="N1424" t="s">
        <v>77</v>
      </c>
      <c r="O1424" t="s">
        <v>123</v>
      </c>
    </row>
    <row r="1425" spans="1:15" x14ac:dyDescent="0.3">
      <c r="A1425" t="s">
        <v>1998</v>
      </c>
      <c r="B1425" t="s">
        <v>1997</v>
      </c>
      <c r="C1425" t="s">
        <v>40</v>
      </c>
      <c r="D1425">
        <v>90</v>
      </c>
      <c r="E1425" t="s">
        <v>54</v>
      </c>
      <c r="F1425" t="s">
        <v>67</v>
      </c>
      <c r="G1425" s="8">
        <v>46076</v>
      </c>
      <c r="H1425" s="8">
        <v>46087</v>
      </c>
      <c r="I1425" t="s">
        <v>9505</v>
      </c>
      <c r="J1425" t="s">
        <v>1995</v>
      </c>
      <c r="K1425" t="s">
        <v>123</v>
      </c>
      <c r="L1425">
        <v>10298.44</v>
      </c>
      <c r="M1425">
        <v>167</v>
      </c>
      <c r="N1425" t="s">
        <v>43</v>
      </c>
      <c r="O1425" t="s">
        <v>17</v>
      </c>
    </row>
    <row r="1426" spans="1:15" x14ac:dyDescent="0.3">
      <c r="A1426" t="s">
        <v>1994</v>
      </c>
      <c r="B1426" t="s">
        <v>1993</v>
      </c>
      <c r="C1426" t="s">
        <v>40</v>
      </c>
      <c r="D1426">
        <v>71</v>
      </c>
      <c r="E1426" t="s">
        <v>21</v>
      </c>
      <c r="F1426" t="s">
        <v>85</v>
      </c>
      <c r="G1426" s="8">
        <v>46097</v>
      </c>
      <c r="H1426" s="8">
        <v>46106</v>
      </c>
      <c r="I1426" t="s">
        <v>9506</v>
      </c>
      <c r="J1426" t="s">
        <v>1991</v>
      </c>
      <c r="K1426" t="s">
        <v>27</v>
      </c>
      <c r="L1426">
        <v>2265.9899999999998</v>
      </c>
      <c r="M1426">
        <v>443</v>
      </c>
      <c r="N1426" t="s">
        <v>77</v>
      </c>
      <c r="O1426" t="s">
        <v>123</v>
      </c>
    </row>
    <row r="1427" spans="1:15" x14ac:dyDescent="0.3">
      <c r="A1427" t="s">
        <v>1990</v>
      </c>
      <c r="B1427" t="s">
        <v>1989</v>
      </c>
      <c r="C1427" t="s">
        <v>74</v>
      </c>
      <c r="D1427">
        <v>66</v>
      </c>
      <c r="E1427" t="s">
        <v>80</v>
      </c>
      <c r="F1427" t="s">
        <v>46</v>
      </c>
      <c r="G1427" s="8">
        <v>46117</v>
      </c>
      <c r="H1427" s="8">
        <v>46142</v>
      </c>
      <c r="I1427" t="s">
        <v>9507</v>
      </c>
      <c r="J1427" t="s">
        <v>1987</v>
      </c>
      <c r="K1427" t="s">
        <v>27</v>
      </c>
      <c r="L1427">
        <v>20194.419999999998</v>
      </c>
      <c r="M1427">
        <v>224</v>
      </c>
      <c r="N1427" t="s">
        <v>77</v>
      </c>
      <c r="O1427" t="s">
        <v>64</v>
      </c>
    </row>
    <row r="1428" spans="1:15" x14ac:dyDescent="0.3">
      <c r="A1428" t="s">
        <v>1986</v>
      </c>
      <c r="B1428" t="s">
        <v>1985</v>
      </c>
      <c r="C1428" t="s">
        <v>40</v>
      </c>
      <c r="D1428">
        <v>48</v>
      </c>
      <c r="E1428" t="s">
        <v>80</v>
      </c>
      <c r="F1428" t="s">
        <v>20</v>
      </c>
      <c r="G1428" s="8">
        <v>46122</v>
      </c>
      <c r="H1428" s="8">
        <v>46140</v>
      </c>
      <c r="I1428" t="s">
        <v>9508</v>
      </c>
      <c r="J1428" t="s">
        <v>1983</v>
      </c>
      <c r="K1428" t="s">
        <v>64</v>
      </c>
      <c r="L1428">
        <v>19516.14</v>
      </c>
      <c r="M1428">
        <v>104</v>
      </c>
      <c r="N1428" t="s">
        <v>25</v>
      </c>
      <c r="O1428" t="s">
        <v>64</v>
      </c>
    </row>
    <row r="1429" spans="1:15" x14ac:dyDescent="0.3">
      <c r="A1429" t="s">
        <v>1982</v>
      </c>
      <c r="B1429" t="s">
        <v>1981</v>
      </c>
      <c r="C1429" t="s">
        <v>40</v>
      </c>
      <c r="D1429">
        <v>44</v>
      </c>
      <c r="E1429" t="s">
        <v>80</v>
      </c>
      <c r="F1429" t="s">
        <v>20</v>
      </c>
      <c r="G1429" s="8">
        <v>46085</v>
      </c>
      <c r="H1429" s="8">
        <v>46103</v>
      </c>
      <c r="I1429" t="s">
        <v>9509</v>
      </c>
      <c r="J1429" t="s">
        <v>1979</v>
      </c>
      <c r="K1429" t="s">
        <v>123</v>
      </c>
      <c r="L1429">
        <v>15848.87</v>
      </c>
      <c r="M1429">
        <v>502</v>
      </c>
      <c r="N1429" t="s">
        <v>25</v>
      </c>
      <c r="O1429" t="s">
        <v>17</v>
      </c>
    </row>
    <row r="1430" spans="1:15" x14ac:dyDescent="0.3">
      <c r="A1430" t="s">
        <v>1978</v>
      </c>
      <c r="B1430" t="s">
        <v>1977</v>
      </c>
      <c r="C1430" t="s">
        <v>74</v>
      </c>
      <c r="D1430">
        <v>79</v>
      </c>
      <c r="E1430" t="s">
        <v>80</v>
      </c>
      <c r="F1430" t="s">
        <v>46</v>
      </c>
      <c r="G1430" s="8">
        <v>46112</v>
      </c>
      <c r="H1430" s="8">
        <v>46134</v>
      </c>
      <c r="I1430" t="s">
        <v>9510</v>
      </c>
      <c r="J1430" t="s">
        <v>1975</v>
      </c>
      <c r="K1430" t="s">
        <v>27</v>
      </c>
      <c r="L1430">
        <v>5148.13</v>
      </c>
      <c r="M1430">
        <v>195</v>
      </c>
      <c r="N1430" t="s">
        <v>77</v>
      </c>
      <c r="O1430" t="s">
        <v>64</v>
      </c>
    </row>
    <row r="1431" spans="1:15" x14ac:dyDescent="0.3">
      <c r="A1431" t="s">
        <v>1974</v>
      </c>
      <c r="B1431" t="s">
        <v>1973</v>
      </c>
      <c r="C1431" t="s">
        <v>74</v>
      </c>
      <c r="D1431">
        <v>1</v>
      </c>
      <c r="E1431" t="s">
        <v>54</v>
      </c>
      <c r="F1431" t="s">
        <v>8077</v>
      </c>
      <c r="G1431" s="8">
        <v>45980</v>
      </c>
      <c r="H1431" s="8">
        <v>45986</v>
      </c>
      <c r="I1431" t="s">
        <v>9511</v>
      </c>
      <c r="J1431" t="s">
        <v>1971</v>
      </c>
      <c r="K1431" t="s">
        <v>27</v>
      </c>
      <c r="L1431">
        <v>17981.080000000002</v>
      </c>
      <c r="M1431">
        <v>264</v>
      </c>
      <c r="N1431" t="s">
        <v>25</v>
      </c>
      <c r="O1431" t="s">
        <v>123</v>
      </c>
    </row>
    <row r="1432" spans="1:15" x14ac:dyDescent="0.3">
      <c r="A1432" t="s">
        <v>1970</v>
      </c>
      <c r="B1432" t="s">
        <v>1969</v>
      </c>
      <c r="C1432" t="s">
        <v>74</v>
      </c>
      <c r="D1432">
        <v>61</v>
      </c>
      <c r="E1432" t="s">
        <v>21</v>
      </c>
      <c r="F1432" t="s">
        <v>85</v>
      </c>
      <c r="G1432" s="8">
        <v>46134</v>
      </c>
      <c r="H1432" s="8">
        <v>46153</v>
      </c>
      <c r="I1432" t="s">
        <v>9512</v>
      </c>
      <c r="J1432" t="s">
        <v>1967</v>
      </c>
      <c r="K1432" t="s">
        <v>27</v>
      </c>
      <c r="L1432">
        <v>11836.42</v>
      </c>
      <c r="M1432">
        <v>326</v>
      </c>
      <c r="N1432" t="s">
        <v>71</v>
      </c>
      <c r="O1432" t="s">
        <v>27</v>
      </c>
    </row>
    <row r="1433" spans="1:15" x14ac:dyDescent="0.3">
      <c r="A1433" t="s">
        <v>1966</v>
      </c>
      <c r="B1433" t="s">
        <v>1590</v>
      </c>
      <c r="C1433" t="s">
        <v>40</v>
      </c>
      <c r="D1433">
        <v>11</v>
      </c>
      <c r="E1433" t="s">
        <v>39</v>
      </c>
      <c r="F1433" t="s">
        <v>8077</v>
      </c>
      <c r="G1433" s="8">
        <v>46025</v>
      </c>
      <c r="H1433" s="8">
        <v>46033</v>
      </c>
      <c r="I1433" t="s">
        <v>9513</v>
      </c>
      <c r="J1433" t="s">
        <v>1964</v>
      </c>
      <c r="K1433" t="s">
        <v>27</v>
      </c>
      <c r="L1433">
        <v>21978.78</v>
      </c>
      <c r="M1433">
        <v>458</v>
      </c>
      <c r="N1433" t="s">
        <v>77</v>
      </c>
      <c r="O1433" t="s">
        <v>57</v>
      </c>
    </row>
    <row r="1434" spans="1:15" x14ac:dyDescent="0.3">
      <c r="A1434" t="s">
        <v>1963</v>
      </c>
      <c r="B1434" t="s">
        <v>1962</v>
      </c>
      <c r="C1434" t="s">
        <v>74</v>
      </c>
      <c r="D1434">
        <v>25</v>
      </c>
      <c r="E1434" t="s">
        <v>39</v>
      </c>
      <c r="F1434" t="s">
        <v>67</v>
      </c>
      <c r="G1434" s="8">
        <v>46090</v>
      </c>
      <c r="H1434" s="8">
        <v>46114</v>
      </c>
      <c r="I1434" t="s">
        <v>9514</v>
      </c>
      <c r="J1434" t="s">
        <v>123</v>
      </c>
      <c r="K1434" t="s">
        <v>64</v>
      </c>
      <c r="L1434">
        <v>4228.1000000000004</v>
      </c>
      <c r="M1434">
        <v>407</v>
      </c>
      <c r="N1434" t="s">
        <v>16</v>
      </c>
      <c r="O1434" t="s">
        <v>63</v>
      </c>
    </row>
    <row r="1435" spans="1:15" x14ac:dyDescent="0.3">
      <c r="A1435" t="s">
        <v>1960</v>
      </c>
      <c r="B1435" t="s">
        <v>1959</v>
      </c>
      <c r="C1435" t="s">
        <v>40</v>
      </c>
      <c r="D1435">
        <v>28</v>
      </c>
      <c r="E1435" t="s">
        <v>54</v>
      </c>
      <c r="F1435" t="s">
        <v>30</v>
      </c>
      <c r="G1435" s="8">
        <v>46087</v>
      </c>
      <c r="H1435" s="8">
        <v>46113</v>
      </c>
      <c r="I1435" t="s">
        <v>9515</v>
      </c>
      <c r="J1435" t="s">
        <v>1957</v>
      </c>
      <c r="K1435" t="s">
        <v>64</v>
      </c>
      <c r="L1435">
        <v>18438.990000000002</v>
      </c>
      <c r="M1435">
        <v>435</v>
      </c>
      <c r="N1435" t="s">
        <v>25</v>
      </c>
      <c r="O1435" t="s">
        <v>27</v>
      </c>
    </row>
    <row r="1436" spans="1:15" x14ac:dyDescent="0.3">
      <c r="A1436" t="s">
        <v>1956</v>
      </c>
      <c r="B1436" t="s">
        <v>1955</v>
      </c>
      <c r="C1436" t="s">
        <v>40</v>
      </c>
      <c r="D1436">
        <v>37</v>
      </c>
      <c r="E1436" t="s">
        <v>39</v>
      </c>
      <c r="F1436" t="s">
        <v>20</v>
      </c>
      <c r="G1436" s="8">
        <v>46036</v>
      </c>
      <c r="H1436" s="8">
        <v>46037</v>
      </c>
      <c r="I1436" t="s">
        <v>9516</v>
      </c>
      <c r="J1436" t="s">
        <v>1953</v>
      </c>
      <c r="K1436" t="s">
        <v>64</v>
      </c>
      <c r="L1436">
        <v>12449.29</v>
      </c>
      <c r="M1436">
        <v>417</v>
      </c>
      <c r="N1436" t="s">
        <v>50</v>
      </c>
      <c r="O1436" t="s">
        <v>27</v>
      </c>
    </row>
    <row r="1437" spans="1:15" x14ac:dyDescent="0.3">
      <c r="A1437" t="s">
        <v>1952</v>
      </c>
      <c r="B1437" t="s">
        <v>1951</v>
      </c>
      <c r="C1437" t="s">
        <v>123</v>
      </c>
      <c r="D1437">
        <v>11</v>
      </c>
      <c r="E1437" t="s">
        <v>68</v>
      </c>
      <c r="F1437" t="s">
        <v>46</v>
      </c>
      <c r="G1437" s="8">
        <v>46125</v>
      </c>
      <c r="H1437" s="8">
        <v>46148</v>
      </c>
      <c r="I1437" t="s">
        <v>9517</v>
      </c>
      <c r="J1437" t="s">
        <v>1949</v>
      </c>
      <c r="K1437" t="s">
        <v>64</v>
      </c>
      <c r="L1437">
        <v>8096.27</v>
      </c>
      <c r="M1437">
        <v>457</v>
      </c>
      <c r="N1437" t="s">
        <v>25</v>
      </c>
      <c r="O1437" t="s">
        <v>17</v>
      </c>
    </row>
    <row r="1438" spans="1:15" x14ac:dyDescent="0.3">
      <c r="A1438" t="s">
        <v>1948</v>
      </c>
      <c r="B1438" t="s">
        <v>1947</v>
      </c>
      <c r="C1438" t="s">
        <v>74</v>
      </c>
      <c r="D1438">
        <v>73</v>
      </c>
      <c r="E1438" t="s">
        <v>132</v>
      </c>
      <c r="F1438" t="s">
        <v>67</v>
      </c>
      <c r="G1438" s="8">
        <v>46069</v>
      </c>
      <c r="H1438" s="8">
        <v>46083</v>
      </c>
      <c r="I1438" t="s">
        <v>9518</v>
      </c>
      <c r="J1438" t="s">
        <v>1945</v>
      </c>
      <c r="K1438" t="s">
        <v>64</v>
      </c>
      <c r="L1438">
        <v>18606.38</v>
      </c>
      <c r="M1438">
        <v>289</v>
      </c>
      <c r="N1438" t="s">
        <v>16</v>
      </c>
      <c r="O1438" t="s">
        <v>123</v>
      </c>
    </row>
    <row r="1439" spans="1:15" x14ac:dyDescent="0.3">
      <c r="A1439" t="s">
        <v>1944</v>
      </c>
      <c r="B1439" t="s">
        <v>1943</v>
      </c>
      <c r="C1439" t="s">
        <v>40</v>
      </c>
      <c r="D1439">
        <v>63</v>
      </c>
      <c r="E1439" t="s">
        <v>31</v>
      </c>
      <c r="F1439" t="s">
        <v>8077</v>
      </c>
      <c r="G1439" s="8">
        <v>46140</v>
      </c>
      <c r="H1439" s="8">
        <v>46147</v>
      </c>
      <c r="I1439" t="s">
        <v>9519</v>
      </c>
      <c r="J1439" t="s">
        <v>1941</v>
      </c>
      <c r="K1439" t="s">
        <v>27</v>
      </c>
      <c r="L1439">
        <v>1258.95</v>
      </c>
      <c r="M1439">
        <v>309</v>
      </c>
      <c r="N1439" t="s">
        <v>16</v>
      </c>
      <c r="O1439" t="s">
        <v>17</v>
      </c>
    </row>
    <row r="1440" spans="1:15" x14ac:dyDescent="0.3">
      <c r="A1440" t="s">
        <v>1940</v>
      </c>
      <c r="B1440" t="s">
        <v>1939</v>
      </c>
      <c r="C1440" t="s">
        <v>123</v>
      </c>
      <c r="D1440">
        <v>42</v>
      </c>
      <c r="E1440" t="s">
        <v>54</v>
      </c>
      <c r="F1440" t="s">
        <v>85</v>
      </c>
      <c r="G1440" s="8">
        <v>46076</v>
      </c>
      <c r="H1440" s="8">
        <v>46103</v>
      </c>
      <c r="I1440" t="s">
        <v>9520</v>
      </c>
      <c r="J1440" t="s">
        <v>1937</v>
      </c>
      <c r="K1440" t="s">
        <v>123</v>
      </c>
      <c r="L1440">
        <v>11413.97</v>
      </c>
      <c r="M1440">
        <v>477</v>
      </c>
      <c r="N1440" t="s">
        <v>50</v>
      </c>
      <c r="O1440" t="s">
        <v>26</v>
      </c>
    </row>
    <row r="1441" spans="1:15" x14ac:dyDescent="0.3">
      <c r="A1441" t="s">
        <v>1936</v>
      </c>
      <c r="B1441" t="s">
        <v>1935</v>
      </c>
      <c r="C1441" t="s">
        <v>123</v>
      </c>
      <c r="D1441">
        <v>54</v>
      </c>
      <c r="E1441" t="s">
        <v>47</v>
      </c>
      <c r="F1441" t="s">
        <v>20</v>
      </c>
      <c r="G1441" s="8">
        <v>46077</v>
      </c>
      <c r="H1441" s="8">
        <v>46102</v>
      </c>
      <c r="I1441" t="s">
        <v>9521</v>
      </c>
      <c r="J1441" t="s">
        <v>1933</v>
      </c>
      <c r="K1441" t="s">
        <v>64</v>
      </c>
      <c r="L1441">
        <v>9660.14</v>
      </c>
      <c r="M1441">
        <v>304</v>
      </c>
      <c r="N1441" t="s">
        <v>43</v>
      </c>
      <c r="O1441" t="s">
        <v>26</v>
      </c>
    </row>
    <row r="1442" spans="1:15" x14ac:dyDescent="0.3">
      <c r="A1442" t="s">
        <v>1932</v>
      </c>
      <c r="B1442" t="s">
        <v>1931</v>
      </c>
      <c r="C1442" t="s">
        <v>40</v>
      </c>
      <c r="D1442">
        <v>56</v>
      </c>
      <c r="E1442" t="s">
        <v>39</v>
      </c>
      <c r="F1442" t="s">
        <v>20</v>
      </c>
      <c r="G1442" s="8">
        <v>46026</v>
      </c>
      <c r="H1442" s="8">
        <v>46044</v>
      </c>
      <c r="I1442" t="s">
        <v>9522</v>
      </c>
      <c r="J1442" t="s">
        <v>1929</v>
      </c>
      <c r="K1442" t="s">
        <v>27</v>
      </c>
      <c r="L1442">
        <v>5581.45</v>
      </c>
      <c r="M1442">
        <v>300</v>
      </c>
      <c r="N1442" t="s">
        <v>16</v>
      </c>
      <c r="O1442" t="s">
        <v>27</v>
      </c>
    </row>
    <row r="1443" spans="1:15" x14ac:dyDescent="0.3">
      <c r="A1443" t="s">
        <v>1921</v>
      </c>
      <c r="B1443" t="s">
        <v>1920</v>
      </c>
      <c r="C1443" t="s">
        <v>40</v>
      </c>
      <c r="D1443">
        <v>46</v>
      </c>
      <c r="E1443" t="s">
        <v>80</v>
      </c>
      <c r="F1443" t="s">
        <v>20</v>
      </c>
      <c r="G1443" s="8">
        <v>45987</v>
      </c>
      <c r="H1443" s="8">
        <v>46017</v>
      </c>
      <c r="I1443" t="s">
        <v>9523</v>
      </c>
      <c r="J1443" t="s">
        <v>1918</v>
      </c>
      <c r="K1443" t="s">
        <v>64</v>
      </c>
      <c r="L1443">
        <v>17709.400000000001</v>
      </c>
      <c r="M1443">
        <v>172</v>
      </c>
      <c r="N1443" t="s">
        <v>71</v>
      </c>
      <c r="O1443" t="s">
        <v>63</v>
      </c>
    </row>
    <row r="1444" spans="1:15" x14ac:dyDescent="0.3">
      <c r="A1444" t="s">
        <v>1913</v>
      </c>
      <c r="B1444" t="s">
        <v>1912</v>
      </c>
      <c r="C1444" t="s">
        <v>123</v>
      </c>
      <c r="D1444">
        <v>79</v>
      </c>
      <c r="E1444" t="s">
        <v>80</v>
      </c>
      <c r="F1444" t="s">
        <v>20</v>
      </c>
      <c r="G1444" s="8">
        <v>46092</v>
      </c>
      <c r="H1444" s="8">
        <v>46108</v>
      </c>
      <c r="I1444" t="s">
        <v>9524</v>
      </c>
      <c r="J1444" t="s">
        <v>1910</v>
      </c>
      <c r="K1444" t="s">
        <v>27</v>
      </c>
      <c r="L1444">
        <v>8659.2099999999991</v>
      </c>
      <c r="M1444">
        <v>513</v>
      </c>
      <c r="N1444" t="s">
        <v>25</v>
      </c>
      <c r="O1444" t="s">
        <v>17</v>
      </c>
    </row>
    <row r="1445" spans="1:15" x14ac:dyDescent="0.3">
      <c r="A1445" t="s">
        <v>1905</v>
      </c>
      <c r="B1445" t="s">
        <v>1904</v>
      </c>
      <c r="C1445" t="s">
        <v>74</v>
      </c>
      <c r="D1445">
        <v>41</v>
      </c>
      <c r="E1445" t="s">
        <v>68</v>
      </c>
      <c r="F1445" t="s">
        <v>30</v>
      </c>
      <c r="G1445" s="8">
        <v>45981</v>
      </c>
      <c r="H1445" s="8">
        <v>45998</v>
      </c>
      <c r="I1445" t="s">
        <v>9525</v>
      </c>
      <c r="J1445" t="s">
        <v>1902</v>
      </c>
      <c r="K1445" t="s">
        <v>64</v>
      </c>
      <c r="L1445">
        <v>14515.05</v>
      </c>
      <c r="M1445">
        <v>457</v>
      </c>
      <c r="N1445" t="s">
        <v>71</v>
      </c>
      <c r="O1445" t="s">
        <v>17</v>
      </c>
    </row>
    <row r="1446" spans="1:15" x14ac:dyDescent="0.3">
      <c r="A1446" t="s">
        <v>1901</v>
      </c>
      <c r="B1446" t="s">
        <v>1900</v>
      </c>
      <c r="C1446" t="s">
        <v>40</v>
      </c>
      <c r="D1446">
        <v>42</v>
      </c>
      <c r="E1446" t="s">
        <v>21</v>
      </c>
      <c r="F1446" t="s">
        <v>8077</v>
      </c>
      <c r="G1446" s="8">
        <v>46141</v>
      </c>
      <c r="H1446" s="8">
        <v>46167</v>
      </c>
      <c r="I1446" t="s">
        <v>9526</v>
      </c>
      <c r="J1446" t="s">
        <v>1898</v>
      </c>
      <c r="K1446" t="s">
        <v>64</v>
      </c>
      <c r="L1446">
        <v>12316.98</v>
      </c>
      <c r="M1446">
        <v>109</v>
      </c>
      <c r="N1446" t="s">
        <v>43</v>
      </c>
      <c r="O1446" t="s">
        <v>123</v>
      </c>
    </row>
    <row r="1447" spans="1:15" x14ac:dyDescent="0.3">
      <c r="A1447" t="s">
        <v>1897</v>
      </c>
      <c r="B1447" t="s">
        <v>1896</v>
      </c>
      <c r="C1447" t="s">
        <v>74</v>
      </c>
      <c r="D1447">
        <v>50</v>
      </c>
      <c r="E1447" t="s">
        <v>39</v>
      </c>
      <c r="F1447" t="s">
        <v>67</v>
      </c>
      <c r="G1447" s="8">
        <v>45988</v>
      </c>
      <c r="H1447" s="8">
        <v>45990</v>
      </c>
      <c r="I1447" t="s">
        <v>9527</v>
      </c>
      <c r="J1447" t="s">
        <v>1894</v>
      </c>
      <c r="K1447" t="s">
        <v>123</v>
      </c>
      <c r="L1447">
        <v>11674.69</v>
      </c>
      <c r="M1447">
        <v>134</v>
      </c>
      <c r="N1447" t="s">
        <v>16</v>
      </c>
      <c r="O1447" t="s">
        <v>63</v>
      </c>
    </row>
    <row r="1448" spans="1:15" x14ac:dyDescent="0.3">
      <c r="A1448" t="s">
        <v>1893</v>
      </c>
      <c r="B1448" t="s">
        <v>1892</v>
      </c>
      <c r="C1448" t="s">
        <v>123</v>
      </c>
      <c r="D1448">
        <v>25</v>
      </c>
      <c r="E1448" t="s">
        <v>132</v>
      </c>
      <c r="F1448" t="s">
        <v>20</v>
      </c>
      <c r="G1448" s="8">
        <v>46125</v>
      </c>
      <c r="H1448" s="8">
        <v>46136</v>
      </c>
      <c r="I1448" t="s">
        <v>9528</v>
      </c>
      <c r="J1448" t="s">
        <v>1890</v>
      </c>
      <c r="K1448" t="s">
        <v>27</v>
      </c>
      <c r="L1448">
        <v>11948.92</v>
      </c>
      <c r="M1448">
        <v>424</v>
      </c>
      <c r="N1448" t="s">
        <v>77</v>
      </c>
      <c r="O1448" t="s">
        <v>57</v>
      </c>
    </row>
    <row r="1449" spans="1:15" x14ac:dyDescent="0.3">
      <c r="A1449" t="s">
        <v>1889</v>
      </c>
      <c r="B1449" t="s">
        <v>1888</v>
      </c>
      <c r="C1449" t="s">
        <v>74</v>
      </c>
      <c r="D1449">
        <v>46</v>
      </c>
      <c r="E1449" t="s">
        <v>68</v>
      </c>
      <c r="F1449" t="s">
        <v>20</v>
      </c>
      <c r="G1449" s="8">
        <v>46109</v>
      </c>
      <c r="H1449" s="8">
        <v>46134</v>
      </c>
      <c r="I1449" t="s">
        <v>9529</v>
      </c>
      <c r="J1449" t="s">
        <v>1886</v>
      </c>
      <c r="K1449" t="s">
        <v>27</v>
      </c>
      <c r="L1449">
        <v>23925.360000000001</v>
      </c>
      <c r="M1449">
        <v>260</v>
      </c>
      <c r="N1449" t="s">
        <v>34</v>
      </c>
      <c r="O1449" t="s">
        <v>123</v>
      </c>
    </row>
    <row r="1450" spans="1:15" x14ac:dyDescent="0.3">
      <c r="A1450" t="s">
        <v>1881</v>
      </c>
      <c r="B1450" t="s">
        <v>1880</v>
      </c>
      <c r="C1450" t="s">
        <v>40</v>
      </c>
      <c r="D1450">
        <v>32</v>
      </c>
      <c r="E1450" t="s">
        <v>54</v>
      </c>
      <c r="F1450" t="s">
        <v>67</v>
      </c>
      <c r="G1450" s="8">
        <v>46029</v>
      </c>
      <c r="H1450" s="8">
        <v>46051</v>
      </c>
      <c r="I1450" t="s">
        <v>9530</v>
      </c>
      <c r="J1450" t="s">
        <v>1878</v>
      </c>
      <c r="K1450" t="s">
        <v>27</v>
      </c>
      <c r="L1450">
        <v>7594.79</v>
      </c>
      <c r="M1450">
        <v>173</v>
      </c>
      <c r="N1450" t="s">
        <v>43</v>
      </c>
      <c r="O1450" t="s">
        <v>57</v>
      </c>
    </row>
    <row r="1451" spans="1:15" x14ac:dyDescent="0.3">
      <c r="A1451" t="s">
        <v>1877</v>
      </c>
      <c r="B1451" t="s">
        <v>1876</v>
      </c>
      <c r="C1451" t="s">
        <v>40</v>
      </c>
      <c r="D1451">
        <v>4</v>
      </c>
      <c r="E1451" t="s">
        <v>54</v>
      </c>
      <c r="F1451" t="s">
        <v>20</v>
      </c>
      <c r="G1451" s="8">
        <v>45990</v>
      </c>
      <c r="H1451" s="8">
        <v>46001</v>
      </c>
      <c r="I1451" t="s">
        <v>9531</v>
      </c>
      <c r="J1451" t="s">
        <v>1874</v>
      </c>
      <c r="K1451" t="s">
        <v>123</v>
      </c>
      <c r="L1451">
        <v>19439.759999999998</v>
      </c>
      <c r="M1451">
        <v>328</v>
      </c>
      <c r="N1451" t="s">
        <v>25</v>
      </c>
      <c r="O1451" t="s">
        <v>26</v>
      </c>
    </row>
    <row r="1452" spans="1:15" x14ac:dyDescent="0.3">
      <c r="A1452" t="s">
        <v>1873</v>
      </c>
      <c r="B1452" t="s">
        <v>1872</v>
      </c>
      <c r="C1452" t="s">
        <v>123</v>
      </c>
      <c r="D1452">
        <v>72</v>
      </c>
      <c r="E1452" t="s">
        <v>39</v>
      </c>
      <c r="F1452" t="s">
        <v>85</v>
      </c>
      <c r="G1452" s="8">
        <v>46066</v>
      </c>
      <c r="H1452" s="8">
        <v>46090</v>
      </c>
      <c r="I1452" t="s">
        <v>9532</v>
      </c>
      <c r="J1452" t="s">
        <v>1870</v>
      </c>
      <c r="K1452" t="s">
        <v>64</v>
      </c>
      <c r="L1452">
        <v>2872.07</v>
      </c>
      <c r="M1452">
        <v>333</v>
      </c>
      <c r="N1452" t="s">
        <v>43</v>
      </c>
      <c r="O1452" t="s">
        <v>63</v>
      </c>
    </row>
    <row r="1453" spans="1:15" x14ac:dyDescent="0.3">
      <c r="A1453" t="s">
        <v>1869</v>
      </c>
      <c r="B1453" t="s">
        <v>1868</v>
      </c>
      <c r="C1453" t="s">
        <v>74</v>
      </c>
      <c r="D1453">
        <v>78</v>
      </c>
      <c r="E1453" t="s">
        <v>68</v>
      </c>
      <c r="F1453" t="s">
        <v>30</v>
      </c>
      <c r="G1453" s="8">
        <v>46080</v>
      </c>
      <c r="H1453" s="8">
        <v>46085</v>
      </c>
      <c r="I1453" t="s">
        <v>9533</v>
      </c>
      <c r="J1453" t="s">
        <v>1866</v>
      </c>
      <c r="K1453" t="s">
        <v>27</v>
      </c>
      <c r="L1453">
        <v>8205.5300000000007</v>
      </c>
      <c r="M1453">
        <v>163</v>
      </c>
      <c r="N1453" t="s">
        <v>77</v>
      </c>
      <c r="O1453" t="s">
        <v>27</v>
      </c>
    </row>
    <row r="1454" spans="1:15" x14ac:dyDescent="0.3">
      <c r="A1454" t="s">
        <v>1865</v>
      </c>
      <c r="B1454" t="s">
        <v>1864</v>
      </c>
      <c r="C1454" t="s">
        <v>74</v>
      </c>
      <c r="D1454">
        <v>71</v>
      </c>
      <c r="E1454" t="s">
        <v>68</v>
      </c>
      <c r="F1454" t="s">
        <v>67</v>
      </c>
      <c r="G1454" s="8">
        <v>46046</v>
      </c>
      <c r="H1454" s="8">
        <v>46050</v>
      </c>
      <c r="I1454" t="s">
        <v>9534</v>
      </c>
      <c r="J1454" t="s">
        <v>1862</v>
      </c>
      <c r="K1454" t="s">
        <v>64</v>
      </c>
      <c r="L1454">
        <v>20828.75</v>
      </c>
      <c r="M1454">
        <v>381</v>
      </c>
      <c r="N1454" t="s">
        <v>77</v>
      </c>
      <c r="O1454" t="s">
        <v>123</v>
      </c>
    </row>
    <row r="1455" spans="1:15" x14ac:dyDescent="0.3">
      <c r="A1455" t="s">
        <v>1861</v>
      </c>
      <c r="B1455" t="s">
        <v>1860</v>
      </c>
      <c r="C1455" t="s">
        <v>123</v>
      </c>
      <c r="D1455">
        <v>83</v>
      </c>
      <c r="E1455" t="s">
        <v>31</v>
      </c>
      <c r="F1455" t="s">
        <v>67</v>
      </c>
      <c r="G1455" s="8">
        <v>46001</v>
      </c>
      <c r="H1455" s="8">
        <v>46006</v>
      </c>
      <c r="I1455" t="s">
        <v>9535</v>
      </c>
      <c r="J1455" t="s">
        <v>1858</v>
      </c>
      <c r="K1455" t="s">
        <v>64</v>
      </c>
      <c r="L1455">
        <v>15404.44</v>
      </c>
      <c r="M1455">
        <v>429</v>
      </c>
      <c r="N1455" t="s">
        <v>43</v>
      </c>
      <c r="O1455" t="s">
        <v>27</v>
      </c>
    </row>
    <row r="1456" spans="1:15" x14ac:dyDescent="0.3">
      <c r="A1456" t="s">
        <v>1857</v>
      </c>
      <c r="B1456" t="s">
        <v>1856</v>
      </c>
      <c r="C1456" t="s">
        <v>74</v>
      </c>
      <c r="D1456">
        <v>73</v>
      </c>
      <c r="E1456" t="s">
        <v>47</v>
      </c>
      <c r="F1456" t="s">
        <v>46</v>
      </c>
      <c r="G1456" s="8">
        <v>46060</v>
      </c>
      <c r="H1456" s="8">
        <v>46083</v>
      </c>
      <c r="I1456" t="s">
        <v>9536</v>
      </c>
      <c r="J1456" t="s">
        <v>1854</v>
      </c>
      <c r="K1456" t="s">
        <v>27</v>
      </c>
      <c r="L1456">
        <v>12517.58</v>
      </c>
      <c r="M1456">
        <v>171</v>
      </c>
      <c r="N1456" t="s">
        <v>71</v>
      </c>
      <c r="O1456" t="s">
        <v>64</v>
      </c>
    </row>
    <row r="1457" spans="1:15" x14ac:dyDescent="0.3">
      <c r="A1457" t="s">
        <v>1853</v>
      </c>
      <c r="B1457" t="s">
        <v>1852</v>
      </c>
      <c r="C1457" t="s">
        <v>74</v>
      </c>
      <c r="D1457">
        <v>67</v>
      </c>
      <c r="E1457" t="s">
        <v>39</v>
      </c>
      <c r="F1457" t="s">
        <v>8077</v>
      </c>
      <c r="G1457" s="8">
        <v>46077</v>
      </c>
      <c r="H1457" s="8">
        <v>46079</v>
      </c>
      <c r="I1457" t="s">
        <v>9537</v>
      </c>
      <c r="J1457" t="s">
        <v>1850</v>
      </c>
      <c r="K1457" t="s">
        <v>64</v>
      </c>
      <c r="L1457">
        <v>24313.52</v>
      </c>
      <c r="M1457">
        <v>141</v>
      </c>
      <c r="N1457" t="s">
        <v>16</v>
      </c>
      <c r="O1457" t="s">
        <v>17</v>
      </c>
    </row>
    <row r="1458" spans="1:15" x14ac:dyDescent="0.3">
      <c r="A1458" t="s">
        <v>1849</v>
      </c>
      <c r="B1458" t="s">
        <v>1848</v>
      </c>
      <c r="C1458" t="s">
        <v>74</v>
      </c>
      <c r="D1458">
        <v>9</v>
      </c>
      <c r="E1458" t="s">
        <v>68</v>
      </c>
      <c r="F1458" t="s">
        <v>67</v>
      </c>
      <c r="G1458" s="8">
        <v>46073</v>
      </c>
      <c r="H1458" s="8">
        <v>46090</v>
      </c>
      <c r="I1458" t="s">
        <v>9538</v>
      </c>
      <c r="J1458" t="s">
        <v>1846</v>
      </c>
      <c r="K1458" t="s">
        <v>27</v>
      </c>
      <c r="L1458">
        <v>13212.05</v>
      </c>
      <c r="M1458">
        <v>455</v>
      </c>
      <c r="N1458" t="s">
        <v>71</v>
      </c>
      <c r="O1458" t="s">
        <v>123</v>
      </c>
    </row>
    <row r="1459" spans="1:15" x14ac:dyDescent="0.3">
      <c r="A1459" t="s">
        <v>1841</v>
      </c>
      <c r="B1459" t="s">
        <v>1840</v>
      </c>
      <c r="C1459" t="s">
        <v>40</v>
      </c>
      <c r="D1459">
        <v>7</v>
      </c>
      <c r="E1459" t="s">
        <v>21</v>
      </c>
      <c r="F1459" t="s">
        <v>85</v>
      </c>
      <c r="G1459" s="8">
        <v>46013</v>
      </c>
      <c r="H1459" s="8">
        <v>46014</v>
      </c>
      <c r="I1459" t="s">
        <v>9539</v>
      </c>
      <c r="J1459" t="s">
        <v>1838</v>
      </c>
      <c r="K1459" t="s">
        <v>27</v>
      </c>
      <c r="L1459">
        <v>5631.22</v>
      </c>
      <c r="M1459">
        <v>178</v>
      </c>
      <c r="N1459" t="s">
        <v>50</v>
      </c>
      <c r="O1459" t="s">
        <v>57</v>
      </c>
    </row>
    <row r="1460" spans="1:15" x14ac:dyDescent="0.3">
      <c r="A1460" t="s">
        <v>1837</v>
      </c>
      <c r="B1460" t="s">
        <v>1836</v>
      </c>
      <c r="C1460" t="s">
        <v>40</v>
      </c>
      <c r="D1460">
        <v>65</v>
      </c>
      <c r="E1460" t="s">
        <v>31</v>
      </c>
      <c r="F1460" t="s">
        <v>67</v>
      </c>
      <c r="G1460" s="8">
        <v>46051</v>
      </c>
      <c r="H1460" s="8">
        <v>46063</v>
      </c>
      <c r="I1460" t="s">
        <v>9540</v>
      </c>
      <c r="J1460" t="s">
        <v>1834</v>
      </c>
      <c r="K1460" t="s">
        <v>123</v>
      </c>
      <c r="L1460">
        <v>677.54</v>
      </c>
      <c r="M1460">
        <v>352</v>
      </c>
      <c r="N1460" t="s">
        <v>77</v>
      </c>
      <c r="O1460" t="s">
        <v>63</v>
      </c>
    </row>
    <row r="1461" spans="1:15" x14ac:dyDescent="0.3">
      <c r="A1461" t="s">
        <v>1833</v>
      </c>
      <c r="B1461" t="s">
        <v>1832</v>
      </c>
      <c r="C1461" t="s">
        <v>123</v>
      </c>
      <c r="D1461">
        <v>71</v>
      </c>
      <c r="E1461" t="s">
        <v>80</v>
      </c>
      <c r="F1461" t="s">
        <v>46</v>
      </c>
      <c r="G1461" s="8">
        <v>46139</v>
      </c>
      <c r="H1461" s="8">
        <v>46145</v>
      </c>
      <c r="I1461" t="s">
        <v>9541</v>
      </c>
      <c r="J1461" t="s">
        <v>1830</v>
      </c>
      <c r="K1461" t="s">
        <v>27</v>
      </c>
      <c r="L1461">
        <v>5379.15</v>
      </c>
      <c r="M1461">
        <v>103</v>
      </c>
      <c r="N1461" t="s">
        <v>43</v>
      </c>
      <c r="O1461" t="s">
        <v>123</v>
      </c>
    </row>
    <row r="1462" spans="1:15" x14ac:dyDescent="0.3">
      <c r="A1462" t="s">
        <v>1829</v>
      </c>
      <c r="B1462" t="s">
        <v>1828</v>
      </c>
      <c r="C1462" t="s">
        <v>74</v>
      </c>
      <c r="D1462">
        <v>75</v>
      </c>
      <c r="E1462" t="s">
        <v>31</v>
      </c>
      <c r="F1462" t="s">
        <v>20</v>
      </c>
      <c r="G1462" s="8">
        <v>46114</v>
      </c>
      <c r="H1462" s="8">
        <v>46126</v>
      </c>
      <c r="I1462" t="s">
        <v>9542</v>
      </c>
      <c r="J1462" t="s">
        <v>1826</v>
      </c>
      <c r="K1462" t="s">
        <v>64</v>
      </c>
      <c r="L1462">
        <v>3975.95</v>
      </c>
      <c r="M1462">
        <v>421</v>
      </c>
      <c r="N1462" t="s">
        <v>25</v>
      </c>
      <c r="O1462" t="s">
        <v>27</v>
      </c>
    </row>
    <row r="1463" spans="1:15" x14ac:dyDescent="0.3">
      <c r="A1463" t="s">
        <v>1825</v>
      </c>
      <c r="B1463" t="s">
        <v>1824</v>
      </c>
      <c r="C1463" t="s">
        <v>40</v>
      </c>
      <c r="D1463">
        <v>35</v>
      </c>
      <c r="E1463" t="s">
        <v>31</v>
      </c>
      <c r="F1463" t="s">
        <v>67</v>
      </c>
      <c r="G1463" s="8">
        <v>45993</v>
      </c>
      <c r="H1463" s="8">
        <v>45998</v>
      </c>
      <c r="I1463" t="s">
        <v>9543</v>
      </c>
      <c r="J1463" t="s">
        <v>1822</v>
      </c>
      <c r="K1463" t="s">
        <v>64</v>
      </c>
      <c r="L1463">
        <v>18903.45</v>
      </c>
      <c r="M1463">
        <v>271</v>
      </c>
      <c r="N1463" t="s">
        <v>71</v>
      </c>
      <c r="O1463" t="s">
        <v>63</v>
      </c>
    </row>
    <row r="1464" spans="1:15" x14ac:dyDescent="0.3">
      <c r="A1464" t="s">
        <v>1821</v>
      </c>
      <c r="B1464" t="s">
        <v>1820</v>
      </c>
      <c r="C1464" t="s">
        <v>74</v>
      </c>
      <c r="D1464">
        <v>34</v>
      </c>
      <c r="E1464" t="s">
        <v>54</v>
      </c>
      <c r="F1464" t="s">
        <v>20</v>
      </c>
      <c r="G1464" s="8">
        <v>46004</v>
      </c>
      <c r="H1464" s="8">
        <v>46024</v>
      </c>
      <c r="I1464" t="s">
        <v>9544</v>
      </c>
      <c r="J1464" t="s">
        <v>1818</v>
      </c>
      <c r="K1464" t="s">
        <v>27</v>
      </c>
      <c r="L1464">
        <v>11400.91</v>
      </c>
      <c r="M1464">
        <v>408</v>
      </c>
      <c r="N1464" t="s">
        <v>25</v>
      </c>
      <c r="O1464" t="s">
        <v>123</v>
      </c>
    </row>
    <row r="1465" spans="1:15" x14ac:dyDescent="0.3">
      <c r="A1465" t="s">
        <v>1817</v>
      </c>
      <c r="B1465" t="s">
        <v>8068</v>
      </c>
      <c r="C1465" t="s">
        <v>123</v>
      </c>
      <c r="D1465">
        <v>27</v>
      </c>
      <c r="E1465" t="s">
        <v>39</v>
      </c>
      <c r="F1465" t="s">
        <v>20</v>
      </c>
      <c r="G1465" s="8">
        <v>46038</v>
      </c>
      <c r="H1465" s="8">
        <v>46039</v>
      </c>
      <c r="I1465" t="s">
        <v>9545</v>
      </c>
      <c r="J1465" t="s">
        <v>1814</v>
      </c>
      <c r="K1465" t="s">
        <v>123</v>
      </c>
      <c r="L1465">
        <v>20154.97</v>
      </c>
      <c r="M1465">
        <v>202</v>
      </c>
      <c r="N1465" t="s">
        <v>50</v>
      </c>
      <c r="O1465" t="s">
        <v>57</v>
      </c>
    </row>
    <row r="1466" spans="1:15" x14ac:dyDescent="0.3">
      <c r="A1466" t="s">
        <v>1813</v>
      </c>
      <c r="B1466" t="s">
        <v>1812</v>
      </c>
      <c r="C1466" t="s">
        <v>40</v>
      </c>
      <c r="D1466">
        <v>89</v>
      </c>
      <c r="E1466" t="s">
        <v>21</v>
      </c>
      <c r="F1466" t="s">
        <v>30</v>
      </c>
      <c r="G1466" s="8">
        <v>46078</v>
      </c>
      <c r="H1466" s="8">
        <v>46089</v>
      </c>
      <c r="I1466" t="s">
        <v>9546</v>
      </c>
      <c r="J1466" t="s">
        <v>1810</v>
      </c>
      <c r="K1466" t="s">
        <v>123</v>
      </c>
      <c r="L1466">
        <v>1548.32</v>
      </c>
      <c r="M1466">
        <v>390</v>
      </c>
      <c r="N1466" t="s">
        <v>50</v>
      </c>
      <c r="O1466" t="s">
        <v>57</v>
      </c>
    </row>
    <row r="1467" spans="1:15" x14ac:dyDescent="0.3">
      <c r="A1467" t="s">
        <v>1800</v>
      </c>
      <c r="B1467" t="s">
        <v>1799</v>
      </c>
      <c r="C1467" t="s">
        <v>40</v>
      </c>
      <c r="D1467">
        <v>86</v>
      </c>
      <c r="E1467" t="s">
        <v>21</v>
      </c>
      <c r="F1467" t="s">
        <v>20</v>
      </c>
      <c r="G1467" s="8">
        <v>46027</v>
      </c>
      <c r="H1467" s="8">
        <v>46046</v>
      </c>
      <c r="I1467" t="s">
        <v>9547</v>
      </c>
      <c r="J1467" t="s">
        <v>1797</v>
      </c>
      <c r="K1467" t="s">
        <v>64</v>
      </c>
      <c r="L1467">
        <v>22133.43</v>
      </c>
      <c r="M1467">
        <v>417</v>
      </c>
      <c r="N1467" t="s">
        <v>77</v>
      </c>
      <c r="O1467" t="s">
        <v>27</v>
      </c>
    </row>
    <row r="1468" spans="1:15" x14ac:dyDescent="0.3">
      <c r="A1468" t="s">
        <v>1796</v>
      </c>
      <c r="B1468" t="s">
        <v>1795</v>
      </c>
      <c r="C1468" t="s">
        <v>40</v>
      </c>
      <c r="D1468">
        <v>36</v>
      </c>
      <c r="E1468" t="s">
        <v>47</v>
      </c>
      <c r="F1468" t="s">
        <v>30</v>
      </c>
      <c r="G1468" s="8">
        <v>45984</v>
      </c>
      <c r="H1468" s="8">
        <v>45998</v>
      </c>
      <c r="I1468" t="s">
        <v>9548</v>
      </c>
      <c r="J1468" t="s">
        <v>1793</v>
      </c>
      <c r="K1468" t="s">
        <v>123</v>
      </c>
      <c r="L1468">
        <v>18272.96</v>
      </c>
      <c r="M1468">
        <v>149</v>
      </c>
      <c r="N1468" t="s">
        <v>77</v>
      </c>
      <c r="O1468" t="s">
        <v>26</v>
      </c>
    </row>
    <row r="1469" spans="1:15" x14ac:dyDescent="0.3">
      <c r="A1469" t="s">
        <v>1792</v>
      </c>
      <c r="B1469" t="s">
        <v>1791</v>
      </c>
      <c r="C1469" t="s">
        <v>74</v>
      </c>
      <c r="D1469">
        <v>28</v>
      </c>
      <c r="E1469" t="s">
        <v>21</v>
      </c>
      <c r="F1469" t="s">
        <v>67</v>
      </c>
      <c r="G1469" s="8">
        <v>45987</v>
      </c>
      <c r="H1469" s="8">
        <v>46010</v>
      </c>
      <c r="I1469" t="s">
        <v>9549</v>
      </c>
      <c r="J1469" t="s">
        <v>1789</v>
      </c>
      <c r="K1469" t="s">
        <v>64</v>
      </c>
      <c r="L1469">
        <v>2087.27</v>
      </c>
      <c r="M1469">
        <v>434</v>
      </c>
      <c r="N1469" t="s">
        <v>77</v>
      </c>
      <c r="O1469" t="s">
        <v>123</v>
      </c>
    </row>
    <row r="1470" spans="1:15" x14ac:dyDescent="0.3">
      <c r="A1470" t="s">
        <v>1788</v>
      </c>
      <c r="B1470" t="s">
        <v>1787</v>
      </c>
      <c r="C1470" t="s">
        <v>40</v>
      </c>
      <c r="D1470">
        <v>5</v>
      </c>
      <c r="E1470" t="s">
        <v>80</v>
      </c>
      <c r="F1470" t="s">
        <v>30</v>
      </c>
      <c r="G1470" s="8">
        <v>46070</v>
      </c>
      <c r="H1470" s="8">
        <v>46074</v>
      </c>
      <c r="I1470" t="s">
        <v>9550</v>
      </c>
      <c r="J1470" t="s">
        <v>1785</v>
      </c>
      <c r="K1470" t="s">
        <v>27</v>
      </c>
      <c r="L1470">
        <v>11531.81</v>
      </c>
      <c r="M1470">
        <v>161</v>
      </c>
      <c r="N1470" t="s">
        <v>25</v>
      </c>
      <c r="O1470" t="s">
        <v>57</v>
      </c>
    </row>
    <row r="1471" spans="1:15" x14ac:dyDescent="0.3">
      <c r="A1471" t="s">
        <v>1784</v>
      </c>
      <c r="B1471" t="s">
        <v>1783</v>
      </c>
      <c r="C1471" t="s">
        <v>40</v>
      </c>
      <c r="D1471">
        <v>61</v>
      </c>
      <c r="E1471" t="s">
        <v>39</v>
      </c>
      <c r="F1471" t="s">
        <v>46</v>
      </c>
      <c r="G1471" s="8">
        <v>46129</v>
      </c>
      <c r="H1471" s="8">
        <v>46132</v>
      </c>
      <c r="I1471" t="s">
        <v>9551</v>
      </c>
      <c r="J1471" t="s">
        <v>1781</v>
      </c>
      <c r="K1471" t="s">
        <v>64</v>
      </c>
      <c r="L1471">
        <v>18175.259999999998</v>
      </c>
      <c r="M1471">
        <v>545</v>
      </c>
      <c r="N1471" t="s">
        <v>34</v>
      </c>
      <c r="O1471" t="s">
        <v>123</v>
      </c>
    </row>
    <row r="1472" spans="1:15" x14ac:dyDescent="0.3">
      <c r="A1472" t="s">
        <v>1780</v>
      </c>
      <c r="B1472" t="s">
        <v>1779</v>
      </c>
      <c r="C1472" t="s">
        <v>40</v>
      </c>
      <c r="D1472">
        <v>35</v>
      </c>
      <c r="E1472" t="s">
        <v>47</v>
      </c>
      <c r="F1472" t="s">
        <v>85</v>
      </c>
      <c r="G1472" s="8">
        <v>46031</v>
      </c>
      <c r="H1472" s="8">
        <v>46033</v>
      </c>
      <c r="I1472" t="s">
        <v>9552</v>
      </c>
      <c r="J1472" t="s">
        <v>1777</v>
      </c>
      <c r="K1472" t="s">
        <v>27</v>
      </c>
      <c r="L1472">
        <v>5543.79</v>
      </c>
      <c r="M1472">
        <v>447</v>
      </c>
      <c r="N1472" t="s">
        <v>16</v>
      </c>
      <c r="O1472" t="s">
        <v>123</v>
      </c>
    </row>
    <row r="1473" spans="1:15" x14ac:dyDescent="0.3">
      <c r="A1473" t="s">
        <v>1776</v>
      </c>
      <c r="B1473" t="s">
        <v>1775</v>
      </c>
      <c r="C1473" t="s">
        <v>40</v>
      </c>
      <c r="D1473">
        <v>5</v>
      </c>
      <c r="E1473" t="s">
        <v>68</v>
      </c>
      <c r="F1473" t="s">
        <v>67</v>
      </c>
      <c r="G1473" s="8">
        <v>46017</v>
      </c>
      <c r="H1473" s="8">
        <v>46043</v>
      </c>
      <c r="I1473" t="s">
        <v>9553</v>
      </c>
      <c r="J1473" t="s">
        <v>1773</v>
      </c>
      <c r="K1473" t="s">
        <v>123</v>
      </c>
      <c r="L1473">
        <v>10428.120000000001</v>
      </c>
      <c r="M1473">
        <v>395</v>
      </c>
      <c r="N1473" t="s">
        <v>77</v>
      </c>
      <c r="O1473" t="s">
        <v>27</v>
      </c>
    </row>
    <row r="1474" spans="1:15" x14ac:dyDescent="0.3">
      <c r="A1474" t="s">
        <v>1772</v>
      </c>
      <c r="B1474" t="s">
        <v>1771</v>
      </c>
      <c r="C1474" t="s">
        <v>74</v>
      </c>
      <c r="D1474">
        <v>36</v>
      </c>
      <c r="E1474" t="s">
        <v>132</v>
      </c>
      <c r="F1474" t="s">
        <v>85</v>
      </c>
      <c r="G1474" s="8">
        <v>46045</v>
      </c>
      <c r="H1474" s="8">
        <v>46051</v>
      </c>
      <c r="I1474" t="s">
        <v>9554</v>
      </c>
      <c r="J1474" t="s">
        <v>1769</v>
      </c>
      <c r="K1474" t="s">
        <v>27</v>
      </c>
      <c r="L1474">
        <v>805.44</v>
      </c>
      <c r="M1474">
        <v>546</v>
      </c>
      <c r="N1474" t="s">
        <v>71</v>
      </c>
      <c r="O1474" t="s">
        <v>63</v>
      </c>
    </row>
    <row r="1475" spans="1:15" x14ac:dyDescent="0.3">
      <c r="A1475" t="s">
        <v>1768</v>
      </c>
      <c r="B1475" t="s">
        <v>1767</v>
      </c>
      <c r="C1475" t="s">
        <v>74</v>
      </c>
      <c r="D1475">
        <v>89</v>
      </c>
      <c r="E1475" t="s">
        <v>68</v>
      </c>
      <c r="F1475" t="s">
        <v>46</v>
      </c>
      <c r="G1475" s="8">
        <v>45979</v>
      </c>
      <c r="H1475" s="8">
        <v>45999</v>
      </c>
      <c r="I1475" t="s">
        <v>9555</v>
      </c>
      <c r="J1475" t="s">
        <v>1765</v>
      </c>
      <c r="K1475" t="s">
        <v>27</v>
      </c>
      <c r="L1475">
        <v>21863.32</v>
      </c>
      <c r="M1475">
        <v>386</v>
      </c>
      <c r="N1475" t="s">
        <v>25</v>
      </c>
      <c r="O1475" t="s">
        <v>123</v>
      </c>
    </row>
    <row r="1476" spans="1:15" x14ac:dyDescent="0.3">
      <c r="A1476" t="s">
        <v>1764</v>
      </c>
      <c r="B1476" t="s">
        <v>1763</v>
      </c>
      <c r="C1476" t="s">
        <v>123</v>
      </c>
      <c r="D1476">
        <v>30</v>
      </c>
      <c r="E1476" t="s">
        <v>47</v>
      </c>
      <c r="F1476" t="s">
        <v>30</v>
      </c>
      <c r="G1476" s="8">
        <v>46143</v>
      </c>
      <c r="H1476" s="8">
        <v>46154</v>
      </c>
      <c r="I1476" t="s">
        <v>9556</v>
      </c>
      <c r="J1476" t="s">
        <v>1761</v>
      </c>
      <c r="K1476" t="s">
        <v>64</v>
      </c>
      <c r="L1476">
        <v>15031.62</v>
      </c>
      <c r="M1476">
        <v>520</v>
      </c>
      <c r="N1476" t="s">
        <v>16</v>
      </c>
      <c r="O1476" t="s">
        <v>123</v>
      </c>
    </row>
    <row r="1477" spans="1:15" x14ac:dyDescent="0.3">
      <c r="A1477" t="s">
        <v>1760</v>
      </c>
      <c r="B1477" t="s">
        <v>1759</v>
      </c>
      <c r="C1477" t="s">
        <v>40</v>
      </c>
      <c r="D1477">
        <v>48</v>
      </c>
      <c r="E1477" t="s">
        <v>31</v>
      </c>
      <c r="F1477" t="s">
        <v>20</v>
      </c>
      <c r="G1477" s="8">
        <v>46074</v>
      </c>
      <c r="H1477" s="8">
        <v>46084</v>
      </c>
      <c r="I1477" t="s">
        <v>9557</v>
      </c>
      <c r="J1477" t="s">
        <v>1757</v>
      </c>
      <c r="K1477" t="s">
        <v>64</v>
      </c>
      <c r="L1477">
        <v>10293.64</v>
      </c>
      <c r="M1477">
        <v>290</v>
      </c>
      <c r="N1477" t="s">
        <v>16</v>
      </c>
      <c r="O1477" t="s">
        <v>123</v>
      </c>
    </row>
    <row r="1478" spans="1:15" x14ac:dyDescent="0.3">
      <c r="A1478" t="s">
        <v>1756</v>
      </c>
      <c r="B1478" t="s">
        <v>1755</v>
      </c>
      <c r="C1478" t="s">
        <v>74</v>
      </c>
      <c r="D1478">
        <v>38</v>
      </c>
      <c r="E1478" t="s">
        <v>39</v>
      </c>
      <c r="F1478" t="s">
        <v>85</v>
      </c>
      <c r="G1478" s="8">
        <v>46096</v>
      </c>
      <c r="H1478" s="8">
        <v>46117</v>
      </c>
      <c r="I1478" t="s">
        <v>9558</v>
      </c>
      <c r="J1478" t="s">
        <v>1753</v>
      </c>
      <c r="K1478" t="s">
        <v>123</v>
      </c>
      <c r="L1478">
        <v>9136.16</v>
      </c>
      <c r="M1478">
        <v>144</v>
      </c>
      <c r="N1478" t="s">
        <v>34</v>
      </c>
      <c r="O1478" t="s">
        <v>123</v>
      </c>
    </row>
    <row r="1479" spans="1:15" x14ac:dyDescent="0.3">
      <c r="A1479" t="s">
        <v>1752</v>
      </c>
      <c r="B1479" t="s">
        <v>1751</v>
      </c>
      <c r="C1479" t="s">
        <v>40</v>
      </c>
      <c r="D1479">
        <v>18</v>
      </c>
      <c r="E1479" t="s">
        <v>31</v>
      </c>
      <c r="F1479" t="s">
        <v>67</v>
      </c>
      <c r="G1479" s="8">
        <v>46076</v>
      </c>
      <c r="H1479" s="8">
        <v>46096</v>
      </c>
      <c r="I1479" t="s">
        <v>9559</v>
      </c>
      <c r="J1479" t="s">
        <v>1749</v>
      </c>
      <c r="K1479" t="s">
        <v>123</v>
      </c>
      <c r="L1479">
        <v>11379.06</v>
      </c>
      <c r="M1479">
        <v>121</v>
      </c>
      <c r="N1479" t="s">
        <v>43</v>
      </c>
      <c r="O1479" t="s">
        <v>26</v>
      </c>
    </row>
    <row r="1480" spans="1:15" x14ac:dyDescent="0.3">
      <c r="A1480" t="s">
        <v>1748</v>
      </c>
      <c r="B1480" t="s">
        <v>1747</v>
      </c>
      <c r="C1480" t="s">
        <v>40</v>
      </c>
      <c r="D1480">
        <v>77</v>
      </c>
      <c r="E1480" t="s">
        <v>31</v>
      </c>
      <c r="F1480" t="s">
        <v>20</v>
      </c>
      <c r="G1480" s="8">
        <v>46063</v>
      </c>
      <c r="H1480" s="8">
        <v>46090</v>
      </c>
      <c r="I1480" t="s">
        <v>9560</v>
      </c>
      <c r="J1480" t="s">
        <v>1745</v>
      </c>
      <c r="K1480" t="s">
        <v>27</v>
      </c>
      <c r="L1480">
        <v>24435.35</v>
      </c>
      <c r="M1480">
        <v>522</v>
      </c>
      <c r="N1480" t="s">
        <v>25</v>
      </c>
      <c r="O1480" t="s">
        <v>57</v>
      </c>
    </row>
    <row r="1481" spans="1:15" x14ac:dyDescent="0.3">
      <c r="A1481" t="s">
        <v>1744</v>
      </c>
      <c r="B1481" t="s">
        <v>1743</v>
      </c>
      <c r="C1481" t="s">
        <v>123</v>
      </c>
      <c r="D1481">
        <v>11</v>
      </c>
      <c r="E1481" t="s">
        <v>54</v>
      </c>
      <c r="F1481" t="s">
        <v>20</v>
      </c>
      <c r="G1481" s="8">
        <v>46055</v>
      </c>
      <c r="H1481" s="8">
        <v>46071</v>
      </c>
      <c r="I1481" t="s">
        <v>9561</v>
      </c>
      <c r="J1481" t="s">
        <v>1741</v>
      </c>
      <c r="K1481" t="s">
        <v>27</v>
      </c>
      <c r="L1481">
        <v>13085.31</v>
      </c>
      <c r="M1481" t="s">
        <v>123</v>
      </c>
      <c r="N1481" t="s">
        <v>34</v>
      </c>
      <c r="O1481" t="s">
        <v>27</v>
      </c>
    </row>
    <row r="1482" spans="1:15" x14ac:dyDescent="0.3">
      <c r="A1482" t="s">
        <v>1740</v>
      </c>
      <c r="B1482" t="s">
        <v>8069</v>
      </c>
      <c r="C1482" t="s">
        <v>40</v>
      </c>
      <c r="D1482">
        <v>30</v>
      </c>
      <c r="E1482" t="s">
        <v>31</v>
      </c>
      <c r="F1482" t="s">
        <v>85</v>
      </c>
      <c r="G1482" s="8">
        <v>45987</v>
      </c>
      <c r="H1482" s="8">
        <v>45990</v>
      </c>
      <c r="I1482" t="s">
        <v>9562</v>
      </c>
      <c r="J1482" t="s">
        <v>1737</v>
      </c>
      <c r="K1482" t="s">
        <v>64</v>
      </c>
      <c r="L1482">
        <v>18350</v>
      </c>
      <c r="M1482">
        <v>380</v>
      </c>
      <c r="N1482" t="s">
        <v>16</v>
      </c>
      <c r="O1482" t="s">
        <v>17</v>
      </c>
    </row>
    <row r="1483" spans="1:15" x14ac:dyDescent="0.3">
      <c r="A1483" t="s">
        <v>1736</v>
      </c>
      <c r="B1483" t="s">
        <v>951</v>
      </c>
      <c r="C1483" t="s">
        <v>123</v>
      </c>
      <c r="D1483">
        <v>29</v>
      </c>
      <c r="E1483" t="s">
        <v>31</v>
      </c>
      <c r="F1483" t="s">
        <v>67</v>
      </c>
      <c r="G1483" s="8">
        <v>45983</v>
      </c>
      <c r="H1483" s="8">
        <v>46005</v>
      </c>
      <c r="I1483" t="s">
        <v>9563</v>
      </c>
      <c r="J1483" t="s">
        <v>1734</v>
      </c>
      <c r="K1483" t="s">
        <v>64</v>
      </c>
      <c r="L1483">
        <v>5800.21</v>
      </c>
      <c r="M1483">
        <v>179</v>
      </c>
      <c r="N1483" t="s">
        <v>50</v>
      </c>
      <c r="O1483" t="s">
        <v>123</v>
      </c>
    </row>
    <row r="1484" spans="1:15" x14ac:dyDescent="0.3">
      <c r="A1484" t="s">
        <v>1733</v>
      </c>
      <c r="B1484" t="s">
        <v>1732</v>
      </c>
      <c r="C1484" t="s">
        <v>74</v>
      </c>
      <c r="D1484">
        <v>1</v>
      </c>
      <c r="E1484" t="s">
        <v>80</v>
      </c>
      <c r="F1484" t="s">
        <v>85</v>
      </c>
      <c r="G1484" s="8">
        <v>46056</v>
      </c>
      <c r="H1484" s="8">
        <v>46060</v>
      </c>
      <c r="I1484" t="s">
        <v>9564</v>
      </c>
      <c r="J1484" t="s">
        <v>1730</v>
      </c>
      <c r="K1484" t="s">
        <v>64</v>
      </c>
      <c r="L1484">
        <v>17434.45</v>
      </c>
      <c r="M1484">
        <v>223</v>
      </c>
      <c r="N1484" t="s">
        <v>50</v>
      </c>
      <c r="O1484" t="s">
        <v>63</v>
      </c>
    </row>
    <row r="1485" spans="1:15" x14ac:dyDescent="0.3">
      <c r="A1485" t="s">
        <v>1729</v>
      </c>
      <c r="B1485" t="s">
        <v>1728</v>
      </c>
      <c r="C1485" t="s">
        <v>123</v>
      </c>
      <c r="D1485">
        <v>39</v>
      </c>
      <c r="E1485" t="s">
        <v>21</v>
      </c>
      <c r="F1485" t="s">
        <v>20</v>
      </c>
      <c r="G1485" s="8">
        <v>46115</v>
      </c>
      <c r="H1485" s="8">
        <v>46145</v>
      </c>
      <c r="I1485" t="s">
        <v>9565</v>
      </c>
      <c r="J1485" t="s">
        <v>1726</v>
      </c>
      <c r="K1485" t="s">
        <v>64</v>
      </c>
      <c r="L1485">
        <v>782.94</v>
      </c>
      <c r="M1485">
        <v>251</v>
      </c>
      <c r="N1485" t="s">
        <v>77</v>
      </c>
      <c r="O1485" t="s">
        <v>27</v>
      </c>
    </row>
    <row r="1486" spans="1:15" x14ac:dyDescent="0.3">
      <c r="A1486" t="s">
        <v>1725</v>
      </c>
      <c r="B1486" t="s">
        <v>1724</v>
      </c>
      <c r="C1486" t="s">
        <v>74</v>
      </c>
      <c r="D1486">
        <v>24</v>
      </c>
      <c r="E1486" t="s">
        <v>80</v>
      </c>
      <c r="F1486" t="s">
        <v>20</v>
      </c>
      <c r="G1486" s="8">
        <v>46040</v>
      </c>
      <c r="H1486" s="8">
        <v>46048</v>
      </c>
      <c r="I1486" t="s">
        <v>9566</v>
      </c>
      <c r="J1486" t="s">
        <v>1722</v>
      </c>
      <c r="K1486" t="s">
        <v>123</v>
      </c>
      <c r="L1486">
        <v>23785.11</v>
      </c>
      <c r="M1486">
        <v>283</v>
      </c>
      <c r="N1486" t="s">
        <v>25</v>
      </c>
      <c r="O1486" t="s">
        <v>123</v>
      </c>
    </row>
    <row r="1487" spans="1:15" x14ac:dyDescent="0.3">
      <c r="A1487" t="s">
        <v>1721</v>
      </c>
      <c r="B1487" t="s">
        <v>1720</v>
      </c>
      <c r="C1487" t="s">
        <v>123</v>
      </c>
      <c r="D1487">
        <v>2</v>
      </c>
      <c r="E1487" t="s">
        <v>132</v>
      </c>
      <c r="F1487" t="s">
        <v>67</v>
      </c>
      <c r="G1487" s="8">
        <v>46146</v>
      </c>
      <c r="H1487" s="8">
        <v>46158</v>
      </c>
      <c r="I1487" t="s">
        <v>9567</v>
      </c>
      <c r="J1487" t="s">
        <v>1718</v>
      </c>
      <c r="K1487" t="s">
        <v>64</v>
      </c>
      <c r="L1487">
        <v>5369.52</v>
      </c>
      <c r="M1487">
        <v>417</v>
      </c>
      <c r="N1487" t="s">
        <v>34</v>
      </c>
      <c r="O1487" t="s">
        <v>123</v>
      </c>
    </row>
    <row r="1488" spans="1:15" x14ac:dyDescent="0.3">
      <c r="A1488" t="s">
        <v>1717</v>
      </c>
      <c r="B1488" t="s">
        <v>1716</v>
      </c>
      <c r="C1488" t="s">
        <v>123</v>
      </c>
      <c r="D1488">
        <v>82</v>
      </c>
      <c r="E1488" t="s">
        <v>47</v>
      </c>
      <c r="F1488" t="s">
        <v>85</v>
      </c>
      <c r="G1488" s="8">
        <v>46084</v>
      </c>
      <c r="H1488" s="8">
        <v>46085</v>
      </c>
      <c r="I1488" t="s">
        <v>9568</v>
      </c>
      <c r="J1488" t="s">
        <v>1714</v>
      </c>
      <c r="K1488" t="s">
        <v>123</v>
      </c>
      <c r="L1488">
        <v>8126.87</v>
      </c>
      <c r="M1488">
        <v>230</v>
      </c>
      <c r="N1488" t="s">
        <v>25</v>
      </c>
      <c r="O1488" t="s">
        <v>27</v>
      </c>
    </row>
    <row r="1489" spans="1:15" x14ac:dyDescent="0.3">
      <c r="A1489" t="s">
        <v>1713</v>
      </c>
      <c r="B1489" t="s">
        <v>1712</v>
      </c>
      <c r="C1489" t="s">
        <v>123</v>
      </c>
      <c r="D1489">
        <v>50</v>
      </c>
      <c r="E1489" t="s">
        <v>80</v>
      </c>
      <c r="F1489" t="s">
        <v>67</v>
      </c>
      <c r="G1489" s="8">
        <v>46139</v>
      </c>
      <c r="H1489" s="8">
        <v>46161</v>
      </c>
      <c r="I1489" t="s">
        <v>9569</v>
      </c>
      <c r="J1489" t="s">
        <v>1710</v>
      </c>
      <c r="K1489" t="s">
        <v>64</v>
      </c>
      <c r="L1489">
        <v>23738.23</v>
      </c>
      <c r="M1489">
        <v>113</v>
      </c>
      <c r="N1489" t="s">
        <v>16</v>
      </c>
      <c r="O1489" t="s">
        <v>123</v>
      </c>
    </row>
    <row r="1490" spans="1:15" x14ac:dyDescent="0.3">
      <c r="A1490" t="s">
        <v>1709</v>
      </c>
      <c r="B1490" t="s">
        <v>1708</v>
      </c>
      <c r="C1490" t="s">
        <v>40</v>
      </c>
      <c r="D1490">
        <v>63</v>
      </c>
      <c r="E1490" t="s">
        <v>80</v>
      </c>
      <c r="F1490" t="s">
        <v>85</v>
      </c>
      <c r="G1490" s="8">
        <v>46103</v>
      </c>
      <c r="H1490" s="8">
        <v>46111</v>
      </c>
      <c r="I1490" t="s">
        <v>9570</v>
      </c>
      <c r="J1490" t="s">
        <v>1706</v>
      </c>
      <c r="K1490" t="s">
        <v>64</v>
      </c>
      <c r="L1490">
        <v>2257.52</v>
      </c>
      <c r="M1490">
        <v>332</v>
      </c>
      <c r="N1490" t="s">
        <v>16</v>
      </c>
      <c r="O1490" t="s">
        <v>64</v>
      </c>
    </row>
    <row r="1491" spans="1:15" x14ac:dyDescent="0.3">
      <c r="A1491" t="s">
        <v>1705</v>
      </c>
      <c r="B1491" t="s">
        <v>1704</v>
      </c>
      <c r="C1491" t="s">
        <v>74</v>
      </c>
      <c r="D1491">
        <v>31</v>
      </c>
      <c r="E1491" t="s">
        <v>68</v>
      </c>
      <c r="F1491" t="s">
        <v>46</v>
      </c>
      <c r="G1491" s="8">
        <v>46039</v>
      </c>
      <c r="H1491" s="8">
        <v>46049</v>
      </c>
      <c r="I1491" t="s">
        <v>9571</v>
      </c>
      <c r="J1491" t="s">
        <v>1702</v>
      </c>
      <c r="K1491" t="s">
        <v>27</v>
      </c>
      <c r="L1491">
        <v>13905.12</v>
      </c>
      <c r="M1491">
        <v>210</v>
      </c>
      <c r="N1491" t="s">
        <v>34</v>
      </c>
      <c r="O1491" t="s">
        <v>123</v>
      </c>
    </row>
    <row r="1492" spans="1:15" x14ac:dyDescent="0.3">
      <c r="A1492" t="s">
        <v>1701</v>
      </c>
      <c r="B1492" t="s">
        <v>1700</v>
      </c>
      <c r="C1492" t="s">
        <v>123</v>
      </c>
      <c r="D1492">
        <v>13</v>
      </c>
      <c r="E1492" t="s">
        <v>47</v>
      </c>
      <c r="F1492" t="s">
        <v>20</v>
      </c>
      <c r="G1492" s="8">
        <v>46098</v>
      </c>
      <c r="H1492" s="8">
        <v>46116</v>
      </c>
      <c r="I1492" t="s">
        <v>9572</v>
      </c>
      <c r="J1492" t="s">
        <v>1698</v>
      </c>
      <c r="K1492" t="s">
        <v>27</v>
      </c>
      <c r="L1492">
        <v>23401.35</v>
      </c>
      <c r="M1492">
        <v>135</v>
      </c>
      <c r="N1492" t="s">
        <v>34</v>
      </c>
      <c r="O1492" t="s">
        <v>123</v>
      </c>
    </row>
    <row r="1493" spans="1:15" x14ac:dyDescent="0.3">
      <c r="A1493" t="s">
        <v>1697</v>
      </c>
      <c r="B1493" t="s">
        <v>1696</v>
      </c>
      <c r="C1493" t="s">
        <v>40</v>
      </c>
      <c r="D1493">
        <v>60</v>
      </c>
      <c r="E1493" t="s">
        <v>132</v>
      </c>
      <c r="F1493" t="s">
        <v>67</v>
      </c>
      <c r="G1493" s="8">
        <v>46138</v>
      </c>
      <c r="H1493" s="8">
        <v>46163</v>
      </c>
      <c r="I1493" t="s">
        <v>9573</v>
      </c>
      <c r="J1493" t="s">
        <v>1694</v>
      </c>
      <c r="K1493" t="s">
        <v>27</v>
      </c>
      <c r="L1493">
        <v>6479.47</v>
      </c>
      <c r="M1493">
        <v>457</v>
      </c>
      <c r="N1493" t="s">
        <v>34</v>
      </c>
      <c r="O1493" t="s">
        <v>64</v>
      </c>
    </row>
    <row r="1494" spans="1:15" x14ac:dyDescent="0.3">
      <c r="A1494" t="s">
        <v>1693</v>
      </c>
      <c r="B1494" t="s">
        <v>1692</v>
      </c>
      <c r="C1494" t="s">
        <v>123</v>
      </c>
      <c r="D1494">
        <v>23</v>
      </c>
      <c r="E1494" t="s">
        <v>68</v>
      </c>
      <c r="F1494" t="s">
        <v>30</v>
      </c>
      <c r="G1494" s="8">
        <v>45985</v>
      </c>
      <c r="H1494" s="8">
        <v>46012</v>
      </c>
      <c r="I1494" t="s">
        <v>9574</v>
      </c>
      <c r="J1494" t="s">
        <v>1690</v>
      </c>
      <c r="K1494" t="s">
        <v>27</v>
      </c>
      <c r="L1494">
        <v>1187.45</v>
      </c>
      <c r="M1494">
        <v>318</v>
      </c>
      <c r="N1494" t="s">
        <v>77</v>
      </c>
      <c r="O1494" t="s">
        <v>17</v>
      </c>
    </row>
    <row r="1495" spans="1:15" x14ac:dyDescent="0.3">
      <c r="A1495" t="s">
        <v>1689</v>
      </c>
      <c r="B1495" t="s">
        <v>1688</v>
      </c>
      <c r="C1495" t="s">
        <v>40</v>
      </c>
      <c r="D1495">
        <v>10</v>
      </c>
      <c r="E1495" t="s">
        <v>21</v>
      </c>
      <c r="F1495" t="s">
        <v>85</v>
      </c>
      <c r="G1495" s="8">
        <v>46071</v>
      </c>
      <c r="H1495" s="8">
        <v>46086</v>
      </c>
      <c r="I1495" t="s">
        <v>9575</v>
      </c>
      <c r="J1495" t="s">
        <v>1686</v>
      </c>
      <c r="K1495" t="s">
        <v>64</v>
      </c>
      <c r="L1495">
        <v>341.17</v>
      </c>
      <c r="M1495">
        <v>495</v>
      </c>
      <c r="N1495" t="s">
        <v>16</v>
      </c>
      <c r="O1495" t="s">
        <v>26</v>
      </c>
    </row>
    <row r="1496" spans="1:15" x14ac:dyDescent="0.3">
      <c r="A1496" t="s">
        <v>1685</v>
      </c>
      <c r="B1496" t="s">
        <v>1684</v>
      </c>
      <c r="C1496" t="s">
        <v>40</v>
      </c>
      <c r="D1496">
        <v>39</v>
      </c>
      <c r="E1496" t="s">
        <v>39</v>
      </c>
      <c r="F1496" t="s">
        <v>8077</v>
      </c>
      <c r="G1496" s="8">
        <v>46138</v>
      </c>
      <c r="H1496" s="8">
        <v>46148</v>
      </c>
      <c r="I1496" t="s">
        <v>9576</v>
      </c>
      <c r="J1496" t="s">
        <v>1682</v>
      </c>
      <c r="K1496" t="s">
        <v>123</v>
      </c>
      <c r="L1496">
        <v>5872.57</v>
      </c>
      <c r="M1496">
        <v>513</v>
      </c>
      <c r="N1496" t="s">
        <v>25</v>
      </c>
      <c r="O1496" t="s">
        <v>123</v>
      </c>
    </row>
    <row r="1497" spans="1:15" x14ac:dyDescent="0.3">
      <c r="A1497" t="s">
        <v>1681</v>
      </c>
      <c r="B1497" t="s">
        <v>1680</v>
      </c>
      <c r="C1497" t="s">
        <v>74</v>
      </c>
      <c r="D1497">
        <v>13</v>
      </c>
      <c r="E1497" t="s">
        <v>39</v>
      </c>
      <c r="F1497" t="s">
        <v>20</v>
      </c>
      <c r="G1497" s="8">
        <v>46066</v>
      </c>
      <c r="H1497" s="8">
        <v>46070</v>
      </c>
      <c r="I1497" t="s">
        <v>9577</v>
      </c>
      <c r="J1497" t="s">
        <v>1678</v>
      </c>
      <c r="K1497" t="s">
        <v>27</v>
      </c>
      <c r="L1497">
        <v>11064.81</v>
      </c>
      <c r="M1497">
        <v>506</v>
      </c>
      <c r="N1497" t="s">
        <v>25</v>
      </c>
      <c r="O1497" t="s">
        <v>17</v>
      </c>
    </row>
    <row r="1498" spans="1:15" x14ac:dyDescent="0.3">
      <c r="A1498" t="s">
        <v>1677</v>
      </c>
      <c r="B1498" t="s">
        <v>1676</v>
      </c>
      <c r="C1498" t="s">
        <v>123</v>
      </c>
      <c r="D1498">
        <v>3</v>
      </c>
      <c r="E1498" t="s">
        <v>31</v>
      </c>
      <c r="F1498" t="s">
        <v>20</v>
      </c>
      <c r="G1498" s="8">
        <v>46083</v>
      </c>
      <c r="H1498" s="8">
        <v>46096</v>
      </c>
      <c r="I1498" t="s">
        <v>9578</v>
      </c>
      <c r="J1498" t="s">
        <v>1674</v>
      </c>
      <c r="K1498" t="s">
        <v>123</v>
      </c>
      <c r="L1498">
        <v>1031.71</v>
      </c>
      <c r="M1498">
        <v>385</v>
      </c>
      <c r="N1498" t="s">
        <v>25</v>
      </c>
      <c r="O1498" t="s">
        <v>123</v>
      </c>
    </row>
    <row r="1499" spans="1:15" x14ac:dyDescent="0.3">
      <c r="A1499" t="s">
        <v>1673</v>
      </c>
      <c r="B1499" t="s">
        <v>1672</v>
      </c>
      <c r="C1499" t="s">
        <v>123</v>
      </c>
      <c r="D1499">
        <v>9</v>
      </c>
      <c r="E1499" t="s">
        <v>80</v>
      </c>
      <c r="F1499" t="s">
        <v>20</v>
      </c>
      <c r="G1499" s="8">
        <v>46042</v>
      </c>
      <c r="H1499" s="8">
        <v>46050</v>
      </c>
      <c r="I1499" t="s">
        <v>9579</v>
      </c>
      <c r="J1499" t="s">
        <v>1670</v>
      </c>
      <c r="K1499" t="s">
        <v>64</v>
      </c>
      <c r="L1499">
        <v>11970.71</v>
      </c>
      <c r="M1499">
        <v>548</v>
      </c>
      <c r="N1499" t="s">
        <v>71</v>
      </c>
      <c r="O1499" t="s">
        <v>57</v>
      </c>
    </row>
    <row r="1500" spans="1:15" x14ac:dyDescent="0.3">
      <c r="A1500" t="s">
        <v>1669</v>
      </c>
      <c r="B1500" t="s">
        <v>1668</v>
      </c>
      <c r="C1500" t="s">
        <v>74</v>
      </c>
      <c r="D1500">
        <v>4</v>
      </c>
      <c r="E1500" t="s">
        <v>39</v>
      </c>
      <c r="F1500" t="s">
        <v>20</v>
      </c>
      <c r="G1500" s="8">
        <v>46090</v>
      </c>
      <c r="H1500" s="8">
        <v>46108</v>
      </c>
      <c r="I1500" t="s">
        <v>9580</v>
      </c>
      <c r="J1500" t="s">
        <v>1666</v>
      </c>
      <c r="K1500" t="s">
        <v>27</v>
      </c>
      <c r="L1500">
        <v>16683.099999999999</v>
      </c>
      <c r="M1500">
        <v>437</v>
      </c>
      <c r="N1500" t="s">
        <v>34</v>
      </c>
      <c r="O1500" t="s">
        <v>123</v>
      </c>
    </row>
    <row r="1501" spans="1:15" x14ac:dyDescent="0.3">
      <c r="A1501" t="s">
        <v>1665</v>
      </c>
      <c r="B1501" t="s">
        <v>1664</v>
      </c>
      <c r="C1501" t="s">
        <v>74</v>
      </c>
      <c r="D1501">
        <v>72</v>
      </c>
      <c r="E1501" t="s">
        <v>132</v>
      </c>
      <c r="F1501" t="s">
        <v>85</v>
      </c>
      <c r="G1501" s="8">
        <v>46090</v>
      </c>
      <c r="H1501" s="8">
        <v>46092</v>
      </c>
      <c r="I1501" t="s">
        <v>8230</v>
      </c>
      <c r="J1501" t="s">
        <v>1663</v>
      </c>
      <c r="K1501" t="s">
        <v>27</v>
      </c>
      <c r="L1501">
        <v>14636.59</v>
      </c>
      <c r="M1501">
        <v>386</v>
      </c>
      <c r="N1501" t="s">
        <v>77</v>
      </c>
      <c r="O1501" t="s">
        <v>64</v>
      </c>
    </row>
    <row r="1502" spans="1:15" x14ac:dyDescent="0.3">
      <c r="A1502" t="s">
        <v>1662</v>
      </c>
      <c r="B1502" t="s">
        <v>1661</v>
      </c>
      <c r="C1502" t="s">
        <v>74</v>
      </c>
      <c r="D1502">
        <v>26</v>
      </c>
      <c r="E1502" t="s">
        <v>39</v>
      </c>
      <c r="F1502" t="s">
        <v>30</v>
      </c>
      <c r="G1502" s="8">
        <v>46045</v>
      </c>
      <c r="H1502" s="8">
        <v>46049</v>
      </c>
      <c r="I1502" t="s">
        <v>9581</v>
      </c>
      <c r="J1502" t="s">
        <v>1659</v>
      </c>
      <c r="K1502" t="s">
        <v>123</v>
      </c>
      <c r="L1502">
        <v>477.6</v>
      </c>
      <c r="M1502">
        <v>361</v>
      </c>
      <c r="N1502" t="s">
        <v>50</v>
      </c>
      <c r="O1502" t="s">
        <v>27</v>
      </c>
    </row>
    <row r="1503" spans="1:15" x14ac:dyDescent="0.3">
      <c r="A1503" t="s">
        <v>1658</v>
      </c>
      <c r="B1503" t="s">
        <v>1657</v>
      </c>
      <c r="C1503" t="s">
        <v>40</v>
      </c>
      <c r="D1503">
        <v>15</v>
      </c>
      <c r="E1503" t="s">
        <v>132</v>
      </c>
      <c r="F1503" t="s">
        <v>46</v>
      </c>
      <c r="G1503" s="8">
        <v>46111</v>
      </c>
      <c r="H1503" s="8">
        <v>46120</v>
      </c>
      <c r="I1503" t="s">
        <v>9582</v>
      </c>
      <c r="J1503" t="s">
        <v>1655</v>
      </c>
      <c r="K1503" t="s">
        <v>27</v>
      </c>
      <c r="L1503">
        <v>8124.32</v>
      </c>
      <c r="M1503">
        <v>540</v>
      </c>
      <c r="N1503" t="s">
        <v>16</v>
      </c>
      <c r="O1503" t="s">
        <v>57</v>
      </c>
    </row>
    <row r="1504" spans="1:15" x14ac:dyDescent="0.3">
      <c r="A1504" t="s">
        <v>1654</v>
      </c>
      <c r="B1504" t="s">
        <v>1653</v>
      </c>
      <c r="C1504" t="s">
        <v>74</v>
      </c>
      <c r="D1504">
        <v>25</v>
      </c>
      <c r="E1504" t="s">
        <v>68</v>
      </c>
      <c r="F1504" t="s">
        <v>85</v>
      </c>
      <c r="G1504" s="8">
        <v>46021</v>
      </c>
      <c r="H1504" s="8">
        <v>46036</v>
      </c>
      <c r="I1504" t="s">
        <v>9583</v>
      </c>
      <c r="J1504" t="s">
        <v>1651</v>
      </c>
      <c r="K1504" t="s">
        <v>64</v>
      </c>
      <c r="L1504">
        <v>2656.37</v>
      </c>
      <c r="M1504">
        <v>383</v>
      </c>
      <c r="N1504" t="s">
        <v>25</v>
      </c>
      <c r="O1504" t="s">
        <v>123</v>
      </c>
    </row>
    <row r="1505" spans="1:15" x14ac:dyDescent="0.3">
      <c r="A1505" t="s">
        <v>1650</v>
      </c>
      <c r="B1505" t="s">
        <v>1649</v>
      </c>
      <c r="C1505" t="s">
        <v>74</v>
      </c>
      <c r="D1505">
        <v>19</v>
      </c>
      <c r="E1505" t="s">
        <v>39</v>
      </c>
      <c r="F1505" t="s">
        <v>20</v>
      </c>
      <c r="G1505" s="8">
        <v>46061</v>
      </c>
      <c r="H1505" s="8">
        <v>46088</v>
      </c>
      <c r="I1505" t="s">
        <v>9584</v>
      </c>
      <c r="J1505" t="s">
        <v>1647</v>
      </c>
      <c r="K1505" t="s">
        <v>64</v>
      </c>
      <c r="L1505">
        <v>12046.67</v>
      </c>
      <c r="M1505">
        <v>389</v>
      </c>
      <c r="N1505" t="s">
        <v>71</v>
      </c>
      <c r="O1505" t="s">
        <v>64</v>
      </c>
    </row>
    <row r="1506" spans="1:15" x14ac:dyDescent="0.3">
      <c r="A1506" t="s">
        <v>1646</v>
      </c>
      <c r="B1506" t="s">
        <v>1645</v>
      </c>
      <c r="C1506" t="s">
        <v>74</v>
      </c>
      <c r="D1506">
        <v>81</v>
      </c>
      <c r="E1506" t="s">
        <v>54</v>
      </c>
      <c r="F1506" t="s">
        <v>67</v>
      </c>
      <c r="G1506" s="8">
        <v>45982</v>
      </c>
      <c r="H1506" s="8">
        <v>46012</v>
      </c>
      <c r="I1506" t="s">
        <v>9585</v>
      </c>
      <c r="J1506" t="s">
        <v>123</v>
      </c>
      <c r="K1506" t="s">
        <v>64</v>
      </c>
      <c r="L1506">
        <v>-500</v>
      </c>
      <c r="M1506">
        <v>130</v>
      </c>
      <c r="N1506" t="s">
        <v>50</v>
      </c>
      <c r="O1506" t="s">
        <v>123</v>
      </c>
    </row>
    <row r="1507" spans="1:15" x14ac:dyDescent="0.3">
      <c r="A1507" t="s">
        <v>1639</v>
      </c>
      <c r="B1507" t="s">
        <v>1638</v>
      </c>
      <c r="C1507" t="s">
        <v>74</v>
      </c>
      <c r="D1507">
        <v>17</v>
      </c>
      <c r="E1507" t="s">
        <v>68</v>
      </c>
      <c r="F1507" t="s">
        <v>67</v>
      </c>
      <c r="G1507" s="8">
        <v>45982</v>
      </c>
      <c r="H1507" s="8">
        <v>46002</v>
      </c>
      <c r="I1507" t="s">
        <v>9586</v>
      </c>
      <c r="J1507" t="s">
        <v>1636</v>
      </c>
      <c r="K1507" t="s">
        <v>27</v>
      </c>
      <c r="L1507">
        <v>6185.25</v>
      </c>
      <c r="M1507">
        <v>354</v>
      </c>
      <c r="N1507" t="s">
        <v>50</v>
      </c>
      <c r="O1507" t="s">
        <v>63</v>
      </c>
    </row>
    <row r="1508" spans="1:15" x14ac:dyDescent="0.3">
      <c r="A1508" t="s">
        <v>1635</v>
      </c>
      <c r="B1508" t="s">
        <v>1634</v>
      </c>
      <c r="C1508" t="s">
        <v>74</v>
      </c>
      <c r="D1508">
        <v>56</v>
      </c>
      <c r="E1508" t="s">
        <v>47</v>
      </c>
      <c r="F1508" t="s">
        <v>67</v>
      </c>
      <c r="G1508" s="8">
        <v>46083</v>
      </c>
      <c r="H1508" s="8">
        <v>46085</v>
      </c>
      <c r="I1508" t="s">
        <v>9587</v>
      </c>
      <c r="J1508" t="s">
        <v>1632</v>
      </c>
      <c r="K1508" t="s">
        <v>64</v>
      </c>
      <c r="L1508">
        <v>17670.96</v>
      </c>
      <c r="M1508">
        <v>495</v>
      </c>
      <c r="N1508" t="s">
        <v>25</v>
      </c>
      <c r="O1508" t="s">
        <v>26</v>
      </c>
    </row>
    <row r="1509" spans="1:15" x14ac:dyDescent="0.3">
      <c r="A1509" t="s">
        <v>1631</v>
      </c>
      <c r="B1509" t="s">
        <v>1630</v>
      </c>
      <c r="C1509" t="s">
        <v>40</v>
      </c>
      <c r="D1509">
        <v>48</v>
      </c>
      <c r="E1509" t="s">
        <v>132</v>
      </c>
      <c r="F1509" t="s">
        <v>67</v>
      </c>
      <c r="G1509" s="8">
        <v>46085</v>
      </c>
      <c r="H1509" s="8">
        <v>46093</v>
      </c>
      <c r="I1509" t="s">
        <v>9588</v>
      </c>
      <c r="J1509" t="s">
        <v>1628</v>
      </c>
      <c r="K1509" t="s">
        <v>123</v>
      </c>
      <c r="L1509">
        <v>16324.14</v>
      </c>
      <c r="M1509">
        <v>255</v>
      </c>
      <c r="N1509" t="s">
        <v>50</v>
      </c>
      <c r="O1509" t="s">
        <v>17</v>
      </c>
    </row>
    <row r="1510" spans="1:15" x14ac:dyDescent="0.3">
      <c r="A1510" t="s">
        <v>1627</v>
      </c>
      <c r="B1510" t="s">
        <v>1626</v>
      </c>
      <c r="C1510" t="s">
        <v>74</v>
      </c>
      <c r="D1510">
        <v>40</v>
      </c>
      <c r="E1510" t="s">
        <v>68</v>
      </c>
      <c r="F1510" t="s">
        <v>85</v>
      </c>
      <c r="G1510" s="8">
        <v>46050</v>
      </c>
      <c r="H1510" s="8">
        <v>46062</v>
      </c>
      <c r="I1510" t="s">
        <v>9589</v>
      </c>
      <c r="J1510" t="s">
        <v>1624</v>
      </c>
      <c r="K1510" t="s">
        <v>27</v>
      </c>
      <c r="L1510">
        <v>11839.34</v>
      </c>
      <c r="M1510">
        <v>454</v>
      </c>
      <c r="N1510" t="s">
        <v>16</v>
      </c>
      <c r="O1510" t="s">
        <v>64</v>
      </c>
    </row>
    <row r="1511" spans="1:15" x14ac:dyDescent="0.3">
      <c r="A1511" t="s">
        <v>1623</v>
      </c>
      <c r="B1511" t="s">
        <v>1622</v>
      </c>
      <c r="C1511" t="s">
        <v>74</v>
      </c>
      <c r="D1511">
        <v>69</v>
      </c>
      <c r="E1511" t="s">
        <v>80</v>
      </c>
      <c r="F1511" t="s">
        <v>30</v>
      </c>
      <c r="G1511" s="8">
        <v>46045</v>
      </c>
      <c r="H1511" s="8">
        <v>46065</v>
      </c>
      <c r="I1511" t="s">
        <v>9590</v>
      </c>
      <c r="J1511" t="s">
        <v>1620</v>
      </c>
      <c r="K1511" t="s">
        <v>27</v>
      </c>
      <c r="L1511">
        <v>23367.19</v>
      </c>
      <c r="M1511">
        <v>404</v>
      </c>
      <c r="N1511" t="s">
        <v>34</v>
      </c>
      <c r="O1511" t="s">
        <v>63</v>
      </c>
    </row>
    <row r="1512" spans="1:15" x14ac:dyDescent="0.3">
      <c r="A1512" t="s">
        <v>1619</v>
      </c>
      <c r="B1512" t="s">
        <v>1618</v>
      </c>
      <c r="C1512" t="s">
        <v>74</v>
      </c>
      <c r="D1512">
        <v>41</v>
      </c>
      <c r="E1512" t="s">
        <v>31</v>
      </c>
      <c r="F1512" t="s">
        <v>8077</v>
      </c>
      <c r="G1512" s="8">
        <v>46066</v>
      </c>
      <c r="H1512" s="8">
        <v>46084</v>
      </c>
      <c r="I1512" t="s">
        <v>9591</v>
      </c>
      <c r="J1512" t="s">
        <v>1616</v>
      </c>
      <c r="K1512" t="s">
        <v>64</v>
      </c>
      <c r="L1512">
        <v>8843.1299999999992</v>
      </c>
      <c r="M1512">
        <v>198</v>
      </c>
      <c r="N1512" t="s">
        <v>50</v>
      </c>
      <c r="O1512" t="s">
        <v>63</v>
      </c>
    </row>
    <row r="1513" spans="1:15" x14ac:dyDescent="0.3">
      <c r="A1513" t="s">
        <v>1615</v>
      </c>
      <c r="B1513" t="s">
        <v>1614</v>
      </c>
      <c r="C1513" t="s">
        <v>74</v>
      </c>
      <c r="D1513">
        <v>67</v>
      </c>
      <c r="E1513" t="s">
        <v>54</v>
      </c>
      <c r="F1513" t="s">
        <v>30</v>
      </c>
      <c r="G1513" s="8">
        <v>46133</v>
      </c>
      <c r="H1513" s="8">
        <v>46141</v>
      </c>
      <c r="I1513" t="s">
        <v>9592</v>
      </c>
      <c r="J1513" t="s">
        <v>1612</v>
      </c>
      <c r="K1513" t="s">
        <v>123</v>
      </c>
      <c r="L1513">
        <v>16808.18</v>
      </c>
      <c r="M1513">
        <v>493</v>
      </c>
      <c r="N1513" t="s">
        <v>34</v>
      </c>
      <c r="O1513" t="s">
        <v>57</v>
      </c>
    </row>
    <row r="1514" spans="1:15" x14ac:dyDescent="0.3">
      <c r="A1514" t="s">
        <v>1611</v>
      </c>
      <c r="B1514" t="s">
        <v>1610</v>
      </c>
      <c r="C1514" t="s">
        <v>40</v>
      </c>
      <c r="D1514">
        <v>89</v>
      </c>
      <c r="E1514" t="s">
        <v>132</v>
      </c>
      <c r="F1514" t="s">
        <v>8077</v>
      </c>
      <c r="G1514" s="8">
        <v>46149</v>
      </c>
      <c r="H1514" s="8">
        <v>46170</v>
      </c>
      <c r="I1514" t="s">
        <v>9593</v>
      </c>
      <c r="J1514" t="s">
        <v>1608</v>
      </c>
      <c r="K1514" t="s">
        <v>64</v>
      </c>
      <c r="L1514">
        <v>17873</v>
      </c>
      <c r="M1514">
        <v>204</v>
      </c>
      <c r="N1514" t="s">
        <v>50</v>
      </c>
      <c r="O1514" t="s">
        <v>17</v>
      </c>
    </row>
    <row r="1515" spans="1:15" x14ac:dyDescent="0.3">
      <c r="A1515" t="s">
        <v>1607</v>
      </c>
      <c r="B1515" t="s">
        <v>1606</v>
      </c>
      <c r="C1515" t="s">
        <v>123</v>
      </c>
      <c r="D1515">
        <v>75</v>
      </c>
      <c r="E1515" t="s">
        <v>39</v>
      </c>
      <c r="F1515" t="s">
        <v>20</v>
      </c>
      <c r="G1515" s="8">
        <v>46043</v>
      </c>
      <c r="H1515" s="8">
        <v>46066</v>
      </c>
      <c r="I1515" t="s">
        <v>9594</v>
      </c>
      <c r="J1515" t="s">
        <v>1604</v>
      </c>
      <c r="K1515" t="s">
        <v>27</v>
      </c>
      <c r="L1515">
        <v>16037.16</v>
      </c>
      <c r="M1515">
        <v>406</v>
      </c>
      <c r="N1515" t="s">
        <v>50</v>
      </c>
      <c r="O1515" t="s">
        <v>57</v>
      </c>
    </row>
    <row r="1516" spans="1:15" x14ac:dyDescent="0.3">
      <c r="A1516" t="s">
        <v>1603</v>
      </c>
      <c r="B1516" t="s">
        <v>1602</v>
      </c>
      <c r="C1516" t="s">
        <v>74</v>
      </c>
      <c r="D1516">
        <v>24</v>
      </c>
      <c r="E1516" t="s">
        <v>68</v>
      </c>
      <c r="F1516" t="s">
        <v>67</v>
      </c>
      <c r="G1516" s="8">
        <v>46007</v>
      </c>
      <c r="H1516" s="8">
        <v>46014</v>
      </c>
      <c r="I1516" t="s">
        <v>9595</v>
      </c>
      <c r="J1516" t="s">
        <v>1600</v>
      </c>
      <c r="K1516" t="s">
        <v>123</v>
      </c>
      <c r="L1516">
        <v>12211.71</v>
      </c>
      <c r="M1516">
        <v>390</v>
      </c>
      <c r="N1516" t="s">
        <v>16</v>
      </c>
      <c r="O1516" t="s">
        <v>63</v>
      </c>
    </row>
    <row r="1517" spans="1:15" x14ac:dyDescent="0.3">
      <c r="A1517" t="s">
        <v>1599</v>
      </c>
      <c r="B1517" t="s">
        <v>8070</v>
      </c>
      <c r="C1517" t="s">
        <v>74</v>
      </c>
      <c r="D1517">
        <v>19</v>
      </c>
      <c r="E1517" t="s">
        <v>132</v>
      </c>
      <c r="F1517" t="s">
        <v>20</v>
      </c>
      <c r="G1517" s="8">
        <v>46097</v>
      </c>
      <c r="H1517" s="8">
        <v>46105</v>
      </c>
      <c r="I1517" t="s">
        <v>9596</v>
      </c>
      <c r="J1517" t="s">
        <v>1596</v>
      </c>
      <c r="K1517" t="s">
        <v>64</v>
      </c>
      <c r="L1517">
        <v>24169.54</v>
      </c>
      <c r="M1517">
        <v>101</v>
      </c>
      <c r="N1517" t="s">
        <v>77</v>
      </c>
      <c r="O1517" t="s">
        <v>123</v>
      </c>
    </row>
    <row r="1518" spans="1:15" x14ac:dyDescent="0.3">
      <c r="A1518" t="s">
        <v>1595</v>
      </c>
      <c r="B1518" t="s">
        <v>1594</v>
      </c>
      <c r="C1518" t="s">
        <v>74</v>
      </c>
      <c r="D1518">
        <v>33</v>
      </c>
      <c r="E1518" t="s">
        <v>68</v>
      </c>
      <c r="F1518" t="s">
        <v>85</v>
      </c>
      <c r="G1518" s="8">
        <v>46144</v>
      </c>
      <c r="H1518" s="8">
        <v>46173</v>
      </c>
      <c r="I1518" t="s">
        <v>9597</v>
      </c>
      <c r="J1518" t="s">
        <v>1592</v>
      </c>
      <c r="K1518" t="s">
        <v>27</v>
      </c>
      <c r="L1518">
        <v>12875.74</v>
      </c>
      <c r="M1518">
        <v>201</v>
      </c>
      <c r="N1518" t="s">
        <v>43</v>
      </c>
      <c r="O1518" t="s">
        <v>123</v>
      </c>
    </row>
    <row r="1519" spans="1:15" x14ac:dyDescent="0.3">
      <c r="A1519" t="s">
        <v>1591</v>
      </c>
      <c r="B1519" t="s">
        <v>1590</v>
      </c>
      <c r="C1519" t="s">
        <v>40</v>
      </c>
      <c r="D1519">
        <v>55</v>
      </c>
      <c r="E1519" t="s">
        <v>68</v>
      </c>
      <c r="F1519" t="s">
        <v>20</v>
      </c>
      <c r="G1519" s="8">
        <v>46108</v>
      </c>
      <c r="H1519" s="8">
        <v>46123</v>
      </c>
      <c r="I1519" t="s">
        <v>9598</v>
      </c>
      <c r="J1519" t="s">
        <v>1588</v>
      </c>
      <c r="K1519" t="s">
        <v>123</v>
      </c>
      <c r="L1519">
        <v>9794.74</v>
      </c>
      <c r="M1519">
        <v>171</v>
      </c>
      <c r="N1519" t="s">
        <v>71</v>
      </c>
      <c r="O1519" t="s">
        <v>64</v>
      </c>
    </row>
    <row r="1520" spans="1:15" x14ac:dyDescent="0.3">
      <c r="A1520" t="s">
        <v>1587</v>
      </c>
      <c r="B1520" t="s">
        <v>1327</v>
      </c>
      <c r="C1520" t="s">
        <v>74</v>
      </c>
      <c r="D1520">
        <v>47</v>
      </c>
      <c r="E1520" t="s">
        <v>47</v>
      </c>
      <c r="F1520" t="s">
        <v>46</v>
      </c>
      <c r="G1520" s="8">
        <v>46066</v>
      </c>
      <c r="H1520" s="8">
        <v>46093</v>
      </c>
      <c r="I1520" t="s">
        <v>9599</v>
      </c>
      <c r="J1520" t="s">
        <v>1585</v>
      </c>
      <c r="K1520" t="s">
        <v>64</v>
      </c>
      <c r="L1520">
        <v>7078.43</v>
      </c>
      <c r="M1520">
        <v>165</v>
      </c>
      <c r="N1520" t="s">
        <v>50</v>
      </c>
      <c r="O1520" t="s">
        <v>63</v>
      </c>
    </row>
    <row r="1521" spans="1:15" x14ac:dyDescent="0.3">
      <c r="A1521" t="s">
        <v>1584</v>
      </c>
      <c r="B1521" t="s">
        <v>1583</v>
      </c>
      <c r="C1521" t="s">
        <v>74</v>
      </c>
      <c r="D1521">
        <v>88</v>
      </c>
      <c r="E1521" t="s">
        <v>54</v>
      </c>
      <c r="F1521" t="s">
        <v>8077</v>
      </c>
      <c r="G1521" s="8">
        <v>46069</v>
      </c>
      <c r="H1521" s="8">
        <v>46070</v>
      </c>
      <c r="I1521" t="s">
        <v>9600</v>
      </c>
      <c r="J1521" t="s">
        <v>1581</v>
      </c>
      <c r="K1521" t="s">
        <v>27</v>
      </c>
      <c r="L1521">
        <v>444.43</v>
      </c>
      <c r="M1521">
        <v>419</v>
      </c>
      <c r="N1521" t="s">
        <v>25</v>
      </c>
      <c r="O1521" t="s">
        <v>17</v>
      </c>
    </row>
    <row r="1522" spans="1:15" x14ac:dyDescent="0.3">
      <c r="A1522" t="s">
        <v>1580</v>
      </c>
      <c r="B1522" t="s">
        <v>1579</v>
      </c>
      <c r="C1522" t="s">
        <v>40</v>
      </c>
      <c r="D1522">
        <v>37</v>
      </c>
      <c r="E1522" t="s">
        <v>54</v>
      </c>
      <c r="F1522" t="s">
        <v>8077</v>
      </c>
      <c r="G1522" s="8">
        <v>46108</v>
      </c>
      <c r="H1522" s="8">
        <v>46115</v>
      </c>
      <c r="I1522" t="s">
        <v>9601</v>
      </c>
      <c r="J1522" t="s">
        <v>1577</v>
      </c>
      <c r="K1522" t="s">
        <v>64</v>
      </c>
      <c r="L1522">
        <v>15534.14</v>
      </c>
      <c r="M1522">
        <v>382</v>
      </c>
      <c r="N1522" t="s">
        <v>43</v>
      </c>
      <c r="O1522" t="s">
        <v>63</v>
      </c>
    </row>
    <row r="1523" spans="1:15" x14ac:dyDescent="0.3">
      <c r="A1523" t="s">
        <v>1576</v>
      </c>
      <c r="B1523" t="s">
        <v>1575</v>
      </c>
      <c r="C1523" t="s">
        <v>74</v>
      </c>
      <c r="D1523">
        <v>20</v>
      </c>
      <c r="E1523" t="s">
        <v>47</v>
      </c>
      <c r="F1523" t="s">
        <v>67</v>
      </c>
      <c r="G1523" s="8">
        <v>46033</v>
      </c>
      <c r="H1523" s="8">
        <v>46057</v>
      </c>
      <c r="I1523" t="s">
        <v>9602</v>
      </c>
      <c r="J1523" t="s">
        <v>1573</v>
      </c>
      <c r="K1523" t="s">
        <v>64</v>
      </c>
      <c r="L1523">
        <v>4461.6899999999996</v>
      </c>
      <c r="M1523">
        <v>204</v>
      </c>
      <c r="N1523" t="s">
        <v>34</v>
      </c>
      <c r="O1523" t="s">
        <v>123</v>
      </c>
    </row>
    <row r="1524" spans="1:15" x14ac:dyDescent="0.3">
      <c r="A1524" t="s">
        <v>1572</v>
      </c>
      <c r="B1524" t="s">
        <v>1571</v>
      </c>
      <c r="C1524" t="s">
        <v>40</v>
      </c>
      <c r="D1524">
        <v>21</v>
      </c>
      <c r="E1524" t="s">
        <v>80</v>
      </c>
      <c r="F1524" t="s">
        <v>30</v>
      </c>
      <c r="G1524" s="8">
        <v>45986</v>
      </c>
      <c r="H1524" s="8">
        <v>46011</v>
      </c>
      <c r="I1524" t="s">
        <v>9603</v>
      </c>
      <c r="J1524" t="s">
        <v>1569</v>
      </c>
      <c r="K1524" t="s">
        <v>123</v>
      </c>
      <c r="L1524">
        <v>3289.17</v>
      </c>
      <c r="M1524">
        <v>532</v>
      </c>
      <c r="N1524" t="s">
        <v>16</v>
      </c>
      <c r="O1524" t="s">
        <v>57</v>
      </c>
    </row>
    <row r="1525" spans="1:15" x14ac:dyDescent="0.3">
      <c r="A1525" t="s">
        <v>1568</v>
      </c>
      <c r="B1525" t="s">
        <v>8071</v>
      </c>
      <c r="C1525" t="s">
        <v>74</v>
      </c>
      <c r="D1525">
        <v>31</v>
      </c>
      <c r="E1525" t="s">
        <v>68</v>
      </c>
      <c r="F1525" t="s">
        <v>20</v>
      </c>
      <c r="G1525" s="8">
        <v>46123</v>
      </c>
      <c r="H1525" s="8">
        <v>46151</v>
      </c>
      <c r="I1525" t="s">
        <v>9604</v>
      </c>
      <c r="J1525" t="s">
        <v>1565</v>
      </c>
      <c r="K1525" t="s">
        <v>27</v>
      </c>
      <c r="L1525">
        <v>22957.11</v>
      </c>
      <c r="M1525">
        <v>154</v>
      </c>
      <c r="N1525" t="s">
        <v>77</v>
      </c>
      <c r="O1525" t="s">
        <v>63</v>
      </c>
    </row>
    <row r="1526" spans="1:15" x14ac:dyDescent="0.3">
      <c r="A1526" t="s">
        <v>1564</v>
      </c>
      <c r="B1526" t="s">
        <v>1563</v>
      </c>
      <c r="C1526" t="s">
        <v>74</v>
      </c>
      <c r="D1526">
        <v>86</v>
      </c>
      <c r="E1526" t="s">
        <v>132</v>
      </c>
      <c r="F1526" t="s">
        <v>67</v>
      </c>
      <c r="G1526" s="8">
        <v>46082</v>
      </c>
      <c r="H1526" s="8">
        <v>46100</v>
      </c>
      <c r="I1526" t="s">
        <v>9605</v>
      </c>
      <c r="J1526" t="s">
        <v>1561</v>
      </c>
      <c r="K1526" t="s">
        <v>123</v>
      </c>
      <c r="L1526">
        <v>11264.9</v>
      </c>
      <c r="M1526">
        <v>151</v>
      </c>
      <c r="N1526" t="s">
        <v>50</v>
      </c>
      <c r="O1526" t="s">
        <v>57</v>
      </c>
    </row>
    <row r="1527" spans="1:15" x14ac:dyDescent="0.3">
      <c r="A1527" t="s">
        <v>1560</v>
      </c>
      <c r="B1527" t="s">
        <v>1559</v>
      </c>
      <c r="C1527" t="s">
        <v>74</v>
      </c>
      <c r="D1527">
        <v>53</v>
      </c>
      <c r="E1527" t="s">
        <v>68</v>
      </c>
      <c r="F1527" t="s">
        <v>85</v>
      </c>
      <c r="G1527" s="8">
        <v>46030</v>
      </c>
      <c r="H1527" s="8">
        <v>46034</v>
      </c>
      <c r="I1527" t="s">
        <v>9606</v>
      </c>
      <c r="J1527" t="s">
        <v>1557</v>
      </c>
      <c r="K1527" t="s">
        <v>123</v>
      </c>
      <c r="L1527">
        <v>21294.54</v>
      </c>
      <c r="M1527">
        <v>111</v>
      </c>
      <c r="N1527" t="s">
        <v>34</v>
      </c>
      <c r="O1527" t="s">
        <v>123</v>
      </c>
    </row>
    <row r="1528" spans="1:15" x14ac:dyDescent="0.3">
      <c r="A1528" t="s">
        <v>1556</v>
      </c>
      <c r="B1528" t="s">
        <v>1555</v>
      </c>
      <c r="C1528" t="s">
        <v>40</v>
      </c>
      <c r="D1528">
        <v>27</v>
      </c>
      <c r="E1528" t="s">
        <v>68</v>
      </c>
      <c r="F1528" t="s">
        <v>67</v>
      </c>
      <c r="G1528" s="8">
        <v>45981</v>
      </c>
      <c r="H1528" s="8">
        <v>46006</v>
      </c>
      <c r="I1528" t="s">
        <v>9607</v>
      </c>
      <c r="J1528" t="s">
        <v>1553</v>
      </c>
      <c r="K1528" t="s">
        <v>64</v>
      </c>
      <c r="L1528">
        <v>8187.58</v>
      </c>
      <c r="M1528">
        <v>359</v>
      </c>
      <c r="N1528" t="s">
        <v>34</v>
      </c>
      <c r="O1528" t="s">
        <v>123</v>
      </c>
    </row>
    <row r="1529" spans="1:15" x14ac:dyDescent="0.3">
      <c r="A1529" t="s">
        <v>1552</v>
      </c>
      <c r="B1529" t="s">
        <v>1551</v>
      </c>
      <c r="C1529" t="s">
        <v>123</v>
      </c>
      <c r="D1529">
        <v>57</v>
      </c>
      <c r="E1529" t="s">
        <v>21</v>
      </c>
      <c r="F1529" t="s">
        <v>67</v>
      </c>
      <c r="G1529" s="8">
        <v>45987</v>
      </c>
      <c r="H1529" s="8">
        <v>45991</v>
      </c>
      <c r="I1529" t="s">
        <v>9608</v>
      </c>
      <c r="J1529" t="s">
        <v>1549</v>
      </c>
      <c r="K1529" t="s">
        <v>64</v>
      </c>
      <c r="L1529">
        <v>15103.65</v>
      </c>
      <c r="M1529">
        <v>186</v>
      </c>
      <c r="N1529" t="s">
        <v>50</v>
      </c>
      <c r="O1529" t="s">
        <v>123</v>
      </c>
    </row>
    <row r="1530" spans="1:15" x14ac:dyDescent="0.3">
      <c r="A1530" t="s">
        <v>1548</v>
      </c>
      <c r="B1530" t="s">
        <v>1547</v>
      </c>
      <c r="C1530" t="s">
        <v>123</v>
      </c>
      <c r="D1530">
        <v>27</v>
      </c>
      <c r="E1530" t="s">
        <v>21</v>
      </c>
      <c r="F1530" t="s">
        <v>67</v>
      </c>
      <c r="G1530" s="8">
        <v>46122</v>
      </c>
      <c r="H1530" s="8">
        <v>46133</v>
      </c>
      <c r="I1530" t="s">
        <v>9609</v>
      </c>
      <c r="J1530" t="s">
        <v>1545</v>
      </c>
      <c r="K1530" t="s">
        <v>123</v>
      </c>
      <c r="L1530">
        <v>6998.72</v>
      </c>
      <c r="M1530">
        <v>218</v>
      </c>
      <c r="N1530" t="s">
        <v>16</v>
      </c>
      <c r="O1530" t="s">
        <v>63</v>
      </c>
    </row>
    <row r="1531" spans="1:15" x14ac:dyDescent="0.3">
      <c r="A1531" t="s">
        <v>1544</v>
      </c>
      <c r="B1531" t="s">
        <v>1543</v>
      </c>
      <c r="C1531" t="s">
        <v>123</v>
      </c>
      <c r="D1531">
        <v>4</v>
      </c>
      <c r="E1531" t="s">
        <v>21</v>
      </c>
      <c r="F1531" t="s">
        <v>20</v>
      </c>
      <c r="G1531" s="8">
        <v>46086</v>
      </c>
      <c r="H1531" s="8">
        <v>46100</v>
      </c>
      <c r="I1531" t="s">
        <v>9610</v>
      </c>
      <c r="J1531" t="s">
        <v>1541</v>
      </c>
      <c r="K1531" t="s">
        <v>27</v>
      </c>
      <c r="L1531">
        <v>9843.9699999999993</v>
      </c>
      <c r="M1531">
        <v>284</v>
      </c>
      <c r="N1531" t="s">
        <v>16</v>
      </c>
      <c r="O1531" t="s">
        <v>17</v>
      </c>
    </row>
    <row r="1532" spans="1:15" x14ac:dyDescent="0.3">
      <c r="A1532" t="s">
        <v>1540</v>
      </c>
      <c r="B1532" t="s">
        <v>1539</v>
      </c>
      <c r="C1532" t="s">
        <v>40</v>
      </c>
      <c r="D1532">
        <v>63</v>
      </c>
      <c r="E1532" t="s">
        <v>54</v>
      </c>
      <c r="F1532" t="s">
        <v>85</v>
      </c>
      <c r="G1532" s="8">
        <v>45992</v>
      </c>
      <c r="H1532" s="8">
        <v>46021</v>
      </c>
      <c r="I1532" t="s">
        <v>9611</v>
      </c>
      <c r="J1532" t="s">
        <v>1537</v>
      </c>
      <c r="K1532" t="s">
        <v>123</v>
      </c>
      <c r="L1532">
        <v>2418.63</v>
      </c>
      <c r="M1532">
        <v>278</v>
      </c>
      <c r="N1532" t="s">
        <v>71</v>
      </c>
      <c r="O1532" t="s">
        <v>63</v>
      </c>
    </row>
    <row r="1533" spans="1:15" x14ac:dyDescent="0.3">
      <c r="A1533" t="s">
        <v>1536</v>
      </c>
      <c r="B1533" t="s">
        <v>1535</v>
      </c>
      <c r="C1533" t="s">
        <v>40</v>
      </c>
      <c r="D1533">
        <v>47</v>
      </c>
      <c r="E1533" t="s">
        <v>132</v>
      </c>
      <c r="F1533" t="s">
        <v>85</v>
      </c>
      <c r="G1533" s="8">
        <v>46114</v>
      </c>
      <c r="H1533" s="8">
        <v>46119</v>
      </c>
      <c r="I1533" t="s">
        <v>9612</v>
      </c>
      <c r="J1533" t="s">
        <v>1533</v>
      </c>
      <c r="K1533" t="s">
        <v>27</v>
      </c>
      <c r="L1533">
        <v>5634.59</v>
      </c>
      <c r="M1533">
        <v>533</v>
      </c>
      <c r="N1533" t="s">
        <v>77</v>
      </c>
      <c r="O1533" t="s">
        <v>57</v>
      </c>
    </row>
    <row r="1534" spans="1:15" x14ac:dyDescent="0.3">
      <c r="A1534" t="s">
        <v>1532</v>
      </c>
      <c r="B1534" t="s">
        <v>1531</v>
      </c>
      <c r="C1534" t="s">
        <v>123</v>
      </c>
      <c r="D1534">
        <v>47</v>
      </c>
      <c r="E1534" t="s">
        <v>47</v>
      </c>
      <c r="F1534" t="s">
        <v>8077</v>
      </c>
      <c r="G1534" s="8">
        <v>46028</v>
      </c>
      <c r="H1534" s="8">
        <v>46030</v>
      </c>
      <c r="I1534" t="s">
        <v>9613</v>
      </c>
      <c r="J1534" t="s">
        <v>1529</v>
      </c>
      <c r="K1534" t="s">
        <v>27</v>
      </c>
      <c r="L1534">
        <v>2490.94</v>
      </c>
      <c r="M1534">
        <v>228</v>
      </c>
      <c r="N1534" t="s">
        <v>77</v>
      </c>
      <c r="O1534" t="s">
        <v>27</v>
      </c>
    </row>
    <row r="1535" spans="1:15" x14ac:dyDescent="0.3">
      <c r="A1535" t="s">
        <v>1528</v>
      </c>
      <c r="B1535" t="s">
        <v>1527</v>
      </c>
      <c r="C1535" t="s">
        <v>40</v>
      </c>
      <c r="D1535">
        <v>58</v>
      </c>
      <c r="E1535" t="s">
        <v>39</v>
      </c>
      <c r="F1535" t="s">
        <v>30</v>
      </c>
      <c r="G1535" s="8">
        <v>46019</v>
      </c>
      <c r="H1535" s="8">
        <v>46023</v>
      </c>
      <c r="I1535" t="s">
        <v>9614</v>
      </c>
      <c r="J1535" t="s">
        <v>1525</v>
      </c>
      <c r="K1535" t="s">
        <v>123</v>
      </c>
      <c r="L1535">
        <v>7107.13</v>
      </c>
      <c r="M1535">
        <v>217</v>
      </c>
      <c r="N1535" t="s">
        <v>16</v>
      </c>
      <c r="O1535" t="s">
        <v>26</v>
      </c>
    </row>
    <row r="1536" spans="1:15" x14ac:dyDescent="0.3">
      <c r="A1536" t="s">
        <v>1524</v>
      </c>
      <c r="B1536" t="s">
        <v>1523</v>
      </c>
      <c r="C1536" t="s">
        <v>40</v>
      </c>
      <c r="D1536">
        <v>22</v>
      </c>
      <c r="E1536" t="s">
        <v>80</v>
      </c>
      <c r="F1536" t="s">
        <v>8077</v>
      </c>
      <c r="G1536" s="8">
        <v>46138</v>
      </c>
      <c r="H1536" s="8">
        <v>46165</v>
      </c>
      <c r="I1536" t="s">
        <v>9615</v>
      </c>
      <c r="J1536" t="s">
        <v>1521</v>
      </c>
      <c r="K1536" t="s">
        <v>64</v>
      </c>
      <c r="L1536">
        <v>15599.43</v>
      </c>
      <c r="M1536">
        <v>247</v>
      </c>
      <c r="N1536" t="s">
        <v>34</v>
      </c>
      <c r="O1536" t="s">
        <v>26</v>
      </c>
    </row>
    <row r="1537" spans="1:15" x14ac:dyDescent="0.3">
      <c r="A1537" t="s">
        <v>1516</v>
      </c>
      <c r="B1537" t="s">
        <v>1515</v>
      </c>
      <c r="C1537" t="s">
        <v>74</v>
      </c>
      <c r="D1537">
        <v>35</v>
      </c>
      <c r="E1537" t="s">
        <v>39</v>
      </c>
      <c r="F1537" t="s">
        <v>20</v>
      </c>
      <c r="G1537" s="8">
        <v>45999</v>
      </c>
      <c r="H1537" s="8">
        <v>46023</v>
      </c>
      <c r="I1537" t="s">
        <v>9616</v>
      </c>
      <c r="J1537" t="s">
        <v>1513</v>
      </c>
      <c r="K1537" t="s">
        <v>123</v>
      </c>
      <c r="L1537">
        <v>13925.28</v>
      </c>
      <c r="M1537">
        <v>470</v>
      </c>
      <c r="N1537" t="s">
        <v>71</v>
      </c>
      <c r="O1537" t="s">
        <v>17</v>
      </c>
    </row>
    <row r="1538" spans="1:15" x14ac:dyDescent="0.3">
      <c r="A1538" t="s">
        <v>1512</v>
      </c>
      <c r="B1538" t="s">
        <v>1511</v>
      </c>
      <c r="C1538" t="s">
        <v>40</v>
      </c>
      <c r="D1538">
        <v>69</v>
      </c>
      <c r="E1538" t="s">
        <v>39</v>
      </c>
      <c r="F1538" t="s">
        <v>8077</v>
      </c>
      <c r="G1538" s="8">
        <v>46009</v>
      </c>
      <c r="H1538" s="8">
        <v>46034</v>
      </c>
      <c r="I1538" t="s">
        <v>9617</v>
      </c>
      <c r="J1538" t="s">
        <v>1509</v>
      </c>
      <c r="K1538" t="s">
        <v>27</v>
      </c>
      <c r="L1538">
        <v>8271.85</v>
      </c>
      <c r="M1538">
        <v>492</v>
      </c>
      <c r="N1538" t="s">
        <v>43</v>
      </c>
      <c r="O1538" t="s">
        <v>26</v>
      </c>
    </row>
    <row r="1539" spans="1:15" x14ac:dyDescent="0.3">
      <c r="A1539" t="s">
        <v>1508</v>
      </c>
      <c r="B1539" t="s">
        <v>1507</v>
      </c>
      <c r="C1539" t="s">
        <v>40</v>
      </c>
      <c r="D1539">
        <v>65</v>
      </c>
      <c r="E1539" t="s">
        <v>47</v>
      </c>
      <c r="F1539" t="s">
        <v>67</v>
      </c>
      <c r="G1539" s="8">
        <v>46110</v>
      </c>
      <c r="H1539" s="8">
        <v>46114</v>
      </c>
      <c r="I1539" t="s">
        <v>9618</v>
      </c>
      <c r="J1539" t="s">
        <v>1505</v>
      </c>
      <c r="K1539" t="s">
        <v>27</v>
      </c>
      <c r="L1539">
        <v>1398.94</v>
      </c>
      <c r="M1539">
        <v>533</v>
      </c>
      <c r="N1539" t="s">
        <v>71</v>
      </c>
      <c r="O1539" t="s">
        <v>26</v>
      </c>
    </row>
    <row r="1540" spans="1:15" x14ac:dyDescent="0.3">
      <c r="A1540" t="s">
        <v>1504</v>
      </c>
      <c r="B1540" t="s">
        <v>1503</v>
      </c>
      <c r="C1540" t="s">
        <v>74</v>
      </c>
      <c r="D1540">
        <v>78</v>
      </c>
      <c r="E1540" t="s">
        <v>31</v>
      </c>
      <c r="F1540" t="s">
        <v>30</v>
      </c>
      <c r="G1540" s="8">
        <v>46131</v>
      </c>
      <c r="H1540" s="8">
        <v>46145</v>
      </c>
      <c r="I1540" t="s">
        <v>9619</v>
      </c>
      <c r="J1540" t="s">
        <v>1501</v>
      </c>
      <c r="K1540" t="s">
        <v>64</v>
      </c>
      <c r="L1540">
        <v>11482.62</v>
      </c>
      <c r="M1540">
        <v>465</v>
      </c>
      <c r="N1540" t="s">
        <v>71</v>
      </c>
      <c r="O1540" t="s">
        <v>64</v>
      </c>
    </row>
    <row r="1541" spans="1:15" x14ac:dyDescent="0.3">
      <c r="A1541" t="s">
        <v>1500</v>
      </c>
      <c r="B1541" t="s">
        <v>1499</v>
      </c>
      <c r="C1541" t="s">
        <v>40</v>
      </c>
      <c r="D1541">
        <v>82</v>
      </c>
      <c r="E1541" t="s">
        <v>47</v>
      </c>
      <c r="F1541" t="s">
        <v>20</v>
      </c>
      <c r="G1541" s="8">
        <v>45987</v>
      </c>
      <c r="H1541" s="8">
        <v>45999</v>
      </c>
      <c r="I1541" t="s">
        <v>9620</v>
      </c>
      <c r="J1541" t="s">
        <v>1497</v>
      </c>
      <c r="K1541" t="s">
        <v>27</v>
      </c>
      <c r="L1541">
        <v>214.22</v>
      </c>
      <c r="M1541">
        <v>370</v>
      </c>
      <c r="N1541" t="s">
        <v>50</v>
      </c>
      <c r="O1541" t="s">
        <v>123</v>
      </c>
    </row>
    <row r="1542" spans="1:15" x14ac:dyDescent="0.3">
      <c r="A1542" t="s">
        <v>1496</v>
      </c>
      <c r="B1542" t="s">
        <v>1495</v>
      </c>
      <c r="C1542" t="s">
        <v>123</v>
      </c>
      <c r="D1542">
        <v>87</v>
      </c>
      <c r="E1542" t="s">
        <v>54</v>
      </c>
      <c r="F1542" t="s">
        <v>67</v>
      </c>
      <c r="G1542" s="8">
        <v>46110</v>
      </c>
      <c r="H1542" s="8">
        <v>46138</v>
      </c>
      <c r="I1542" t="s">
        <v>9621</v>
      </c>
      <c r="J1542" t="s">
        <v>1493</v>
      </c>
      <c r="K1542" t="s">
        <v>123</v>
      </c>
      <c r="L1542">
        <v>24060.2</v>
      </c>
      <c r="M1542">
        <v>502</v>
      </c>
      <c r="N1542" t="s">
        <v>34</v>
      </c>
      <c r="O1542" t="s">
        <v>17</v>
      </c>
    </row>
    <row r="1543" spans="1:15" x14ac:dyDescent="0.3">
      <c r="A1543" t="s">
        <v>1492</v>
      </c>
      <c r="B1543" t="s">
        <v>1491</v>
      </c>
      <c r="C1543" t="s">
        <v>123</v>
      </c>
      <c r="D1543">
        <v>33</v>
      </c>
      <c r="E1543" t="s">
        <v>54</v>
      </c>
      <c r="F1543" t="s">
        <v>20</v>
      </c>
      <c r="G1543" s="8">
        <v>45988</v>
      </c>
      <c r="H1543" s="8">
        <v>46004</v>
      </c>
      <c r="I1543" t="s">
        <v>9622</v>
      </c>
      <c r="J1543" t="s">
        <v>1489</v>
      </c>
      <c r="K1543" t="s">
        <v>123</v>
      </c>
      <c r="L1543">
        <v>3330.75</v>
      </c>
      <c r="M1543">
        <v>205</v>
      </c>
      <c r="N1543" t="s">
        <v>77</v>
      </c>
      <c r="O1543" t="s">
        <v>27</v>
      </c>
    </row>
    <row r="1544" spans="1:15" x14ac:dyDescent="0.3">
      <c r="A1544" t="s">
        <v>1488</v>
      </c>
      <c r="B1544" t="s">
        <v>1487</v>
      </c>
      <c r="C1544" t="s">
        <v>74</v>
      </c>
      <c r="D1544">
        <v>39</v>
      </c>
      <c r="E1544" t="s">
        <v>80</v>
      </c>
      <c r="F1544" t="s">
        <v>67</v>
      </c>
      <c r="G1544" s="8">
        <v>46007</v>
      </c>
      <c r="H1544" s="8">
        <v>46019</v>
      </c>
      <c r="I1544" t="s">
        <v>9623</v>
      </c>
      <c r="J1544" t="s">
        <v>1485</v>
      </c>
      <c r="K1544" t="s">
        <v>123</v>
      </c>
      <c r="L1544">
        <v>7628.05</v>
      </c>
      <c r="M1544">
        <v>261</v>
      </c>
      <c r="N1544" t="s">
        <v>16</v>
      </c>
      <c r="O1544" t="s">
        <v>27</v>
      </c>
    </row>
    <row r="1545" spans="1:15" x14ac:dyDescent="0.3">
      <c r="A1545" t="s">
        <v>1484</v>
      </c>
      <c r="B1545" t="s">
        <v>1483</v>
      </c>
      <c r="C1545" t="s">
        <v>74</v>
      </c>
      <c r="D1545">
        <v>3</v>
      </c>
      <c r="E1545" t="s">
        <v>21</v>
      </c>
      <c r="F1545" t="s">
        <v>67</v>
      </c>
      <c r="G1545" s="8">
        <v>46062</v>
      </c>
      <c r="H1545" s="8">
        <v>46086</v>
      </c>
      <c r="I1545" t="s">
        <v>9624</v>
      </c>
      <c r="J1545" t="s">
        <v>1481</v>
      </c>
      <c r="K1545" t="s">
        <v>27</v>
      </c>
      <c r="L1545">
        <v>11358.52</v>
      </c>
      <c r="M1545">
        <v>432</v>
      </c>
      <c r="N1545" t="s">
        <v>50</v>
      </c>
      <c r="O1545" t="s">
        <v>26</v>
      </c>
    </row>
    <row r="1546" spans="1:15" x14ac:dyDescent="0.3">
      <c r="A1546" t="s">
        <v>1476</v>
      </c>
      <c r="B1546" t="s">
        <v>1475</v>
      </c>
      <c r="C1546" t="s">
        <v>123</v>
      </c>
      <c r="D1546">
        <v>60</v>
      </c>
      <c r="E1546" t="s">
        <v>31</v>
      </c>
      <c r="F1546" t="s">
        <v>8077</v>
      </c>
      <c r="G1546" s="8">
        <v>46023</v>
      </c>
      <c r="H1546" s="8">
        <v>46037</v>
      </c>
      <c r="I1546" t="s">
        <v>9625</v>
      </c>
      <c r="J1546" t="s">
        <v>1473</v>
      </c>
      <c r="K1546" t="s">
        <v>27</v>
      </c>
      <c r="L1546">
        <v>10511.84</v>
      </c>
      <c r="M1546">
        <v>225</v>
      </c>
      <c r="N1546" t="s">
        <v>71</v>
      </c>
      <c r="O1546" t="s">
        <v>27</v>
      </c>
    </row>
    <row r="1547" spans="1:15" x14ac:dyDescent="0.3">
      <c r="A1547" t="s">
        <v>1472</v>
      </c>
      <c r="B1547" t="s">
        <v>1471</v>
      </c>
      <c r="C1547" t="s">
        <v>74</v>
      </c>
      <c r="D1547">
        <v>38</v>
      </c>
      <c r="E1547" t="s">
        <v>31</v>
      </c>
      <c r="F1547" t="s">
        <v>46</v>
      </c>
      <c r="G1547" s="8">
        <v>46046</v>
      </c>
      <c r="H1547" s="8">
        <v>46057</v>
      </c>
      <c r="I1547" t="s">
        <v>9626</v>
      </c>
      <c r="J1547" t="s">
        <v>1469</v>
      </c>
      <c r="K1547" t="s">
        <v>123</v>
      </c>
      <c r="L1547">
        <v>22752.92</v>
      </c>
      <c r="M1547">
        <v>139</v>
      </c>
      <c r="N1547" t="s">
        <v>34</v>
      </c>
      <c r="O1547" t="s">
        <v>123</v>
      </c>
    </row>
    <row r="1548" spans="1:15" x14ac:dyDescent="0.3">
      <c r="A1548" t="s">
        <v>1468</v>
      </c>
      <c r="B1548" t="s">
        <v>1467</v>
      </c>
      <c r="C1548" t="s">
        <v>40</v>
      </c>
      <c r="D1548">
        <v>46</v>
      </c>
      <c r="E1548" t="s">
        <v>68</v>
      </c>
      <c r="F1548" t="s">
        <v>46</v>
      </c>
      <c r="G1548" s="8">
        <v>46017</v>
      </c>
      <c r="H1548" s="8">
        <v>46046</v>
      </c>
      <c r="I1548" t="s">
        <v>9627</v>
      </c>
      <c r="J1548" t="s">
        <v>1465</v>
      </c>
      <c r="K1548" t="s">
        <v>123</v>
      </c>
      <c r="L1548">
        <v>1880.34</v>
      </c>
      <c r="M1548">
        <v>199</v>
      </c>
      <c r="N1548" t="s">
        <v>43</v>
      </c>
      <c r="O1548" t="s">
        <v>17</v>
      </c>
    </row>
    <row r="1549" spans="1:15" x14ac:dyDescent="0.3">
      <c r="A1549" t="s">
        <v>1464</v>
      </c>
      <c r="B1549" t="s">
        <v>1463</v>
      </c>
      <c r="C1549" t="s">
        <v>40</v>
      </c>
      <c r="D1549">
        <v>2</v>
      </c>
      <c r="E1549" t="s">
        <v>80</v>
      </c>
      <c r="F1549" t="s">
        <v>20</v>
      </c>
      <c r="G1549" s="8">
        <v>45975</v>
      </c>
      <c r="H1549" s="8">
        <v>45998</v>
      </c>
      <c r="I1549" t="s">
        <v>9628</v>
      </c>
      <c r="J1549" t="s">
        <v>1461</v>
      </c>
      <c r="K1549" t="s">
        <v>27</v>
      </c>
      <c r="L1549">
        <v>1685.2</v>
      </c>
      <c r="M1549">
        <v>422</v>
      </c>
      <c r="N1549" t="s">
        <v>34</v>
      </c>
      <c r="O1549" t="s">
        <v>57</v>
      </c>
    </row>
    <row r="1550" spans="1:15" x14ac:dyDescent="0.3">
      <c r="A1550" t="s">
        <v>1460</v>
      </c>
      <c r="B1550" t="s">
        <v>1459</v>
      </c>
      <c r="C1550" t="s">
        <v>74</v>
      </c>
      <c r="D1550">
        <v>4</v>
      </c>
      <c r="E1550" t="s">
        <v>68</v>
      </c>
      <c r="F1550" t="s">
        <v>67</v>
      </c>
      <c r="G1550" s="8">
        <v>46118</v>
      </c>
      <c r="H1550" s="8">
        <v>46128</v>
      </c>
      <c r="I1550" t="s">
        <v>9629</v>
      </c>
      <c r="J1550" t="s">
        <v>1457</v>
      </c>
      <c r="K1550" t="s">
        <v>123</v>
      </c>
      <c r="L1550">
        <v>8803.76</v>
      </c>
      <c r="M1550">
        <v>245</v>
      </c>
      <c r="N1550" t="s">
        <v>43</v>
      </c>
      <c r="O1550" t="s">
        <v>17</v>
      </c>
    </row>
    <row r="1551" spans="1:15" x14ac:dyDescent="0.3">
      <c r="A1551" t="s">
        <v>1456</v>
      </c>
      <c r="B1551" t="s">
        <v>1455</v>
      </c>
      <c r="C1551" t="s">
        <v>40</v>
      </c>
      <c r="D1551">
        <v>67</v>
      </c>
      <c r="E1551" t="s">
        <v>80</v>
      </c>
      <c r="F1551" t="s">
        <v>85</v>
      </c>
      <c r="G1551" s="8">
        <v>46027</v>
      </c>
      <c r="H1551" s="8">
        <v>46051</v>
      </c>
      <c r="I1551" t="s">
        <v>9630</v>
      </c>
      <c r="J1551" t="s">
        <v>1453</v>
      </c>
      <c r="K1551" t="s">
        <v>123</v>
      </c>
      <c r="L1551">
        <v>10948.52</v>
      </c>
      <c r="M1551">
        <v>441</v>
      </c>
      <c r="N1551" t="s">
        <v>50</v>
      </c>
      <c r="O1551" t="s">
        <v>27</v>
      </c>
    </row>
    <row r="1552" spans="1:15" x14ac:dyDescent="0.3">
      <c r="A1552" t="s">
        <v>1452</v>
      </c>
      <c r="B1552" t="s">
        <v>1451</v>
      </c>
      <c r="C1552" t="s">
        <v>74</v>
      </c>
      <c r="D1552">
        <v>20</v>
      </c>
      <c r="E1552" t="s">
        <v>54</v>
      </c>
      <c r="F1552" t="s">
        <v>67</v>
      </c>
      <c r="G1552" s="8">
        <v>46042</v>
      </c>
      <c r="H1552" s="8">
        <v>46063</v>
      </c>
      <c r="I1552" t="s">
        <v>9631</v>
      </c>
      <c r="J1552" t="s">
        <v>1449</v>
      </c>
      <c r="K1552" t="s">
        <v>123</v>
      </c>
      <c r="L1552">
        <v>18339.96</v>
      </c>
      <c r="M1552">
        <v>173</v>
      </c>
      <c r="N1552" t="s">
        <v>71</v>
      </c>
      <c r="O1552" t="s">
        <v>63</v>
      </c>
    </row>
    <row r="1553" spans="1:15" x14ac:dyDescent="0.3">
      <c r="A1553" t="s">
        <v>1448</v>
      </c>
      <c r="B1553" t="s">
        <v>1447</v>
      </c>
      <c r="C1553" t="s">
        <v>74</v>
      </c>
      <c r="D1553">
        <v>12</v>
      </c>
      <c r="E1553" t="s">
        <v>54</v>
      </c>
      <c r="F1553" t="s">
        <v>30</v>
      </c>
      <c r="G1553" s="8">
        <v>46032</v>
      </c>
      <c r="H1553" s="8">
        <v>46044</v>
      </c>
      <c r="I1553" t="s">
        <v>9632</v>
      </c>
      <c r="J1553" t="s">
        <v>1445</v>
      </c>
      <c r="K1553" t="s">
        <v>64</v>
      </c>
      <c r="L1553">
        <v>1238.9100000000001</v>
      </c>
      <c r="M1553">
        <v>106</v>
      </c>
      <c r="N1553" t="s">
        <v>71</v>
      </c>
      <c r="O1553" t="s">
        <v>63</v>
      </c>
    </row>
    <row r="1554" spans="1:15" x14ac:dyDescent="0.3">
      <c r="A1554" t="s">
        <v>1444</v>
      </c>
      <c r="B1554" t="s">
        <v>1443</v>
      </c>
      <c r="C1554" t="s">
        <v>74</v>
      </c>
      <c r="D1554">
        <v>54</v>
      </c>
      <c r="E1554" t="s">
        <v>21</v>
      </c>
      <c r="F1554" t="s">
        <v>67</v>
      </c>
      <c r="G1554" s="8">
        <v>45999</v>
      </c>
      <c r="H1554" s="8">
        <v>46024</v>
      </c>
      <c r="I1554" t="s">
        <v>9633</v>
      </c>
      <c r="J1554" t="s">
        <v>1441</v>
      </c>
      <c r="K1554" t="s">
        <v>27</v>
      </c>
      <c r="L1554">
        <v>10787.41</v>
      </c>
      <c r="M1554">
        <v>207</v>
      </c>
      <c r="N1554" t="s">
        <v>77</v>
      </c>
      <c r="O1554" t="s">
        <v>63</v>
      </c>
    </row>
    <row r="1555" spans="1:15" x14ac:dyDescent="0.3">
      <c r="A1555" t="s">
        <v>1440</v>
      </c>
      <c r="B1555" t="s">
        <v>1439</v>
      </c>
      <c r="C1555" t="s">
        <v>74</v>
      </c>
      <c r="D1555">
        <v>21</v>
      </c>
      <c r="E1555" t="s">
        <v>47</v>
      </c>
      <c r="F1555" t="s">
        <v>30</v>
      </c>
      <c r="G1555" s="8">
        <v>46109</v>
      </c>
      <c r="H1555" s="8">
        <v>46132</v>
      </c>
      <c r="I1555" t="s">
        <v>9634</v>
      </c>
      <c r="J1555" t="s">
        <v>1437</v>
      </c>
      <c r="K1555" t="s">
        <v>123</v>
      </c>
      <c r="L1555">
        <v>19717.900000000001</v>
      </c>
      <c r="M1555">
        <v>339</v>
      </c>
      <c r="N1555" t="s">
        <v>71</v>
      </c>
      <c r="O1555" t="s">
        <v>57</v>
      </c>
    </row>
    <row r="1556" spans="1:15" x14ac:dyDescent="0.3">
      <c r="A1556" t="s">
        <v>1436</v>
      </c>
      <c r="B1556" t="s">
        <v>1435</v>
      </c>
      <c r="C1556" t="s">
        <v>123</v>
      </c>
      <c r="D1556">
        <v>15</v>
      </c>
      <c r="E1556" t="s">
        <v>80</v>
      </c>
      <c r="F1556" t="s">
        <v>85</v>
      </c>
      <c r="G1556" s="8">
        <v>46070</v>
      </c>
      <c r="H1556" s="8">
        <v>46095</v>
      </c>
      <c r="I1556" t="s">
        <v>9635</v>
      </c>
      <c r="J1556" t="s">
        <v>1433</v>
      </c>
      <c r="K1556" t="s">
        <v>64</v>
      </c>
      <c r="L1556">
        <v>15496.6</v>
      </c>
      <c r="M1556">
        <v>535</v>
      </c>
      <c r="N1556" t="s">
        <v>16</v>
      </c>
      <c r="O1556" t="s">
        <v>17</v>
      </c>
    </row>
    <row r="1557" spans="1:15" x14ac:dyDescent="0.3">
      <c r="A1557" t="s">
        <v>1432</v>
      </c>
      <c r="B1557" t="s">
        <v>1431</v>
      </c>
      <c r="C1557" t="s">
        <v>40</v>
      </c>
      <c r="D1557">
        <v>74</v>
      </c>
      <c r="E1557" t="s">
        <v>31</v>
      </c>
      <c r="F1557" t="s">
        <v>67</v>
      </c>
      <c r="G1557" s="8">
        <v>46061</v>
      </c>
      <c r="H1557" s="8">
        <v>46077</v>
      </c>
      <c r="I1557" t="s">
        <v>9636</v>
      </c>
      <c r="J1557" t="s">
        <v>1429</v>
      </c>
      <c r="K1557" t="s">
        <v>27</v>
      </c>
      <c r="L1557">
        <v>16760.25</v>
      </c>
      <c r="M1557">
        <v>512</v>
      </c>
      <c r="N1557" t="s">
        <v>34</v>
      </c>
      <c r="O1557" t="s">
        <v>63</v>
      </c>
    </row>
    <row r="1558" spans="1:15" x14ac:dyDescent="0.3">
      <c r="A1558" t="s">
        <v>1428</v>
      </c>
      <c r="B1558" t="s">
        <v>1427</v>
      </c>
      <c r="C1558" t="s">
        <v>74</v>
      </c>
      <c r="D1558">
        <v>29</v>
      </c>
      <c r="E1558" t="s">
        <v>47</v>
      </c>
      <c r="F1558" t="s">
        <v>67</v>
      </c>
      <c r="G1558" s="8">
        <v>46061</v>
      </c>
      <c r="H1558" s="8">
        <v>46076</v>
      </c>
      <c r="I1558" t="s">
        <v>9637</v>
      </c>
      <c r="J1558" t="s">
        <v>1425</v>
      </c>
      <c r="K1558" t="s">
        <v>27</v>
      </c>
      <c r="L1558">
        <v>8338.2099999999991</v>
      </c>
      <c r="M1558">
        <v>355</v>
      </c>
      <c r="N1558" t="s">
        <v>25</v>
      </c>
      <c r="O1558" t="s">
        <v>63</v>
      </c>
    </row>
    <row r="1559" spans="1:15" x14ac:dyDescent="0.3">
      <c r="A1559" t="s">
        <v>1424</v>
      </c>
      <c r="B1559" t="s">
        <v>1423</v>
      </c>
      <c r="C1559" t="s">
        <v>123</v>
      </c>
      <c r="D1559">
        <v>7</v>
      </c>
      <c r="E1559" t="s">
        <v>132</v>
      </c>
      <c r="F1559" t="s">
        <v>30</v>
      </c>
      <c r="G1559" s="8">
        <v>46077</v>
      </c>
      <c r="H1559" s="8">
        <v>46080</v>
      </c>
      <c r="I1559" t="s">
        <v>9638</v>
      </c>
      <c r="J1559" t="s">
        <v>1421</v>
      </c>
      <c r="K1559" t="s">
        <v>27</v>
      </c>
      <c r="L1559">
        <v>13964.35</v>
      </c>
      <c r="M1559">
        <v>550</v>
      </c>
      <c r="N1559" t="s">
        <v>71</v>
      </c>
      <c r="O1559" t="s">
        <v>57</v>
      </c>
    </row>
    <row r="1560" spans="1:15" x14ac:dyDescent="0.3">
      <c r="A1560" t="s">
        <v>1420</v>
      </c>
      <c r="B1560" t="s">
        <v>1419</v>
      </c>
      <c r="C1560" t="s">
        <v>123</v>
      </c>
      <c r="D1560">
        <v>20</v>
      </c>
      <c r="E1560" t="s">
        <v>80</v>
      </c>
      <c r="F1560" t="s">
        <v>67</v>
      </c>
      <c r="G1560" s="8">
        <v>46112</v>
      </c>
      <c r="H1560" s="8">
        <v>46125</v>
      </c>
      <c r="I1560" t="s">
        <v>9639</v>
      </c>
      <c r="J1560" t="s">
        <v>1417</v>
      </c>
      <c r="K1560" t="s">
        <v>123</v>
      </c>
      <c r="L1560">
        <v>10598.43</v>
      </c>
      <c r="M1560">
        <v>253</v>
      </c>
      <c r="N1560" t="s">
        <v>77</v>
      </c>
      <c r="O1560" t="s">
        <v>17</v>
      </c>
    </row>
    <row r="1561" spans="1:15" x14ac:dyDescent="0.3">
      <c r="A1561" t="s">
        <v>1416</v>
      </c>
      <c r="B1561" t="s">
        <v>1415</v>
      </c>
      <c r="C1561" t="s">
        <v>74</v>
      </c>
      <c r="D1561">
        <v>21</v>
      </c>
      <c r="E1561" t="s">
        <v>68</v>
      </c>
      <c r="F1561" t="s">
        <v>20</v>
      </c>
      <c r="G1561" s="8">
        <v>46061</v>
      </c>
      <c r="H1561" s="8">
        <v>46085</v>
      </c>
      <c r="I1561" t="s">
        <v>9640</v>
      </c>
      <c r="J1561" t="s">
        <v>1413</v>
      </c>
      <c r="K1561" t="s">
        <v>64</v>
      </c>
      <c r="L1561">
        <v>23167.89</v>
      </c>
      <c r="M1561">
        <v>323</v>
      </c>
      <c r="N1561" t="s">
        <v>16</v>
      </c>
      <c r="O1561" t="s">
        <v>27</v>
      </c>
    </row>
    <row r="1562" spans="1:15" x14ac:dyDescent="0.3">
      <c r="A1562" t="s">
        <v>1408</v>
      </c>
      <c r="B1562" t="s">
        <v>1407</v>
      </c>
      <c r="C1562" t="s">
        <v>123</v>
      </c>
      <c r="D1562">
        <v>63</v>
      </c>
      <c r="E1562" t="s">
        <v>54</v>
      </c>
      <c r="F1562" t="s">
        <v>8077</v>
      </c>
      <c r="G1562" s="8">
        <v>46122</v>
      </c>
      <c r="H1562" s="8">
        <v>46134</v>
      </c>
      <c r="I1562" t="s">
        <v>9641</v>
      </c>
      <c r="J1562" t="s">
        <v>1405</v>
      </c>
      <c r="K1562" t="s">
        <v>123</v>
      </c>
      <c r="L1562">
        <v>21266.36</v>
      </c>
      <c r="M1562">
        <v>224</v>
      </c>
      <c r="N1562" t="s">
        <v>34</v>
      </c>
      <c r="O1562" t="s">
        <v>63</v>
      </c>
    </row>
    <row r="1563" spans="1:15" x14ac:dyDescent="0.3">
      <c r="A1563" t="s">
        <v>1404</v>
      </c>
      <c r="B1563" t="s">
        <v>1403</v>
      </c>
      <c r="C1563" t="s">
        <v>40</v>
      </c>
      <c r="D1563">
        <v>44</v>
      </c>
      <c r="E1563" t="s">
        <v>39</v>
      </c>
      <c r="F1563" t="s">
        <v>67</v>
      </c>
      <c r="G1563" s="8">
        <v>46143</v>
      </c>
      <c r="H1563" s="8">
        <v>46161</v>
      </c>
      <c r="I1563" t="s">
        <v>9642</v>
      </c>
      <c r="J1563" t="s">
        <v>1401</v>
      </c>
      <c r="K1563" t="s">
        <v>123</v>
      </c>
      <c r="L1563">
        <v>21359.32</v>
      </c>
      <c r="M1563">
        <v>142</v>
      </c>
      <c r="N1563" t="s">
        <v>77</v>
      </c>
      <c r="O1563" t="s">
        <v>64</v>
      </c>
    </row>
    <row r="1564" spans="1:15" x14ac:dyDescent="0.3">
      <c r="A1564" t="s">
        <v>1400</v>
      </c>
      <c r="B1564" t="s">
        <v>1399</v>
      </c>
      <c r="C1564" t="s">
        <v>40</v>
      </c>
      <c r="D1564">
        <v>20</v>
      </c>
      <c r="E1564" t="s">
        <v>54</v>
      </c>
      <c r="F1564" t="s">
        <v>85</v>
      </c>
      <c r="G1564" s="8">
        <v>46020</v>
      </c>
      <c r="H1564" s="8">
        <v>46048</v>
      </c>
      <c r="I1564" t="s">
        <v>9643</v>
      </c>
      <c r="J1564" t="s">
        <v>1397</v>
      </c>
      <c r="K1564" t="s">
        <v>64</v>
      </c>
      <c r="L1564">
        <v>23372.48</v>
      </c>
      <c r="M1564">
        <v>126</v>
      </c>
      <c r="N1564" t="s">
        <v>77</v>
      </c>
      <c r="O1564" t="s">
        <v>26</v>
      </c>
    </row>
    <row r="1565" spans="1:15" x14ac:dyDescent="0.3">
      <c r="A1565" t="s">
        <v>1396</v>
      </c>
      <c r="B1565" t="s">
        <v>1395</v>
      </c>
      <c r="C1565" t="s">
        <v>123</v>
      </c>
      <c r="D1565">
        <v>23</v>
      </c>
      <c r="E1565" t="s">
        <v>47</v>
      </c>
      <c r="F1565" t="s">
        <v>20</v>
      </c>
      <c r="G1565" s="8">
        <v>46060</v>
      </c>
      <c r="H1565" s="8">
        <v>46069</v>
      </c>
      <c r="I1565" t="s">
        <v>9644</v>
      </c>
      <c r="J1565" t="s">
        <v>1393</v>
      </c>
      <c r="K1565" t="s">
        <v>64</v>
      </c>
      <c r="L1565">
        <v>17032.75</v>
      </c>
      <c r="M1565">
        <v>441</v>
      </c>
      <c r="N1565" t="s">
        <v>34</v>
      </c>
      <c r="O1565" t="s">
        <v>17</v>
      </c>
    </row>
    <row r="1566" spans="1:15" x14ac:dyDescent="0.3">
      <c r="A1566" t="s">
        <v>1392</v>
      </c>
      <c r="B1566" t="s">
        <v>1391</v>
      </c>
      <c r="C1566" t="s">
        <v>74</v>
      </c>
      <c r="D1566">
        <v>6</v>
      </c>
      <c r="E1566" t="s">
        <v>39</v>
      </c>
      <c r="F1566" t="s">
        <v>30</v>
      </c>
      <c r="G1566" s="8">
        <v>46148</v>
      </c>
      <c r="H1566" s="8">
        <v>46158</v>
      </c>
      <c r="I1566" t="s">
        <v>9645</v>
      </c>
      <c r="J1566" t="s">
        <v>1389</v>
      </c>
      <c r="K1566" t="s">
        <v>64</v>
      </c>
      <c r="L1566">
        <v>1165.77</v>
      </c>
      <c r="M1566">
        <v>120</v>
      </c>
      <c r="N1566" t="s">
        <v>34</v>
      </c>
      <c r="O1566" t="s">
        <v>64</v>
      </c>
    </row>
    <row r="1567" spans="1:15" x14ac:dyDescent="0.3">
      <c r="A1567" t="s">
        <v>1388</v>
      </c>
      <c r="B1567" t="s">
        <v>1387</v>
      </c>
      <c r="C1567" t="s">
        <v>40</v>
      </c>
      <c r="D1567">
        <v>25</v>
      </c>
      <c r="E1567" t="s">
        <v>39</v>
      </c>
      <c r="F1567" t="s">
        <v>67</v>
      </c>
      <c r="G1567" s="8">
        <v>46027</v>
      </c>
      <c r="H1567" s="8">
        <v>46053</v>
      </c>
      <c r="I1567" t="s">
        <v>9646</v>
      </c>
      <c r="J1567" t="s">
        <v>1385</v>
      </c>
      <c r="K1567" t="s">
        <v>123</v>
      </c>
      <c r="L1567">
        <v>2866.95</v>
      </c>
      <c r="M1567">
        <v>415</v>
      </c>
      <c r="N1567" t="s">
        <v>50</v>
      </c>
      <c r="O1567" t="s">
        <v>63</v>
      </c>
    </row>
    <row r="1568" spans="1:15" x14ac:dyDescent="0.3">
      <c r="A1568" t="s">
        <v>1384</v>
      </c>
      <c r="B1568" t="s">
        <v>1383</v>
      </c>
      <c r="C1568" t="s">
        <v>74</v>
      </c>
      <c r="D1568">
        <v>79</v>
      </c>
      <c r="E1568" t="s">
        <v>132</v>
      </c>
      <c r="F1568" t="s">
        <v>20</v>
      </c>
      <c r="G1568" s="8">
        <v>46149</v>
      </c>
      <c r="H1568" s="8">
        <v>46151</v>
      </c>
      <c r="I1568" t="s">
        <v>9647</v>
      </c>
      <c r="J1568" t="s">
        <v>1381</v>
      </c>
      <c r="K1568" t="s">
        <v>123</v>
      </c>
      <c r="L1568">
        <v>15232.96</v>
      </c>
      <c r="M1568">
        <v>180</v>
      </c>
      <c r="N1568" t="s">
        <v>25</v>
      </c>
      <c r="O1568" t="s">
        <v>63</v>
      </c>
    </row>
    <row r="1569" spans="1:15" x14ac:dyDescent="0.3">
      <c r="A1569" t="s">
        <v>1380</v>
      </c>
      <c r="B1569" t="s">
        <v>1379</v>
      </c>
      <c r="C1569" t="s">
        <v>74</v>
      </c>
      <c r="D1569">
        <v>64</v>
      </c>
      <c r="E1569" t="s">
        <v>21</v>
      </c>
      <c r="F1569" t="s">
        <v>30</v>
      </c>
      <c r="G1569" s="8">
        <v>46137</v>
      </c>
      <c r="H1569" s="8">
        <v>46138</v>
      </c>
      <c r="I1569" t="s">
        <v>9648</v>
      </c>
      <c r="J1569" t="s">
        <v>1377</v>
      </c>
      <c r="K1569" t="s">
        <v>123</v>
      </c>
      <c r="L1569">
        <v>21333.48</v>
      </c>
      <c r="M1569">
        <v>455</v>
      </c>
      <c r="N1569" t="s">
        <v>16</v>
      </c>
      <c r="O1569" t="s">
        <v>26</v>
      </c>
    </row>
    <row r="1570" spans="1:15" x14ac:dyDescent="0.3">
      <c r="A1570" t="s">
        <v>1376</v>
      </c>
      <c r="B1570" t="s">
        <v>1375</v>
      </c>
      <c r="C1570" t="s">
        <v>123</v>
      </c>
      <c r="D1570">
        <v>46</v>
      </c>
      <c r="E1570" t="s">
        <v>132</v>
      </c>
      <c r="F1570" t="s">
        <v>30</v>
      </c>
      <c r="G1570" s="8">
        <v>46134</v>
      </c>
      <c r="H1570" s="8">
        <v>46154</v>
      </c>
      <c r="I1570" t="s">
        <v>9649</v>
      </c>
      <c r="J1570" t="s">
        <v>1373</v>
      </c>
      <c r="K1570" t="s">
        <v>123</v>
      </c>
      <c r="L1570">
        <v>10565.65</v>
      </c>
      <c r="M1570">
        <v>506</v>
      </c>
      <c r="N1570" t="s">
        <v>50</v>
      </c>
      <c r="O1570" t="s">
        <v>57</v>
      </c>
    </row>
    <row r="1571" spans="1:15" x14ac:dyDescent="0.3">
      <c r="A1571" t="s">
        <v>1372</v>
      </c>
      <c r="B1571" t="s">
        <v>1371</v>
      </c>
      <c r="C1571" t="s">
        <v>40</v>
      </c>
      <c r="D1571">
        <v>86</v>
      </c>
      <c r="E1571" t="s">
        <v>31</v>
      </c>
      <c r="F1571" t="s">
        <v>8077</v>
      </c>
      <c r="G1571" s="8">
        <v>45993</v>
      </c>
      <c r="H1571" s="8">
        <v>46000</v>
      </c>
      <c r="I1571" t="s">
        <v>9650</v>
      </c>
      <c r="J1571" t="s">
        <v>1369</v>
      </c>
      <c r="K1571" t="s">
        <v>123</v>
      </c>
      <c r="L1571">
        <v>3888.28</v>
      </c>
      <c r="M1571">
        <v>118</v>
      </c>
      <c r="N1571" t="s">
        <v>77</v>
      </c>
      <c r="O1571" t="s">
        <v>26</v>
      </c>
    </row>
    <row r="1572" spans="1:15" x14ac:dyDescent="0.3">
      <c r="A1572" t="s">
        <v>1368</v>
      </c>
      <c r="B1572" t="s">
        <v>1367</v>
      </c>
      <c r="C1572" t="s">
        <v>40</v>
      </c>
      <c r="D1572">
        <v>76</v>
      </c>
      <c r="E1572" t="s">
        <v>80</v>
      </c>
      <c r="F1572" t="s">
        <v>20</v>
      </c>
      <c r="G1572" s="8">
        <v>46115</v>
      </c>
      <c r="H1572" s="8">
        <v>46118</v>
      </c>
      <c r="I1572" t="s">
        <v>9651</v>
      </c>
      <c r="J1572" t="s">
        <v>1365</v>
      </c>
      <c r="K1572" t="s">
        <v>123</v>
      </c>
      <c r="L1572">
        <v>3327.52</v>
      </c>
      <c r="M1572">
        <v>244</v>
      </c>
      <c r="N1572" t="s">
        <v>50</v>
      </c>
      <c r="O1572" t="s">
        <v>64</v>
      </c>
    </row>
    <row r="1573" spans="1:15" x14ac:dyDescent="0.3">
      <c r="A1573" t="s">
        <v>1364</v>
      </c>
      <c r="B1573" t="s">
        <v>1363</v>
      </c>
      <c r="C1573" t="s">
        <v>74</v>
      </c>
      <c r="D1573">
        <v>89</v>
      </c>
      <c r="E1573" t="s">
        <v>31</v>
      </c>
      <c r="F1573" t="s">
        <v>8077</v>
      </c>
      <c r="G1573" s="8">
        <v>46003</v>
      </c>
      <c r="H1573" s="8">
        <v>46025</v>
      </c>
      <c r="I1573" t="s">
        <v>9652</v>
      </c>
      <c r="J1573" t="s">
        <v>1361</v>
      </c>
      <c r="K1573" t="s">
        <v>123</v>
      </c>
      <c r="L1573">
        <v>10996.3</v>
      </c>
      <c r="M1573">
        <v>429</v>
      </c>
      <c r="N1573" t="s">
        <v>25</v>
      </c>
      <c r="O1573" t="s">
        <v>64</v>
      </c>
    </row>
    <row r="1574" spans="1:15" x14ac:dyDescent="0.3">
      <c r="A1574" t="s">
        <v>1360</v>
      </c>
      <c r="B1574" t="s">
        <v>1359</v>
      </c>
      <c r="C1574" t="s">
        <v>40</v>
      </c>
      <c r="D1574">
        <v>27</v>
      </c>
      <c r="E1574" t="s">
        <v>68</v>
      </c>
      <c r="F1574" t="s">
        <v>46</v>
      </c>
      <c r="G1574" s="8">
        <v>46114</v>
      </c>
      <c r="H1574" s="8">
        <v>46125</v>
      </c>
      <c r="I1574" t="s">
        <v>9653</v>
      </c>
      <c r="J1574" t="s">
        <v>1357</v>
      </c>
      <c r="K1574" t="s">
        <v>27</v>
      </c>
      <c r="L1574">
        <v>9891.7000000000007</v>
      </c>
      <c r="M1574">
        <v>133</v>
      </c>
      <c r="N1574" t="s">
        <v>77</v>
      </c>
      <c r="O1574" t="s">
        <v>17</v>
      </c>
    </row>
    <row r="1575" spans="1:15" x14ac:dyDescent="0.3">
      <c r="A1575" t="s">
        <v>1356</v>
      </c>
      <c r="B1575" t="s">
        <v>1355</v>
      </c>
      <c r="C1575" t="s">
        <v>40</v>
      </c>
      <c r="D1575">
        <v>33</v>
      </c>
      <c r="E1575" t="s">
        <v>54</v>
      </c>
      <c r="F1575" t="s">
        <v>20</v>
      </c>
      <c r="G1575" s="8">
        <v>46004</v>
      </c>
      <c r="H1575" s="8">
        <v>46030</v>
      </c>
      <c r="I1575" t="s">
        <v>9654</v>
      </c>
      <c r="J1575" t="s">
        <v>1353</v>
      </c>
      <c r="K1575" t="s">
        <v>123</v>
      </c>
      <c r="L1575">
        <v>11694.9</v>
      </c>
      <c r="M1575">
        <v>501</v>
      </c>
      <c r="N1575" t="s">
        <v>25</v>
      </c>
      <c r="O1575" t="s">
        <v>123</v>
      </c>
    </row>
    <row r="1576" spans="1:15" x14ac:dyDescent="0.3">
      <c r="A1576" t="s">
        <v>1352</v>
      </c>
      <c r="B1576" t="s">
        <v>1351</v>
      </c>
      <c r="C1576" t="s">
        <v>74</v>
      </c>
      <c r="D1576">
        <v>58</v>
      </c>
      <c r="E1576" t="s">
        <v>39</v>
      </c>
      <c r="F1576" t="s">
        <v>67</v>
      </c>
      <c r="G1576" s="8">
        <v>46041</v>
      </c>
      <c r="H1576" s="8">
        <v>46064</v>
      </c>
      <c r="I1576" t="s">
        <v>9655</v>
      </c>
      <c r="J1576" t="s">
        <v>1349</v>
      </c>
      <c r="K1576" t="s">
        <v>123</v>
      </c>
      <c r="L1576">
        <v>16528.439999999999</v>
      </c>
      <c r="M1576">
        <v>103</v>
      </c>
      <c r="N1576" t="s">
        <v>50</v>
      </c>
      <c r="O1576" t="s">
        <v>26</v>
      </c>
    </row>
    <row r="1577" spans="1:15" x14ac:dyDescent="0.3">
      <c r="A1577" t="s">
        <v>1348</v>
      </c>
      <c r="B1577" t="s">
        <v>1347</v>
      </c>
      <c r="C1577" t="s">
        <v>40</v>
      </c>
      <c r="D1577">
        <v>33</v>
      </c>
      <c r="E1577" t="s">
        <v>54</v>
      </c>
      <c r="F1577" t="s">
        <v>20</v>
      </c>
      <c r="G1577" s="8">
        <v>46060</v>
      </c>
      <c r="H1577" s="8">
        <v>46075</v>
      </c>
      <c r="I1577" t="s">
        <v>9656</v>
      </c>
      <c r="J1577" t="s">
        <v>1345</v>
      </c>
      <c r="K1577" t="s">
        <v>64</v>
      </c>
      <c r="L1577">
        <v>3874.56</v>
      </c>
      <c r="M1577">
        <v>222</v>
      </c>
      <c r="N1577" t="s">
        <v>34</v>
      </c>
      <c r="O1577" t="s">
        <v>26</v>
      </c>
    </row>
    <row r="1578" spans="1:15" x14ac:dyDescent="0.3">
      <c r="A1578" t="s">
        <v>1344</v>
      </c>
      <c r="B1578" t="s">
        <v>1343</v>
      </c>
      <c r="C1578" t="s">
        <v>123</v>
      </c>
      <c r="D1578">
        <v>36</v>
      </c>
      <c r="E1578" t="s">
        <v>21</v>
      </c>
      <c r="F1578" t="s">
        <v>20</v>
      </c>
      <c r="G1578" s="8">
        <v>46108</v>
      </c>
      <c r="H1578" s="8">
        <v>46121</v>
      </c>
      <c r="I1578" t="s">
        <v>9657</v>
      </c>
      <c r="J1578" t="s">
        <v>1341</v>
      </c>
      <c r="K1578" t="s">
        <v>27</v>
      </c>
      <c r="L1578">
        <v>19317.330000000002</v>
      </c>
      <c r="M1578">
        <v>464</v>
      </c>
      <c r="N1578" t="s">
        <v>43</v>
      </c>
      <c r="O1578" t="s">
        <v>17</v>
      </c>
    </row>
    <row r="1579" spans="1:15" x14ac:dyDescent="0.3">
      <c r="A1579" t="s">
        <v>1340</v>
      </c>
      <c r="B1579" t="s">
        <v>1339</v>
      </c>
      <c r="C1579" t="s">
        <v>74</v>
      </c>
      <c r="D1579">
        <v>44</v>
      </c>
      <c r="E1579" t="s">
        <v>47</v>
      </c>
      <c r="F1579" t="s">
        <v>20</v>
      </c>
      <c r="G1579" s="8">
        <v>45979</v>
      </c>
      <c r="H1579" s="8">
        <v>45994</v>
      </c>
      <c r="I1579" t="s">
        <v>9658</v>
      </c>
      <c r="J1579" t="s">
        <v>1337</v>
      </c>
      <c r="K1579" t="s">
        <v>64</v>
      </c>
      <c r="L1579">
        <v>5434.33</v>
      </c>
      <c r="M1579">
        <v>448</v>
      </c>
      <c r="N1579" t="s">
        <v>25</v>
      </c>
      <c r="O1579" t="s">
        <v>17</v>
      </c>
    </row>
    <row r="1580" spans="1:15" x14ac:dyDescent="0.3">
      <c r="A1580" t="s">
        <v>1336</v>
      </c>
      <c r="B1580" t="s">
        <v>1335</v>
      </c>
      <c r="C1580" t="s">
        <v>40</v>
      </c>
      <c r="D1580">
        <v>68</v>
      </c>
      <c r="E1580" t="s">
        <v>54</v>
      </c>
      <c r="F1580" t="s">
        <v>8077</v>
      </c>
      <c r="G1580" s="8">
        <v>46025</v>
      </c>
      <c r="H1580" s="8">
        <v>46038</v>
      </c>
      <c r="I1580" t="s">
        <v>9659</v>
      </c>
      <c r="J1580" t="s">
        <v>1333</v>
      </c>
      <c r="K1580" t="s">
        <v>27</v>
      </c>
      <c r="L1580">
        <v>11482.82</v>
      </c>
      <c r="M1580">
        <v>375</v>
      </c>
      <c r="N1580" t="s">
        <v>50</v>
      </c>
      <c r="O1580" t="s">
        <v>63</v>
      </c>
    </row>
    <row r="1581" spans="1:15" x14ac:dyDescent="0.3">
      <c r="A1581" t="s">
        <v>1324</v>
      </c>
      <c r="B1581" t="s">
        <v>1323</v>
      </c>
      <c r="C1581" t="s">
        <v>40</v>
      </c>
      <c r="D1581">
        <v>30</v>
      </c>
      <c r="E1581" t="s">
        <v>132</v>
      </c>
      <c r="F1581" t="s">
        <v>67</v>
      </c>
      <c r="G1581" s="8">
        <v>46108</v>
      </c>
      <c r="H1581" s="8">
        <v>46116</v>
      </c>
      <c r="I1581" t="s">
        <v>9660</v>
      </c>
      <c r="J1581" t="s">
        <v>1321</v>
      </c>
      <c r="K1581" t="s">
        <v>27</v>
      </c>
      <c r="L1581">
        <v>13362.42</v>
      </c>
      <c r="M1581">
        <v>213</v>
      </c>
      <c r="N1581" t="s">
        <v>50</v>
      </c>
      <c r="O1581" t="s">
        <v>27</v>
      </c>
    </row>
    <row r="1582" spans="1:15" x14ac:dyDescent="0.3">
      <c r="A1582" t="s">
        <v>1320</v>
      </c>
      <c r="B1582" t="s">
        <v>1319</v>
      </c>
      <c r="C1582" t="s">
        <v>123</v>
      </c>
      <c r="D1582">
        <v>31</v>
      </c>
      <c r="E1582" t="s">
        <v>54</v>
      </c>
      <c r="F1582" t="s">
        <v>46</v>
      </c>
      <c r="G1582" s="8">
        <v>46007</v>
      </c>
      <c r="H1582" s="8">
        <v>46020</v>
      </c>
      <c r="I1582" t="s">
        <v>9661</v>
      </c>
      <c r="J1582" t="s">
        <v>1317</v>
      </c>
      <c r="K1582" t="s">
        <v>27</v>
      </c>
      <c r="L1582">
        <v>23974.21</v>
      </c>
      <c r="M1582">
        <v>374</v>
      </c>
      <c r="N1582" t="s">
        <v>50</v>
      </c>
      <c r="O1582" t="s">
        <v>63</v>
      </c>
    </row>
    <row r="1583" spans="1:15" x14ac:dyDescent="0.3">
      <c r="A1583" t="s">
        <v>1316</v>
      </c>
      <c r="B1583" t="s">
        <v>1315</v>
      </c>
      <c r="C1583" t="s">
        <v>123</v>
      </c>
      <c r="D1583">
        <v>3</v>
      </c>
      <c r="E1583" t="s">
        <v>132</v>
      </c>
      <c r="F1583" t="s">
        <v>46</v>
      </c>
      <c r="G1583" s="8">
        <v>46116</v>
      </c>
      <c r="H1583" s="8">
        <v>46131</v>
      </c>
      <c r="I1583" t="s">
        <v>9662</v>
      </c>
      <c r="J1583" t="s">
        <v>1313</v>
      </c>
      <c r="K1583" t="s">
        <v>64</v>
      </c>
      <c r="L1583">
        <v>13445.43</v>
      </c>
      <c r="M1583">
        <v>499</v>
      </c>
      <c r="N1583" t="s">
        <v>77</v>
      </c>
      <c r="O1583" t="s">
        <v>63</v>
      </c>
    </row>
    <row r="1584" spans="1:15" x14ac:dyDescent="0.3">
      <c r="A1584" t="s">
        <v>1312</v>
      </c>
      <c r="B1584" t="s">
        <v>1311</v>
      </c>
      <c r="C1584" t="s">
        <v>74</v>
      </c>
      <c r="D1584">
        <v>50</v>
      </c>
      <c r="E1584" t="s">
        <v>31</v>
      </c>
      <c r="F1584" t="s">
        <v>20</v>
      </c>
      <c r="G1584" s="8">
        <v>45996</v>
      </c>
      <c r="H1584" s="8">
        <v>46013</v>
      </c>
      <c r="I1584" t="s">
        <v>9663</v>
      </c>
      <c r="J1584" t="s">
        <v>1309</v>
      </c>
      <c r="K1584" t="s">
        <v>64</v>
      </c>
      <c r="L1584">
        <v>552.44000000000005</v>
      </c>
      <c r="M1584">
        <v>140</v>
      </c>
      <c r="N1584" t="s">
        <v>43</v>
      </c>
      <c r="O1584" t="s">
        <v>123</v>
      </c>
    </row>
    <row r="1585" spans="1:15" x14ac:dyDescent="0.3">
      <c r="A1585" t="s">
        <v>1308</v>
      </c>
      <c r="B1585" t="s">
        <v>1307</v>
      </c>
      <c r="C1585" t="s">
        <v>74</v>
      </c>
      <c r="D1585">
        <v>62</v>
      </c>
      <c r="E1585" t="s">
        <v>47</v>
      </c>
      <c r="F1585" t="s">
        <v>20</v>
      </c>
      <c r="G1585" s="8">
        <v>46064</v>
      </c>
      <c r="H1585" s="8">
        <v>46068</v>
      </c>
      <c r="I1585" t="s">
        <v>9664</v>
      </c>
      <c r="J1585" t="s">
        <v>1305</v>
      </c>
      <c r="K1585" t="s">
        <v>27</v>
      </c>
      <c r="L1585">
        <v>4391.76</v>
      </c>
      <c r="M1585">
        <v>443</v>
      </c>
      <c r="N1585" t="s">
        <v>43</v>
      </c>
      <c r="O1585" t="s">
        <v>63</v>
      </c>
    </row>
    <row r="1586" spans="1:15" x14ac:dyDescent="0.3">
      <c r="A1586" t="s">
        <v>1304</v>
      </c>
      <c r="B1586" t="s">
        <v>1303</v>
      </c>
      <c r="C1586" t="s">
        <v>123</v>
      </c>
      <c r="D1586">
        <v>21</v>
      </c>
      <c r="E1586" t="s">
        <v>54</v>
      </c>
      <c r="F1586" t="s">
        <v>8077</v>
      </c>
      <c r="G1586" s="8">
        <v>46138</v>
      </c>
      <c r="H1586" s="8">
        <v>46161</v>
      </c>
      <c r="I1586" t="s">
        <v>9665</v>
      </c>
      <c r="J1586" t="s">
        <v>1301</v>
      </c>
      <c r="K1586" t="s">
        <v>27</v>
      </c>
      <c r="L1586">
        <v>9163.4500000000007</v>
      </c>
      <c r="M1586">
        <v>258</v>
      </c>
      <c r="N1586" t="s">
        <v>34</v>
      </c>
      <c r="O1586" t="s">
        <v>63</v>
      </c>
    </row>
    <row r="1587" spans="1:15" x14ac:dyDescent="0.3">
      <c r="A1587" t="s">
        <v>1300</v>
      </c>
      <c r="B1587" t="s">
        <v>1299</v>
      </c>
      <c r="C1587" t="s">
        <v>74</v>
      </c>
      <c r="D1587">
        <v>10</v>
      </c>
      <c r="E1587" t="s">
        <v>39</v>
      </c>
      <c r="F1587" t="s">
        <v>20</v>
      </c>
      <c r="G1587" s="8">
        <v>46004</v>
      </c>
      <c r="H1587" s="8">
        <v>46031</v>
      </c>
      <c r="I1587" t="s">
        <v>9666</v>
      </c>
      <c r="J1587" t="s">
        <v>1297</v>
      </c>
      <c r="K1587" t="s">
        <v>27</v>
      </c>
      <c r="L1587">
        <v>23848.92</v>
      </c>
      <c r="M1587">
        <v>498</v>
      </c>
      <c r="N1587" t="s">
        <v>50</v>
      </c>
      <c r="O1587" t="s">
        <v>64</v>
      </c>
    </row>
    <row r="1588" spans="1:15" x14ac:dyDescent="0.3">
      <c r="A1588" t="s">
        <v>1296</v>
      </c>
      <c r="B1588" t="s">
        <v>1295</v>
      </c>
      <c r="C1588" t="s">
        <v>40</v>
      </c>
      <c r="D1588">
        <v>23</v>
      </c>
      <c r="E1588" t="s">
        <v>80</v>
      </c>
      <c r="F1588" t="s">
        <v>85</v>
      </c>
      <c r="G1588" s="8">
        <v>46024</v>
      </c>
      <c r="H1588" s="8">
        <v>46034</v>
      </c>
      <c r="I1588" t="s">
        <v>9667</v>
      </c>
      <c r="J1588" t="s">
        <v>1293</v>
      </c>
      <c r="K1588" t="s">
        <v>64</v>
      </c>
      <c r="L1588">
        <v>12611.48</v>
      </c>
      <c r="M1588">
        <v>361</v>
      </c>
      <c r="N1588" t="s">
        <v>77</v>
      </c>
      <c r="O1588" t="s">
        <v>123</v>
      </c>
    </row>
    <row r="1589" spans="1:15" x14ac:dyDescent="0.3">
      <c r="A1589" t="s">
        <v>1292</v>
      </c>
      <c r="B1589" t="s">
        <v>1291</v>
      </c>
      <c r="C1589" t="s">
        <v>123</v>
      </c>
      <c r="D1589">
        <v>86</v>
      </c>
      <c r="E1589" t="s">
        <v>132</v>
      </c>
      <c r="F1589" t="s">
        <v>20</v>
      </c>
      <c r="G1589" s="8">
        <v>46030</v>
      </c>
      <c r="H1589" s="8">
        <v>46041</v>
      </c>
      <c r="I1589" t="s">
        <v>9668</v>
      </c>
      <c r="J1589" t="s">
        <v>1289</v>
      </c>
      <c r="K1589" t="s">
        <v>64</v>
      </c>
      <c r="L1589">
        <v>8960.36</v>
      </c>
      <c r="M1589">
        <v>512</v>
      </c>
      <c r="N1589" t="s">
        <v>71</v>
      </c>
      <c r="O1589" t="s">
        <v>123</v>
      </c>
    </row>
    <row r="1590" spans="1:15" x14ac:dyDescent="0.3">
      <c r="A1590" t="s">
        <v>1284</v>
      </c>
      <c r="B1590" t="s">
        <v>1283</v>
      </c>
      <c r="C1590" t="s">
        <v>74</v>
      </c>
      <c r="D1590">
        <v>4</v>
      </c>
      <c r="E1590" t="s">
        <v>31</v>
      </c>
      <c r="F1590" t="s">
        <v>67</v>
      </c>
      <c r="G1590" s="8">
        <v>46110</v>
      </c>
      <c r="H1590" s="8">
        <v>46135</v>
      </c>
      <c r="I1590" t="s">
        <v>9669</v>
      </c>
      <c r="J1590" t="s">
        <v>1281</v>
      </c>
      <c r="K1590" t="s">
        <v>123</v>
      </c>
      <c r="L1590">
        <v>2768.52</v>
      </c>
      <c r="M1590">
        <v>208</v>
      </c>
      <c r="N1590" t="s">
        <v>71</v>
      </c>
      <c r="O1590" t="s">
        <v>123</v>
      </c>
    </row>
    <row r="1591" spans="1:15" x14ac:dyDescent="0.3">
      <c r="A1591" t="s">
        <v>1280</v>
      </c>
      <c r="B1591" t="s">
        <v>1279</v>
      </c>
      <c r="C1591" t="s">
        <v>74</v>
      </c>
      <c r="D1591">
        <v>80</v>
      </c>
      <c r="E1591" t="s">
        <v>68</v>
      </c>
      <c r="F1591" t="s">
        <v>20</v>
      </c>
      <c r="G1591" s="8">
        <v>46049</v>
      </c>
      <c r="H1591" s="8">
        <v>46072</v>
      </c>
      <c r="I1591" t="s">
        <v>9670</v>
      </c>
      <c r="J1591" t="s">
        <v>1277</v>
      </c>
      <c r="K1591" t="s">
        <v>64</v>
      </c>
      <c r="L1591">
        <v>20895.88</v>
      </c>
      <c r="M1591">
        <v>385</v>
      </c>
      <c r="N1591" t="s">
        <v>50</v>
      </c>
      <c r="O1591" t="s">
        <v>123</v>
      </c>
    </row>
    <row r="1592" spans="1:15" x14ac:dyDescent="0.3">
      <c r="A1592" t="s">
        <v>1276</v>
      </c>
      <c r="B1592" t="s">
        <v>1275</v>
      </c>
      <c r="C1592" t="s">
        <v>123</v>
      </c>
      <c r="D1592">
        <v>50</v>
      </c>
      <c r="E1592" t="s">
        <v>31</v>
      </c>
      <c r="F1592" t="s">
        <v>67</v>
      </c>
      <c r="G1592" s="8">
        <v>46004</v>
      </c>
      <c r="H1592" s="8">
        <v>46010</v>
      </c>
      <c r="I1592" t="s">
        <v>9671</v>
      </c>
      <c r="J1592" t="s">
        <v>1273</v>
      </c>
      <c r="K1592" t="s">
        <v>27</v>
      </c>
      <c r="L1592">
        <v>1102.21</v>
      </c>
      <c r="M1592">
        <v>101</v>
      </c>
      <c r="N1592" t="s">
        <v>34</v>
      </c>
      <c r="O1592" t="s">
        <v>57</v>
      </c>
    </row>
    <row r="1593" spans="1:15" x14ac:dyDescent="0.3">
      <c r="A1593" t="s">
        <v>1272</v>
      </c>
      <c r="B1593" t="s">
        <v>1271</v>
      </c>
      <c r="C1593" t="s">
        <v>74</v>
      </c>
      <c r="D1593">
        <v>3</v>
      </c>
      <c r="E1593" t="s">
        <v>31</v>
      </c>
      <c r="F1593" t="s">
        <v>67</v>
      </c>
      <c r="G1593" s="8">
        <v>46109</v>
      </c>
      <c r="H1593" s="8">
        <v>46122</v>
      </c>
      <c r="I1593" t="s">
        <v>9672</v>
      </c>
      <c r="J1593" t="s">
        <v>1269</v>
      </c>
      <c r="K1593" t="s">
        <v>27</v>
      </c>
      <c r="L1593">
        <v>24245.68</v>
      </c>
      <c r="M1593">
        <v>143</v>
      </c>
      <c r="N1593" t="s">
        <v>71</v>
      </c>
      <c r="O1593" t="s">
        <v>123</v>
      </c>
    </row>
    <row r="1594" spans="1:15" x14ac:dyDescent="0.3">
      <c r="A1594" t="s">
        <v>1268</v>
      </c>
      <c r="B1594" t="s">
        <v>1267</v>
      </c>
      <c r="C1594" t="s">
        <v>74</v>
      </c>
      <c r="D1594">
        <v>77</v>
      </c>
      <c r="E1594" t="s">
        <v>80</v>
      </c>
      <c r="F1594" t="s">
        <v>20</v>
      </c>
      <c r="G1594" s="8">
        <v>46068</v>
      </c>
      <c r="H1594" s="8">
        <v>46083</v>
      </c>
      <c r="I1594" t="s">
        <v>9673</v>
      </c>
      <c r="J1594" t="s">
        <v>1265</v>
      </c>
      <c r="K1594" t="s">
        <v>123</v>
      </c>
      <c r="L1594">
        <v>13928.91</v>
      </c>
      <c r="M1594">
        <v>161</v>
      </c>
      <c r="N1594" t="s">
        <v>34</v>
      </c>
      <c r="O1594" t="s">
        <v>17</v>
      </c>
    </row>
    <row r="1595" spans="1:15" x14ac:dyDescent="0.3">
      <c r="A1595" t="s">
        <v>1264</v>
      </c>
      <c r="B1595" t="s">
        <v>1263</v>
      </c>
      <c r="C1595" t="s">
        <v>40</v>
      </c>
      <c r="D1595">
        <v>82</v>
      </c>
      <c r="E1595" t="s">
        <v>31</v>
      </c>
      <c r="F1595" t="s">
        <v>8077</v>
      </c>
      <c r="G1595" s="8">
        <v>45983</v>
      </c>
      <c r="H1595" s="8">
        <v>45992</v>
      </c>
      <c r="I1595" t="s">
        <v>9674</v>
      </c>
      <c r="J1595" t="s">
        <v>1261</v>
      </c>
      <c r="K1595" t="s">
        <v>123</v>
      </c>
      <c r="L1595">
        <v>7477.59</v>
      </c>
      <c r="M1595">
        <v>128</v>
      </c>
      <c r="N1595" t="s">
        <v>43</v>
      </c>
      <c r="O1595" t="s">
        <v>64</v>
      </c>
    </row>
    <row r="1596" spans="1:15" x14ac:dyDescent="0.3">
      <c r="A1596" t="s">
        <v>1260</v>
      </c>
      <c r="B1596" t="s">
        <v>1259</v>
      </c>
      <c r="C1596" t="s">
        <v>40</v>
      </c>
      <c r="D1596">
        <v>90</v>
      </c>
      <c r="E1596" t="s">
        <v>132</v>
      </c>
      <c r="F1596" t="s">
        <v>67</v>
      </c>
      <c r="G1596" s="8">
        <v>46082</v>
      </c>
      <c r="H1596" s="8">
        <v>46086</v>
      </c>
      <c r="I1596" t="s">
        <v>9675</v>
      </c>
      <c r="J1596" t="s">
        <v>1257</v>
      </c>
      <c r="K1596" t="s">
        <v>27</v>
      </c>
      <c r="L1596">
        <v>8630.5400000000009</v>
      </c>
      <c r="M1596">
        <v>138</v>
      </c>
      <c r="N1596" t="s">
        <v>34</v>
      </c>
      <c r="O1596" t="s">
        <v>123</v>
      </c>
    </row>
    <row r="1597" spans="1:15" x14ac:dyDescent="0.3">
      <c r="A1597" t="s">
        <v>1256</v>
      </c>
      <c r="B1597" t="s">
        <v>1255</v>
      </c>
      <c r="C1597" t="s">
        <v>74</v>
      </c>
      <c r="D1597">
        <v>10</v>
      </c>
      <c r="E1597" t="s">
        <v>68</v>
      </c>
      <c r="F1597" t="s">
        <v>30</v>
      </c>
      <c r="G1597" s="8">
        <v>46132</v>
      </c>
      <c r="H1597" s="8">
        <v>46155</v>
      </c>
      <c r="I1597" t="s">
        <v>9676</v>
      </c>
      <c r="J1597" t="s">
        <v>1253</v>
      </c>
      <c r="K1597" t="s">
        <v>27</v>
      </c>
      <c r="L1597">
        <v>10290.4</v>
      </c>
      <c r="M1597">
        <v>245</v>
      </c>
      <c r="N1597" t="s">
        <v>43</v>
      </c>
      <c r="O1597" t="s">
        <v>27</v>
      </c>
    </row>
    <row r="1598" spans="1:15" x14ac:dyDescent="0.3">
      <c r="A1598" t="s">
        <v>1252</v>
      </c>
      <c r="B1598" t="s">
        <v>1251</v>
      </c>
      <c r="C1598" t="s">
        <v>40</v>
      </c>
      <c r="D1598">
        <v>12</v>
      </c>
      <c r="E1598" t="s">
        <v>39</v>
      </c>
      <c r="F1598" t="s">
        <v>20</v>
      </c>
      <c r="G1598" s="8">
        <v>46032</v>
      </c>
      <c r="H1598" s="8">
        <v>46043</v>
      </c>
      <c r="I1598" t="s">
        <v>9677</v>
      </c>
      <c r="J1598" t="s">
        <v>1249</v>
      </c>
      <c r="K1598" t="s">
        <v>64</v>
      </c>
      <c r="L1598">
        <v>2559.9</v>
      </c>
      <c r="M1598">
        <v>493</v>
      </c>
      <c r="N1598" t="s">
        <v>43</v>
      </c>
      <c r="O1598" t="s">
        <v>63</v>
      </c>
    </row>
    <row r="1599" spans="1:15" x14ac:dyDescent="0.3">
      <c r="A1599" t="s">
        <v>1245</v>
      </c>
      <c r="B1599" t="s">
        <v>1244</v>
      </c>
      <c r="C1599" t="s">
        <v>74</v>
      </c>
      <c r="D1599">
        <v>71</v>
      </c>
      <c r="E1599" t="s">
        <v>132</v>
      </c>
      <c r="F1599" t="s">
        <v>30</v>
      </c>
      <c r="G1599" s="8">
        <v>46026</v>
      </c>
      <c r="H1599" s="8">
        <v>46029</v>
      </c>
      <c r="I1599" t="s">
        <v>9678</v>
      </c>
      <c r="J1599" t="s">
        <v>1242</v>
      </c>
      <c r="K1599" t="s">
        <v>123</v>
      </c>
      <c r="L1599">
        <v>18857.09</v>
      </c>
      <c r="M1599">
        <v>259</v>
      </c>
      <c r="N1599" t="s">
        <v>16</v>
      </c>
      <c r="O1599" t="s">
        <v>27</v>
      </c>
    </row>
    <row r="1600" spans="1:15" x14ac:dyDescent="0.3">
      <c r="A1600" t="s">
        <v>1241</v>
      </c>
      <c r="B1600" t="s">
        <v>1240</v>
      </c>
      <c r="C1600" t="s">
        <v>74</v>
      </c>
      <c r="D1600">
        <v>85</v>
      </c>
      <c r="E1600" t="s">
        <v>31</v>
      </c>
      <c r="F1600" t="s">
        <v>30</v>
      </c>
      <c r="G1600" s="8">
        <v>45979</v>
      </c>
      <c r="H1600" s="8">
        <v>46002</v>
      </c>
      <c r="I1600" t="s">
        <v>9679</v>
      </c>
      <c r="J1600" t="s">
        <v>1238</v>
      </c>
      <c r="K1600" t="s">
        <v>27</v>
      </c>
      <c r="L1600">
        <v>3594.91</v>
      </c>
      <c r="M1600">
        <v>401</v>
      </c>
      <c r="N1600" t="s">
        <v>77</v>
      </c>
      <c r="O1600" t="s">
        <v>64</v>
      </c>
    </row>
    <row r="1601" spans="1:15" x14ac:dyDescent="0.3">
      <c r="A1601" t="s">
        <v>1237</v>
      </c>
      <c r="B1601" t="s">
        <v>1236</v>
      </c>
      <c r="C1601" t="s">
        <v>74</v>
      </c>
      <c r="D1601">
        <v>62</v>
      </c>
      <c r="E1601" t="s">
        <v>47</v>
      </c>
      <c r="F1601" t="s">
        <v>85</v>
      </c>
      <c r="G1601" s="8">
        <v>46117</v>
      </c>
      <c r="H1601" s="8">
        <v>46142</v>
      </c>
      <c r="I1601" t="s">
        <v>9680</v>
      </c>
      <c r="J1601" t="s">
        <v>1234</v>
      </c>
      <c r="K1601" t="s">
        <v>64</v>
      </c>
      <c r="L1601">
        <v>10268.52</v>
      </c>
      <c r="M1601">
        <v>235</v>
      </c>
      <c r="N1601" t="s">
        <v>71</v>
      </c>
      <c r="O1601" t="s">
        <v>64</v>
      </c>
    </row>
    <row r="1602" spans="1:15" x14ac:dyDescent="0.3">
      <c r="A1602" t="s">
        <v>1233</v>
      </c>
      <c r="B1602" t="s">
        <v>1232</v>
      </c>
      <c r="C1602" t="s">
        <v>74</v>
      </c>
      <c r="D1602">
        <v>11</v>
      </c>
      <c r="E1602" t="s">
        <v>31</v>
      </c>
      <c r="F1602" t="s">
        <v>20</v>
      </c>
      <c r="G1602" s="8">
        <v>46025</v>
      </c>
      <c r="H1602" s="8">
        <v>46030</v>
      </c>
      <c r="I1602" t="s">
        <v>9681</v>
      </c>
      <c r="J1602" t="s">
        <v>1230</v>
      </c>
      <c r="K1602" t="s">
        <v>64</v>
      </c>
      <c r="L1602">
        <v>15844.8</v>
      </c>
      <c r="M1602">
        <v>340</v>
      </c>
      <c r="N1602" t="s">
        <v>71</v>
      </c>
      <c r="O1602" t="s">
        <v>27</v>
      </c>
    </row>
    <row r="1603" spans="1:15" x14ac:dyDescent="0.3">
      <c r="A1603" t="s">
        <v>1225</v>
      </c>
      <c r="B1603" t="s">
        <v>1224</v>
      </c>
      <c r="C1603" t="s">
        <v>74</v>
      </c>
      <c r="D1603">
        <v>8</v>
      </c>
      <c r="E1603" t="s">
        <v>54</v>
      </c>
      <c r="F1603" t="s">
        <v>8077</v>
      </c>
      <c r="G1603" s="8">
        <v>46036</v>
      </c>
      <c r="H1603" s="8">
        <v>46055</v>
      </c>
      <c r="I1603" t="s">
        <v>9682</v>
      </c>
      <c r="J1603" t="s">
        <v>1222</v>
      </c>
      <c r="K1603" t="s">
        <v>123</v>
      </c>
      <c r="L1603">
        <v>4973.3</v>
      </c>
      <c r="M1603">
        <v>276</v>
      </c>
      <c r="N1603" t="s">
        <v>71</v>
      </c>
      <c r="O1603" t="s">
        <v>63</v>
      </c>
    </row>
    <row r="1604" spans="1:15" x14ac:dyDescent="0.3">
      <c r="A1604" t="s">
        <v>1221</v>
      </c>
      <c r="B1604" t="s">
        <v>1220</v>
      </c>
      <c r="C1604" t="s">
        <v>123</v>
      </c>
      <c r="D1604">
        <v>76</v>
      </c>
      <c r="E1604" t="s">
        <v>54</v>
      </c>
      <c r="F1604" t="s">
        <v>30</v>
      </c>
      <c r="G1604" s="8">
        <v>46033</v>
      </c>
      <c r="H1604" s="8">
        <v>46041</v>
      </c>
      <c r="I1604" t="s">
        <v>9683</v>
      </c>
      <c r="J1604" t="s">
        <v>1218</v>
      </c>
      <c r="K1604" t="s">
        <v>64</v>
      </c>
      <c r="L1604">
        <v>15486.34</v>
      </c>
      <c r="M1604">
        <v>461</v>
      </c>
      <c r="N1604" t="s">
        <v>16</v>
      </c>
      <c r="O1604" t="s">
        <v>64</v>
      </c>
    </row>
    <row r="1605" spans="1:15" x14ac:dyDescent="0.3">
      <c r="A1605" t="s">
        <v>1217</v>
      </c>
      <c r="B1605" t="s">
        <v>1216</v>
      </c>
      <c r="C1605" t="s">
        <v>40</v>
      </c>
      <c r="D1605">
        <v>83</v>
      </c>
      <c r="E1605" t="s">
        <v>68</v>
      </c>
      <c r="F1605" t="s">
        <v>46</v>
      </c>
      <c r="G1605" s="8">
        <v>46053</v>
      </c>
      <c r="H1605" s="8">
        <v>46056</v>
      </c>
      <c r="I1605" t="s">
        <v>9684</v>
      </c>
      <c r="J1605" t="s">
        <v>1214</v>
      </c>
      <c r="K1605" t="s">
        <v>123</v>
      </c>
      <c r="L1605">
        <v>14850.29</v>
      </c>
      <c r="M1605">
        <v>453</v>
      </c>
      <c r="N1605" t="s">
        <v>71</v>
      </c>
      <c r="O1605" t="s">
        <v>63</v>
      </c>
    </row>
    <row r="1606" spans="1:15" x14ac:dyDescent="0.3">
      <c r="A1606" t="s">
        <v>1213</v>
      </c>
      <c r="B1606" t="s">
        <v>1212</v>
      </c>
      <c r="C1606" t="s">
        <v>40</v>
      </c>
      <c r="D1606">
        <v>83</v>
      </c>
      <c r="E1606" t="s">
        <v>80</v>
      </c>
      <c r="F1606" t="s">
        <v>8077</v>
      </c>
      <c r="G1606" s="8">
        <v>46054</v>
      </c>
      <c r="H1606" s="8">
        <v>46058</v>
      </c>
      <c r="I1606" t="s">
        <v>9685</v>
      </c>
      <c r="J1606" t="s">
        <v>1210</v>
      </c>
      <c r="K1606" t="s">
        <v>27</v>
      </c>
      <c r="L1606">
        <v>5925.22</v>
      </c>
      <c r="M1606">
        <v>481</v>
      </c>
      <c r="N1606" t="s">
        <v>77</v>
      </c>
      <c r="O1606" t="s">
        <v>57</v>
      </c>
    </row>
    <row r="1607" spans="1:15" x14ac:dyDescent="0.3">
      <c r="A1607" t="s">
        <v>1209</v>
      </c>
      <c r="B1607" t="s">
        <v>8072</v>
      </c>
      <c r="C1607" t="s">
        <v>74</v>
      </c>
      <c r="D1607">
        <v>88</v>
      </c>
      <c r="E1607" t="s">
        <v>54</v>
      </c>
      <c r="F1607" t="s">
        <v>20</v>
      </c>
      <c r="G1607" s="8">
        <v>46022</v>
      </c>
      <c r="H1607" s="8">
        <v>46052</v>
      </c>
      <c r="I1607" t="s">
        <v>9686</v>
      </c>
      <c r="J1607" t="s">
        <v>1206</v>
      </c>
      <c r="K1607" t="s">
        <v>64</v>
      </c>
      <c r="L1607">
        <v>7058.42</v>
      </c>
      <c r="M1607">
        <v>394</v>
      </c>
      <c r="N1607" t="s">
        <v>77</v>
      </c>
      <c r="O1607" t="s">
        <v>64</v>
      </c>
    </row>
    <row r="1608" spans="1:15" x14ac:dyDescent="0.3">
      <c r="A1608" t="s">
        <v>1205</v>
      </c>
      <c r="B1608" t="s">
        <v>8073</v>
      </c>
      <c r="C1608" t="s">
        <v>74</v>
      </c>
      <c r="D1608">
        <v>15</v>
      </c>
      <c r="E1608" t="s">
        <v>47</v>
      </c>
      <c r="F1608" t="s">
        <v>67</v>
      </c>
      <c r="G1608" s="8">
        <v>45989</v>
      </c>
      <c r="H1608" s="8">
        <v>45992</v>
      </c>
      <c r="I1608" t="s">
        <v>9687</v>
      </c>
      <c r="J1608" t="s">
        <v>1202</v>
      </c>
      <c r="K1608" t="s">
        <v>64</v>
      </c>
      <c r="L1608">
        <v>5317.07</v>
      </c>
      <c r="M1608">
        <v>175</v>
      </c>
      <c r="N1608" t="s">
        <v>25</v>
      </c>
      <c r="O1608" t="s">
        <v>26</v>
      </c>
    </row>
    <row r="1609" spans="1:15" x14ac:dyDescent="0.3">
      <c r="A1609" t="s">
        <v>1201</v>
      </c>
      <c r="B1609" t="s">
        <v>1200</v>
      </c>
      <c r="C1609" t="s">
        <v>74</v>
      </c>
      <c r="D1609">
        <v>48</v>
      </c>
      <c r="E1609" t="s">
        <v>31</v>
      </c>
      <c r="F1609" t="s">
        <v>67</v>
      </c>
      <c r="G1609" s="8">
        <v>46113</v>
      </c>
      <c r="H1609" s="8">
        <v>46125</v>
      </c>
      <c r="I1609" t="s">
        <v>9688</v>
      </c>
      <c r="J1609" t="s">
        <v>1198</v>
      </c>
      <c r="K1609" t="s">
        <v>27</v>
      </c>
      <c r="L1609">
        <v>11196.61</v>
      </c>
      <c r="M1609">
        <v>539</v>
      </c>
      <c r="N1609" t="s">
        <v>25</v>
      </c>
      <c r="O1609" t="s">
        <v>57</v>
      </c>
    </row>
    <row r="1610" spans="1:15" x14ac:dyDescent="0.3">
      <c r="A1610" t="s">
        <v>1197</v>
      </c>
      <c r="B1610" t="s">
        <v>1196</v>
      </c>
      <c r="C1610" t="s">
        <v>40</v>
      </c>
      <c r="D1610">
        <v>27</v>
      </c>
      <c r="E1610" t="s">
        <v>54</v>
      </c>
      <c r="F1610" t="s">
        <v>67</v>
      </c>
      <c r="G1610" s="8">
        <v>46047</v>
      </c>
      <c r="H1610" s="8">
        <v>46053</v>
      </c>
      <c r="I1610" t="s">
        <v>9689</v>
      </c>
      <c r="J1610" t="s">
        <v>1194</v>
      </c>
      <c r="K1610" t="s">
        <v>64</v>
      </c>
      <c r="L1610">
        <v>12349.85</v>
      </c>
      <c r="M1610">
        <v>323</v>
      </c>
      <c r="N1610" t="s">
        <v>77</v>
      </c>
      <c r="O1610" t="s">
        <v>63</v>
      </c>
    </row>
    <row r="1611" spans="1:15" x14ac:dyDescent="0.3">
      <c r="A1611" t="s">
        <v>1193</v>
      </c>
      <c r="B1611" t="s">
        <v>1192</v>
      </c>
      <c r="C1611" t="s">
        <v>40</v>
      </c>
      <c r="D1611">
        <v>1</v>
      </c>
      <c r="E1611" t="s">
        <v>54</v>
      </c>
      <c r="F1611" t="s">
        <v>85</v>
      </c>
      <c r="G1611" s="8">
        <v>46075</v>
      </c>
      <c r="H1611" s="8">
        <v>46080</v>
      </c>
      <c r="I1611" t="s">
        <v>9690</v>
      </c>
      <c r="J1611" t="s">
        <v>1190</v>
      </c>
      <c r="K1611" t="s">
        <v>27</v>
      </c>
      <c r="L1611">
        <v>19578.55</v>
      </c>
      <c r="M1611">
        <v>483</v>
      </c>
      <c r="N1611" t="s">
        <v>16</v>
      </c>
      <c r="O1611" t="s">
        <v>27</v>
      </c>
    </row>
    <row r="1612" spans="1:15" x14ac:dyDescent="0.3">
      <c r="A1612" t="s">
        <v>1189</v>
      </c>
      <c r="B1612" t="s">
        <v>1188</v>
      </c>
      <c r="C1612" t="s">
        <v>40</v>
      </c>
      <c r="D1612">
        <v>27</v>
      </c>
      <c r="E1612" t="s">
        <v>54</v>
      </c>
      <c r="F1612" t="s">
        <v>20</v>
      </c>
      <c r="G1612" s="8">
        <v>45992</v>
      </c>
      <c r="H1612" s="8">
        <v>46020</v>
      </c>
      <c r="I1612" t="s">
        <v>9691</v>
      </c>
      <c r="J1612" t="s">
        <v>1186</v>
      </c>
      <c r="K1612" t="s">
        <v>27</v>
      </c>
      <c r="L1612">
        <v>3689.31</v>
      </c>
      <c r="M1612">
        <v>190</v>
      </c>
      <c r="N1612" t="s">
        <v>16</v>
      </c>
      <c r="O1612" t="s">
        <v>63</v>
      </c>
    </row>
    <row r="1613" spans="1:15" x14ac:dyDescent="0.3">
      <c r="A1613" t="s">
        <v>1185</v>
      </c>
      <c r="B1613" t="s">
        <v>1184</v>
      </c>
      <c r="C1613" t="s">
        <v>40</v>
      </c>
      <c r="D1613">
        <v>61</v>
      </c>
      <c r="E1613" t="s">
        <v>80</v>
      </c>
      <c r="F1613" t="s">
        <v>85</v>
      </c>
      <c r="G1613" s="8">
        <v>46017</v>
      </c>
      <c r="H1613" s="8">
        <v>46028</v>
      </c>
      <c r="I1613" t="s">
        <v>9692</v>
      </c>
      <c r="J1613" t="s">
        <v>1182</v>
      </c>
      <c r="K1613" t="s">
        <v>27</v>
      </c>
      <c r="L1613">
        <v>16177.4</v>
      </c>
      <c r="M1613">
        <v>202</v>
      </c>
      <c r="N1613" t="s">
        <v>25</v>
      </c>
      <c r="O1613" t="s">
        <v>123</v>
      </c>
    </row>
    <row r="1614" spans="1:15" x14ac:dyDescent="0.3">
      <c r="A1614" t="s">
        <v>1181</v>
      </c>
      <c r="B1614" t="s">
        <v>1180</v>
      </c>
      <c r="C1614" t="s">
        <v>40</v>
      </c>
      <c r="D1614">
        <v>62</v>
      </c>
      <c r="E1614" t="s">
        <v>54</v>
      </c>
      <c r="F1614" t="s">
        <v>30</v>
      </c>
      <c r="G1614" s="8">
        <v>46022</v>
      </c>
      <c r="H1614" s="8">
        <v>46027</v>
      </c>
      <c r="I1614" t="s">
        <v>9693</v>
      </c>
      <c r="J1614" t="s">
        <v>1178</v>
      </c>
      <c r="K1614" t="s">
        <v>123</v>
      </c>
      <c r="L1614">
        <v>5670.03</v>
      </c>
      <c r="M1614">
        <v>108</v>
      </c>
      <c r="N1614" t="s">
        <v>50</v>
      </c>
      <c r="O1614" t="s">
        <v>26</v>
      </c>
    </row>
    <row r="1615" spans="1:15" x14ac:dyDescent="0.3">
      <c r="A1615" t="s">
        <v>1177</v>
      </c>
      <c r="B1615" t="s">
        <v>1176</v>
      </c>
      <c r="C1615" t="s">
        <v>74</v>
      </c>
      <c r="D1615">
        <v>83</v>
      </c>
      <c r="E1615" t="s">
        <v>68</v>
      </c>
      <c r="F1615" t="s">
        <v>67</v>
      </c>
      <c r="G1615" s="8">
        <v>46028</v>
      </c>
      <c r="H1615" s="8">
        <v>46035</v>
      </c>
      <c r="I1615" t="s">
        <v>9694</v>
      </c>
      <c r="J1615" t="s">
        <v>1174</v>
      </c>
      <c r="K1615" t="s">
        <v>27</v>
      </c>
      <c r="L1615">
        <v>2923.65</v>
      </c>
      <c r="M1615">
        <v>367</v>
      </c>
      <c r="N1615" t="s">
        <v>43</v>
      </c>
      <c r="O1615" t="s">
        <v>17</v>
      </c>
    </row>
    <row r="1616" spans="1:15" x14ac:dyDescent="0.3">
      <c r="A1616" t="s">
        <v>1169</v>
      </c>
      <c r="B1616" t="s">
        <v>1168</v>
      </c>
      <c r="C1616" t="s">
        <v>40</v>
      </c>
      <c r="D1616">
        <v>32</v>
      </c>
      <c r="E1616" t="s">
        <v>39</v>
      </c>
      <c r="F1616" t="s">
        <v>85</v>
      </c>
      <c r="G1616" s="8">
        <v>46047</v>
      </c>
      <c r="H1616" s="8">
        <v>46063</v>
      </c>
      <c r="I1616" t="s">
        <v>9695</v>
      </c>
      <c r="J1616" t="s">
        <v>1166</v>
      </c>
      <c r="K1616" t="s">
        <v>27</v>
      </c>
      <c r="L1616">
        <v>3897.59</v>
      </c>
      <c r="M1616">
        <v>267</v>
      </c>
      <c r="N1616" t="s">
        <v>50</v>
      </c>
      <c r="O1616" t="s">
        <v>27</v>
      </c>
    </row>
    <row r="1617" spans="1:15" x14ac:dyDescent="0.3">
      <c r="A1617" t="s">
        <v>1165</v>
      </c>
      <c r="B1617" t="s">
        <v>1164</v>
      </c>
      <c r="C1617" t="s">
        <v>123</v>
      </c>
      <c r="D1617">
        <v>73</v>
      </c>
      <c r="E1617" t="s">
        <v>31</v>
      </c>
      <c r="F1617" t="s">
        <v>46</v>
      </c>
      <c r="G1617" s="8">
        <v>45986</v>
      </c>
      <c r="H1617" s="8">
        <v>46001</v>
      </c>
      <c r="I1617" t="s">
        <v>9696</v>
      </c>
      <c r="J1617" t="s">
        <v>1162</v>
      </c>
      <c r="K1617" t="s">
        <v>64</v>
      </c>
      <c r="L1617">
        <v>4846.82</v>
      </c>
      <c r="M1617">
        <v>469</v>
      </c>
      <c r="N1617" t="s">
        <v>50</v>
      </c>
      <c r="O1617" t="s">
        <v>63</v>
      </c>
    </row>
    <row r="1618" spans="1:15" x14ac:dyDescent="0.3">
      <c r="A1618" t="s">
        <v>1161</v>
      </c>
      <c r="B1618" t="s">
        <v>1160</v>
      </c>
      <c r="C1618" t="s">
        <v>123</v>
      </c>
      <c r="D1618">
        <v>33</v>
      </c>
      <c r="E1618" t="s">
        <v>132</v>
      </c>
      <c r="F1618" t="s">
        <v>8077</v>
      </c>
      <c r="G1618" s="8">
        <v>46149</v>
      </c>
      <c r="H1618" s="8">
        <v>46169</v>
      </c>
      <c r="I1618" t="s">
        <v>9697</v>
      </c>
      <c r="J1618" t="s">
        <v>1158</v>
      </c>
      <c r="K1618" t="s">
        <v>123</v>
      </c>
      <c r="L1618">
        <v>16811.939999999999</v>
      </c>
      <c r="M1618">
        <v>149</v>
      </c>
      <c r="N1618" t="s">
        <v>16</v>
      </c>
      <c r="O1618" t="s">
        <v>17</v>
      </c>
    </row>
    <row r="1619" spans="1:15" x14ac:dyDescent="0.3">
      <c r="A1619" t="s">
        <v>1157</v>
      </c>
      <c r="B1619" t="s">
        <v>1156</v>
      </c>
      <c r="C1619" t="s">
        <v>123</v>
      </c>
      <c r="D1619">
        <v>80</v>
      </c>
      <c r="E1619" t="s">
        <v>21</v>
      </c>
      <c r="F1619" t="s">
        <v>8077</v>
      </c>
      <c r="G1619" s="8">
        <v>46050</v>
      </c>
      <c r="H1619" s="8">
        <v>46060</v>
      </c>
      <c r="I1619" t="s">
        <v>9698</v>
      </c>
      <c r="J1619" t="s">
        <v>1154</v>
      </c>
      <c r="K1619" t="s">
        <v>27</v>
      </c>
      <c r="L1619">
        <v>21473.35</v>
      </c>
      <c r="M1619">
        <v>341</v>
      </c>
      <c r="N1619" t="s">
        <v>50</v>
      </c>
      <c r="O1619" t="s">
        <v>17</v>
      </c>
    </row>
    <row r="1620" spans="1:15" x14ac:dyDescent="0.3">
      <c r="A1620" t="s">
        <v>1153</v>
      </c>
      <c r="B1620" t="s">
        <v>1152</v>
      </c>
      <c r="C1620" t="s">
        <v>74</v>
      </c>
      <c r="D1620">
        <v>69</v>
      </c>
      <c r="E1620" t="s">
        <v>31</v>
      </c>
      <c r="F1620" t="s">
        <v>85</v>
      </c>
      <c r="G1620" s="8">
        <v>46068</v>
      </c>
      <c r="H1620" s="8">
        <v>46075</v>
      </c>
      <c r="I1620" t="s">
        <v>9699</v>
      </c>
      <c r="J1620" t="s">
        <v>1150</v>
      </c>
      <c r="K1620" t="s">
        <v>123</v>
      </c>
      <c r="L1620">
        <v>23946.04</v>
      </c>
      <c r="M1620">
        <v>453</v>
      </c>
      <c r="N1620" t="s">
        <v>77</v>
      </c>
      <c r="O1620" t="s">
        <v>27</v>
      </c>
    </row>
    <row r="1621" spans="1:15" x14ac:dyDescent="0.3">
      <c r="A1621" t="s">
        <v>1149</v>
      </c>
      <c r="B1621" t="s">
        <v>995</v>
      </c>
      <c r="C1621" t="s">
        <v>74</v>
      </c>
      <c r="D1621">
        <v>73</v>
      </c>
      <c r="E1621" t="s">
        <v>39</v>
      </c>
      <c r="F1621" t="s">
        <v>8077</v>
      </c>
      <c r="G1621" s="8">
        <v>46083</v>
      </c>
      <c r="H1621" s="8">
        <v>46096</v>
      </c>
      <c r="I1621" t="s">
        <v>9700</v>
      </c>
      <c r="J1621" t="s">
        <v>1147</v>
      </c>
      <c r="K1621" t="s">
        <v>27</v>
      </c>
      <c r="L1621">
        <v>5282.99</v>
      </c>
      <c r="M1621">
        <v>373</v>
      </c>
      <c r="N1621" t="s">
        <v>25</v>
      </c>
      <c r="O1621" t="s">
        <v>123</v>
      </c>
    </row>
    <row r="1622" spans="1:15" x14ac:dyDescent="0.3">
      <c r="A1622" t="s">
        <v>1146</v>
      </c>
      <c r="B1622" t="s">
        <v>1145</v>
      </c>
      <c r="C1622" t="s">
        <v>74</v>
      </c>
      <c r="D1622">
        <v>14</v>
      </c>
      <c r="E1622" t="s">
        <v>68</v>
      </c>
      <c r="F1622" t="s">
        <v>20</v>
      </c>
      <c r="G1622" s="8">
        <v>46008</v>
      </c>
      <c r="H1622" s="8">
        <v>46015</v>
      </c>
      <c r="I1622" t="s">
        <v>9701</v>
      </c>
      <c r="J1622" t="s">
        <v>1143</v>
      </c>
      <c r="K1622" t="s">
        <v>64</v>
      </c>
      <c r="L1622">
        <v>5618.07</v>
      </c>
      <c r="M1622">
        <v>118</v>
      </c>
      <c r="N1622" t="s">
        <v>43</v>
      </c>
      <c r="O1622" t="s">
        <v>64</v>
      </c>
    </row>
    <row r="1623" spans="1:15" x14ac:dyDescent="0.3">
      <c r="A1623" t="s">
        <v>1142</v>
      </c>
      <c r="B1623" t="s">
        <v>1141</v>
      </c>
      <c r="C1623" t="s">
        <v>40</v>
      </c>
      <c r="D1623">
        <v>76</v>
      </c>
      <c r="E1623" t="s">
        <v>54</v>
      </c>
      <c r="F1623" t="s">
        <v>20</v>
      </c>
      <c r="G1623" s="8">
        <v>46132</v>
      </c>
      <c r="H1623" s="8">
        <v>46140</v>
      </c>
      <c r="I1623" t="s">
        <v>9702</v>
      </c>
      <c r="J1623" t="s">
        <v>1139</v>
      </c>
      <c r="K1623" t="s">
        <v>123</v>
      </c>
      <c r="L1623">
        <v>22348.95</v>
      </c>
      <c r="M1623">
        <v>274</v>
      </c>
      <c r="N1623" t="s">
        <v>71</v>
      </c>
      <c r="O1623" t="s">
        <v>64</v>
      </c>
    </row>
    <row r="1624" spans="1:15" x14ac:dyDescent="0.3">
      <c r="A1624" t="s">
        <v>1138</v>
      </c>
      <c r="B1624" t="s">
        <v>1137</v>
      </c>
      <c r="C1624" t="s">
        <v>74</v>
      </c>
      <c r="D1624">
        <v>12</v>
      </c>
      <c r="E1624" t="s">
        <v>132</v>
      </c>
      <c r="F1624" t="s">
        <v>8077</v>
      </c>
      <c r="G1624" s="8">
        <v>46097</v>
      </c>
      <c r="H1624" s="8">
        <v>46098</v>
      </c>
      <c r="I1624" t="s">
        <v>9703</v>
      </c>
      <c r="J1624" t="s">
        <v>1135</v>
      </c>
      <c r="K1624" t="s">
        <v>123</v>
      </c>
      <c r="L1624">
        <v>17287.12</v>
      </c>
      <c r="M1624">
        <v>436</v>
      </c>
      <c r="N1624" t="s">
        <v>50</v>
      </c>
      <c r="O1624" t="s">
        <v>26</v>
      </c>
    </row>
    <row r="1625" spans="1:15" x14ac:dyDescent="0.3">
      <c r="A1625" t="s">
        <v>1134</v>
      </c>
      <c r="B1625" t="s">
        <v>1133</v>
      </c>
      <c r="C1625" t="s">
        <v>40</v>
      </c>
      <c r="D1625">
        <v>63</v>
      </c>
      <c r="E1625" t="s">
        <v>21</v>
      </c>
      <c r="F1625" t="s">
        <v>67</v>
      </c>
      <c r="G1625" s="8">
        <v>46031</v>
      </c>
      <c r="H1625" s="8">
        <v>46059</v>
      </c>
      <c r="I1625" t="s">
        <v>9704</v>
      </c>
      <c r="J1625" t="s">
        <v>1131</v>
      </c>
      <c r="K1625" t="s">
        <v>64</v>
      </c>
      <c r="L1625">
        <v>2682.32</v>
      </c>
      <c r="M1625">
        <v>394</v>
      </c>
      <c r="N1625" t="s">
        <v>43</v>
      </c>
      <c r="O1625" t="s">
        <v>57</v>
      </c>
    </row>
    <row r="1626" spans="1:15" x14ac:dyDescent="0.3">
      <c r="A1626" t="s">
        <v>1130</v>
      </c>
      <c r="B1626" t="s">
        <v>1129</v>
      </c>
      <c r="C1626" t="s">
        <v>40</v>
      </c>
      <c r="D1626">
        <v>55</v>
      </c>
      <c r="E1626" t="s">
        <v>31</v>
      </c>
      <c r="F1626" t="s">
        <v>67</v>
      </c>
      <c r="G1626" s="8">
        <v>46026</v>
      </c>
      <c r="H1626" s="8">
        <v>46050</v>
      </c>
      <c r="I1626" t="s">
        <v>9705</v>
      </c>
      <c r="J1626" t="s">
        <v>1127</v>
      </c>
      <c r="K1626" t="s">
        <v>123</v>
      </c>
      <c r="L1626">
        <v>13995.91</v>
      </c>
      <c r="M1626">
        <v>113</v>
      </c>
      <c r="N1626" t="s">
        <v>25</v>
      </c>
      <c r="O1626" t="s">
        <v>26</v>
      </c>
    </row>
    <row r="1627" spans="1:15" x14ac:dyDescent="0.3">
      <c r="A1627" t="s">
        <v>1126</v>
      </c>
      <c r="B1627" t="s">
        <v>1125</v>
      </c>
      <c r="C1627" t="s">
        <v>74</v>
      </c>
      <c r="D1627">
        <v>81</v>
      </c>
      <c r="E1627" t="s">
        <v>47</v>
      </c>
      <c r="F1627" t="s">
        <v>30</v>
      </c>
      <c r="G1627" s="8">
        <v>46047</v>
      </c>
      <c r="H1627" s="8">
        <v>46053</v>
      </c>
      <c r="I1627" t="s">
        <v>9706</v>
      </c>
      <c r="J1627" t="s">
        <v>1123</v>
      </c>
      <c r="K1627" t="s">
        <v>27</v>
      </c>
      <c r="L1627">
        <v>20593.39</v>
      </c>
      <c r="M1627">
        <v>477</v>
      </c>
      <c r="N1627" t="s">
        <v>77</v>
      </c>
      <c r="O1627" t="s">
        <v>57</v>
      </c>
    </row>
    <row r="1628" spans="1:15" x14ac:dyDescent="0.3">
      <c r="A1628" t="s">
        <v>1122</v>
      </c>
      <c r="B1628" t="s">
        <v>1121</v>
      </c>
      <c r="C1628" t="s">
        <v>40</v>
      </c>
      <c r="D1628">
        <v>26</v>
      </c>
      <c r="E1628" t="s">
        <v>21</v>
      </c>
      <c r="F1628" t="s">
        <v>8077</v>
      </c>
      <c r="G1628" s="8">
        <v>46148</v>
      </c>
      <c r="H1628" s="8">
        <v>46152</v>
      </c>
      <c r="I1628" t="s">
        <v>9707</v>
      </c>
      <c r="J1628" t="s">
        <v>1119</v>
      </c>
      <c r="K1628" t="s">
        <v>27</v>
      </c>
      <c r="L1628">
        <v>11629.21</v>
      </c>
      <c r="M1628">
        <v>215</v>
      </c>
      <c r="N1628" t="s">
        <v>34</v>
      </c>
      <c r="O1628" t="s">
        <v>123</v>
      </c>
    </row>
    <row r="1629" spans="1:15" x14ac:dyDescent="0.3">
      <c r="A1629" t="s">
        <v>1118</v>
      </c>
      <c r="B1629" t="s">
        <v>1117</v>
      </c>
      <c r="C1629" t="s">
        <v>40</v>
      </c>
      <c r="D1629">
        <v>5</v>
      </c>
      <c r="E1629" t="s">
        <v>80</v>
      </c>
      <c r="F1629" t="s">
        <v>8077</v>
      </c>
      <c r="G1629" s="8">
        <v>46014</v>
      </c>
      <c r="H1629" s="8">
        <v>46025</v>
      </c>
      <c r="I1629" t="s">
        <v>9708</v>
      </c>
      <c r="J1629" t="s">
        <v>1115</v>
      </c>
      <c r="K1629" t="s">
        <v>27</v>
      </c>
      <c r="L1629">
        <v>20901.71</v>
      </c>
      <c r="M1629">
        <v>178</v>
      </c>
      <c r="N1629" t="s">
        <v>25</v>
      </c>
      <c r="O1629" t="s">
        <v>123</v>
      </c>
    </row>
    <row r="1630" spans="1:15" x14ac:dyDescent="0.3">
      <c r="A1630" t="s">
        <v>1110</v>
      </c>
      <c r="B1630" t="s">
        <v>1109</v>
      </c>
      <c r="C1630" t="s">
        <v>123</v>
      </c>
      <c r="D1630">
        <v>14</v>
      </c>
      <c r="E1630" t="s">
        <v>80</v>
      </c>
      <c r="F1630" t="s">
        <v>20</v>
      </c>
      <c r="G1630" s="8">
        <v>45980</v>
      </c>
      <c r="H1630" s="8">
        <v>45986</v>
      </c>
      <c r="I1630" t="s">
        <v>9709</v>
      </c>
      <c r="J1630" t="s">
        <v>1107</v>
      </c>
      <c r="K1630" t="s">
        <v>64</v>
      </c>
      <c r="L1630">
        <v>4012.74</v>
      </c>
      <c r="M1630">
        <v>322</v>
      </c>
      <c r="N1630" t="s">
        <v>71</v>
      </c>
      <c r="O1630" t="s">
        <v>64</v>
      </c>
    </row>
    <row r="1631" spans="1:15" x14ac:dyDescent="0.3">
      <c r="A1631" t="s">
        <v>1106</v>
      </c>
      <c r="B1631" t="s">
        <v>1105</v>
      </c>
      <c r="C1631" t="s">
        <v>40</v>
      </c>
      <c r="D1631">
        <v>35</v>
      </c>
      <c r="E1631" t="s">
        <v>31</v>
      </c>
      <c r="F1631" t="s">
        <v>85</v>
      </c>
      <c r="G1631" s="8">
        <v>46127</v>
      </c>
      <c r="H1631" s="8">
        <v>46132</v>
      </c>
      <c r="I1631" t="s">
        <v>9710</v>
      </c>
      <c r="J1631" t="s">
        <v>1103</v>
      </c>
      <c r="K1631" t="s">
        <v>64</v>
      </c>
      <c r="L1631">
        <v>23849.73</v>
      </c>
      <c r="M1631">
        <v>188</v>
      </c>
      <c r="N1631" t="s">
        <v>34</v>
      </c>
      <c r="O1631" t="s">
        <v>123</v>
      </c>
    </row>
    <row r="1632" spans="1:15" x14ac:dyDescent="0.3">
      <c r="A1632" t="s">
        <v>1102</v>
      </c>
      <c r="B1632" t="s">
        <v>1101</v>
      </c>
      <c r="C1632" t="s">
        <v>123</v>
      </c>
      <c r="D1632">
        <v>36</v>
      </c>
      <c r="E1632" t="s">
        <v>31</v>
      </c>
      <c r="F1632" t="s">
        <v>30</v>
      </c>
      <c r="G1632" s="8">
        <v>45976</v>
      </c>
      <c r="H1632" s="8">
        <v>45995</v>
      </c>
      <c r="I1632" t="s">
        <v>9711</v>
      </c>
      <c r="J1632" t="s">
        <v>1099</v>
      </c>
      <c r="K1632" t="s">
        <v>64</v>
      </c>
      <c r="L1632">
        <v>23170.09</v>
      </c>
      <c r="M1632">
        <v>200</v>
      </c>
      <c r="N1632" t="s">
        <v>16</v>
      </c>
      <c r="O1632" t="s">
        <v>27</v>
      </c>
    </row>
    <row r="1633" spans="1:15" x14ac:dyDescent="0.3">
      <c r="A1633" t="s">
        <v>1098</v>
      </c>
      <c r="B1633" t="s">
        <v>1097</v>
      </c>
      <c r="C1633" t="s">
        <v>40</v>
      </c>
      <c r="D1633">
        <v>49</v>
      </c>
      <c r="E1633" t="s">
        <v>68</v>
      </c>
      <c r="F1633" t="s">
        <v>20</v>
      </c>
      <c r="G1633" s="8">
        <v>46022</v>
      </c>
      <c r="H1633" s="8">
        <v>46049</v>
      </c>
      <c r="I1633" t="s">
        <v>9712</v>
      </c>
      <c r="J1633" t="s">
        <v>1095</v>
      </c>
      <c r="K1633" t="s">
        <v>64</v>
      </c>
      <c r="L1633">
        <v>19955.72</v>
      </c>
      <c r="M1633">
        <v>127</v>
      </c>
      <c r="N1633" t="s">
        <v>71</v>
      </c>
      <c r="O1633" t="s">
        <v>26</v>
      </c>
    </row>
    <row r="1634" spans="1:15" x14ac:dyDescent="0.3">
      <c r="A1634" t="s">
        <v>1094</v>
      </c>
      <c r="B1634" t="s">
        <v>1093</v>
      </c>
      <c r="C1634" t="s">
        <v>74</v>
      </c>
      <c r="D1634">
        <v>72</v>
      </c>
      <c r="E1634" t="s">
        <v>68</v>
      </c>
      <c r="F1634" t="s">
        <v>67</v>
      </c>
      <c r="G1634" s="8">
        <v>46061</v>
      </c>
      <c r="H1634" s="8">
        <v>46090</v>
      </c>
      <c r="I1634" t="s">
        <v>9713</v>
      </c>
      <c r="J1634" t="s">
        <v>1091</v>
      </c>
      <c r="K1634" t="s">
        <v>27</v>
      </c>
      <c r="L1634">
        <v>1510.23</v>
      </c>
      <c r="M1634">
        <v>375</v>
      </c>
      <c r="N1634" t="s">
        <v>71</v>
      </c>
      <c r="O1634" t="s">
        <v>26</v>
      </c>
    </row>
    <row r="1635" spans="1:15" x14ac:dyDescent="0.3">
      <c r="A1635" t="s">
        <v>1090</v>
      </c>
      <c r="B1635" t="s">
        <v>1089</v>
      </c>
      <c r="C1635" t="s">
        <v>40</v>
      </c>
      <c r="D1635">
        <v>31</v>
      </c>
      <c r="E1635" t="s">
        <v>47</v>
      </c>
      <c r="F1635" t="s">
        <v>20</v>
      </c>
      <c r="G1635" s="8">
        <v>46106</v>
      </c>
      <c r="H1635" s="8">
        <v>46113</v>
      </c>
      <c r="I1635" t="s">
        <v>8230</v>
      </c>
      <c r="J1635" t="s">
        <v>1088</v>
      </c>
      <c r="K1635" t="s">
        <v>64</v>
      </c>
      <c r="L1635">
        <v>8609.98</v>
      </c>
      <c r="M1635">
        <v>232</v>
      </c>
      <c r="N1635" t="s">
        <v>43</v>
      </c>
      <c r="O1635" t="s">
        <v>64</v>
      </c>
    </row>
    <row r="1636" spans="1:15" x14ac:dyDescent="0.3">
      <c r="A1636" t="s">
        <v>1087</v>
      </c>
      <c r="B1636" t="s">
        <v>1086</v>
      </c>
      <c r="C1636" t="s">
        <v>74</v>
      </c>
      <c r="D1636">
        <v>71</v>
      </c>
      <c r="E1636" t="s">
        <v>39</v>
      </c>
      <c r="F1636" t="s">
        <v>20</v>
      </c>
      <c r="G1636" s="8">
        <v>46143</v>
      </c>
      <c r="H1636" s="8">
        <v>46144</v>
      </c>
      <c r="I1636" t="s">
        <v>9714</v>
      </c>
      <c r="J1636" t="s">
        <v>1084</v>
      </c>
      <c r="K1636" t="s">
        <v>123</v>
      </c>
      <c r="L1636">
        <v>12364.61</v>
      </c>
      <c r="M1636">
        <v>171</v>
      </c>
      <c r="N1636" t="s">
        <v>50</v>
      </c>
      <c r="O1636" t="s">
        <v>57</v>
      </c>
    </row>
    <row r="1637" spans="1:15" x14ac:dyDescent="0.3">
      <c r="A1637" t="s">
        <v>1083</v>
      </c>
      <c r="B1637" t="s">
        <v>1082</v>
      </c>
      <c r="C1637" t="s">
        <v>74</v>
      </c>
      <c r="D1637">
        <v>90</v>
      </c>
      <c r="E1637" t="s">
        <v>80</v>
      </c>
      <c r="F1637" t="s">
        <v>20</v>
      </c>
      <c r="G1637" s="8">
        <v>46029</v>
      </c>
      <c r="H1637" s="8">
        <v>46048</v>
      </c>
      <c r="I1637" t="s">
        <v>9715</v>
      </c>
      <c r="J1637" t="s">
        <v>1080</v>
      </c>
      <c r="K1637" t="s">
        <v>123</v>
      </c>
      <c r="L1637">
        <v>1971.59</v>
      </c>
      <c r="M1637">
        <v>477</v>
      </c>
      <c r="N1637" t="s">
        <v>50</v>
      </c>
      <c r="O1637" t="s">
        <v>64</v>
      </c>
    </row>
    <row r="1638" spans="1:15" x14ac:dyDescent="0.3">
      <c r="A1638" t="s">
        <v>1079</v>
      </c>
      <c r="B1638" t="s">
        <v>1078</v>
      </c>
      <c r="C1638" t="s">
        <v>74</v>
      </c>
      <c r="D1638">
        <v>59</v>
      </c>
      <c r="E1638" t="s">
        <v>39</v>
      </c>
      <c r="F1638" t="s">
        <v>30</v>
      </c>
      <c r="G1638" s="8">
        <v>46109</v>
      </c>
      <c r="H1638" s="8">
        <v>46136</v>
      </c>
      <c r="I1638" t="s">
        <v>9716</v>
      </c>
      <c r="J1638" t="s">
        <v>1076</v>
      </c>
      <c r="K1638" t="s">
        <v>64</v>
      </c>
      <c r="L1638">
        <v>943.01</v>
      </c>
      <c r="M1638">
        <v>499</v>
      </c>
      <c r="N1638" t="s">
        <v>77</v>
      </c>
      <c r="O1638" t="s">
        <v>27</v>
      </c>
    </row>
    <row r="1639" spans="1:15" x14ac:dyDescent="0.3">
      <c r="A1639" t="s">
        <v>1075</v>
      </c>
      <c r="B1639" t="s">
        <v>1074</v>
      </c>
      <c r="C1639" t="s">
        <v>40</v>
      </c>
      <c r="D1639">
        <v>4</v>
      </c>
      <c r="E1639" t="s">
        <v>80</v>
      </c>
      <c r="F1639" t="s">
        <v>67</v>
      </c>
      <c r="G1639" s="8">
        <v>45976</v>
      </c>
      <c r="H1639" s="8">
        <v>45981</v>
      </c>
      <c r="I1639" t="s">
        <v>9717</v>
      </c>
      <c r="J1639" t="s">
        <v>1072</v>
      </c>
      <c r="K1639" t="s">
        <v>64</v>
      </c>
      <c r="L1639">
        <v>2249.29</v>
      </c>
      <c r="M1639">
        <v>346</v>
      </c>
      <c r="N1639" t="s">
        <v>50</v>
      </c>
      <c r="O1639" t="s">
        <v>57</v>
      </c>
    </row>
    <row r="1640" spans="1:15" x14ac:dyDescent="0.3">
      <c r="A1640" t="s">
        <v>1071</v>
      </c>
      <c r="B1640" t="s">
        <v>1070</v>
      </c>
      <c r="C1640" t="s">
        <v>74</v>
      </c>
      <c r="D1640">
        <v>57</v>
      </c>
      <c r="E1640" t="s">
        <v>31</v>
      </c>
      <c r="F1640" t="s">
        <v>46</v>
      </c>
      <c r="G1640" s="8">
        <v>45978</v>
      </c>
      <c r="H1640" s="8">
        <v>46003</v>
      </c>
      <c r="I1640" t="s">
        <v>9718</v>
      </c>
      <c r="J1640" t="s">
        <v>1068</v>
      </c>
      <c r="K1640" t="s">
        <v>27</v>
      </c>
      <c r="L1640">
        <v>18036.79</v>
      </c>
      <c r="M1640">
        <v>260</v>
      </c>
      <c r="N1640" t="s">
        <v>16</v>
      </c>
      <c r="O1640" t="s">
        <v>17</v>
      </c>
    </row>
    <row r="1641" spans="1:15" x14ac:dyDescent="0.3">
      <c r="A1641" t="s">
        <v>1067</v>
      </c>
      <c r="B1641" t="s">
        <v>1066</v>
      </c>
      <c r="C1641" t="s">
        <v>74</v>
      </c>
      <c r="D1641">
        <v>65</v>
      </c>
      <c r="E1641" t="s">
        <v>132</v>
      </c>
      <c r="F1641" t="s">
        <v>30</v>
      </c>
      <c r="G1641" s="8">
        <v>46035</v>
      </c>
      <c r="H1641" s="8">
        <v>46043</v>
      </c>
      <c r="I1641" t="s">
        <v>9719</v>
      </c>
      <c r="J1641" t="s">
        <v>1064</v>
      </c>
      <c r="K1641" t="s">
        <v>27</v>
      </c>
      <c r="L1641">
        <v>2309</v>
      </c>
      <c r="M1641">
        <v>407</v>
      </c>
      <c r="N1641" t="s">
        <v>25</v>
      </c>
      <c r="O1641" t="s">
        <v>26</v>
      </c>
    </row>
    <row r="1642" spans="1:15" x14ac:dyDescent="0.3">
      <c r="A1642" t="s">
        <v>1063</v>
      </c>
      <c r="B1642" t="s">
        <v>1062</v>
      </c>
      <c r="C1642" t="s">
        <v>123</v>
      </c>
      <c r="D1642">
        <v>37</v>
      </c>
      <c r="E1642" t="s">
        <v>68</v>
      </c>
      <c r="F1642" t="s">
        <v>20</v>
      </c>
      <c r="G1642" s="8">
        <v>46113</v>
      </c>
      <c r="H1642" s="8">
        <v>46117</v>
      </c>
      <c r="I1642" t="s">
        <v>9720</v>
      </c>
      <c r="J1642" t="s">
        <v>1060</v>
      </c>
      <c r="K1642" t="s">
        <v>27</v>
      </c>
      <c r="L1642">
        <v>20644.05</v>
      </c>
      <c r="M1642">
        <v>356</v>
      </c>
      <c r="N1642" t="s">
        <v>34</v>
      </c>
      <c r="O1642" t="s">
        <v>63</v>
      </c>
    </row>
    <row r="1643" spans="1:15" x14ac:dyDescent="0.3">
      <c r="A1643" t="s">
        <v>1059</v>
      </c>
      <c r="B1643" t="s">
        <v>1058</v>
      </c>
      <c r="C1643" t="s">
        <v>40</v>
      </c>
      <c r="D1643">
        <v>41</v>
      </c>
      <c r="E1643" t="s">
        <v>54</v>
      </c>
      <c r="F1643" t="s">
        <v>85</v>
      </c>
      <c r="G1643" s="8">
        <v>46057</v>
      </c>
      <c r="H1643" s="8">
        <v>46058</v>
      </c>
      <c r="I1643" t="s">
        <v>9721</v>
      </c>
      <c r="J1643" t="s">
        <v>1056</v>
      </c>
      <c r="K1643" t="s">
        <v>123</v>
      </c>
      <c r="L1643">
        <v>11789.36</v>
      </c>
      <c r="M1643">
        <v>406</v>
      </c>
      <c r="N1643" t="s">
        <v>77</v>
      </c>
      <c r="O1643" t="s">
        <v>27</v>
      </c>
    </row>
    <row r="1644" spans="1:15" x14ac:dyDescent="0.3">
      <c r="A1644" t="s">
        <v>1055</v>
      </c>
      <c r="B1644" t="s">
        <v>1054</v>
      </c>
      <c r="C1644" t="s">
        <v>40</v>
      </c>
      <c r="D1644">
        <v>85</v>
      </c>
      <c r="E1644" t="s">
        <v>132</v>
      </c>
      <c r="F1644" t="s">
        <v>8077</v>
      </c>
      <c r="G1644" s="8">
        <v>46142</v>
      </c>
      <c r="H1644" s="8">
        <v>46154</v>
      </c>
      <c r="I1644" t="s">
        <v>9722</v>
      </c>
      <c r="J1644" t="s">
        <v>1052</v>
      </c>
      <c r="K1644" t="s">
        <v>64</v>
      </c>
      <c r="L1644">
        <v>15989.36</v>
      </c>
      <c r="M1644">
        <v>285</v>
      </c>
      <c r="N1644" t="s">
        <v>25</v>
      </c>
      <c r="O1644" t="s">
        <v>64</v>
      </c>
    </row>
    <row r="1645" spans="1:15" x14ac:dyDescent="0.3">
      <c r="A1645" t="s">
        <v>1051</v>
      </c>
      <c r="B1645" t="s">
        <v>1050</v>
      </c>
      <c r="C1645" t="s">
        <v>40</v>
      </c>
      <c r="D1645">
        <v>68</v>
      </c>
      <c r="E1645" t="s">
        <v>39</v>
      </c>
      <c r="F1645" t="s">
        <v>67</v>
      </c>
      <c r="G1645" s="8">
        <v>46010</v>
      </c>
      <c r="H1645" s="8">
        <v>46022</v>
      </c>
      <c r="I1645" t="s">
        <v>9723</v>
      </c>
      <c r="J1645" t="s">
        <v>1048</v>
      </c>
      <c r="K1645" t="s">
        <v>64</v>
      </c>
      <c r="L1645">
        <v>6047.88</v>
      </c>
      <c r="M1645" t="s">
        <v>123</v>
      </c>
      <c r="N1645" t="s">
        <v>43</v>
      </c>
      <c r="O1645" t="s">
        <v>26</v>
      </c>
    </row>
    <row r="1646" spans="1:15" x14ac:dyDescent="0.3">
      <c r="A1646" t="s">
        <v>1047</v>
      </c>
      <c r="B1646" t="s">
        <v>1046</v>
      </c>
      <c r="C1646" t="s">
        <v>74</v>
      </c>
      <c r="D1646">
        <v>42</v>
      </c>
      <c r="E1646" t="s">
        <v>31</v>
      </c>
      <c r="F1646" t="s">
        <v>46</v>
      </c>
      <c r="G1646" s="8">
        <v>46034</v>
      </c>
      <c r="H1646" s="8">
        <v>46045</v>
      </c>
      <c r="I1646" t="s">
        <v>9724</v>
      </c>
      <c r="J1646" t="s">
        <v>1044</v>
      </c>
      <c r="K1646" t="s">
        <v>27</v>
      </c>
      <c r="L1646">
        <v>20575.14</v>
      </c>
      <c r="M1646">
        <v>473</v>
      </c>
      <c r="N1646" t="s">
        <v>77</v>
      </c>
      <c r="O1646" t="s">
        <v>123</v>
      </c>
    </row>
    <row r="1647" spans="1:15" x14ac:dyDescent="0.3">
      <c r="A1647" t="s">
        <v>1043</v>
      </c>
      <c r="B1647" t="s">
        <v>1042</v>
      </c>
      <c r="C1647" t="s">
        <v>40</v>
      </c>
      <c r="D1647">
        <v>81</v>
      </c>
      <c r="E1647" t="s">
        <v>68</v>
      </c>
      <c r="F1647" t="s">
        <v>46</v>
      </c>
      <c r="G1647" s="8">
        <v>46146</v>
      </c>
      <c r="H1647" s="8">
        <v>46159</v>
      </c>
      <c r="I1647" t="s">
        <v>9725</v>
      </c>
      <c r="J1647" t="s">
        <v>1040</v>
      </c>
      <c r="K1647" t="s">
        <v>64</v>
      </c>
      <c r="L1647">
        <v>6161.67</v>
      </c>
      <c r="M1647">
        <v>416</v>
      </c>
      <c r="N1647" t="s">
        <v>43</v>
      </c>
      <c r="O1647" t="s">
        <v>123</v>
      </c>
    </row>
    <row r="1648" spans="1:15" x14ac:dyDescent="0.3">
      <c r="A1648" t="s">
        <v>1039</v>
      </c>
      <c r="B1648" t="s">
        <v>1038</v>
      </c>
      <c r="C1648" t="s">
        <v>40</v>
      </c>
      <c r="D1648">
        <v>80</v>
      </c>
      <c r="E1648" t="s">
        <v>39</v>
      </c>
      <c r="F1648" t="s">
        <v>20</v>
      </c>
      <c r="G1648" s="8">
        <v>46018</v>
      </c>
      <c r="H1648" s="8">
        <v>46020</v>
      </c>
      <c r="I1648" t="s">
        <v>9726</v>
      </c>
      <c r="J1648" t="s">
        <v>1036</v>
      </c>
      <c r="K1648" t="s">
        <v>27</v>
      </c>
      <c r="L1648">
        <v>6841.71</v>
      </c>
      <c r="M1648">
        <v>162</v>
      </c>
      <c r="N1648" t="s">
        <v>50</v>
      </c>
      <c r="O1648" t="s">
        <v>27</v>
      </c>
    </row>
    <row r="1649" spans="1:15" x14ac:dyDescent="0.3">
      <c r="A1649" t="s">
        <v>1035</v>
      </c>
      <c r="B1649" t="s">
        <v>1034</v>
      </c>
      <c r="C1649" t="s">
        <v>123</v>
      </c>
      <c r="D1649">
        <v>33</v>
      </c>
      <c r="E1649" t="s">
        <v>80</v>
      </c>
      <c r="F1649" t="s">
        <v>46</v>
      </c>
      <c r="G1649" s="8">
        <v>46123</v>
      </c>
      <c r="H1649" s="8">
        <v>46131</v>
      </c>
      <c r="I1649" t="s">
        <v>9727</v>
      </c>
      <c r="J1649" t="s">
        <v>1032</v>
      </c>
      <c r="K1649" t="s">
        <v>27</v>
      </c>
      <c r="L1649">
        <v>24061.37</v>
      </c>
      <c r="M1649">
        <v>380</v>
      </c>
      <c r="N1649" t="s">
        <v>16</v>
      </c>
      <c r="O1649" t="s">
        <v>26</v>
      </c>
    </row>
    <row r="1650" spans="1:15" x14ac:dyDescent="0.3">
      <c r="A1650" t="s">
        <v>1031</v>
      </c>
      <c r="B1650" t="s">
        <v>1030</v>
      </c>
      <c r="C1650" t="s">
        <v>123</v>
      </c>
      <c r="D1650">
        <v>32</v>
      </c>
      <c r="E1650" t="s">
        <v>21</v>
      </c>
      <c r="F1650" t="s">
        <v>67</v>
      </c>
      <c r="G1650" s="8">
        <v>46037</v>
      </c>
      <c r="H1650" s="8">
        <v>46059</v>
      </c>
      <c r="I1650" t="s">
        <v>9728</v>
      </c>
      <c r="J1650" t="s">
        <v>1028</v>
      </c>
      <c r="K1650" t="s">
        <v>64</v>
      </c>
      <c r="L1650">
        <v>13302.37</v>
      </c>
      <c r="M1650">
        <v>304</v>
      </c>
      <c r="N1650" t="s">
        <v>43</v>
      </c>
      <c r="O1650" t="s">
        <v>64</v>
      </c>
    </row>
    <row r="1651" spans="1:15" x14ac:dyDescent="0.3">
      <c r="A1651" t="s">
        <v>1027</v>
      </c>
      <c r="B1651" t="s">
        <v>1026</v>
      </c>
      <c r="C1651" t="s">
        <v>74</v>
      </c>
      <c r="D1651">
        <v>20</v>
      </c>
      <c r="E1651" t="s">
        <v>80</v>
      </c>
      <c r="F1651" t="s">
        <v>20</v>
      </c>
      <c r="G1651" s="8">
        <v>46005</v>
      </c>
      <c r="H1651" s="8">
        <v>46027</v>
      </c>
      <c r="I1651" t="s">
        <v>9729</v>
      </c>
      <c r="J1651" t="s">
        <v>1024</v>
      </c>
      <c r="K1651" t="s">
        <v>123</v>
      </c>
      <c r="L1651">
        <v>15553.05</v>
      </c>
      <c r="M1651">
        <v>471</v>
      </c>
      <c r="N1651" t="s">
        <v>71</v>
      </c>
      <c r="O1651" t="s">
        <v>63</v>
      </c>
    </row>
    <row r="1652" spans="1:15" x14ac:dyDescent="0.3">
      <c r="A1652" t="s">
        <v>1019</v>
      </c>
      <c r="B1652" t="s">
        <v>1018</v>
      </c>
      <c r="C1652" t="s">
        <v>123</v>
      </c>
      <c r="D1652">
        <v>28</v>
      </c>
      <c r="E1652" t="s">
        <v>80</v>
      </c>
      <c r="F1652" t="s">
        <v>30</v>
      </c>
      <c r="G1652" s="8">
        <v>46079</v>
      </c>
      <c r="H1652" s="8">
        <v>46109</v>
      </c>
      <c r="I1652" t="s">
        <v>9730</v>
      </c>
      <c r="J1652" t="s">
        <v>1016</v>
      </c>
      <c r="K1652" t="s">
        <v>27</v>
      </c>
      <c r="L1652">
        <v>2237.77</v>
      </c>
      <c r="M1652">
        <v>520</v>
      </c>
      <c r="N1652" t="s">
        <v>16</v>
      </c>
      <c r="O1652" t="s">
        <v>27</v>
      </c>
    </row>
    <row r="1653" spans="1:15" x14ac:dyDescent="0.3">
      <c r="A1653" t="s">
        <v>1015</v>
      </c>
      <c r="B1653" t="s">
        <v>1014</v>
      </c>
      <c r="C1653" t="s">
        <v>40</v>
      </c>
      <c r="D1653">
        <v>81</v>
      </c>
      <c r="E1653" t="s">
        <v>54</v>
      </c>
      <c r="F1653" t="s">
        <v>20</v>
      </c>
      <c r="G1653" s="8">
        <v>45993</v>
      </c>
      <c r="H1653" s="8">
        <v>46004</v>
      </c>
      <c r="I1653" t="s">
        <v>9731</v>
      </c>
      <c r="J1653" t="s">
        <v>1012</v>
      </c>
      <c r="K1653" t="s">
        <v>64</v>
      </c>
      <c r="L1653">
        <v>18989.919999999998</v>
      </c>
      <c r="M1653">
        <v>195</v>
      </c>
      <c r="N1653" t="s">
        <v>16</v>
      </c>
      <c r="O1653" t="s">
        <v>27</v>
      </c>
    </row>
    <row r="1654" spans="1:15" x14ac:dyDescent="0.3">
      <c r="A1654" t="s">
        <v>1011</v>
      </c>
      <c r="B1654" t="s">
        <v>1010</v>
      </c>
      <c r="C1654" t="s">
        <v>74</v>
      </c>
      <c r="D1654">
        <v>87</v>
      </c>
      <c r="E1654" t="s">
        <v>31</v>
      </c>
      <c r="F1654" t="s">
        <v>67</v>
      </c>
      <c r="G1654" s="8">
        <v>46119</v>
      </c>
      <c r="H1654" s="8">
        <v>46136</v>
      </c>
      <c r="I1654" t="s">
        <v>9732</v>
      </c>
      <c r="J1654" t="s">
        <v>123</v>
      </c>
      <c r="K1654" t="s">
        <v>27</v>
      </c>
      <c r="L1654">
        <v>-500</v>
      </c>
      <c r="M1654">
        <v>442</v>
      </c>
      <c r="N1654" t="s">
        <v>77</v>
      </c>
      <c r="O1654" t="s">
        <v>27</v>
      </c>
    </row>
    <row r="1655" spans="1:15" x14ac:dyDescent="0.3">
      <c r="A1655" t="s">
        <v>1008</v>
      </c>
      <c r="B1655" t="s">
        <v>1007</v>
      </c>
      <c r="C1655" t="s">
        <v>123</v>
      </c>
      <c r="D1655">
        <v>49</v>
      </c>
      <c r="E1655" t="s">
        <v>132</v>
      </c>
      <c r="F1655" t="s">
        <v>67</v>
      </c>
      <c r="G1655" s="8">
        <v>46019</v>
      </c>
      <c r="H1655" s="8">
        <v>46044</v>
      </c>
      <c r="I1655" t="s">
        <v>9733</v>
      </c>
      <c r="J1655" t="s">
        <v>1005</v>
      </c>
      <c r="K1655" t="s">
        <v>27</v>
      </c>
      <c r="L1655">
        <v>21604.49</v>
      </c>
      <c r="M1655">
        <v>495</v>
      </c>
      <c r="N1655" t="s">
        <v>71</v>
      </c>
      <c r="O1655" t="s">
        <v>27</v>
      </c>
    </row>
    <row r="1656" spans="1:15" x14ac:dyDescent="0.3">
      <c r="A1656" t="s">
        <v>1004</v>
      </c>
      <c r="B1656" t="s">
        <v>1003</v>
      </c>
      <c r="C1656" t="s">
        <v>74</v>
      </c>
      <c r="D1656">
        <v>48</v>
      </c>
      <c r="E1656" t="s">
        <v>21</v>
      </c>
      <c r="F1656" t="s">
        <v>20</v>
      </c>
      <c r="G1656" s="8">
        <v>46035</v>
      </c>
      <c r="H1656" s="8">
        <v>46061</v>
      </c>
      <c r="I1656" t="s">
        <v>9734</v>
      </c>
      <c r="J1656" t="s">
        <v>1001</v>
      </c>
      <c r="K1656" t="s">
        <v>27</v>
      </c>
      <c r="L1656">
        <v>8422.4699999999993</v>
      </c>
      <c r="M1656">
        <v>338</v>
      </c>
      <c r="N1656" t="s">
        <v>34</v>
      </c>
      <c r="O1656" t="s">
        <v>26</v>
      </c>
    </row>
    <row r="1657" spans="1:15" x14ac:dyDescent="0.3">
      <c r="A1657" t="s">
        <v>1000</v>
      </c>
      <c r="B1657" t="s">
        <v>999</v>
      </c>
      <c r="C1657" t="s">
        <v>40</v>
      </c>
      <c r="D1657">
        <v>87</v>
      </c>
      <c r="E1657" t="s">
        <v>31</v>
      </c>
      <c r="F1657" t="s">
        <v>46</v>
      </c>
      <c r="G1657" s="8">
        <v>46066</v>
      </c>
      <c r="H1657" s="8">
        <v>46075</v>
      </c>
      <c r="I1657" t="s">
        <v>9735</v>
      </c>
      <c r="J1657" t="s">
        <v>997</v>
      </c>
      <c r="K1657" t="s">
        <v>27</v>
      </c>
      <c r="L1657">
        <v>24829.53</v>
      </c>
      <c r="M1657">
        <v>222</v>
      </c>
      <c r="N1657" t="s">
        <v>71</v>
      </c>
      <c r="O1657" t="s">
        <v>63</v>
      </c>
    </row>
    <row r="1658" spans="1:15" x14ac:dyDescent="0.3">
      <c r="A1658" t="s">
        <v>996</v>
      </c>
      <c r="B1658" t="s">
        <v>995</v>
      </c>
      <c r="C1658" t="s">
        <v>74</v>
      </c>
      <c r="D1658">
        <v>27</v>
      </c>
      <c r="E1658" t="s">
        <v>31</v>
      </c>
      <c r="F1658" t="s">
        <v>8077</v>
      </c>
      <c r="G1658" s="8">
        <v>46095</v>
      </c>
      <c r="H1658" s="8">
        <v>46121</v>
      </c>
      <c r="I1658" t="s">
        <v>9736</v>
      </c>
      <c r="J1658" t="s">
        <v>993</v>
      </c>
      <c r="K1658" t="s">
        <v>27</v>
      </c>
      <c r="L1658">
        <v>14760.61</v>
      </c>
      <c r="M1658">
        <v>302</v>
      </c>
      <c r="N1658" t="s">
        <v>25</v>
      </c>
      <c r="O1658" t="s">
        <v>64</v>
      </c>
    </row>
    <row r="1659" spans="1:15" x14ac:dyDescent="0.3">
      <c r="A1659" t="s">
        <v>992</v>
      </c>
      <c r="B1659" t="s">
        <v>991</v>
      </c>
      <c r="C1659" t="s">
        <v>74</v>
      </c>
      <c r="D1659">
        <v>19</v>
      </c>
      <c r="E1659" t="s">
        <v>80</v>
      </c>
      <c r="F1659" t="s">
        <v>20</v>
      </c>
      <c r="G1659" s="8">
        <v>46035</v>
      </c>
      <c r="H1659" s="8">
        <v>46038</v>
      </c>
      <c r="I1659" t="s">
        <v>9737</v>
      </c>
      <c r="J1659" t="s">
        <v>989</v>
      </c>
      <c r="K1659" t="s">
        <v>123</v>
      </c>
      <c r="L1659">
        <v>13250.04</v>
      </c>
      <c r="M1659">
        <v>378</v>
      </c>
      <c r="N1659" t="s">
        <v>77</v>
      </c>
      <c r="O1659" t="s">
        <v>64</v>
      </c>
    </row>
    <row r="1660" spans="1:15" x14ac:dyDescent="0.3">
      <c r="A1660" t="s">
        <v>988</v>
      </c>
      <c r="B1660" t="s">
        <v>987</v>
      </c>
      <c r="C1660" t="s">
        <v>74</v>
      </c>
      <c r="D1660">
        <v>31</v>
      </c>
      <c r="E1660" t="s">
        <v>80</v>
      </c>
      <c r="F1660" t="s">
        <v>8077</v>
      </c>
      <c r="G1660" s="8">
        <v>45975</v>
      </c>
      <c r="H1660" s="8">
        <v>45990</v>
      </c>
      <c r="I1660" t="s">
        <v>9738</v>
      </c>
      <c r="J1660" t="s">
        <v>985</v>
      </c>
      <c r="K1660" t="s">
        <v>64</v>
      </c>
      <c r="L1660">
        <v>3540.73</v>
      </c>
      <c r="M1660">
        <v>215</v>
      </c>
      <c r="N1660" t="s">
        <v>77</v>
      </c>
      <c r="O1660" t="s">
        <v>17</v>
      </c>
    </row>
    <row r="1661" spans="1:15" x14ac:dyDescent="0.3">
      <c r="A1661" t="s">
        <v>984</v>
      </c>
      <c r="B1661" t="s">
        <v>983</v>
      </c>
      <c r="C1661" t="s">
        <v>123</v>
      </c>
      <c r="D1661">
        <v>5</v>
      </c>
      <c r="E1661" t="s">
        <v>80</v>
      </c>
      <c r="F1661" t="s">
        <v>20</v>
      </c>
      <c r="G1661" s="8">
        <v>46149</v>
      </c>
      <c r="H1661" s="8">
        <v>46178</v>
      </c>
      <c r="I1661" t="s">
        <v>9739</v>
      </c>
      <c r="J1661" t="s">
        <v>981</v>
      </c>
      <c r="K1661" t="s">
        <v>123</v>
      </c>
      <c r="L1661">
        <v>19008.28</v>
      </c>
      <c r="M1661">
        <v>299</v>
      </c>
      <c r="N1661" t="s">
        <v>77</v>
      </c>
      <c r="O1661" t="s">
        <v>17</v>
      </c>
    </row>
    <row r="1662" spans="1:15" x14ac:dyDescent="0.3">
      <c r="A1662" t="s">
        <v>976</v>
      </c>
      <c r="B1662" t="s">
        <v>975</v>
      </c>
      <c r="C1662" t="s">
        <v>74</v>
      </c>
      <c r="D1662">
        <v>43</v>
      </c>
      <c r="E1662" t="s">
        <v>54</v>
      </c>
      <c r="F1662" t="s">
        <v>20</v>
      </c>
      <c r="G1662" s="8">
        <v>46060</v>
      </c>
      <c r="H1662" s="8">
        <v>46077</v>
      </c>
      <c r="I1662" t="s">
        <v>9740</v>
      </c>
      <c r="J1662" t="s">
        <v>973</v>
      </c>
      <c r="K1662" t="s">
        <v>27</v>
      </c>
      <c r="L1662">
        <v>20972.400000000001</v>
      </c>
      <c r="M1662">
        <v>225</v>
      </c>
      <c r="N1662" t="s">
        <v>25</v>
      </c>
      <c r="O1662" t="s">
        <v>27</v>
      </c>
    </row>
    <row r="1663" spans="1:15" x14ac:dyDescent="0.3">
      <c r="A1663" t="s">
        <v>972</v>
      </c>
      <c r="B1663" t="s">
        <v>971</v>
      </c>
      <c r="C1663" t="s">
        <v>123</v>
      </c>
      <c r="D1663">
        <v>43</v>
      </c>
      <c r="E1663" t="s">
        <v>68</v>
      </c>
      <c r="F1663" t="s">
        <v>85</v>
      </c>
      <c r="G1663" s="8">
        <v>46029</v>
      </c>
      <c r="H1663" s="8">
        <v>46037</v>
      </c>
      <c r="I1663" t="s">
        <v>9741</v>
      </c>
      <c r="J1663" t="s">
        <v>969</v>
      </c>
      <c r="K1663" t="s">
        <v>27</v>
      </c>
      <c r="L1663">
        <v>20611.41</v>
      </c>
      <c r="M1663">
        <v>471</v>
      </c>
      <c r="N1663" t="s">
        <v>16</v>
      </c>
      <c r="O1663" t="s">
        <v>64</v>
      </c>
    </row>
    <row r="1664" spans="1:15" x14ac:dyDescent="0.3">
      <c r="A1664" t="s">
        <v>968</v>
      </c>
      <c r="B1664" t="s">
        <v>967</v>
      </c>
      <c r="C1664" t="s">
        <v>40</v>
      </c>
      <c r="D1664">
        <v>80</v>
      </c>
      <c r="E1664" t="s">
        <v>21</v>
      </c>
      <c r="F1664" t="s">
        <v>67</v>
      </c>
      <c r="G1664" s="8">
        <v>45977</v>
      </c>
      <c r="H1664" s="8">
        <v>45988</v>
      </c>
      <c r="I1664" t="s">
        <v>9742</v>
      </c>
      <c r="J1664" t="s">
        <v>965</v>
      </c>
      <c r="K1664" t="s">
        <v>64</v>
      </c>
      <c r="L1664">
        <v>3521.37</v>
      </c>
      <c r="M1664">
        <v>139</v>
      </c>
      <c r="N1664" t="s">
        <v>43</v>
      </c>
      <c r="O1664" t="s">
        <v>27</v>
      </c>
    </row>
    <row r="1665" spans="1:15" x14ac:dyDescent="0.3">
      <c r="A1665" t="s">
        <v>964</v>
      </c>
      <c r="B1665" t="s">
        <v>963</v>
      </c>
      <c r="C1665" t="s">
        <v>74</v>
      </c>
      <c r="D1665">
        <v>16</v>
      </c>
      <c r="E1665" t="s">
        <v>132</v>
      </c>
      <c r="F1665" t="s">
        <v>20</v>
      </c>
      <c r="G1665" s="8">
        <v>45989</v>
      </c>
      <c r="H1665" s="8">
        <v>46006</v>
      </c>
      <c r="I1665" t="s">
        <v>9743</v>
      </c>
      <c r="J1665" t="s">
        <v>961</v>
      </c>
      <c r="K1665" t="s">
        <v>27</v>
      </c>
      <c r="L1665">
        <v>5800.93</v>
      </c>
      <c r="M1665">
        <v>371</v>
      </c>
      <c r="N1665" t="s">
        <v>16</v>
      </c>
      <c r="O1665" t="s">
        <v>123</v>
      </c>
    </row>
    <row r="1666" spans="1:15" x14ac:dyDescent="0.3">
      <c r="A1666" t="s">
        <v>960</v>
      </c>
      <c r="B1666" t="s">
        <v>959</v>
      </c>
      <c r="C1666" t="s">
        <v>74</v>
      </c>
      <c r="D1666">
        <v>4</v>
      </c>
      <c r="E1666" t="s">
        <v>39</v>
      </c>
      <c r="F1666" t="s">
        <v>67</v>
      </c>
      <c r="G1666" s="8">
        <v>46022</v>
      </c>
      <c r="H1666" s="8">
        <v>46028</v>
      </c>
      <c r="I1666" t="s">
        <v>9744</v>
      </c>
      <c r="J1666" t="s">
        <v>957</v>
      </c>
      <c r="K1666" t="s">
        <v>27</v>
      </c>
      <c r="L1666">
        <v>20410.669999999998</v>
      </c>
      <c r="M1666">
        <v>210</v>
      </c>
      <c r="N1666" t="s">
        <v>34</v>
      </c>
      <c r="O1666" t="s">
        <v>26</v>
      </c>
    </row>
    <row r="1667" spans="1:15" x14ac:dyDescent="0.3">
      <c r="A1667" t="s">
        <v>956</v>
      </c>
      <c r="B1667" t="s">
        <v>955</v>
      </c>
      <c r="C1667" t="s">
        <v>40</v>
      </c>
      <c r="D1667">
        <v>10</v>
      </c>
      <c r="E1667" t="s">
        <v>21</v>
      </c>
      <c r="F1667" t="s">
        <v>85</v>
      </c>
      <c r="G1667" s="8">
        <v>45992</v>
      </c>
      <c r="H1667" s="8">
        <v>46000</v>
      </c>
      <c r="I1667" t="s">
        <v>9745</v>
      </c>
      <c r="J1667" t="s">
        <v>953</v>
      </c>
      <c r="K1667" t="s">
        <v>64</v>
      </c>
      <c r="L1667">
        <v>8574.83</v>
      </c>
      <c r="M1667">
        <v>147</v>
      </c>
      <c r="N1667" t="s">
        <v>43</v>
      </c>
      <c r="O1667" t="s">
        <v>64</v>
      </c>
    </row>
    <row r="1668" spans="1:15" x14ac:dyDescent="0.3">
      <c r="A1668" t="s">
        <v>952</v>
      </c>
      <c r="B1668" t="s">
        <v>951</v>
      </c>
      <c r="C1668" t="s">
        <v>40</v>
      </c>
      <c r="D1668">
        <v>90</v>
      </c>
      <c r="E1668" t="s">
        <v>132</v>
      </c>
      <c r="F1668" t="s">
        <v>20</v>
      </c>
      <c r="G1668" s="8">
        <v>46054</v>
      </c>
      <c r="H1668" s="8">
        <v>46070</v>
      </c>
      <c r="I1668" t="s">
        <v>9746</v>
      </c>
      <c r="J1668" t="s">
        <v>949</v>
      </c>
      <c r="K1668" t="s">
        <v>123</v>
      </c>
      <c r="L1668">
        <v>23528.560000000001</v>
      </c>
      <c r="M1668">
        <v>524</v>
      </c>
      <c r="N1668" t="s">
        <v>43</v>
      </c>
      <c r="O1668" t="s">
        <v>27</v>
      </c>
    </row>
    <row r="1669" spans="1:15" x14ac:dyDescent="0.3">
      <c r="A1669" t="s">
        <v>948</v>
      </c>
      <c r="B1669" t="s">
        <v>947</v>
      </c>
      <c r="C1669" t="s">
        <v>40</v>
      </c>
      <c r="D1669">
        <v>44</v>
      </c>
      <c r="E1669" t="s">
        <v>21</v>
      </c>
      <c r="F1669" t="s">
        <v>85</v>
      </c>
      <c r="G1669" s="8">
        <v>45984</v>
      </c>
      <c r="H1669" s="8">
        <v>46013</v>
      </c>
      <c r="I1669" t="s">
        <v>9747</v>
      </c>
      <c r="J1669" t="s">
        <v>945</v>
      </c>
      <c r="K1669" t="s">
        <v>123</v>
      </c>
      <c r="L1669">
        <v>10831</v>
      </c>
      <c r="M1669">
        <v>365</v>
      </c>
      <c r="N1669" t="s">
        <v>25</v>
      </c>
      <c r="O1669" t="s">
        <v>27</v>
      </c>
    </row>
    <row r="1670" spans="1:15" x14ac:dyDescent="0.3">
      <c r="A1670" t="s">
        <v>944</v>
      </c>
      <c r="B1670" t="s">
        <v>943</v>
      </c>
      <c r="C1670" t="s">
        <v>74</v>
      </c>
      <c r="D1670">
        <v>15</v>
      </c>
      <c r="E1670" t="s">
        <v>39</v>
      </c>
      <c r="F1670" t="s">
        <v>67</v>
      </c>
      <c r="G1670" s="8">
        <v>46115</v>
      </c>
      <c r="H1670" s="8">
        <v>46139</v>
      </c>
      <c r="I1670" t="s">
        <v>9748</v>
      </c>
      <c r="J1670" t="s">
        <v>941</v>
      </c>
      <c r="K1670" t="s">
        <v>27</v>
      </c>
      <c r="L1670">
        <v>23483.360000000001</v>
      </c>
      <c r="M1670">
        <v>547</v>
      </c>
      <c r="N1670" t="s">
        <v>77</v>
      </c>
      <c r="O1670" t="s">
        <v>57</v>
      </c>
    </row>
    <row r="1671" spans="1:15" x14ac:dyDescent="0.3">
      <c r="A1671" t="s">
        <v>940</v>
      </c>
      <c r="B1671" t="s">
        <v>939</v>
      </c>
      <c r="C1671" t="s">
        <v>74</v>
      </c>
      <c r="D1671">
        <v>47</v>
      </c>
      <c r="E1671" t="s">
        <v>54</v>
      </c>
      <c r="F1671" t="s">
        <v>67</v>
      </c>
      <c r="G1671" s="8">
        <v>46029</v>
      </c>
      <c r="H1671" s="8">
        <v>46057</v>
      </c>
      <c r="I1671" t="s">
        <v>9749</v>
      </c>
      <c r="J1671" t="s">
        <v>937</v>
      </c>
      <c r="K1671" t="s">
        <v>64</v>
      </c>
      <c r="L1671">
        <v>20490.669999999998</v>
      </c>
      <c r="M1671">
        <v>297</v>
      </c>
      <c r="N1671" t="s">
        <v>71</v>
      </c>
      <c r="O1671" t="s">
        <v>27</v>
      </c>
    </row>
    <row r="1672" spans="1:15" x14ac:dyDescent="0.3">
      <c r="A1672" t="s">
        <v>936</v>
      </c>
      <c r="B1672" t="s">
        <v>935</v>
      </c>
      <c r="C1672" t="s">
        <v>123</v>
      </c>
      <c r="D1672">
        <v>10</v>
      </c>
      <c r="E1672" t="s">
        <v>31</v>
      </c>
      <c r="F1672" t="s">
        <v>8077</v>
      </c>
      <c r="G1672" s="8">
        <v>46145</v>
      </c>
      <c r="H1672" s="8">
        <v>46148</v>
      </c>
      <c r="I1672" t="s">
        <v>9750</v>
      </c>
      <c r="J1672" t="s">
        <v>933</v>
      </c>
      <c r="K1672" t="s">
        <v>27</v>
      </c>
      <c r="L1672">
        <v>19236.349999999999</v>
      </c>
      <c r="M1672">
        <v>274</v>
      </c>
      <c r="N1672" t="s">
        <v>43</v>
      </c>
      <c r="O1672" t="s">
        <v>63</v>
      </c>
    </row>
    <row r="1673" spans="1:15" x14ac:dyDescent="0.3">
      <c r="A1673" t="s">
        <v>932</v>
      </c>
      <c r="B1673" t="s">
        <v>931</v>
      </c>
      <c r="C1673" t="s">
        <v>40</v>
      </c>
      <c r="D1673">
        <v>56</v>
      </c>
      <c r="E1673" t="s">
        <v>39</v>
      </c>
      <c r="F1673" t="s">
        <v>67</v>
      </c>
      <c r="G1673" s="8">
        <v>46129</v>
      </c>
      <c r="H1673" s="8">
        <v>46147</v>
      </c>
      <c r="I1673" t="s">
        <v>9751</v>
      </c>
      <c r="J1673" t="s">
        <v>929</v>
      </c>
      <c r="K1673" t="s">
        <v>64</v>
      </c>
      <c r="L1673">
        <v>12237.58</v>
      </c>
      <c r="M1673">
        <v>317</v>
      </c>
      <c r="N1673" t="s">
        <v>50</v>
      </c>
      <c r="O1673" t="s">
        <v>123</v>
      </c>
    </row>
    <row r="1674" spans="1:15" x14ac:dyDescent="0.3">
      <c r="A1674" t="s">
        <v>928</v>
      </c>
      <c r="B1674" t="s">
        <v>927</v>
      </c>
      <c r="C1674" t="s">
        <v>40</v>
      </c>
      <c r="D1674">
        <v>80</v>
      </c>
      <c r="E1674" t="s">
        <v>21</v>
      </c>
      <c r="F1674" t="s">
        <v>30</v>
      </c>
      <c r="G1674" s="8">
        <v>46060</v>
      </c>
      <c r="H1674" s="8">
        <v>46069</v>
      </c>
      <c r="I1674" t="s">
        <v>9752</v>
      </c>
      <c r="J1674" t="s">
        <v>925</v>
      </c>
      <c r="K1674" t="s">
        <v>27</v>
      </c>
      <c r="L1674">
        <v>3072.55</v>
      </c>
      <c r="M1674">
        <v>383</v>
      </c>
      <c r="N1674" t="s">
        <v>77</v>
      </c>
      <c r="O1674" t="s">
        <v>63</v>
      </c>
    </row>
    <row r="1675" spans="1:15" x14ac:dyDescent="0.3">
      <c r="A1675" t="s">
        <v>924</v>
      </c>
      <c r="B1675" t="s">
        <v>923</v>
      </c>
      <c r="C1675" t="s">
        <v>123</v>
      </c>
      <c r="D1675">
        <v>25</v>
      </c>
      <c r="E1675" t="s">
        <v>31</v>
      </c>
      <c r="F1675" t="s">
        <v>30</v>
      </c>
      <c r="G1675" s="8">
        <v>45985</v>
      </c>
      <c r="H1675" s="8">
        <v>45992</v>
      </c>
      <c r="I1675" t="s">
        <v>9753</v>
      </c>
      <c r="J1675" t="s">
        <v>921</v>
      </c>
      <c r="K1675" t="s">
        <v>123</v>
      </c>
      <c r="L1675">
        <v>21598.28</v>
      </c>
      <c r="M1675">
        <v>308</v>
      </c>
      <c r="N1675" t="s">
        <v>77</v>
      </c>
      <c r="O1675" t="s">
        <v>26</v>
      </c>
    </row>
    <row r="1676" spans="1:15" x14ac:dyDescent="0.3">
      <c r="A1676" t="s">
        <v>920</v>
      </c>
      <c r="B1676" t="s">
        <v>919</v>
      </c>
      <c r="C1676" t="s">
        <v>74</v>
      </c>
      <c r="D1676">
        <v>30</v>
      </c>
      <c r="E1676" t="s">
        <v>31</v>
      </c>
      <c r="F1676" t="s">
        <v>20</v>
      </c>
      <c r="G1676" s="8">
        <v>46099</v>
      </c>
      <c r="H1676" s="8">
        <v>46100</v>
      </c>
      <c r="I1676" t="s">
        <v>9754</v>
      </c>
      <c r="J1676" t="s">
        <v>917</v>
      </c>
      <c r="K1676" t="s">
        <v>64</v>
      </c>
      <c r="L1676">
        <v>16742.240000000002</v>
      </c>
      <c r="M1676">
        <v>453</v>
      </c>
      <c r="N1676" t="s">
        <v>25</v>
      </c>
      <c r="O1676" t="s">
        <v>123</v>
      </c>
    </row>
    <row r="1677" spans="1:15" x14ac:dyDescent="0.3">
      <c r="A1677" t="s">
        <v>916</v>
      </c>
      <c r="B1677" t="s">
        <v>915</v>
      </c>
      <c r="C1677" t="s">
        <v>40</v>
      </c>
      <c r="D1677">
        <v>78</v>
      </c>
      <c r="E1677" t="s">
        <v>47</v>
      </c>
      <c r="F1677" t="s">
        <v>67</v>
      </c>
      <c r="G1677" s="8">
        <v>46079</v>
      </c>
      <c r="H1677" s="8">
        <v>46097</v>
      </c>
      <c r="I1677" t="s">
        <v>9755</v>
      </c>
      <c r="J1677" t="s">
        <v>913</v>
      </c>
      <c r="K1677" t="s">
        <v>64</v>
      </c>
      <c r="L1677">
        <v>20121.509999999998</v>
      </c>
      <c r="M1677">
        <v>393</v>
      </c>
      <c r="N1677" t="s">
        <v>71</v>
      </c>
      <c r="O1677" t="s">
        <v>63</v>
      </c>
    </row>
    <row r="1678" spans="1:15" x14ac:dyDescent="0.3">
      <c r="A1678" t="s">
        <v>912</v>
      </c>
      <c r="B1678" t="s">
        <v>911</v>
      </c>
      <c r="C1678" t="s">
        <v>40</v>
      </c>
      <c r="D1678">
        <v>58</v>
      </c>
      <c r="E1678" t="s">
        <v>132</v>
      </c>
      <c r="F1678" t="s">
        <v>20</v>
      </c>
      <c r="G1678" s="8">
        <v>46002</v>
      </c>
      <c r="H1678" s="8">
        <v>46014</v>
      </c>
      <c r="I1678" t="s">
        <v>9756</v>
      </c>
      <c r="J1678" t="s">
        <v>909</v>
      </c>
      <c r="K1678" t="s">
        <v>123</v>
      </c>
      <c r="L1678">
        <v>19212.39</v>
      </c>
      <c r="M1678">
        <v>545</v>
      </c>
      <c r="N1678" t="s">
        <v>50</v>
      </c>
      <c r="O1678" t="s">
        <v>123</v>
      </c>
    </row>
    <row r="1679" spans="1:15" x14ac:dyDescent="0.3">
      <c r="A1679" t="s">
        <v>908</v>
      </c>
      <c r="B1679" t="s">
        <v>907</v>
      </c>
      <c r="C1679" t="s">
        <v>40</v>
      </c>
      <c r="D1679">
        <v>71</v>
      </c>
      <c r="E1679" t="s">
        <v>68</v>
      </c>
      <c r="F1679" t="s">
        <v>20</v>
      </c>
      <c r="G1679" s="8">
        <v>46049</v>
      </c>
      <c r="H1679" s="8">
        <v>46077</v>
      </c>
      <c r="I1679" t="s">
        <v>9757</v>
      </c>
      <c r="J1679" t="s">
        <v>905</v>
      </c>
      <c r="K1679" t="s">
        <v>27</v>
      </c>
      <c r="L1679">
        <v>3800.49</v>
      </c>
      <c r="M1679">
        <v>396</v>
      </c>
      <c r="N1679" t="s">
        <v>16</v>
      </c>
      <c r="O1679" t="s">
        <v>17</v>
      </c>
    </row>
    <row r="1680" spans="1:15" x14ac:dyDescent="0.3">
      <c r="A1680" t="s">
        <v>904</v>
      </c>
      <c r="B1680" t="s">
        <v>903</v>
      </c>
      <c r="C1680" t="s">
        <v>74</v>
      </c>
      <c r="D1680">
        <v>19</v>
      </c>
      <c r="E1680" t="s">
        <v>31</v>
      </c>
      <c r="F1680" t="s">
        <v>20</v>
      </c>
      <c r="G1680" s="8">
        <v>46143</v>
      </c>
      <c r="H1680" s="8">
        <v>46152</v>
      </c>
      <c r="I1680" t="s">
        <v>9758</v>
      </c>
      <c r="J1680" t="s">
        <v>901</v>
      </c>
      <c r="K1680" t="s">
        <v>27</v>
      </c>
      <c r="L1680">
        <v>19353.03</v>
      </c>
      <c r="M1680">
        <v>391</v>
      </c>
      <c r="N1680" t="s">
        <v>34</v>
      </c>
      <c r="O1680" t="s">
        <v>63</v>
      </c>
    </row>
    <row r="1681" spans="1:15" x14ac:dyDescent="0.3">
      <c r="A1681" t="s">
        <v>900</v>
      </c>
      <c r="B1681" t="s">
        <v>899</v>
      </c>
      <c r="C1681" t="s">
        <v>74</v>
      </c>
      <c r="D1681">
        <v>23</v>
      </c>
      <c r="E1681" t="s">
        <v>21</v>
      </c>
      <c r="F1681" t="s">
        <v>20</v>
      </c>
      <c r="G1681" s="8">
        <v>46094</v>
      </c>
      <c r="H1681" s="8">
        <v>46099</v>
      </c>
      <c r="I1681" t="s">
        <v>9759</v>
      </c>
      <c r="J1681" t="s">
        <v>897</v>
      </c>
      <c r="K1681" t="s">
        <v>64</v>
      </c>
      <c r="L1681">
        <v>7501.91</v>
      </c>
      <c r="M1681">
        <v>497</v>
      </c>
      <c r="N1681" t="s">
        <v>16</v>
      </c>
      <c r="O1681" t="s">
        <v>26</v>
      </c>
    </row>
    <row r="1682" spans="1:15" x14ac:dyDescent="0.3">
      <c r="A1682" t="s">
        <v>896</v>
      </c>
      <c r="B1682" t="s">
        <v>895</v>
      </c>
      <c r="C1682" t="s">
        <v>123</v>
      </c>
      <c r="D1682">
        <v>73</v>
      </c>
      <c r="E1682" t="s">
        <v>47</v>
      </c>
      <c r="F1682" t="s">
        <v>67</v>
      </c>
      <c r="G1682" s="8">
        <v>46093</v>
      </c>
      <c r="H1682" s="8">
        <v>46112</v>
      </c>
      <c r="I1682" t="s">
        <v>9760</v>
      </c>
      <c r="J1682" t="s">
        <v>893</v>
      </c>
      <c r="K1682" t="s">
        <v>27</v>
      </c>
      <c r="L1682">
        <v>24752.560000000001</v>
      </c>
      <c r="M1682">
        <v>179</v>
      </c>
      <c r="N1682" t="s">
        <v>16</v>
      </c>
      <c r="O1682" t="s">
        <v>123</v>
      </c>
    </row>
    <row r="1683" spans="1:15" x14ac:dyDescent="0.3">
      <c r="A1683" t="s">
        <v>892</v>
      </c>
      <c r="B1683" t="s">
        <v>891</v>
      </c>
      <c r="C1683" t="s">
        <v>74</v>
      </c>
      <c r="D1683">
        <v>59</v>
      </c>
      <c r="E1683" t="s">
        <v>54</v>
      </c>
      <c r="F1683" t="s">
        <v>46</v>
      </c>
      <c r="G1683" s="8">
        <v>46062</v>
      </c>
      <c r="H1683" s="8">
        <v>46082</v>
      </c>
      <c r="I1683" t="s">
        <v>9761</v>
      </c>
      <c r="J1683" t="s">
        <v>889</v>
      </c>
      <c r="K1683" t="s">
        <v>123</v>
      </c>
      <c r="L1683">
        <v>4513.08</v>
      </c>
      <c r="M1683">
        <v>258</v>
      </c>
      <c r="N1683" t="s">
        <v>34</v>
      </c>
      <c r="O1683" t="s">
        <v>57</v>
      </c>
    </row>
    <row r="1684" spans="1:15" x14ac:dyDescent="0.3">
      <c r="A1684" t="s">
        <v>888</v>
      </c>
      <c r="B1684" t="s">
        <v>887</v>
      </c>
      <c r="C1684" t="s">
        <v>74</v>
      </c>
      <c r="D1684">
        <v>67</v>
      </c>
      <c r="E1684" t="s">
        <v>21</v>
      </c>
      <c r="F1684" t="s">
        <v>67</v>
      </c>
      <c r="G1684" s="8">
        <v>46096</v>
      </c>
      <c r="H1684" s="8">
        <v>46117</v>
      </c>
      <c r="I1684" t="s">
        <v>9762</v>
      </c>
      <c r="J1684" t="s">
        <v>885</v>
      </c>
      <c r="K1684" t="s">
        <v>64</v>
      </c>
      <c r="L1684">
        <v>16324.7</v>
      </c>
      <c r="M1684">
        <v>436</v>
      </c>
      <c r="N1684" t="s">
        <v>34</v>
      </c>
      <c r="O1684" t="s">
        <v>26</v>
      </c>
    </row>
    <row r="1685" spans="1:15" x14ac:dyDescent="0.3">
      <c r="A1685" t="s">
        <v>884</v>
      </c>
      <c r="B1685" t="s">
        <v>883</v>
      </c>
      <c r="C1685" t="s">
        <v>40</v>
      </c>
      <c r="D1685">
        <v>37</v>
      </c>
      <c r="E1685" t="s">
        <v>47</v>
      </c>
      <c r="F1685" t="s">
        <v>67</v>
      </c>
      <c r="G1685" s="8">
        <v>45984</v>
      </c>
      <c r="H1685" s="8">
        <v>46014</v>
      </c>
      <c r="I1685" t="s">
        <v>9763</v>
      </c>
      <c r="J1685" t="s">
        <v>881</v>
      </c>
      <c r="K1685" t="s">
        <v>123</v>
      </c>
      <c r="L1685">
        <v>22204.61</v>
      </c>
      <c r="M1685">
        <v>172</v>
      </c>
      <c r="N1685" t="s">
        <v>25</v>
      </c>
      <c r="O1685" t="s">
        <v>64</v>
      </c>
    </row>
    <row r="1686" spans="1:15" x14ac:dyDescent="0.3">
      <c r="A1686" t="s">
        <v>880</v>
      </c>
      <c r="B1686" t="s">
        <v>879</v>
      </c>
      <c r="C1686" t="s">
        <v>123</v>
      </c>
      <c r="D1686">
        <v>44</v>
      </c>
      <c r="E1686" t="s">
        <v>47</v>
      </c>
      <c r="F1686" t="s">
        <v>20</v>
      </c>
      <c r="G1686" s="8">
        <v>46002</v>
      </c>
      <c r="H1686" s="8">
        <v>46014</v>
      </c>
      <c r="I1686" t="s">
        <v>9764</v>
      </c>
      <c r="J1686" t="s">
        <v>877</v>
      </c>
      <c r="K1686" t="s">
        <v>64</v>
      </c>
      <c r="L1686">
        <v>13703.61</v>
      </c>
      <c r="M1686">
        <v>322</v>
      </c>
      <c r="N1686" t="s">
        <v>25</v>
      </c>
      <c r="O1686" t="s">
        <v>26</v>
      </c>
    </row>
    <row r="1687" spans="1:15" x14ac:dyDescent="0.3">
      <c r="A1687" t="s">
        <v>876</v>
      </c>
      <c r="B1687" t="s">
        <v>875</v>
      </c>
      <c r="C1687" t="s">
        <v>40</v>
      </c>
      <c r="D1687">
        <v>12</v>
      </c>
      <c r="E1687" t="s">
        <v>54</v>
      </c>
      <c r="F1687" t="s">
        <v>67</v>
      </c>
      <c r="G1687" s="8">
        <v>46054</v>
      </c>
      <c r="H1687" s="8">
        <v>46065</v>
      </c>
      <c r="I1687" t="s">
        <v>9765</v>
      </c>
      <c r="J1687" t="s">
        <v>873</v>
      </c>
      <c r="K1687" t="s">
        <v>123</v>
      </c>
      <c r="L1687">
        <v>15832.75</v>
      </c>
      <c r="M1687">
        <v>107</v>
      </c>
      <c r="N1687" t="s">
        <v>34</v>
      </c>
      <c r="O1687" t="s">
        <v>57</v>
      </c>
    </row>
    <row r="1688" spans="1:15" x14ac:dyDescent="0.3">
      <c r="A1688" t="s">
        <v>872</v>
      </c>
      <c r="B1688" t="s">
        <v>871</v>
      </c>
      <c r="C1688" t="s">
        <v>123</v>
      </c>
      <c r="D1688">
        <v>55</v>
      </c>
      <c r="E1688" t="s">
        <v>80</v>
      </c>
      <c r="F1688" t="s">
        <v>20</v>
      </c>
      <c r="G1688" s="8">
        <v>46124</v>
      </c>
      <c r="H1688" s="8">
        <v>46148</v>
      </c>
      <c r="I1688" t="s">
        <v>9766</v>
      </c>
      <c r="J1688" t="s">
        <v>869</v>
      </c>
      <c r="K1688" t="s">
        <v>64</v>
      </c>
      <c r="L1688">
        <v>20219.37</v>
      </c>
      <c r="M1688">
        <v>392</v>
      </c>
      <c r="N1688" t="s">
        <v>43</v>
      </c>
      <c r="O1688" t="s">
        <v>17</v>
      </c>
    </row>
    <row r="1689" spans="1:15" x14ac:dyDescent="0.3">
      <c r="A1689" t="s">
        <v>868</v>
      </c>
      <c r="B1689" t="s">
        <v>867</v>
      </c>
      <c r="C1689" t="s">
        <v>74</v>
      </c>
      <c r="D1689">
        <v>33</v>
      </c>
      <c r="E1689" t="s">
        <v>21</v>
      </c>
      <c r="F1689" t="s">
        <v>30</v>
      </c>
      <c r="G1689" s="8">
        <v>46021</v>
      </c>
      <c r="H1689" s="8">
        <v>46033</v>
      </c>
      <c r="I1689" t="s">
        <v>9767</v>
      </c>
      <c r="J1689" t="s">
        <v>865</v>
      </c>
      <c r="K1689" t="s">
        <v>27</v>
      </c>
      <c r="L1689">
        <v>6166.9</v>
      </c>
      <c r="M1689">
        <v>535</v>
      </c>
      <c r="N1689" t="s">
        <v>34</v>
      </c>
      <c r="O1689" t="s">
        <v>63</v>
      </c>
    </row>
    <row r="1690" spans="1:15" x14ac:dyDescent="0.3">
      <c r="A1690" t="s">
        <v>864</v>
      </c>
      <c r="B1690" t="s">
        <v>863</v>
      </c>
      <c r="C1690" t="s">
        <v>40</v>
      </c>
      <c r="D1690">
        <v>81</v>
      </c>
      <c r="E1690" t="s">
        <v>47</v>
      </c>
      <c r="F1690" t="s">
        <v>46</v>
      </c>
      <c r="G1690" s="8">
        <v>46137</v>
      </c>
      <c r="H1690" s="8">
        <v>46163</v>
      </c>
      <c r="I1690" t="s">
        <v>9768</v>
      </c>
      <c r="J1690" t="s">
        <v>861</v>
      </c>
      <c r="K1690" t="s">
        <v>27</v>
      </c>
      <c r="L1690">
        <v>12064.75</v>
      </c>
      <c r="M1690">
        <v>100</v>
      </c>
      <c r="N1690" t="s">
        <v>77</v>
      </c>
      <c r="O1690" t="s">
        <v>57</v>
      </c>
    </row>
    <row r="1691" spans="1:15" x14ac:dyDescent="0.3">
      <c r="A1691" t="s">
        <v>860</v>
      </c>
      <c r="B1691" t="s">
        <v>859</v>
      </c>
      <c r="C1691" t="s">
        <v>123</v>
      </c>
      <c r="D1691">
        <v>77</v>
      </c>
      <c r="E1691" t="s">
        <v>54</v>
      </c>
      <c r="F1691" t="s">
        <v>67</v>
      </c>
      <c r="G1691" s="8">
        <v>46034</v>
      </c>
      <c r="H1691" s="8">
        <v>46036</v>
      </c>
      <c r="I1691" t="s">
        <v>9769</v>
      </c>
      <c r="J1691" t="s">
        <v>857</v>
      </c>
      <c r="K1691" t="s">
        <v>27</v>
      </c>
      <c r="L1691">
        <v>3096.24</v>
      </c>
      <c r="M1691">
        <v>357</v>
      </c>
      <c r="N1691" t="s">
        <v>71</v>
      </c>
      <c r="O1691" t="s">
        <v>123</v>
      </c>
    </row>
    <row r="1692" spans="1:15" x14ac:dyDescent="0.3">
      <c r="A1692" t="s">
        <v>856</v>
      </c>
      <c r="B1692" t="s">
        <v>855</v>
      </c>
      <c r="C1692" t="s">
        <v>74</v>
      </c>
      <c r="D1692">
        <v>11</v>
      </c>
      <c r="E1692" t="s">
        <v>21</v>
      </c>
      <c r="F1692" t="s">
        <v>67</v>
      </c>
      <c r="G1692" s="8">
        <v>46095</v>
      </c>
      <c r="H1692" s="8">
        <v>46121</v>
      </c>
      <c r="I1692" t="s">
        <v>9770</v>
      </c>
      <c r="J1692" t="s">
        <v>853</v>
      </c>
      <c r="K1692" t="s">
        <v>27</v>
      </c>
      <c r="L1692">
        <v>1388.32</v>
      </c>
      <c r="M1692">
        <v>292</v>
      </c>
      <c r="N1692" t="s">
        <v>34</v>
      </c>
      <c r="O1692" t="s">
        <v>64</v>
      </c>
    </row>
    <row r="1693" spans="1:15" x14ac:dyDescent="0.3">
      <c r="A1693" t="s">
        <v>852</v>
      </c>
      <c r="B1693" t="s">
        <v>8074</v>
      </c>
      <c r="C1693" t="s">
        <v>40</v>
      </c>
      <c r="D1693">
        <v>79</v>
      </c>
      <c r="E1693" t="s">
        <v>850</v>
      </c>
      <c r="F1693" t="s">
        <v>20</v>
      </c>
      <c r="G1693" s="8">
        <v>46117</v>
      </c>
      <c r="H1693" s="8">
        <v>46126</v>
      </c>
      <c r="I1693" t="s">
        <v>9771</v>
      </c>
      <c r="J1693" t="s">
        <v>848</v>
      </c>
      <c r="K1693" t="s">
        <v>64</v>
      </c>
      <c r="L1693">
        <v>21474.35</v>
      </c>
      <c r="M1693">
        <v>127</v>
      </c>
      <c r="N1693" t="s">
        <v>16</v>
      </c>
      <c r="O1693" t="s">
        <v>17</v>
      </c>
    </row>
    <row r="1694" spans="1:15" x14ac:dyDescent="0.3">
      <c r="A1694" t="s">
        <v>847</v>
      </c>
      <c r="B1694" t="s">
        <v>846</v>
      </c>
      <c r="C1694" t="s">
        <v>123</v>
      </c>
      <c r="D1694">
        <v>23</v>
      </c>
      <c r="E1694" t="s">
        <v>21</v>
      </c>
      <c r="F1694" t="s">
        <v>85</v>
      </c>
      <c r="G1694" s="8">
        <v>45995</v>
      </c>
      <c r="H1694" s="8">
        <v>46015</v>
      </c>
      <c r="I1694" t="s">
        <v>9772</v>
      </c>
      <c r="J1694" t="s">
        <v>844</v>
      </c>
      <c r="K1694" t="s">
        <v>123</v>
      </c>
      <c r="L1694">
        <v>15749.05</v>
      </c>
      <c r="M1694">
        <v>473</v>
      </c>
      <c r="N1694" t="s">
        <v>43</v>
      </c>
      <c r="O1694" t="s">
        <v>27</v>
      </c>
    </row>
    <row r="1695" spans="1:15" x14ac:dyDescent="0.3">
      <c r="A1695" t="s">
        <v>839</v>
      </c>
      <c r="B1695" t="s">
        <v>838</v>
      </c>
      <c r="C1695" t="s">
        <v>40</v>
      </c>
      <c r="D1695">
        <v>58</v>
      </c>
      <c r="E1695" t="s">
        <v>39</v>
      </c>
      <c r="F1695" t="s">
        <v>67</v>
      </c>
      <c r="G1695" s="8">
        <v>46006</v>
      </c>
      <c r="H1695" s="8">
        <v>46030</v>
      </c>
      <c r="I1695" t="s">
        <v>9773</v>
      </c>
      <c r="J1695" t="s">
        <v>836</v>
      </c>
      <c r="K1695" t="s">
        <v>123</v>
      </c>
      <c r="L1695">
        <v>16850.560000000001</v>
      </c>
      <c r="M1695">
        <v>276</v>
      </c>
      <c r="N1695" t="s">
        <v>77</v>
      </c>
      <c r="O1695" t="s">
        <v>26</v>
      </c>
    </row>
    <row r="1696" spans="1:15" x14ac:dyDescent="0.3">
      <c r="A1696" t="s">
        <v>835</v>
      </c>
      <c r="B1696" t="s">
        <v>834</v>
      </c>
      <c r="C1696" t="s">
        <v>74</v>
      </c>
      <c r="D1696">
        <v>63</v>
      </c>
      <c r="E1696" t="s">
        <v>68</v>
      </c>
      <c r="F1696" t="s">
        <v>67</v>
      </c>
      <c r="G1696" s="8">
        <v>46039</v>
      </c>
      <c r="H1696" s="8">
        <v>46068</v>
      </c>
      <c r="I1696" t="s">
        <v>9774</v>
      </c>
      <c r="J1696" t="s">
        <v>832</v>
      </c>
      <c r="K1696" t="s">
        <v>27</v>
      </c>
      <c r="L1696">
        <v>24553.16</v>
      </c>
      <c r="M1696">
        <v>493</v>
      </c>
      <c r="N1696" t="s">
        <v>50</v>
      </c>
      <c r="O1696" t="s">
        <v>64</v>
      </c>
    </row>
    <row r="1697" spans="1:15" x14ac:dyDescent="0.3">
      <c r="A1697" t="s">
        <v>831</v>
      </c>
      <c r="B1697" t="s">
        <v>830</v>
      </c>
      <c r="C1697" t="s">
        <v>40</v>
      </c>
      <c r="D1697">
        <v>3</v>
      </c>
      <c r="E1697" t="s">
        <v>54</v>
      </c>
      <c r="F1697" t="s">
        <v>30</v>
      </c>
      <c r="G1697" s="8">
        <v>45990</v>
      </c>
      <c r="H1697" s="8">
        <v>45992</v>
      </c>
      <c r="I1697" t="s">
        <v>9775</v>
      </c>
      <c r="J1697" t="s">
        <v>828</v>
      </c>
      <c r="K1697" t="s">
        <v>64</v>
      </c>
      <c r="L1697">
        <v>5121.29</v>
      </c>
      <c r="M1697">
        <v>218</v>
      </c>
      <c r="N1697" t="s">
        <v>77</v>
      </c>
      <c r="O1697" t="s">
        <v>123</v>
      </c>
    </row>
    <row r="1698" spans="1:15" x14ac:dyDescent="0.3">
      <c r="A1698" t="s">
        <v>827</v>
      </c>
      <c r="B1698" t="s">
        <v>826</v>
      </c>
      <c r="C1698" t="s">
        <v>40</v>
      </c>
      <c r="D1698">
        <v>41</v>
      </c>
      <c r="E1698" t="s">
        <v>31</v>
      </c>
      <c r="F1698" t="s">
        <v>20</v>
      </c>
      <c r="G1698" s="8">
        <v>46023</v>
      </c>
      <c r="H1698" s="8">
        <v>46029</v>
      </c>
      <c r="I1698" t="s">
        <v>9776</v>
      </c>
      <c r="J1698" t="s">
        <v>824</v>
      </c>
      <c r="K1698" t="s">
        <v>64</v>
      </c>
      <c r="L1698">
        <v>22912.32</v>
      </c>
      <c r="M1698">
        <v>155</v>
      </c>
      <c r="N1698" t="s">
        <v>16</v>
      </c>
      <c r="O1698" t="s">
        <v>123</v>
      </c>
    </row>
    <row r="1699" spans="1:15" x14ac:dyDescent="0.3">
      <c r="A1699" t="s">
        <v>823</v>
      </c>
      <c r="B1699" t="s">
        <v>822</v>
      </c>
      <c r="C1699" t="s">
        <v>74</v>
      </c>
      <c r="D1699">
        <v>60</v>
      </c>
      <c r="E1699" t="s">
        <v>47</v>
      </c>
      <c r="F1699" t="s">
        <v>8077</v>
      </c>
      <c r="G1699" s="8">
        <v>46097</v>
      </c>
      <c r="H1699" s="8">
        <v>46124</v>
      </c>
      <c r="I1699" t="s">
        <v>9777</v>
      </c>
      <c r="J1699" t="s">
        <v>820</v>
      </c>
      <c r="K1699" t="s">
        <v>27</v>
      </c>
      <c r="L1699">
        <v>17015.21</v>
      </c>
      <c r="M1699">
        <v>408</v>
      </c>
      <c r="N1699" t="s">
        <v>71</v>
      </c>
      <c r="O1699" t="s">
        <v>64</v>
      </c>
    </row>
    <row r="1700" spans="1:15" x14ac:dyDescent="0.3">
      <c r="A1700" t="s">
        <v>819</v>
      </c>
      <c r="B1700" t="s">
        <v>818</v>
      </c>
      <c r="C1700" t="s">
        <v>40</v>
      </c>
      <c r="D1700">
        <v>49</v>
      </c>
      <c r="E1700" t="s">
        <v>80</v>
      </c>
      <c r="F1700" t="s">
        <v>8077</v>
      </c>
      <c r="G1700" s="8">
        <v>46102</v>
      </c>
      <c r="H1700" s="8">
        <v>46126</v>
      </c>
      <c r="I1700" t="s">
        <v>9778</v>
      </c>
      <c r="J1700" t="s">
        <v>816</v>
      </c>
      <c r="K1700" t="s">
        <v>123</v>
      </c>
      <c r="L1700">
        <v>6101.73</v>
      </c>
      <c r="M1700">
        <v>167</v>
      </c>
      <c r="N1700" t="s">
        <v>16</v>
      </c>
      <c r="O1700" t="s">
        <v>17</v>
      </c>
    </row>
    <row r="1701" spans="1:15" x14ac:dyDescent="0.3">
      <c r="A1701" t="s">
        <v>815</v>
      </c>
      <c r="B1701" t="s">
        <v>814</v>
      </c>
      <c r="C1701" t="s">
        <v>123</v>
      </c>
      <c r="D1701">
        <v>70</v>
      </c>
      <c r="E1701" t="s">
        <v>31</v>
      </c>
      <c r="F1701" t="s">
        <v>67</v>
      </c>
      <c r="G1701" s="8">
        <v>46041</v>
      </c>
      <c r="H1701" s="8">
        <v>46044</v>
      </c>
      <c r="I1701" t="s">
        <v>9779</v>
      </c>
      <c r="J1701" t="s">
        <v>812</v>
      </c>
      <c r="K1701" t="s">
        <v>64</v>
      </c>
      <c r="L1701">
        <v>5612.69</v>
      </c>
      <c r="M1701">
        <v>441</v>
      </c>
      <c r="N1701" t="s">
        <v>34</v>
      </c>
      <c r="O1701" t="s">
        <v>64</v>
      </c>
    </row>
    <row r="1702" spans="1:15" x14ac:dyDescent="0.3">
      <c r="A1702" t="s">
        <v>811</v>
      </c>
      <c r="B1702" t="s">
        <v>810</v>
      </c>
      <c r="C1702" t="s">
        <v>40</v>
      </c>
      <c r="D1702">
        <v>40</v>
      </c>
      <c r="E1702" t="s">
        <v>132</v>
      </c>
      <c r="F1702" t="s">
        <v>46</v>
      </c>
      <c r="G1702" s="8">
        <v>46000</v>
      </c>
      <c r="H1702" s="8">
        <v>46023</v>
      </c>
      <c r="I1702" t="s">
        <v>9780</v>
      </c>
      <c r="J1702" t="s">
        <v>808</v>
      </c>
      <c r="K1702" t="s">
        <v>27</v>
      </c>
      <c r="L1702">
        <v>21641.040000000001</v>
      </c>
      <c r="M1702">
        <v>124</v>
      </c>
      <c r="N1702" t="s">
        <v>71</v>
      </c>
      <c r="O1702" t="s">
        <v>17</v>
      </c>
    </row>
    <row r="1703" spans="1:15" x14ac:dyDescent="0.3">
      <c r="A1703" t="s">
        <v>807</v>
      </c>
      <c r="B1703" t="s">
        <v>806</v>
      </c>
      <c r="C1703" t="s">
        <v>123</v>
      </c>
      <c r="D1703">
        <v>38</v>
      </c>
      <c r="E1703" t="s">
        <v>47</v>
      </c>
      <c r="F1703" t="s">
        <v>20</v>
      </c>
      <c r="G1703" s="8">
        <v>46118</v>
      </c>
      <c r="H1703" s="8">
        <v>46131</v>
      </c>
      <c r="I1703" t="s">
        <v>9781</v>
      </c>
      <c r="J1703" t="s">
        <v>804</v>
      </c>
      <c r="K1703" t="s">
        <v>27</v>
      </c>
      <c r="L1703">
        <v>7262.06</v>
      </c>
      <c r="M1703">
        <v>221</v>
      </c>
      <c r="N1703" t="s">
        <v>16</v>
      </c>
      <c r="O1703" t="s">
        <v>27</v>
      </c>
    </row>
    <row r="1704" spans="1:15" x14ac:dyDescent="0.3">
      <c r="A1704" t="s">
        <v>803</v>
      </c>
      <c r="B1704" t="s">
        <v>802</v>
      </c>
      <c r="C1704" t="s">
        <v>74</v>
      </c>
      <c r="D1704">
        <v>88</v>
      </c>
      <c r="E1704" t="s">
        <v>132</v>
      </c>
      <c r="F1704" t="s">
        <v>20</v>
      </c>
      <c r="G1704" s="8">
        <v>46117</v>
      </c>
      <c r="H1704" s="8">
        <v>46129</v>
      </c>
      <c r="I1704" t="s">
        <v>9782</v>
      </c>
      <c r="J1704" t="s">
        <v>800</v>
      </c>
      <c r="K1704" t="s">
        <v>123</v>
      </c>
      <c r="L1704">
        <v>13447.71</v>
      </c>
      <c r="M1704">
        <v>337</v>
      </c>
      <c r="N1704" t="s">
        <v>25</v>
      </c>
      <c r="O1704" t="s">
        <v>26</v>
      </c>
    </row>
    <row r="1705" spans="1:15" x14ac:dyDescent="0.3">
      <c r="A1705" t="s">
        <v>799</v>
      </c>
      <c r="B1705" t="s">
        <v>798</v>
      </c>
      <c r="C1705" t="s">
        <v>123</v>
      </c>
      <c r="D1705">
        <v>86</v>
      </c>
      <c r="E1705" t="s">
        <v>39</v>
      </c>
      <c r="F1705" t="s">
        <v>20</v>
      </c>
      <c r="G1705" s="8">
        <v>46097</v>
      </c>
      <c r="H1705" s="8">
        <v>46099</v>
      </c>
      <c r="I1705" t="s">
        <v>9783</v>
      </c>
      <c r="J1705" t="s">
        <v>796</v>
      </c>
      <c r="K1705" t="s">
        <v>27</v>
      </c>
      <c r="L1705">
        <v>20882.150000000001</v>
      </c>
      <c r="M1705">
        <v>549</v>
      </c>
      <c r="N1705" t="s">
        <v>16</v>
      </c>
      <c r="O1705" t="s">
        <v>64</v>
      </c>
    </row>
    <row r="1706" spans="1:15" x14ac:dyDescent="0.3">
      <c r="A1706" t="s">
        <v>795</v>
      </c>
      <c r="B1706" t="s">
        <v>794</v>
      </c>
      <c r="C1706" t="s">
        <v>40</v>
      </c>
      <c r="D1706">
        <v>14</v>
      </c>
      <c r="E1706" t="s">
        <v>21</v>
      </c>
      <c r="F1706" t="s">
        <v>30</v>
      </c>
      <c r="G1706" s="8">
        <v>46112</v>
      </c>
      <c r="H1706" s="8">
        <v>46128</v>
      </c>
      <c r="I1706" t="s">
        <v>9784</v>
      </c>
      <c r="J1706" t="s">
        <v>792</v>
      </c>
      <c r="K1706" t="s">
        <v>123</v>
      </c>
      <c r="L1706">
        <v>4456.17</v>
      </c>
      <c r="M1706">
        <v>476</v>
      </c>
      <c r="N1706" t="s">
        <v>50</v>
      </c>
      <c r="O1706" t="s">
        <v>17</v>
      </c>
    </row>
    <row r="1707" spans="1:15" x14ac:dyDescent="0.3">
      <c r="A1707" t="s">
        <v>791</v>
      </c>
      <c r="B1707" t="s">
        <v>790</v>
      </c>
      <c r="C1707" t="s">
        <v>123</v>
      </c>
      <c r="D1707">
        <v>88</v>
      </c>
      <c r="E1707" t="s">
        <v>68</v>
      </c>
      <c r="F1707" t="s">
        <v>8077</v>
      </c>
      <c r="G1707" s="8">
        <v>45981</v>
      </c>
      <c r="H1707" s="8">
        <v>46005</v>
      </c>
      <c r="I1707" t="s">
        <v>9785</v>
      </c>
      <c r="J1707" t="s">
        <v>788</v>
      </c>
      <c r="K1707" t="s">
        <v>123</v>
      </c>
      <c r="L1707">
        <v>21691.27</v>
      </c>
      <c r="M1707">
        <v>547</v>
      </c>
      <c r="N1707" t="s">
        <v>50</v>
      </c>
      <c r="O1707" t="s">
        <v>57</v>
      </c>
    </row>
    <row r="1708" spans="1:15" x14ac:dyDescent="0.3">
      <c r="A1708" t="s">
        <v>787</v>
      </c>
      <c r="B1708" t="s">
        <v>786</v>
      </c>
      <c r="C1708" t="s">
        <v>74</v>
      </c>
      <c r="D1708">
        <v>15</v>
      </c>
      <c r="E1708" t="s">
        <v>39</v>
      </c>
      <c r="F1708" t="s">
        <v>67</v>
      </c>
      <c r="G1708" s="8">
        <v>46135</v>
      </c>
      <c r="H1708" s="8">
        <v>46148</v>
      </c>
      <c r="I1708" t="s">
        <v>9786</v>
      </c>
      <c r="J1708" t="s">
        <v>784</v>
      </c>
      <c r="K1708" t="s">
        <v>27</v>
      </c>
      <c r="L1708">
        <v>8594.09</v>
      </c>
      <c r="M1708">
        <v>478</v>
      </c>
      <c r="N1708" t="s">
        <v>77</v>
      </c>
      <c r="O1708" t="s">
        <v>123</v>
      </c>
    </row>
    <row r="1709" spans="1:15" x14ac:dyDescent="0.3">
      <c r="A1709" t="s">
        <v>783</v>
      </c>
      <c r="B1709" t="s">
        <v>782</v>
      </c>
      <c r="C1709" t="s">
        <v>123</v>
      </c>
      <c r="D1709">
        <v>90</v>
      </c>
      <c r="E1709" t="s">
        <v>54</v>
      </c>
      <c r="F1709" t="s">
        <v>67</v>
      </c>
      <c r="G1709" s="8">
        <v>46069</v>
      </c>
      <c r="H1709" s="8">
        <v>46090</v>
      </c>
      <c r="I1709" t="s">
        <v>9787</v>
      </c>
      <c r="J1709" t="s">
        <v>780</v>
      </c>
      <c r="K1709" t="s">
        <v>64</v>
      </c>
      <c r="L1709">
        <v>11448.63</v>
      </c>
      <c r="M1709">
        <v>306</v>
      </c>
      <c r="N1709" t="s">
        <v>50</v>
      </c>
      <c r="O1709" t="s">
        <v>27</v>
      </c>
    </row>
    <row r="1710" spans="1:15" x14ac:dyDescent="0.3">
      <c r="A1710" t="s">
        <v>779</v>
      </c>
      <c r="B1710" t="s">
        <v>778</v>
      </c>
      <c r="C1710" t="s">
        <v>123</v>
      </c>
      <c r="D1710">
        <v>31</v>
      </c>
      <c r="E1710" t="s">
        <v>54</v>
      </c>
      <c r="F1710" t="s">
        <v>20</v>
      </c>
      <c r="G1710" s="8">
        <v>46088</v>
      </c>
      <c r="H1710" s="8">
        <v>46115</v>
      </c>
      <c r="I1710" t="s">
        <v>9788</v>
      </c>
      <c r="J1710" t="s">
        <v>776</v>
      </c>
      <c r="K1710" t="s">
        <v>27</v>
      </c>
      <c r="L1710">
        <v>9254.14</v>
      </c>
      <c r="M1710">
        <v>292</v>
      </c>
      <c r="N1710" t="s">
        <v>34</v>
      </c>
      <c r="O1710" t="s">
        <v>27</v>
      </c>
    </row>
    <row r="1711" spans="1:15" x14ac:dyDescent="0.3">
      <c r="A1711" t="s">
        <v>775</v>
      </c>
      <c r="B1711" t="s">
        <v>774</v>
      </c>
      <c r="C1711" t="s">
        <v>40</v>
      </c>
      <c r="D1711">
        <v>11</v>
      </c>
      <c r="E1711" t="s">
        <v>39</v>
      </c>
      <c r="F1711" t="s">
        <v>20</v>
      </c>
      <c r="G1711" s="8">
        <v>46078</v>
      </c>
      <c r="H1711" s="8">
        <v>46085</v>
      </c>
      <c r="I1711" t="s">
        <v>9789</v>
      </c>
      <c r="J1711" t="s">
        <v>772</v>
      </c>
      <c r="K1711" t="s">
        <v>64</v>
      </c>
      <c r="L1711">
        <v>8331.69</v>
      </c>
      <c r="M1711">
        <v>144</v>
      </c>
      <c r="N1711" t="s">
        <v>16</v>
      </c>
      <c r="O1711" t="s">
        <v>26</v>
      </c>
    </row>
    <row r="1712" spans="1:15" x14ac:dyDescent="0.3">
      <c r="A1712" t="s">
        <v>767</v>
      </c>
      <c r="B1712" t="s">
        <v>766</v>
      </c>
      <c r="C1712" t="s">
        <v>74</v>
      </c>
      <c r="D1712">
        <v>67</v>
      </c>
      <c r="E1712" t="s">
        <v>39</v>
      </c>
      <c r="F1712" t="s">
        <v>20</v>
      </c>
      <c r="G1712" s="8">
        <v>46130</v>
      </c>
      <c r="H1712" s="8">
        <v>46148</v>
      </c>
      <c r="I1712" t="s">
        <v>9790</v>
      </c>
      <c r="J1712" t="s">
        <v>764</v>
      </c>
      <c r="K1712" t="s">
        <v>27</v>
      </c>
      <c r="L1712">
        <v>8319.34</v>
      </c>
      <c r="M1712">
        <v>333</v>
      </c>
      <c r="N1712" t="s">
        <v>50</v>
      </c>
      <c r="O1712" t="s">
        <v>123</v>
      </c>
    </row>
    <row r="1713" spans="1:15" x14ac:dyDescent="0.3">
      <c r="A1713" t="s">
        <v>763</v>
      </c>
      <c r="B1713" t="s">
        <v>762</v>
      </c>
      <c r="C1713" t="s">
        <v>40</v>
      </c>
      <c r="D1713">
        <v>72</v>
      </c>
      <c r="E1713" t="s">
        <v>132</v>
      </c>
      <c r="F1713" t="s">
        <v>8077</v>
      </c>
      <c r="G1713" s="8">
        <v>46112</v>
      </c>
      <c r="H1713" s="8">
        <v>46125</v>
      </c>
      <c r="I1713" t="s">
        <v>9791</v>
      </c>
      <c r="J1713" t="s">
        <v>760</v>
      </c>
      <c r="K1713" t="s">
        <v>27</v>
      </c>
      <c r="L1713">
        <v>19627.060000000001</v>
      </c>
      <c r="M1713">
        <v>181</v>
      </c>
      <c r="N1713" t="s">
        <v>71</v>
      </c>
      <c r="O1713" t="s">
        <v>27</v>
      </c>
    </row>
    <row r="1714" spans="1:15" x14ac:dyDescent="0.3">
      <c r="A1714" t="s">
        <v>759</v>
      </c>
      <c r="B1714" t="s">
        <v>758</v>
      </c>
      <c r="C1714" t="s">
        <v>40</v>
      </c>
      <c r="D1714">
        <v>43</v>
      </c>
      <c r="E1714" t="s">
        <v>47</v>
      </c>
      <c r="F1714" t="s">
        <v>8077</v>
      </c>
      <c r="G1714" s="8">
        <v>46030</v>
      </c>
      <c r="H1714" s="8">
        <v>46051</v>
      </c>
      <c r="I1714" t="s">
        <v>9792</v>
      </c>
      <c r="J1714" t="s">
        <v>756</v>
      </c>
      <c r="K1714" t="s">
        <v>123</v>
      </c>
      <c r="L1714">
        <v>24380.23</v>
      </c>
      <c r="M1714">
        <v>359</v>
      </c>
      <c r="N1714" t="s">
        <v>43</v>
      </c>
      <c r="O1714" t="s">
        <v>63</v>
      </c>
    </row>
    <row r="1715" spans="1:15" x14ac:dyDescent="0.3">
      <c r="A1715" t="s">
        <v>755</v>
      </c>
      <c r="B1715" t="s">
        <v>754</v>
      </c>
      <c r="C1715" t="s">
        <v>40</v>
      </c>
      <c r="D1715">
        <v>39</v>
      </c>
      <c r="E1715" t="s">
        <v>31</v>
      </c>
      <c r="F1715" t="s">
        <v>20</v>
      </c>
      <c r="G1715" s="8">
        <v>45981</v>
      </c>
      <c r="H1715" s="8">
        <v>46001</v>
      </c>
      <c r="I1715" t="s">
        <v>9793</v>
      </c>
      <c r="J1715" t="s">
        <v>752</v>
      </c>
      <c r="K1715" t="s">
        <v>64</v>
      </c>
      <c r="L1715">
        <v>7232.44</v>
      </c>
      <c r="M1715">
        <v>420</v>
      </c>
      <c r="N1715" t="s">
        <v>34</v>
      </c>
      <c r="O1715" t="s">
        <v>123</v>
      </c>
    </row>
    <row r="1716" spans="1:15" x14ac:dyDescent="0.3">
      <c r="A1716" t="s">
        <v>751</v>
      </c>
      <c r="B1716" t="s">
        <v>750</v>
      </c>
      <c r="C1716" t="s">
        <v>123</v>
      </c>
      <c r="D1716">
        <v>5</v>
      </c>
      <c r="E1716" t="s">
        <v>68</v>
      </c>
      <c r="F1716" t="s">
        <v>20</v>
      </c>
      <c r="G1716" s="8">
        <v>46007</v>
      </c>
      <c r="H1716" s="8">
        <v>46018</v>
      </c>
      <c r="I1716" t="s">
        <v>9794</v>
      </c>
      <c r="J1716" t="s">
        <v>748</v>
      </c>
      <c r="K1716" t="s">
        <v>27</v>
      </c>
      <c r="L1716">
        <v>6034.97</v>
      </c>
      <c r="M1716">
        <v>329</v>
      </c>
      <c r="N1716" t="s">
        <v>16</v>
      </c>
      <c r="O1716" t="s">
        <v>123</v>
      </c>
    </row>
    <row r="1717" spans="1:15" x14ac:dyDescent="0.3">
      <c r="A1717" t="s">
        <v>747</v>
      </c>
      <c r="B1717" t="s">
        <v>746</v>
      </c>
      <c r="C1717" t="s">
        <v>123</v>
      </c>
      <c r="D1717">
        <v>26</v>
      </c>
      <c r="E1717" t="s">
        <v>39</v>
      </c>
      <c r="F1717" t="s">
        <v>46</v>
      </c>
      <c r="G1717" s="8">
        <v>45985</v>
      </c>
      <c r="H1717" s="8">
        <v>46014</v>
      </c>
      <c r="I1717" t="s">
        <v>9795</v>
      </c>
      <c r="J1717" t="s">
        <v>744</v>
      </c>
      <c r="K1717" t="s">
        <v>123</v>
      </c>
      <c r="L1717">
        <v>7017.52</v>
      </c>
      <c r="M1717">
        <v>414</v>
      </c>
      <c r="N1717" t="s">
        <v>77</v>
      </c>
      <c r="O1717" t="s">
        <v>64</v>
      </c>
    </row>
    <row r="1718" spans="1:15" x14ac:dyDescent="0.3">
      <c r="A1718" t="s">
        <v>743</v>
      </c>
      <c r="B1718" t="s">
        <v>742</v>
      </c>
      <c r="C1718" t="s">
        <v>123</v>
      </c>
      <c r="D1718">
        <v>64</v>
      </c>
      <c r="E1718" t="s">
        <v>68</v>
      </c>
      <c r="F1718" t="s">
        <v>67</v>
      </c>
      <c r="G1718" s="8">
        <v>46096</v>
      </c>
      <c r="H1718" s="8">
        <v>46113</v>
      </c>
      <c r="I1718" t="s">
        <v>9796</v>
      </c>
      <c r="J1718" t="s">
        <v>740</v>
      </c>
      <c r="K1718" t="s">
        <v>27</v>
      </c>
      <c r="L1718">
        <v>21454.19</v>
      </c>
      <c r="M1718">
        <v>358</v>
      </c>
      <c r="N1718" t="s">
        <v>16</v>
      </c>
      <c r="O1718" t="s">
        <v>123</v>
      </c>
    </row>
    <row r="1719" spans="1:15" x14ac:dyDescent="0.3">
      <c r="A1719" t="s">
        <v>739</v>
      </c>
      <c r="B1719" t="s">
        <v>738</v>
      </c>
      <c r="C1719" t="s">
        <v>40</v>
      </c>
      <c r="D1719">
        <v>17</v>
      </c>
      <c r="E1719" t="s">
        <v>31</v>
      </c>
      <c r="F1719" t="s">
        <v>8077</v>
      </c>
      <c r="G1719" s="8">
        <v>46016</v>
      </c>
      <c r="H1719" s="8">
        <v>46031</v>
      </c>
      <c r="I1719" t="s">
        <v>9797</v>
      </c>
      <c r="J1719" t="s">
        <v>736</v>
      </c>
      <c r="K1719" t="s">
        <v>27</v>
      </c>
      <c r="L1719">
        <v>19805.09</v>
      </c>
      <c r="M1719">
        <v>448</v>
      </c>
      <c r="N1719" t="s">
        <v>34</v>
      </c>
      <c r="O1719" t="s">
        <v>17</v>
      </c>
    </row>
    <row r="1720" spans="1:15" x14ac:dyDescent="0.3">
      <c r="A1720" t="s">
        <v>735</v>
      </c>
      <c r="B1720" t="s">
        <v>734</v>
      </c>
      <c r="C1720" t="s">
        <v>40</v>
      </c>
      <c r="D1720">
        <v>52</v>
      </c>
      <c r="E1720" t="s">
        <v>39</v>
      </c>
      <c r="F1720" t="s">
        <v>8077</v>
      </c>
      <c r="G1720" s="8">
        <v>45984</v>
      </c>
      <c r="H1720" s="8">
        <v>45995</v>
      </c>
      <c r="I1720" t="s">
        <v>9798</v>
      </c>
      <c r="J1720" t="s">
        <v>732</v>
      </c>
      <c r="K1720" t="s">
        <v>27</v>
      </c>
      <c r="L1720">
        <v>17448.439999999999</v>
      </c>
      <c r="M1720">
        <v>439</v>
      </c>
      <c r="N1720" t="s">
        <v>50</v>
      </c>
      <c r="O1720" t="s">
        <v>27</v>
      </c>
    </row>
    <row r="1721" spans="1:15" x14ac:dyDescent="0.3">
      <c r="A1721" t="s">
        <v>731</v>
      </c>
      <c r="B1721" t="s">
        <v>730</v>
      </c>
      <c r="C1721" t="s">
        <v>74</v>
      </c>
      <c r="D1721">
        <v>50</v>
      </c>
      <c r="E1721" t="s">
        <v>54</v>
      </c>
      <c r="F1721" t="s">
        <v>67</v>
      </c>
      <c r="G1721" s="8">
        <v>46142</v>
      </c>
      <c r="H1721" s="8">
        <v>46163</v>
      </c>
      <c r="I1721" t="s">
        <v>9799</v>
      </c>
      <c r="J1721" t="s">
        <v>728</v>
      </c>
      <c r="K1721" t="s">
        <v>123</v>
      </c>
      <c r="L1721">
        <v>14316</v>
      </c>
      <c r="M1721">
        <v>444</v>
      </c>
      <c r="N1721" t="s">
        <v>77</v>
      </c>
      <c r="O1721" t="s">
        <v>27</v>
      </c>
    </row>
    <row r="1722" spans="1:15" x14ac:dyDescent="0.3">
      <c r="A1722" t="s">
        <v>727</v>
      </c>
      <c r="B1722" t="s">
        <v>726</v>
      </c>
      <c r="C1722" t="s">
        <v>40</v>
      </c>
      <c r="D1722">
        <v>36</v>
      </c>
      <c r="E1722" t="s">
        <v>39</v>
      </c>
      <c r="F1722" t="s">
        <v>67</v>
      </c>
      <c r="G1722" s="8">
        <v>46084</v>
      </c>
      <c r="H1722" s="8">
        <v>46111</v>
      </c>
      <c r="I1722" t="s">
        <v>9800</v>
      </c>
      <c r="J1722" t="s">
        <v>724</v>
      </c>
      <c r="K1722" t="s">
        <v>64</v>
      </c>
      <c r="L1722">
        <v>6854.4</v>
      </c>
      <c r="M1722">
        <v>368</v>
      </c>
      <c r="N1722" t="s">
        <v>16</v>
      </c>
      <c r="O1722" t="s">
        <v>26</v>
      </c>
    </row>
    <row r="1723" spans="1:15" x14ac:dyDescent="0.3">
      <c r="A1723" t="s">
        <v>723</v>
      </c>
      <c r="B1723" t="s">
        <v>722</v>
      </c>
      <c r="C1723" t="s">
        <v>123</v>
      </c>
      <c r="D1723">
        <v>76</v>
      </c>
      <c r="E1723" t="s">
        <v>54</v>
      </c>
      <c r="F1723" t="s">
        <v>8077</v>
      </c>
      <c r="G1723" s="8">
        <v>46042</v>
      </c>
      <c r="H1723" s="8">
        <v>46046</v>
      </c>
      <c r="I1723" t="s">
        <v>9801</v>
      </c>
      <c r="J1723" t="s">
        <v>720</v>
      </c>
      <c r="K1723" t="s">
        <v>64</v>
      </c>
      <c r="L1723">
        <v>20696.419999999998</v>
      </c>
      <c r="M1723">
        <v>195</v>
      </c>
      <c r="N1723" t="s">
        <v>25</v>
      </c>
      <c r="O1723" t="s">
        <v>63</v>
      </c>
    </row>
    <row r="1724" spans="1:15" x14ac:dyDescent="0.3">
      <c r="A1724" t="s">
        <v>719</v>
      </c>
      <c r="B1724" t="s">
        <v>718</v>
      </c>
      <c r="C1724" t="s">
        <v>74</v>
      </c>
      <c r="D1724">
        <v>82</v>
      </c>
      <c r="E1724" t="s">
        <v>39</v>
      </c>
      <c r="F1724" t="s">
        <v>30</v>
      </c>
      <c r="G1724" s="8">
        <v>46114</v>
      </c>
      <c r="H1724" s="8">
        <v>46139</v>
      </c>
      <c r="I1724" t="s">
        <v>9802</v>
      </c>
      <c r="J1724" t="s">
        <v>716</v>
      </c>
      <c r="K1724" t="s">
        <v>123</v>
      </c>
      <c r="L1724">
        <v>20791.650000000001</v>
      </c>
      <c r="M1724">
        <v>543</v>
      </c>
      <c r="N1724" t="s">
        <v>71</v>
      </c>
      <c r="O1724" t="s">
        <v>57</v>
      </c>
    </row>
    <row r="1725" spans="1:15" x14ac:dyDescent="0.3">
      <c r="A1725" t="s">
        <v>715</v>
      </c>
      <c r="B1725" t="s">
        <v>714</v>
      </c>
      <c r="C1725" t="s">
        <v>74</v>
      </c>
      <c r="D1725">
        <v>44</v>
      </c>
      <c r="E1725" t="s">
        <v>54</v>
      </c>
      <c r="F1725" t="s">
        <v>20</v>
      </c>
      <c r="G1725" s="8">
        <v>46143</v>
      </c>
      <c r="H1725" s="8">
        <v>46151</v>
      </c>
      <c r="I1725" t="s">
        <v>9803</v>
      </c>
      <c r="J1725" t="s">
        <v>712</v>
      </c>
      <c r="K1725" t="s">
        <v>64</v>
      </c>
      <c r="L1725">
        <v>17174.84</v>
      </c>
      <c r="M1725">
        <v>195</v>
      </c>
      <c r="N1725" t="s">
        <v>34</v>
      </c>
      <c r="O1725" t="s">
        <v>17</v>
      </c>
    </row>
    <row r="1726" spans="1:15" x14ac:dyDescent="0.3">
      <c r="A1726" t="s">
        <v>711</v>
      </c>
      <c r="B1726" t="s">
        <v>710</v>
      </c>
      <c r="C1726" t="s">
        <v>74</v>
      </c>
      <c r="D1726">
        <v>62</v>
      </c>
      <c r="E1726" t="s">
        <v>39</v>
      </c>
      <c r="F1726" t="s">
        <v>67</v>
      </c>
      <c r="G1726" s="8">
        <v>45984</v>
      </c>
      <c r="H1726" s="8">
        <v>45996</v>
      </c>
      <c r="I1726" t="s">
        <v>9804</v>
      </c>
      <c r="J1726" t="s">
        <v>708</v>
      </c>
      <c r="K1726" t="s">
        <v>27</v>
      </c>
      <c r="L1726">
        <v>24221.97</v>
      </c>
      <c r="M1726">
        <v>306</v>
      </c>
      <c r="N1726" t="s">
        <v>34</v>
      </c>
      <c r="O1726" t="s">
        <v>26</v>
      </c>
    </row>
    <row r="1727" spans="1:15" x14ac:dyDescent="0.3">
      <c r="A1727" t="s">
        <v>707</v>
      </c>
      <c r="B1727" t="s">
        <v>706</v>
      </c>
      <c r="C1727" t="s">
        <v>74</v>
      </c>
      <c r="D1727">
        <v>89</v>
      </c>
      <c r="E1727" t="s">
        <v>21</v>
      </c>
      <c r="F1727" t="s">
        <v>67</v>
      </c>
      <c r="G1727" s="8">
        <v>46121</v>
      </c>
      <c r="H1727" s="8">
        <v>46137</v>
      </c>
      <c r="I1727" t="s">
        <v>9805</v>
      </c>
      <c r="J1727" t="s">
        <v>704</v>
      </c>
      <c r="K1727" t="s">
        <v>64</v>
      </c>
      <c r="L1727">
        <v>2735.07</v>
      </c>
      <c r="M1727">
        <v>386</v>
      </c>
      <c r="N1727" t="s">
        <v>25</v>
      </c>
      <c r="O1727" t="s">
        <v>64</v>
      </c>
    </row>
    <row r="1728" spans="1:15" x14ac:dyDescent="0.3">
      <c r="A1728" t="s">
        <v>703</v>
      </c>
      <c r="B1728" t="s">
        <v>702</v>
      </c>
      <c r="C1728" t="s">
        <v>123</v>
      </c>
      <c r="D1728">
        <v>48</v>
      </c>
      <c r="E1728" t="s">
        <v>31</v>
      </c>
      <c r="F1728" t="s">
        <v>46</v>
      </c>
      <c r="G1728" s="8">
        <v>45985</v>
      </c>
      <c r="H1728" s="8">
        <v>46015</v>
      </c>
      <c r="I1728" t="s">
        <v>9806</v>
      </c>
      <c r="J1728" t="s">
        <v>700</v>
      </c>
      <c r="K1728" t="s">
        <v>123</v>
      </c>
      <c r="L1728">
        <v>13069.59</v>
      </c>
      <c r="M1728">
        <v>535</v>
      </c>
      <c r="N1728" t="s">
        <v>34</v>
      </c>
      <c r="O1728" t="s">
        <v>123</v>
      </c>
    </row>
    <row r="1729" spans="1:15" x14ac:dyDescent="0.3">
      <c r="A1729" t="s">
        <v>699</v>
      </c>
      <c r="B1729" t="s">
        <v>698</v>
      </c>
      <c r="C1729" t="s">
        <v>74</v>
      </c>
      <c r="D1729">
        <v>3</v>
      </c>
      <c r="E1729" t="s">
        <v>31</v>
      </c>
      <c r="F1729" t="s">
        <v>85</v>
      </c>
      <c r="G1729" s="8">
        <v>45987</v>
      </c>
      <c r="H1729" s="8">
        <v>46011</v>
      </c>
      <c r="I1729" t="s">
        <v>9807</v>
      </c>
      <c r="J1729" t="s">
        <v>696</v>
      </c>
      <c r="K1729" t="s">
        <v>27</v>
      </c>
      <c r="L1729">
        <v>20656.580000000002</v>
      </c>
      <c r="M1729">
        <v>103</v>
      </c>
      <c r="N1729" t="s">
        <v>71</v>
      </c>
      <c r="O1729" t="s">
        <v>57</v>
      </c>
    </row>
    <row r="1730" spans="1:15" x14ac:dyDescent="0.3">
      <c r="A1730" t="s">
        <v>695</v>
      </c>
      <c r="B1730" t="s">
        <v>694</v>
      </c>
      <c r="C1730" t="s">
        <v>40</v>
      </c>
      <c r="D1730">
        <v>81</v>
      </c>
      <c r="E1730" t="s">
        <v>80</v>
      </c>
      <c r="F1730" t="s">
        <v>20</v>
      </c>
      <c r="G1730" s="8">
        <v>46057</v>
      </c>
      <c r="H1730" s="8">
        <v>46086</v>
      </c>
      <c r="I1730" t="s">
        <v>9808</v>
      </c>
      <c r="J1730" t="s">
        <v>692</v>
      </c>
      <c r="K1730" t="s">
        <v>64</v>
      </c>
      <c r="L1730">
        <v>22864.23</v>
      </c>
      <c r="M1730">
        <v>184</v>
      </c>
      <c r="N1730" t="s">
        <v>77</v>
      </c>
      <c r="O1730" t="s">
        <v>123</v>
      </c>
    </row>
    <row r="1731" spans="1:15" x14ac:dyDescent="0.3">
      <c r="A1731" t="s">
        <v>691</v>
      </c>
      <c r="B1731" t="s">
        <v>690</v>
      </c>
      <c r="C1731" t="s">
        <v>74</v>
      </c>
      <c r="D1731">
        <v>67</v>
      </c>
      <c r="E1731" t="s">
        <v>31</v>
      </c>
      <c r="F1731" t="s">
        <v>8077</v>
      </c>
      <c r="G1731" s="8">
        <v>45980</v>
      </c>
      <c r="H1731" s="8">
        <v>45988</v>
      </c>
      <c r="I1731" t="s">
        <v>9809</v>
      </c>
      <c r="J1731" t="s">
        <v>123</v>
      </c>
      <c r="K1731" t="s">
        <v>27</v>
      </c>
      <c r="L1731">
        <v>2333.0500000000002</v>
      </c>
      <c r="M1731">
        <v>207</v>
      </c>
      <c r="N1731" t="s">
        <v>16</v>
      </c>
      <c r="O1731" t="s">
        <v>17</v>
      </c>
    </row>
    <row r="1732" spans="1:15" x14ac:dyDescent="0.3">
      <c r="A1732" t="s">
        <v>688</v>
      </c>
      <c r="B1732" t="s">
        <v>687</v>
      </c>
      <c r="C1732" t="s">
        <v>40</v>
      </c>
      <c r="D1732">
        <v>12</v>
      </c>
      <c r="E1732" t="s">
        <v>31</v>
      </c>
      <c r="F1732" t="s">
        <v>30</v>
      </c>
      <c r="G1732" s="8">
        <v>46047</v>
      </c>
      <c r="H1732" s="8">
        <v>46061</v>
      </c>
      <c r="I1732" t="s">
        <v>9810</v>
      </c>
      <c r="J1732" t="s">
        <v>685</v>
      </c>
      <c r="K1732" t="s">
        <v>64</v>
      </c>
      <c r="L1732">
        <v>8303.84</v>
      </c>
      <c r="M1732">
        <v>203</v>
      </c>
      <c r="N1732" t="s">
        <v>77</v>
      </c>
      <c r="O1732" t="s">
        <v>17</v>
      </c>
    </row>
    <row r="1733" spans="1:15" x14ac:dyDescent="0.3">
      <c r="A1733" t="s">
        <v>684</v>
      </c>
      <c r="B1733" t="s">
        <v>683</v>
      </c>
      <c r="C1733" t="s">
        <v>74</v>
      </c>
      <c r="D1733">
        <v>23</v>
      </c>
      <c r="E1733" t="s">
        <v>31</v>
      </c>
      <c r="F1733" t="s">
        <v>8077</v>
      </c>
      <c r="G1733" s="8">
        <v>46100</v>
      </c>
      <c r="H1733" s="8">
        <v>46126</v>
      </c>
      <c r="I1733" t="s">
        <v>9811</v>
      </c>
      <c r="J1733" t="s">
        <v>681</v>
      </c>
      <c r="K1733" t="s">
        <v>123</v>
      </c>
      <c r="L1733">
        <v>12001.22</v>
      </c>
      <c r="M1733">
        <v>221</v>
      </c>
      <c r="N1733" t="s">
        <v>50</v>
      </c>
      <c r="O1733" t="s">
        <v>64</v>
      </c>
    </row>
    <row r="1734" spans="1:15" x14ac:dyDescent="0.3">
      <c r="A1734" t="s">
        <v>676</v>
      </c>
      <c r="B1734" t="s">
        <v>675</v>
      </c>
      <c r="C1734" t="s">
        <v>74</v>
      </c>
      <c r="D1734">
        <v>37</v>
      </c>
      <c r="E1734" t="s">
        <v>80</v>
      </c>
      <c r="F1734" t="s">
        <v>46</v>
      </c>
      <c r="G1734" s="8">
        <v>46008</v>
      </c>
      <c r="H1734" s="8">
        <v>46032</v>
      </c>
      <c r="I1734" t="s">
        <v>9812</v>
      </c>
      <c r="J1734" t="s">
        <v>673</v>
      </c>
      <c r="K1734" t="s">
        <v>64</v>
      </c>
      <c r="L1734">
        <v>4597.6499999999996</v>
      </c>
      <c r="M1734">
        <v>415</v>
      </c>
      <c r="N1734" t="s">
        <v>34</v>
      </c>
      <c r="O1734" t="s">
        <v>123</v>
      </c>
    </row>
    <row r="1735" spans="1:15" x14ac:dyDescent="0.3">
      <c r="A1735" t="s">
        <v>672</v>
      </c>
      <c r="B1735" t="s">
        <v>671</v>
      </c>
      <c r="C1735" t="s">
        <v>74</v>
      </c>
      <c r="D1735">
        <v>90</v>
      </c>
      <c r="E1735" t="s">
        <v>68</v>
      </c>
      <c r="F1735" t="s">
        <v>46</v>
      </c>
      <c r="G1735" s="8">
        <v>46112</v>
      </c>
      <c r="H1735" s="8">
        <v>46131</v>
      </c>
      <c r="I1735" t="s">
        <v>9813</v>
      </c>
      <c r="J1735" t="s">
        <v>669</v>
      </c>
      <c r="K1735" t="s">
        <v>27</v>
      </c>
      <c r="L1735">
        <v>18992.57</v>
      </c>
      <c r="M1735">
        <v>239</v>
      </c>
      <c r="N1735" t="s">
        <v>43</v>
      </c>
      <c r="O1735" t="s">
        <v>27</v>
      </c>
    </row>
    <row r="1736" spans="1:15" x14ac:dyDescent="0.3">
      <c r="A1736" t="s">
        <v>668</v>
      </c>
      <c r="B1736" t="s">
        <v>667</v>
      </c>
      <c r="C1736" t="s">
        <v>40</v>
      </c>
      <c r="D1736">
        <v>31</v>
      </c>
      <c r="E1736" t="s">
        <v>31</v>
      </c>
      <c r="F1736" t="s">
        <v>67</v>
      </c>
      <c r="G1736" s="8">
        <v>46051</v>
      </c>
      <c r="H1736" s="8">
        <v>46056</v>
      </c>
      <c r="I1736" t="s">
        <v>9814</v>
      </c>
      <c r="J1736" t="s">
        <v>665</v>
      </c>
      <c r="K1736" t="s">
        <v>27</v>
      </c>
      <c r="L1736">
        <v>23392.31</v>
      </c>
      <c r="M1736">
        <v>313</v>
      </c>
      <c r="N1736" t="s">
        <v>77</v>
      </c>
      <c r="O1736" t="s">
        <v>123</v>
      </c>
    </row>
    <row r="1737" spans="1:15" x14ac:dyDescent="0.3">
      <c r="A1737" t="s">
        <v>664</v>
      </c>
      <c r="B1737" t="s">
        <v>663</v>
      </c>
      <c r="C1737" t="s">
        <v>74</v>
      </c>
      <c r="D1737">
        <v>75</v>
      </c>
      <c r="E1737" t="s">
        <v>54</v>
      </c>
      <c r="F1737" t="s">
        <v>85</v>
      </c>
      <c r="G1737" s="8">
        <v>46001</v>
      </c>
      <c r="H1737" s="8">
        <v>46018</v>
      </c>
      <c r="I1737" t="s">
        <v>9815</v>
      </c>
      <c r="J1737" t="s">
        <v>661</v>
      </c>
      <c r="K1737" t="s">
        <v>123</v>
      </c>
      <c r="L1737">
        <v>7132.54</v>
      </c>
      <c r="M1737">
        <v>170</v>
      </c>
      <c r="N1737" t="s">
        <v>16</v>
      </c>
      <c r="O1737" t="s">
        <v>26</v>
      </c>
    </row>
    <row r="1738" spans="1:15" x14ac:dyDescent="0.3">
      <c r="A1738" t="s">
        <v>660</v>
      </c>
      <c r="B1738" t="s">
        <v>659</v>
      </c>
      <c r="C1738" t="s">
        <v>74</v>
      </c>
      <c r="D1738">
        <v>66</v>
      </c>
      <c r="E1738" t="s">
        <v>31</v>
      </c>
      <c r="F1738" t="s">
        <v>30</v>
      </c>
      <c r="G1738" s="8">
        <v>46072</v>
      </c>
      <c r="H1738" s="8">
        <v>46089</v>
      </c>
      <c r="I1738" t="s">
        <v>9816</v>
      </c>
      <c r="J1738" t="s">
        <v>657</v>
      </c>
      <c r="K1738" t="s">
        <v>64</v>
      </c>
      <c r="L1738">
        <v>18375.62</v>
      </c>
      <c r="M1738">
        <v>286</v>
      </c>
      <c r="N1738" t="s">
        <v>50</v>
      </c>
      <c r="O1738" t="s">
        <v>123</v>
      </c>
    </row>
    <row r="1739" spans="1:15" x14ac:dyDescent="0.3">
      <c r="A1739" t="s">
        <v>656</v>
      </c>
      <c r="B1739" t="s">
        <v>655</v>
      </c>
      <c r="C1739" t="s">
        <v>74</v>
      </c>
      <c r="D1739">
        <v>79</v>
      </c>
      <c r="E1739" t="s">
        <v>132</v>
      </c>
      <c r="F1739" t="s">
        <v>20</v>
      </c>
      <c r="G1739" s="8">
        <v>46107</v>
      </c>
      <c r="H1739" s="8">
        <v>46123</v>
      </c>
      <c r="I1739" t="s">
        <v>9817</v>
      </c>
      <c r="J1739" t="s">
        <v>653</v>
      </c>
      <c r="K1739" t="s">
        <v>27</v>
      </c>
      <c r="L1739">
        <v>7752.63</v>
      </c>
      <c r="M1739">
        <v>142</v>
      </c>
      <c r="N1739" t="s">
        <v>50</v>
      </c>
      <c r="O1739" t="s">
        <v>64</v>
      </c>
    </row>
    <row r="1740" spans="1:15" x14ac:dyDescent="0.3">
      <c r="A1740" t="s">
        <v>652</v>
      </c>
      <c r="B1740" t="s">
        <v>651</v>
      </c>
      <c r="C1740" t="s">
        <v>123</v>
      </c>
      <c r="D1740">
        <v>43</v>
      </c>
      <c r="E1740" t="s">
        <v>47</v>
      </c>
      <c r="F1740" t="s">
        <v>20</v>
      </c>
      <c r="G1740" s="8">
        <v>46008</v>
      </c>
      <c r="H1740" s="8">
        <v>46037</v>
      </c>
      <c r="I1740" t="s">
        <v>9818</v>
      </c>
      <c r="J1740" t="s">
        <v>649</v>
      </c>
      <c r="K1740" t="s">
        <v>27</v>
      </c>
      <c r="L1740">
        <v>22085.75</v>
      </c>
      <c r="M1740">
        <v>179</v>
      </c>
      <c r="N1740" t="s">
        <v>50</v>
      </c>
      <c r="O1740" t="s">
        <v>27</v>
      </c>
    </row>
    <row r="1741" spans="1:15" x14ac:dyDescent="0.3">
      <c r="A1741" t="s">
        <v>648</v>
      </c>
      <c r="B1741" t="s">
        <v>647</v>
      </c>
      <c r="C1741" t="s">
        <v>40</v>
      </c>
      <c r="D1741">
        <v>48</v>
      </c>
      <c r="E1741" t="s">
        <v>21</v>
      </c>
      <c r="F1741" t="s">
        <v>8077</v>
      </c>
      <c r="G1741" s="8">
        <v>45992</v>
      </c>
      <c r="H1741" s="8">
        <v>45994</v>
      </c>
      <c r="I1741" t="s">
        <v>9819</v>
      </c>
      <c r="J1741" t="s">
        <v>645</v>
      </c>
      <c r="K1741" t="s">
        <v>64</v>
      </c>
      <c r="L1741">
        <v>3451.97</v>
      </c>
      <c r="M1741">
        <v>509</v>
      </c>
      <c r="N1741" t="s">
        <v>43</v>
      </c>
      <c r="O1741" t="s">
        <v>64</v>
      </c>
    </row>
    <row r="1742" spans="1:15" x14ac:dyDescent="0.3">
      <c r="A1742" t="s">
        <v>644</v>
      </c>
      <c r="B1742" t="s">
        <v>643</v>
      </c>
      <c r="C1742" t="s">
        <v>74</v>
      </c>
      <c r="D1742">
        <v>9</v>
      </c>
      <c r="E1742" t="s">
        <v>21</v>
      </c>
      <c r="F1742" t="s">
        <v>46</v>
      </c>
      <c r="G1742" s="8">
        <v>46065</v>
      </c>
      <c r="H1742" s="8">
        <v>46075</v>
      </c>
      <c r="I1742" t="s">
        <v>9820</v>
      </c>
      <c r="J1742" t="s">
        <v>641</v>
      </c>
      <c r="K1742" t="s">
        <v>64</v>
      </c>
      <c r="L1742">
        <v>12117.12</v>
      </c>
      <c r="M1742">
        <v>424</v>
      </c>
      <c r="N1742" t="s">
        <v>25</v>
      </c>
      <c r="O1742" t="s">
        <v>57</v>
      </c>
    </row>
    <row r="1743" spans="1:15" x14ac:dyDescent="0.3">
      <c r="A1743" t="s">
        <v>640</v>
      </c>
      <c r="B1743" t="s">
        <v>639</v>
      </c>
      <c r="C1743" t="s">
        <v>123</v>
      </c>
      <c r="D1743">
        <v>72</v>
      </c>
      <c r="E1743" t="s">
        <v>39</v>
      </c>
      <c r="F1743" t="s">
        <v>20</v>
      </c>
      <c r="G1743" s="8">
        <v>46092</v>
      </c>
      <c r="H1743" s="8">
        <v>46101</v>
      </c>
      <c r="I1743" t="s">
        <v>9821</v>
      </c>
      <c r="J1743" t="s">
        <v>637</v>
      </c>
      <c r="K1743" t="s">
        <v>27</v>
      </c>
      <c r="L1743">
        <v>7252.2</v>
      </c>
      <c r="M1743">
        <v>297</v>
      </c>
      <c r="N1743" t="s">
        <v>34</v>
      </c>
      <c r="O1743" t="s">
        <v>123</v>
      </c>
    </row>
    <row r="1744" spans="1:15" x14ac:dyDescent="0.3">
      <c r="A1744" t="s">
        <v>636</v>
      </c>
      <c r="B1744" t="s">
        <v>635</v>
      </c>
      <c r="C1744" t="s">
        <v>123</v>
      </c>
      <c r="D1744">
        <v>19</v>
      </c>
      <c r="E1744" t="s">
        <v>68</v>
      </c>
      <c r="F1744" t="s">
        <v>8077</v>
      </c>
      <c r="G1744" s="8">
        <v>46036</v>
      </c>
      <c r="H1744" s="8">
        <v>46049</v>
      </c>
      <c r="I1744" t="s">
        <v>9822</v>
      </c>
      <c r="J1744" t="s">
        <v>633</v>
      </c>
      <c r="K1744" t="s">
        <v>123</v>
      </c>
      <c r="L1744">
        <v>22491.95</v>
      </c>
      <c r="M1744">
        <v>468</v>
      </c>
      <c r="N1744" t="s">
        <v>43</v>
      </c>
      <c r="O1744" t="s">
        <v>123</v>
      </c>
    </row>
    <row r="1745" spans="1:15" x14ac:dyDescent="0.3">
      <c r="A1745" t="s">
        <v>632</v>
      </c>
      <c r="B1745" t="s">
        <v>631</v>
      </c>
      <c r="C1745" t="s">
        <v>123</v>
      </c>
      <c r="D1745">
        <v>20</v>
      </c>
      <c r="E1745" t="s">
        <v>47</v>
      </c>
      <c r="F1745" t="s">
        <v>20</v>
      </c>
      <c r="G1745" s="8">
        <v>46036</v>
      </c>
      <c r="H1745" s="8">
        <v>46047</v>
      </c>
      <c r="I1745" t="s">
        <v>9823</v>
      </c>
      <c r="J1745" t="s">
        <v>629</v>
      </c>
      <c r="K1745" t="s">
        <v>27</v>
      </c>
      <c r="L1745">
        <v>22997.18</v>
      </c>
      <c r="M1745">
        <v>207</v>
      </c>
      <c r="N1745" t="s">
        <v>77</v>
      </c>
      <c r="O1745" t="s">
        <v>63</v>
      </c>
    </row>
    <row r="1746" spans="1:15" x14ac:dyDescent="0.3">
      <c r="A1746" t="s">
        <v>628</v>
      </c>
      <c r="B1746" t="s">
        <v>627</v>
      </c>
      <c r="C1746" t="s">
        <v>74</v>
      </c>
      <c r="D1746">
        <v>23</v>
      </c>
      <c r="E1746" t="s">
        <v>80</v>
      </c>
      <c r="F1746" t="s">
        <v>20</v>
      </c>
      <c r="G1746" s="8">
        <v>46014</v>
      </c>
      <c r="H1746" s="8">
        <v>46020</v>
      </c>
      <c r="I1746" t="s">
        <v>9824</v>
      </c>
      <c r="J1746" t="s">
        <v>625</v>
      </c>
      <c r="K1746" t="s">
        <v>64</v>
      </c>
      <c r="L1746">
        <v>3332.13</v>
      </c>
      <c r="M1746">
        <v>549</v>
      </c>
      <c r="N1746" t="s">
        <v>50</v>
      </c>
      <c r="O1746" t="s">
        <v>26</v>
      </c>
    </row>
    <row r="1747" spans="1:15" x14ac:dyDescent="0.3">
      <c r="A1747" t="s">
        <v>624</v>
      </c>
      <c r="B1747" t="s">
        <v>623</v>
      </c>
      <c r="C1747" t="s">
        <v>40</v>
      </c>
      <c r="D1747">
        <v>81</v>
      </c>
      <c r="E1747" t="s">
        <v>132</v>
      </c>
      <c r="F1747" t="s">
        <v>20</v>
      </c>
      <c r="G1747" s="8">
        <v>46122</v>
      </c>
      <c r="H1747" s="8">
        <v>46123</v>
      </c>
      <c r="I1747" t="s">
        <v>9825</v>
      </c>
      <c r="J1747" t="s">
        <v>621</v>
      </c>
      <c r="K1747" t="s">
        <v>123</v>
      </c>
      <c r="L1747">
        <v>18509.75</v>
      </c>
      <c r="M1747">
        <v>366</v>
      </c>
      <c r="N1747" t="s">
        <v>71</v>
      </c>
      <c r="O1747" t="s">
        <v>64</v>
      </c>
    </row>
    <row r="1748" spans="1:15" x14ac:dyDescent="0.3">
      <c r="A1748" t="s">
        <v>620</v>
      </c>
      <c r="B1748" t="s">
        <v>619</v>
      </c>
      <c r="C1748" t="s">
        <v>123</v>
      </c>
      <c r="D1748">
        <v>34</v>
      </c>
      <c r="E1748" t="s">
        <v>68</v>
      </c>
      <c r="F1748" t="s">
        <v>20</v>
      </c>
      <c r="G1748" s="8">
        <v>46087</v>
      </c>
      <c r="H1748" s="8">
        <v>46093</v>
      </c>
      <c r="I1748" t="s">
        <v>9826</v>
      </c>
      <c r="J1748" t="s">
        <v>617</v>
      </c>
      <c r="K1748" t="s">
        <v>123</v>
      </c>
      <c r="L1748">
        <v>8756.18</v>
      </c>
      <c r="M1748">
        <v>492</v>
      </c>
      <c r="N1748" t="s">
        <v>16</v>
      </c>
      <c r="O1748" t="s">
        <v>26</v>
      </c>
    </row>
    <row r="1749" spans="1:15" x14ac:dyDescent="0.3">
      <c r="A1749" t="s">
        <v>616</v>
      </c>
      <c r="B1749" t="s">
        <v>615</v>
      </c>
      <c r="C1749" t="s">
        <v>123</v>
      </c>
      <c r="D1749">
        <v>67</v>
      </c>
      <c r="E1749" t="s">
        <v>80</v>
      </c>
      <c r="F1749" t="s">
        <v>85</v>
      </c>
      <c r="G1749" s="8">
        <v>45994</v>
      </c>
      <c r="H1749" s="8">
        <v>45999</v>
      </c>
      <c r="I1749" t="s">
        <v>9827</v>
      </c>
      <c r="J1749" t="s">
        <v>613</v>
      </c>
      <c r="K1749" t="s">
        <v>27</v>
      </c>
      <c r="L1749">
        <v>22516.32</v>
      </c>
      <c r="M1749">
        <v>337</v>
      </c>
      <c r="N1749" t="s">
        <v>43</v>
      </c>
      <c r="O1749" t="s">
        <v>123</v>
      </c>
    </row>
    <row r="1750" spans="1:15" x14ac:dyDescent="0.3">
      <c r="A1750" t="s">
        <v>608</v>
      </c>
      <c r="B1750" t="s">
        <v>607</v>
      </c>
      <c r="C1750" t="s">
        <v>74</v>
      </c>
      <c r="D1750">
        <v>66</v>
      </c>
      <c r="E1750" t="s">
        <v>68</v>
      </c>
      <c r="F1750" t="s">
        <v>67</v>
      </c>
      <c r="G1750" s="8">
        <v>46105</v>
      </c>
      <c r="H1750" s="8">
        <v>46133</v>
      </c>
      <c r="I1750" t="s">
        <v>9828</v>
      </c>
      <c r="J1750" t="s">
        <v>605</v>
      </c>
      <c r="K1750" t="s">
        <v>64</v>
      </c>
      <c r="L1750">
        <v>18293</v>
      </c>
      <c r="M1750">
        <v>127</v>
      </c>
      <c r="N1750" t="s">
        <v>34</v>
      </c>
      <c r="O1750" t="s">
        <v>123</v>
      </c>
    </row>
    <row r="1751" spans="1:15" x14ac:dyDescent="0.3">
      <c r="A1751" t="s">
        <v>604</v>
      </c>
      <c r="B1751" t="s">
        <v>603</v>
      </c>
      <c r="C1751" t="s">
        <v>40</v>
      </c>
      <c r="D1751">
        <v>57</v>
      </c>
      <c r="E1751" t="s">
        <v>80</v>
      </c>
      <c r="F1751" t="s">
        <v>85</v>
      </c>
      <c r="G1751" s="8">
        <v>46043</v>
      </c>
      <c r="H1751" s="8">
        <v>46048</v>
      </c>
      <c r="I1751" t="s">
        <v>9829</v>
      </c>
      <c r="J1751" t="s">
        <v>601</v>
      </c>
      <c r="K1751" t="s">
        <v>64</v>
      </c>
      <c r="L1751">
        <v>11537.74</v>
      </c>
      <c r="M1751">
        <v>201</v>
      </c>
      <c r="N1751" t="s">
        <v>16</v>
      </c>
      <c r="O1751" t="s">
        <v>57</v>
      </c>
    </row>
    <row r="1752" spans="1:15" x14ac:dyDescent="0.3">
      <c r="A1752" t="s">
        <v>600</v>
      </c>
      <c r="B1752" t="s">
        <v>599</v>
      </c>
      <c r="C1752" t="s">
        <v>74</v>
      </c>
      <c r="D1752">
        <v>73</v>
      </c>
      <c r="E1752" t="s">
        <v>39</v>
      </c>
      <c r="F1752" t="s">
        <v>46</v>
      </c>
      <c r="G1752" s="8">
        <v>46031</v>
      </c>
      <c r="H1752" s="8">
        <v>46041</v>
      </c>
      <c r="I1752" t="s">
        <v>9830</v>
      </c>
      <c r="J1752" t="s">
        <v>597</v>
      </c>
      <c r="K1752" t="s">
        <v>27</v>
      </c>
      <c r="L1752">
        <v>4479.09</v>
      </c>
      <c r="M1752">
        <v>479</v>
      </c>
      <c r="N1752" t="s">
        <v>16</v>
      </c>
      <c r="O1752" t="s">
        <v>57</v>
      </c>
    </row>
    <row r="1753" spans="1:15" x14ac:dyDescent="0.3">
      <c r="A1753" t="s">
        <v>596</v>
      </c>
      <c r="B1753" t="s">
        <v>595</v>
      </c>
      <c r="C1753" t="s">
        <v>40</v>
      </c>
      <c r="D1753">
        <v>13</v>
      </c>
      <c r="E1753" t="s">
        <v>54</v>
      </c>
      <c r="F1753" t="s">
        <v>67</v>
      </c>
      <c r="G1753" s="8">
        <v>46126</v>
      </c>
      <c r="H1753" s="8">
        <v>46147</v>
      </c>
      <c r="I1753" t="s">
        <v>9831</v>
      </c>
      <c r="J1753" t="s">
        <v>593</v>
      </c>
      <c r="K1753" t="s">
        <v>64</v>
      </c>
      <c r="L1753">
        <v>16080.87</v>
      </c>
      <c r="M1753">
        <v>383</v>
      </c>
      <c r="N1753" t="s">
        <v>34</v>
      </c>
      <c r="O1753" t="s">
        <v>57</v>
      </c>
    </row>
    <row r="1754" spans="1:15" x14ac:dyDescent="0.3">
      <c r="A1754" t="s">
        <v>592</v>
      </c>
      <c r="B1754" t="s">
        <v>591</v>
      </c>
      <c r="C1754" t="s">
        <v>40</v>
      </c>
      <c r="D1754">
        <v>31</v>
      </c>
      <c r="E1754" t="s">
        <v>39</v>
      </c>
      <c r="F1754" t="s">
        <v>67</v>
      </c>
      <c r="G1754" s="8">
        <v>46115</v>
      </c>
      <c r="H1754" s="8">
        <v>46135</v>
      </c>
      <c r="I1754" t="s">
        <v>9832</v>
      </c>
      <c r="J1754" t="s">
        <v>589</v>
      </c>
      <c r="K1754" t="s">
        <v>64</v>
      </c>
      <c r="L1754">
        <v>17621.259999999998</v>
      </c>
      <c r="M1754">
        <v>504</v>
      </c>
      <c r="N1754" t="s">
        <v>34</v>
      </c>
      <c r="O1754" t="s">
        <v>57</v>
      </c>
    </row>
    <row r="1755" spans="1:15" x14ac:dyDescent="0.3">
      <c r="A1755" t="s">
        <v>588</v>
      </c>
      <c r="B1755" t="s">
        <v>587</v>
      </c>
      <c r="C1755" t="s">
        <v>74</v>
      </c>
      <c r="D1755">
        <v>41</v>
      </c>
      <c r="E1755" t="s">
        <v>132</v>
      </c>
      <c r="F1755" t="s">
        <v>30</v>
      </c>
      <c r="G1755" s="8">
        <v>46139</v>
      </c>
      <c r="H1755" s="8">
        <v>46152</v>
      </c>
      <c r="I1755" t="s">
        <v>9833</v>
      </c>
      <c r="J1755" t="s">
        <v>585</v>
      </c>
      <c r="K1755" t="s">
        <v>64</v>
      </c>
      <c r="L1755">
        <v>12329.76</v>
      </c>
      <c r="M1755">
        <v>477</v>
      </c>
      <c r="N1755" t="s">
        <v>25</v>
      </c>
      <c r="O1755" t="s">
        <v>123</v>
      </c>
    </row>
    <row r="1756" spans="1:15" x14ac:dyDescent="0.3">
      <c r="A1756" t="s">
        <v>584</v>
      </c>
      <c r="B1756" t="s">
        <v>583</v>
      </c>
      <c r="C1756" t="s">
        <v>123</v>
      </c>
      <c r="D1756">
        <v>29</v>
      </c>
      <c r="E1756" t="s">
        <v>39</v>
      </c>
      <c r="F1756" t="s">
        <v>67</v>
      </c>
      <c r="G1756" s="8">
        <v>46029</v>
      </c>
      <c r="H1756" s="8">
        <v>46038</v>
      </c>
      <c r="I1756" t="s">
        <v>9834</v>
      </c>
      <c r="J1756" t="s">
        <v>581</v>
      </c>
      <c r="K1756" t="s">
        <v>64</v>
      </c>
      <c r="L1756">
        <v>23559.08</v>
      </c>
      <c r="M1756">
        <v>233</v>
      </c>
      <c r="N1756" t="s">
        <v>50</v>
      </c>
      <c r="O1756" t="s">
        <v>17</v>
      </c>
    </row>
    <row r="1757" spans="1:15" x14ac:dyDescent="0.3">
      <c r="A1757" t="s">
        <v>580</v>
      </c>
      <c r="B1757" t="s">
        <v>579</v>
      </c>
      <c r="C1757" t="s">
        <v>40</v>
      </c>
      <c r="D1757">
        <v>74</v>
      </c>
      <c r="E1757" t="s">
        <v>68</v>
      </c>
      <c r="F1757" t="s">
        <v>20</v>
      </c>
      <c r="G1757" s="8">
        <v>46095</v>
      </c>
      <c r="H1757" s="8">
        <v>46100</v>
      </c>
      <c r="I1757" t="s">
        <v>9835</v>
      </c>
      <c r="J1757" t="s">
        <v>577</v>
      </c>
      <c r="K1757" t="s">
        <v>123</v>
      </c>
      <c r="L1757">
        <v>15169.46</v>
      </c>
      <c r="M1757">
        <v>101</v>
      </c>
      <c r="N1757" t="s">
        <v>71</v>
      </c>
      <c r="O1757" t="s">
        <v>123</v>
      </c>
    </row>
    <row r="1758" spans="1:15" x14ac:dyDescent="0.3">
      <c r="A1758" t="s">
        <v>576</v>
      </c>
      <c r="B1758" t="s">
        <v>575</v>
      </c>
      <c r="C1758" t="s">
        <v>40</v>
      </c>
      <c r="D1758">
        <v>57</v>
      </c>
      <c r="E1758" t="s">
        <v>80</v>
      </c>
      <c r="F1758" t="s">
        <v>20</v>
      </c>
      <c r="G1758" s="8">
        <v>46056</v>
      </c>
      <c r="H1758" s="8">
        <v>46057</v>
      </c>
      <c r="I1758" t="s">
        <v>9836</v>
      </c>
      <c r="J1758" t="s">
        <v>573</v>
      </c>
      <c r="K1758" t="s">
        <v>64</v>
      </c>
      <c r="L1758">
        <v>6312.94</v>
      </c>
      <c r="M1758">
        <v>488</v>
      </c>
      <c r="N1758" t="s">
        <v>34</v>
      </c>
      <c r="O1758" t="s">
        <v>123</v>
      </c>
    </row>
    <row r="1759" spans="1:15" x14ac:dyDescent="0.3">
      <c r="A1759" t="s">
        <v>568</v>
      </c>
      <c r="B1759" t="s">
        <v>567</v>
      </c>
      <c r="C1759" t="s">
        <v>40</v>
      </c>
      <c r="D1759">
        <v>87</v>
      </c>
      <c r="E1759" t="s">
        <v>80</v>
      </c>
      <c r="F1759" t="s">
        <v>20</v>
      </c>
      <c r="G1759" s="8">
        <v>46135</v>
      </c>
      <c r="H1759" s="8">
        <v>46160</v>
      </c>
      <c r="I1759" t="s">
        <v>9837</v>
      </c>
      <c r="J1759" t="s">
        <v>565</v>
      </c>
      <c r="K1759" t="s">
        <v>64</v>
      </c>
      <c r="L1759">
        <v>10048.870000000001</v>
      </c>
      <c r="M1759">
        <v>380</v>
      </c>
      <c r="N1759" t="s">
        <v>71</v>
      </c>
      <c r="O1759" t="s">
        <v>27</v>
      </c>
    </row>
    <row r="1760" spans="1:15" x14ac:dyDescent="0.3">
      <c r="A1760" t="s">
        <v>564</v>
      </c>
      <c r="B1760" t="s">
        <v>563</v>
      </c>
      <c r="C1760" t="s">
        <v>40</v>
      </c>
      <c r="D1760">
        <v>5</v>
      </c>
      <c r="E1760" t="s">
        <v>47</v>
      </c>
      <c r="F1760" t="s">
        <v>30</v>
      </c>
      <c r="G1760" s="8">
        <v>46135</v>
      </c>
      <c r="H1760" s="8">
        <v>46159</v>
      </c>
      <c r="I1760" t="s">
        <v>9838</v>
      </c>
      <c r="J1760" t="s">
        <v>561</v>
      </c>
      <c r="K1760" t="s">
        <v>123</v>
      </c>
      <c r="L1760">
        <v>15243.18</v>
      </c>
      <c r="M1760">
        <v>365</v>
      </c>
      <c r="N1760" t="s">
        <v>34</v>
      </c>
      <c r="O1760" t="s">
        <v>123</v>
      </c>
    </row>
    <row r="1761" spans="1:15" x14ac:dyDescent="0.3">
      <c r="A1761" t="s">
        <v>560</v>
      </c>
      <c r="B1761" t="s">
        <v>559</v>
      </c>
      <c r="C1761" t="s">
        <v>123</v>
      </c>
      <c r="D1761">
        <v>45</v>
      </c>
      <c r="E1761" t="s">
        <v>21</v>
      </c>
      <c r="F1761" t="s">
        <v>67</v>
      </c>
      <c r="G1761" s="8">
        <v>46048</v>
      </c>
      <c r="H1761" s="8">
        <v>46069</v>
      </c>
      <c r="I1761" t="s">
        <v>9839</v>
      </c>
      <c r="J1761" t="s">
        <v>557</v>
      </c>
      <c r="K1761" t="s">
        <v>64</v>
      </c>
      <c r="L1761">
        <v>4779.47</v>
      </c>
      <c r="M1761">
        <v>131</v>
      </c>
      <c r="N1761" t="s">
        <v>50</v>
      </c>
      <c r="O1761" t="s">
        <v>123</v>
      </c>
    </row>
    <row r="1762" spans="1:15" x14ac:dyDescent="0.3">
      <c r="A1762" t="s">
        <v>556</v>
      </c>
      <c r="B1762" t="s">
        <v>555</v>
      </c>
      <c r="C1762" t="s">
        <v>40</v>
      </c>
      <c r="D1762">
        <v>26</v>
      </c>
      <c r="E1762" t="s">
        <v>47</v>
      </c>
      <c r="F1762" t="s">
        <v>30</v>
      </c>
      <c r="G1762" s="8">
        <v>45989</v>
      </c>
      <c r="H1762" s="8">
        <v>45998</v>
      </c>
      <c r="I1762" t="s">
        <v>9840</v>
      </c>
      <c r="J1762" t="s">
        <v>553</v>
      </c>
      <c r="K1762" t="s">
        <v>64</v>
      </c>
      <c r="L1762">
        <v>23079.11</v>
      </c>
      <c r="M1762">
        <v>517</v>
      </c>
      <c r="N1762" t="s">
        <v>34</v>
      </c>
      <c r="O1762" t="s">
        <v>64</v>
      </c>
    </row>
    <row r="1763" spans="1:15" x14ac:dyDescent="0.3">
      <c r="A1763" t="s">
        <v>552</v>
      </c>
      <c r="B1763" t="s">
        <v>551</v>
      </c>
      <c r="C1763" t="s">
        <v>74</v>
      </c>
      <c r="D1763">
        <v>15</v>
      </c>
      <c r="E1763" t="s">
        <v>68</v>
      </c>
      <c r="F1763" t="s">
        <v>20</v>
      </c>
      <c r="G1763" s="8">
        <v>46063</v>
      </c>
      <c r="H1763" s="8">
        <v>46074</v>
      </c>
      <c r="I1763" t="s">
        <v>9841</v>
      </c>
      <c r="J1763" t="s">
        <v>549</v>
      </c>
      <c r="K1763" t="s">
        <v>27</v>
      </c>
      <c r="L1763">
        <v>23861.54</v>
      </c>
      <c r="M1763">
        <v>111</v>
      </c>
      <c r="N1763" t="s">
        <v>50</v>
      </c>
      <c r="O1763" t="s">
        <v>64</v>
      </c>
    </row>
    <row r="1764" spans="1:15" x14ac:dyDescent="0.3">
      <c r="A1764" t="s">
        <v>548</v>
      </c>
      <c r="B1764" t="s">
        <v>547</v>
      </c>
      <c r="C1764" t="s">
        <v>40</v>
      </c>
      <c r="D1764">
        <v>83</v>
      </c>
      <c r="E1764" t="s">
        <v>39</v>
      </c>
      <c r="F1764" t="s">
        <v>67</v>
      </c>
      <c r="G1764" s="8">
        <v>46148</v>
      </c>
      <c r="H1764" s="8">
        <v>46169</v>
      </c>
      <c r="I1764" t="s">
        <v>9842</v>
      </c>
      <c r="J1764" t="s">
        <v>545</v>
      </c>
      <c r="K1764" t="s">
        <v>27</v>
      </c>
      <c r="L1764">
        <v>2493.38</v>
      </c>
      <c r="M1764">
        <v>344</v>
      </c>
      <c r="N1764" t="s">
        <v>43</v>
      </c>
      <c r="O1764" t="s">
        <v>57</v>
      </c>
    </row>
    <row r="1765" spans="1:15" x14ac:dyDescent="0.3">
      <c r="A1765" t="s">
        <v>544</v>
      </c>
      <c r="B1765" t="s">
        <v>543</v>
      </c>
      <c r="C1765" t="s">
        <v>74</v>
      </c>
      <c r="D1765">
        <v>8</v>
      </c>
      <c r="E1765" t="s">
        <v>21</v>
      </c>
      <c r="F1765" t="s">
        <v>46</v>
      </c>
      <c r="G1765" s="8">
        <v>46046</v>
      </c>
      <c r="H1765" s="8">
        <v>46064</v>
      </c>
      <c r="I1765" t="s">
        <v>9843</v>
      </c>
      <c r="J1765" t="s">
        <v>541</v>
      </c>
      <c r="K1765" t="s">
        <v>123</v>
      </c>
      <c r="L1765">
        <v>24806.03</v>
      </c>
      <c r="M1765">
        <v>207</v>
      </c>
      <c r="N1765" t="s">
        <v>25</v>
      </c>
      <c r="O1765" t="s">
        <v>64</v>
      </c>
    </row>
    <row r="1766" spans="1:15" x14ac:dyDescent="0.3">
      <c r="A1766" t="s">
        <v>540</v>
      </c>
      <c r="B1766" t="s">
        <v>539</v>
      </c>
      <c r="C1766" t="s">
        <v>123</v>
      </c>
      <c r="D1766">
        <v>12</v>
      </c>
      <c r="E1766" t="s">
        <v>80</v>
      </c>
      <c r="F1766" t="s">
        <v>20</v>
      </c>
      <c r="G1766" s="8">
        <v>46063</v>
      </c>
      <c r="H1766" s="8">
        <v>46075</v>
      </c>
      <c r="I1766" t="s">
        <v>9844</v>
      </c>
      <c r="J1766" t="s">
        <v>537</v>
      </c>
      <c r="K1766" t="s">
        <v>27</v>
      </c>
      <c r="L1766">
        <v>15905.61</v>
      </c>
      <c r="M1766">
        <v>159</v>
      </c>
      <c r="N1766" t="s">
        <v>71</v>
      </c>
      <c r="O1766" t="s">
        <v>26</v>
      </c>
    </row>
    <row r="1767" spans="1:15" x14ac:dyDescent="0.3">
      <c r="A1767" t="s">
        <v>536</v>
      </c>
      <c r="B1767" t="s">
        <v>535</v>
      </c>
      <c r="C1767" t="s">
        <v>40</v>
      </c>
      <c r="D1767">
        <v>16</v>
      </c>
      <c r="E1767" t="s">
        <v>68</v>
      </c>
      <c r="F1767" t="s">
        <v>67</v>
      </c>
      <c r="G1767" s="8">
        <v>46021</v>
      </c>
      <c r="H1767" s="8">
        <v>46035</v>
      </c>
      <c r="I1767" t="s">
        <v>9845</v>
      </c>
      <c r="J1767" t="s">
        <v>533</v>
      </c>
      <c r="K1767" t="s">
        <v>27</v>
      </c>
      <c r="L1767">
        <v>1526.89</v>
      </c>
      <c r="M1767">
        <v>159</v>
      </c>
      <c r="N1767" t="s">
        <v>77</v>
      </c>
      <c r="O1767" t="s">
        <v>64</v>
      </c>
    </row>
    <row r="1768" spans="1:15" x14ac:dyDescent="0.3">
      <c r="A1768" t="s">
        <v>532</v>
      </c>
      <c r="B1768" t="s">
        <v>531</v>
      </c>
      <c r="C1768" t="s">
        <v>123</v>
      </c>
      <c r="D1768">
        <v>52</v>
      </c>
      <c r="E1768" t="s">
        <v>80</v>
      </c>
      <c r="F1768" t="s">
        <v>20</v>
      </c>
      <c r="G1768" s="8">
        <v>46056</v>
      </c>
      <c r="H1768" s="8">
        <v>46085</v>
      </c>
      <c r="I1768" t="s">
        <v>9846</v>
      </c>
      <c r="J1768" t="s">
        <v>529</v>
      </c>
      <c r="K1768" t="s">
        <v>27</v>
      </c>
      <c r="L1768">
        <v>1237.9100000000001</v>
      </c>
      <c r="M1768">
        <v>328</v>
      </c>
      <c r="N1768" t="s">
        <v>71</v>
      </c>
      <c r="O1768" t="s">
        <v>27</v>
      </c>
    </row>
    <row r="1769" spans="1:15" x14ac:dyDescent="0.3">
      <c r="A1769" t="s">
        <v>528</v>
      </c>
      <c r="B1769" t="s">
        <v>527</v>
      </c>
      <c r="C1769" t="s">
        <v>74</v>
      </c>
      <c r="D1769">
        <v>85</v>
      </c>
      <c r="E1769" t="s">
        <v>68</v>
      </c>
      <c r="F1769" t="s">
        <v>8077</v>
      </c>
      <c r="G1769" s="8">
        <v>45983</v>
      </c>
      <c r="H1769" s="8">
        <v>45989</v>
      </c>
      <c r="I1769" t="s">
        <v>9847</v>
      </c>
      <c r="J1769" t="s">
        <v>525</v>
      </c>
      <c r="K1769" t="s">
        <v>64</v>
      </c>
      <c r="L1769">
        <v>1118.17</v>
      </c>
      <c r="M1769">
        <v>320</v>
      </c>
      <c r="N1769" t="s">
        <v>16</v>
      </c>
      <c r="O1769" t="s">
        <v>57</v>
      </c>
    </row>
    <row r="1770" spans="1:15" x14ac:dyDescent="0.3">
      <c r="A1770" t="s">
        <v>524</v>
      </c>
      <c r="B1770" t="s">
        <v>523</v>
      </c>
      <c r="C1770" t="s">
        <v>74</v>
      </c>
      <c r="D1770">
        <v>27</v>
      </c>
      <c r="E1770" t="s">
        <v>47</v>
      </c>
      <c r="F1770" t="s">
        <v>20</v>
      </c>
      <c r="G1770" s="8">
        <v>46074</v>
      </c>
      <c r="H1770" s="8">
        <v>46088</v>
      </c>
      <c r="I1770" t="s">
        <v>9848</v>
      </c>
      <c r="J1770" t="s">
        <v>521</v>
      </c>
      <c r="K1770" t="s">
        <v>27</v>
      </c>
      <c r="L1770">
        <v>19460.89</v>
      </c>
      <c r="M1770">
        <v>176</v>
      </c>
      <c r="N1770" t="s">
        <v>50</v>
      </c>
      <c r="O1770" t="s">
        <v>64</v>
      </c>
    </row>
    <row r="1771" spans="1:15" x14ac:dyDescent="0.3">
      <c r="A1771" t="s">
        <v>520</v>
      </c>
      <c r="B1771" t="s">
        <v>519</v>
      </c>
      <c r="C1771" t="s">
        <v>40</v>
      </c>
      <c r="D1771">
        <v>23</v>
      </c>
      <c r="E1771" t="s">
        <v>80</v>
      </c>
      <c r="F1771" t="s">
        <v>20</v>
      </c>
      <c r="G1771" s="8">
        <v>46010</v>
      </c>
      <c r="H1771" s="8">
        <v>46019</v>
      </c>
      <c r="I1771" t="s">
        <v>9849</v>
      </c>
      <c r="J1771" t="s">
        <v>517</v>
      </c>
      <c r="K1771" t="s">
        <v>27</v>
      </c>
      <c r="L1771">
        <v>19787.96</v>
      </c>
      <c r="M1771">
        <v>420</v>
      </c>
      <c r="N1771" t="s">
        <v>34</v>
      </c>
      <c r="O1771" t="s">
        <v>123</v>
      </c>
    </row>
    <row r="1772" spans="1:15" x14ac:dyDescent="0.3">
      <c r="A1772" t="s">
        <v>516</v>
      </c>
      <c r="B1772" t="s">
        <v>515</v>
      </c>
      <c r="C1772" t="s">
        <v>40</v>
      </c>
      <c r="D1772">
        <v>44</v>
      </c>
      <c r="E1772" t="s">
        <v>47</v>
      </c>
      <c r="F1772" t="s">
        <v>67</v>
      </c>
      <c r="G1772" s="8">
        <v>46057</v>
      </c>
      <c r="H1772" s="8">
        <v>46061</v>
      </c>
      <c r="I1772" t="s">
        <v>9850</v>
      </c>
      <c r="J1772" t="s">
        <v>513</v>
      </c>
      <c r="K1772" t="s">
        <v>27</v>
      </c>
      <c r="L1772">
        <v>14988.82</v>
      </c>
      <c r="M1772">
        <v>165</v>
      </c>
      <c r="N1772" t="s">
        <v>77</v>
      </c>
      <c r="O1772" t="s">
        <v>123</v>
      </c>
    </row>
    <row r="1773" spans="1:15" x14ac:dyDescent="0.3">
      <c r="A1773" t="s">
        <v>512</v>
      </c>
      <c r="B1773" t="s">
        <v>511</v>
      </c>
      <c r="C1773" t="s">
        <v>74</v>
      </c>
      <c r="D1773">
        <v>90</v>
      </c>
      <c r="E1773" t="s">
        <v>31</v>
      </c>
      <c r="F1773" t="s">
        <v>67</v>
      </c>
      <c r="G1773" s="8">
        <v>46052</v>
      </c>
      <c r="H1773" s="8">
        <v>46075</v>
      </c>
      <c r="I1773" t="s">
        <v>8230</v>
      </c>
      <c r="J1773" t="s">
        <v>509</v>
      </c>
      <c r="K1773" t="s">
        <v>123</v>
      </c>
      <c r="L1773">
        <v>21023.22</v>
      </c>
      <c r="M1773">
        <v>514</v>
      </c>
      <c r="N1773" t="s">
        <v>25</v>
      </c>
      <c r="O1773" t="s">
        <v>64</v>
      </c>
    </row>
    <row r="1774" spans="1:15" x14ac:dyDescent="0.3">
      <c r="A1774" t="s">
        <v>508</v>
      </c>
      <c r="B1774" t="s">
        <v>507</v>
      </c>
      <c r="C1774" t="s">
        <v>40</v>
      </c>
      <c r="D1774">
        <v>28</v>
      </c>
      <c r="E1774" t="s">
        <v>31</v>
      </c>
      <c r="F1774" t="s">
        <v>20</v>
      </c>
      <c r="G1774" s="8">
        <v>46058</v>
      </c>
      <c r="H1774" s="8">
        <v>46082</v>
      </c>
      <c r="I1774" t="s">
        <v>9851</v>
      </c>
      <c r="J1774" t="s">
        <v>505</v>
      </c>
      <c r="K1774" t="s">
        <v>123</v>
      </c>
      <c r="L1774">
        <v>20622.64</v>
      </c>
      <c r="M1774">
        <v>217</v>
      </c>
      <c r="N1774" t="s">
        <v>16</v>
      </c>
      <c r="O1774" t="s">
        <v>64</v>
      </c>
    </row>
    <row r="1775" spans="1:15" x14ac:dyDescent="0.3">
      <c r="A1775" t="s">
        <v>504</v>
      </c>
      <c r="B1775" t="s">
        <v>503</v>
      </c>
      <c r="C1775" t="s">
        <v>74</v>
      </c>
      <c r="D1775">
        <v>19</v>
      </c>
      <c r="E1775" t="s">
        <v>132</v>
      </c>
      <c r="F1775" t="s">
        <v>8077</v>
      </c>
      <c r="G1775" s="8">
        <v>46105</v>
      </c>
      <c r="H1775" s="8">
        <v>46118</v>
      </c>
      <c r="I1775" t="s">
        <v>9852</v>
      </c>
      <c r="J1775" t="s">
        <v>501</v>
      </c>
      <c r="K1775" t="s">
        <v>64</v>
      </c>
      <c r="L1775">
        <v>13832.44</v>
      </c>
      <c r="M1775">
        <v>298</v>
      </c>
      <c r="N1775" t="s">
        <v>43</v>
      </c>
      <c r="O1775" t="s">
        <v>17</v>
      </c>
    </row>
    <row r="1776" spans="1:15" x14ac:dyDescent="0.3">
      <c r="A1776" t="s">
        <v>500</v>
      </c>
      <c r="B1776" t="s">
        <v>499</v>
      </c>
      <c r="C1776" t="s">
        <v>40</v>
      </c>
      <c r="D1776">
        <v>28</v>
      </c>
      <c r="E1776" t="s">
        <v>47</v>
      </c>
      <c r="F1776" t="s">
        <v>30</v>
      </c>
      <c r="G1776" s="8">
        <v>46134</v>
      </c>
      <c r="H1776" s="8">
        <v>46164</v>
      </c>
      <c r="I1776" t="s">
        <v>9853</v>
      </c>
      <c r="J1776" t="s">
        <v>497</v>
      </c>
      <c r="K1776" t="s">
        <v>64</v>
      </c>
      <c r="L1776">
        <v>22224.94</v>
      </c>
      <c r="M1776">
        <v>113</v>
      </c>
      <c r="N1776" t="s">
        <v>71</v>
      </c>
      <c r="O1776" t="s">
        <v>26</v>
      </c>
    </row>
    <row r="1777" spans="1:15" x14ac:dyDescent="0.3">
      <c r="A1777" t="s">
        <v>496</v>
      </c>
      <c r="B1777" t="s">
        <v>495</v>
      </c>
      <c r="C1777" t="s">
        <v>123</v>
      </c>
      <c r="D1777">
        <v>7</v>
      </c>
      <c r="E1777" t="s">
        <v>54</v>
      </c>
      <c r="F1777" t="s">
        <v>20</v>
      </c>
      <c r="G1777" s="8">
        <v>46063</v>
      </c>
      <c r="H1777" s="8">
        <v>46074</v>
      </c>
      <c r="I1777" t="s">
        <v>9854</v>
      </c>
      <c r="J1777" t="s">
        <v>493</v>
      </c>
      <c r="K1777" t="s">
        <v>27</v>
      </c>
      <c r="L1777">
        <v>12086.9</v>
      </c>
      <c r="M1777">
        <v>242</v>
      </c>
      <c r="N1777" t="s">
        <v>77</v>
      </c>
      <c r="O1777" t="s">
        <v>123</v>
      </c>
    </row>
    <row r="1778" spans="1:15" x14ac:dyDescent="0.3">
      <c r="A1778" t="s">
        <v>492</v>
      </c>
      <c r="B1778" t="s">
        <v>8075</v>
      </c>
      <c r="C1778" t="s">
        <v>40</v>
      </c>
      <c r="D1778">
        <v>77</v>
      </c>
      <c r="E1778" t="s">
        <v>47</v>
      </c>
      <c r="F1778" t="s">
        <v>85</v>
      </c>
      <c r="G1778" s="8">
        <v>45979</v>
      </c>
      <c r="H1778" s="8">
        <v>46002</v>
      </c>
      <c r="I1778" t="s">
        <v>9855</v>
      </c>
      <c r="J1778" t="s">
        <v>489</v>
      </c>
      <c r="K1778" t="s">
        <v>64</v>
      </c>
      <c r="L1778" t="s">
        <v>488</v>
      </c>
      <c r="M1778">
        <v>311</v>
      </c>
      <c r="N1778" t="s">
        <v>71</v>
      </c>
      <c r="O1778" t="s">
        <v>27</v>
      </c>
    </row>
    <row r="1779" spans="1:15" x14ac:dyDescent="0.3">
      <c r="A1779" t="s">
        <v>487</v>
      </c>
      <c r="B1779" t="s">
        <v>486</v>
      </c>
      <c r="C1779" t="s">
        <v>40</v>
      </c>
      <c r="D1779">
        <v>17</v>
      </c>
      <c r="E1779" t="s">
        <v>132</v>
      </c>
      <c r="F1779" t="s">
        <v>20</v>
      </c>
      <c r="G1779" s="8">
        <v>46019</v>
      </c>
      <c r="H1779" s="8">
        <v>46029</v>
      </c>
      <c r="I1779" t="s">
        <v>9856</v>
      </c>
      <c r="J1779" t="s">
        <v>484</v>
      </c>
      <c r="K1779" t="s">
        <v>64</v>
      </c>
      <c r="L1779">
        <v>6674.33</v>
      </c>
      <c r="M1779">
        <v>523</v>
      </c>
      <c r="N1779" t="s">
        <v>25</v>
      </c>
      <c r="O1779" t="s">
        <v>26</v>
      </c>
    </row>
    <row r="1780" spans="1:15" x14ac:dyDescent="0.3">
      <c r="A1780" t="s">
        <v>483</v>
      </c>
      <c r="B1780" t="s">
        <v>482</v>
      </c>
      <c r="C1780" t="s">
        <v>40</v>
      </c>
      <c r="D1780">
        <v>29</v>
      </c>
      <c r="E1780" t="s">
        <v>132</v>
      </c>
      <c r="F1780" t="s">
        <v>46</v>
      </c>
      <c r="G1780" s="8">
        <v>46020</v>
      </c>
      <c r="H1780" s="8">
        <v>46027</v>
      </c>
      <c r="I1780" t="s">
        <v>9857</v>
      </c>
      <c r="J1780" t="s">
        <v>480</v>
      </c>
      <c r="K1780" t="s">
        <v>27</v>
      </c>
      <c r="L1780">
        <v>3292.43</v>
      </c>
      <c r="M1780">
        <v>307</v>
      </c>
      <c r="N1780" t="s">
        <v>16</v>
      </c>
      <c r="O1780" t="s">
        <v>17</v>
      </c>
    </row>
    <row r="1781" spans="1:15" x14ac:dyDescent="0.3">
      <c r="A1781" t="s">
        <v>479</v>
      </c>
      <c r="B1781" t="s">
        <v>478</v>
      </c>
      <c r="C1781" t="s">
        <v>123</v>
      </c>
      <c r="D1781">
        <v>48</v>
      </c>
      <c r="E1781" t="s">
        <v>54</v>
      </c>
      <c r="F1781" t="s">
        <v>30</v>
      </c>
      <c r="G1781" s="8">
        <v>46006</v>
      </c>
      <c r="H1781" s="8">
        <v>46025</v>
      </c>
      <c r="I1781" t="s">
        <v>9858</v>
      </c>
      <c r="J1781" t="s">
        <v>476</v>
      </c>
      <c r="K1781" t="s">
        <v>64</v>
      </c>
      <c r="L1781">
        <v>9398.02</v>
      </c>
      <c r="M1781">
        <v>290</v>
      </c>
      <c r="N1781" t="s">
        <v>43</v>
      </c>
      <c r="O1781" t="s">
        <v>17</v>
      </c>
    </row>
    <row r="1782" spans="1:15" x14ac:dyDescent="0.3">
      <c r="A1782" t="s">
        <v>475</v>
      </c>
      <c r="B1782" t="s">
        <v>474</v>
      </c>
      <c r="C1782" t="s">
        <v>123</v>
      </c>
      <c r="D1782">
        <v>23</v>
      </c>
      <c r="E1782" t="s">
        <v>21</v>
      </c>
      <c r="F1782" t="s">
        <v>30</v>
      </c>
      <c r="G1782" s="8">
        <v>45991</v>
      </c>
      <c r="H1782" s="8">
        <v>46006</v>
      </c>
      <c r="I1782" t="s">
        <v>9859</v>
      </c>
      <c r="J1782" t="s">
        <v>472</v>
      </c>
      <c r="K1782" t="s">
        <v>64</v>
      </c>
      <c r="L1782">
        <v>3594.11</v>
      </c>
      <c r="M1782">
        <v>336</v>
      </c>
      <c r="N1782" t="s">
        <v>16</v>
      </c>
      <c r="O1782" t="s">
        <v>63</v>
      </c>
    </row>
    <row r="1783" spans="1:15" x14ac:dyDescent="0.3">
      <c r="A1783" t="s">
        <v>471</v>
      </c>
      <c r="B1783" t="s">
        <v>470</v>
      </c>
      <c r="C1783" t="s">
        <v>40</v>
      </c>
      <c r="D1783">
        <v>15</v>
      </c>
      <c r="E1783" t="s">
        <v>47</v>
      </c>
      <c r="F1783" t="s">
        <v>46</v>
      </c>
      <c r="G1783" s="8">
        <v>46123</v>
      </c>
      <c r="H1783" s="8">
        <v>46147</v>
      </c>
      <c r="I1783" t="s">
        <v>9860</v>
      </c>
      <c r="J1783" t="s">
        <v>468</v>
      </c>
      <c r="K1783" t="s">
        <v>64</v>
      </c>
      <c r="L1783">
        <v>19972.02</v>
      </c>
      <c r="M1783">
        <v>119</v>
      </c>
      <c r="N1783" t="s">
        <v>71</v>
      </c>
      <c r="O1783" t="s">
        <v>64</v>
      </c>
    </row>
    <row r="1784" spans="1:15" x14ac:dyDescent="0.3">
      <c r="A1784" t="s">
        <v>467</v>
      </c>
      <c r="B1784" t="s">
        <v>466</v>
      </c>
      <c r="C1784" t="s">
        <v>40</v>
      </c>
      <c r="D1784">
        <v>53</v>
      </c>
      <c r="E1784" t="s">
        <v>21</v>
      </c>
      <c r="F1784" t="s">
        <v>20</v>
      </c>
      <c r="G1784" s="8">
        <v>46060</v>
      </c>
      <c r="H1784" s="8">
        <v>46074</v>
      </c>
      <c r="I1784" t="s">
        <v>9861</v>
      </c>
      <c r="J1784" t="s">
        <v>464</v>
      </c>
      <c r="K1784" t="s">
        <v>123</v>
      </c>
      <c r="L1784">
        <v>7049.02</v>
      </c>
      <c r="M1784">
        <v>350</v>
      </c>
      <c r="N1784" t="s">
        <v>71</v>
      </c>
      <c r="O1784" t="s">
        <v>64</v>
      </c>
    </row>
    <row r="1785" spans="1:15" x14ac:dyDescent="0.3">
      <c r="A1785" t="s">
        <v>463</v>
      </c>
      <c r="B1785" t="s">
        <v>462</v>
      </c>
      <c r="C1785" t="s">
        <v>123</v>
      </c>
      <c r="D1785">
        <v>67</v>
      </c>
      <c r="E1785" t="s">
        <v>47</v>
      </c>
      <c r="F1785" t="s">
        <v>46</v>
      </c>
      <c r="G1785" s="8">
        <v>46037</v>
      </c>
      <c r="H1785" s="8">
        <v>46053</v>
      </c>
      <c r="I1785" t="s">
        <v>9862</v>
      </c>
      <c r="J1785" t="s">
        <v>460</v>
      </c>
      <c r="K1785" t="s">
        <v>64</v>
      </c>
      <c r="L1785">
        <v>20345.939999999999</v>
      </c>
      <c r="M1785">
        <v>329</v>
      </c>
      <c r="N1785" t="s">
        <v>77</v>
      </c>
      <c r="O1785" t="s">
        <v>17</v>
      </c>
    </row>
    <row r="1786" spans="1:15" x14ac:dyDescent="0.3">
      <c r="A1786" t="s">
        <v>459</v>
      </c>
      <c r="B1786" t="s">
        <v>458</v>
      </c>
      <c r="C1786" t="s">
        <v>40</v>
      </c>
      <c r="D1786">
        <v>76</v>
      </c>
      <c r="E1786" t="s">
        <v>47</v>
      </c>
      <c r="F1786" t="s">
        <v>20</v>
      </c>
      <c r="G1786" s="8">
        <v>46001</v>
      </c>
      <c r="H1786" s="8">
        <v>46011</v>
      </c>
      <c r="I1786" t="s">
        <v>9863</v>
      </c>
      <c r="J1786" t="s">
        <v>456</v>
      </c>
      <c r="K1786" t="s">
        <v>27</v>
      </c>
      <c r="L1786">
        <v>11693.69</v>
      </c>
      <c r="M1786">
        <v>360</v>
      </c>
      <c r="N1786" t="s">
        <v>77</v>
      </c>
      <c r="O1786" t="s">
        <v>57</v>
      </c>
    </row>
    <row r="1787" spans="1:15" x14ac:dyDescent="0.3">
      <c r="A1787" t="s">
        <v>455</v>
      </c>
      <c r="B1787" t="s">
        <v>454</v>
      </c>
      <c r="C1787" t="s">
        <v>123</v>
      </c>
      <c r="D1787">
        <v>58</v>
      </c>
      <c r="E1787" t="s">
        <v>80</v>
      </c>
      <c r="F1787" t="s">
        <v>8077</v>
      </c>
      <c r="G1787" s="8">
        <v>46129</v>
      </c>
      <c r="H1787" s="8">
        <v>46130</v>
      </c>
      <c r="I1787" t="s">
        <v>9864</v>
      </c>
      <c r="J1787" t="s">
        <v>452</v>
      </c>
      <c r="K1787" t="s">
        <v>123</v>
      </c>
      <c r="L1787">
        <v>17873.009999999998</v>
      </c>
      <c r="M1787">
        <v>140</v>
      </c>
      <c r="N1787" t="s">
        <v>77</v>
      </c>
      <c r="O1787" t="s">
        <v>17</v>
      </c>
    </row>
    <row r="1788" spans="1:15" x14ac:dyDescent="0.3">
      <c r="A1788" t="s">
        <v>451</v>
      </c>
      <c r="B1788" t="s">
        <v>450</v>
      </c>
      <c r="C1788" t="s">
        <v>40</v>
      </c>
      <c r="D1788">
        <v>47</v>
      </c>
      <c r="E1788" t="s">
        <v>132</v>
      </c>
      <c r="F1788" t="s">
        <v>85</v>
      </c>
      <c r="G1788" s="8">
        <v>46067</v>
      </c>
      <c r="H1788" s="8">
        <v>46076</v>
      </c>
      <c r="I1788" t="s">
        <v>9865</v>
      </c>
      <c r="J1788" t="s">
        <v>448</v>
      </c>
      <c r="K1788" t="s">
        <v>64</v>
      </c>
      <c r="L1788">
        <v>20065.46</v>
      </c>
      <c r="M1788">
        <v>158</v>
      </c>
      <c r="N1788" t="s">
        <v>25</v>
      </c>
      <c r="O1788" t="s">
        <v>26</v>
      </c>
    </row>
    <row r="1789" spans="1:15" x14ac:dyDescent="0.3">
      <c r="A1789" t="s">
        <v>447</v>
      </c>
      <c r="B1789" t="s">
        <v>446</v>
      </c>
      <c r="C1789" t="s">
        <v>74</v>
      </c>
      <c r="D1789">
        <v>4</v>
      </c>
      <c r="E1789" t="s">
        <v>47</v>
      </c>
      <c r="F1789" t="s">
        <v>67</v>
      </c>
      <c r="G1789" s="8">
        <v>46062</v>
      </c>
      <c r="H1789" s="8">
        <v>46067</v>
      </c>
      <c r="I1789" t="s">
        <v>9866</v>
      </c>
      <c r="J1789" t="s">
        <v>444</v>
      </c>
      <c r="K1789" t="s">
        <v>64</v>
      </c>
      <c r="L1789">
        <v>13385.95</v>
      </c>
      <c r="M1789">
        <v>328</v>
      </c>
      <c r="N1789" t="s">
        <v>16</v>
      </c>
      <c r="O1789" t="s">
        <v>17</v>
      </c>
    </row>
    <row r="1790" spans="1:15" x14ac:dyDescent="0.3">
      <c r="A1790" t="s">
        <v>439</v>
      </c>
      <c r="B1790" t="s">
        <v>438</v>
      </c>
      <c r="C1790" t="s">
        <v>74</v>
      </c>
      <c r="D1790">
        <v>78</v>
      </c>
      <c r="E1790" t="s">
        <v>54</v>
      </c>
      <c r="F1790" t="s">
        <v>20</v>
      </c>
      <c r="G1790" s="8">
        <v>46035</v>
      </c>
      <c r="H1790" s="8">
        <v>46061</v>
      </c>
      <c r="I1790" t="s">
        <v>9867</v>
      </c>
      <c r="J1790" t="s">
        <v>436</v>
      </c>
      <c r="K1790" t="s">
        <v>123</v>
      </c>
      <c r="L1790">
        <v>23064.84</v>
      </c>
      <c r="M1790">
        <v>301</v>
      </c>
      <c r="N1790" t="s">
        <v>16</v>
      </c>
      <c r="O1790" t="s">
        <v>123</v>
      </c>
    </row>
    <row r="1791" spans="1:15" x14ac:dyDescent="0.3">
      <c r="A1791" t="s">
        <v>435</v>
      </c>
      <c r="B1791" t="s">
        <v>434</v>
      </c>
      <c r="C1791" t="s">
        <v>40</v>
      </c>
      <c r="D1791">
        <v>11</v>
      </c>
      <c r="E1791" t="s">
        <v>31</v>
      </c>
      <c r="F1791" t="s">
        <v>20</v>
      </c>
      <c r="G1791" s="8">
        <v>46102</v>
      </c>
      <c r="H1791" s="8">
        <v>46118</v>
      </c>
      <c r="I1791" t="s">
        <v>9868</v>
      </c>
      <c r="J1791" t="s">
        <v>432</v>
      </c>
      <c r="K1791" t="s">
        <v>64</v>
      </c>
      <c r="L1791">
        <v>20801.189999999999</v>
      </c>
      <c r="M1791">
        <v>109</v>
      </c>
      <c r="N1791" t="s">
        <v>77</v>
      </c>
      <c r="O1791" t="s">
        <v>123</v>
      </c>
    </row>
    <row r="1792" spans="1:15" x14ac:dyDescent="0.3">
      <c r="A1792" t="s">
        <v>431</v>
      </c>
      <c r="B1792" t="s">
        <v>430</v>
      </c>
      <c r="C1792" t="s">
        <v>40</v>
      </c>
      <c r="D1792">
        <v>35</v>
      </c>
      <c r="E1792" t="s">
        <v>54</v>
      </c>
      <c r="F1792" t="s">
        <v>67</v>
      </c>
      <c r="G1792" s="8">
        <v>46002</v>
      </c>
      <c r="H1792" s="8">
        <v>46015</v>
      </c>
      <c r="I1792" t="s">
        <v>9869</v>
      </c>
      <c r="J1792" t="s">
        <v>428</v>
      </c>
      <c r="K1792" t="s">
        <v>64</v>
      </c>
      <c r="L1792">
        <v>7902.91</v>
      </c>
      <c r="M1792">
        <v>420</v>
      </c>
      <c r="N1792" t="s">
        <v>34</v>
      </c>
      <c r="O1792" t="s">
        <v>17</v>
      </c>
    </row>
    <row r="1793" spans="1:15" x14ac:dyDescent="0.3">
      <c r="A1793" t="s">
        <v>427</v>
      </c>
      <c r="B1793" t="s">
        <v>426</v>
      </c>
      <c r="C1793" t="s">
        <v>40</v>
      </c>
      <c r="D1793">
        <v>9</v>
      </c>
      <c r="E1793" t="s">
        <v>80</v>
      </c>
      <c r="F1793" t="s">
        <v>46</v>
      </c>
      <c r="G1793" s="8">
        <v>46039</v>
      </c>
      <c r="H1793" s="8">
        <v>46053</v>
      </c>
      <c r="I1793" t="s">
        <v>9870</v>
      </c>
      <c r="J1793" t="s">
        <v>424</v>
      </c>
      <c r="K1793" t="s">
        <v>123</v>
      </c>
      <c r="L1793">
        <v>16730.11</v>
      </c>
      <c r="M1793">
        <v>229</v>
      </c>
      <c r="N1793" t="s">
        <v>77</v>
      </c>
      <c r="O1793" t="s">
        <v>64</v>
      </c>
    </row>
    <row r="1794" spans="1:15" x14ac:dyDescent="0.3">
      <c r="A1794" t="s">
        <v>423</v>
      </c>
      <c r="B1794" t="s">
        <v>422</v>
      </c>
      <c r="C1794" t="s">
        <v>40</v>
      </c>
      <c r="D1794">
        <v>84</v>
      </c>
      <c r="E1794" t="s">
        <v>132</v>
      </c>
      <c r="F1794" t="s">
        <v>8077</v>
      </c>
      <c r="G1794" s="8">
        <v>45988</v>
      </c>
      <c r="H1794" s="8">
        <v>46005</v>
      </c>
      <c r="I1794" t="s">
        <v>9871</v>
      </c>
      <c r="J1794" t="s">
        <v>420</v>
      </c>
      <c r="K1794" t="s">
        <v>64</v>
      </c>
      <c r="L1794">
        <v>20549.580000000002</v>
      </c>
      <c r="M1794">
        <v>393</v>
      </c>
      <c r="N1794" t="s">
        <v>77</v>
      </c>
      <c r="O1794" t="s">
        <v>63</v>
      </c>
    </row>
    <row r="1795" spans="1:15" x14ac:dyDescent="0.3">
      <c r="A1795" t="s">
        <v>419</v>
      </c>
      <c r="B1795" t="s">
        <v>418</v>
      </c>
      <c r="C1795" t="s">
        <v>74</v>
      </c>
      <c r="D1795">
        <v>32</v>
      </c>
      <c r="E1795" t="s">
        <v>80</v>
      </c>
      <c r="F1795" t="s">
        <v>67</v>
      </c>
      <c r="G1795" s="8">
        <v>46007</v>
      </c>
      <c r="H1795" s="8">
        <v>46032</v>
      </c>
      <c r="I1795" t="s">
        <v>9872</v>
      </c>
      <c r="J1795" t="s">
        <v>416</v>
      </c>
      <c r="K1795" t="s">
        <v>27</v>
      </c>
      <c r="L1795">
        <v>1248.96</v>
      </c>
      <c r="M1795">
        <v>513</v>
      </c>
      <c r="N1795" t="s">
        <v>34</v>
      </c>
      <c r="O1795" t="s">
        <v>27</v>
      </c>
    </row>
    <row r="1796" spans="1:15" x14ac:dyDescent="0.3">
      <c r="A1796" t="s">
        <v>415</v>
      </c>
      <c r="B1796" t="s">
        <v>414</v>
      </c>
      <c r="C1796" t="s">
        <v>40</v>
      </c>
      <c r="D1796">
        <v>83</v>
      </c>
      <c r="E1796" t="s">
        <v>68</v>
      </c>
      <c r="F1796" t="s">
        <v>67</v>
      </c>
      <c r="G1796" s="8">
        <v>46057</v>
      </c>
      <c r="H1796" s="8">
        <v>46082</v>
      </c>
      <c r="I1796" t="s">
        <v>9873</v>
      </c>
      <c r="J1796" t="s">
        <v>412</v>
      </c>
      <c r="K1796" t="s">
        <v>123</v>
      </c>
      <c r="L1796">
        <v>16044.26</v>
      </c>
      <c r="M1796">
        <v>201</v>
      </c>
      <c r="N1796" t="s">
        <v>16</v>
      </c>
      <c r="O1796" t="s">
        <v>64</v>
      </c>
    </row>
    <row r="1797" spans="1:15" x14ac:dyDescent="0.3">
      <c r="A1797" t="s">
        <v>411</v>
      </c>
      <c r="B1797" t="s">
        <v>410</v>
      </c>
      <c r="C1797" t="s">
        <v>123</v>
      </c>
      <c r="D1797">
        <v>88</v>
      </c>
      <c r="E1797" t="s">
        <v>80</v>
      </c>
      <c r="F1797" t="s">
        <v>67</v>
      </c>
      <c r="G1797" s="8">
        <v>46024</v>
      </c>
      <c r="H1797" s="8">
        <v>46036</v>
      </c>
      <c r="I1797" t="s">
        <v>9874</v>
      </c>
      <c r="J1797" t="s">
        <v>408</v>
      </c>
      <c r="K1797" t="s">
        <v>27</v>
      </c>
      <c r="L1797">
        <v>2730.97</v>
      </c>
      <c r="M1797">
        <v>150</v>
      </c>
      <c r="N1797" t="s">
        <v>71</v>
      </c>
      <c r="O1797" t="s">
        <v>123</v>
      </c>
    </row>
    <row r="1798" spans="1:15" x14ac:dyDescent="0.3">
      <c r="A1798" t="s">
        <v>407</v>
      </c>
      <c r="B1798" t="s">
        <v>406</v>
      </c>
      <c r="C1798" t="s">
        <v>74</v>
      </c>
      <c r="D1798">
        <v>63</v>
      </c>
      <c r="E1798" t="s">
        <v>132</v>
      </c>
      <c r="F1798" t="s">
        <v>46</v>
      </c>
      <c r="G1798" s="8">
        <v>46011</v>
      </c>
      <c r="H1798" s="8">
        <v>46026</v>
      </c>
      <c r="I1798" t="s">
        <v>9875</v>
      </c>
      <c r="J1798" t="s">
        <v>404</v>
      </c>
      <c r="K1798" t="s">
        <v>123</v>
      </c>
      <c r="L1798">
        <v>14361.24</v>
      </c>
      <c r="M1798">
        <v>219</v>
      </c>
      <c r="N1798" t="s">
        <v>50</v>
      </c>
      <c r="O1798" t="s">
        <v>57</v>
      </c>
    </row>
    <row r="1799" spans="1:15" x14ac:dyDescent="0.3">
      <c r="A1799" t="s">
        <v>403</v>
      </c>
      <c r="B1799" t="s">
        <v>402</v>
      </c>
      <c r="C1799" t="s">
        <v>40</v>
      </c>
      <c r="D1799">
        <v>42</v>
      </c>
      <c r="E1799" t="s">
        <v>54</v>
      </c>
      <c r="F1799" t="s">
        <v>20</v>
      </c>
      <c r="G1799" s="8">
        <v>46107</v>
      </c>
      <c r="H1799" s="8">
        <v>46113</v>
      </c>
      <c r="I1799" t="s">
        <v>9876</v>
      </c>
      <c r="J1799" t="s">
        <v>400</v>
      </c>
      <c r="K1799" t="s">
        <v>27</v>
      </c>
      <c r="L1799">
        <v>14655.03</v>
      </c>
      <c r="M1799">
        <v>412</v>
      </c>
      <c r="N1799" t="s">
        <v>16</v>
      </c>
      <c r="O1799" t="s">
        <v>64</v>
      </c>
    </row>
    <row r="1800" spans="1:15" x14ac:dyDescent="0.3">
      <c r="A1800" t="s">
        <v>399</v>
      </c>
      <c r="B1800" t="s">
        <v>398</v>
      </c>
      <c r="C1800" t="s">
        <v>40</v>
      </c>
      <c r="D1800">
        <v>9</v>
      </c>
      <c r="E1800" t="s">
        <v>132</v>
      </c>
      <c r="F1800" t="s">
        <v>20</v>
      </c>
      <c r="G1800" s="8">
        <v>45990</v>
      </c>
      <c r="H1800" s="8">
        <v>46018</v>
      </c>
      <c r="I1800" t="s">
        <v>9877</v>
      </c>
      <c r="J1800" t="s">
        <v>396</v>
      </c>
      <c r="K1800" t="s">
        <v>123</v>
      </c>
      <c r="L1800">
        <v>21233.41</v>
      </c>
      <c r="M1800">
        <v>113</v>
      </c>
      <c r="N1800" t="s">
        <v>71</v>
      </c>
      <c r="O1800" t="s">
        <v>26</v>
      </c>
    </row>
    <row r="1801" spans="1:15" x14ac:dyDescent="0.3">
      <c r="A1801" t="s">
        <v>395</v>
      </c>
      <c r="B1801" t="s">
        <v>394</v>
      </c>
      <c r="C1801" t="s">
        <v>123</v>
      </c>
      <c r="D1801">
        <v>7</v>
      </c>
      <c r="E1801" t="s">
        <v>68</v>
      </c>
      <c r="F1801" t="s">
        <v>20</v>
      </c>
      <c r="G1801" s="8">
        <v>46112</v>
      </c>
      <c r="H1801" s="8">
        <v>46115</v>
      </c>
      <c r="I1801" t="s">
        <v>9878</v>
      </c>
      <c r="J1801" t="s">
        <v>392</v>
      </c>
      <c r="K1801" t="s">
        <v>64</v>
      </c>
      <c r="L1801">
        <v>10386.4</v>
      </c>
      <c r="M1801">
        <v>438</v>
      </c>
      <c r="N1801" t="s">
        <v>25</v>
      </c>
      <c r="O1801" t="s">
        <v>26</v>
      </c>
    </row>
    <row r="1802" spans="1:15" x14ac:dyDescent="0.3">
      <c r="A1802" t="s">
        <v>391</v>
      </c>
      <c r="B1802" t="s">
        <v>390</v>
      </c>
      <c r="C1802" t="s">
        <v>40</v>
      </c>
      <c r="D1802">
        <v>81</v>
      </c>
      <c r="E1802" t="s">
        <v>132</v>
      </c>
      <c r="F1802" t="s">
        <v>20</v>
      </c>
      <c r="G1802" s="8">
        <v>46001</v>
      </c>
      <c r="H1802" s="8">
        <v>46028</v>
      </c>
      <c r="I1802" t="s">
        <v>9879</v>
      </c>
      <c r="J1802" t="s">
        <v>388</v>
      </c>
      <c r="K1802" t="s">
        <v>64</v>
      </c>
      <c r="L1802">
        <v>6033.23</v>
      </c>
      <c r="M1802">
        <v>175</v>
      </c>
      <c r="N1802" t="s">
        <v>77</v>
      </c>
      <c r="O1802" t="s">
        <v>123</v>
      </c>
    </row>
    <row r="1803" spans="1:15" x14ac:dyDescent="0.3">
      <c r="A1803" t="s">
        <v>387</v>
      </c>
      <c r="B1803" t="s">
        <v>386</v>
      </c>
      <c r="C1803" t="s">
        <v>74</v>
      </c>
      <c r="D1803">
        <v>57</v>
      </c>
      <c r="E1803" t="s">
        <v>47</v>
      </c>
      <c r="F1803" t="s">
        <v>30</v>
      </c>
      <c r="G1803" s="8">
        <v>46106</v>
      </c>
      <c r="H1803" s="8">
        <v>46135</v>
      </c>
      <c r="I1803" t="s">
        <v>9880</v>
      </c>
      <c r="J1803" t="s">
        <v>384</v>
      </c>
      <c r="K1803" t="s">
        <v>27</v>
      </c>
      <c r="L1803">
        <v>20419.91</v>
      </c>
      <c r="M1803">
        <v>379</v>
      </c>
      <c r="N1803" t="s">
        <v>16</v>
      </c>
      <c r="O1803" t="s">
        <v>64</v>
      </c>
    </row>
    <row r="1804" spans="1:15" x14ac:dyDescent="0.3">
      <c r="A1804" t="s">
        <v>383</v>
      </c>
      <c r="B1804" t="s">
        <v>382</v>
      </c>
      <c r="C1804" t="s">
        <v>40</v>
      </c>
      <c r="D1804">
        <v>39</v>
      </c>
      <c r="E1804" t="s">
        <v>39</v>
      </c>
      <c r="F1804" t="s">
        <v>20</v>
      </c>
      <c r="G1804" s="8">
        <v>45989</v>
      </c>
      <c r="H1804" s="8">
        <v>46013</v>
      </c>
      <c r="I1804" t="s">
        <v>9881</v>
      </c>
      <c r="J1804" t="s">
        <v>380</v>
      </c>
      <c r="K1804" t="s">
        <v>64</v>
      </c>
      <c r="L1804">
        <v>11392.03</v>
      </c>
      <c r="M1804">
        <v>367</v>
      </c>
      <c r="N1804" t="s">
        <v>34</v>
      </c>
      <c r="O1804" t="s">
        <v>17</v>
      </c>
    </row>
    <row r="1805" spans="1:15" x14ac:dyDescent="0.3">
      <c r="A1805" t="s">
        <v>379</v>
      </c>
      <c r="B1805" t="s">
        <v>378</v>
      </c>
      <c r="C1805" t="s">
        <v>74</v>
      </c>
      <c r="D1805">
        <v>74</v>
      </c>
      <c r="E1805" t="s">
        <v>68</v>
      </c>
      <c r="F1805" t="s">
        <v>67</v>
      </c>
      <c r="G1805" s="8">
        <v>46127</v>
      </c>
      <c r="H1805" s="8">
        <v>46141</v>
      </c>
      <c r="I1805" t="s">
        <v>9882</v>
      </c>
      <c r="J1805" t="s">
        <v>376</v>
      </c>
      <c r="K1805" t="s">
        <v>27</v>
      </c>
      <c r="L1805">
        <v>13569.67</v>
      </c>
      <c r="M1805">
        <v>515</v>
      </c>
      <c r="N1805" t="s">
        <v>77</v>
      </c>
      <c r="O1805" t="s">
        <v>27</v>
      </c>
    </row>
    <row r="1806" spans="1:15" x14ac:dyDescent="0.3">
      <c r="A1806" t="s">
        <v>375</v>
      </c>
      <c r="B1806" t="s">
        <v>374</v>
      </c>
      <c r="C1806" t="s">
        <v>40</v>
      </c>
      <c r="D1806">
        <v>70</v>
      </c>
      <c r="E1806" t="s">
        <v>47</v>
      </c>
      <c r="F1806" t="s">
        <v>67</v>
      </c>
      <c r="G1806" s="8">
        <v>45997</v>
      </c>
      <c r="H1806" s="8">
        <v>46012</v>
      </c>
      <c r="I1806" t="s">
        <v>9883</v>
      </c>
      <c r="J1806" t="s">
        <v>372</v>
      </c>
      <c r="K1806" t="s">
        <v>64</v>
      </c>
      <c r="L1806">
        <v>11937.23</v>
      </c>
      <c r="M1806">
        <v>524</v>
      </c>
      <c r="N1806" t="s">
        <v>50</v>
      </c>
      <c r="O1806" t="s">
        <v>64</v>
      </c>
    </row>
    <row r="1807" spans="1:15" x14ac:dyDescent="0.3">
      <c r="A1807" t="s">
        <v>371</v>
      </c>
      <c r="B1807" t="s">
        <v>370</v>
      </c>
      <c r="C1807" t="s">
        <v>40</v>
      </c>
      <c r="D1807">
        <v>25</v>
      </c>
      <c r="E1807" t="s">
        <v>369</v>
      </c>
      <c r="F1807" t="s">
        <v>20</v>
      </c>
      <c r="G1807" s="8">
        <v>46058</v>
      </c>
      <c r="H1807" s="8">
        <v>46067</v>
      </c>
      <c r="I1807" t="s">
        <v>9884</v>
      </c>
      <c r="J1807" t="s">
        <v>123</v>
      </c>
      <c r="K1807" t="s">
        <v>123</v>
      </c>
      <c r="L1807">
        <v>-500</v>
      </c>
      <c r="M1807">
        <v>180</v>
      </c>
      <c r="N1807" t="s">
        <v>34</v>
      </c>
      <c r="O1807" t="s">
        <v>64</v>
      </c>
    </row>
    <row r="1808" spans="1:15" x14ac:dyDescent="0.3">
      <c r="A1808" t="s">
        <v>367</v>
      </c>
      <c r="B1808" t="s">
        <v>366</v>
      </c>
      <c r="C1808" t="s">
        <v>123</v>
      </c>
      <c r="D1808">
        <v>87</v>
      </c>
      <c r="E1808" t="s">
        <v>132</v>
      </c>
      <c r="F1808" t="s">
        <v>20</v>
      </c>
      <c r="G1808" s="8">
        <v>46144</v>
      </c>
      <c r="H1808" s="8">
        <v>46163</v>
      </c>
      <c r="I1808" t="s">
        <v>9885</v>
      </c>
      <c r="J1808" t="s">
        <v>364</v>
      </c>
      <c r="K1808" t="s">
        <v>123</v>
      </c>
      <c r="L1808">
        <v>14080.28</v>
      </c>
      <c r="M1808">
        <v>337</v>
      </c>
      <c r="N1808" t="s">
        <v>25</v>
      </c>
      <c r="O1808" t="s">
        <v>26</v>
      </c>
    </row>
    <row r="1809" spans="1:15" x14ac:dyDescent="0.3">
      <c r="A1809" t="s">
        <v>363</v>
      </c>
      <c r="B1809" t="s">
        <v>362</v>
      </c>
      <c r="C1809" t="s">
        <v>123</v>
      </c>
      <c r="D1809">
        <v>75</v>
      </c>
      <c r="E1809" t="s">
        <v>68</v>
      </c>
      <c r="F1809" t="s">
        <v>46</v>
      </c>
      <c r="G1809" s="8">
        <v>46003</v>
      </c>
      <c r="H1809" s="8">
        <v>46011</v>
      </c>
      <c r="I1809" t="s">
        <v>9886</v>
      </c>
      <c r="J1809" t="s">
        <v>360</v>
      </c>
      <c r="K1809" t="s">
        <v>27</v>
      </c>
      <c r="L1809">
        <v>14803.27</v>
      </c>
      <c r="M1809">
        <v>465</v>
      </c>
      <c r="N1809" t="s">
        <v>77</v>
      </c>
      <c r="O1809" t="s">
        <v>57</v>
      </c>
    </row>
    <row r="1810" spans="1:15" x14ac:dyDescent="0.3">
      <c r="A1810" t="s">
        <v>359</v>
      </c>
      <c r="B1810" t="s">
        <v>358</v>
      </c>
      <c r="C1810" t="s">
        <v>40</v>
      </c>
      <c r="D1810">
        <v>12</v>
      </c>
      <c r="E1810" t="s">
        <v>54</v>
      </c>
      <c r="F1810" t="s">
        <v>20</v>
      </c>
      <c r="G1810" s="8">
        <v>46141</v>
      </c>
      <c r="H1810" s="8">
        <v>46152</v>
      </c>
      <c r="I1810" t="s">
        <v>9887</v>
      </c>
      <c r="J1810" t="s">
        <v>356</v>
      </c>
      <c r="K1810" t="s">
        <v>123</v>
      </c>
      <c r="L1810">
        <v>1291.73</v>
      </c>
      <c r="M1810">
        <v>190</v>
      </c>
      <c r="N1810" t="s">
        <v>16</v>
      </c>
      <c r="O1810" t="s">
        <v>57</v>
      </c>
    </row>
    <row r="1811" spans="1:15" x14ac:dyDescent="0.3">
      <c r="A1811" t="s">
        <v>355</v>
      </c>
      <c r="B1811" t="s">
        <v>354</v>
      </c>
      <c r="C1811" t="s">
        <v>40</v>
      </c>
      <c r="D1811">
        <v>87</v>
      </c>
      <c r="E1811" t="s">
        <v>21</v>
      </c>
      <c r="F1811" t="s">
        <v>67</v>
      </c>
      <c r="G1811" s="8">
        <v>45977</v>
      </c>
      <c r="H1811" s="8">
        <v>46000</v>
      </c>
      <c r="I1811" t="s">
        <v>9888</v>
      </c>
      <c r="J1811" t="s">
        <v>352</v>
      </c>
      <c r="K1811" t="s">
        <v>123</v>
      </c>
      <c r="L1811">
        <v>8980.26</v>
      </c>
      <c r="M1811">
        <v>397</v>
      </c>
      <c r="N1811" t="s">
        <v>50</v>
      </c>
      <c r="O1811" t="s">
        <v>123</v>
      </c>
    </row>
    <row r="1812" spans="1:15" x14ac:dyDescent="0.3">
      <c r="A1812" t="s">
        <v>351</v>
      </c>
      <c r="B1812" t="s">
        <v>350</v>
      </c>
      <c r="C1812" t="s">
        <v>123</v>
      </c>
      <c r="D1812">
        <v>24</v>
      </c>
      <c r="E1812" t="s">
        <v>132</v>
      </c>
      <c r="F1812" t="s">
        <v>46</v>
      </c>
      <c r="G1812" s="8">
        <v>46073</v>
      </c>
      <c r="H1812" s="8">
        <v>46101</v>
      </c>
      <c r="I1812" t="s">
        <v>9889</v>
      </c>
      <c r="J1812" t="s">
        <v>348</v>
      </c>
      <c r="K1812" t="s">
        <v>123</v>
      </c>
      <c r="L1812">
        <v>17609.87</v>
      </c>
      <c r="M1812" t="s">
        <v>123</v>
      </c>
      <c r="N1812" t="s">
        <v>34</v>
      </c>
      <c r="O1812" t="s">
        <v>63</v>
      </c>
    </row>
    <row r="1813" spans="1:15" x14ac:dyDescent="0.3">
      <c r="A1813" t="s">
        <v>346</v>
      </c>
      <c r="B1813" t="s">
        <v>345</v>
      </c>
      <c r="C1813" t="s">
        <v>123</v>
      </c>
      <c r="D1813">
        <v>50</v>
      </c>
      <c r="E1813" t="s">
        <v>21</v>
      </c>
      <c r="F1813" t="s">
        <v>30</v>
      </c>
      <c r="G1813" s="8">
        <v>45975</v>
      </c>
      <c r="H1813" s="8">
        <v>46004</v>
      </c>
      <c r="I1813" t="s">
        <v>9890</v>
      </c>
      <c r="J1813" t="s">
        <v>343</v>
      </c>
      <c r="K1813" t="s">
        <v>123</v>
      </c>
      <c r="L1813">
        <v>835.4</v>
      </c>
      <c r="M1813">
        <v>361</v>
      </c>
      <c r="N1813" t="s">
        <v>43</v>
      </c>
      <c r="O1813" t="s">
        <v>123</v>
      </c>
    </row>
    <row r="1814" spans="1:15" x14ac:dyDescent="0.3">
      <c r="A1814" t="s">
        <v>342</v>
      </c>
      <c r="B1814" t="s">
        <v>341</v>
      </c>
      <c r="C1814" t="s">
        <v>40</v>
      </c>
      <c r="D1814">
        <v>9</v>
      </c>
      <c r="E1814" t="s">
        <v>68</v>
      </c>
      <c r="F1814" t="s">
        <v>46</v>
      </c>
      <c r="G1814" s="8">
        <v>46031</v>
      </c>
      <c r="H1814" s="8">
        <v>46035</v>
      </c>
      <c r="I1814" t="s">
        <v>9891</v>
      </c>
      <c r="J1814" t="s">
        <v>339</v>
      </c>
      <c r="K1814" t="s">
        <v>64</v>
      </c>
      <c r="L1814">
        <v>2734.8</v>
      </c>
      <c r="M1814">
        <v>181</v>
      </c>
      <c r="N1814" t="s">
        <v>43</v>
      </c>
      <c r="O1814" t="s">
        <v>26</v>
      </c>
    </row>
    <row r="1815" spans="1:15" x14ac:dyDescent="0.3">
      <c r="A1815" t="s">
        <v>338</v>
      </c>
      <c r="B1815" t="s">
        <v>337</v>
      </c>
      <c r="C1815" t="s">
        <v>74</v>
      </c>
      <c r="D1815">
        <v>81</v>
      </c>
      <c r="E1815" t="s">
        <v>54</v>
      </c>
      <c r="F1815" t="s">
        <v>30</v>
      </c>
      <c r="G1815" s="8">
        <v>46095</v>
      </c>
      <c r="H1815" s="8">
        <v>46112</v>
      </c>
      <c r="I1815" t="s">
        <v>9892</v>
      </c>
      <c r="J1815" t="s">
        <v>335</v>
      </c>
      <c r="K1815" t="s">
        <v>27</v>
      </c>
      <c r="L1815">
        <v>208.51</v>
      </c>
      <c r="M1815">
        <v>236</v>
      </c>
      <c r="N1815" t="s">
        <v>34</v>
      </c>
      <c r="O1815" t="s">
        <v>57</v>
      </c>
    </row>
    <row r="1816" spans="1:15" x14ac:dyDescent="0.3">
      <c r="A1816" t="s">
        <v>334</v>
      </c>
      <c r="B1816" t="s">
        <v>333</v>
      </c>
      <c r="C1816" t="s">
        <v>123</v>
      </c>
      <c r="D1816">
        <v>69</v>
      </c>
      <c r="E1816" t="s">
        <v>21</v>
      </c>
      <c r="F1816" t="s">
        <v>46</v>
      </c>
      <c r="G1816" s="8">
        <v>46116</v>
      </c>
      <c r="H1816" s="8">
        <v>46144</v>
      </c>
      <c r="I1816" t="s">
        <v>9893</v>
      </c>
      <c r="J1816" t="s">
        <v>331</v>
      </c>
      <c r="K1816" t="s">
        <v>123</v>
      </c>
      <c r="L1816">
        <v>3608.99</v>
      </c>
      <c r="M1816">
        <v>302</v>
      </c>
      <c r="N1816" t="s">
        <v>16</v>
      </c>
      <c r="O1816" t="s">
        <v>63</v>
      </c>
    </row>
    <row r="1817" spans="1:15" x14ac:dyDescent="0.3">
      <c r="A1817" t="s">
        <v>330</v>
      </c>
      <c r="B1817" t="s">
        <v>329</v>
      </c>
      <c r="C1817" t="s">
        <v>40</v>
      </c>
      <c r="D1817">
        <v>68</v>
      </c>
      <c r="E1817" t="s">
        <v>68</v>
      </c>
      <c r="F1817" t="s">
        <v>20</v>
      </c>
      <c r="G1817" s="8">
        <v>46072</v>
      </c>
      <c r="H1817" s="8">
        <v>46085</v>
      </c>
      <c r="I1817" t="s">
        <v>9894</v>
      </c>
      <c r="J1817" t="s">
        <v>327</v>
      </c>
      <c r="K1817" t="s">
        <v>27</v>
      </c>
      <c r="L1817">
        <v>15656.33</v>
      </c>
      <c r="M1817">
        <v>145</v>
      </c>
      <c r="N1817" t="s">
        <v>43</v>
      </c>
      <c r="O1817" t="s">
        <v>64</v>
      </c>
    </row>
    <row r="1818" spans="1:15" x14ac:dyDescent="0.3">
      <c r="A1818" t="s">
        <v>326</v>
      </c>
      <c r="B1818" t="s">
        <v>325</v>
      </c>
      <c r="C1818" t="s">
        <v>74</v>
      </c>
      <c r="D1818">
        <v>28</v>
      </c>
      <c r="E1818" t="s">
        <v>80</v>
      </c>
      <c r="F1818" t="s">
        <v>8077</v>
      </c>
      <c r="G1818" s="8">
        <v>46062</v>
      </c>
      <c r="H1818" s="8">
        <v>46073</v>
      </c>
      <c r="I1818" t="s">
        <v>9895</v>
      </c>
      <c r="J1818" t="s">
        <v>323</v>
      </c>
      <c r="K1818" t="s">
        <v>27</v>
      </c>
      <c r="L1818">
        <v>24964.76</v>
      </c>
      <c r="M1818">
        <v>465</v>
      </c>
      <c r="N1818" t="s">
        <v>16</v>
      </c>
      <c r="O1818" t="s">
        <v>57</v>
      </c>
    </row>
    <row r="1819" spans="1:15" x14ac:dyDescent="0.3">
      <c r="A1819" t="s">
        <v>322</v>
      </c>
      <c r="B1819" t="s">
        <v>8076</v>
      </c>
      <c r="C1819" t="s">
        <v>74</v>
      </c>
      <c r="D1819">
        <v>30</v>
      </c>
      <c r="E1819" t="s">
        <v>21</v>
      </c>
      <c r="F1819" t="s">
        <v>85</v>
      </c>
      <c r="G1819" s="8">
        <v>45994</v>
      </c>
      <c r="H1819" s="8">
        <v>46017</v>
      </c>
      <c r="I1819" t="s">
        <v>9896</v>
      </c>
      <c r="J1819" t="s">
        <v>319</v>
      </c>
      <c r="K1819" t="s">
        <v>123</v>
      </c>
      <c r="L1819">
        <v>22382.17</v>
      </c>
      <c r="M1819">
        <v>195</v>
      </c>
      <c r="N1819" t="s">
        <v>71</v>
      </c>
      <c r="O1819" t="s">
        <v>17</v>
      </c>
    </row>
    <row r="1820" spans="1:15" x14ac:dyDescent="0.3">
      <c r="A1820" t="s">
        <v>318</v>
      </c>
      <c r="B1820" t="s">
        <v>317</v>
      </c>
      <c r="C1820" t="s">
        <v>40</v>
      </c>
      <c r="D1820">
        <v>33</v>
      </c>
      <c r="E1820" t="s">
        <v>31</v>
      </c>
      <c r="F1820" t="s">
        <v>20</v>
      </c>
      <c r="G1820" s="8">
        <v>46062</v>
      </c>
      <c r="H1820" s="8">
        <v>46074</v>
      </c>
      <c r="I1820" t="s">
        <v>9897</v>
      </c>
      <c r="J1820" t="s">
        <v>315</v>
      </c>
      <c r="K1820" t="s">
        <v>64</v>
      </c>
      <c r="L1820">
        <v>19538.02</v>
      </c>
      <c r="M1820">
        <v>184</v>
      </c>
      <c r="N1820" t="s">
        <v>43</v>
      </c>
      <c r="O1820" t="s">
        <v>27</v>
      </c>
    </row>
    <row r="1821" spans="1:15" x14ac:dyDescent="0.3">
      <c r="A1821" t="s">
        <v>314</v>
      </c>
      <c r="B1821" t="s">
        <v>313</v>
      </c>
      <c r="C1821" t="s">
        <v>40</v>
      </c>
      <c r="D1821">
        <v>39</v>
      </c>
      <c r="E1821" t="s">
        <v>68</v>
      </c>
      <c r="F1821" t="s">
        <v>20</v>
      </c>
      <c r="G1821" s="8">
        <v>46126</v>
      </c>
      <c r="H1821" s="8">
        <v>46134</v>
      </c>
      <c r="I1821" t="s">
        <v>9898</v>
      </c>
      <c r="J1821" t="s">
        <v>311</v>
      </c>
      <c r="K1821" t="s">
        <v>64</v>
      </c>
      <c r="L1821">
        <v>15483.73</v>
      </c>
      <c r="M1821">
        <v>262</v>
      </c>
      <c r="N1821" t="s">
        <v>25</v>
      </c>
      <c r="O1821" t="s">
        <v>123</v>
      </c>
    </row>
    <row r="1822" spans="1:15" x14ac:dyDescent="0.3">
      <c r="A1822" t="s">
        <v>306</v>
      </c>
      <c r="B1822" t="s">
        <v>305</v>
      </c>
      <c r="C1822" t="s">
        <v>123</v>
      </c>
      <c r="D1822">
        <v>9</v>
      </c>
      <c r="E1822" t="s">
        <v>39</v>
      </c>
      <c r="F1822" t="s">
        <v>30</v>
      </c>
      <c r="G1822" s="8">
        <v>46107</v>
      </c>
      <c r="H1822" s="8">
        <v>46126</v>
      </c>
      <c r="I1822" t="s">
        <v>9899</v>
      </c>
      <c r="J1822" t="s">
        <v>303</v>
      </c>
      <c r="K1822" t="s">
        <v>27</v>
      </c>
      <c r="L1822">
        <v>13758.27</v>
      </c>
      <c r="M1822">
        <v>543</v>
      </c>
      <c r="N1822" t="s">
        <v>16</v>
      </c>
      <c r="O1822" t="s">
        <v>27</v>
      </c>
    </row>
    <row r="1823" spans="1:15" x14ac:dyDescent="0.3">
      <c r="A1823" t="s">
        <v>302</v>
      </c>
      <c r="B1823" t="s">
        <v>301</v>
      </c>
      <c r="C1823" t="s">
        <v>123</v>
      </c>
      <c r="D1823">
        <v>71</v>
      </c>
      <c r="E1823" t="s">
        <v>39</v>
      </c>
      <c r="F1823" t="s">
        <v>20</v>
      </c>
      <c r="G1823" s="8">
        <v>45981</v>
      </c>
      <c r="H1823" s="8">
        <v>45989</v>
      </c>
      <c r="I1823" t="s">
        <v>9900</v>
      </c>
      <c r="J1823" t="s">
        <v>299</v>
      </c>
      <c r="K1823" t="s">
        <v>64</v>
      </c>
      <c r="L1823">
        <v>11182.7</v>
      </c>
      <c r="M1823">
        <v>364</v>
      </c>
      <c r="N1823" t="s">
        <v>50</v>
      </c>
      <c r="O1823" t="s">
        <v>123</v>
      </c>
    </row>
    <row r="1824" spans="1:15" x14ac:dyDescent="0.3">
      <c r="A1824" t="s">
        <v>298</v>
      </c>
      <c r="B1824" t="s">
        <v>297</v>
      </c>
      <c r="C1824" t="s">
        <v>74</v>
      </c>
      <c r="D1824">
        <v>29</v>
      </c>
      <c r="E1824" t="s">
        <v>31</v>
      </c>
      <c r="F1824" t="s">
        <v>20</v>
      </c>
      <c r="G1824" s="8">
        <v>46139</v>
      </c>
      <c r="H1824" s="8">
        <v>46168</v>
      </c>
      <c r="I1824" t="s">
        <v>9901</v>
      </c>
      <c r="J1824" t="s">
        <v>295</v>
      </c>
      <c r="K1824" t="s">
        <v>123</v>
      </c>
      <c r="L1824">
        <v>15739.43</v>
      </c>
      <c r="M1824">
        <v>379</v>
      </c>
      <c r="N1824" t="s">
        <v>16</v>
      </c>
      <c r="O1824" t="s">
        <v>63</v>
      </c>
    </row>
    <row r="1825" spans="1:15" x14ac:dyDescent="0.3">
      <c r="A1825" t="s">
        <v>294</v>
      </c>
      <c r="B1825" t="s">
        <v>293</v>
      </c>
      <c r="C1825" t="s">
        <v>74</v>
      </c>
      <c r="D1825">
        <v>90</v>
      </c>
      <c r="E1825" t="s">
        <v>54</v>
      </c>
      <c r="F1825" t="s">
        <v>85</v>
      </c>
      <c r="G1825" s="8">
        <v>46119</v>
      </c>
      <c r="H1825" s="8">
        <v>46128</v>
      </c>
      <c r="I1825" t="s">
        <v>9902</v>
      </c>
      <c r="J1825" t="s">
        <v>291</v>
      </c>
      <c r="K1825" t="s">
        <v>123</v>
      </c>
      <c r="L1825">
        <v>14267.09</v>
      </c>
      <c r="M1825">
        <v>267</v>
      </c>
      <c r="N1825" t="s">
        <v>43</v>
      </c>
      <c r="O1825" t="s">
        <v>64</v>
      </c>
    </row>
    <row r="1826" spans="1:15" x14ac:dyDescent="0.3">
      <c r="A1826" t="s">
        <v>290</v>
      </c>
      <c r="B1826" t="s">
        <v>289</v>
      </c>
      <c r="C1826" t="s">
        <v>40</v>
      </c>
      <c r="D1826">
        <v>41</v>
      </c>
      <c r="E1826" t="s">
        <v>47</v>
      </c>
      <c r="F1826" t="s">
        <v>20</v>
      </c>
      <c r="G1826" s="8">
        <v>46141</v>
      </c>
      <c r="H1826" s="8">
        <v>46144</v>
      </c>
      <c r="I1826" t="s">
        <v>9903</v>
      </c>
      <c r="J1826" t="s">
        <v>287</v>
      </c>
      <c r="K1826" t="s">
        <v>27</v>
      </c>
      <c r="L1826">
        <v>18115.060000000001</v>
      </c>
      <c r="M1826">
        <v>129</v>
      </c>
      <c r="N1826" t="s">
        <v>50</v>
      </c>
      <c r="O1826" t="s">
        <v>26</v>
      </c>
    </row>
    <row r="1827" spans="1:15" x14ac:dyDescent="0.3">
      <c r="A1827" t="s">
        <v>286</v>
      </c>
      <c r="B1827" t="s">
        <v>285</v>
      </c>
      <c r="C1827" t="s">
        <v>123</v>
      </c>
      <c r="D1827">
        <v>47</v>
      </c>
      <c r="E1827" t="s">
        <v>21</v>
      </c>
      <c r="F1827" t="s">
        <v>67</v>
      </c>
      <c r="G1827" s="8">
        <v>46080</v>
      </c>
      <c r="H1827" s="8">
        <v>46108</v>
      </c>
      <c r="I1827" t="s">
        <v>9904</v>
      </c>
      <c r="J1827" t="s">
        <v>283</v>
      </c>
      <c r="K1827" t="s">
        <v>27</v>
      </c>
      <c r="L1827">
        <v>8911.27</v>
      </c>
      <c r="M1827">
        <v>342</v>
      </c>
      <c r="N1827" t="s">
        <v>77</v>
      </c>
      <c r="O1827" t="s">
        <v>64</v>
      </c>
    </row>
    <row r="1828" spans="1:15" x14ac:dyDescent="0.3">
      <c r="A1828" t="s">
        <v>282</v>
      </c>
      <c r="B1828" t="s">
        <v>281</v>
      </c>
      <c r="C1828" t="s">
        <v>123</v>
      </c>
      <c r="D1828">
        <v>88</v>
      </c>
      <c r="E1828" t="s">
        <v>47</v>
      </c>
      <c r="F1828" t="s">
        <v>8077</v>
      </c>
      <c r="G1828" s="8">
        <v>46080</v>
      </c>
      <c r="H1828" s="8">
        <v>46106</v>
      </c>
      <c r="I1828" t="s">
        <v>9905</v>
      </c>
      <c r="J1828" t="s">
        <v>279</v>
      </c>
      <c r="K1828" t="s">
        <v>123</v>
      </c>
      <c r="L1828">
        <v>5337.11</v>
      </c>
      <c r="M1828">
        <v>227</v>
      </c>
      <c r="N1828" t="s">
        <v>16</v>
      </c>
      <c r="O1828" t="s">
        <v>17</v>
      </c>
    </row>
    <row r="1829" spans="1:15" x14ac:dyDescent="0.3">
      <c r="A1829" t="s">
        <v>278</v>
      </c>
      <c r="B1829" t="s">
        <v>277</v>
      </c>
      <c r="C1829" t="s">
        <v>40</v>
      </c>
      <c r="D1829">
        <v>13</v>
      </c>
      <c r="E1829" t="s">
        <v>132</v>
      </c>
      <c r="F1829" t="s">
        <v>67</v>
      </c>
      <c r="G1829" s="8">
        <v>46149</v>
      </c>
      <c r="H1829" s="8">
        <v>46160</v>
      </c>
      <c r="I1829" t="s">
        <v>9906</v>
      </c>
      <c r="J1829" t="s">
        <v>275</v>
      </c>
      <c r="K1829" t="s">
        <v>27</v>
      </c>
      <c r="L1829">
        <v>9598.7800000000007</v>
      </c>
      <c r="M1829">
        <v>125</v>
      </c>
      <c r="N1829" t="s">
        <v>77</v>
      </c>
      <c r="O1829" t="s">
        <v>27</v>
      </c>
    </row>
    <row r="1830" spans="1:15" x14ac:dyDescent="0.3">
      <c r="A1830" t="s">
        <v>274</v>
      </c>
      <c r="B1830" t="s">
        <v>273</v>
      </c>
      <c r="C1830" t="s">
        <v>40</v>
      </c>
      <c r="D1830">
        <v>18</v>
      </c>
      <c r="E1830" t="s">
        <v>132</v>
      </c>
      <c r="F1830" t="s">
        <v>30</v>
      </c>
      <c r="G1830" s="8">
        <v>46049</v>
      </c>
      <c r="H1830" s="8">
        <v>46054</v>
      </c>
      <c r="I1830" t="s">
        <v>9907</v>
      </c>
      <c r="J1830" t="s">
        <v>271</v>
      </c>
      <c r="K1830" t="s">
        <v>27</v>
      </c>
      <c r="L1830">
        <v>7474.27</v>
      </c>
      <c r="M1830">
        <v>292</v>
      </c>
      <c r="N1830" t="s">
        <v>25</v>
      </c>
      <c r="O1830" t="s">
        <v>123</v>
      </c>
    </row>
    <row r="1831" spans="1:15" x14ac:dyDescent="0.3">
      <c r="A1831" t="s">
        <v>270</v>
      </c>
      <c r="B1831" t="s">
        <v>269</v>
      </c>
      <c r="C1831" t="s">
        <v>40</v>
      </c>
      <c r="D1831">
        <v>72</v>
      </c>
      <c r="E1831" t="s">
        <v>54</v>
      </c>
      <c r="F1831" t="s">
        <v>67</v>
      </c>
      <c r="G1831" s="8">
        <v>45983</v>
      </c>
      <c r="H1831" s="8">
        <v>45998</v>
      </c>
      <c r="I1831" t="s">
        <v>9908</v>
      </c>
      <c r="J1831" t="s">
        <v>267</v>
      </c>
      <c r="K1831" t="s">
        <v>123</v>
      </c>
      <c r="L1831">
        <v>1440.06</v>
      </c>
      <c r="M1831">
        <v>234</v>
      </c>
      <c r="N1831" t="s">
        <v>71</v>
      </c>
      <c r="O1831" t="s">
        <v>123</v>
      </c>
    </row>
    <row r="1832" spans="1:15" x14ac:dyDescent="0.3">
      <c r="A1832" t="s">
        <v>266</v>
      </c>
      <c r="B1832" t="s">
        <v>265</v>
      </c>
      <c r="C1832" t="s">
        <v>40</v>
      </c>
      <c r="D1832">
        <v>40</v>
      </c>
      <c r="E1832" t="s">
        <v>31</v>
      </c>
      <c r="F1832" t="s">
        <v>67</v>
      </c>
      <c r="G1832" s="8">
        <v>46060</v>
      </c>
      <c r="H1832" s="8">
        <v>46087</v>
      </c>
      <c r="I1832" t="s">
        <v>9909</v>
      </c>
      <c r="J1832" t="s">
        <v>263</v>
      </c>
      <c r="K1832" t="s">
        <v>64</v>
      </c>
      <c r="L1832">
        <v>12352.73</v>
      </c>
      <c r="M1832">
        <v>274</v>
      </c>
      <c r="N1832" t="s">
        <v>34</v>
      </c>
      <c r="O1832" t="s">
        <v>123</v>
      </c>
    </row>
    <row r="1833" spans="1:15" x14ac:dyDescent="0.3">
      <c r="A1833" t="s">
        <v>262</v>
      </c>
      <c r="B1833" t="s">
        <v>261</v>
      </c>
      <c r="C1833" t="s">
        <v>40</v>
      </c>
      <c r="D1833">
        <v>74</v>
      </c>
      <c r="E1833" t="s">
        <v>68</v>
      </c>
      <c r="F1833" t="s">
        <v>30</v>
      </c>
      <c r="G1833" s="8">
        <v>46128</v>
      </c>
      <c r="H1833" s="8">
        <v>46152</v>
      </c>
      <c r="I1833" t="s">
        <v>9910</v>
      </c>
      <c r="J1833" t="s">
        <v>259</v>
      </c>
      <c r="K1833" t="s">
        <v>64</v>
      </c>
      <c r="L1833">
        <v>24125.99</v>
      </c>
      <c r="M1833">
        <v>500</v>
      </c>
      <c r="N1833" t="s">
        <v>34</v>
      </c>
      <c r="O1833" t="s">
        <v>57</v>
      </c>
    </row>
    <row r="1834" spans="1:15" x14ac:dyDescent="0.3">
      <c r="A1834" t="s">
        <v>258</v>
      </c>
      <c r="B1834" t="s">
        <v>257</v>
      </c>
      <c r="C1834" t="s">
        <v>40</v>
      </c>
      <c r="D1834">
        <v>55</v>
      </c>
      <c r="E1834" t="s">
        <v>39</v>
      </c>
      <c r="F1834" t="s">
        <v>8077</v>
      </c>
      <c r="G1834" s="8">
        <v>46002</v>
      </c>
      <c r="H1834" s="8">
        <v>46029</v>
      </c>
      <c r="I1834" t="s">
        <v>9911</v>
      </c>
      <c r="J1834" t="s">
        <v>255</v>
      </c>
      <c r="K1834" t="s">
        <v>64</v>
      </c>
      <c r="L1834">
        <v>6600.6</v>
      </c>
      <c r="M1834">
        <v>548</v>
      </c>
      <c r="N1834" t="s">
        <v>16</v>
      </c>
      <c r="O1834" t="s">
        <v>123</v>
      </c>
    </row>
    <row r="1835" spans="1:15" x14ac:dyDescent="0.3">
      <c r="A1835" t="s">
        <v>254</v>
      </c>
      <c r="B1835" t="s">
        <v>253</v>
      </c>
      <c r="C1835" t="s">
        <v>40</v>
      </c>
      <c r="D1835">
        <v>82</v>
      </c>
      <c r="E1835" t="s">
        <v>39</v>
      </c>
      <c r="F1835" t="s">
        <v>67</v>
      </c>
      <c r="G1835" s="8">
        <v>46097</v>
      </c>
      <c r="H1835" s="8">
        <v>46107</v>
      </c>
      <c r="I1835" t="s">
        <v>9912</v>
      </c>
      <c r="J1835" t="s">
        <v>251</v>
      </c>
      <c r="K1835" t="s">
        <v>27</v>
      </c>
      <c r="L1835">
        <v>1543.97</v>
      </c>
      <c r="M1835">
        <v>423</v>
      </c>
      <c r="N1835" t="s">
        <v>43</v>
      </c>
      <c r="O1835" t="s">
        <v>123</v>
      </c>
    </row>
    <row r="1836" spans="1:15" x14ac:dyDescent="0.3">
      <c r="A1836" t="s">
        <v>246</v>
      </c>
      <c r="B1836" t="s">
        <v>245</v>
      </c>
      <c r="C1836" t="s">
        <v>40</v>
      </c>
      <c r="D1836">
        <v>38</v>
      </c>
      <c r="E1836" t="s">
        <v>39</v>
      </c>
      <c r="F1836" t="s">
        <v>85</v>
      </c>
      <c r="G1836" s="8">
        <v>46019</v>
      </c>
      <c r="H1836" s="8">
        <v>46032</v>
      </c>
      <c r="I1836" t="s">
        <v>9913</v>
      </c>
      <c r="J1836" t="s">
        <v>243</v>
      </c>
      <c r="K1836" t="s">
        <v>123</v>
      </c>
      <c r="L1836">
        <v>17409.95</v>
      </c>
      <c r="M1836">
        <v>259</v>
      </c>
      <c r="N1836" t="s">
        <v>16</v>
      </c>
      <c r="O1836" t="s">
        <v>123</v>
      </c>
    </row>
    <row r="1837" spans="1:15" x14ac:dyDescent="0.3">
      <c r="A1837" t="s">
        <v>238</v>
      </c>
      <c r="B1837" t="s">
        <v>237</v>
      </c>
      <c r="C1837" t="s">
        <v>74</v>
      </c>
      <c r="D1837">
        <v>48</v>
      </c>
      <c r="E1837" t="s">
        <v>132</v>
      </c>
      <c r="F1837" t="s">
        <v>67</v>
      </c>
      <c r="G1837" s="8">
        <v>46006</v>
      </c>
      <c r="H1837" s="8">
        <v>46007</v>
      </c>
      <c r="I1837" t="s">
        <v>9914</v>
      </c>
      <c r="J1837" t="s">
        <v>235</v>
      </c>
      <c r="K1837" t="s">
        <v>27</v>
      </c>
      <c r="L1837">
        <v>19060.22</v>
      </c>
      <c r="M1837">
        <v>155</v>
      </c>
      <c r="N1837" t="s">
        <v>16</v>
      </c>
      <c r="O1837" t="s">
        <v>27</v>
      </c>
    </row>
    <row r="1838" spans="1:15" x14ac:dyDescent="0.3">
      <c r="A1838" t="s">
        <v>234</v>
      </c>
      <c r="B1838" t="s">
        <v>233</v>
      </c>
      <c r="C1838" t="s">
        <v>123</v>
      </c>
      <c r="D1838">
        <v>62</v>
      </c>
      <c r="E1838" t="s">
        <v>68</v>
      </c>
      <c r="F1838" t="s">
        <v>20</v>
      </c>
      <c r="G1838" s="8">
        <v>46043</v>
      </c>
      <c r="H1838" s="8">
        <v>46049</v>
      </c>
      <c r="I1838" t="s">
        <v>9915</v>
      </c>
      <c r="J1838" t="s">
        <v>231</v>
      </c>
      <c r="K1838" t="s">
        <v>64</v>
      </c>
      <c r="L1838">
        <v>4487.6499999999996</v>
      </c>
      <c r="M1838">
        <v>327</v>
      </c>
      <c r="N1838" t="s">
        <v>50</v>
      </c>
      <c r="O1838" t="s">
        <v>17</v>
      </c>
    </row>
    <row r="1839" spans="1:15" x14ac:dyDescent="0.3">
      <c r="A1839" t="s">
        <v>230</v>
      </c>
      <c r="B1839" t="s">
        <v>229</v>
      </c>
      <c r="C1839" t="s">
        <v>40</v>
      </c>
      <c r="D1839">
        <v>35</v>
      </c>
      <c r="E1839" t="s">
        <v>68</v>
      </c>
      <c r="F1839" t="s">
        <v>20</v>
      </c>
      <c r="G1839" s="8">
        <v>46068</v>
      </c>
      <c r="H1839" s="8">
        <v>46090</v>
      </c>
      <c r="I1839" t="s">
        <v>9916</v>
      </c>
      <c r="J1839" t="s">
        <v>227</v>
      </c>
      <c r="K1839" t="s">
        <v>123</v>
      </c>
      <c r="L1839">
        <v>19854.7</v>
      </c>
      <c r="M1839">
        <v>426</v>
      </c>
      <c r="N1839" t="s">
        <v>50</v>
      </c>
      <c r="O1839" t="s">
        <v>26</v>
      </c>
    </row>
    <row r="1840" spans="1:15" x14ac:dyDescent="0.3">
      <c r="A1840" t="s">
        <v>226</v>
      </c>
      <c r="B1840" t="s">
        <v>225</v>
      </c>
      <c r="C1840" t="s">
        <v>123</v>
      </c>
      <c r="D1840">
        <v>10</v>
      </c>
      <c r="E1840" t="s">
        <v>39</v>
      </c>
      <c r="F1840" t="s">
        <v>20</v>
      </c>
      <c r="G1840" s="8">
        <v>46039</v>
      </c>
      <c r="H1840" s="8">
        <v>46068</v>
      </c>
      <c r="I1840" t="s">
        <v>9917</v>
      </c>
      <c r="J1840" t="s">
        <v>223</v>
      </c>
      <c r="K1840" t="s">
        <v>27</v>
      </c>
      <c r="L1840">
        <v>1526.09</v>
      </c>
      <c r="M1840">
        <v>217</v>
      </c>
      <c r="N1840" t="s">
        <v>25</v>
      </c>
      <c r="O1840" t="s">
        <v>63</v>
      </c>
    </row>
    <row r="1841" spans="1:15" x14ac:dyDescent="0.3">
      <c r="A1841" t="s">
        <v>222</v>
      </c>
      <c r="B1841" t="s">
        <v>221</v>
      </c>
      <c r="C1841" t="s">
        <v>123</v>
      </c>
      <c r="D1841">
        <v>44</v>
      </c>
      <c r="E1841" t="s">
        <v>21</v>
      </c>
      <c r="F1841" t="s">
        <v>67</v>
      </c>
      <c r="G1841" s="8">
        <v>46062</v>
      </c>
      <c r="H1841" s="8">
        <v>46073</v>
      </c>
      <c r="I1841" t="s">
        <v>9918</v>
      </c>
      <c r="J1841" t="s">
        <v>219</v>
      </c>
      <c r="K1841" t="s">
        <v>123</v>
      </c>
      <c r="L1841">
        <v>21686.68</v>
      </c>
      <c r="M1841">
        <v>336</v>
      </c>
      <c r="N1841" t="s">
        <v>34</v>
      </c>
      <c r="O1841" t="s">
        <v>27</v>
      </c>
    </row>
    <row r="1842" spans="1:15" x14ac:dyDescent="0.3">
      <c r="A1842" t="s">
        <v>218</v>
      </c>
      <c r="B1842" t="s">
        <v>217</v>
      </c>
      <c r="C1842" t="s">
        <v>74</v>
      </c>
      <c r="D1842">
        <v>82</v>
      </c>
      <c r="E1842" t="s">
        <v>39</v>
      </c>
      <c r="F1842" t="s">
        <v>67</v>
      </c>
      <c r="G1842" s="8">
        <v>46070</v>
      </c>
      <c r="H1842" s="8">
        <v>46078</v>
      </c>
      <c r="I1842" t="s">
        <v>9919</v>
      </c>
      <c r="J1842" t="s">
        <v>215</v>
      </c>
      <c r="K1842" t="s">
        <v>27</v>
      </c>
      <c r="L1842">
        <v>7882.12</v>
      </c>
      <c r="M1842">
        <v>443</v>
      </c>
      <c r="N1842" t="s">
        <v>34</v>
      </c>
      <c r="O1842" t="s">
        <v>64</v>
      </c>
    </row>
    <row r="1843" spans="1:15" x14ac:dyDescent="0.3">
      <c r="A1843" t="s">
        <v>214</v>
      </c>
      <c r="B1843" t="s">
        <v>213</v>
      </c>
      <c r="C1843" t="s">
        <v>74</v>
      </c>
      <c r="D1843">
        <v>65</v>
      </c>
      <c r="E1843" t="s">
        <v>31</v>
      </c>
      <c r="F1843" t="s">
        <v>30</v>
      </c>
      <c r="G1843" s="8">
        <v>45990</v>
      </c>
      <c r="H1843" s="8">
        <v>46001</v>
      </c>
      <c r="I1843" t="s">
        <v>9920</v>
      </c>
      <c r="J1843" t="s">
        <v>211</v>
      </c>
      <c r="K1843" t="s">
        <v>27</v>
      </c>
      <c r="L1843">
        <v>1369.3</v>
      </c>
      <c r="M1843">
        <v>230</v>
      </c>
      <c r="N1843" t="s">
        <v>43</v>
      </c>
      <c r="O1843" t="s">
        <v>123</v>
      </c>
    </row>
    <row r="1844" spans="1:15" x14ac:dyDescent="0.3">
      <c r="A1844" t="s">
        <v>206</v>
      </c>
      <c r="B1844" t="s">
        <v>205</v>
      </c>
      <c r="C1844" t="s">
        <v>74</v>
      </c>
      <c r="D1844">
        <v>20</v>
      </c>
      <c r="E1844" t="s">
        <v>68</v>
      </c>
      <c r="F1844" t="s">
        <v>30</v>
      </c>
      <c r="G1844" s="8">
        <v>46148</v>
      </c>
      <c r="H1844" s="8">
        <v>46172</v>
      </c>
      <c r="I1844" t="s">
        <v>9921</v>
      </c>
      <c r="J1844" t="s">
        <v>203</v>
      </c>
      <c r="K1844" t="s">
        <v>123</v>
      </c>
      <c r="L1844">
        <v>17117.87</v>
      </c>
      <c r="M1844">
        <v>330</v>
      </c>
      <c r="N1844" t="s">
        <v>16</v>
      </c>
      <c r="O1844" t="s">
        <v>64</v>
      </c>
    </row>
    <row r="1845" spans="1:15" x14ac:dyDescent="0.3">
      <c r="A1845" t="s">
        <v>202</v>
      </c>
      <c r="B1845" t="s">
        <v>201</v>
      </c>
      <c r="C1845" t="s">
        <v>123</v>
      </c>
      <c r="D1845">
        <v>27</v>
      </c>
      <c r="E1845" t="s">
        <v>21</v>
      </c>
      <c r="F1845" t="s">
        <v>30</v>
      </c>
      <c r="G1845" s="8">
        <v>46149</v>
      </c>
      <c r="H1845" s="8">
        <v>46169</v>
      </c>
      <c r="I1845" t="s">
        <v>9922</v>
      </c>
      <c r="J1845" t="s">
        <v>199</v>
      </c>
      <c r="K1845" t="s">
        <v>27</v>
      </c>
      <c r="L1845">
        <v>12334.27</v>
      </c>
      <c r="M1845">
        <v>198</v>
      </c>
      <c r="N1845" t="s">
        <v>50</v>
      </c>
      <c r="O1845" t="s">
        <v>27</v>
      </c>
    </row>
    <row r="1846" spans="1:15" x14ac:dyDescent="0.3">
      <c r="A1846" t="s">
        <v>198</v>
      </c>
      <c r="B1846" t="s">
        <v>197</v>
      </c>
      <c r="C1846" t="s">
        <v>123</v>
      </c>
      <c r="D1846">
        <v>88</v>
      </c>
      <c r="E1846" t="s">
        <v>39</v>
      </c>
      <c r="F1846" t="s">
        <v>20</v>
      </c>
      <c r="G1846" s="8">
        <v>46097</v>
      </c>
      <c r="H1846" s="8">
        <v>46125</v>
      </c>
      <c r="I1846" t="s">
        <v>9923</v>
      </c>
      <c r="J1846" t="s">
        <v>195</v>
      </c>
      <c r="K1846" t="s">
        <v>123</v>
      </c>
      <c r="L1846">
        <v>8970.0300000000007</v>
      </c>
      <c r="M1846">
        <v>435</v>
      </c>
      <c r="N1846" t="s">
        <v>34</v>
      </c>
      <c r="O1846" t="s">
        <v>27</v>
      </c>
    </row>
    <row r="1847" spans="1:15" x14ac:dyDescent="0.3">
      <c r="A1847" t="s">
        <v>194</v>
      </c>
      <c r="B1847" t="s">
        <v>193</v>
      </c>
      <c r="C1847" t="s">
        <v>40</v>
      </c>
      <c r="D1847">
        <v>9</v>
      </c>
      <c r="E1847" t="s">
        <v>54</v>
      </c>
      <c r="F1847" t="s">
        <v>8077</v>
      </c>
      <c r="G1847" s="8">
        <v>46030</v>
      </c>
      <c r="H1847" s="8">
        <v>46056</v>
      </c>
      <c r="I1847" t="s">
        <v>9924</v>
      </c>
      <c r="J1847" t="s">
        <v>191</v>
      </c>
      <c r="K1847" t="s">
        <v>27</v>
      </c>
      <c r="L1847">
        <v>6522.26</v>
      </c>
      <c r="M1847">
        <v>116</v>
      </c>
      <c r="N1847" t="s">
        <v>16</v>
      </c>
      <c r="O1847" t="s">
        <v>57</v>
      </c>
    </row>
    <row r="1848" spans="1:15" x14ac:dyDescent="0.3">
      <c r="A1848" t="s">
        <v>190</v>
      </c>
      <c r="B1848" t="s">
        <v>189</v>
      </c>
      <c r="C1848" t="s">
        <v>74</v>
      </c>
      <c r="D1848">
        <v>42</v>
      </c>
      <c r="E1848" t="s">
        <v>39</v>
      </c>
      <c r="F1848" t="s">
        <v>30</v>
      </c>
      <c r="G1848" s="8">
        <v>46057</v>
      </c>
      <c r="H1848" s="8">
        <v>46076</v>
      </c>
      <c r="I1848" t="s">
        <v>9925</v>
      </c>
      <c r="J1848" t="s">
        <v>187</v>
      </c>
      <c r="K1848" t="s">
        <v>64</v>
      </c>
      <c r="L1848">
        <v>8409.4</v>
      </c>
      <c r="M1848">
        <v>256</v>
      </c>
      <c r="N1848" t="s">
        <v>77</v>
      </c>
      <c r="O1848" t="s">
        <v>57</v>
      </c>
    </row>
    <row r="1849" spans="1:15" x14ac:dyDescent="0.3">
      <c r="A1849" t="s">
        <v>186</v>
      </c>
      <c r="B1849" t="s">
        <v>185</v>
      </c>
      <c r="C1849" t="s">
        <v>40</v>
      </c>
      <c r="D1849">
        <v>90</v>
      </c>
      <c r="E1849" t="s">
        <v>80</v>
      </c>
      <c r="F1849" t="s">
        <v>20</v>
      </c>
      <c r="G1849" s="8">
        <v>46100</v>
      </c>
      <c r="H1849" s="8">
        <v>46122</v>
      </c>
      <c r="I1849" t="s">
        <v>9926</v>
      </c>
      <c r="J1849" t="s">
        <v>183</v>
      </c>
      <c r="K1849" t="s">
        <v>123</v>
      </c>
      <c r="L1849">
        <v>11125.43</v>
      </c>
      <c r="M1849">
        <v>363</v>
      </c>
      <c r="N1849" t="s">
        <v>77</v>
      </c>
      <c r="O1849" t="s">
        <v>63</v>
      </c>
    </row>
    <row r="1850" spans="1:15" x14ac:dyDescent="0.3">
      <c r="A1850" t="s">
        <v>182</v>
      </c>
      <c r="B1850" t="s">
        <v>181</v>
      </c>
      <c r="C1850" t="s">
        <v>123</v>
      </c>
      <c r="D1850">
        <v>45</v>
      </c>
      <c r="E1850" t="s">
        <v>39</v>
      </c>
      <c r="F1850" t="s">
        <v>30</v>
      </c>
      <c r="G1850" s="8">
        <v>46048</v>
      </c>
      <c r="H1850" s="8">
        <v>46056</v>
      </c>
      <c r="I1850" t="s">
        <v>9927</v>
      </c>
      <c r="J1850" t="s">
        <v>179</v>
      </c>
      <c r="K1850" t="s">
        <v>27</v>
      </c>
      <c r="L1850">
        <v>22936.39</v>
      </c>
      <c r="M1850">
        <v>233</v>
      </c>
      <c r="N1850" t="s">
        <v>43</v>
      </c>
      <c r="O1850" t="s">
        <v>17</v>
      </c>
    </row>
    <row r="1851" spans="1:15" x14ac:dyDescent="0.3">
      <c r="A1851" t="s">
        <v>178</v>
      </c>
      <c r="B1851" t="s">
        <v>177</v>
      </c>
      <c r="C1851" t="s">
        <v>123</v>
      </c>
      <c r="D1851">
        <v>7</v>
      </c>
      <c r="E1851" t="s">
        <v>21</v>
      </c>
      <c r="F1851" t="s">
        <v>67</v>
      </c>
      <c r="G1851" s="8">
        <v>46123</v>
      </c>
      <c r="H1851" s="8">
        <v>46145</v>
      </c>
      <c r="I1851" t="s">
        <v>9928</v>
      </c>
      <c r="J1851" t="s">
        <v>175</v>
      </c>
      <c r="K1851" t="s">
        <v>64</v>
      </c>
      <c r="L1851">
        <v>11982.76</v>
      </c>
      <c r="M1851">
        <v>330</v>
      </c>
      <c r="N1851" t="s">
        <v>25</v>
      </c>
      <c r="O1851" t="s">
        <v>57</v>
      </c>
    </row>
    <row r="1852" spans="1:15" x14ac:dyDescent="0.3">
      <c r="A1852" t="s">
        <v>174</v>
      </c>
      <c r="B1852" t="s">
        <v>173</v>
      </c>
      <c r="C1852" t="s">
        <v>74</v>
      </c>
      <c r="D1852">
        <v>2</v>
      </c>
      <c r="E1852" t="s">
        <v>31</v>
      </c>
      <c r="F1852" t="s">
        <v>8077</v>
      </c>
      <c r="G1852" s="8">
        <v>46054</v>
      </c>
      <c r="H1852" s="8">
        <v>46074</v>
      </c>
      <c r="I1852" t="s">
        <v>9929</v>
      </c>
      <c r="J1852" t="s">
        <v>171</v>
      </c>
      <c r="K1852" t="s">
        <v>64</v>
      </c>
      <c r="L1852">
        <v>3847.67</v>
      </c>
      <c r="M1852">
        <v>357</v>
      </c>
      <c r="N1852" t="s">
        <v>34</v>
      </c>
      <c r="O1852" t="s">
        <v>123</v>
      </c>
    </row>
    <row r="1853" spans="1:15" x14ac:dyDescent="0.3">
      <c r="A1853" t="s">
        <v>170</v>
      </c>
      <c r="B1853" t="s">
        <v>169</v>
      </c>
      <c r="C1853" t="s">
        <v>40</v>
      </c>
      <c r="D1853">
        <v>69</v>
      </c>
      <c r="E1853" t="s">
        <v>54</v>
      </c>
      <c r="F1853" t="s">
        <v>67</v>
      </c>
      <c r="G1853" s="8">
        <v>46032</v>
      </c>
      <c r="H1853" s="8">
        <v>46050</v>
      </c>
      <c r="I1853" t="s">
        <v>9930</v>
      </c>
      <c r="J1853" t="s">
        <v>167</v>
      </c>
      <c r="K1853" t="s">
        <v>27</v>
      </c>
      <c r="L1853">
        <v>22143.02</v>
      </c>
      <c r="M1853">
        <v>256</v>
      </c>
      <c r="N1853" t="s">
        <v>43</v>
      </c>
      <c r="O1853" t="s">
        <v>27</v>
      </c>
    </row>
    <row r="1854" spans="1:15" x14ac:dyDescent="0.3">
      <c r="A1854" t="s">
        <v>166</v>
      </c>
      <c r="B1854" t="s">
        <v>165</v>
      </c>
      <c r="C1854" t="s">
        <v>123</v>
      </c>
      <c r="D1854">
        <v>75</v>
      </c>
      <c r="E1854" t="s">
        <v>39</v>
      </c>
      <c r="F1854" t="s">
        <v>85</v>
      </c>
      <c r="G1854" s="8">
        <v>46131</v>
      </c>
      <c r="H1854" s="8">
        <v>46134</v>
      </c>
      <c r="I1854" t="s">
        <v>9931</v>
      </c>
      <c r="J1854" t="s">
        <v>163</v>
      </c>
      <c r="K1854" t="s">
        <v>27</v>
      </c>
      <c r="L1854">
        <v>21025.69</v>
      </c>
      <c r="M1854">
        <v>229</v>
      </c>
      <c r="N1854" t="s">
        <v>16</v>
      </c>
      <c r="O1854" t="s">
        <v>26</v>
      </c>
    </row>
    <row r="1855" spans="1:15" x14ac:dyDescent="0.3">
      <c r="A1855" t="s">
        <v>162</v>
      </c>
      <c r="B1855" t="s">
        <v>161</v>
      </c>
      <c r="C1855" t="s">
        <v>74</v>
      </c>
      <c r="D1855">
        <v>5</v>
      </c>
      <c r="E1855" t="s">
        <v>80</v>
      </c>
      <c r="F1855" t="s">
        <v>67</v>
      </c>
      <c r="G1855" s="8">
        <v>46103</v>
      </c>
      <c r="H1855" s="8">
        <v>46125</v>
      </c>
      <c r="I1855" t="s">
        <v>9932</v>
      </c>
      <c r="J1855" t="s">
        <v>159</v>
      </c>
      <c r="K1855" t="s">
        <v>27</v>
      </c>
      <c r="L1855">
        <v>4540.7299999999996</v>
      </c>
      <c r="M1855">
        <v>204</v>
      </c>
      <c r="N1855" t="s">
        <v>50</v>
      </c>
      <c r="O1855" t="s">
        <v>26</v>
      </c>
    </row>
    <row r="1856" spans="1:15" x14ac:dyDescent="0.3">
      <c r="A1856" t="s">
        <v>158</v>
      </c>
      <c r="B1856" t="s">
        <v>157</v>
      </c>
      <c r="C1856" t="s">
        <v>74</v>
      </c>
      <c r="D1856">
        <v>76</v>
      </c>
      <c r="E1856" t="s">
        <v>68</v>
      </c>
      <c r="F1856" t="s">
        <v>20</v>
      </c>
      <c r="G1856" s="8">
        <v>46101</v>
      </c>
      <c r="H1856" s="8">
        <v>46117</v>
      </c>
      <c r="I1856" t="s">
        <v>9933</v>
      </c>
      <c r="J1856" t="s">
        <v>155</v>
      </c>
      <c r="K1856" t="s">
        <v>64</v>
      </c>
      <c r="L1856">
        <v>6109.03</v>
      </c>
      <c r="M1856">
        <v>177</v>
      </c>
      <c r="N1856" t="s">
        <v>77</v>
      </c>
      <c r="O1856" t="s">
        <v>64</v>
      </c>
    </row>
    <row r="1857" spans="1:15" x14ac:dyDescent="0.3">
      <c r="A1857" t="s">
        <v>154</v>
      </c>
      <c r="B1857" t="s">
        <v>153</v>
      </c>
      <c r="C1857" t="s">
        <v>123</v>
      </c>
      <c r="D1857">
        <v>4</v>
      </c>
      <c r="E1857" t="s">
        <v>54</v>
      </c>
      <c r="F1857" t="s">
        <v>20</v>
      </c>
      <c r="G1857" s="8">
        <v>46069</v>
      </c>
      <c r="H1857" s="8">
        <v>46099</v>
      </c>
      <c r="I1857" t="s">
        <v>9934</v>
      </c>
      <c r="J1857" t="s">
        <v>151</v>
      </c>
      <c r="K1857" t="s">
        <v>64</v>
      </c>
      <c r="L1857">
        <v>24588.45</v>
      </c>
      <c r="M1857">
        <v>464</v>
      </c>
      <c r="N1857" t="s">
        <v>34</v>
      </c>
      <c r="O1857" t="s">
        <v>27</v>
      </c>
    </row>
    <row r="1858" spans="1:15" x14ac:dyDescent="0.3">
      <c r="A1858" t="s">
        <v>150</v>
      </c>
      <c r="B1858" t="s">
        <v>149</v>
      </c>
      <c r="C1858" t="s">
        <v>74</v>
      </c>
      <c r="D1858">
        <v>22</v>
      </c>
      <c r="E1858" t="s">
        <v>39</v>
      </c>
      <c r="F1858" t="s">
        <v>20</v>
      </c>
      <c r="G1858" s="8">
        <v>46085</v>
      </c>
      <c r="H1858" s="8">
        <v>46086</v>
      </c>
      <c r="I1858" t="s">
        <v>9935</v>
      </c>
      <c r="J1858" t="s">
        <v>147</v>
      </c>
      <c r="K1858" t="s">
        <v>64</v>
      </c>
      <c r="L1858">
        <v>569.59</v>
      </c>
      <c r="M1858">
        <v>189</v>
      </c>
      <c r="N1858" t="s">
        <v>77</v>
      </c>
      <c r="O1858" t="s">
        <v>57</v>
      </c>
    </row>
    <row r="1859" spans="1:15" x14ac:dyDescent="0.3">
      <c r="A1859" t="s">
        <v>146</v>
      </c>
      <c r="B1859" t="s">
        <v>145</v>
      </c>
      <c r="C1859" t="s">
        <v>40</v>
      </c>
      <c r="D1859">
        <v>9</v>
      </c>
      <c r="E1859" t="s">
        <v>54</v>
      </c>
      <c r="F1859" t="s">
        <v>85</v>
      </c>
      <c r="G1859" s="8">
        <v>46030</v>
      </c>
      <c r="H1859" s="8">
        <v>46043</v>
      </c>
      <c r="I1859" t="s">
        <v>9936</v>
      </c>
      <c r="J1859" t="s">
        <v>143</v>
      </c>
      <c r="K1859" t="s">
        <v>123</v>
      </c>
      <c r="L1859">
        <v>3042.44</v>
      </c>
      <c r="M1859">
        <v>360</v>
      </c>
      <c r="N1859" t="s">
        <v>50</v>
      </c>
      <c r="O1859" t="s">
        <v>27</v>
      </c>
    </row>
    <row r="1860" spans="1:15" x14ac:dyDescent="0.3">
      <c r="A1860" t="s">
        <v>142</v>
      </c>
      <c r="B1860" t="s">
        <v>141</v>
      </c>
      <c r="C1860" t="s">
        <v>123</v>
      </c>
      <c r="D1860">
        <v>50</v>
      </c>
      <c r="E1860" t="s">
        <v>80</v>
      </c>
      <c r="F1860" t="s">
        <v>46</v>
      </c>
      <c r="G1860" s="8">
        <v>46065</v>
      </c>
      <c r="H1860" s="8">
        <v>46082</v>
      </c>
      <c r="I1860" t="s">
        <v>9937</v>
      </c>
      <c r="J1860" t="s">
        <v>139</v>
      </c>
      <c r="K1860" t="s">
        <v>64</v>
      </c>
      <c r="L1860">
        <v>20482.18</v>
      </c>
      <c r="M1860">
        <v>290</v>
      </c>
      <c r="N1860" t="s">
        <v>16</v>
      </c>
      <c r="O1860" t="s">
        <v>57</v>
      </c>
    </row>
    <row r="1861" spans="1:15" x14ac:dyDescent="0.3">
      <c r="A1861" t="s">
        <v>138</v>
      </c>
      <c r="B1861" t="s">
        <v>137</v>
      </c>
      <c r="C1861" t="s">
        <v>74</v>
      </c>
      <c r="D1861">
        <v>37</v>
      </c>
      <c r="E1861" t="s">
        <v>47</v>
      </c>
      <c r="F1861" t="s">
        <v>8077</v>
      </c>
      <c r="G1861" s="8">
        <v>46144</v>
      </c>
      <c r="H1861" s="8">
        <v>46172</v>
      </c>
      <c r="I1861" t="s">
        <v>9938</v>
      </c>
      <c r="J1861" t="s">
        <v>135</v>
      </c>
      <c r="K1861" t="s">
        <v>27</v>
      </c>
      <c r="L1861">
        <v>23228.19</v>
      </c>
      <c r="M1861">
        <v>428</v>
      </c>
      <c r="N1861" t="s">
        <v>77</v>
      </c>
      <c r="O1861" t="s">
        <v>57</v>
      </c>
    </row>
    <row r="1862" spans="1:15" x14ac:dyDescent="0.3">
      <c r="A1862" t="s">
        <v>134</v>
      </c>
      <c r="B1862" t="s">
        <v>133</v>
      </c>
      <c r="C1862" t="s">
        <v>40</v>
      </c>
      <c r="D1862">
        <v>62</v>
      </c>
      <c r="E1862" t="s">
        <v>132</v>
      </c>
      <c r="F1862" t="s">
        <v>67</v>
      </c>
      <c r="G1862" s="8">
        <v>46014</v>
      </c>
      <c r="H1862" s="8">
        <v>46039</v>
      </c>
      <c r="I1862" t="s">
        <v>9939</v>
      </c>
      <c r="J1862" t="s">
        <v>130</v>
      </c>
      <c r="K1862" t="s">
        <v>27</v>
      </c>
      <c r="L1862">
        <v>5035.6899999999996</v>
      </c>
      <c r="M1862">
        <v>309</v>
      </c>
      <c r="N1862" t="s">
        <v>50</v>
      </c>
      <c r="O1862" t="s">
        <v>63</v>
      </c>
    </row>
    <row r="1863" spans="1:15" x14ac:dyDescent="0.3">
      <c r="A1863" t="s">
        <v>125</v>
      </c>
      <c r="B1863" t="s">
        <v>124</v>
      </c>
      <c r="C1863" t="s">
        <v>123</v>
      </c>
      <c r="D1863">
        <v>24</v>
      </c>
      <c r="E1863" t="s">
        <v>47</v>
      </c>
      <c r="F1863" t="s">
        <v>67</v>
      </c>
      <c r="G1863" s="8">
        <v>46087</v>
      </c>
      <c r="H1863" s="8">
        <v>46113</v>
      </c>
      <c r="I1863" t="s">
        <v>9940</v>
      </c>
      <c r="J1863" t="s">
        <v>121</v>
      </c>
      <c r="K1863" t="s">
        <v>27</v>
      </c>
      <c r="L1863">
        <v>23597.77</v>
      </c>
      <c r="M1863">
        <v>324</v>
      </c>
      <c r="N1863" t="s">
        <v>50</v>
      </c>
      <c r="O1863" t="s">
        <v>123</v>
      </c>
    </row>
    <row r="1864" spans="1:15" x14ac:dyDescent="0.3">
      <c r="A1864" t="s">
        <v>120</v>
      </c>
      <c r="B1864" t="s">
        <v>119</v>
      </c>
      <c r="C1864" t="s">
        <v>74</v>
      </c>
      <c r="D1864">
        <v>43</v>
      </c>
      <c r="E1864" t="s">
        <v>47</v>
      </c>
      <c r="F1864" t="s">
        <v>46</v>
      </c>
      <c r="G1864" s="8">
        <v>46051</v>
      </c>
      <c r="H1864" s="8">
        <v>46064</v>
      </c>
      <c r="I1864" t="s">
        <v>9941</v>
      </c>
      <c r="J1864" t="s">
        <v>117</v>
      </c>
      <c r="K1864" t="s">
        <v>123</v>
      </c>
      <c r="L1864">
        <v>24316.61</v>
      </c>
      <c r="M1864">
        <v>316</v>
      </c>
      <c r="N1864" t="s">
        <v>43</v>
      </c>
      <c r="O1864" t="s">
        <v>123</v>
      </c>
    </row>
    <row r="1865" spans="1:15" x14ac:dyDescent="0.3">
      <c r="A1865" t="s">
        <v>116</v>
      </c>
      <c r="B1865" t="s">
        <v>115</v>
      </c>
      <c r="C1865" t="s">
        <v>74</v>
      </c>
      <c r="D1865">
        <v>10</v>
      </c>
      <c r="E1865" t="s">
        <v>47</v>
      </c>
      <c r="F1865" t="s">
        <v>67</v>
      </c>
      <c r="G1865" s="8">
        <v>46078</v>
      </c>
      <c r="H1865" s="8">
        <v>46107</v>
      </c>
      <c r="I1865" t="s">
        <v>9942</v>
      </c>
      <c r="J1865" t="s">
        <v>113</v>
      </c>
      <c r="K1865" t="s">
        <v>64</v>
      </c>
      <c r="L1865">
        <v>7617.45</v>
      </c>
      <c r="M1865">
        <v>462</v>
      </c>
      <c r="N1865" t="s">
        <v>77</v>
      </c>
      <c r="O1865" t="s">
        <v>64</v>
      </c>
    </row>
    <row r="1866" spans="1:15" x14ac:dyDescent="0.3">
      <c r="A1866" t="s">
        <v>112</v>
      </c>
      <c r="B1866" t="s">
        <v>111</v>
      </c>
      <c r="C1866" t="s">
        <v>74</v>
      </c>
      <c r="D1866">
        <v>37</v>
      </c>
      <c r="E1866" t="s">
        <v>47</v>
      </c>
      <c r="F1866" t="s">
        <v>85</v>
      </c>
      <c r="G1866" s="8">
        <v>46013</v>
      </c>
      <c r="H1866" s="8">
        <v>46030</v>
      </c>
      <c r="I1866" t="s">
        <v>9943</v>
      </c>
      <c r="J1866" t="s">
        <v>109</v>
      </c>
      <c r="K1866" t="s">
        <v>64</v>
      </c>
      <c r="L1866">
        <v>2694.18</v>
      </c>
      <c r="M1866">
        <v>495</v>
      </c>
      <c r="N1866" t="s">
        <v>34</v>
      </c>
      <c r="O1866" t="s">
        <v>63</v>
      </c>
    </row>
    <row r="1867" spans="1:15" x14ac:dyDescent="0.3">
      <c r="A1867" t="s">
        <v>108</v>
      </c>
      <c r="B1867" t="s">
        <v>107</v>
      </c>
      <c r="C1867" t="s">
        <v>123</v>
      </c>
      <c r="D1867">
        <v>6</v>
      </c>
      <c r="E1867" t="s">
        <v>47</v>
      </c>
      <c r="F1867" t="s">
        <v>67</v>
      </c>
      <c r="G1867" s="8">
        <v>46098</v>
      </c>
      <c r="H1867" s="8">
        <v>46122</v>
      </c>
      <c r="I1867" t="s">
        <v>9944</v>
      </c>
      <c r="J1867" t="s">
        <v>105</v>
      </c>
      <c r="K1867" t="s">
        <v>64</v>
      </c>
      <c r="L1867">
        <v>10861.43</v>
      </c>
      <c r="M1867">
        <v>250</v>
      </c>
      <c r="N1867" t="s">
        <v>34</v>
      </c>
      <c r="O1867" t="s">
        <v>57</v>
      </c>
    </row>
    <row r="1868" spans="1:15" x14ac:dyDescent="0.3">
      <c r="A1868" t="s">
        <v>104</v>
      </c>
      <c r="B1868" t="s">
        <v>103</v>
      </c>
      <c r="C1868" t="s">
        <v>40</v>
      </c>
      <c r="D1868">
        <v>49</v>
      </c>
      <c r="E1868" t="s">
        <v>54</v>
      </c>
      <c r="F1868" t="s">
        <v>20</v>
      </c>
      <c r="G1868" s="8">
        <v>46080</v>
      </c>
      <c r="H1868" s="8">
        <v>46092</v>
      </c>
      <c r="I1868" t="s">
        <v>9945</v>
      </c>
      <c r="J1868" t="s">
        <v>101</v>
      </c>
      <c r="K1868" t="s">
        <v>123</v>
      </c>
      <c r="L1868">
        <v>19665.810000000001</v>
      </c>
      <c r="M1868">
        <v>376</v>
      </c>
      <c r="N1868" t="s">
        <v>16</v>
      </c>
      <c r="O1868" t="s">
        <v>57</v>
      </c>
    </row>
    <row r="1869" spans="1:15" x14ac:dyDescent="0.3">
      <c r="A1869" t="s">
        <v>100</v>
      </c>
      <c r="B1869" t="s">
        <v>99</v>
      </c>
      <c r="C1869" t="s">
        <v>74</v>
      </c>
      <c r="D1869">
        <v>61</v>
      </c>
      <c r="E1869" t="s">
        <v>68</v>
      </c>
      <c r="F1869" t="s">
        <v>20</v>
      </c>
      <c r="G1869" s="8">
        <v>46089</v>
      </c>
      <c r="H1869" s="8">
        <v>46100</v>
      </c>
      <c r="I1869" t="s">
        <v>9946</v>
      </c>
      <c r="J1869" t="s">
        <v>97</v>
      </c>
      <c r="K1869" t="s">
        <v>27</v>
      </c>
      <c r="L1869">
        <v>9400.69</v>
      </c>
      <c r="M1869">
        <v>192</v>
      </c>
      <c r="N1869" t="s">
        <v>43</v>
      </c>
      <c r="O1869" t="s">
        <v>123</v>
      </c>
    </row>
    <row r="1870" spans="1:15" x14ac:dyDescent="0.3">
      <c r="A1870" t="s">
        <v>87</v>
      </c>
      <c r="B1870" t="s">
        <v>86</v>
      </c>
      <c r="C1870" t="s">
        <v>74</v>
      </c>
      <c r="D1870">
        <v>18</v>
      </c>
      <c r="E1870" t="s">
        <v>80</v>
      </c>
      <c r="F1870" t="s">
        <v>85</v>
      </c>
      <c r="G1870" s="8">
        <v>46105</v>
      </c>
      <c r="H1870" s="8">
        <v>46116</v>
      </c>
      <c r="I1870" t="s">
        <v>9947</v>
      </c>
      <c r="J1870" t="s">
        <v>83</v>
      </c>
      <c r="K1870" t="s">
        <v>64</v>
      </c>
      <c r="L1870">
        <v>12860.32</v>
      </c>
      <c r="M1870">
        <v>335</v>
      </c>
      <c r="N1870" t="s">
        <v>16</v>
      </c>
      <c r="O1870" t="s">
        <v>64</v>
      </c>
    </row>
    <row r="1871" spans="1:15" x14ac:dyDescent="0.3">
      <c r="A1871" t="s">
        <v>82</v>
      </c>
      <c r="B1871" t="s">
        <v>81</v>
      </c>
      <c r="C1871" t="s">
        <v>123</v>
      </c>
      <c r="D1871">
        <v>38</v>
      </c>
      <c r="E1871" t="s">
        <v>80</v>
      </c>
      <c r="F1871" t="s">
        <v>20</v>
      </c>
      <c r="G1871" s="8">
        <v>46058</v>
      </c>
      <c r="H1871" s="8">
        <v>46073</v>
      </c>
      <c r="I1871" t="s">
        <v>9948</v>
      </c>
      <c r="J1871" t="s">
        <v>78</v>
      </c>
      <c r="K1871" t="s">
        <v>27</v>
      </c>
      <c r="L1871">
        <v>9750.39</v>
      </c>
      <c r="M1871">
        <v>501</v>
      </c>
      <c r="N1871" t="s">
        <v>77</v>
      </c>
      <c r="O1871" t="s">
        <v>26</v>
      </c>
    </row>
    <row r="1872" spans="1:15" x14ac:dyDescent="0.3">
      <c r="A1872" t="s">
        <v>76</v>
      </c>
      <c r="B1872" t="s">
        <v>75</v>
      </c>
      <c r="C1872" t="s">
        <v>74</v>
      </c>
      <c r="D1872">
        <v>70</v>
      </c>
      <c r="E1872" t="s">
        <v>39</v>
      </c>
      <c r="F1872" t="s">
        <v>30</v>
      </c>
      <c r="G1872" s="8">
        <v>46123</v>
      </c>
      <c r="H1872" s="8">
        <v>46125</v>
      </c>
      <c r="I1872" t="s">
        <v>9949</v>
      </c>
      <c r="J1872" t="s">
        <v>72</v>
      </c>
      <c r="K1872" t="s">
        <v>123</v>
      </c>
      <c r="L1872">
        <v>23511.14</v>
      </c>
      <c r="M1872">
        <v>236</v>
      </c>
      <c r="N1872" t="s">
        <v>71</v>
      </c>
      <c r="O1872" t="s">
        <v>123</v>
      </c>
    </row>
    <row r="1873" spans="1:15" x14ac:dyDescent="0.3">
      <c r="A1873" t="s">
        <v>70</v>
      </c>
      <c r="B1873" t="s">
        <v>69</v>
      </c>
      <c r="C1873" t="s">
        <v>40</v>
      </c>
      <c r="D1873">
        <v>19</v>
      </c>
      <c r="E1873" t="s">
        <v>68</v>
      </c>
      <c r="F1873" t="s">
        <v>67</v>
      </c>
      <c r="G1873" s="8">
        <v>46078</v>
      </c>
      <c r="H1873" s="8">
        <v>46094</v>
      </c>
      <c r="I1873" t="s">
        <v>9950</v>
      </c>
      <c r="J1873" t="s">
        <v>65</v>
      </c>
      <c r="K1873" t="s">
        <v>64</v>
      </c>
      <c r="L1873">
        <v>11342.12</v>
      </c>
      <c r="M1873">
        <v>469</v>
      </c>
      <c r="N1873" t="s">
        <v>25</v>
      </c>
      <c r="O1873" t="s">
        <v>63</v>
      </c>
    </row>
    <row r="1874" spans="1:15" x14ac:dyDescent="0.3">
      <c r="A1874" t="s">
        <v>62</v>
      </c>
      <c r="B1874" t="s">
        <v>61</v>
      </c>
      <c r="C1874" t="s">
        <v>74</v>
      </c>
      <c r="D1874">
        <v>35</v>
      </c>
      <c r="E1874" t="s">
        <v>39</v>
      </c>
      <c r="F1874" t="s">
        <v>20</v>
      </c>
      <c r="G1874" s="8">
        <v>45989</v>
      </c>
      <c r="H1874" s="8">
        <v>46015</v>
      </c>
      <c r="I1874" t="s">
        <v>9951</v>
      </c>
      <c r="J1874" t="s">
        <v>58</v>
      </c>
      <c r="K1874" t="s">
        <v>64</v>
      </c>
      <c r="L1874">
        <v>17089.18</v>
      </c>
      <c r="M1874">
        <v>348</v>
      </c>
      <c r="N1874" t="s">
        <v>50</v>
      </c>
      <c r="O1874" t="s">
        <v>17</v>
      </c>
    </row>
    <row r="1875" spans="1:15" x14ac:dyDescent="0.3">
      <c r="A1875" t="s">
        <v>49</v>
      </c>
      <c r="B1875" t="s">
        <v>48</v>
      </c>
      <c r="C1875" t="s">
        <v>40</v>
      </c>
      <c r="D1875">
        <v>74</v>
      </c>
      <c r="E1875" t="s">
        <v>47</v>
      </c>
      <c r="F1875" t="s">
        <v>46</v>
      </c>
      <c r="G1875" s="8">
        <v>45986</v>
      </c>
      <c r="H1875" s="8">
        <v>45988</v>
      </c>
      <c r="I1875" t="s">
        <v>9952</v>
      </c>
      <c r="J1875" t="s">
        <v>44</v>
      </c>
      <c r="K1875" t="s">
        <v>123</v>
      </c>
      <c r="L1875">
        <v>5645.02</v>
      </c>
      <c r="M1875">
        <v>309</v>
      </c>
      <c r="N1875" t="s">
        <v>43</v>
      </c>
      <c r="O1875" t="s">
        <v>17</v>
      </c>
    </row>
    <row r="1876" spans="1:15" x14ac:dyDescent="0.3">
      <c r="A1876" t="s">
        <v>42</v>
      </c>
      <c r="B1876" t="s">
        <v>41</v>
      </c>
      <c r="C1876" t="s">
        <v>40</v>
      </c>
      <c r="D1876">
        <v>59</v>
      </c>
      <c r="E1876" t="s">
        <v>39</v>
      </c>
      <c r="F1876" t="s">
        <v>8077</v>
      </c>
      <c r="G1876" s="8">
        <v>46080</v>
      </c>
      <c r="H1876" s="8">
        <v>46106</v>
      </c>
      <c r="I1876" t="s">
        <v>9953</v>
      </c>
      <c r="J1876" t="s">
        <v>36</v>
      </c>
      <c r="K1876" t="s">
        <v>27</v>
      </c>
      <c r="L1876">
        <v>7105.46</v>
      </c>
      <c r="M1876">
        <v>190</v>
      </c>
      <c r="N1876" t="s">
        <v>34</v>
      </c>
      <c r="O1876" t="s">
        <v>123</v>
      </c>
    </row>
    <row r="1877" spans="1:15" x14ac:dyDescent="0.3">
      <c r="A1877" t="s">
        <v>24</v>
      </c>
      <c r="B1877" t="s">
        <v>23</v>
      </c>
      <c r="C1877" t="s">
        <v>40</v>
      </c>
      <c r="D1877">
        <v>58</v>
      </c>
      <c r="E1877" t="s">
        <v>21</v>
      </c>
      <c r="F1877" t="s">
        <v>20</v>
      </c>
      <c r="G1877" s="8">
        <v>46065</v>
      </c>
      <c r="H1877" s="8">
        <v>46069</v>
      </c>
      <c r="I1877" t="s">
        <v>9954</v>
      </c>
      <c r="J1877" t="s">
        <v>18</v>
      </c>
      <c r="K1877" t="s">
        <v>123</v>
      </c>
      <c r="L1877">
        <v>1997.7</v>
      </c>
      <c r="M1877">
        <v>103</v>
      </c>
      <c r="N1877" t="s">
        <v>16</v>
      </c>
      <c r="O1877"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35BA0-A03C-4977-9382-94F3C9D6C04F}">
  <dimension ref="A1:J40"/>
  <sheetViews>
    <sheetView showGridLines="0" showRowColHeaders="0" tabSelected="1" topLeftCell="A27" workbookViewId="0">
      <selection activeCell="U215" sqref="U215"/>
    </sheetView>
  </sheetViews>
  <sheetFormatPr defaultRowHeight="14.4" x14ac:dyDescent="0.3"/>
  <cols>
    <col min="2" max="2" width="8.88671875" customWidth="1"/>
  </cols>
  <sheetData>
    <row r="1" spans="1:1" x14ac:dyDescent="0.3">
      <c r="A1" t="s">
        <v>8027</v>
      </c>
    </row>
    <row r="3" spans="1:1" x14ac:dyDescent="0.3">
      <c r="A3" t="s">
        <v>8026</v>
      </c>
    </row>
    <row r="4" spans="1:1" x14ac:dyDescent="0.3">
      <c r="A4" t="s">
        <v>8025</v>
      </c>
    </row>
    <row r="5" spans="1:1" x14ac:dyDescent="0.3">
      <c r="A5" t="s">
        <v>8024</v>
      </c>
    </row>
    <row r="6" spans="1:1" x14ac:dyDescent="0.3">
      <c r="A6" t="s">
        <v>8023</v>
      </c>
    </row>
    <row r="7" spans="1:1" x14ac:dyDescent="0.3">
      <c r="A7" t="s">
        <v>8022</v>
      </c>
    </row>
    <row r="8" spans="1:1" x14ac:dyDescent="0.3">
      <c r="A8" t="s">
        <v>8021</v>
      </c>
    </row>
    <row r="9" spans="1:1" x14ac:dyDescent="0.3">
      <c r="A9" t="s">
        <v>8020</v>
      </c>
    </row>
    <row r="10" spans="1:1" x14ac:dyDescent="0.3">
      <c r="A10" t="s">
        <v>8019</v>
      </c>
    </row>
    <row r="11" spans="1:1" x14ac:dyDescent="0.3">
      <c r="A11" t="s">
        <v>8018</v>
      </c>
    </row>
    <row r="12" spans="1:1" x14ac:dyDescent="0.3">
      <c r="A12" t="s">
        <v>8017</v>
      </c>
    </row>
    <row r="13" spans="1:1" x14ac:dyDescent="0.3">
      <c r="A13" t="s">
        <v>8016</v>
      </c>
    </row>
    <row r="14" spans="1:1" x14ac:dyDescent="0.3">
      <c r="A14" t="s">
        <v>8015</v>
      </c>
    </row>
    <row r="16" spans="1:1" x14ac:dyDescent="0.3">
      <c r="A16" t="s">
        <v>8014</v>
      </c>
    </row>
    <row r="17" spans="1:10" x14ac:dyDescent="0.3">
      <c r="A17" t="s">
        <v>8013</v>
      </c>
    </row>
    <row r="18" spans="1:10" x14ac:dyDescent="0.3">
      <c r="A18" t="s">
        <v>8012</v>
      </c>
    </row>
    <row r="19" spans="1:10" x14ac:dyDescent="0.3">
      <c r="A19" t="s">
        <v>8011</v>
      </c>
    </row>
    <row r="20" spans="1:10" x14ac:dyDescent="0.3">
      <c r="A20" t="s">
        <v>8010</v>
      </c>
    </row>
    <row r="21" spans="1:10" x14ac:dyDescent="0.3">
      <c r="A21" t="s">
        <v>8009</v>
      </c>
    </row>
    <row r="22" spans="1:10" x14ac:dyDescent="0.3">
      <c r="A22" t="s">
        <v>8008</v>
      </c>
    </row>
    <row r="31" spans="1:10" x14ac:dyDescent="0.3">
      <c r="A31" t="s">
        <v>8001</v>
      </c>
      <c r="B31" t="s">
        <v>8000</v>
      </c>
      <c r="C31" t="s">
        <v>7999</v>
      </c>
      <c r="D31" t="s">
        <v>7998</v>
      </c>
      <c r="E31" t="s">
        <v>7997</v>
      </c>
      <c r="F31" t="s">
        <v>7996</v>
      </c>
      <c r="G31" t="s">
        <v>8032</v>
      </c>
      <c r="H31" t="s">
        <v>7994</v>
      </c>
      <c r="I31" t="s">
        <v>7993</v>
      </c>
      <c r="J31" t="s">
        <v>7992</v>
      </c>
    </row>
    <row r="32" spans="1:10" x14ac:dyDescent="0.3">
      <c r="A32" t="s">
        <v>38</v>
      </c>
      <c r="B32" s="1">
        <v>46098</v>
      </c>
      <c r="C32" s="1">
        <v>46103</v>
      </c>
      <c r="D32" t="s">
        <v>510</v>
      </c>
      <c r="F32" t="s">
        <v>35</v>
      </c>
      <c r="G32" t="s">
        <v>488</v>
      </c>
      <c r="H32" t="s">
        <v>64</v>
      </c>
      <c r="I32" t="s">
        <v>347</v>
      </c>
      <c r="J32" t="s">
        <v>16</v>
      </c>
    </row>
    <row r="33" spans="1:10" x14ac:dyDescent="0.3">
      <c r="A33" t="s">
        <v>38</v>
      </c>
      <c r="B33" s="1">
        <v>46106</v>
      </c>
      <c r="C33" s="1">
        <v>46102</v>
      </c>
      <c r="D33" t="s">
        <v>7793</v>
      </c>
      <c r="E33" t="s">
        <v>7792</v>
      </c>
      <c r="F33" t="s">
        <v>27</v>
      </c>
      <c r="G33">
        <v>22337.96</v>
      </c>
      <c r="H33" t="s">
        <v>64</v>
      </c>
      <c r="I33">
        <v>498</v>
      </c>
      <c r="J33" t="s">
        <v>16</v>
      </c>
    </row>
    <row r="34" spans="1:10" x14ac:dyDescent="0.3">
      <c r="A34" t="s">
        <v>90</v>
      </c>
      <c r="B34" s="1">
        <v>46072</v>
      </c>
      <c r="C34" s="1">
        <v>46045</v>
      </c>
      <c r="D34" t="s">
        <v>7318</v>
      </c>
      <c r="E34" t="s">
        <v>7317</v>
      </c>
      <c r="G34">
        <v>1279.6500000000001</v>
      </c>
      <c r="I34">
        <v>291</v>
      </c>
      <c r="J34" t="s">
        <v>43</v>
      </c>
    </row>
    <row r="35" spans="1:10" x14ac:dyDescent="0.3">
      <c r="A35" t="s">
        <v>90</v>
      </c>
      <c r="B35" s="1">
        <v>46006</v>
      </c>
      <c r="C35" s="1">
        <v>45985</v>
      </c>
      <c r="D35" t="s">
        <v>6646</v>
      </c>
      <c r="E35" t="s">
        <v>6645</v>
      </c>
      <c r="G35">
        <v>4485.62</v>
      </c>
      <c r="H35" t="s">
        <v>57</v>
      </c>
      <c r="I35">
        <v>195</v>
      </c>
      <c r="J35" t="s">
        <v>43</v>
      </c>
    </row>
    <row r="36" spans="1:10" x14ac:dyDescent="0.3">
      <c r="A36" t="s">
        <v>20</v>
      </c>
      <c r="B36" s="1">
        <v>46009</v>
      </c>
      <c r="C36" s="1">
        <v>46006</v>
      </c>
      <c r="D36" t="s">
        <v>5972</v>
      </c>
      <c r="E36" t="s">
        <v>5971</v>
      </c>
      <c r="F36" t="s">
        <v>26</v>
      </c>
      <c r="G36">
        <v>15528.93</v>
      </c>
      <c r="H36" t="s">
        <v>64</v>
      </c>
      <c r="I36">
        <v>435</v>
      </c>
      <c r="J36" t="s">
        <v>16</v>
      </c>
    </row>
    <row r="37" spans="1:10" x14ac:dyDescent="0.3">
      <c r="A37" t="s">
        <v>20</v>
      </c>
      <c r="B37" s="1">
        <v>45996</v>
      </c>
      <c r="C37" s="1">
        <v>45996</v>
      </c>
      <c r="D37" t="s">
        <v>5296</v>
      </c>
      <c r="E37" t="s">
        <v>5295</v>
      </c>
      <c r="G37">
        <v>16792.080000000002</v>
      </c>
      <c r="H37" t="s">
        <v>26</v>
      </c>
      <c r="I37">
        <v>460</v>
      </c>
      <c r="J37" t="s">
        <v>16</v>
      </c>
    </row>
    <row r="38" spans="1:10" x14ac:dyDescent="0.3">
      <c r="A38" t="s">
        <v>30</v>
      </c>
      <c r="B38" s="1">
        <v>46061</v>
      </c>
      <c r="C38" s="1">
        <v>46043</v>
      </c>
      <c r="D38" t="s">
        <v>4621</v>
      </c>
      <c r="E38" t="s">
        <v>4620</v>
      </c>
      <c r="G38">
        <v>11260.36</v>
      </c>
      <c r="H38" t="s">
        <v>57</v>
      </c>
      <c r="I38">
        <v>500</v>
      </c>
      <c r="J38" t="s">
        <v>71</v>
      </c>
    </row>
    <row r="39" spans="1:10" x14ac:dyDescent="0.3">
      <c r="A39" t="s">
        <v>30</v>
      </c>
      <c r="B39" s="1">
        <v>46160</v>
      </c>
      <c r="C39" s="1">
        <v>46138</v>
      </c>
      <c r="D39" t="s">
        <v>3946</v>
      </c>
      <c r="E39" t="s">
        <v>3945</v>
      </c>
      <c r="F39" t="s">
        <v>17</v>
      </c>
      <c r="G39">
        <v>5700.03</v>
      </c>
      <c r="I39">
        <v>345</v>
      </c>
      <c r="J39" t="s">
        <v>77</v>
      </c>
    </row>
    <row r="40" spans="1:10" x14ac:dyDescent="0.3">
      <c r="A40" t="s">
        <v>46</v>
      </c>
      <c r="B40" s="1">
        <v>46036</v>
      </c>
      <c r="C40" s="1">
        <v>46026</v>
      </c>
      <c r="D40" t="s">
        <v>3270</v>
      </c>
      <c r="E40" t="s">
        <v>3269</v>
      </c>
      <c r="G40">
        <v>6669.85</v>
      </c>
      <c r="H40" t="s">
        <v>17</v>
      </c>
      <c r="I40">
        <v>491</v>
      </c>
      <c r="J40" t="s">
        <v>77</v>
      </c>
    </row>
  </sheetData>
  <conditionalFormatting sqref="A31:J40">
    <cfRule type="containsBlanks" priority="1">
      <formula>LEN(TRIM(A31))=0</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Hospital_raw_data</vt:lpstr>
      <vt:lpstr>Working_raw_data</vt:lpstr>
      <vt:lpstr>Working_data</vt:lpstr>
      <vt:lpstr>Cleaned_data</vt:lpstr>
      <vt:lpstr>Report + 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Tirumani</dc:creator>
  <cp:lastModifiedBy>Praveen Tirumani</cp:lastModifiedBy>
  <dcterms:created xsi:type="dcterms:W3CDTF">2026-05-13T08:08:51Z</dcterms:created>
  <dcterms:modified xsi:type="dcterms:W3CDTF">2026-05-14T07:28:01Z</dcterms:modified>
</cp:coreProperties>
</file>