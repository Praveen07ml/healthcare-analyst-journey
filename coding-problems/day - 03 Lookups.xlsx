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a4f0da8943f55f/Data Science Journey/healthcare-analyst-journey/Excel Files/"/>
    </mc:Choice>
  </mc:AlternateContent>
  <xr:revisionPtr revIDLastSave="107" documentId="8_{A6ECC9B9-9FE0-46C9-93ED-84AC59A511E2}" xr6:coauthVersionLast="47" xr6:coauthVersionMax="47" xr10:uidLastSave="{671011E9-BE30-4DBD-B859-901949F57DF3}"/>
  <bookViews>
    <workbookView xWindow="-108" yWindow="-108" windowWidth="23256" windowHeight="12456" activeTab="1" xr2:uid="{04C2A604-B662-4EF3-9182-2D379372EE84}"/>
  </bookViews>
  <sheets>
    <sheet name="Patient_records" sheetId="1" r:id="rId1"/>
    <sheet name="Department_info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2" i="2"/>
  <c r="H3" i="2"/>
  <c r="H4" i="2"/>
  <c r="H5" i="2"/>
  <c r="H6" i="2"/>
  <c r="H2" i="2"/>
  <c r="G3" i="2"/>
  <c r="G4" i="2"/>
  <c r="G5" i="2"/>
  <c r="G6" i="2"/>
  <c r="G2" i="2"/>
  <c r="F2" i="2"/>
  <c r="F3" i="2"/>
  <c r="F4" i="2"/>
  <c r="F5" i="2"/>
  <c r="F6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</calcChain>
</file>

<file path=xl/sharedStrings.xml><?xml version="1.0" encoding="utf-8"?>
<sst xmlns="http://schemas.openxmlformats.org/spreadsheetml/2006/main" count="215" uniqueCount="115">
  <si>
    <t>Age</t>
  </si>
  <si>
    <t>Gender</t>
  </si>
  <si>
    <t>City</t>
  </si>
  <si>
    <t>Appointment Date</t>
  </si>
  <si>
    <t>Showed Up</t>
  </si>
  <si>
    <t>Male</t>
  </si>
  <si>
    <t>Hyderabad</t>
  </si>
  <si>
    <t>Yes</t>
  </si>
  <si>
    <t>No</t>
  </si>
  <si>
    <t>Gudivada</t>
  </si>
  <si>
    <t>Female</t>
  </si>
  <si>
    <t>Begumpet</t>
  </si>
  <si>
    <t>Amaravathi</t>
  </si>
  <si>
    <t>Godavari</t>
  </si>
  <si>
    <t>Konaseema</t>
  </si>
  <si>
    <t>Malakpet</t>
  </si>
  <si>
    <t>Emergency</t>
  </si>
  <si>
    <t>Kondaput</t>
  </si>
  <si>
    <t>Hafeezpet</t>
  </si>
  <si>
    <t>High tech city</t>
  </si>
  <si>
    <t>Kondapur</t>
  </si>
  <si>
    <t>Nandigama</t>
  </si>
  <si>
    <t>Singareni</t>
  </si>
  <si>
    <t>Rajkot</t>
  </si>
  <si>
    <t>Bengalore</t>
  </si>
  <si>
    <t>Vizag</t>
  </si>
  <si>
    <t>Petrorius</t>
  </si>
  <si>
    <t>Nalgonda</t>
  </si>
  <si>
    <t>Chennai</t>
  </si>
  <si>
    <t>Patient ID</t>
  </si>
  <si>
    <t xml:space="preserve">Name </t>
  </si>
  <si>
    <t>A10001</t>
  </si>
  <si>
    <t>Praveen</t>
  </si>
  <si>
    <t>A10002</t>
  </si>
  <si>
    <t>Dhanush</t>
  </si>
  <si>
    <t>A10003</t>
  </si>
  <si>
    <t>Harpreet</t>
  </si>
  <si>
    <t>A10004</t>
  </si>
  <si>
    <t>Sekhar</t>
  </si>
  <si>
    <t>A10005</t>
  </si>
  <si>
    <t>Rangayya</t>
  </si>
  <si>
    <t>A10006</t>
  </si>
  <si>
    <t>Rangamma</t>
  </si>
  <si>
    <t>A10007</t>
  </si>
  <si>
    <t>Mogalayya</t>
  </si>
  <si>
    <t>A10008</t>
  </si>
  <si>
    <t>Jangayya</t>
  </si>
  <si>
    <t>A10009</t>
  </si>
  <si>
    <t>Madhu</t>
  </si>
  <si>
    <t>A10010</t>
  </si>
  <si>
    <t>Rudra</t>
  </si>
  <si>
    <t>A10011</t>
  </si>
  <si>
    <t>Mehar</t>
  </si>
  <si>
    <t>A10012</t>
  </si>
  <si>
    <t>mohan</t>
  </si>
  <si>
    <t>A10013</t>
  </si>
  <si>
    <t>Radhika</t>
  </si>
  <si>
    <t>A10014</t>
  </si>
  <si>
    <t>Mounika</t>
  </si>
  <si>
    <t>A10015</t>
  </si>
  <si>
    <t>Meghana</t>
  </si>
  <si>
    <t>A10016</t>
  </si>
  <si>
    <t>Nagalaxmi</t>
  </si>
  <si>
    <t>A10017</t>
  </si>
  <si>
    <t>Manoj</t>
  </si>
  <si>
    <t>A10018</t>
  </si>
  <si>
    <t>Rekha</t>
  </si>
  <si>
    <t>A10019</t>
  </si>
  <si>
    <t>Happie</t>
  </si>
  <si>
    <t>A10020</t>
  </si>
  <si>
    <t>Nagarjuna</t>
  </si>
  <si>
    <t>A10021</t>
  </si>
  <si>
    <t>Sikhar</t>
  </si>
  <si>
    <t>A10022</t>
  </si>
  <si>
    <t>Dhawan</t>
  </si>
  <si>
    <t>A10023</t>
  </si>
  <si>
    <t>Neelambari</t>
  </si>
  <si>
    <t>A10024</t>
  </si>
  <si>
    <t>Aravind</t>
  </si>
  <si>
    <t>A10025</t>
  </si>
  <si>
    <t>A10026</t>
  </si>
  <si>
    <t>Simha</t>
  </si>
  <si>
    <t>A10027</t>
  </si>
  <si>
    <t>Reddy</t>
  </si>
  <si>
    <t>A10028</t>
  </si>
  <si>
    <t>Klassen</t>
  </si>
  <si>
    <t>A10029</t>
  </si>
  <si>
    <t>Mouna</t>
  </si>
  <si>
    <t>A10030</t>
  </si>
  <si>
    <t>Dinesh</t>
  </si>
  <si>
    <t>DepartmentID</t>
  </si>
  <si>
    <t>DepartmentName</t>
  </si>
  <si>
    <t>Floor</t>
  </si>
  <si>
    <t>D001</t>
  </si>
  <si>
    <t>Cardiology</t>
  </si>
  <si>
    <t>Dr. Rao</t>
  </si>
  <si>
    <t>D002</t>
  </si>
  <si>
    <t>Neurology</t>
  </si>
  <si>
    <t>Dr. Mehta</t>
  </si>
  <si>
    <t>D003</t>
  </si>
  <si>
    <t>Orthopedics</t>
  </si>
  <si>
    <t>Dr. Kumar</t>
  </si>
  <si>
    <t>D004</t>
  </si>
  <si>
    <t>Pediatrics</t>
  </si>
  <si>
    <t>Dr. Sharma</t>
  </si>
  <si>
    <t>D005</t>
  </si>
  <si>
    <t>Dr. Reddy</t>
  </si>
  <si>
    <t>Head Doctor</t>
  </si>
  <si>
    <t>Bed Capacity</t>
  </si>
  <si>
    <t>Dapartment Name</t>
  </si>
  <si>
    <t>Department ID</t>
  </si>
  <si>
    <t>No of Patients per doctor</t>
  </si>
  <si>
    <t>Average Patient Age per department</t>
  </si>
  <si>
    <t>Bed occupency %</t>
  </si>
  <si>
    <t xml:space="preserve">Bed Occupency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</si>
</sst>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0" fillId="0" borderId="0" xfId="0" applyNumberFormat="1"/>
    <xf numFmtId="0" fontId="0" fillId="0" borderId="0" xfId="0" applyAlignment="1">
      <alignment vertical="center" wrapText="1"/>
    </xf>
    <xf numFmtId="9" fontId="3" fillId="3" borderId="0" xfId="1" applyFont="1" applyFill="1" applyBorder="1" applyAlignment="1">
      <alignment horizontal="center" vertical="center" wrapText="1"/>
    </xf>
    <xf numFmtId="9" fontId="3" fillId="3" borderId="1" xfId="1" applyFont="1" applyFill="1" applyBorder="1" applyAlignment="1">
      <alignment horizontal="center" vertical="center" wrapText="1"/>
    </xf>
    <xf numFmtId="175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5A4D-EFA1-4470-A892-777B228599E9}">
  <dimension ref="A1:K31"/>
  <sheetViews>
    <sheetView topLeftCell="A7" workbookViewId="0">
      <selection activeCell="L23" sqref="L23"/>
    </sheetView>
  </sheetViews>
  <sheetFormatPr defaultRowHeight="14.4" x14ac:dyDescent="0.3"/>
  <cols>
    <col min="1" max="1" width="10.33203125" bestFit="1" customWidth="1"/>
    <col min="2" max="2" width="7.88671875" bestFit="1" customWidth="1"/>
    <col min="3" max="3" width="11.88671875" bestFit="1" customWidth="1"/>
    <col min="4" max="4" width="18.6640625" bestFit="1" customWidth="1"/>
    <col min="5" max="5" width="12.33203125" bestFit="1" customWidth="1"/>
    <col min="6" max="6" width="18.6640625" bestFit="1" customWidth="1"/>
    <col min="7" max="7" width="19.77734375" customWidth="1"/>
    <col min="8" max="8" width="11.6640625" bestFit="1" customWidth="1"/>
    <col min="9" max="9" width="15" bestFit="1" customWidth="1"/>
    <col min="10" max="10" width="12.77734375" bestFit="1" customWidth="1"/>
    <col min="11" max="11" width="13.109375" bestFit="1" customWidth="1"/>
  </cols>
  <sheetData>
    <row r="1" spans="1:11" ht="15.6" x14ac:dyDescent="0.3">
      <c r="A1" s="1" t="s">
        <v>29</v>
      </c>
      <c r="B1" s="1" t="s">
        <v>30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4</v>
      </c>
      <c r="I1" s="1" t="s">
        <v>110</v>
      </c>
      <c r="J1" s="1" t="s">
        <v>107</v>
      </c>
      <c r="K1" s="1" t="s">
        <v>108</v>
      </c>
    </row>
    <row r="2" spans="1:11" x14ac:dyDescent="0.3">
      <c r="A2" t="s">
        <v>31</v>
      </c>
      <c r="B2" t="s">
        <v>32</v>
      </c>
      <c r="C2">
        <v>28</v>
      </c>
      <c r="D2" t="s">
        <v>5</v>
      </c>
      <c r="E2" t="s">
        <v>6</v>
      </c>
      <c r="F2" s="2">
        <v>46142</v>
      </c>
      <c r="G2" t="s">
        <v>94</v>
      </c>
      <c r="H2" t="s">
        <v>7</v>
      </c>
      <c r="I2" t="str">
        <f>VLOOKUP(G2,Department_info!$A$2:$B$6,2,FALSE)</f>
        <v>D001</v>
      </c>
      <c r="J2" t="str">
        <f>INDEX(Department_info!$D$2:$D$6,MATCH(Patient_records!G2,Department_info!$A$2:$A$6,0))</f>
        <v>Dr. Rao</v>
      </c>
      <c r="K2">
        <f>INDEX(Department_info!$E$2:$E$6,MATCH(Patient_records!G2,Department_info!$A$2:$A$6,0))</f>
        <v>50</v>
      </c>
    </row>
    <row r="3" spans="1:11" x14ac:dyDescent="0.3">
      <c r="A3" t="s">
        <v>33</v>
      </c>
      <c r="B3" t="s">
        <v>34</v>
      </c>
      <c r="C3">
        <v>22</v>
      </c>
      <c r="D3" t="s">
        <v>5</v>
      </c>
      <c r="E3" t="s">
        <v>6</v>
      </c>
      <c r="F3" s="2">
        <v>46143</v>
      </c>
      <c r="G3" t="s">
        <v>16</v>
      </c>
      <c r="H3" t="s">
        <v>7</v>
      </c>
      <c r="I3" t="str">
        <f>VLOOKUP(G3,Department_info!$A$2:$B$6,2,FALSE)</f>
        <v>D005</v>
      </c>
      <c r="J3" t="str">
        <f>INDEX(Department_info!$D$2:$D$6,MATCH(Patient_records!G3,Department_info!$A$2:$A$6,0))</f>
        <v>Dr. Reddy</v>
      </c>
      <c r="K3">
        <f>INDEX(Department_info!$E$2:$E$6,MATCH(Patient_records!G3,Department_info!$A$2:$A$6,0))</f>
        <v>70</v>
      </c>
    </row>
    <row r="4" spans="1:11" x14ac:dyDescent="0.3">
      <c r="A4" t="s">
        <v>35</v>
      </c>
      <c r="B4" t="s">
        <v>36</v>
      </c>
      <c r="C4">
        <v>22</v>
      </c>
      <c r="D4" t="s">
        <v>5</v>
      </c>
      <c r="E4" t="s">
        <v>6</v>
      </c>
      <c r="F4" s="2">
        <v>46144</v>
      </c>
      <c r="G4" t="s">
        <v>97</v>
      </c>
      <c r="H4" t="s">
        <v>8</v>
      </c>
      <c r="I4" t="str">
        <f>VLOOKUP(G4,Department_info!$A$2:$B$6,2,FALSE)</f>
        <v>D002</v>
      </c>
      <c r="J4" t="str">
        <f>INDEX(Department_info!$D$2:$D$6,MATCH(Patient_records!G4,Department_info!$A$2:$A$6,0))</f>
        <v>Dr. Mehta</v>
      </c>
      <c r="K4">
        <f>INDEX(Department_info!$E$2:$E$6,MATCH(Patient_records!G4,Department_info!$A$2:$A$6,0))</f>
        <v>40</v>
      </c>
    </row>
    <row r="5" spans="1:11" x14ac:dyDescent="0.3">
      <c r="A5" t="s">
        <v>37</v>
      </c>
      <c r="B5" t="s">
        <v>38</v>
      </c>
      <c r="C5">
        <v>19</v>
      </c>
      <c r="D5" t="s">
        <v>5</v>
      </c>
      <c r="E5" t="s">
        <v>6</v>
      </c>
      <c r="F5" s="2">
        <v>46145</v>
      </c>
      <c r="G5" t="s">
        <v>103</v>
      </c>
      <c r="H5" t="s">
        <v>8</v>
      </c>
      <c r="I5" t="str">
        <f>VLOOKUP(G5,Department_info!$A$2:$B$6,2,FALSE)</f>
        <v>D004</v>
      </c>
      <c r="J5" t="str">
        <f>INDEX(Department_info!$D$2:$D$6,MATCH(Patient_records!G5,Department_info!$A$2:$A$6,0))</f>
        <v>Dr. Sharma</v>
      </c>
      <c r="K5">
        <f>INDEX(Department_info!$E$2:$E$6,MATCH(Patient_records!G5,Department_info!$A$2:$A$6,0))</f>
        <v>35</v>
      </c>
    </row>
    <row r="6" spans="1:11" x14ac:dyDescent="0.3">
      <c r="A6" t="s">
        <v>39</v>
      </c>
      <c r="B6" t="s">
        <v>40</v>
      </c>
      <c r="C6">
        <v>20</v>
      </c>
      <c r="D6" t="s">
        <v>5</v>
      </c>
      <c r="E6" t="s">
        <v>9</v>
      </c>
      <c r="F6" s="2">
        <v>46146</v>
      </c>
      <c r="G6" t="s">
        <v>100</v>
      </c>
      <c r="H6" t="s">
        <v>7</v>
      </c>
      <c r="I6" t="str">
        <f>VLOOKUP(G6,Department_info!$A$2:$B$6,2,FALSE)</f>
        <v>D003</v>
      </c>
      <c r="J6" t="str">
        <f>INDEX(Department_info!$D$2:$D$6,MATCH(Patient_records!G6,Department_info!$A$2:$A$6,0))</f>
        <v>Dr. Kumar</v>
      </c>
      <c r="K6">
        <f>INDEX(Department_info!$E$2:$E$6,MATCH(Patient_records!G6,Department_info!$A$2:$A$6,0))</f>
        <v>60</v>
      </c>
    </row>
    <row r="7" spans="1:11" x14ac:dyDescent="0.3">
      <c r="A7" t="s">
        <v>41</v>
      </c>
      <c r="B7" t="s">
        <v>42</v>
      </c>
      <c r="C7">
        <v>18</v>
      </c>
      <c r="D7" t="s">
        <v>10</v>
      </c>
      <c r="E7" t="s">
        <v>9</v>
      </c>
      <c r="F7" s="2">
        <v>46147</v>
      </c>
      <c r="G7" t="s">
        <v>94</v>
      </c>
      <c r="H7" t="s">
        <v>7</v>
      </c>
      <c r="I7" t="str">
        <f>VLOOKUP(G7,Department_info!$A$2:$B$6,2,FALSE)</f>
        <v>D001</v>
      </c>
      <c r="J7" t="str">
        <f>INDEX(Department_info!$D$2:$D$6,MATCH(Patient_records!G7,Department_info!$A$2:$A$6,0))</f>
        <v>Dr. Rao</v>
      </c>
      <c r="K7">
        <f>INDEX(Department_info!$E$2:$E$6,MATCH(Patient_records!G7,Department_info!$A$2:$A$6,0))</f>
        <v>50</v>
      </c>
    </row>
    <row r="8" spans="1:11" x14ac:dyDescent="0.3">
      <c r="A8" t="s">
        <v>43</v>
      </c>
      <c r="B8" t="s">
        <v>44</v>
      </c>
      <c r="C8">
        <v>25</v>
      </c>
      <c r="D8" t="s">
        <v>5</v>
      </c>
      <c r="E8" t="s">
        <v>11</v>
      </c>
      <c r="F8" s="2">
        <v>46148</v>
      </c>
      <c r="G8" t="s">
        <v>97</v>
      </c>
      <c r="H8" t="s">
        <v>7</v>
      </c>
      <c r="I8" t="str">
        <f>VLOOKUP(G8,Department_info!$A$2:$B$6,2,FALSE)</f>
        <v>D002</v>
      </c>
      <c r="J8" t="str">
        <f>INDEX(Department_info!$D$2:$D$6,MATCH(Patient_records!G8,Department_info!$A$2:$A$6,0))</f>
        <v>Dr. Mehta</v>
      </c>
      <c r="K8">
        <f>INDEX(Department_info!$E$2:$E$6,MATCH(Patient_records!G8,Department_info!$A$2:$A$6,0))</f>
        <v>40</v>
      </c>
    </row>
    <row r="9" spans="1:11" x14ac:dyDescent="0.3">
      <c r="A9" t="s">
        <v>45</v>
      </c>
      <c r="B9" t="s">
        <v>46</v>
      </c>
      <c r="C9">
        <v>45</v>
      </c>
      <c r="D9" t="s">
        <v>5</v>
      </c>
      <c r="E9" t="s">
        <v>12</v>
      </c>
      <c r="F9" s="2">
        <v>46149</v>
      </c>
      <c r="G9" t="s">
        <v>94</v>
      </c>
      <c r="H9" t="s">
        <v>7</v>
      </c>
      <c r="I9" t="str">
        <f>VLOOKUP(G9,Department_info!$A$2:$B$6,2,FALSE)</f>
        <v>D001</v>
      </c>
      <c r="J9" t="str">
        <f>INDEX(Department_info!$D$2:$D$6,MATCH(Patient_records!G9,Department_info!$A$2:$A$6,0))</f>
        <v>Dr. Rao</v>
      </c>
      <c r="K9">
        <f>INDEX(Department_info!$E$2:$E$6,MATCH(Patient_records!G9,Department_info!$A$2:$A$6,0))</f>
        <v>50</v>
      </c>
    </row>
    <row r="10" spans="1:11" x14ac:dyDescent="0.3">
      <c r="A10" t="s">
        <v>47</v>
      </c>
      <c r="B10" t="s">
        <v>48</v>
      </c>
      <c r="C10">
        <v>22</v>
      </c>
      <c r="D10" t="s">
        <v>5</v>
      </c>
      <c r="E10" t="s">
        <v>13</v>
      </c>
      <c r="F10" s="2">
        <v>46150</v>
      </c>
      <c r="G10" t="s">
        <v>16</v>
      </c>
      <c r="H10" t="s">
        <v>7</v>
      </c>
      <c r="I10" t="str">
        <f>VLOOKUP(G10,Department_info!$A$2:$B$6,2,FALSE)</f>
        <v>D005</v>
      </c>
      <c r="J10" t="str">
        <f>INDEX(Department_info!$D$2:$D$6,MATCH(Patient_records!G10,Department_info!$A$2:$A$6,0))</f>
        <v>Dr. Reddy</v>
      </c>
      <c r="K10">
        <f>INDEX(Department_info!$E$2:$E$6,MATCH(Patient_records!G10,Department_info!$A$2:$A$6,0))</f>
        <v>70</v>
      </c>
    </row>
    <row r="11" spans="1:11" x14ac:dyDescent="0.3">
      <c r="A11" t="s">
        <v>49</v>
      </c>
      <c r="B11" t="s">
        <v>50</v>
      </c>
      <c r="C11">
        <v>28</v>
      </c>
      <c r="D11" t="s">
        <v>5</v>
      </c>
      <c r="E11" t="s">
        <v>14</v>
      </c>
      <c r="F11" s="2">
        <v>46151</v>
      </c>
      <c r="G11" t="s">
        <v>97</v>
      </c>
      <c r="H11" t="s">
        <v>7</v>
      </c>
      <c r="I11" t="str">
        <f>VLOOKUP(G11,Department_info!$A$2:$B$6,2,FALSE)</f>
        <v>D002</v>
      </c>
      <c r="J11" t="str">
        <f>INDEX(Department_info!$D$2:$D$6,MATCH(Patient_records!G11,Department_info!$A$2:$A$6,0))</f>
        <v>Dr. Mehta</v>
      </c>
      <c r="K11">
        <f>INDEX(Department_info!$E$2:$E$6,MATCH(Patient_records!G11,Department_info!$A$2:$A$6,0))</f>
        <v>40</v>
      </c>
    </row>
    <row r="12" spans="1:11" x14ac:dyDescent="0.3">
      <c r="A12" t="s">
        <v>51</v>
      </c>
      <c r="B12" t="s">
        <v>52</v>
      </c>
      <c r="C12">
        <v>29</v>
      </c>
      <c r="D12" t="s">
        <v>10</v>
      </c>
      <c r="E12" t="s">
        <v>15</v>
      </c>
      <c r="F12" s="2">
        <v>46152</v>
      </c>
      <c r="G12" t="s">
        <v>103</v>
      </c>
      <c r="H12" t="s">
        <v>7</v>
      </c>
      <c r="I12" t="str">
        <f>VLOOKUP(G12,Department_info!$A$2:$B$6,2,FALSE)</f>
        <v>D004</v>
      </c>
      <c r="J12" t="str">
        <f>INDEX(Department_info!$D$2:$D$6,MATCH(Patient_records!G12,Department_info!$A$2:$A$6,0))</f>
        <v>Dr. Sharma</v>
      </c>
      <c r="K12">
        <f>INDEX(Department_info!$E$2:$E$6,MATCH(Patient_records!G12,Department_info!$A$2:$A$6,0))</f>
        <v>35</v>
      </c>
    </row>
    <row r="13" spans="1:11" x14ac:dyDescent="0.3">
      <c r="A13" t="s">
        <v>53</v>
      </c>
      <c r="B13" t="s">
        <v>54</v>
      </c>
      <c r="C13">
        <v>34</v>
      </c>
      <c r="D13" t="s">
        <v>5</v>
      </c>
      <c r="E13" t="s">
        <v>17</v>
      </c>
      <c r="F13" s="2">
        <v>46153</v>
      </c>
      <c r="G13" t="s">
        <v>100</v>
      </c>
      <c r="H13" t="s">
        <v>7</v>
      </c>
      <c r="I13" t="str">
        <f>VLOOKUP(G13,Department_info!$A$2:$B$6,2,FALSE)</f>
        <v>D003</v>
      </c>
      <c r="J13" t="str">
        <f>INDEX(Department_info!$D$2:$D$6,MATCH(Patient_records!G13,Department_info!$A$2:$A$6,0))</f>
        <v>Dr. Kumar</v>
      </c>
      <c r="K13">
        <f>INDEX(Department_info!$E$2:$E$6,MATCH(Patient_records!G13,Department_info!$A$2:$A$6,0))</f>
        <v>60</v>
      </c>
    </row>
    <row r="14" spans="1:11" x14ac:dyDescent="0.3">
      <c r="A14" t="s">
        <v>55</v>
      </c>
      <c r="B14" t="s">
        <v>56</v>
      </c>
      <c r="C14">
        <v>22</v>
      </c>
      <c r="D14" t="s">
        <v>10</v>
      </c>
      <c r="E14" t="s">
        <v>18</v>
      </c>
      <c r="F14" s="2">
        <v>46154</v>
      </c>
      <c r="G14" t="s">
        <v>94</v>
      </c>
      <c r="H14" t="s">
        <v>7</v>
      </c>
      <c r="I14" t="str">
        <f>VLOOKUP(G14,Department_info!$A$2:$B$6,2,FALSE)</f>
        <v>D001</v>
      </c>
      <c r="J14" t="str">
        <f>INDEX(Department_info!$D$2:$D$6,MATCH(Patient_records!G14,Department_info!$A$2:$A$6,0))</f>
        <v>Dr. Rao</v>
      </c>
      <c r="K14">
        <f>INDEX(Department_info!$E$2:$E$6,MATCH(Patient_records!G14,Department_info!$A$2:$A$6,0))</f>
        <v>50</v>
      </c>
    </row>
    <row r="15" spans="1:11" x14ac:dyDescent="0.3">
      <c r="A15" t="s">
        <v>57</v>
      </c>
      <c r="B15" t="s">
        <v>58</v>
      </c>
      <c r="C15">
        <v>30</v>
      </c>
      <c r="D15" t="s">
        <v>10</v>
      </c>
      <c r="E15" t="s">
        <v>19</v>
      </c>
      <c r="F15" s="2">
        <v>46155</v>
      </c>
      <c r="G15" t="s">
        <v>97</v>
      </c>
      <c r="H15" t="s">
        <v>7</v>
      </c>
      <c r="I15" t="str">
        <f>VLOOKUP(G15,Department_info!$A$2:$B$6,2,FALSE)</f>
        <v>D002</v>
      </c>
      <c r="J15" t="str">
        <f>INDEX(Department_info!$D$2:$D$6,MATCH(Patient_records!G15,Department_info!$A$2:$A$6,0))</f>
        <v>Dr. Mehta</v>
      </c>
      <c r="K15">
        <f>INDEX(Department_info!$E$2:$E$6,MATCH(Patient_records!G15,Department_info!$A$2:$A$6,0))</f>
        <v>40</v>
      </c>
    </row>
    <row r="16" spans="1:11" x14ac:dyDescent="0.3">
      <c r="A16" t="s">
        <v>59</v>
      </c>
      <c r="B16" t="s">
        <v>60</v>
      </c>
      <c r="C16">
        <v>20</v>
      </c>
      <c r="D16" t="s">
        <v>10</v>
      </c>
      <c r="E16" t="s">
        <v>20</v>
      </c>
      <c r="F16" s="2">
        <v>46156</v>
      </c>
      <c r="G16" t="s">
        <v>94</v>
      </c>
      <c r="H16" t="s">
        <v>8</v>
      </c>
      <c r="I16" t="str">
        <f>VLOOKUP(G16,Department_info!$A$2:$B$6,2,FALSE)</f>
        <v>D001</v>
      </c>
      <c r="J16" t="str">
        <f>INDEX(Department_info!$D$2:$D$6,MATCH(Patient_records!G16,Department_info!$A$2:$A$6,0))</f>
        <v>Dr. Rao</v>
      </c>
      <c r="K16">
        <f>INDEX(Department_info!$E$2:$E$6,MATCH(Patient_records!G16,Department_info!$A$2:$A$6,0))</f>
        <v>50</v>
      </c>
    </row>
    <row r="17" spans="1:11" x14ac:dyDescent="0.3">
      <c r="A17" t="s">
        <v>61</v>
      </c>
      <c r="B17" t="s">
        <v>62</v>
      </c>
      <c r="C17">
        <v>20</v>
      </c>
      <c r="D17" t="s">
        <v>10</v>
      </c>
      <c r="E17" t="s">
        <v>21</v>
      </c>
      <c r="F17" s="2">
        <v>46157</v>
      </c>
      <c r="G17" t="s">
        <v>16</v>
      </c>
      <c r="H17" t="s">
        <v>7</v>
      </c>
      <c r="I17" t="str">
        <f>VLOOKUP(G17,Department_info!$A$2:$B$6,2,FALSE)</f>
        <v>D005</v>
      </c>
      <c r="J17" t="str">
        <f>INDEX(Department_info!$D$2:$D$6,MATCH(Patient_records!G17,Department_info!$A$2:$A$6,0))</f>
        <v>Dr. Reddy</v>
      </c>
      <c r="K17">
        <f>INDEX(Department_info!$E$2:$E$6,MATCH(Patient_records!G17,Department_info!$A$2:$A$6,0))</f>
        <v>70</v>
      </c>
    </row>
    <row r="18" spans="1:11" x14ac:dyDescent="0.3">
      <c r="A18" t="s">
        <v>63</v>
      </c>
      <c r="B18" t="s">
        <v>64</v>
      </c>
      <c r="C18">
        <v>29</v>
      </c>
      <c r="D18" t="s">
        <v>5</v>
      </c>
      <c r="E18" t="s">
        <v>21</v>
      </c>
      <c r="F18" s="2">
        <v>46158</v>
      </c>
      <c r="G18" t="s">
        <v>97</v>
      </c>
      <c r="H18" t="s">
        <v>8</v>
      </c>
      <c r="I18" t="str">
        <f>VLOOKUP(G18,Department_info!$A$2:$B$6,2,FALSE)</f>
        <v>D002</v>
      </c>
      <c r="J18" t="str">
        <f>INDEX(Department_info!$D$2:$D$6,MATCH(Patient_records!G18,Department_info!$A$2:$A$6,0))</f>
        <v>Dr. Mehta</v>
      </c>
      <c r="K18">
        <f>INDEX(Department_info!$E$2:$E$6,MATCH(Patient_records!G18,Department_info!$A$2:$A$6,0))</f>
        <v>40</v>
      </c>
    </row>
    <row r="19" spans="1:11" x14ac:dyDescent="0.3">
      <c r="A19" t="s">
        <v>65</v>
      </c>
      <c r="B19" t="s">
        <v>66</v>
      </c>
      <c r="C19">
        <v>29</v>
      </c>
      <c r="D19" t="s">
        <v>10</v>
      </c>
      <c r="E19" t="s">
        <v>20</v>
      </c>
      <c r="F19" s="2">
        <v>46159</v>
      </c>
      <c r="G19" t="s">
        <v>103</v>
      </c>
      <c r="H19" t="s">
        <v>8</v>
      </c>
      <c r="I19" t="str">
        <f>VLOOKUP(G19,Department_info!$A$2:$B$6,2,FALSE)</f>
        <v>D004</v>
      </c>
      <c r="J19" t="str">
        <f>INDEX(Department_info!$D$2:$D$6,MATCH(Patient_records!G19,Department_info!$A$2:$A$6,0))</f>
        <v>Dr. Sharma</v>
      </c>
      <c r="K19">
        <f>INDEX(Department_info!$E$2:$E$6,MATCH(Patient_records!G19,Department_info!$A$2:$A$6,0))</f>
        <v>35</v>
      </c>
    </row>
    <row r="20" spans="1:11" x14ac:dyDescent="0.3">
      <c r="A20" t="s">
        <v>67</v>
      </c>
      <c r="B20" t="s">
        <v>68</v>
      </c>
      <c r="C20">
        <v>20</v>
      </c>
      <c r="D20" t="s">
        <v>10</v>
      </c>
      <c r="E20" t="s">
        <v>15</v>
      </c>
      <c r="F20" s="2">
        <v>46160</v>
      </c>
      <c r="G20" t="s">
        <v>100</v>
      </c>
      <c r="H20" t="s">
        <v>7</v>
      </c>
      <c r="I20" t="str">
        <f>VLOOKUP(G20,Department_info!$A$2:$B$6,2,FALSE)</f>
        <v>D003</v>
      </c>
      <c r="J20" t="str">
        <f>INDEX(Department_info!$D$2:$D$6,MATCH(Patient_records!G20,Department_info!$A$2:$A$6,0))</f>
        <v>Dr. Kumar</v>
      </c>
      <c r="K20">
        <f>INDEX(Department_info!$E$2:$E$6,MATCH(Patient_records!G20,Department_info!$A$2:$A$6,0))</f>
        <v>60</v>
      </c>
    </row>
    <row r="21" spans="1:11" x14ac:dyDescent="0.3">
      <c r="A21" t="s">
        <v>69</v>
      </c>
      <c r="B21" t="s">
        <v>70</v>
      </c>
      <c r="C21">
        <v>29</v>
      </c>
      <c r="D21" t="s">
        <v>5</v>
      </c>
      <c r="E21" t="s">
        <v>22</v>
      </c>
      <c r="F21" s="2">
        <v>46161</v>
      </c>
      <c r="G21" t="s">
        <v>94</v>
      </c>
      <c r="H21" t="s">
        <v>8</v>
      </c>
      <c r="I21" t="str">
        <f>VLOOKUP(G21,Department_info!$A$2:$B$6,2,FALSE)</f>
        <v>D001</v>
      </c>
      <c r="J21" t="str">
        <f>INDEX(Department_info!$D$2:$D$6,MATCH(Patient_records!G21,Department_info!$A$2:$A$6,0))</f>
        <v>Dr. Rao</v>
      </c>
      <c r="K21">
        <f>INDEX(Department_info!$E$2:$E$6,MATCH(Patient_records!G21,Department_info!$A$2:$A$6,0))</f>
        <v>50</v>
      </c>
    </row>
    <row r="22" spans="1:11" x14ac:dyDescent="0.3">
      <c r="A22" t="s">
        <v>71</v>
      </c>
      <c r="B22" t="s">
        <v>72</v>
      </c>
      <c r="C22">
        <v>28</v>
      </c>
      <c r="D22" t="s">
        <v>5</v>
      </c>
      <c r="E22" t="s">
        <v>23</v>
      </c>
      <c r="F22" s="2">
        <v>46162</v>
      </c>
      <c r="G22" t="s">
        <v>97</v>
      </c>
      <c r="H22" t="s">
        <v>7</v>
      </c>
      <c r="I22" t="str">
        <f>VLOOKUP(G22,Department_info!$A$2:$B$6,2,FALSE)</f>
        <v>D002</v>
      </c>
      <c r="J22" t="str">
        <f>INDEX(Department_info!$D$2:$D$6,MATCH(Patient_records!G22,Department_info!$A$2:$A$6,0))</f>
        <v>Dr. Mehta</v>
      </c>
      <c r="K22">
        <f>INDEX(Department_info!$E$2:$E$6,MATCH(Patient_records!G22,Department_info!$A$2:$A$6,0))</f>
        <v>40</v>
      </c>
    </row>
    <row r="23" spans="1:11" x14ac:dyDescent="0.3">
      <c r="A23" t="s">
        <v>73</v>
      </c>
      <c r="B23" t="s">
        <v>74</v>
      </c>
      <c r="C23">
        <v>45</v>
      </c>
      <c r="D23" t="s">
        <v>5</v>
      </c>
      <c r="E23" t="s">
        <v>24</v>
      </c>
      <c r="F23" s="2">
        <v>46163</v>
      </c>
      <c r="G23" t="s">
        <v>94</v>
      </c>
      <c r="H23" t="s">
        <v>7</v>
      </c>
      <c r="I23" t="str">
        <f>VLOOKUP(G23,Department_info!$A$2:$B$6,2,FALSE)</f>
        <v>D001</v>
      </c>
      <c r="J23" t="str">
        <f>INDEX(Department_info!$D$2:$D$6,MATCH(Patient_records!G23,Department_info!$A$2:$A$6,0))</f>
        <v>Dr. Rao</v>
      </c>
      <c r="K23">
        <f>INDEX(Department_info!$E$2:$E$6,MATCH(Patient_records!G23,Department_info!$A$2:$A$6,0))</f>
        <v>50</v>
      </c>
    </row>
    <row r="24" spans="1:11" x14ac:dyDescent="0.3">
      <c r="A24" t="s">
        <v>75</v>
      </c>
      <c r="B24" t="s">
        <v>76</v>
      </c>
      <c r="C24">
        <v>34</v>
      </c>
      <c r="D24" t="s">
        <v>10</v>
      </c>
      <c r="E24" t="s">
        <v>6</v>
      </c>
      <c r="F24" s="2">
        <v>46164</v>
      </c>
      <c r="G24" t="s">
        <v>16</v>
      </c>
      <c r="H24" t="s">
        <v>7</v>
      </c>
      <c r="I24" t="str">
        <f>VLOOKUP(G24,Department_info!$A$2:$B$6,2,FALSE)</f>
        <v>D005</v>
      </c>
      <c r="J24" t="str">
        <f>INDEX(Department_info!$D$2:$D$6,MATCH(Patient_records!G24,Department_info!$A$2:$A$6,0))</f>
        <v>Dr. Reddy</v>
      </c>
      <c r="K24">
        <f>INDEX(Department_info!$E$2:$E$6,MATCH(Patient_records!G24,Department_info!$A$2:$A$6,0))</f>
        <v>70</v>
      </c>
    </row>
    <row r="25" spans="1:11" x14ac:dyDescent="0.3">
      <c r="A25" t="s">
        <v>77</v>
      </c>
      <c r="B25" t="s">
        <v>78</v>
      </c>
      <c r="C25">
        <v>22</v>
      </c>
      <c r="D25" t="s">
        <v>5</v>
      </c>
      <c r="E25" t="s">
        <v>6</v>
      </c>
      <c r="F25" s="2">
        <v>46165</v>
      </c>
      <c r="G25" t="s">
        <v>97</v>
      </c>
      <c r="H25" t="s">
        <v>8</v>
      </c>
      <c r="I25" t="str">
        <f>VLOOKUP(G25,Department_info!$A$2:$B$6,2,FALSE)</f>
        <v>D002</v>
      </c>
      <c r="J25" t="str">
        <f>INDEX(Department_info!$D$2:$D$6,MATCH(Patient_records!G25,Department_info!$A$2:$A$6,0))</f>
        <v>Dr. Mehta</v>
      </c>
      <c r="K25">
        <f>INDEX(Department_info!$E$2:$E$6,MATCH(Patient_records!G25,Department_info!$A$2:$A$6,0))</f>
        <v>40</v>
      </c>
    </row>
    <row r="26" spans="1:11" x14ac:dyDescent="0.3">
      <c r="A26" t="s">
        <v>79</v>
      </c>
      <c r="B26" t="s">
        <v>60</v>
      </c>
      <c r="C26">
        <v>24</v>
      </c>
      <c r="D26" t="s">
        <v>10</v>
      </c>
      <c r="E26" t="s">
        <v>6</v>
      </c>
      <c r="F26" s="2">
        <v>46166</v>
      </c>
      <c r="G26" t="s">
        <v>103</v>
      </c>
      <c r="H26" t="s">
        <v>8</v>
      </c>
      <c r="I26" t="str">
        <f>VLOOKUP(G26,Department_info!$A$2:$B$6,2,FALSE)</f>
        <v>D004</v>
      </c>
      <c r="J26" t="str">
        <f>INDEX(Department_info!$D$2:$D$6,MATCH(Patient_records!G26,Department_info!$A$2:$A$6,0))</f>
        <v>Dr. Sharma</v>
      </c>
      <c r="K26">
        <f>INDEX(Department_info!$E$2:$E$6,MATCH(Patient_records!G26,Department_info!$A$2:$A$6,0))</f>
        <v>35</v>
      </c>
    </row>
    <row r="27" spans="1:11" x14ac:dyDescent="0.3">
      <c r="A27" t="s">
        <v>80</v>
      </c>
      <c r="B27" t="s">
        <v>81</v>
      </c>
      <c r="C27">
        <v>34</v>
      </c>
      <c r="D27" t="s">
        <v>5</v>
      </c>
      <c r="E27" t="s">
        <v>13</v>
      </c>
      <c r="F27" s="2">
        <v>46167</v>
      </c>
      <c r="G27" t="s">
        <v>100</v>
      </c>
      <c r="H27" t="s">
        <v>7</v>
      </c>
      <c r="I27" t="str">
        <f>VLOOKUP(G27,Department_info!$A$2:$B$6,2,FALSE)</f>
        <v>D003</v>
      </c>
      <c r="J27" t="str">
        <f>INDEX(Department_info!$D$2:$D$6,MATCH(Patient_records!G27,Department_info!$A$2:$A$6,0))</f>
        <v>Dr. Kumar</v>
      </c>
      <c r="K27">
        <f>INDEX(Department_info!$E$2:$E$6,MATCH(Patient_records!G27,Department_info!$A$2:$A$6,0))</f>
        <v>60</v>
      </c>
    </row>
    <row r="28" spans="1:11" x14ac:dyDescent="0.3">
      <c r="A28" t="s">
        <v>82</v>
      </c>
      <c r="B28" t="s">
        <v>83</v>
      </c>
      <c r="C28">
        <v>23</v>
      </c>
      <c r="D28" t="s">
        <v>5</v>
      </c>
      <c r="E28" t="s">
        <v>25</v>
      </c>
      <c r="F28" s="2">
        <v>46168</v>
      </c>
      <c r="G28" t="s">
        <v>94</v>
      </c>
      <c r="H28" t="s">
        <v>7</v>
      </c>
      <c r="I28" t="str">
        <f>VLOOKUP(G28,Department_info!$A$2:$B$6,2,FALSE)</f>
        <v>D001</v>
      </c>
      <c r="J28" t="str">
        <f>INDEX(Department_info!$D$2:$D$6,MATCH(Patient_records!G28,Department_info!$A$2:$A$6,0))</f>
        <v>Dr. Rao</v>
      </c>
      <c r="K28">
        <f>INDEX(Department_info!$E$2:$E$6,MATCH(Patient_records!G28,Department_info!$A$2:$A$6,0))</f>
        <v>50</v>
      </c>
    </row>
    <row r="29" spans="1:11" x14ac:dyDescent="0.3">
      <c r="A29" t="s">
        <v>84</v>
      </c>
      <c r="B29" t="s">
        <v>85</v>
      </c>
      <c r="C29">
        <v>34</v>
      </c>
      <c r="D29" t="s">
        <v>5</v>
      </c>
      <c r="E29" t="s">
        <v>26</v>
      </c>
      <c r="F29" s="2">
        <v>46169</v>
      </c>
      <c r="G29" t="s">
        <v>97</v>
      </c>
      <c r="H29" t="s">
        <v>7</v>
      </c>
      <c r="I29" t="str">
        <f>VLOOKUP(G29,Department_info!$A$2:$B$6,2,FALSE)</f>
        <v>D002</v>
      </c>
      <c r="J29" t="str">
        <f>INDEX(Department_info!$D$2:$D$6,MATCH(Patient_records!G29,Department_info!$A$2:$A$6,0))</f>
        <v>Dr. Mehta</v>
      </c>
      <c r="K29">
        <f>INDEX(Department_info!$E$2:$E$6,MATCH(Patient_records!G29,Department_info!$A$2:$A$6,0))</f>
        <v>40</v>
      </c>
    </row>
    <row r="30" spans="1:11" x14ac:dyDescent="0.3">
      <c r="A30" t="s">
        <v>86</v>
      </c>
      <c r="B30" t="s">
        <v>87</v>
      </c>
      <c r="C30">
        <v>28</v>
      </c>
      <c r="D30" t="s">
        <v>10</v>
      </c>
      <c r="E30" t="s">
        <v>27</v>
      </c>
      <c r="F30" s="2">
        <v>46170</v>
      </c>
      <c r="G30" t="s">
        <v>94</v>
      </c>
      <c r="H30" t="s">
        <v>7</v>
      </c>
      <c r="I30" t="str">
        <f>VLOOKUP(G30,Department_info!$A$2:$B$6,2,FALSE)</f>
        <v>D001</v>
      </c>
      <c r="J30" t="str">
        <f>INDEX(Department_info!$D$2:$D$6,MATCH(Patient_records!G30,Department_info!$A$2:$A$6,0))</f>
        <v>Dr. Rao</v>
      </c>
      <c r="K30">
        <f>INDEX(Department_info!$E$2:$E$6,MATCH(Patient_records!G30,Department_info!$A$2:$A$6,0))</f>
        <v>50</v>
      </c>
    </row>
    <row r="31" spans="1:11" x14ac:dyDescent="0.3">
      <c r="A31" t="s">
        <v>88</v>
      </c>
      <c r="B31" t="s">
        <v>89</v>
      </c>
      <c r="C31">
        <v>22</v>
      </c>
      <c r="D31" t="s">
        <v>5</v>
      </c>
      <c r="E31" t="s">
        <v>28</v>
      </c>
      <c r="F31" s="2">
        <v>46171</v>
      </c>
      <c r="G31" t="s">
        <v>16</v>
      </c>
      <c r="H31" t="s">
        <v>7</v>
      </c>
      <c r="I31" t="str">
        <f>VLOOKUP(G31,Department_info!$A$2:$B$6,2,FALSE)</f>
        <v>D005</v>
      </c>
      <c r="J31" t="str">
        <f>INDEX(Department_info!$D$2:$D$6,MATCH(Patient_records!G31,Department_info!$A$2:$A$6,0))</f>
        <v>Dr. Reddy</v>
      </c>
      <c r="K31">
        <f>INDEX(Department_info!$E$2:$E$6,MATCH(Patient_records!G31,Department_info!$A$2:$A$6,0))</f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4FE9-08B3-44FA-A219-7F6BB0FD5EEF}">
  <dimension ref="A1:I6"/>
  <sheetViews>
    <sheetView tabSelected="1" workbookViewId="0">
      <selection activeCell="K9" sqref="K9"/>
    </sheetView>
  </sheetViews>
  <sheetFormatPr defaultRowHeight="14.4" x14ac:dyDescent="0.3"/>
  <cols>
    <col min="1" max="1" width="17.44140625" customWidth="1"/>
    <col min="2" max="2" width="18.44140625" customWidth="1"/>
    <col min="3" max="3" width="9.21875" customWidth="1"/>
    <col min="4" max="4" width="13.6640625" customWidth="1"/>
    <col min="5" max="5" width="12" customWidth="1"/>
    <col min="6" max="6" width="22.6640625" customWidth="1"/>
    <col min="7" max="7" width="33.88671875" customWidth="1"/>
    <col min="8" max="8" width="18.33203125" customWidth="1"/>
    <col min="9" max="9" width="16.109375" customWidth="1"/>
  </cols>
  <sheetData>
    <row r="1" spans="1:9" ht="45" customHeight="1" x14ac:dyDescent="0.3">
      <c r="A1" s="5" t="s">
        <v>91</v>
      </c>
      <c r="B1" s="5" t="s">
        <v>90</v>
      </c>
      <c r="C1" s="5" t="s">
        <v>92</v>
      </c>
      <c r="D1" s="5" t="s">
        <v>107</v>
      </c>
      <c r="E1" s="5" t="s">
        <v>108</v>
      </c>
      <c r="F1" s="5" t="s">
        <v>111</v>
      </c>
      <c r="G1" s="5" t="s">
        <v>112</v>
      </c>
      <c r="H1" s="4" t="s">
        <v>113</v>
      </c>
      <c r="I1" s="4" t="s">
        <v>114</v>
      </c>
    </row>
    <row r="2" spans="1:9" ht="21" customHeight="1" x14ac:dyDescent="0.3">
      <c r="A2" s="3" t="s">
        <v>94</v>
      </c>
      <c r="B2" s="3" t="s">
        <v>93</v>
      </c>
      <c r="C2" s="3">
        <v>2</v>
      </c>
      <c r="D2" s="3" t="s">
        <v>95</v>
      </c>
      <c r="E2" s="3">
        <v>50</v>
      </c>
      <c r="F2">
        <f>COUNTIF(Patient_records!$J$2:$J$31,Department_info!D2)</f>
        <v>9</v>
      </c>
      <c r="G2" s="6">
        <f>AVERAGEIF(Patient_records!$G$2:$G$31,Department_info!A2,Patient_records!$C$2:$C$31)</f>
        <v>28.666666666666668</v>
      </c>
      <c r="H2" s="6">
        <f>COUNTIF(Patient_records!$G$2:$G$31,Department_info!A2) / Department_info!E2</f>
        <v>0.18</v>
      </c>
      <c r="I2" t="str">
        <f>IF(H2&gt;0.8,"Over Capacity","Normal")</f>
        <v>Normal</v>
      </c>
    </row>
    <row r="3" spans="1:9" ht="28.8" customHeight="1" x14ac:dyDescent="0.3">
      <c r="A3" s="3" t="s">
        <v>97</v>
      </c>
      <c r="B3" s="3" t="s">
        <v>96</v>
      </c>
      <c r="C3" s="3">
        <v>3</v>
      </c>
      <c r="D3" s="3" t="s">
        <v>98</v>
      </c>
      <c r="E3" s="3">
        <v>40</v>
      </c>
      <c r="F3">
        <f>COUNTIF(Patient_records!$J$2:$J$31,Department_info!D3)</f>
        <v>8</v>
      </c>
      <c r="G3" s="6">
        <f>AVERAGEIF(Patient_records!$G$2:$G$31,Department_info!A3,Patient_records!$C$2:$C$31)</f>
        <v>27.25</v>
      </c>
      <c r="H3" s="6">
        <f>COUNTIF(Patient_records!$G$2:$G$31,Department_info!A3) / Department_info!E3</f>
        <v>0.2</v>
      </c>
      <c r="I3" t="str">
        <f t="shared" ref="I3:I6" si="0">IF(H3&gt;0.8,"Over Capacity","Normal")</f>
        <v>Normal</v>
      </c>
    </row>
    <row r="4" spans="1:9" ht="28.8" customHeight="1" x14ac:dyDescent="0.3">
      <c r="A4" s="3" t="s">
        <v>100</v>
      </c>
      <c r="B4" s="3" t="s">
        <v>99</v>
      </c>
      <c r="C4" s="3">
        <v>1</v>
      </c>
      <c r="D4" s="3" t="s">
        <v>101</v>
      </c>
      <c r="E4" s="3">
        <v>60</v>
      </c>
      <c r="F4">
        <f>COUNTIF(Patient_records!$J$2:$J$31,Department_info!D4)</f>
        <v>4</v>
      </c>
      <c r="G4" s="6">
        <f>AVERAGEIF(Patient_records!$G$2:$G$31,Department_info!A4,Patient_records!$C$2:$C$31)</f>
        <v>27</v>
      </c>
      <c r="H4" s="6">
        <f>COUNTIF(Patient_records!$G$2:$G$31,Department_info!A4) / Department_info!E4</f>
        <v>6.6666666666666666E-2</v>
      </c>
      <c r="I4" t="str">
        <f t="shared" si="0"/>
        <v>Normal</v>
      </c>
    </row>
    <row r="5" spans="1:9" ht="28.8" customHeight="1" x14ac:dyDescent="0.3">
      <c r="A5" s="3" t="s">
        <v>103</v>
      </c>
      <c r="B5" s="3" t="s">
        <v>102</v>
      </c>
      <c r="C5" s="3">
        <v>4</v>
      </c>
      <c r="D5" s="3" t="s">
        <v>104</v>
      </c>
      <c r="E5" s="3">
        <v>35</v>
      </c>
      <c r="F5">
        <f>COUNTIF(Patient_records!$J$2:$J$31,Department_info!D5)</f>
        <v>4</v>
      </c>
      <c r="G5" s="6">
        <f>AVERAGEIF(Patient_records!$G$2:$G$31,Department_info!A5,Patient_records!$C$2:$C$31)</f>
        <v>25.25</v>
      </c>
      <c r="H5" s="6">
        <f>COUNTIF(Patient_records!$G$2:$G$31,Department_info!A5) / Department_info!E5</f>
        <v>0.11428571428571428</v>
      </c>
      <c r="I5" t="str">
        <f t="shared" si="0"/>
        <v>Normal</v>
      </c>
    </row>
    <row r="6" spans="1:9" ht="28.8" customHeight="1" x14ac:dyDescent="0.3">
      <c r="A6" s="3" t="s">
        <v>16</v>
      </c>
      <c r="B6" s="3" t="s">
        <v>105</v>
      </c>
      <c r="C6" s="3">
        <v>0</v>
      </c>
      <c r="D6" s="3" t="s">
        <v>106</v>
      </c>
      <c r="E6" s="3">
        <v>70</v>
      </c>
      <c r="F6">
        <f>COUNTIF(Patient_records!$J$2:$J$31,Department_info!D6)</f>
        <v>5</v>
      </c>
      <c r="G6" s="6">
        <f>AVERAGEIF(Patient_records!$G$2:$G$31,Department_info!A6,Patient_records!$C$2:$C$31)</f>
        <v>24</v>
      </c>
      <c r="H6" s="6">
        <f>COUNTIF(Patient_records!$G$2:$G$31,Department_info!A6) / Department_info!E6</f>
        <v>7.1428571428571425E-2</v>
      </c>
      <c r="I6" t="str">
        <f t="shared" si="0"/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Patient_records</vt:lpstr>
      <vt:lpstr>Department_info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Tirumani</dc:creator>
  <cp:lastModifiedBy>Praveen Tirumani</cp:lastModifiedBy>
  <dcterms:created xsi:type="dcterms:W3CDTF">2026-05-02T01:58:51Z</dcterms:created>
  <dcterms:modified xsi:type="dcterms:W3CDTF">2026-05-03T03:35:35Z</dcterms:modified>
</cp:coreProperties>
</file>